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alcul" sheetId="2" state="visible" r:id="rId2"/>
    <sheet xmlns:r="http://schemas.openxmlformats.org/officeDocument/2006/relationships" name="Synthèse" sheetId="3" state="visible" r:id="rId3"/>
    <sheet xmlns:r="http://schemas.openxmlformats.org/officeDocument/2006/relationships" name="Tables" sheetId="4" state="visible" r:id="rId4"/>
    <sheet xmlns:r="http://schemas.openxmlformats.org/officeDocument/2006/relationships" name="Résidu 20 tables" sheetId="5" state="visible" r:id="rId5"/>
    <sheet xmlns:r="http://schemas.openxmlformats.org/officeDocument/2006/relationships" name="Méthod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 €"/>
  </numFmts>
  <fonts count="6">
    <font>
      <name val="Calibri"/>
      <family val="2"/>
      <color theme="1"/>
      <sz val="11"/>
      <scheme val="minor"/>
    </font>
    <font>
      <b val="1"/>
      <color rgb="00FFFFFF"/>
    </font>
    <font>
      <b val="1"/>
      <color rgb="001F3A5F"/>
      <sz val="13"/>
    </font>
    <font/>
    <font>
      <b val="1"/>
    </font>
    <font>
      <b val="1"/>
      <color rgb="001F3A5F"/>
    </font>
  </fonts>
  <fills count="3">
    <fill>
      <patternFill/>
    </fill>
    <fill>
      <patternFill patternType="gray125"/>
    </fill>
    <fill>
      <patternFill patternType="solid">
        <fgColor rgb="001F3A5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4" fillId="0" borderId="0" pivotButton="0" quotePrefix="0" xfId="0"/>
    <xf numFmtId="164" fontId="4" fillId="0" borderId="0" pivotButton="0" quotePrefix="0" xfId="0"/>
    <xf numFmtId="165" fontId="0" fillId="0" borderId="0" pivotButton="0" quotePrefix="0" xfId="0"/>
    <xf numFmtId="165" fontId="4" fillId="0" borderId="0" pivotButton="0" quotePrefix="0" xfId="0"/>
    <xf numFmtId="164" fontId="0"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2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8" customWidth="1" min="3" max="3"/>
    <col width="34" customWidth="1" min="4" max="4"/>
    <col width="30" customWidth="1" min="5" max="5"/>
    <col width="13" customWidth="1" min="6" max="6"/>
    <col width="40" customWidth="1" min="7" max="7"/>
    <col width="14" customWidth="1" min="8" max="8"/>
  </cols>
  <sheetData>
    <row r="1">
      <c r="A1" s="1" t="inlineStr">
        <is>
          <t>Exercice</t>
        </is>
      </c>
      <c r="B1" s="1" t="inlineStr">
        <is>
          <t>Date</t>
        </is>
      </c>
      <c r="C1" s="1" t="inlineStr">
        <is>
          <t>Heure</t>
        </is>
      </c>
      <c r="D1" s="1" t="inlineStr">
        <is>
          <t>Table (notes jumelles)</t>
        </is>
      </c>
      <c r="E1" s="1" t="inlineStr">
        <is>
          <t>Article</t>
        </is>
      </c>
      <c r="F1" s="1" t="inlineStr">
        <is>
          <t>Prix unitaire (€)</t>
        </is>
      </c>
      <c r="G1" s="1" t="inlineStr">
        <is>
          <t>Quantités note par note</t>
        </is>
      </c>
      <c r="H1" s="1" t="inlineStr">
        <is>
          <t>Somme des fractions</t>
        </is>
      </c>
    </row>
    <row r="2">
      <c r="A2" t="inlineStr">
        <is>
          <t>2022-2023</t>
        </is>
      </c>
      <c r="B2" t="inlineStr">
        <is>
          <t>2022-04-14</t>
        </is>
      </c>
      <c r="C2" t="inlineStr">
        <is>
          <t>12:29</t>
        </is>
      </c>
      <c r="D2" t="inlineStr">
        <is>
          <t>n° 11 + n° 12 + n° 13 + n° 14 + n° 15 + n° 16</t>
        </is>
      </c>
      <c r="E2" t="inlineStr">
        <is>
          <t>FRELEE</t>
        </is>
      </c>
      <c r="F2" t="n">
        <v>18.6</v>
      </c>
      <c r="G2" t="inlineStr">
        <is>
          <t>n° 13 : 0,50 + n° 14 : 0,50</t>
        </is>
      </c>
      <c r="H2" t="n">
        <v>1</v>
      </c>
    </row>
    <row r="3">
      <c r="A3" t="inlineStr">
        <is>
          <t>2022-2023</t>
        </is>
      </c>
      <c r="B3" t="inlineStr">
        <is>
          <t>2022-04-14</t>
        </is>
      </c>
      <c r="C3" t="inlineStr">
        <is>
          <t>12:29</t>
        </is>
      </c>
      <c r="D3" t="inlineStr">
        <is>
          <t>n° 11 + n° 12 + n° 13 + n° 14 + n° 15 + n° 16</t>
        </is>
      </c>
      <c r="E3" t="inlineStr">
        <is>
          <t>Croûtes Morilles</t>
        </is>
      </c>
      <c r="F3" t="n">
        <v>16.9</v>
      </c>
      <c r="G3" t="inlineStr">
        <is>
          <t>n° 11 : 0,50 + n° 12 : 0,50</t>
        </is>
      </c>
      <c r="H3" t="n">
        <v>1</v>
      </c>
    </row>
    <row r="4">
      <c r="A4" t="inlineStr">
        <is>
          <t>2022-2023</t>
        </is>
      </c>
      <c r="B4" t="inlineStr">
        <is>
          <t>2022-04-14</t>
        </is>
      </c>
      <c r="C4" t="inlineStr">
        <is>
          <t>12:29</t>
        </is>
      </c>
      <c r="D4" t="inlineStr">
        <is>
          <t>n° 11 + n° 12 + n° 13 + n° 14 + n° 15 + n° 16</t>
        </is>
      </c>
      <c r="E4" t="inlineStr">
        <is>
          <t>CABRICHOU</t>
        </is>
      </c>
      <c r="F4" t="n">
        <v>15.9</v>
      </c>
      <c r="G4" t="inlineStr">
        <is>
          <t>n° 13 : 0,50 + n° 14 : 0,50</t>
        </is>
      </c>
      <c r="H4" t="n">
        <v>1</v>
      </c>
    </row>
    <row r="5">
      <c r="A5" t="inlineStr">
        <is>
          <t>2022-2023</t>
        </is>
      </c>
      <c r="B5" t="inlineStr">
        <is>
          <t>2022-04-14</t>
        </is>
      </c>
      <c r="C5" t="inlineStr">
        <is>
          <t>12:29</t>
        </is>
      </c>
      <c r="D5" t="inlineStr">
        <is>
          <t>n° 11 + n° 12 + n° 13 + n° 14 + n° 15 + n° 16</t>
        </is>
      </c>
      <c r="E5" t="inlineStr">
        <is>
          <t>Cidre Bouché Brut</t>
        </is>
      </c>
      <c r="F5" t="n">
        <v>14</v>
      </c>
      <c r="G5" t="inlineStr">
        <is>
          <t>n° 13 : 0,50 + n° 14 : 0,50</t>
        </is>
      </c>
      <c r="H5" t="n">
        <v>1</v>
      </c>
    </row>
    <row r="6">
      <c r="A6" t="inlineStr">
        <is>
          <t>2022-2023</t>
        </is>
      </c>
      <c r="B6" t="inlineStr">
        <is>
          <t>2022-04-14</t>
        </is>
      </c>
      <c r="C6" t="inlineStr">
        <is>
          <t>12:29</t>
        </is>
      </c>
      <c r="D6" t="inlineStr">
        <is>
          <t>n° 11 + n° 12 + n° 13 + n° 14 + n° 15 + n° 16</t>
        </is>
      </c>
      <c r="E6" t="inlineStr">
        <is>
          <t>BARBEULENET</t>
        </is>
      </c>
      <c r="F6" t="n">
        <v>13.9</v>
      </c>
      <c r="G6" t="inlineStr">
        <is>
          <t>n° 11 : 0,50 + n° 12 : 0,50</t>
        </is>
      </c>
      <c r="H6" t="n">
        <v>1</v>
      </c>
    </row>
    <row r="7">
      <c r="A7" t="inlineStr">
        <is>
          <t>2022-2023</t>
        </is>
      </c>
      <c r="B7" t="inlineStr">
        <is>
          <t>2022-04-14</t>
        </is>
      </c>
      <c r="C7" t="inlineStr">
        <is>
          <t>12:29</t>
        </is>
      </c>
      <c r="D7" t="inlineStr">
        <is>
          <t>n° 11 + n° 12 + n° 13 + n° 14 + n° 15 + n° 16</t>
        </is>
      </c>
      <c r="E7" t="inlineStr">
        <is>
          <t>Complète</t>
        </is>
      </c>
      <c r="F7" t="n">
        <v>11.6</v>
      </c>
      <c r="G7" t="inlineStr">
        <is>
          <t>n° 15 : 0,50 + n° 16 : 0,50</t>
        </is>
      </c>
      <c r="H7" t="n">
        <v>1</v>
      </c>
    </row>
    <row r="8">
      <c r="A8" t="inlineStr">
        <is>
          <t>2022-2023</t>
        </is>
      </c>
      <c r="B8" t="inlineStr">
        <is>
          <t>2022-04-14</t>
        </is>
      </c>
      <c r="C8" t="inlineStr">
        <is>
          <t>12:29</t>
        </is>
      </c>
      <c r="D8" t="inlineStr">
        <is>
          <t>n° 11 + n° 12 + n° 13 + n° 14 + n° 15 + n° 16</t>
        </is>
      </c>
      <c r="E8" t="inlineStr">
        <is>
          <t>Savagnin verre</t>
        </is>
      </c>
      <c r="F8" t="n">
        <v>7.2</v>
      </c>
      <c r="G8" t="inlineStr">
        <is>
          <t>n° 15 : 0,50 + n° 16 : 0,50</t>
        </is>
      </c>
      <c r="H8" t="n">
        <v>1</v>
      </c>
    </row>
    <row r="9">
      <c r="A9" t="inlineStr">
        <is>
          <t>2022-2023</t>
        </is>
      </c>
      <c r="B9" t="inlineStr">
        <is>
          <t>2022-04-14</t>
        </is>
      </c>
      <c r="C9" t="inlineStr">
        <is>
          <t>12:29</t>
        </is>
      </c>
      <c r="D9" t="inlineStr">
        <is>
          <t>n° 11 + n° 12 + n° 13 + n° 14 + n° 15 + n° 16</t>
        </is>
      </c>
      <c r="E9" t="inlineStr">
        <is>
          <t>Salade Verte aux Noi</t>
        </is>
      </c>
      <c r="F9" t="n">
        <v>5.9</v>
      </c>
      <c r="G9" t="inlineStr">
        <is>
          <t>n° 11 : 0,50 + n° 12 : 0,50 + n° 15 : 0,50 + n° 16 : 0,50</t>
        </is>
      </c>
      <c r="H9" t="n">
        <v>2</v>
      </c>
    </row>
    <row r="10">
      <c r="A10" t="inlineStr">
        <is>
          <t>2022-2023</t>
        </is>
      </c>
      <c r="B10" t="inlineStr">
        <is>
          <t>2022-04-14</t>
        </is>
      </c>
      <c r="C10" t="inlineStr">
        <is>
          <t>12:29</t>
        </is>
      </c>
      <c r="D10" t="inlineStr">
        <is>
          <t>n° 11 + n° 12 + n° 13 + n° 14 + n° 15 + n° 16</t>
        </is>
      </c>
      <c r="E10" t="inlineStr">
        <is>
          <t>Père Gregoire</t>
        </is>
      </c>
      <c r="F10" t="n">
        <v>4.9</v>
      </c>
      <c r="G10" t="inlineStr">
        <is>
          <t>n° 11 : 0,50 + n° 12 : 0,50</t>
        </is>
      </c>
      <c r="H10" t="n">
        <v>1</v>
      </c>
    </row>
    <row r="11">
      <c r="A11" t="inlineStr">
        <is>
          <t>2022-2023</t>
        </is>
      </c>
      <c r="B11" t="inlineStr">
        <is>
          <t>2022-04-14</t>
        </is>
      </c>
      <c r="C11" t="inlineStr">
        <is>
          <t>12:29</t>
        </is>
      </c>
      <c r="D11" t="inlineStr">
        <is>
          <t>n° 11 + n° 12 + n° 13 + n° 14 + n° 15 + n° 16</t>
        </is>
      </c>
      <c r="E11" t="inlineStr">
        <is>
          <t>pression</t>
        </is>
      </c>
      <c r="F11" t="n">
        <v>3.9</v>
      </c>
      <c r="G11" t="inlineStr">
        <is>
          <t>n° 11 : 0,50 + n° 12 : 0,50</t>
        </is>
      </c>
      <c r="H11" t="n">
        <v>1</v>
      </c>
    </row>
    <row r="12">
      <c r="A12" t="inlineStr">
        <is>
          <t>2022-2023</t>
        </is>
      </c>
      <c r="B12" t="inlineStr">
        <is>
          <t>2022-04-14</t>
        </is>
      </c>
      <c r="C12" t="inlineStr">
        <is>
          <t>12:29</t>
        </is>
      </c>
      <c r="D12" t="inlineStr">
        <is>
          <t>n° 11 + n° 12 + n° 13 + n° 14 + n° 15 + n° 16</t>
        </is>
      </c>
      <c r="E12" t="inlineStr">
        <is>
          <t>Ratatouille</t>
        </is>
      </c>
      <c r="F12" t="n">
        <v>3.2</v>
      </c>
      <c r="G12" t="inlineStr">
        <is>
          <t>n° 15 : 0,50 + n° 16 : 0,50</t>
        </is>
      </c>
      <c r="H12" t="n">
        <v>1</v>
      </c>
    </row>
    <row r="13">
      <c r="A13" t="inlineStr">
        <is>
          <t>2022-2023</t>
        </is>
      </c>
      <c r="B13" t="inlineStr">
        <is>
          <t>2022-04-14</t>
        </is>
      </c>
      <c r="C13" t="inlineStr">
        <is>
          <t>12:29</t>
        </is>
      </c>
      <c r="D13" t="inlineStr">
        <is>
          <t>n° 11 + n° 12 + n° 13 + n° 14 + n° 15 + n° 16</t>
        </is>
      </c>
      <c r="E13" t="inlineStr">
        <is>
          <t>Galette nature</t>
        </is>
      </c>
      <c r="F13" t="n">
        <v>2.9</v>
      </c>
      <c r="G13" t="inlineStr">
        <is>
          <t>n° 15 : 0,50 + n° 16 : 0,50</t>
        </is>
      </c>
      <c r="H13" t="n">
        <v>1</v>
      </c>
    </row>
    <row r="14">
      <c r="A14" t="inlineStr">
        <is>
          <t>2022-2023</t>
        </is>
      </c>
      <c r="B14" t="inlineStr">
        <is>
          <t>2022-04-14</t>
        </is>
      </c>
      <c r="C14" t="inlineStr">
        <is>
          <t>12:29</t>
        </is>
      </c>
      <c r="D14" t="inlineStr">
        <is>
          <t>n° 11 + n° 12 + n° 13 + n° 14 + n° 15 + n° 16</t>
        </is>
      </c>
      <c r="E14" t="inlineStr">
        <is>
          <t>Expresso</t>
        </is>
      </c>
      <c r="F14" t="n">
        <v>2.2</v>
      </c>
      <c r="G14" t="inlineStr">
        <is>
          <t>n° 13 : 1,00 + n° 14 : 1,00 + n° 15 : 1,50 + n° 16 : 1,50</t>
        </is>
      </c>
      <c r="H14" t="n">
        <v>5</v>
      </c>
    </row>
    <row r="15">
      <c r="A15" t="inlineStr">
        <is>
          <t>2022-2023</t>
        </is>
      </c>
      <c r="B15" t="inlineStr">
        <is>
          <t>2022-04-14</t>
        </is>
      </c>
      <c r="C15" t="inlineStr">
        <is>
          <t>12:29</t>
        </is>
      </c>
      <c r="D15" t="inlineStr">
        <is>
          <t>n° 11 + n° 12 + n° 13 + n° 14 + n° 15 + n° 16</t>
        </is>
      </c>
      <c r="E15" t="inlineStr">
        <is>
          <t>Déca</t>
        </is>
      </c>
      <c r="F15" t="n">
        <v>2.2</v>
      </c>
      <c r="G15" t="inlineStr">
        <is>
          <t>n° 15 : 0,50 + n° 16 : 0,50</t>
        </is>
      </c>
      <c r="H15" t="n">
        <v>1</v>
      </c>
    </row>
    <row r="16">
      <c r="A16" t="inlineStr">
        <is>
          <t>2022-2023</t>
        </is>
      </c>
      <c r="B16" t="inlineStr">
        <is>
          <t>2022-04-14</t>
        </is>
      </c>
      <c r="C16" t="inlineStr">
        <is>
          <t>12:29</t>
        </is>
      </c>
      <c r="D16" t="inlineStr">
        <is>
          <t>n° 11 + n° 12 + n° 13 + n° 14 + n° 15 + n° 16</t>
        </is>
      </c>
      <c r="E16" t="inlineStr">
        <is>
          <t>SAUCE CHOCO/CAFE/CAR</t>
        </is>
      </c>
      <c r="F16" t="n">
        <v>1.8</v>
      </c>
      <c r="G16" t="inlineStr">
        <is>
          <t>n° 11 : 0,50 + n° 12 : 0,50</t>
        </is>
      </c>
      <c r="H16" t="n">
        <v>1</v>
      </c>
    </row>
    <row r="17">
      <c r="A17" t="inlineStr">
        <is>
          <t>2022-2023</t>
        </is>
      </c>
      <c r="B17" t="inlineStr">
        <is>
          <t>2022-04-14</t>
        </is>
      </c>
      <c r="C17" t="inlineStr">
        <is>
          <t>12:29</t>
        </is>
      </c>
      <c r="D17" t="inlineStr">
        <is>
          <t>n° 11 + n° 12 + n° 13 + n° 14 + n° 15 + n° 16</t>
        </is>
      </c>
      <c r="E17" t="inlineStr">
        <is>
          <t>Œuf</t>
        </is>
      </c>
      <c r="F17" t="n">
        <v>0.9</v>
      </c>
      <c r="G17" t="inlineStr">
        <is>
          <t>n° 15 : 0,50 + n° 16 : 0,50</t>
        </is>
      </c>
      <c r="H17" t="n">
        <v>1</v>
      </c>
    </row>
    <row r="18">
      <c r="A18" t="inlineStr">
        <is>
          <t>2022-2023</t>
        </is>
      </c>
      <c r="B18" t="inlineStr">
        <is>
          <t>2022-04-16</t>
        </is>
      </c>
      <c r="C18" t="inlineStr">
        <is>
          <t>20:22</t>
        </is>
      </c>
      <c r="D18" t="inlineStr">
        <is>
          <t>n° 23 + n° 24</t>
        </is>
      </c>
      <c r="E18" t="inlineStr">
        <is>
          <t>Pavlova</t>
        </is>
      </c>
      <c r="F18" t="n">
        <v>8.699999999999999</v>
      </c>
      <c r="G18" t="inlineStr">
        <is>
          <t>n° 23 : 0,50 + n° 24 : 0,50</t>
        </is>
      </c>
      <c r="H18" t="n">
        <v>1</v>
      </c>
    </row>
    <row r="19">
      <c r="A19" t="inlineStr">
        <is>
          <t>2022-2023</t>
        </is>
      </c>
      <c r="B19" t="inlineStr">
        <is>
          <t>2022-04-16</t>
        </is>
      </c>
      <c r="C19" t="inlineStr">
        <is>
          <t>20:22</t>
        </is>
      </c>
      <c r="D19" t="inlineStr">
        <is>
          <t>n° 23 + n° 24</t>
        </is>
      </c>
      <c r="E19" t="inlineStr">
        <is>
          <t>Pinte</t>
        </is>
      </c>
      <c r="F19" t="n">
        <v>7.8</v>
      </c>
      <c r="G19" t="inlineStr">
        <is>
          <t>n° 23 : 0,50 + n° 24 : 0,50</t>
        </is>
      </c>
      <c r="H19" t="n">
        <v>1</v>
      </c>
    </row>
    <row r="20">
      <c r="A20" t="inlineStr">
        <is>
          <t>2022-2023</t>
        </is>
      </c>
      <c r="B20" t="inlineStr">
        <is>
          <t>2022-04-16</t>
        </is>
      </c>
      <c r="C20" t="inlineStr">
        <is>
          <t>20:22</t>
        </is>
      </c>
      <c r="D20" t="inlineStr">
        <is>
          <t>n° 23 + n° 24</t>
        </is>
      </c>
      <c r="E20" t="inlineStr">
        <is>
          <t>Crêpe Marrons</t>
        </is>
      </c>
      <c r="F20" t="n">
        <v>4.7</v>
      </c>
      <c r="G20" t="inlineStr">
        <is>
          <t>n° 23 : 0,50 + n° 24 : 0,50</t>
        </is>
      </c>
      <c r="H20" t="n">
        <v>1</v>
      </c>
    </row>
    <row r="21">
      <c r="A21" t="inlineStr">
        <is>
          <t>2022-2023</t>
        </is>
      </c>
      <c r="B21" t="inlineStr">
        <is>
          <t>2022-04-16</t>
        </is>
      </c>
      <c r="C21" t="inlineStr">
        <is>
          <t>20:22</t>
        </is>
      </c>
      <c r="D21" t="inlineStr">
        <is>
          <t>n° 23 + n° 24</t>
        </is>
      </c>
      <c r="E21" t="inlineStr">
        <is>
          <t>Jus de Fruit</t>
        </is>
      </c>
      <c r="F21" t="n">
        <v>3.9</v>
      </c>
      <c r="G21" t="inlineStr">
        <is>
          <t>n° 23 : 0,50 + n° 24 : 0,50</t>
        </is>
      </c>
      <c r="H21" t="n">
        <v>1</v>
      </c>
    </row>
    <row r="22">
      <c r="A22" t="inlineStr">
        <is>
          <t>2022-2023</t>
        </is>
      </c>
      <c r="B22" t="inlineStr">
        <is>
          <t>2022-04-16</t>
        </is>
      </c>
      <c r="C22" t="inlineStr">
        <is>
          <t>20:22</t>
        </is>
      </c>
      <c r="D22" t="inlineStr">
        <is>
          <t>n° 23 + n° 24</t>
        </is>
      </c>
      <c r="E22" t="inlineStr">
        <is>
          <t>POMMES FRITES</t>
        </is>
      </c>
      <c r="F22" t="n">
        <v>3.9</v>
      </c>
      <c r="G22" t="inlineStr">
        <is>
          <t>n° 23 : 0,50 + n° 24 : 0,50</t>
        </is>
      </c>
      <c r="H22" t="n">
        <v>1</v>
      </c>
    </row>
    <row r="23">
      <c r="A23" t="inlineStr">
        <is>
          <t>2022-2023</t>
        </is>
      </c>
      <c r="B23" t="inlineStr">
        <is>
          <t>2022-04-17</t>
        </is>
      </c>
      <c r="C23" t="inlineStr">
        <is>
          <t>20:28</t>
        </is>
      </c>
      <c r="D23" t="inlineStr">
        <is>
          <t>n° 37 + n° 38 + n° 39 + n° 40</t>
        </is>
      </c>
      <c r="E23" t="inlineStr">
        <is>
          <t>1/2 Arbois Béthanie</t>
        </is>
      </c>
      <c r="F23" t="n">
        <v>19</v>
      </c>
      <c r="G23" t="inlineStr">
        <is>
          <t>n° 39 : 0,50 + n° 40 : 0,50</t>
        </is>
      </c>
      <c r="H23" t="n">
        <v>1</v>
      </c>
    </row>
    <row r="24">
      <c r="A24" t="inlineStr">
        <is>
          <t>2022-2023</t>
        </is>
      </c>
      <c r="B24" t="inlineStr">
        <is>
          <t>2022-04-17</t>
        </is>
      </c>
      <c r="C24" t="inlineStr">
        <is>
          <t>20:28</t>
        </is>
      </c>
      <c r="D24" t="inlineStr">
        <is>
          <t>n° 37 + n° 38 + n° 39 + n° 40</t>
        </is>
      </c>
      <c r="E24" t="inlineStr">
        <is>
          <t>ASSIETTE PERE GREGOI</t>
        </is>
      </c>
      <c r="F24" t="n">
        <v>17.6</v>
      </c>
      <c r="G24" t="inlineStr">
        <is>
          <t>n° 37 : 0,50 + n° 38 : 0,50</t>
        </is>
      </c>
      <c r="H24" t="n">
        <v>1</v>
      </c>
    </row>
    <row r="25">
      <c r="A25" t="inlineStr">
        <is>
          <t>2022-2023</t>
        </is>
      </c>
      <c r="B25" t="inlineStr">
        <is>
          <t>2022-04-17</t>
        </is>
      </c>
      <c r="C25" t="inlineStr">
        <is>
          <t>20:28</t>
        </is>
      </c>
      <c r="D25" t="inlineStr">
        <is>
          <t>n° 37 + n° 38 + n° 39 + n° 40</t>
        </is>
      </c>
      <c r="E25" t="inlineStr">
        <is>
          <t>POULET JURASSIENNE</t>
        </is>
      </c>
      <c r="F25" t="n">
        <v>17.6</v>
      </c>
      <c r="G25" t="inlineStr">
        <is>
          <t>n° 37 : 0,50 + n° 38 : 0,50</t>
        </is>
      </c>
      <c r="H25" t="n">
        <v>1</v>
      </c>
    </row>
    <row r="26">
      <c r="A26" t="inlineStr">
        <is>
          <t>2022-2023</t>
        </is>
      </c>
      <c r="B26" t="inlineStr">
        <is>
          <t>2022-04-17</t>
        </is>
      </c>
      <c r="C26" t="inlineStr">
        <is>
          <t>20:28</t>
        </is>
      </c>
      <c r="D26" t="inlineStr">
        <is>
          <t>n° 37 + n° 38 + n° 39 + n° 40</t>
        </is>
      </c>
      <c r="E26" t="inlineStr">
        <is>
          <t>ASSIETTE FRANC-COMTO</t>
        </is>
      </c>
      <c r="F26" t="n">
        <v>17.6</v>
      </c>
      <c r="G26" t="inlineStr">
        <is>
          <t>n° 37 : 0,50 + n° 38 : 0,50</t>
        </is>
      </c>
      <c r="H26" t="n">
        <v>1</v>
      </c>
    </row>
    <row r="27">
      <c r="A27" t="inlineStr">
        <is>
          <t>2022-2023</t>
        </is>
      </c>
      <c r="B27" t="inlineStr">
        <is>
          <t>2022-04-17</t>
        </is>
      </c>
      <c r="C27" t="inlineStr">
        <is>
          <t>20:28</t>
        </is>
      </c>
      <c r="D27" t="inlineStr">
        <is>
          <t>n° 37 + n° 38 + n° 39 + n° 40</t>
        </is>
      </c>
      <c r="E27" t="inlineStr">
        <is>
          <t>Menu 'Galette'</t>
        </is>
      </c>
      <c r="F27" t="n">
        <v>15.9</v>
      </c>
      <c r="G27" t="inlineStr">
        <is>
          <t>n° 37 : 1,50 + n° 38 : 1,50</t>
        </is>
      </c>
      <c r="H27" t="n">
        <v>3</v>
      </c>
    </row>
    <row r="28">
      <c r="A28" t="inlineStr">
        <is>
          <t>2022-2023</t>
        </is>
      </c>
      <c r="B28" t="inlineStr">
        <is>
          <t>2022-04-17</t>
        </is>
      </c>
      <c r="C28" t="inlineStr">
        <is>
          <t>20:28</t>
        </is>
      </c>
      <c r="D28" t="inlineStr">
        <is>
          <t>n° 37 + n° 38 + n° 39 + n° 40</t>
        </is>
      </c>
      <c r="E28" t="inlineStr">
        <is>
          <t>Normandine</t>
        </is>
      </c>
      <c r="F28" t="n">
        <v>8.699999999999999</v>
      </c>
      <c r="G28" t="inlineStr">
        <is>
          <t>n° 39 : 0,50 + n° 40 : 0,50</t>
        </is>
      </c>
      <c r="H28" t="n">
        <v>1</v>
      </c>
    </row>
    <row r="29">
      <c r="A29" t="inlineStr">
        <is>
          <t>2022-2023</t>
        </is>
      </c>
      <c r="B29" t="inlineStr">
        <is>
          <t>2022-04-17</t>
        </is>
      </c>
      <c r="C29" t="inlineStr">
        <is>
          <t>20:28</t>
        </is>
      </c>
      <c r="D29" t="inlineStr">
        <is>
          <t>n° 37 + n° 38 + n° 39 + n° 40</t>
        </is>
      </c>
      <c r="E29" t="inlineStr">
        <is>
          <t>CREME BRULEE</t>
        </is>
      </c>
      <c r="F29" t="n">
        <v>6.9</v>
      </c>
      <c r="G29" t="inlineStr">
        <is>
          <t>n° 37 : 0,50 + n° 38 : 0,50</t>
        </is>
      </c>
      <c r="H29" t="n">
        <v>1</v>
      </c>
    </row>
    <row r="30">
      <c r="A30" t="inlineStr">
        <is>
          <t>2022-2023</t>
        </is>
      </c>
      <c r="B30" t="inlineStr">
        <is>
          <t>2022-04-17</t>
        </is>
      </c>
      <c r="C30" t="inlineStr">
        <is>
          <t>20:28</t>
        </is>
      </c>
      <c r="D30" t="inlineStr">
        <is>
          <t>n° 37 + n° 38 + n° 39 + n° 40</t>
        </is>
      </c>
      <c r="E30" t="inlineStr">
        <is>
          <t>Baba au Macvin</t>
        </is>
      </c>
      <c r="F30" t="n">
        <v>6.9</v>
      </c>
      <c r="G30" t="inlineStr">
        <is>
          <t>n° 39 : 0,50 + n° 40 : 0,50</t>
        </is>
      </c>
      <c r="H30" t="n">
        <v>1</v>
      </c>
    </row>
    <row r="31">
      <c r="A31" t="inlineStr">
        <is>
          <t>2022-2023</t>
        </is>
      </c>
      <c r="B31" t="inlineStr">
        <is>
          <t>2022-04-17</t>
        </is>
      </c>
      <c r="C31" t="inlineStr">
        <is>
          <t>20:28</t>
        </is>
      </c>
      <c r="D31" t="inlineStr">
        <is>
          <t>n° 37 + n° 38 + n° 39 + n° 40</t>
        </is>
      </c>
      <c r="E31" t="inlineStr">
        <is>
          <t>Ambrée</t>
        </is>
      </c>
      <c r="F31" t="n">
        <v>5.9</v>
      </c>
      <c r="G31" t="inlineStr">
        <is>
          <t>n° 39 : 0,50 + n° 40 : 0,50</t>
        </is>
      </c>
      <c r="H31" t="n">
        <v>1</v>
      </c>
    </row>
    <row r="32">
      <c r="A32" t="inlineStr">
        <is>
          <t>2022-2023</t>
        </is>
      </c>
      <c r="B32" t="inlineStr">
        <is>
          <t>2022-04-17</t>
        </is>
      </c>
      <c r="C32" t="inlineStr">
        <is>
          <t>20:28</t>
        </is>
      </c>
      <c r="D32" t="inlineStr">
        <is>
          <t>n° 37 + n° 38 + n° 39 + n° 40</t>
        </is>
      </c>
      <c r="E32" t="inlineStr">
        <is>
          <t>La Vouivre</t>
        </is>
      </c>
      <c r="F32" t="n">
        <v>5.2</v>
      </c>
      <c r="G32" t="inlineStr">
        <is>
          <t>n° 39 : 0,50 + n° 40 : 0,50</t>
        </is>
      </c>
      <c r="H32" t="n">
        <v>1</v>
      </c>
    </row>
    <row r="33">
      <c r="A33" t="inlineStr">
        <is>
          <t>2022-2023</t>
        </is>
      </c>
      <c r="B33" t="inlineStr">
        <is>
          <t>2022-04-17</t>
        </is>
      </c>
      <c r="C33" t="inlineStr">
        <is>
          <t>20:28</t>
        </is>
      </c>
      <c r="D33" t="inlineStr">
        <is>
          <t>n° 37 + n° 38 + n° 39 + n° 40</t>
        </is>
      </c>
      <c r="E33" t="inlineStr">
        <is>
          <t>cidre la Mordue</t>
        </is>
      </c>
      <c r="F33" t="n">
        <v>4</v>
      </c>
      <c r="G33" t="inlineStr">
        <is>
          <t>n° 37 : 0,50 + n° 38 : 0,50</t>
        </is>
      </c>
      <c r="H33" t="n">
        <v>1</v>
      </c>
    </row>
    <row r="34">
      <c r="A34" t="inlineStr">
        <is>
          <t>2022-2023</t>
        </is>
      </c>
      <c r="B34" t="inlineStr">
        <is>
          <t>2022-04-20</t>
        </is>
      </c>
      <c r="C34" t="inlineStr">
        <is>
          <t>20:34</t>
        </is>
      </c>
      <c r="D34" t="inlineStr">
        <is>
          <t>n° 35 + n° 36</t>
        </is>
      </c>
      <c r="E34" t="inlineStr">
        <is>
          <t>Crémeux du Jura</t>
        </is>
      </c>
      <c r="F34" t="n">
        <v>19</v>
      </c>
      <c r="G34" t="inlineStr">
        <is>
          <t>n° 35 : 0,50 + n° 36 : 0,50</t>
        </is>
      </c>
      <c r="H34" t="n">
        <v>1</v>
      </c>
    </row>
    <row r="35">
      <c r="A35" t="inlineStr">
        <is>
          <t>2022-2023</t>
        </is>
      </c>
      <c r="B35" t="inlineStr">
        <is>
          <t>2022-04-20</t>
        </is>
      </c>
      <c r="C35" t="inlineStr">
        <is>
          <t>20:34</t>
        </is>
      </c>
      <c r="D35" t="inlineStr">
        <is>
          <t>n° 35 + n° 36</t>
        </is>
      </c>
      <c r="E35" t="inlineStr">
        <is>
          <t>ASSIETTE PERE GREGOI</t>
        </is>
      </c>
      <c r="F35" t="n">
        <v>17.6</v>
      </c>
      <c r="G35" t="inlineStr">
        <is>
          <t>n° 35 : 0,50 + n° 36 : 0,50</t>
        </is>
      </c>
      <c r="H35" t="n">
        <v>1</v>
      </c>
    </row>
    <row r="36">
      <c r="A36" t="inlineStr">
        <is>
          <t>2022-2023</t>
        </is>
      </c>
      <c r="B36" t="inlineStr">
        <is>
          <t>2022-04-20</t>
        </is>
      </c>
      <c r="C36" t="inlineStr">
        <is>
          <t>20:34</t>
        </is>
      </c>
      <c r="D36" t="inlineStr">
        <is>
          <t>n° 35 + n° 36</t>
        </is>
      </c>
      <c r="E36" t="inlineStr">
        <is>
          <t>Infusion</t>
        </is>
      </c>
      <c r="F36" t="n">
        <v>3.4</v>
      </c>
      <c r="G36" t="inlineStr">
        <is>
          <t>n° 35 : 0,50 + n° 36 : 0,50</t>
        </is>
      </c>
      <c r="H36" t="n">
        <v>1</v>
      </c>
    </row>
    <row r="37">
      <c r="A37" t="inlineStr">
        <is>
          <t>2022-2023</t>
        </is>
      </c>
      <c r="B37" t="inlineStr">
        <is>
          <t>2022-04-20</t>
        </is>
      </c>
      <c r="C37" t="inlineStr">
        <is>
          <t>20:34</t>
        </is>
      </c>
      <c r="D37" t="inlineStr">
        <is>
          <t>n° 35 + n° 36</t>
        </is>
      </c>
      <c r="E37" t="inlineStr">
        <is>
          <t>GLACE 1 BOULE</t>
        </is>
      </c>
      <c r="F37" t="n">
        <v>2</v>
      </c>
      <c r="G37" t="inlineStr">
        <is>
          <t>n° 35 : 0,50 + n° 36 : 0,50</t>
        </is>
      </c>
      <c r="H37" t="n">
        <v>1</v>
      </c>
    </row>
    <row r="38">
      <c r="A38" t="inlineStr">
        <is>
          <t>2022-2023</t>
        </is>
      </c>
      <c r="B38" t="inlineStr">
        <is>
          <t>2022-04-21</t>
        </is>
      </c>
      <c r="C38" t="inlineStr">
        <is>
          <t>11:22</t>
        </is>
      </c>
      <c r="D38" t="inlineStr">
        <is>
          <t>n° 3 + n° 4</t>
        </is>
      </c>
      <c r="E38" t="inlineStr">
        <is>
          <t>Crémeux du Jura</t>
        </is>
      </c>
      <c r="F38" t="n">
        <v>19</v>
      </c>
      <c r="G38" t="inlineStr">
        <is>
          <t>n° 3 : 0,50 + n° 4 : 0,50</t>
        </is>
      </c>
      <c r="H38" t="n">
        <v>1</v>
      </c>
    </row>
    <row r="39">
      <c r="A39" t="inlineStr">
        <is>
          <t>2022-2023</t>
        </is>
      </c>
      <c r="B39" t="inlineStr">
        <is>
          <t>2022-04-21</t>
        </is>
      </c>
      <c r="C39" t="inlineStr">
        <is>
          <t>11:22</t>
        </is>
      </c>
      <c r="D39" t="inlineStr">
        <is>
          <t>n° 3 + n° 4</t>
        </is>
      </c>
      <c r="E39" t="inlineStr">
        <is>
          <t>POULET JURASSIENNE</t>
        </is>
      </c>
      <c r="F39" t="n">
        <v>17.6</v>
      </c>
      <c r="G39" t="inlineStr">
        <is>
          <t>n° 3 : 0,50 + n° 4 : 0,50</t>
        </is>
      </c>
      <c r="H39" t="n">
        <v>1</v>
      </c>
    </row>
    <row r="40">
      <c r="A40" t="inlineStr">
        <is>
          <t>2022-2023</t>
        </is>
      </c>
      <c r="B40" t="inlineStr">
        <is>
          <t>2022-04-21</t>
        </is>
      </c>
      <c r="C40" t="inlineStr">
        <is>
          <t>11:22</t>
        </is>
      </c>
      <c r="D40" t="inlineStr">
        <is>
          <t>n° 3 + n° 4</t>
        </is>
      </c>
      <c r="E40" t="inlineStr">
        <is>
          <t>Monaco</t>
        </is>
      </c>
      <c r="F40" t="n">
        <v>3.9</v>
      </c>
      <c r="G40" t="inlineStr">
        <is>
          <t>n° 3 : 0,50 + n° 4 : 0,50</t>
        </is>
      </c>
      <c r="H40" t="n">
        <v>1</v>
      </c>
    </row>
    <row r="41">
      <c r="A41" t="inlineStr">
        <is>
          <t>2022-2023</t>
        </is>
      </c>
      <c r="B41" t="inlineStr">
        <is>
          <t>2022-04-21</t>
        </is>
      </c>
      <c r="C41" t="inlineStr">
        <is>
          <t>11:22</t>
        </is>
      </c>
      <c r="D41" t="inlineStr">
        <is>
          <t>n° 3 + n° 4</t>
        </is>
      </c>
      <c r="E41" t="inlineStr">
        <is>
          <t>pression</t>
        </is>
      </c>
      <c r="F41" t="n">
        <v>3.9</v>
      </c>
      <c r="G41" t="inlineStr">
        <is>
          <t>n° 3 : 0,50 + n° 4 : 0,50</t>
        </is>
      </c>
      <c r="H41" t="n">
        <v>1</v>
      </c>
    </row>
    <row r="42">
      <c r="A42" t="inlineStr">
        <is>
          <t>2022-2023</t>
        </is>
      </c>
      <c r="B42" t="inlineStr">
        <is>
          <t>2022-04-22</t>
        </is>
      </c>
      <c r="C42" t="inlineStr">
        <is>
          <t>13:37</t>
        </is>
      </c>
      <c r="D42" t="inlineStr">
        <is>
          <t>n° 15 + n° 16</t>
        </is>
      </c>
      <c r="E42" t="inlineStr">
        <is>
          <t>Menu Franc-Comtois</t>
        </is>
      </c>
      <c r="F42" t="n">
        <v>32</v>
      </c>
      <c r="G42" t="inlineStr">
        <is>
          <t>n° 15 : 0,50 + n° 16 : 0,50</t>
        </is>
      </c>
      <c r="H42" t="n">
        <v>1</v>
      </c>
    </row>
    <row r="43">
      <c r="A43" t="inlineStr">
        <is>
          <t>2022-2023</t>
        </is>
      </c>
      <c r="B43" t="inlineStr">
        <is>
          <t>2022-04-22</t>
        </is>
      </c>
      <c r="C43" t="inlineStr">
        <is>
          <t>13:37</t>
        </is>
      </c>
      <c r="D43" t="inlineStr">
        <is>
          <t>n° 15 + n° 16</t>
        </is>
      </c>
      <c r="E43" t="inlineStr">
        <is>
          <t>Mambo</t>
        </is>
      </c>
      <c r="F43" t="n">
        <v>6.5</v>
      </c>
      <c r="G43" t="inlineStr">
        <is>
          <t>n° 15 : 0,50 + n° 16 : 0,50</t>
        </is>
      </c>
      <c r="H43" t="n">
        <v>1</v>
      </c>
    </row>
    <row r="44">
      <c r="A44" t="inlineStr">
        <is>
          <t>2022-2023</t>
        </is>
      </c>
      <c r="B44" t="inlineStr">
        <is>
          <t>2022-04-22</t>
        </is>
      </c>
      <c r="C44" t="inlineStr">
        <is>
          <t>13:37</t>
        </is>
      </c>
      <c r="D44" t="inlineStr">
        <is>
          <t>n° 15 + n° 16</t>
        </is>
      </c>
      <c r="E44" t="inlineStr">
        <is>
          <t>Luna</t>
        </is>
      </c>
      <c r="F44" t="n">
        <v>6</v>
      </c>
      <c r="G44" t="inlineStr">
        <is>
          <t>n° 15 : 0,50 + n° 16 : 0,50</t>
        </is>
      </c>
      <c r="H44" t="n">
        <v>1</v>
      </c>
    </row>
    <row r="45">
      <c r="A45" t="inlineStr">
        <is>
          <t>2022-2023</t>
        </is>
      </c>
      <c r="B45" t="inlineStr">
        <is>
          <t>2022-04-22</t>
        </is>
      </c>
      <c r="C45" t="inlineStr">
        <is>
          <t>13:37</t>
        </is>
      </c>
      <c r="D45" t="inlineStr">
        <is>
          <t>n° 15 + n° 16</t>
        </is>
      </c>
      <c r="E45" t="inlineStr">
        <is>
          <t>Kir Bourgogne</t>
        </is>
      </c>
      <c r="F45" t="n">
        <v>4.2</v>
      </c>
      <c r="G45" t="inlineStr">
        <is>
          <t>n° 15 : 0,50 + n° 16 : 0,50</t>
        </is>
      </c>
      <c r="H45" t="n">
        <v>1</v>
      </c>
    </row>
    <row r="46">
      <c r="A46" t="inlineStr">
        <is>
          <t>2022-2023</t>
        </is>
      </c>
      <c r="B46" t="inlineStr">
        <is>
          <t>2022-04-22</t>
        </is>
      </c>
      <c r="C46" t="inlineStr">
        <is>
          <t>13:37</t>
        </is>
      </c>
      <c r="D46" t="inlineStr">
        <is>
          <t>n° 15 + n° 16</t>
        </is>
      </c>
      <c r="E46" t="inlineStr">
        <is>
          <t>Verre de vin</t>
        </is>
      </c>
      <c r="F46" t="n">
        <v>3.6</v>
      </c>
      <c r="G46" t="inlineStr">
        <is>
          <t>n° 15 : 0,50 + n° 16 : 0,50</t>
        </is>
      </c>
      <c r="H46" t="n">
        <v>1</v>
      </c>
    </row>
    <row r="47">
      <c r="A47" t="inlineStr">
        <is>
          <t>2022-2023</t>
        </is>
      </c>
      <c r="B47" t="inlineStr">
        <is>
          <t>2022-04-23</t>
        </is>
      </c>
      <c r="C47" t="inlineStr">
        <is>
          <t>20:12</t>
        </is>
      </c>
      <c r="D47" t="inlineStr">
        <is>
          <t>n° 18 + n° 19</t>
        </is>
      </c>
      <c r="E47" t="inlineStr">
        <is>
          <t>TRUITE JURASSIENNE</t>
        </is>
      </c>
      <c r="F47" t="n">
        <v>17.6</v>
      </c>
      <c r="G47" t="inlineStr">
        <is>
          <t>n° 18 : 0,50 + n° 19 : 0,50</t>
        </is>
      </c>
      <c r="H47" t="n">
        <v>1</v>
      </c>
    </row>
    <row r="48">
      <c r="A48" t="inlineStr">
        <is>
          <t>2022-2023</t>
        </is>
      </c>
      <c r="B48" t="inlineStr">
        <is>
          <t>2022-04-23</t>
        </is>
      </c>
      <c r="C48" t="inlineStr">
        <is>
          <t>20:12</t>
        </is>
      </c>
      <c r="D48" t="inlineStr">
        <is>
          <t>n° 18 + n° 19</t>
        </is>
      </c>
      <c r="E48" t="inlineStr">
        <is>
          <t>BARBEULENET</t>
        </is>
      </c>
      <c r="F48" t="n">
        <v>13.9</v>
      </c>
      <c r="G48" t="inlineStr">
        <is>
          <t>n° 18 : 0,50 + n° 19 : 0,50</t>
        </is>
      </c>
      <c r="H48" t="n">
        <v>1</v>
      </c>
    </row>
    <row r="49">
      <c r="A49" t="inlineStr">
        <is>
          <t>2022-2023</t>
        </is>
      </c>
      <c r="B49" t="inlineStr">
        <is>
          <t>2022-04-23</t>
        </is>
      </c>
      <c r="C49" t="inlineStr">
        <is>
          <t>20:12</t>
        </is>
      </c>
      <c r="D49" t="inlineStr">
        <is>
          <t>n° 18 + n° 19</t>
        </is>
      </c>
      <c r="E49" t="inlineStr">
        <is>
          <t>Assortiment charcute</t>
        </is>
      </c>
      <c r="F49" t="n">
        <v>8.800000000000001</v>
      </c>
      <c r="G49" t="inlineStr">
        <is>
          <t>n° 18 : 0,50 + n° 19 : 0,50</t>
        </is>
      </c>
      <c r="H49" t="n">
        <v>1</v>
      </c>
    </row>
    <row r="50">
      <c r="A50" t="inlineStr">
        <is>
          <t>2022-2023</t>
        </is>
      </c>
      <c r="B50" t="inlineStr">
        <is>
          <t>2022-04-23</t>
        </is>
      </c>
      <c r="C50" t="inlineStr">
        <is>
          <t>20:12</t>
        </is>
      </c>
      <c r="D50" t="inlineStr">
        <is>
          <t>n° 18 + n° 19</t>
        </is>
      </c>
      <c r="E50" t="inlineStr">
        <is>
          <t>Crêpe Salidou</t>
        </is>
      </c>
      <c r="F50" t="n">
        <v>5.6</v>
      </c>
      <c r="G50" t="inlineStr">
        <is>
          <t>n° 18 : 0,50 + n° 19 : 0,50</t>
        </is>
      </c>
      <c r="H50" t="n">
        <v>1</v>
      </c>
    </row>
    <row r="51">
      <c r="A51" t="inlineStr">
        <is>
          <t>2022-2023</t>
        </is>
      </c>
      <c r="B51" t="inlineStr">
        <is>
          <t>2022-04-23</t>
        </is>
      </c>
      <c r="C51" t="inlineStr">
        <is>
          <t>20:12</t>
        </is>
      </c>
      <c r="D51" t="inlineStr">
        <is>
          <t>n° 18 + n° 19</t>
        </is>
      </c>
      <c r="E51" t="inlineStr">
        <is>
          <t>La Vouivre</t>
        </is>
      </c>
      <c r="F51" t="n">
        <v>5.2</v>
      </c>
      <c r="G51" t="inlineStr">
        <is>
          <t>n° 18 : 0,50 + n° 19 : 0,50</t>
        </is>
      </c>
      <c r="H51" t="n">
        <v>1</v>
      </c>
    </row>
    <row r="52">
      <c r="A52" t="inlineStr">
        <is>
          <t>2022-2023</t>
        </is>
      </c>
      <c r="B52" t="inlineStr">
        <is>
          <t>2022-04-23</t>
        </is>
      </c>
      <c r="C52" t="inlineStr">
        <is>
          <t>20:12</t>
        </is>
      </c>
      <c r="D52" t="inlineStr">
        <is>
          <t>n° 18 + n° 19</t>
        </is>
      </c>
      <c r="E52" t="inlineStr">
        <is>
          <t>Kir Bourgogne</t>
        </is>
      </c>
      <c r="F52" t="n">
        <v>4.2</v>
      </c>
      <c r="G52" t="inlineStr">
        <is>
          <t>n° 18 : 0,50 + n° 19 : 0,50</t>
        </is>
      </c>
      <c r="H52" t="n">
        <v>1</v>
      </c>
    </row>
    <row r="53">
      <c r="A53" t="inlineStr">
        <is>
          <t>2022-2023</t>
        </is>
      </c>
      <c r="B53" t="inlineStr">
        <is>
          <t>2022-04-29</t>
        </is>
      </c>
      <c r="C53" t="inlineStr">
        <is>
          <t>12:03</t>
        </is>
      </c>
      <c r="D53" t="inlineStr">
        <is>
          <t>n° 4 + n° 5 + n° 6</t>
        </is>
      </c>
      <c r="E53" t="inlineStr">
        <is>
          <t>PAYSANNE</t>
        </is>
      </c>
      <c r="F53" t="n">
        <v>19.9</v>
      </c>
      <c r="G53" t="inlineStr">
        <is>
          <t>n° 4 : 0,33 + n° 5 : 0,34 + n° 6 : 0,33</t>
        </is>
      </c>
      <c r="H53" t="n">
        <v>1</v>
      </c>
    </row>
    <row r="54">
      <c r="A54" t="inlineStr">
        <is>
          <t>2022-2023</t>
        </is>
      </c>
      <c r="B54" t="inlineStr">
        <is>
          <t>2022-04-29</t>
        </is>
      </c>
      <c r="C54" t="inlineStr">
        <is>
          <t>12:03</t>
        </is>
      </c>
      <c r="D54" t="inlineStr">
        <is>
          <t>n° 4 + n° 5 + n° 6</t>
        </is>
      </c>
      <c r="E54" t="inlineStr">
        <is>
          <t>Salade Régionale</t>
        </is>
      </c>
      <c r="F54" t="n">
        <v>19.9</v>
      </c>
      <c r="G54" t="inlineStr">
        <is>
          <t>n° 4 : 0,33 + n° 5 : 0,34 + n° 6 : 0,33</t>
        </is>
      </c>
      <c r="H54" t="n">
        <v>1</v>
      </c>
    </row>
    <row r="55">
      <c r="A55" t="inlineStr">
        <is>
          <t>2022-2023</t>
        </is>
      </c>
      <c r="B55" t="inlineStr">
        <is>
          <t>2022-04-29</t>
        </is>
      </c>
      <c r="C55" t="inlineStr">
        <is>
          <t>12:03</t>
        </is>
      </c>
      <c r="D55" t="inlineStr">
        <is>
          <t>n° 4 + n° 5 + n° 6</t>
        </is>
      </c>
      <c r="E55" t="inlineStr">
        <is>
          <t>CAMEMBERT ROTI</t>
        </is>
      </c>
      <c r="F55" t="n">
        <v>17.6</v>
      </c>
      <c r="G55" t="inlineStr">
        <is>
          <t>n° 4 : 0,33 + n° 5 : 0,34 + n° 6 : 0,33</t>
        </is>
      </c>
      <c r="H55" t="n">
        <v>1</v>
      </c>
    </row>
    <row r="56">
      <c r="A56" t="inlineStr">
        <is>
          <t>2022-2023</t>
        </is>
      </c>
      <c r="B56" t="inlineStr">
        <is>
          <t>2022-04-29</t>
        </is>
      </c>
      <c r="C56" t="inlineStr">
        <is>
          <t>12:03</t>
        </is>
      </c>
      <c r="D56" t="inlineStr">
        <is>
          <t>n° 4 + n° 5 + n° 6</t>
        </is>
      </c>
      <c r="E56" t="inlineStr">
        <is>
          <t>Coca (25cl)</t>
        </is>
      </c>
      <c r="F56" t="n">
        <v>3.9</v>
      </c>
      <c r="G56" t="inlineStr">
        <is>
          <t>n° 4 : 0,33 + n° 5 : 0,34 + n° 6 : 0,33</t>
        </is>
      </c>
      <c r="H56" t="n">
        <v>1</v>
      </c>
    </row>
    <row r="57">
      <c r="A57" t="inlineStr">
        <is>
          <t>2022-2023</t>
        </is>
      </c>
      <c r="B57" t="inlineStr">
        <is>
          <t>2022-04-29</t>
        </is>
      </c>
      <c r="C57" t="inlineStr">
        <is>
          <t>12:03</t>
        </is>
      </c>
      <c r="D57" t="inlineStr">
        <is>
          <t>n° 4 + n° 5 + n° 6</t>
        </is>
      </c>
      <c r="E57" t="inlineStr">
        <is>
          <t>Sirop à l'eau</t>
        </is>
      </c>
      <c r="F57" t="n">
        <v>2.2</v>
      </c>
      <c r="G57" t="inlineStr">
        <is>
          <t>n° 4 : 0,33 + n° 5 : 0,34 + n° 6 : 0,33</t>
        </is>
      </c>
      <c r="H57" t="n">
        <v>1</v>
      </c>
    </row>
    <row r="58">
      <c r="A58" t="inlineStr">
        <is>
          <t>2022-2023</t>
        </is>
      </c>
      <c r="B58" t="inlineStr">
        <is>
          <t>2022-04-29</t>
        </is>
      </c>
      <c r="C58" t="inlineStr">
        <is>
          <t>12:23</t>
        </is>
      </c>
      <c r="D58" t="inlineStr">
        <is>
          <t>n° 9 + n° 10</t>
        </is>
      </c>
      <c r="E58" t="inlineStr">
        <is>
          <t>Entrecôte grillée</t>
        </is>
      </c>
      <c r="F58" t="n">
        <v>19.9</v>
      </c>
      <c r="G58" t="inlineStr">
        <is>
          <t>n° 9 : 0,50 + n° 10 : 0,50</t>
        </is>
      </c>
      <c r="H58" t="n">
        <v>1</v>
      </c>
    </row>
    <row r="59">
      <c r="A59" t="inlineStr">
        <is>
          <t>2022-2023</t>
        </is>
      </c>
      <c r="B59" t="inlineStr">
        <is>
          <t>2022-04-29</t>
        </is>
      </c>
      <c r="C59" t="inlineStr">
        <is>
          <t>12:23</t>
        </is>
      </c>
      <c r="D59" t="inlineStr">
        <is>
          <t>n° 9 + n° 10</t>
        </is>
      </c>
      <c r="E59" t="inlineStr">
        <is>
          <t>BURGER COMTOIS</t>
        </is>
      </c>
      <c r="F59" t="n">
        <v>19</v>
      </c>
      <c r="G59" t="inlineStr">
        <is>
          <t>n° 9 : 0,50 + n° 10 : 0,50</t>
        </is>
      </c>
      <c r="H59" t="n">
        <v>1</v>
      </c>
    </row>
    <row r="60">
      <c r="A60" t="inlineStr">
        <is>
          <t>2022-2023</t>
        </is>
      </c>
      <c r="B60" t="inlineStr">
        <is>
          <t>2022-04-29</t>
        </is>
      </c>
      <c r="C60" t="inlineStr">
        <is>
          <t>12:23</t>
        </is>
      </c>
      <c r="D60" t="inlineStr">
        <is>
          <t>n° 9 + n° 10</t>
        </is>
      </c>
      <c r="E60" t="inlineStr">
        <is>
          <t>CALIN</t>
        </is>
      </c>
      <c r="F60" t="n">
        <v>10.5</v>
      </c>
      <c r="G60" t="inlineStr">
        <is>
          <t>n° 9 : 0,50 + n° 10 : 0,50</t>
        </is>
      </c>
      <c r="H60" t="n">
        <v>1</v>
      </c>
    </row>
    <row r="61">
      <c r="A61" t="inlineStr">
        <is>
          <t>2022-2023</t>
        </is>
      </c>
      <c r="B61" t="inlineStr">
        <is>
          <t>2022-04-29</t>
        </is>
      </c>
      <c r="C61" t="inlineStr">
        <is>
          <t>12:23</t>
        </is>
      </c>
      <c r="D61" t="inlineStr">
        <is>
          <t>n° 9 + n° 10</t>
        </is>
      </c>
      <c r="E61" t="inlineStr">
        <is>
          <t>Coca (25cl)</t>
        </is>
      </c>
      <c r="F61" t="n">
        <v>3.9</v>
      </c>
      <c r="G61" t="inlineStr">
        <is>
          <t>n° 9 : 0,50 + n° 10 : 0,50</t>
        </is>
      </c>
      <c r="H61" t="n">
        <v>1</v>
      </c>
    </row>
    <row r="62">
      <c r="A62" t="inlineStr">
        <is>
          <t>2022-2023</t>
        </is>
      </c>
      <c r="B62" t="inlineStr">
        <is>
          <t>2022-04-29</t>
        </is>
      </c>
      <c r="C62" t="inlineStr">
        <is>
          <t>12:23</t>
        </is>
      </c>
      <c r="D62" t="inlineStr">
        <is>
          <t>n° 9 + n° 10</t>
        </is>
      </c>
      <c r="E62" t="inlineStr">
        <is>
          <t>Limonade (25cl)</t>
        </is>
      </c>
      <c r="F62" t="n">
        <v>3.9</v>
      </c>
      <c r="G62" t="inlineStr">
        <is>
          <t>n° 9 : 0,50 + n° 10 : 0,50</t>
        </is>
      </c>
      <c r="H62" t="n">
        <v>1</v>
      </c>
    </row>
    <row r="63">
      <c r="A63" t="inlineStr">
        <is>
          <t>2022-2023</t>
        </is>
      </c>
      <c r="B63" t="inlineStr">
        <is>
          <t>2022-04-29</t>
        </is>
      </c>
      <c r="C63" t="inlineStr">
        <is>
          <t>12:23</t>
        </is>
      </c>
      <c r="D63" t="inlineStr">
        <is>
          <t>n° 9 + n° 10</t>
        </is>
      </c>
      <c r="E63" t="inlineStr">
        <is>
          <t>GLACE 2 BOULES</t>
        </is>
      </c>
      <c r="F63" t="n">
        <v>3.9</v>
      </c>
      <c r="G63" t="inlineStr">
        <is>
          <t>n° 9 : 0,50 + n° 10 : 0,50</t>
        </is>
      </c>
      <c r="H63" t="n">
        <v>1</v>
      </c>
    </row>
    <row r="64">
      <c r="A64" t="inlineStr">
        <is>
          <t>2022-2023</t>
        </is>
      </c>
      <c r="B64" t="inlineStr">
        <is>
          <t>2022-04-29</t>
        </is>
      </c>
      <c r="C64" t="inlineStr">
        <is>
          <t>20:32</t>
        </is>
      </c>
      <c r="D64" t="inlineStr">
        <is>
          <t>n° 30 + n° 31</t>
        </is>
      </c>
      <c r="E64" t="inlineStr">
        <is>
          <t>POULET JURASSIENNE</t>
        </is>
      </c>
      <c r="F64" t="n">
        <v>17.6</v>
      </c>
      <c r="G64" t="inlineStr">
        <is>
          <t>n° 30 : 0,50 + n° 31 : 0,50</t>
        </is>
      </c>
      <c r="H64" t="n">
        <v>1</v>
      </c>
    </row>
    <row r="65">
      <c r="A65" t="inlineStr">
        <is>
          <t>2022-2023</t>
        </is>
      </c>
      <c r="B65" t="inlineStr">
        <is>
          <t>2022-04-29</t>
        </is>
      </c>
      <c r="C65" t="inlineStr">
        <is>
          <t>20:32</t>
        </is>
      </c>
      <c r="D65" t="inlineStr">
        <is>
          <t>n° 30 + n° 31</t>
        </is>
      </c>
      <c r="E65" t="inlineStr">
        <is>
          <t>Croûtes Morilles</t>
        </is>
      </c>
      <c r="F65" t="n">
        <v>16.9</v>
      </c>
      <c r="G65" t="inlineStr">
        <is>
          <t>n° 30 : 0,50 + n° 31 : 0,50</t>
        </is>
      </c>
      <c r="H65" t="n">
        <v>1</v>
      </c>
    </row>
    <row r="66">
      <c r="A66" t="inlineStr">
        <is>
          <t>2022-2023</t>
        </is>
      </c>
      <c r="B66" t="inlineStr">
        <is>
          <t>2022-04-29</t>
        </is>
      </c>
      <c r="C66" t="inlineStr">
        <is>
          <t>20:32</t>
        </is>
      </c>
      <c r="D66" t="inlineStr">
        <is>
          <t>n° 30 + n° 31</t>
        </is>
      </c>
      <c r="E66" t="inlineStr">
        <is>
          <t>LIGOUSE</t>
        </is>
      </c>
      <c r="F66" t="n">
        <v>15.6</v>
      </c>
      <c r="G66" t="inlineStr">
        <is>
          <t>n° 30 : 0,50 + n° 31 : 0,50</t>
        </is>
      </c>
      <c r="H66" t="n">
        <v>1</v>
      </c>
    </row>
    <row r="67">
      <c r="A67" t="inlineStr">
        <is>
          <t>2022-2023</t>
        </is>
      </c>
      <c r="B67" t="inlineStr">
        <is>
          <t>2022-04-29</t>
        </is>
      </c>
      <c r="C67" t="inlineStr">
        <is>
          <t>20:32</t>
        </is>
      </c>
      <c r="D67" t="inlineStr">
        <is>
          <t>n° 30 + n° 31</t>
        </is>
      </c>
      <c r="E67" t="inlineStr">
        <is>
          <t>Pichet 50cl vin</t>
        </is>
      </c>
      <c r="F67" t="n">
        <v>9.800000000000001</v>
      </c>
      <c r="G67" t="inlineStr">
        <is>
          <t>n° 30 : 0,50 + n° 31 : 0,50</t>
        </is>
      </c>
      <c r="H67" t="n">
        <v>1</v>
      </c>
    </row>
    <row r="68">
      <c r="A68" t="inlineStr">
        <is>
          <t>2022-2023</t>
        </is>
      </c>
      <c r="B68" t="inlineStr">
        <is>
          <t>2022-04-29</t>
        </is>
      </c>
      <c r="C68" t="inlineStr">
        <is>
          <t>20:32</t>
        </is>
      </c>
      <c r="D68" t="inlineStr">
        <is>
          <t>n° 30 + n° 31</t>
        </is>
      </c>
      <c r="E68" t="inlineStr">
        <is>
          <t>Salade Franc-Comptoi</t>
        </is>
      </c>
      <c r="F68" t="n">
        <v>8.9</v>
      </c>
      <c r="G68" t="inlineStr">
        <is>
          <t>n° 30 : 0,50 + n° 31 : 0,50</t>
        </is>
      </c>
      <c r="H68" t="n">
        <v>1</v>
      </c>
    </row>
    <row r="69">
      <c r="A69" t="inlineStr">
        <is>
          <t>2022-2023</t>
        </is>
      </c>
      <c r="B69" t="inlineStr">
        <is>
          <t>2022-04-29</t>
        </is>
      </c>
      <c r="C69" t="inlineStr">
        <is>
          <t>20:32</t>
        </is>
      </c>
      <c r="D69" t="inlineStr">
        <is>
          <t>n° 30 + n° 31</t>
        </is>
      </c>
      <c r="E69" t="inlineStr">
        <is>
          <t>La Vouivre</t>
        </is>
      </c>
      <c r="F69" t="n">
        <v>5.2</v>
      </c>
      <c r="G69" t="inlineStr">
        <is>
          <t>n° 30 : 0,50 + n° 31 : 0,50</t>
        </is>
      </c>
      <c r="H69" t="n">
        <v>1</v>
      </c>
    </row>
    <row r="70">
      <c r="A70" t="inlineStr">
        <is>
          <t>2022-2023</t>
        </is>
      </c>
      <c r="B70" t="inlineStr">
        <is>
          <t>2022-04-29</t>
        </is>
      </c>
      <c r="C70" t="inlineStr">
        <is>
          <t>20:32</t>
        </is>
      </c>
      <c r="D70" t="inlineStr">
        <is>
          <t>n° 30 + n° 31</t>
        </is>
      </c>
      <c r="E70" t="inlineStr">
        <is>
          <t>Martini Blanc</t>
        </is>
      </c>
      <c r="F70" t="n">
        <v>4.2</v>
      </c>
      <c r="G70" t="inlineStr">
        <is>
          <t>n° 30 : 0,50 + n° 31 : 0,50</t>
        </is>
      </c>
      <c r="H70" t="n">
        <v>1</v>
      </c>
    </row>
    <row r="71">
      <c r="A71" t="inlineStr">
        <is>
          <t>2022-2023</t>
        </is>
      </c>
      <c r="B71" t="inlineStr">
        <is>
          <t>2022-05-05</t>
        </is>
      </c>
      <c r="C71" t="inlineStr">
        <is>
          <t>12:16</t>
        </is>
      </c>
      <c r="D71" t="inlineStr">
        <is>
          <t>n° 2 + n° 3</t>
        </is>
      </c>
      <c r="E71" t="inlineStr">
        <is>
          <t>Arbois Trousseau Bou</t>
        </is>
      </c>
      <c r="F71" t="n">
        <v>32</v>
      </c>
      <c r="G71" t="inlineStr">
        <is>
          <t>n° 2 : 0,50 + n° 3 : 0,50</t>
        </is>
      </c>
      <c r="H71" t="n">
        <v>1</v>
      </c>
    </row>
    <row r="72">
      <c r="A72" t="inlineStr">
        <is>
          <t>2022-2023</t>
        </is>
      </c>
      <c r="B72" t="inlineStr">
        <is>
          <t>2022-05-05</t>
        </is>
      </c>
      <c r="C72" t="inlineStr">
        <is>
          <t>12:16</t>
        </is>
      </c>
      <c r="D72" t="inlineStr">
        <is>
          <t>n° 2 + n° 3</t>
        </is>
      </c>
      <c r="E72" t="inlineStr">
        <is>
          <t>San Pelegrino</t>
        </is>
      </c>
      <c r="F72" t="n">
        <v>5.9</v>
      </c>
      <c r="G72" t="inlineStr">
        <is>
          <t>n° 2 : 0,50 + n° 3 : 0,50</t>
        </is>
      </c>
      <c r="H72" t="n">
        <v>1</v>
      </c>
    </row>
    <row r="73">
      <c r="A73" t="inlineStr">
        <is>
          <t>2022-2023</t>
        </is>
      </c>
      <c r="B73" t="inlineStr">
        <is>
          <t>2022-05-05</t>
        </is>
      </c>
      <c r="C73" t="inlineStr">
        <is>
          <t>12:16</t>
        </is>
      </c>
      <c r="D73" t="inlineStr">
        <is>
          <t>n° 2 + n° 3</t>
        </is>
      </c>
      <c r="E73" t="inlineStr">
        <is>
          <t>pression</t>
        </is>
      </c>
      <c r="F73" t="n">
        <v>3.9</v>
      </c>
      <c r="G73" t="inlineStr">
        <is>
          <t>n° 2 : 0,50 + n° 3 : 0,50</t>
        </is>
      </c>
      <c r="H73" t="n">
        <v>1</v>
      </c>
    </row>
    <row r="74">
      <c r="A74" t="inlineStr">
        <is>
          <t>2022-2023</t>
        </is>
      </c>
      <c r="B74" t="inlineStr">
        <is>
          <t>2022-05-05</t>
        </is>
      </c>
      <c r="C74" t="inlineStr">
        <is>
          <t>12:16</t>
        </is>
      </c>
      <c r="D74" t="inlineStr">
        <is>
          <t>n° 2 + n° 3</t>
        </is>
      </c>
      <c r="E74" t="inlineStr">
        <is>
          <t>Thé</t>
        </is>
      </c>
      <c r="F74" t="n">
        <v>3.4</v>
      </c>
      <c r="G74" t="inlineStr">
        <is>
          <t>n° 2 : 0,50 + n° 3 : 0,50</t>
        </is>
      </c>
      <c r="H74" t="n">
        <v>1</v>
      </c>
    </row>
    <row r="75">
      <c r="A75" t="inlineStr">
        <is>
          <t>2022-2023</t>
        </is>
      </c>
      <c r="B75" t="inlineStr">
        <is>
          <t>2022-05-05</t>
        </is>
      </c>
      <c r="C75" t="inlineStr">
        <is>
          <t>12:16</t>
        </is>
      </c>
      <c r="D75" t="inlineStr">
        <is>
          <t>n° 2 + n° 3</t>
        </is>
      </c>
      <c r="E75" t="inlineStr">
        <is>
          <t>Expresso</t>
        </is>
      </c>
      <c r="F75" t="n">
        <v>2.2</v>
      </c>
      <c r="G75" t="inlineStr">
        <is>
          <t>n° 2 : 1,50 + n° 3 : 1,50</t>
        </is>
      </c>
      <c r="H75" t="n">
        <v>3</v>
      </c>
    </row>
    <row r="76">
      <c r="A76" t="inlineStr">
        <is>
          <t>2022-2023</t>
        </is>
      </c>
      <c r="B76" t="inlineStr">
        <is>
          <t>2022-05-06</t>
        </is>
      </c>
      <c r="C76" t="inlineStr">
        <is>
          <t>12:15</t>
        </is>
      </c>
      <c r="D76" t="inlineStr">
        <is>
          <t>n° 10 + n° 11</t>
        </is>
      </c>
      <c r="E76" t="inlineStr">
        <is>
          <t>ASSIETTE PERE GREGOI</t>
        </is>
      </c>
      <c r="F76" t="n">
        <v>17.6</v>
      </c>
      <c r="G76" t="inlineStr">
        <is>
          <t>n° 10 : 0,50 + n° 11 : 0,50</t>
        </is>
      </c>
      <c r="H76" t="n">
        <v>1</v>
      </c>
    </row>
    <row r="77">
      <c r="A77" t="inlineStr">
        <is>
          <t>2022-2023</t>
        </is>
      </c>
      <c r="B77" t="inlineStr">
        <is>
          <t>2022-05-06</t>
        </is>
      </c>
      <c r="C77" t="inlineStr">
        <is>
          <t>12:15</t>
        </is>
      </c>
      <c r="D77" t="inlineStr">
        <is>
          <t>n° 10 + n° 11</t>
        </is>
      </c>
      <c r="E77" t="inlineStr">
        <is>
          <t>Croûtes Morilles</t>
        </is>
      </c>
      <c r="F77" t="n">
        <v>16.9</v>
      </c>
      <c r="G77" t="inlineStr">
        <is>
          <t>n° 10 : 0,50 + n° 11 : 0,50</t>
        </is>
      </c>
      <c r="H77" t="n">
        <v>1</v>
      </c>
    </row>
    <row r="78">
      <c r="A78" t="inlineStr">
        <is>
          <t>2022-2023</t>
        </is>
      </c>
      <c r="B78" t="inlineStr">
        <is>
          <t>2022-05-06</t>
        </is>
      </c>
      <c r="C78" t="inlineStr">
        <is>
          <t>12:15</t>
        </is>
      </c>
      <c r="D78" t="inlineStr">
        <is>
          <t>n° 10 + n° 11</t>
        </is>
      </c>
      <c r="E78" t="inlineStr">
        <is>
          <t>Salade Verte aux Noi</t>
        </is>
      </c>
      <c r="F78" t="n">
        <v>5.9</v>
      </c>
      <c r="G78" t="inlineStr">
        <is>
          <t>n° 10 : 0,50 + n° 11 : 0,50</t>
        </is>
      </c>
      <c r="H78" t="n">
        <v>1</v>
      </c>
    </row>
    <row r="79">
      <c r="A79" t="inlineStr">
        <is>
          <t>2022-2023</t>
        </is>
      </c>
      <c r="B79" t="inlineStr">
        <is>
          <t>2022-05-06</t>
        </is>
      </c>
      <c r="C79" t="inlineStr">
        <is>
          <t>19:11</t>
        </is>
      </c>
      <c r="D79" t="inlineStr">
        <is>
          <t>n° 25 + n° 26</t>
        </is>
      </c>
      <c r="E79" t="inlineStr">
        <is>
          <t>CAMEMBERT ROTI</t>
        </is>
      </c>
      <c r="F79" t="n">
        <v>17.6</v>
      </c>
      <c r="G79" t="inlineStr">
        <is>
          <t>n° 25 : 0,50 + n° 26 : 0,50</t>
        </is>
      </c>
      <c r="H79" t="n">
        <v>1</v>
      </c>
    </row>
    <row r="80">
      <c r="A80" t="inlineStr">
        <is>
          <t>2022-2023</t>
        </is>
      </c>
      <c r="B80" t="inlineStr">
        <is>
          <t>2022-05-06</t>
        </is>
      </c>
      <c r="C80" t="inlineStr">
        <is>
          <t>19:11</t>
        </is>
      </c>
      <c r="D80" t="inlineStr">
        <is>
          <t>n° 25 + n° 26</t>
        </is>
      </c>
      <c r="E80" t="inlineStr">
        <is>
          <t>Croûtes Morilles</t>
        </is>
      </c>
      <c r="F80" t="n">
        <v>16.9</v>
      </c>
      <c r="G80" t="inlineStr">
        <is>
          <t>n° 25 : 0,50 + n° 26 : 0,50</t>
        </is>
      </c>
      <c r="H80" t="n">
        <v>1</v>
      </c>
    </row>
    <row r="81">
      <c r="A81" t="inlineStr">
        <is>
          <t>2022-2023</t>
        </is>
      </c>
      <c r="B81" t="inlineStr">
        <is>
          <t>2022-05-06</t>
        </is>
      </c>
      <c r="C81" t="inlineStr">
        <is>
          <t>19:11</t>
        </is>
      </c>
      <c r="D81" t="inlineStr">
        <is>
          <t>n° 25 + n° 26</t>
        </is>
      </c>
      <c r="E81" t="inlineStr">
        <is>
          <t>CREPE CHOC/CHANTILLY</t>
        </is>
      </c>
      <c r="F81" t="n">
        <v>6.5</v>
      </c>
      <c r="G81" t="inlineStr">
        <is>
          <t>n° 25 : 0,50 + n° 26 : 0,50</t>
        </is>
      </c>
      <c r="H81" t="n">
        <v>1</v>
      </c>
    </row>
    <row r="82">
      <c r="A82" t="inlineStr">
        <is>
          <t>2022-2023</t>
        </is>
      </c>
      <c r="B82" t="inlineStr">
        <is>
          <t>2022-05-06</t>
        </is>
      </c>
      <c r="C82" t="inlineStr">
        <is>
          <t>19:11</t>
        </is>
      </c>
      <c r="D82" t="inlineStr">
        <is>
          <t>n° 25 + n° 26</t>
        </is>
      </c>
      <c r="E82" t="inlineStr">
        <is>
          <t>POMMES FRITES</t>
        </is>
      </c>
      <c r="F82" t="n">
        <v>3.9</v>
      </c>
      <c r="G82" t="inlineStr">
        <is>
          <t>n° 25 : 0,50 + n° 26 : 0,50</t>
        </is>
      </c>
      <c r="H82" t="n">
        <v>1</v>
      </c>
    </row>
    <row r="83">
      <c r="A83" t="inlineStr">
        <is>
          <t>2022-2023</t>
        </is>
      </c>
      <c r="B83" t="inlineStr">
        <is>
          <t>2022-05-06</t>
        </is>
      </c>
      <c r="C83" t="inlineStr">
        <is>
          <t>19:11</t>
        </is>
      </c>
      <c r="D83" t="inlineStr">
        <is>
          <t>n° 25 + n° 26</t>
        </is>
      </c>
      <c r="E83" t="inlineStr">
        <is>
          <t>Crêpe sucrée</t>
        </is>
      </c>
      <c r="F83" t="n">
        <v>2.9</v>
      </c>
      <c r="G83" t="inlineStr">
        <is>
          <t>n° 25 : 0,50 + n° 26 : 0,50</t>
        </is>
      </c>
      <c r="H83" t="n">
        <v>1</v>
      </c>
    </row>
    <row r="84">
      <c r="A84" t="inlineStr">
        <is>
          <t>2022-2023</t>
        </is>
      </c>
      <c r="B84" t="inlineStr">
        <is>
          <t>2022-05-06</t>
        </is>
      </c>
      <c r="C84" t="inlineStr">
        <is>
          <t>19:11</t>
        </is>
      </c>
      <c r="D84" t="inlineStr">
        <is>
          <t>n° 25 + n° 26</t>
        </is>
      </c>
      <c r="E84" t="inlineStr">
        <is>
          <t>Crême de marrons</t>
        </is>
      </c>
      <c r="F84" t="n">
        <v>1.8</v>
      </c>
      <c r="G84" t="inlineStr">
        <is>
          <t>n° 25 : 0,50 + n° 26 : 0,50</t>
        </is>
      </c>
      <c r="H84" t="n">
        <v>1</v>
      </c>
    </row>
    <row r="85">
      <c r="A85" t="inlineStr">
        <is>
          <t>2022-2023</t>
        </is>
      </c>
      <c r="B85" t="inlineStr">
        <is>
          <t>2022-05-06</t>
        </is>
      </c>
      <c r="C85" t="inlineStr">
        <is>
          <t>20:19</t>
        </is>
      </c>
      <c r="D85" t="inlineStr">
        <is>
          <t>n° 33 + n° 34</t>
        </is>
      </c>
      <c r="E85" t="inlineStr">
        <is>
          <t>Crêpe Nutella</t>
        </is>
      </c>
      <c r="F85" t="n">
        <v>4.7</v>
      </c>
      <c r="G85" t="inlineStr">
        <is>
          <t>n° 33 : 0,50 + n° 34 : 0,50</t>
        </is>
      </c>
      <c r="H85" t="n">
        <v>1</v>
      </c>
    </row>
    <row r="86">
      <c r="A86" t="inlineStr">
        <is>
          <t>2022-2023</t>
        </is>
      </c>
      <c r="B86" t="inlineStr">
        <is>
          <t>2022-05-06</t>
        </is>
      </c>
      <c r="C86" t="inlineStr">
        <is>
          <t>20:19</t>
        </is>
      </c>
      <c r="D86" t="inlineStr">
        <is>
          <t>n° 33 + n° 34</t>
        </is>
      </c>
      <c r="E86" t="inlineStr">
        <is>
          <t>Crepe Chocolat</t>
        </is>
      </c>
      <c r="F86" t="n">
        <v>4.7</v>
      </c>
      <c r="G86" t="inlineStr">
        <is>
          <t>n° 33 : 0,50 + n° 34 : 0,50</t>
        </is>
      </c>
      <c r="H86" t="n">
        <v>1</v>
      </c>
    </row>
    <row r="87">
      <c r="A87" t="inlineStr">
        <is>
          <t>2022-2023</t>
        </is>
      </c>
      <c r="B87" t="inlineStr">
        <is>
          <t>2022-05-07</t>
        </is>
      </c>
      <c r="C87" t="inlineStr">
        <is>
          <t>18:39</t>
        </is>
      </c>
      <c r="D87" t="inlineStr">
        <is>
          <t>n° 12 + n° 13</t>
        </is>
      </c>
      <c r="E87" t="inlineStr">
        <is>
          <t>Poulet aux Morilles</t>
        </is>
      </c>
      <c r="F87" t="n">
        <v>28.6</v>
      </c>
      <c r="G87" t="inlineStr">
        <is>
          <t>n° 12 : 0,50 + n° 13 : 0,50</t>
        </is>
      </c>
      <c r="H87" t="n">
        <v>1</v>
      </c>
    </row>
    <row r="88">
      <c r="A88" t="inlineStr">
        <is>
          <t>2022-2023</t>
        </is>
      </c>
      <c r="B88" t="inlineStr">
        <is>
          <t>2022-05-07</t>
        </is>
      </c>
      <c r="C88" t="inlineStr">
        <is>
          <t>18:39</t>
        </is>
      </c>
      <c r="D88" t="inlineStr">
        <is>
          <t>n° 12 + n° 13</t>
        </is>
      </c>
      <c r="E88" t="inlineStr">
        <is>
          <t>TRUITE JURASSIENNE</t>
        </is>
      </c>
      <c r="F88" t="n">
        <v>17.6</v>
      </c>
      <c r="G88" t="inlineStr">
        <is>
          <t>n° 12 : 0,50 + n° 13 : 0,50</t>
        </is>
      </c>
      <c r="H88" t="n">
        <v>1</v>
      </c>
    </row>
    <row r="89">
      <c r="A89" t="inlineStr">
        <is>
          <t>2022-2023</t>
        </is>
      </c>
      <c r="B89" t="inlineStr">
        <is>
          <t>2022-05-07</t>
        </is>
      </c>
      <c r="C89" t="inlineStr">
        <is>
          <t>18:39</t>
        </is>
      </c>
      <c r="D89" t="inlineStr">
        <is>
          <t>n° 12 + n° 13</t>
        </is>
      </c>
      <c r="E89" t="inlineStr">
        <is>
          <t>TANTE ARIE</t>
        </is>
      </c>
      <c r="F89" t="n">
        <v>8.5</v>
      </c>
      <c r="G89" t="inlineStr">
        <is>
          <t>n° 12 : 0,50 + n° 13 : 0,50</t>
        </is>
      </c>
      <c r="H89" t="n">
        <v>1</v>
      </c>
    </row>
    <row r="90">
      <c r="A90" t="inlineStr">
        <is>
          <t>2022-2023</t>
        </is>
      </c>
      <c r="B90" t="inlineStr">
        <is>
          <t>2022-05-07</t>
        </is>
      </c>
      <c r="C90" t="inlineStr">
        <is>
          <t>18:39</t>
        </is>
      </c>
      <c r="D90" t="inlineStr">
        <is>
          <t>n° 12 + n° 13</t>
        </is>
      </c>
      <c r="E90" t="inlineStr">
        <is>
          <t>Luna</t>
        </is>
      </c>
      <c r="F90" t="n">
        <v>6</v>
      </c>
      <c r="G90" t="inlineStr">
        <is>
          <t>n° 12 : 0,50 + n° 13 : 0,50</t>
        </is>
      </c>
      <c r="H90" t="n">
        <v>1</v>
      </c>
    </row>
    <row r="91">
      <c r="A91" t="inlineStr">
        <is>
          <t>2022-2023</t>
        </is>
      </c>
      <c r="B91" t="inlineStr">
        <is>
          <t>2022-05-07</t>
        </is>
      </c>
      <c r="C91" t="inlineStr">
        <is>
          <t>18:39</t>
        </is>
      </c>
      <c r="D91" t="inlineStr">
        <is>
          <t>n° 12 + n° 13</t>
        </is>
      </c>
      <c r="E91" t="inlineStr">
        <is>
          <t>Ambrée</t>
        </is>
      </c>
      <c r="F91" t="n">
        <v>5.9</v>
      </c>
      <c r="G91" t="inlineStr">
        <is>
          <t>n° 12 : 0,50 + n° 13 : 0,50</t>
        </is>
      </c>
      <c r="H91" t="n">
        <v>1</v>
      </c>
    </row>
    <row r="92">
      <c r="A92" t="inlineStr">
        <is>
          <t>2022-2023</t>
        </is>
      </c>
      <c r="B92" t="inlineStr">
        <is>
          <t>2022-05-07</t>
        </is>
      </c>
      <c r="C92" t="inlineStr">
        <is>
          <t>18:39</t>
        </is>
      </c>
      <c r="D92" t="inlineStr">
        <is>
          <t>n° 12 + n° 13</t>
        </is>
      </c>
      <c r="E92" t="inlineStr">
        <is>
          <t>Crêpe sucrée</t>
        </is>
      </c>
      <c r="F92" t="n">
        <v>2.9</v>
      </c>
      <c r="G92" t="inlineStr">
        <is>
          <t>n° 12 : 0,50 + n° 13 : 0,50</t>
        </is>
      </c>
      <c r="H92" t="n">
        <v>1</v>
      </c>
    </row>
    <row r="93">
      <c r="A93" t="inlineStr">
        <is>
          <t>2022-2023</t>
        </is>
      </c>
      <c r="B93" t="inlineStr">
        <is>
          <t>2022-05-07</t>
        </is>
      </c>
      <c r="C93" t="inlineStr">
        <is>
          <t>21:21</t>
        </is>
      </c>
      <c r="D93" t="inlineStr">
        <is>
          <t>n° 20 + n° 21</t>
        </is>
      </c>
      <c r="E93" t="inlineStr">
        <is>
          <t>Arbois Trousseau Bou</t>
        </is>
      </c>
      <c r="F93" t="n">
        <v>32</v>
      </c>
      <c r="G93" t="inlineStr">
        <is>
          <t>n° 20 : 0,50 + n° 21 : 0,50</t>
        </is>
      </c>
      <c r="H93" t="n">
        <v>1</v>
      </c>
    </row>
    <row r="94">
      <c r="A94" t="inlineStr">
        <is>
          <t>2022-2023</t>
        </is>
      </c>
      <c r="B94" t="inlineStr">
        <is>
          <t>2022-05-07</t>
        </is>
      </c>
      <c r="C94" t="inlineStr">
        <is>
          <t>21:40</t>
        </is>
      </c>
      <c r="D94" t="inlineStr">
        <is>
          <t>n° 25 + n° 26</t>
        </is>
      </c>
      <c r="E94" t="inlineStr">
        <is>
          <t>Menu Franc-Comtois</t>
        </is>
      </c>
      <c r="F94" t="n">
        <v>32</v>
      </c>
      <c r="G94" t="inlineStr">
        <is>
          <t>n° 25 : 0,50 + n° 26 : 0,50</t>
        </is>
      </c>
      <c r="H94" t="n">
        <v>1</v>
      </c>
    </row>
    <row r="95">
      <c r="A95" t="inlineStr">
        <is>
          <t>2022-2023</t>
        </is>
      </c>
      <c r="B95" t="inlineStr">
        <is>
          <t>2022-05-07</t>
        </is>
      </c>
      <c r="C95" t="inlineStr">
        <is>
          <t>21:40</t>
        </is>
      </c>
      <c r="D95" t="inlineStr">
        <is>
          <t>n° 25 + n° 26</t>
        </is>
      </c>
      <c r="E95" t="inlineStr">
        <is>
          <t>FRELEE</t>
        </is>
      </c>
      <c r="F95" t="n">
        <v>18.6</v>
      </c>
      <c r="G95" t="inlineStr">
        <is>
          <t>n° 25 : 0,50 + n° 26 : 0,50</t>
        </is>
      </c>
      <c r="H95" t="n">
        <v>1</v>
      </c>
    </row>
    <row r="96">
      <c r="A96" t="inlineStr">
        <is>
          <t>2022-2023</t>
        </is>
      </c>
      <c r="B96" t="inlineStr">
        <is>
          <t>2022-05-07</t>
        </is>
      </c>
      <c r="C96" t="inlineStr">
        <is>
          <t>21:40</t>
        </is>
      </c>
      <c r="D96" t="inlineStr">
        <is>
          <t>n° 25 + n° 26</t>
        </is>
      </c>
      <c r="E96" t="inlineStr">
        <is>
          <t>POULET JURASSIENNE</t>
        </is>
      </c>
      <c r="F96" t="n">
        <v>17.6</v>
      </c>
      <c r="G96" t="inlineStr">
        <is>
          <t>n° 25 : 0,50 + n° 26 : 0,50</t>
        </is>
      </c>
      <c r="H96" t="n">
        <v>1</v>
      </c>
    </row>
    <row r="97">
      <c r="A97" t="inlineStr">
        <is>
          <t>2022-2023</t>
        </is>
      </c>
      <c r="B97" t="inlineStr">
        <is>
          <t>2022-05-07</t>
        </is>
      </c>
      <c r="C97" t="inlineStr">
        <is>
          <t>21:40</t>
        </is>
      </c>
      <c r="D97" t="inlineStr">
        <is>
          <t>n° 25 + n° 26</t>
        </is>
      </c>
      <c r="E97" t="inlineStr">
        <is>
          <t>Pichet 75cl vin</t>
        </is>
      </c>
      <c r="F97" t="n">
        <v>13.4</v>
      </c>
      <c r="G97" t="inlineStr">
        <is>
          <t>n° 25 : 0,50 + n° 26 : 0,50</t>
        </is>
      </c>
      <c r="H97" t="n">
        <v>1</v>
      </c>
    </row>
    <row r="98">
      <c r="A98" t="inlineStr">
        <is>
          <t>2022-2023</t>
        </is>
      </c>
      <c r="B98" t="inlineStr">
        <is>
          <t>2022-05-07</t>
        </is>
      </c>
      <c r="C98" t="inlineStr">
        <is>
          <t>21:40</t>
        </is>
      </c>
      <c r="D98" t="inlineStr">
        <is>
          <t>n° 25 + n° 26</t>
        </is>
      </c>
      <c r="E98" t="inlineStr">
        <is>
          <t>Assortiment charcute</t>
        </is>
      </c>
      <c r="F98" t="n">
        <v>8.800000000000001</v>
      </c>
      <c r="G98" t="inlineStr">
        <is>
          <t>n° 25 : 0,50 + n° 26 : 0,50</t>
        </is>
      </c>
      <c r="H98" t="n">
        <v>1</v>
      </c>
    </row>
    <row r="99">
      <c r="A99" t="inlineStr">
        <is>
          <t>2022-2023</t>
        </is>
      </c>
      <c r="B99" t="inlineStr">
        <is>
          <t>2022-05-07</t>
        </is>
      </c>
      <c r="C99" t="inlineStr">
        <is>
          <t>21:40</t>
        </is>
      </c>
      <c r="D99" t="inlineStr">
        <is>
          <t>n° 25 + n° 26</t>
        </is>
      </c>
      <c r="E99" t="inlineStr">
        <is>
          <t>Baba au Macvin</t>
        </is>
      </c>
      <c r="F99" t="n">
        <v>6.9</v>
      </c>
      <c r="G99" t="inlineStr">
        <is>
          <t>n° 25 : 0,50 + n° 26 : 0,50</t>
        </is>
      </c>
      <c r="H99" t="n">
        <v>1</v>
      </c>
    </row>
    <row r="100">
      <c r="A100" t="inlineStr">
        <is>
          <t>2022-2023</t>
        </is>
      </c>
      <c r="B100" t="inlineStr">
        <is>
          <t>2022-05-07</t>
        </is>
      </c>
      <c r="C100" t="inlineStr">
        <is>
          <t>21:40</t>
        </is>
      </c>
      <c r="D100" t="inlineStr">
        <is>
          <t>n° 25 + n° 26</t>
        </is>
      </c>
      <c r="E100" t="inlineStr">
        <is>
          <t>Blanche des plateaux</t>
        </is>
      </c>
      <c r="F100" t="n">
        <v>5.9</v>
      </c>
      <c r="G100" t="inlineStr">
        <is>
          <t>n° 25 : 0,50 + n° 26 : 0,50</t>
        </is>
      </c>
      <c r="H100" t="n">
        <v>1</v>
      </c>
    </row>
    <row r="101">
      <c r="A101" t="inlineStr">
        <is>
          <t>2022-2023</t>
        </is>
      </c>
      <c r="B101" t="inlineStr">
        <is>
          <t>2022-05-07</t>
        </is>
      </c>
      <c r="C101" t="inlineStr">
        <is>
          <t>21:40</t>
        </is>
      </c>
      <c r="D101" t="inlineStr">
        <is>
          <t>n° 25 + n° 26</t>
        </is>
      </c>
      <c r="E101" t="inlineStr">
        <is>
          <t>Monaco</t>
        </is>
      </c>
      <c r="F101" t="n">
        <v>3.9</v>
      </c>
      <c r="G101" t="inlineStr">
        <is>
          <t>n° 25 : 0,50 + n° 26 : 0,50</t>
        </is>
      </c>
      <c r="H101" t="n">
        <v>1</v>
      </c>
    </row>
    <row r="102">
      <c r="A102" t="inlineStr">
        <is>
          <t>2022-2023</t>
        </is>
      </c>
      <c r="B102" t="inlineStr">
        <is>
          <t>2022-05-07</t>
        </is>
      </c>
      <c r="C102" t="inlineStr">
        <is>
          <t>21:40</t>
        </is>
      </c>
      <c r="D102" t="inlineStr">
        <is>
          <t>n° 25 + n° 26</t>
        </is>
      </c>
      <c r="E102" t="inlineStr">
        <is>
          <t>POMMES FRITES</t>
        </is>
      </c>
      <c r="F102" t="n">
        <v>3.9</v>
      </c>
      <c r="G102" t="inlineStr">
        <is>
          <t>n° 25 : 0,50 + n° 26 : 0,50</t>
        </is>
      </c>
      <c r="H102" t="n">
        <v>1</v>
      </c>
    </row>
    <row r="103">
      <c r="A103" t="inlineStr">
        <is>
          <t>2022-2023</t>
        </is>
      </c>
      <c r="B103" t="inlineStr">
        <is>
          <t>2022-05-07</t>
        </is>
      </c>
      <c r="C103" t="inlineStr">
        <is>
          <t>21:40</t>
        </is>
      </c>
      <c r="D103" t="inlineStr">
        <is>
          <t>n° 25 + n° 26</t>
        </is>
      </c>
      <c r="E103" t="inlineStr">
        <is>
          <t>GLACE 2 BOULES</t>
        </is>
      </c>
      <c r="F103" t="n">
        <v>3.9</v>
      </c>
      <c r="G103" t="inlineStr">
        <is>
          <t>n° 25 : 0,50 + n° 26 : 0,50</t>
        </is>
      </c>
      <c r="H103" t="n">
        <v>1</v>
      </c>
    </row>
    <row r="104">
      <c r="A104" t="inlineStr">
        <is>
          <t>2022-2023</t>
        </is>
      </c>
      <c r="B104" t="inlineStr">
        <is>
          <t>2022-05-07</t>
        </is>
      </c>
      <c r="C104" t="inlineStr">
        <is>
          <t>21:40</t>
        </is>
      </c>
      <c r="D104" t="inlineStr">
        <is>
          <t>n° 25 + n° 26</t>
        </is>
      </c>
      <c r="E104" t="inlineStr">
        <is>
          <t>Ricard</t>
        </is>
      </c>
      <c r="F104" t="n">
        <v>3.8</v>
      </c>
      <c r="G104" t="inlineStr">
        <is>
          <t>n° 25 : 0,50 + n° 26 : 0,50</t>
        </is>
      </c>
      <c r="H104" t="n">
        <v>1</v>
      </c>
    </row>
    <row r="105">
      <c r="A105" t="inlineStr">
        <is>
          <t>2022-2023</t>
        </is>
      </c>
      <c r="B105" t="inlineStr">
        <is>
          <t>2022-05-07</t>
        </is>
      </c>
      <c r="C105" t="inlineStr">
        <is>
          <t>21:40</t>
        </is>
      </c>
      <c r="D105" t="inlineStr">
        <is>
          <t>n° 25 + n° 26</t>
        </is>
      </c>
      <c r="E105" t="inlineStr">
        <is>
          <t>Crêpe Cassonade</t>
        </is>
      </c>
      <c r="F105" t="n">
        <v>2.9</v>
      </c>
      <c r="G105" t="inlineStr">
        <is>
          <t>n° 25 : 0,50 + n° 26 : 0,50</t>
        </is>
      </c>
      <c r="H105" t="n">
        <v>1</v>
      </c>
    </row>
    <row r="106">
      <c r="A106" t="inlineStr">
        <is>
          <t>2022-2023</t>
        </is>
      </c>
      <c r="B106" t="inlineStr">
        <is>
          <t>2022-05-07</t>
        </is>
      </c>
      <c r="C106" t="inlineStr">
        <is>
          <t>21:40</t>
        </is>
      </c>
      <c r="D106" t="inlineStr">
        <is>
          <t>n° 25 + n° 26</t>
        </is>
      </c>
      <c r="E106" t="inlineStr">
        <is>
          <t>GLACE 1 BOULE</t>
        </is>
      </c>
      <c r="F106" t="n">
        <v>2</v>
      </c>
      <c r="G106" t="inlineStr">
        <is>
          <t>n° 25 : 0,50 + n° 26 : 0,50</t>
        </is>
      </c>
      <c r="H106" t="n">
        <v>1</v>
      </c>
    </row>
    <row r="107">
      <c r="A107" t="inlineStr">
        <is>
          <t>2022-2023</t>
        </is>
      </c>
      <c r="B107" t="inlineStr">
        <is>
          <t>2022-05-08</t>
        </is>
      </c>
      <c r="C107" t="inlineStr">
        <is>
          <t>19:37</t>
        </is>
      </c>
      <c r="D107" t="inlineStr">
        <is>
          <t>n° 24 + n° 25</t>
        </is>
      </c>
      <c r="E107" t="inlineStr">
        <is>
          <t>DADOULET</t>
        </is>
      </c>
      <c r="F107" t="n">
        <v>20.9</v>
      </c>
      <c r="G107" t="inlineStr">
        <is>
          <t>n° 24 : 0,50 + n° 25 : 0,50</t>
        </is>
      </c>
      <c r="H107" t="n">
        <v>1</v>
      </c>
    </row>
    <row r="108">
      <c r="A108" t="inlineStr">
        <is>
          <t>2022-2023</t>
        </is>
      </c>
      <c r="B108" t="inlineStr">
        <is>
          <t>2022-05-08</t>
        </is>
      </c>
      <c r="C108" t="inlineStr">
        <is>
          <t>19:37</t>
        </is>
      </c>
      <c r="D108" t="inlineStr">
        <is>
          <t>n° 24 + n° 25</t>
        </is>
      </c>
      <c r="E108" t="inlineStr">
        <is>
          <t>POULET JURASSIENNE</t>
        </is>
      </c>
      <c r="F108" t="n">
        <v>17.6</v>
      </c>
      <c r="G108" t="inlineStr">
        <is>
          <t>n° 24 : 0,50 + n° 25 : 0,50</t>
        </is>
      </c>
      <c r="H108" t="n">
        <v>1</v>
      </c>
    </row>
    <row r="109">
      <c r="A109" t="inlineStr">
        <is>
          <t>2022-2023</t>
        </is>
      </c>
      <c r="B109" t="inlineStr">
        <is>
          <t>2022-05-08</t>
        </is>
      </c>
      <c r="C109" t="inlineStr">
        <is>
          <t>19:37</t>
        </is>
      </c>
      <c r="D109" t="inlineStr">
        <is>
          <t>n° 24 + n° 25</t>
        </is>
      </c>
      <c r="E109" t="inlineStr">
        <is>
          <t>Croûtes Morilles</t>
        </is>
      </c>
      <c r="F109" t="n">
        <v>16.9</v>
      </c>
      <c r="G109" t="inlineStr">
        <is>
          <t>n° 24 : 0,50 + n° 25 : 0,50</t>
        </is>
      </c>
      <c r="H109" t="n">
        <v>1</v>
      </c>
    </row>
    <row r="110">
      <c r="A110" t="inlineStr">
        <is>
          <t>2022-2023</t>
        </is>
      </c>
      <c r="B110" t="inlineStr">
        <is>
          <t>2022-05-08</t>
        </is>
      </c>
      <c r="C110" t="inlineStr">
        <is>
          <t>19:37</t>
        </is>
      </c>
      <c r="D110" t="inlineStr">
        <is>
          <t>n° 24 + n° 25</t>
        </is>
      </c>
      <c r="E110" t="inlineStr">
        <is>
          <t>LOURNETTE</t>
        </is>
      </c>
      <c r="F110" t="n">
        <v>16.9</v>
      </c>
      <c r="G110" t="inlineStr">
        <is>
          <t>n° 24 : 0,50 + n° 25 : 0,50</t>
        </is>
      </c>
      <c r="H110" t="n">
        <v>1</v>
      </c>
    </row>
    <row r="111">
      <c r="A111" t="inlineStr">
        <is>
          <t>2022-2023</t>
        </is>
      </c>
      <c r="B111" t="inlineStr">
        <is>
          <t>2022-05-08</t>
        </is>
      </c>
      <c r="C111" t="inlineStr">
        <is>
          <t>19:37</t>
        </is>
      </c>
      <c r="D111" t="inlineStr">
        <is>
          <t>n° 24 + n° 25</t>
        </is>
      </c>
      <c r="E111" t="inlineStr">
        <is>
          <t>Menu 'Galette'</t>
        </is>
      </c>
      <c r="F111" t="n">
        <v>15.9</v>
      </c>
      <c r="G111" t="inlineStr">
        <is>
          <t>n° 24 : 0,50 + n° 25 : 0,50</t>
        </is>
      </c>
      <c r="H111" t="n">
        <v>1</v>
      </c>
    </row>
    <row r="112">
      <c r="A112" t="inlineStr">
        <is>
          <t>2022-2023</t>
        </is>
      </c>
      <c r="B112" t="inlineStr">
        <is>
          <t>2022-05-08</t>
        </is>
      </c>
      <c r="C112" t="inlineStr">
        <is>
          <t>19:37</t>
        </is>
      </c>
      <c r="D112" t="inlineStr">
        <is>
          <t>n° 24 + n° 25</t>
        </is>
      </c>
      <c r="E112" t="inlineStr">
        <is>
          <t>Pichet 75cl vin</t>
        </is>
      </c>
      <c r="F112" t="n">
        <v>13.4</v>
      </c>
      <c r="G112" t="inlineStr">
        <is>
          <t>n° 24 : 0,50 + n° 25 : 0,50</t>
        </is>
      </c>
      <c r="H112" t="n">
        <v>1</v>
      </c>
    </row>
    <row r="113">
      <c r="A113" t="inlineStr">
        <is>
          <t>2022-2023</t>
        </is>
      </c>
      <c r="B113" t="inlineStr">
        <is>
          <t>2022-05-08</t>
        </is>
      </c>
      <c r="C113" t="inlineStr">
        <is>
          <t>19:37</t>
        </is>
      </c>
      <c r="D113" t="inlineStr">
        <is>
          <t>n° 24 + n° 25</t>
        </is>
      </c>
      <c r="E113" t="inlineStr">
        <is>
          <t>Menu Bambin</t>
        </is>
      </c>
      <c r="F113" t="n">
        <v>6.9</v>
      </c>
      <c r="G113" t="inlineStr">
        <is>
          <t>n° 24 : 0,50 + n° 25 : 0,50</t>
        </is>
      </c>
      <c r="H113" t="n">
        <v>1</v>
      </c>
    </row>
    <row r="114">
      <c r="A114" t="inlineStr">
        <is>
          <t>2022-2023</t>
        </is>
      </c>
      <c r="B114" t="inlineStr">
        <is>
          <t>2022-05-08</t>
        </is>
      </c>
      <c r="C114" t="inlineStr">
        <is>
          <t>19:37</t>
        </is>
      </c>
      <c r="D114" t="inlineStr">
        <is>
          <t>n° 24 + n° 25</t>
        </is>
      </c>
      <c r="E114" t="inlineStr">
        <is>
          <t>Macvin du Jura</t>
        </is>
      </c>
      <c r="F114" t="n">
        <v>4.9</v>
      </c>
      <c r="G114" t="inlineStr">
        <is>
          <t>n° 24 : 0,50 + n° 25 : 0,50</t>
        </is>
      </c>
      <c r="H114" t="n">
        <v>1</v>
      </c>
    </row>
    <row r="115">
      <c r="A115" t="inlineStr">
        <is>
          <t>2022-2023</t>
        </is>
      </c>
      <c r="B115" t="inlineStr">
        <is>
          <t>2022-05-08</t>
        </is>
      </c>
      <c r="C115" t="inlineStr">
        <is>
          <t>19:37</t>
        </is>
      </c>
      <c r="D115" t="inlineStr">
        <is>
          <t>n° 24 + n° 25</t>
        </is>
      </c>
      <c r="E115" t="inlineStr">
        <is>
          <t>Coca (25cl)</t>
        </is>
      </c>
      <c r="F115" t="n">
        <v>3.9</v>
      </c>
      <c r="G115" t="inlineStr">
        <is>
          <t>n° 24 : 0,50 + n° 25 : 0,50</t>
        </is>
      </c>
      <c r="H115" t="n">
        <v>1</v>
      </c>
    </row>
    <row r="116">
      <c r="A116" t="inlineStr">
        <is>
          <t>2022-2023</t>
        </is>
      </c>
      <c r="B116" t="inlineStr">
        <is>
          <t>2022-05-11</t>
        </is>
      </c>
      <c r="C116" t="inlineStr">
        <is>
          <t>19:10</t>
        </is>
      </c>
      <c r="D116" t="inlineStr">
        <is>
          <t>n° 17 + n° 18 + n° 20 + n° 21</t>
        </is>
      </c>
      <c r="E116" t="inlineStr">
        <is>
          <t>Poulet aux Morilles</t>
        </is>
      </c>
      <c r="F116" t="n">
        <v>28.6</v>
      </c>
      <c r="G116" t="inlineStr">
        <is>
          <t>n° 20 : 0,50 + n° 21 : 0,50</t>
        </is>
      </c>
      <c r="H116" t="n">
        <v>1</v>
      </c>
    </row>
    <row r="117">
      <c r="A117" t="inlineStr">
        <is>
          <t>2022-2023</t>
        </is>
      </c>
      <c r="B117" t="inlineStr">
        <is>
          <t>2022-05-11</t>
        </is>
      </c>
      <c r="C117" t="inlineStr">
        <is>
          <t>19:10</t>
        </is>
      </c>
      <c r="D117" t="inlineStr">
        <is>
          <t>n° 17 + n° 18 + n° 20 + n° 21</t>
        </is>
      </c>
      <c r="E117" t="inlineStr">
        <is>
          <t>BURGER COMTOIS</t>
        </is>
      </c>
      <c r="F117" t="n">
        <v>19</v>
      </c>
      <c r="G117" t="inlineStr">
        <is>
          <t>n° 17 : 0,50 + n° 18 : 0,50 + n° 20 : 0,50 + n° 21 : 0,50</t>
        </is>
      </c>
      <c r="H117" t="n">
        <v>2</v>
      </c>
    </row>
    <row r="118">
      <c r="A118" t="inlineStr">
        <is>
          <t>2022-2023</t>
        </is>
      </c>
      <c r="B118" t="inlineStr">
        <is>
          <t>2022-05-11</t>
        </is>
      </c>
      <c r="C118" t="inlineStr">
        <is>
          <t>19:10</t>
        </is>
      </c>
      <c r="D118" t="inlineStr">
        <is>
          <t>n° 17 + n° 18 + n° 20 + n° 21</t>
        </is>
      </c>
      <c r="E118" t="inlineStr">
        <is>
          <t>POULET JURASSIENNE</t>
        </is>
      </c>
      <c r="F118" t="n">
        <v>17.6</v>
      </c>
      <c r="G118" t="inlineStr">
        <is>
          <t>n° 17 : 0,50 + n° 18 : 0,50 + n° 20 : 0,50 + n° 21 : 0,50</t>
        </is>
      </c>
      <c r="H118" t="n">
        <v>2</v>
      </c>
    </row>
    <row r="119">
      <c r="A119" t="inlineStr">
        <is>
          <t>2022-2023</t>
        </is>
      </c>
      <c r="B119" t="inlineStr">
        <is>
          <t>2022-05-11</t>
        </is>
      </c>
      <c r="C119" t="inlineStr">
        <is>
          <t>19:10</t>
        </is>
      </c>
      <c r="D119" t="inlineStr">
        <is>
          <t>n° 17 + n° 18 + n° 20 + n° 21</t>
        </is>
      </c>
      <c r="E119" t="inlineStr">
        <is>
          <t>MORTEAU GRILLEE</t>
        </is>
      </c>
      <c r="F119" t="n">
        <v>17.6</v>
      </c>
      <c r="G119" t="inlineStr">
        <is>
          <t>n° 17 : 0,50 + n° 18 : 0,50</t>
        </is>
      </c>
      <c r="H119" t="n">
        <v>1</v>
      </c>
    </row>
    <row r="120">
      <c r="A120" t="inlineStr">
        <is>
          <t>2022-2023</t>
        </is>
      </c>
      <c r="B120" t="inlineStr">
        <is>
          <t>2022-05-11</t>
        </is>
      </c>
      <c r="C120" t="inlineStr">
        <is>
          <t>19:10</t>
        </is>
      </c>
      <c r="D120" t="inlineStr">
        <is>
          <t>n° 17 + n° 18 + n° 20 + n° 21</t>
        </is>
      </c>
      <c r="E120" t="inlineStr">
        <is>
          <t>TEQUILA SUNRISE</t>
        </is>
      </c>
      <c r="F120" t="n">
        <v>9</v>
      </c>
      <c r="G120" t="inlineStr">
        <is>
          <t>n° 17 : 0,50 + n° 18 : 0,50</t>
        </is>
      </c>
      <c r="H120" t="n">
        <v>1</v>
      </c>
    </row>
    <row r="121">
      <c r="A121" t="inlineStr">
        <is>
          <t>2022-2023</t>
        </is>
      </c>
      <c r="B121" t="inlineStr">
        <is>
          <t>2022-05-11</t>
        </is>
      </c>
      <c r="C121" t="inlineStr">
        <is>
          <t>19:10</t>
        </is>
      </c>
      <c r="D121" t="inlineStr">
        <is>
          <t>n° 17 + n° 18 + n° 20 + n° 21</t>
        </is>
      </c>
      <c r="E121" t="inlineStr">
        <is>
          <t>Blanche des plateaux</t>
        </is>
      </c>
      <c r="F121" t="n">
        <v>5.9</v>
      </c>
      <c r="G121" t="inlineStr">
        <is>
          <t>n° 20 : 0,50 + n° 21 : 0,50</t>
        </is>
      </c>
      <c r="H121" t="n">
        <v>1</v>
      </c>
    </row>
    <row r="122">
      <c r="A122" t="inlineStr">
        <is>
          <t>2022-2023</t>
        </is>
      </c>
      <c r="B122" t="inlineStr">
        <is>
          <t>2022-05-11</t>
        </is>
      </c>
      <c r="C122" t="inlineStr">
        <is>
          <t>19:10</t>
        </is>
      </c>
      <c r="D122" t="inlineStr">
        <is>
          <t>n° 17 + n° 18 + n° 20 + n° 21</t>
        </is>
      </c>
      <c r="E122" t="inlineStr">
        <is>
          <t>KITTYKIR</t>
        </is>
      </c>
      <c r="F122" t="n">
        <v>5.2</v>
      </c>
      <c r="G122" t="inlineStr">
        <is>
          <t>n° 20 : 0,50 + n° 21 : 0,50</t>
        </is>
      </c>
      <c r="H122" t="n">
        <v>1</v>
      </c>
    </row>
    <row r="123">
      <c r="A123" t="inlineStr">
        <is>
          <t>2022-2023</t>
        </is>
      </c>
      <c r="B123" t="inlineStr">
        <is>
          <t>2022-05-11</t>
        </is>
      </c>
      <c r="C123" t="inlineStr">
        <is>
          <t>19:10</t>
        </is>
      </c>
      <c r="D123" t="inlineStr">
        <is>
          <t>n° 17 + n° 18 + n° 20 + n° 21</t>
        </is>
      </c>
      <c r="E123" t="inlineStr">
        <is>
          <t>Café Viennois</t>
        </is>
      </c>
      <c r="F123" t="n">
        <v>4.9</v>
      </c>
      <c r="G123" t="inlineStr">
        <is>
          <t>n° 20 : 0,50 + n° 21 : 0,50</t>
        </is>
      </c>
      <c r="H123" t="n">
        <v>1</v>
      </c>
    </row>
    <row r="124">
      <c r="A124" t="inlineStr">
        <is>
          <t>2022-2023</t>
        </is>
      </c>
      <c r="B124" t="inlineStr">
        <is>
          <t>2022-05-11</t>
        </is>
      </c>
      <c r="C124" t="inlineStr">
        <is>
          <t>19:10</t>
        </is>
      </c>
      <c r="D124" t="inlineStr">
        <is>
          <t>n° 17 + n° 18 + n° 20 + n° 21</t>
        </is>
      </c>
      <c r="E124" t="inlineStr">
        <is>
          <t>Crepe Chocolat</t>
        </is>
      </c>
      <c r="F124" t="n">
        <v>4.7</v>
      </c>
      <c r="G124" t="inlineStr">
        <is>
          <t>n° 20 : 0,50 + n° 21 : 0,50</t>
        </is>
      </c>
      <c r="H124" t="n">
        <v>1</v>
      </c>
    </row>
    <row r="125">
      <c r="A125" t="inlineStr">
        <is>
          <t>2022-2023</t>
        </is>
      </c>
      <c r="B125" t="inlineStr">
        <is>
          <t>2022-05-11</t>
        </is>
      </c>
      <c r="C125" t="inlineStr">
        <is>
          <t>19:10</t>
        </is>
      </c>
      <c r="D125" t="inlineStr">
        <is>
          <t>n° 17 + n° 18 + n° 20 + n° 21</t>
        </is>
      </c>
      <c r="E125" t="inlineStr">
        <is>
          <t>Crêpe Marrons</t>
        </is>
      </c>
      <c r="F125" t="n">
        <v>4.7</v>
      </c>
      <c r="G125" t="inlineStr">
        <is>
          <t>n° 20 : 0,50 + n° 21 : 0,50</t>
        </is>
      </c>
      <c r="H125" t="n">
        <v>1</v>
      </c>
    </row>
    <row r="126">
      <c r="A126" t="inlineStr">
        <is>
          <t>2022-2023</t>
        </is>
      </c>
      <c r="B126" t="inlineStr">
        <is>
          <t>2022-05-11</t>
        </is>
      </c>
      <c r="C126" t="inlineStr">
        <is>
          <t>19:10</t>
        </is>
      </c>
      <c r="D126" t="inlineStr">
        <is>
          <t>n° 17 + n° 18 + n° 20 + n° 21</t>
        </is>
      </c>
      <c r="E126" t="inlineStr">
        <is>
          <t>Kir Bourgogne</t>
        </is>
      </c>
      <c r="F126" t="n">
        <v>4.2</v>
      </c>
      <c r="G126" t="inlineStr">
        <is>
          <t>n° 17 : 0,50 + n° 18 : 0,50</t>
        </is>
      </c>
      <c r="H126" t="n">
        <v>1</v>
      </c>
    </row>
    <row r="127">
      <c r="A127" t="inlineStr">
        <is>
          <t>2022-2023</t>
        </is>
      </c>
      <c r="B127" t="inlineStr">
        <is>
          <t>2022-05-11</t>
        </is>
      </c>
      <c r="C127" t="inlineStr">
        <is>
          <t>19:10</t>
        </is>
      </c>
      <c r="D127" t="inlineStr">
        <is>
          <t>n° 17 + n° 18 + n° 20 + n° 21</t>
        </is>
      </c>
      <c r="E127" t="inlineStr">
        <is>
          <t>Jus de Fruit</t>
        </is>
      </c>
      <c r="F127" t="n">
        <v>3.9</v>
      </c>
      <c r="G127" t="inlineStr">
        <is>
          <t>n° 17 : 0,50 + n° 18 : 0,50</t>
        </is>
      </c>
      <c r="H127" t="n">
        <v>1</v>
      </c>
    </row>
    <row r="128">
      <c r="A128" t="inlineStr">
        <is>
          <t>2022-2023</t>
        </is>
      </c>
      <c r="B128" t="inlineStr">
        <is>
          <t>2022-05-11</t>
        </is>
      </c>
      <c r="C128" t="inlineStr">
        <is>
          <t>19:10</t>
        </is>
      </c>
      <c r="D128" t="inlineStr">
        <is>
          <t>n° 17 + n° 18 + n° 20 + n° 21</t>
        </is>
      </c>
      <c r="E128" t="inlineStr">
        <is>
          <t>Fuze Tea</t>
        </is>
      </c>
      <c r="F128" t="n">
        <v>3.9</v>
      </c>
      <c r="G128" t="inlineStr">
        <is>
          <t>n° 20 : 0,50 + n° 21 : 0,50</t>
        </is>
      </c>
      <c r="H128" t="n">
        <v>1</v>
      </c>
    </row>
    <row r="129">
      <c r="A129" t="inlineStr">
        <is>
          <t>2022-2023</t>
        </is>
      </c>
      <c r="B129" t="inlineStr">
        <is>
          <t>2022-05-11</t>
        </is>
      </c>
      <c r="C129" t="inlineStr">
        <is>
          <t>19:10</t>
        </is>
      </c>
      <c r="D129" t="inlineStr">
        <is>
          <t>n° 17 + n° 18 + n° 20 + n° 21</t>
        </is>
      </c>
      <c r="E129" t="inlineStr">
        <is>
          <t>CHANTILLY</t>
        </is>
      </c>
      <c r="F129" t="n">
        <v>1.8</v>
      </c>
      <c r="G129" t="inlineStr">
        <is>
          <t>n° 20 : 0,50 + n° 21 : 0,50</t>
        </is>
      </c>
      <c r="H129" t="n">
        <v>1</v>
      </c>
    </row>
    <row r="130">
      <c r="A130" t="inlineStr">
        <is>
          <t>2022-2023</t>
        </is>
      </c>
      <c r="B130" t="inlineStr">
        <is>
          <t>2022-05-11</t>
        </is>
      </c>
      <c r="C130" t="inlineStr">
        <is>
          <t>20:27</t>
        </is>
      </c>
      <c r="D130" t="inlineStr">
        <is>
          <t>n° 31 + n° 32</t>
        </is>
      </c>
      <c r="E130" t="inlineStr">
        <is>
          <t>MORTEAU GRILLEE</t>
        </is>
      </c>
      <c r="F130" t="n">
        <v>17.6</v>
      </c>
      <c r="G130" t="inlineStr">
        <is>
          <t>n° 31 : 0,50 + n° 32 : 0,50</t>
        </is>
      </c>
      <c r="H130" t="n">
        <v>1</v>
      </c>
    </row>
    <row r="131">
      <c r="A131" t="inlineStr">
        <is>
          <t>2022-2023</t>
        </is>
      </c>
      <c r="B131" t="inlineStr">
        <is>
          <t>2022-05-11</t>
        </is>
      </c>
      <c r="C131" t="inlineStr">
        <is>
          <t>20:27</t>
        </is>
      </c>
      <c r="D131" t="inlineStr">
        <is>
          <t>n° 31 + n° 32</t>
        </is>
      </c>
      <c r="E131" t="inlineStr">
        <is>
          <t>TRUITE JURASSIENNE</t>
        </is>
      </c>
      <c r="F131" t="n">
        <v>17.6</v>
      </c>
      <c r="G131" t="inlineStr">
        <is>
          <t>n° 31 : 0,50 + n° 32 : 0,50</t>
        </is>
      </c>
      <c r="H131" t="n">
        <v>1</v>
      </c>
    </row>
    <row r="132">
      <c r="A132" t="inlineStr">
        <is>
          <t>2022-2023</t>
        </is>
      </c>
      <c r="B132" t="inlineStr">
        <is>
          <t>2022-05-11</t>
        </is>
      </c>
      <c r="C132" t="inlineStr">
        <is>
          <t>20:27</t>
        </is>
      </c>
      <c r="D132" t="inlineStr">
        <is>
          <t>n° 31 + n° 32</t>
        </is>
      </c>
      <c r="E132" t="inlineStr">
        <is>
          <t>Kir Bourgogne</t>
        </is>
      </c>
      <c r="F132" t="n">
        <v>4.2</v>
      </c>
      <c r="G132" t="inlineStr">
        <is>
          <t>n° 31 : 0,50 + n° 32 : 0,50</t>
        </is>
      </c>
      <c r="H132" t="n">
        <v>1</v>
      </c>
    </row>
    <row r="133">
      <c r="A133" t="inlineStr">
        <is>
          <t>2022-2023</t>
        </is>
      </c>
      <c r="B133" t="inlineStr">
        <is>
          <t>2022-05-11</t>
        </is>
      </c>
      <c r="C133" t="inlineStr">
        <is>
          <t>20:27</t>
        </is>
      </c>
      <c r="D133" t="inlineStr">
        <is>
          <t>n° 31 + n° 32</t>
        </is>
      </c>
      <c r="E133" t="inlineStr">
        <is>
          <t>Ricard</t>
        </is>
      </c>
      <c r="F133" t="n">
        <v>3.8</v>
      </c>
      <c r="G133" t="inlineStr">
        <is>
          <t>n° 31 : 0,50 + n° 32 : 0,50</t>
        </is>
      </c>
      <c r="H133" t="n">
        <v>1</v>
      </c>
    </row>
    <row r="134">
      <c r="A134" t="inlineStr">
        <is>
          <t>2022-2023</t>
        </is>
      </c>
      <c r="B134" t="inlineStr">
        <is>
          <t>2022-05-13</t>
        </is>
      </c>
      <c r="C134" t="inlineStr">
        <is>
          <t>20:26</t>
        </is>
      </c>
      <c r="D134" t="inlineStr">
        <is>
          <t>n° 21 + n° 22</t>
        </is>
      </c>
      <c r="E134" t="inlineStr">
        <is>
          <t>ASSIETTE PERE GREGOI</t>
        </is>
      </c>
      <c r="F134" t="n">
        <v>17.6</v>
      </c>
      <c r="G134" t="inlineStr">
        <is>
          <t>n° 21 : 0,50 + n° 22 : 0,50</t>
        </is>
      </c>
      <c r="H134" t="n">
        <v>1</v>
      </c>
    </row>
    <row r="135">
      <c r="A135" t="inlineStr">
        <is>
          <t>2022-2023</t>
        </is>
      </c>
      <c r="B135" t="inlineStr">
        <is>
          <t>2022-05-13</t>
        </is>
      </c>
      <c r="C135" t="inlineStr">
        <is>
          <t>20:26</t>
        </is>
      </c>
      <c r="D135" t="inlineStr">
        <is>
          <t>n° 21 + n° 22</t>
        </is>
      </c>
      <c r="E135" t="inlineStr">
        <is>
          <t>CAMEMBERT ROTI</t>
        </is>
      </c>
      <c r="F135" t="n">
        <v>17.6</v>
      </c>
      <c r="G135" t="inlineStr">
        <is>
          <t>n° 21 : 0,50 + n° 22 : 0,50</t>
        </is>
      </c>
      <c r="H135" t="n">
        <v>1</v>
      </c>
    </row>
    <row r="136">
      <c r="A136" t="inlineStr">
        <is>
          <t>2022-2023</t>
        </is>
      </c>
      <c r="B136" t="inlineStr">
        <is>
          <t>2022-05-13</t>
        </is>
      </c>
      <c r="C136" t="inlineStr">
        <is>
          <t>20:26</t>
        </is>
      </c>
      <c r="D136" t="inlineStr">
        <is>
          <t>n° 21 + n° 22</t>
        </is>
      </c>
      <c r="E136" t="inlineStr">
        <is>
          <t>Pavlova</t>
        </is>
      </c>
      <c r="F136" t="n">
        <v>8.699999999999999</v>
      </c>
      <c r="G136" t="inlineStr">
        <is>
          <t>n° 21 : 0,50 + n° 22 : 0,50</t>
        </is>
      </c>
      <c r="H136" t="n">
        <v>1</v>
      </c>
    </row>
    <row r="137">
      <c r="A137" t="inlineStr">
        <is>
          <t>2022-2023</t>
        </is>
      </c>
      <c r="B137" t="inlineStr">
        <is>
          <t>2022-05-13</t>
        </is>
      </c>
      <c r="C137" t="inlineStr">
        <is>
          <t>20:26</t>
        </is>
      </c>
      <c r="D137" t="inlineStr">
        <is>
          <t>n° 21 + n° 22</t>
        </is>
      </c>
      <c r="E137" t="inlineStr">
        <is>
          <t>FLIRT</t>
        </is>
      </c>
      <c r="F137" t="n">
        <v>8.1</v>
      </c>
      <c r="G137" t="inlineStr">
        <is>
          <t>n° 21 : 0,50 + n° 22 : 0,50</t>
        </is>
      </c>
      <c r="H137" t="n">
        <v>1</v>
      </c>
    </row>
    <row r="138">
      <c r="A138" t="inlineStr">
        <is>
          <t>2022-2023</t>
        </is>
      </c>
      <c r="B138" t="inlineStr">
        <is>
          <t>2022-05-13</t>
        </is>
      </c>
      <c r="C138" t="inlineStr">
        <is>
          <t>20:26</t>
        </is>
      </c>
      <c r="D138" t="inlineStr">
        <is>
          <t>n° 21 + n° 22</t>
        </is>
      </c>
      <c r="E138" t="inlineStr">
        <is>
          <t>Saint Véran Verre</t>
        </is>
      </c>
      <c r="F138" t="n">
        <v>7.9</v>
      </c>
      <c r="G138" t="inlineStr">
        <is>
          <t>n° 21 : 0,50 + n° 22 : 0,50</t>
        </is>
      </c>
      <c r="H138" t="n">
        <v>1</v>
      </c>
    </row>
    <row r="139">
      <c r="A139" t="inlineStr">
        <is>
          <t>2022-2023</t>
        </is>
      </c>
      <c r="B139" t="inlineStr">
        <is>
          <t>2022-05-13</t>
        </is>
      </c>
      <c r="C139" t="inlineStr">
        <is>
          <t>20:26</t>
        </is>
      </c>
      <c r="D139" t="inlineStr">
        <is>
          <t>n° 21 + n° 22</t>
        </is>
      </c>
      <c r="E139" t="inlineStr">
        <is>
          <t>Père Gregoire</t>
        </is>
      </c>
      <c r="F139" t="n">
        <v>4.9</v>
      </c>
      <c r="G139" t="inlineStr">
        <is>
          <t>n° 21 : 0,50 + n° 22 : 0,50</t>
        </is>
      </c>
      <c r="H139" t="n">
        <v>1</v>
      </c>
    </row>
    <row r="140">
      <c r="A140" t="inlineStr">
        <is>
          <t>2022-2023</t>
        </is>
      </c>
      <c r="B140" t="inlineStr">
        <is>
          <t>2022-05-14</t>
        </is>
      </c>
      <c r="C140" t="inlineStr">
        <is>
          <t>19:35</t>
        </is>
      </c>
      <c r="D140" t="inlineStr">
        <is>
          <t>n° 22 + n° 23</t>
        </is>
      </c>
      <c r="E140" t="inlineStr">
        <is>
          <t>CANCOINE</t>
        </is>
      </c>
      <c r="F140" t="n">
        <v>21.6</v>
      </c>
      <c r="G140" t="inlineStr">
        <is>
          <t>n° 22 : 0,50 + n° 23 : 0,50</t>
        </is>
      </c>
      <c r="H140" t="n">
        <v>1</v>
      </c>
    </row>
    <row r="141">
      <c r="A141" t="inlineStr">
        <is>
          <t>2022-2023</t>
        </is>
      </c>
      <c r="B141" t="inlineStr">
        <is>
          <t>2022-05-14</t>
        </is>
      </c>
      <c r="C141" t="inlineStr">
        <is>
          <t>19:35</t>
        </is>
      </c>
      <c r="D141" t="inlineStr">
        <is>
          <t>n° 22 + n° 23</t>
        </is>
      </c>
      <c r="E141" t="inlineStr">
        <is>
          <t>TRUITE JURASSIENNE</t>
        </is>
      </c>
      <c r="F141" t="n">
        <v>17.6</v>
      </c>
      <c r="G141" t="inlineStr">
        <is>
          <t>n° 22 : 0,50 + n° 23 : 0,50</t>
        </is>
      </c>
      <c r="H141" t="n">
        <v>1</v>
      </c>
    </row>
    <row r="142">
      <c r="A142" t="inlineStr">
        <is>
          <t>2022-2023</t>
        </is>
      </c>
      <c r="B142" t="inlineStr">
        <is>
          <t>2022-05-14</t>
        </is>
      </c>
      <c r="C142" t="inlineStr">
        <is>
          <t>19:35</t>
        </is>
      </c>
      <c r="D142" t="inlineStr">
        <is>
          <t>n° 22 + n° 23</t>
        </is>
      </c>
      <c r="E142" t="inlineStr">
        <is>
          <t>Croûtes Morilles</t>
        </is>
      </c>
      <c r="F142" t="n">
        <v>16.9</v>
      </c>
      <c r="G142" t="inlineStr">
        <is>
          <t>n° 22 : 0,50 + n° 23 : 0,50</t>
        </is>
      </c>
      <c r="H142" t="n">
        <v>1</v>
      </c>
    </row>
    <row r="143">
      <c r="A143" t="inlineStr">
        <is>
          <t>2022-2023</t>
        </is>
      </c>
      <c r="B143" t="inlineStr">
        <is>
          <t>2022-05-14</t>
        </is>
      </c>
      <c r="C143" t="inlineStr">
        <is>
          <t>19:35</t>
        </is>
      </c>
      <c r="D143" t="inlineStr">
        <is>
          <t>n° 22 + n° 23</t>
        </is>
      </c>
      <c r="E143" t="inlineStr">
        <is>
          <t>Pichet 50cl vin</t>
        </is>
      </c>
      <c r="F143" t="n">
        <v>9.800000000000001</v>
      </c>
      <c r="G143" t="inlineStr">
        <is>
          <t>n° 22 : 0,50 + n° 23 : 0,50</t>
        </is>
      </c>
      <c r="H143" t="n">
        <v>1</v>
      </c>
    </row>
    <row r="144">
      <c r="A144" t="inlineStr">
        <is>
          <t>2022-2023</t>
        </is>
      </c>
      <c r="B144" t="inlineStr">
        <is>
          <t>2022-05-14</t>
        </is>
      </c>
      <c r="C144" t="inlineStr">
        <is>
          <t>19:35</t>
        </is>
      </c>
      <c r="D144" t="inlineStr">
        <is>
          <t>n° 22 + n° 23</t>
        </is>
      </c>
      <c r="E144" t="inlineStr">
        <is>
          <t>Salade Franc-Comptoi</t>
        </is>
      </c>
      <c r="F144" t="n">
        <v>8.9</v>
      </c>
      <c r="G144" t="inlineStr">
        <is>
          <t>n° 22 : 0,50 + n° 23 : 0,50</t>
        </is>
      </c>
      <c r="H144" t="n">
        <v>1</v>
      </c>
    </row>
    <row r="145">
      <c r="A145" t="inlineStr">
        <is>
          <t>2022-2023</t>
        </is>
      </c>
      <c r="B145" t="inlineStr">
        <is>
          <t>2022-05-14</t>
        </is>
      </c>
      <c r="C145" t="inlineStr">
        <is>
          <t>19:35</t>
        </is>
      </c>
      <c r="D145" t="inlineStr">
        <is>
          <t>n° 22 + n° 23</t>
        </is>
      </c>
      <c r="E145" t="inlineStr">
        <is>
          <t>DOUCEUR</t>
        </is>
      </c>
      <c r="F145" t="n">
        <v>8.699999999999999</v>
      </c>
      <c r="G145" t="inlineStr">
        <is>
          <t>n° 22 : 0,50 + n° 23 : 0,50</t>
        </is>
      </c>
      <c r="H145" t="n">
        <v>1</v>
      </c>
    </row>
    <row r="146">
      <c r="A146" t="inlineStr">
        <is>
          <t>2022-2023</t>
        </is>
      </c>
      <c r="B146" t="inlineStr">
        <is>
          <t>2022-05-14</t>
        </is>
      </c>
      <c r="C146" t="inlineStr">
        <is>
          <t>19:35</t>
        </is>
      </c>
      <c r="D146" t="inlineStr">
        <is>
          <t>n° 22 + n° 23</t>
        </is>
      </c>
      <c r="E146" t="inlineStr">
        <is>
          <t>San Pelegrino</t>
        </is>
      </c>
      <c r="F146" t="n">
        <v>5.9</v>
      </c>
      <c r="G146" t="inlineStr">
        <is>
          <t>n° 22 : 0,50 + n° 23 : 0,50</t>
        </is>
      </c>
      <c r="H146" t="n">
        <v>1</v>
      </c>
    </row>
    <row r="147">
      <c r="A147" t="inlineStr">
        <is>
          <t>2022-2023</t>
        </is>
      </c>
      <c r="B147" t="inlineStr">
        <is>
          <t>2022-05-14</t>
        </is>
      </c>
      <c r="C147" t="inlineStr">
        <is>
          <t>19:35</t>
        </is>
      </c>
      <c r="D147" t="inlineStr">
        <is>
          <t>n° 22 + n° 23</t>
        </is>
      </c>
      <c r="E147" t="inlineStr">
        <is>
          <t>Père Gregoire</t>
        </is>
      </c>
      <c r="F147" t="n">
        <v>4.9</v>
      </c>
      <c r="G147" t="inlineStr">
        <is>
          <t>n° 22 : 0,50 + n° 23 : 0,50</t>
        </is>
      </c>
      <c r="H147" t="n">
        <v>1</v>
      </c>
    </row>
    <row r="148">
      <c r="A148" t="inlineStr">
        <is>
          <t>2022-2023</t>
        </is>
      </c>
      <c r="B148" t="inlineStr">
        <is>
          <t>2022-05-14</t>
        </is>
      </c>
      <c r="C148" t="inlineStr">
        <is>
          <t>19:35</t>
        </is>
      </c>
      <c r="D148" t="inlineStr">
        <is>
          <t>n° 22 + n° 23</t>
        </is>
      </c>
      <c r="E148" t="inlineStr">
        <is>
          <t>Macvin du Jura</t>
        </is>
      </c>
      <c r="F148" t="n">
        <v>4.9</v>
      </c>
      <c r="G148" t="inlineStr">
        <is>
          <t>n° 22 : 0,50 + n° 23 : 0,50</t>
        </is>
      </c>
      <c r="H148" t="n">
        <v>1</v>
      </c>
    </row>
    <row r="149">
      <c r="A149" t="inlineStr">
        <is>
          <t>2022-2023</t>
        </is>
      </c>
      <c r="B149" t="inlineStr">
        <is>
          <t>2022-05-14</t>
        </is>
      </c>
      <c r="C149" t="inlineStr">
        <is>
          <t>19:35</t>
        </is>
      </c>
      <c r="D149" t="inlineStr">
        <is>
          <t>n° 22 + n° 23</t>
        </is>
      </c>
      <c r="E149" t="inlineStr">
        <is>
          <t>Crémant</t>
        </is>
      </c>
      <c r="F149" t="n">
        <v>3.9</v>
      </c>
      <c r="G149" t="inlineStr">
        <is>
          <t>n° 22 : 0,50 + n° 23 : 0,50</t>
        </is>
      </c>
      <c r="H149" t="n">
        <v>1</v>
      </c>
    </row>
    <row r="150">
      <c r="A150" t="inlineStr">
        <is>
          <t>2022-2023</t>
        </is>
      </c>
      <c r="B150" t="inlineStr">
        <is>
          <t>2022-05-14</t>
        </is>
      </c>
      <c r="C150" t="inlineStr">
        <is>
          <t>19:35</t>
        </is>
      </c>
      <c r="D150" t="inlineStr">
        <is>
          <t>n° 22 + n° 23</t>
        </is>
      </c>
      <c r="E150" t="inlineStr">
        <is>
          <t>Whisky L.J (2cl) Bab</t>
        </is>
      </c>
      <c r="F150" t="n">
        <v>3.8</v>
      </c>
      <c r="G150" t="inlineStr">
        <is>
          <t>n° 22 : 0,50 + n° 23 : 0,50</t>
        </is>
      </c>
      <c r="H150" t="n">
        <v>1</v>
      </c>
    </row>
    <row r="151">
      <c r="A151" t="inlineStr">
        <is>
          <t>2022-2023</t>
        </is>
      </c>
      <c r="B151" t="inlineStr">
        <is>
          <t>2022-05-14</t>
        </is>
      </c>
      <c r="C151" t="inlineStr">
        <is>
          <t>19:35</t>
        </is>
      </c>
      <c r="D151" t="inlineStr">
        <is>
          <t>n° 22 + n° 23</t>
        </is>
      </c>
      <c r="E151" t="inlineStr">
        <is>
          <t>Expresso</t>
        </is>
      </c>
      <c r="F151" t="n">
        <v>2.2</v>
      </c>
      <c r="G151" t="inlineStr">
        <is>
          <t>n° 22 : 1,50 + n° 23 : 1,50</t>
        </is>
      </c>
      <c r="H151" t="n">
        <v>3</v>
      </c>
    </row>
    <row r="152">
      <c r="A152" t="inlineStr">
        <is>
          <t>2022-2023</t>
        </is>
      </c>
      <c r="B152" t="inlineStr">
        <is>
          <t>2022-05-14</t>
        </is>
      </c>
      <c r="C152" t="inlineStr">
        <is>
          <t>20:22</t>
        </is>
      </c>
      <c r="D152" t="inlineStr">
        <is>
          <t>n° 25 + n° 26</t>
        </is>
      </c>
      <c r="E152" t="inlineStr">
        <is>
          <t>KITTYKIR</t>
        </is>
      </c>
      <c r="F152" t="n">
        <v>5.2</v>
      </c>
      <c r="G152" t="inlineStr">
        <is>
          <t>n° 25 : 0,50 + n° 26 : 0,50</t>
        </is>
      </c>
      <c r="H152" t="n">
        <v>1</v>
      </c>
    </row>
    <row r="153">
      <c r="A153" t="inlineStr">
        <is>
          <t>2022-2023</t>
        </is>
      </c>
      <c r="B153" t="inlineStr">
        <is>
          <t>2022-05-14</t>
        </is>
      </c>
      <c r="C153" t="inlineStr">
        <is>
          <t>20:22</t>
        </is>
      </c>
      <c r="D153" t="inlineStr">
        <is>
          <t>n° 25 + n° 26</t>
        </is>
      </c>
      <c r="E153" t="inlineStr">
        <is>
          <t>Pommes grenailles</t>
        </is>
      </c>
      <c r="F153" t="n">
        <v>3.9</v>
      </c>
      <c r="G153" t="inlineStr">
        <is>
          <t>n° 25 : 0,50 + n° 26 : 0,50</t>
        </is>
      </c>
      <c r="H153" t="n">
        <v>1</v>
      </c>
    </row>
    <row r="154">
      <c r="A154" t="inlineStr">
        <is>
          <t>2022-2023</t>
        </is>
      </c>
      <c r="B154" t="inlineStr">
        <is>
          <t>2022-05-14</t>
        </is>
      </c>
      <c r="C154" t="inlineStr">
        <is>
          <t>20:22</t>
        </is>
      </c>
      <c r="D154" t="inlineStr">
        <is>
          <t>n° 25 + n° 26</t>
        </is>
      </c>
      <c r="E154" t="inlineStr">
        <is>
          <t>Schweppes</t>
        </is>
      </c>
      <c r="F154" t="n">
        <v>3.9</v>
      </c>
      <c r="G154" t="inlineStr">
        <is>
          <t>n° 25 : 0,50 + n° 26 : 0,50</t>
        </is>
      </c>
      <c r="H154" t="n">
        <v>1</v>
      </c>
    </row>
    <row r="155">
      <c r="A155" t="inlineStr">
        <is>
          <t>2022-2023</t>
        </is>
      </c>
      <c r="B155" t="inlineStr">
        <is>
          <t>2022-05-15</t>
        </is>
      </c>
      <c r="C155" t="inlineStr">
        <is>
          <t>12:13</t>
        </is>
      </c>
      <c r="D155" t="inlineStr">
        <is>
          <t>n° 10 + n° 11</t>
        </is>
      </c>
      <c r="E155" t="inlineStr">
        <is>
          <t>Crémeux du Jura</t>
        </is>
      </c>
      <c r="F155" t="n">
        <v>19</v>
      </c>
      <c r="G155" t="inlineStr">
        <is>
          <t>n° 10 : 0,50 + n° 11 : 0,50</t>
        </is>
      </c>
      <c r="H155" t="n">
        <v>1</v>
      </c>
    </row>
    <row r="156">
      <c r="A156" t="inlineStr">
        <is>
          <t>2022-2023</t>
        </is>
      </c>
      <c r="B156" t="inlineStr">
        <is>
          <t>2022-05-15</t>
        </is>
      </c>
      <c r="C156" t="inlineStr">
        <is>
          <t>12:13</t>
        </is>
      </c>
      <c r="D156" t="inlineStr">
        <is>
          <t>n° 10 + n° 11</t>
        </is>
      </c>
      <c r="E156" t="inlineStr">
        <is>
          <t>ASSIETTE FRANC-COMTO</t>
        </is>
      </c>
      <c r="F156" t="n">
        <v>17.6</v>
      </c>
      <c r="G156" t="inlineStr">
        <is>
          <t>n° 10 : 0,50 + n° 11 : 0,50</t>
        </is>
      </c>
      <c r="H156" t="n">
        <v>1</v>
      </c>
    </row>
    <row r="157">
      <c r="A157" t="inlineStr">
        <is>
          <t>2022-2023</t>
        </is>
      </c>
      <c r="B157" t="inlineStr">
        <is>
          <t>2022-05-15</t>
        </is>
      </c>
      <c r="C157" t="inlineStr">
        <is>
          <t>12:13</t>
        </is>
      </c>
      <c r="D157" t="inlineStr">
        <is>
          <t>n° 10 + n° 11</t>
        </is>
      </c>
      <c r="E157" t="inlineStr">
        <is>
          <t>Crémant</t>
        </is>
      </c>
      <c r="F157" t="n">
        <v>3.9</v>
      </c>
      <c r="G157" t="inlineStr">
        <is>
          <t>n° 10 : 0,50 + n° 11 : 0,50</t>
        </is>
      </c>
      <c r="H157" t="n">
        <v>1</v>
      </c>
    </row>
    <row r="158">
      <c r="A158" t="inlineStr">
        <is>
          <t>2022-2023</t>
        </is>
      </c>
      <c r="B158" t="inlineStr">
        <is>
          <t>2022-05-15</t>
        </is>
      </c>
      <c r="C158" t="inlineStr">
        <is>
          <t>12:13</t>
        </is>
      </c>
      <c r="D158" t="inlineStr">
        <is>
          <t>n° 10 + n° 11</t>
        </is>
      </c>
      <c r="E158" t="inlineStr">
        <is>
          <t>Limonade (25cl)</t>
        </is>
      </c>
      <c r="F158" t="n">
        <v>3.9</v>
      </c>
      <c r="G158" t="inlineStr">
        <is>
          <t>n° 10 : 0,50 + n° 11 : 0,50</t>
        </is>
      </c>
      <c r="H158" t="n">
        <v>1</v>
      </c>
    </row>
    <row r="159">
      <c r="A159" t="inlineStr">
        <is>
          <t>2022-2023</t>
        </is>
      </c>
      <c r="B159" t="inlineStr">
        <is>
          <t>2022-05-15</t>
        </is>
      </c>
      <c r="C159" t="inlineStr">
        <is>
          <t>12:13</t>
        </is>
      </c>
      <c r="D159" t="inlineStr">
        <is>
          <t>n° 10 + n° 11</t>
        </is>
      </c>
      <c r="E159" t="inlineStr">
        <is>
          <t>Expresso</t>
        </is>
      </c>
      <c r="F159" t="n">
        <v>2.2</v>
      </c>
      <c r="G159" t="inlineStr">
        <is>
          <t>n° 10 : 0,50 + n° 11 : 0,50</t>
        </is>
      </c>
      <c r="H159" t="n">
        <v>1</v>
      </c>
    </row>
    <row r="160">
      <c r="A160" t="inlineStr">
        <is>
          <t>2022-2023</t>
        </is>
      </c>
      <c r="B160" t="inlineStr">
        <is>
          <t>2022-05-15</t>
        </is>
      </c>
      <c r="C160" t="inlineStr">
        <is>
          <t>12:13</t>
        </is>
      </c>
      <c r="D160" t="inlineStr">
        <is>
          <t>n° 10 + n° 11</t>
        </is>
      </c>
      <c r="E160" t="inlineStr">
        <is>
          <t>GLACE 1 BOULE</t>
        </is>
      </c>
      <c r="F160" t="n">
        <v>2</v>
      </c>
      <c r="G160" t="inlineStr">
        <is>
          <t>n° 10 : 0,50 + n° 11 : 0,50</t>
        </is>
      </c>
      <c r="H160" t="n">
        <v>1</v>
      </c>
    </row>
    <row r="161">
      <c r="A161" t="inlineStr">
        <is>
          <t>2022-2023</t>
        </is>
      </c>
      <c r="B161" t="inlineStr">
        <is>
          <t>2022-05-15</t>
        </is>
      </c>
      <c r="C161" t="inlineStr">
        <is>
          <t>13:22</t>
        </is>
      </c>
      <c r="D161" t="inlineStr">
        <is>
          <t>n° 18 + n° 19</t>
        </is>
      </c>
      <c r="E161" t="inlineStr">
        <is>
          <t>TRUITE PESTO</t>
        </is>
      </c>
      <c r="F161" t="n">
        <v>15.9</v>
      </c>
      <c r="G161" t="inlineStr">
        <is>
          <t>n° 18 : 0,50 + n° 19 : 0,50</t>
        </is>
      </c>
      <c r="H161" t="n">
        <v>1</v>
      </c>
    </row>
    <row r="162">
      <c r="A162" t="inlineStr">
        <is>
          <t>2022-2023</t>
        </is>
      </c>
      <c r="B162" t="inlineStr">
        <is>
          <t>2022-05-15</t>
        </is>
      </c>
      <c r="C162" t="inlineStr">
        <is>
          <t>13:22</t>
        </is>
      </c>
      <c r="D162" t="inlineStr">
        <is>
          <t>n° 18 + n° 19</t>
        </is>
      </c>
      <c r="E162" t="inlineStr">
        <is>
          <t>Père Gregoire</t>
        </is>
      </c>
      <c r="F162" t="n">
        <v>4.9</v>
      </c>
      <c r="G162" t="inlineStr">
        <is>
          <t>n° 18 : 0,50 + n° 19 : 0,50</t>
        </is>
      </c>
      <c r="H162" t="n">
        <v>1</v>
      </c>
    </row>
    <row r="163">
      <c r="A163" t="inlineStr">
        <is>
          <t>2022-2023</t>
        </is>
      </c>
      <c r="B163" t="inlineStr">
        <is>
          <t>2022-05-15</t>
        </is>
      </c>
      <c r="C163" t="inlineStr">
        <is>
          <t>13:22</t>
        </is>
      </c>
      <c r="D163" t="inlineStr">
        <is>
          <t>n° 18 + n° 19</t>
        </is>
      </c>
      <c r="E163" t="inlineStr">
        <is>
          <t>Crêpe Nutella</t>
        </is>
      </c>
      <c r="F163" t="n">
        <v>4.7</v>
      </c>
      <c r="G163" t="inlineStr">
        <is>
          <t>n° 18 : 0,50 + n° 19 : 0,50</t>
        </is>
      </c>
      <c r="H163" t="n">
        <v>1</v>
      </c>
    </row>
    <row r="164">
      <c r="A164" t="inlineStr">
        <is>
          <t>2022-2023</t>
        </is>
      </c>
      <c r="B164" t="inlineStr">
        <is>
          <t>2022-05-15</t>
        </is>
      </c>
      <c r="C164" t="inlineStr">
        <is>
          <t>13:22</t>
        </is>
      </c>
      <c r="D164" t="inlineStr">
        <is>
          <t>n° 18 + n° 19</t>
        </is>
      </c>
      <c r="E164" t="inlineStr">
        <is>
          <t>Comté</t>
        </is>
      </c>
      <c r="F164" t="n">
        <v>4</v>
      </c>
      <c r="G164" t="inlineStr">
        <is>
          <t>n° 18 : 0,50 + n° 19 : 0,50</t>
        </is>
      </c>
      <c r="H164" t="n">
        <v>1</v>
      </c>
    </row>
    <row r="165">
      <c r="A165" t="inlineStr">
        <is>
          <t>2022-2023</t>
        </is>
      </c>
      <c r="B165" t="inlineStr">
        <is>
          <t>2022-05-15</t>
        </is>
      </c>
      <c r="C165" t="inlineStr">
        <is>
          <t>13:22</t>
        </is>
      </c>
      <c r="D165" t="inlineStr">
        <is>
          <t>n° 18 + n° 19</t>
        </is>
      </c>
      <c r="E165" t="inlineStr">
        <is>
          <t>GLACE 2 BOULES</t>
        </is>
      </c>
      <c r="F165" t="n">
        <v>3.9</v>
      </c>
      <c r="G165" t="inlineStr">
        <is>
          <t>n° 18 : 0,50 + n° 19 : 0,50</t>
        </is>
      </c>
      <c r="H165" t="n">
        <v>1</v>
      </c>
    </row>
    <row r="166">
      <c r="A166" t="inlineStr">
        <is>
          <t>2022-2023</t>
        </is>
      </c>
      <c r="B166" t="inlineStr">
        <is>
          <t>2022-05-15</t>
        </is>
      </c>
      <c r="C166" t="inlineStr">
        <is>
          <t>13:22</t>
        </is>
      </c>
      <c r="D166" t="inlineStr">
        <is>
          <t>n° 18 + n° 19</t>
        </is>
      </c>
      <c r="E166" t="inlineStr">
        <is>
          <t>Pastis</t>
        </is>
      </c>
      <c r="F166" t="n">
        <v>3.8</v>
      </c>
      <c r="G166" t="inlineStr">
        <is>
          <t>n° 18 : 0,50 + n° 19 : 0,50</t>
        </is>
      </c>
      <c r="H166" t="n">
        <v>1</v>
      </c>
    </row>
    <row r="167">
      <c r="A167" t="inlineStr">
        <is>
          <t>2022-2023</t>
        </is>
      </c>
      <c r="B167" t="inlineStr">
        <is>
          <t>2022-05-15</t>
        </is>
      </c>
      <c r="C167" t="inlineStr">
        <is>
          <t>13:22</t>
        </is>
      </c>
      <c r="D167" t="inlineStr">
        <is>
          <t>n° 18 + n° 19</t>
        </is>
      </c>
      <c r="E167" t="inlineStr">
        <is>
          <t>Morbier</t>
        </is>
      </c>
      <c r="F167" t="n">
        <v>3.5</v>
      </c>
      <c r="G167" t="inlineStr">
        <is>
          <t>n° 18 : 0,50 + n° 19 : 0,50</t>
        </is>
      </c>
      <c r="H167" t="n">
        <v>1</v>
      </c>
    </row>
    <row r="168">
      <c r="A168" t="inlineStr">
        <is>
          <t>2022-2023</t>
        </is>
      </c>
      <c r="B168" t="inlineStr">
        <is>
          <t>2022-05-15</t>
        </is>
      </c>
      <c r="C168" t="inlineStr">
        <is>
          <t>13:22</t>
        </is>
      </c>
      <c r="D168" t="inlineStr">
        <is>
          <t>n° 18 + n° 19</t>
        </is>
      </c>
      <c r="E168" t="inlineStr">
        <is>
          <t>Galette nature</t>
        </is>
      </c>
      <c r="F168" t="n">
        <v>2.9</v>
      </c>
      <c r="G168" t="inlineStr">
        <is>
          <t>n° 18 : 0,50 + n° 19 : 0,50</t>
        </is>
      </c>
      <c r="H168" t="n">
        <v>1</v>
      </c>
    </row>
    <row r="169">
      <c r="A169" t="inlineStr">
        <is>
          <t>2022-2023</t>
        </is>
      </c>
      <c r="B169" t="inlineStr">
        <is>
          <t>2022-05-15</t>
        </is>
      </c>
      <c r="C169" t="inlineStr">
        <is>
          <t>13:22</t>
        </is>
      </c>
      <c r="D169" t="inlineStr">
        <is>
          <t>n° 18 + n° 19</t>
        </is>
      </c>
      <c r="E169" t="inlineStr">
        <is>
          <t>Œuf</t>
        </is>
      </c>
      <c r="F169" t="n">
        <v>0.9</v>
      </c>
      <c r="G169" t="inlineStr">
        <is>
          <t>n° 18 : 0,50 + n° 19 : 0,50</t>
        </is>
      </c>
      <c r="H169" t="n">
        <v>1</v>
      </c>
    </row>
    <row r="170">
      <c r="A170" t="inlineStr">
        <is>
          <t>2022-2023</t>
        </is>
      </c>
      <c r="B170" t="inlineStr">
        <is>
          <t>2022-05-18</t>
        </is>
      </c>
      <c r="C170" t="inlineStr">
        <is>
          <t>20:18</t>
        </is>
      </c>
      <c r="D170" t="inlineStr">
        <is>
          <t>n° 31 + n° 32</t>
        </is>
      </c>
      <c r="E170" t="inlineStr">
        <is>
          <t>Salade Régionale</t>
        </is>
      </c>
      <c r="F170" t="n">
        <v>19.9</v>
      </c>
      <c r="G170" t="inlineStr">
        <is>
          <t>n° 31 : 0,50 + n° 32 : 0,50</t>
        </is>
      </c>
      <c r="H170" t="n">
        <v>1</v>
      </c>
    </row>
    <row r="171">
      <c r="A171" t="inlineStr">
        <is>
          <t>2022-2023</t>
        </is>
      </c>
      <c r="B171" t="inlineStr">
        <is>
          <t>2022-05-18</t>
        </is>
      </c>
      <c r="C171" t="inlineStr">
        <is>
          <t>20:18</t>
        </is>
      </c>
      <c r="D171" t="inlineStr">
        <is>
          <t>n° 31 + n° 32</t>
        </is>
      </c>
      <c r="E171" t="inlineStr">
        <is>
          <t>ASSIETTE FRANC-COMTO</t>
        </is>
      </c>
      <c r="F171" t="n">
        <v>17.6</v>
      </c>
      <c r="G171" t="inlineStr">
        <is>
          <t>n° 31 : 0,50 + n° 32 : 0,50</t>
        </is>
      </c>
      <c r="H171" t="n">
        <v>1</v>
      </c>
    </row>
    <row r="172">
      <c r="A172" t="inlineStr">
        <is>
          <t>2022-2023</t>
        </is>
      </c>
      <c r="B172" t="inlineStr">
        <is>
          <t>2022-05-18</t>
        </is>
      </c>
      <c r="C172" t="inlineStr">
        <is>
          <t>20:18</t>
        </is>
      </c>
      <c r="D172" t="inlineStr">
        <is>
          <t>n° 31 + n° 32</t>
        </is>
      </c>
      <c r="E172" t="inlineStr">
        <is>
          <t>PASSION</t>
        </is>
      </c>
      <c r="F172" t="n">
        <v>5.8</v>
      </c>
      <c r="G172" t="inlineStr">
        <is>
          <t>n° 31 : 0,50 + n° 32 : 0,50</t>
        </is>
      </c>
      <c r="H172" t="n">
        <v>1</v>
      </c>
    </row>
    <row r="173">
      <c r="A173" t="inlineStr">
        <is>
          <t>2022-2023</t>
        </is>
      </c>
      <c r="B173" t="inlineStr">
        <is>
          <t>2022-05-18</t>
        </is>
      </c>
      <c r="C173" t="inlineStr">
        <is>
          <t>20:18</t>
        </is>
      </c>
      <c r="D173" t="inlineStr">
        <is>
          <t>n° 31 + n° 32</t>
        </is>
      </c>
      <c r="E173" t="inlineStr">
        <is>
          <t>GLACE 2 BOULES</t>
        </is>
      </c>
      <c r="F173" t="n">
        <v>3.9</v>
      </c>
      <c r="G173" t="inlineStr">
        <is>
          <t>n° 31 : 0,50 + n° 32 : 0,50</t>
        </is>
      </c>
      <c r="H173" t="n">
        <v>1</v>
      </c>
    </row>
    <row r="174">
      <c r="A174" t="inlineStr">
        <is>
          <t>2022-2023</t>
        </is>
      </c>
      <c r="B174" t="inlineStr">
        <is>
          <t>2022-05-19</t>
        </is>
      </c>
      <c r="C174" t="inlineStr">
        <is>
          <t>12:39</t>
        </is>
      </c>
      <c r="D174" t="inlineStr">
        <is>
          <t>n° 7 + n° 8</t>
        </is>
      </c>
      <c r="E174" t="inlineStr">
        <is>
          <t>ASSIETTE PERE GREGOI</t>
        </is>
      </c>
      <c r="F174" t="n">
        <v>17.6</v>
      </c>
      <c r="G174" t="inlineStr">
        <is>
          <t>n° 7 : 0,50 + n° 8 : 0,50</t>
        </is>
      </c>
      <c r="H174" t="n">
        <v>1</v>
      </c>
    </row>
    <row r="175">
      <c r="A175" t="inlineStr">
        <is>
          <t>2022-2023</t>
        </is>
      </c>
      <c r="B175" t="inlineStr">
        <is>
          <t>2022-05-19</t>
        </is>
      </c>
      <c r="C175" t="inlineStr">
        <is>
          <t>12:39</t>
        </is>
      </c>
      <c r="D175" t="inlineStr">
        <is>
          <t>n° 7 + n° 8</t>
        </is>
      </c>
      <c r="E175" t="inlineStr">
        <is>
          <t>Crêpe Nutella</t>
        </is>
      </c>
      <c r="F175" t="n">
        <v>4.7</v>
      </c>
      <c r="G175" t="inlineStr">
        <is>
          <t>n° 7 : 0,50 + n° 8 : 0,50</t>
        </is>
      </c>
      <c r="H175" t="n">
        <v>1</v>
      </c>
    </row>
    <row r="176">
      <c r="A176" t="inlineStr">
        <is>
          <t>2022-2023</t>
        </is>
      </c>
      <c r="B176" t="inlineStr">
        <is>
          <t>2022-05-19</t>
        </is>
      </c>
      <c r="C176" t="inlineStr">
        <is>
          <t>12:39</t>
        </is>
      </c>
      <c r="D176" t="inlineStr">
        <is>
          <t>n° 7 + n° 8</t>
        </is>
      </c>
      <c r="E176" t="inlineStr">
        <is>
          <t>Fromage de Chèvre</t>
        </is>
      </c>
      <c r="F176" t="n">
        <v>3.9</v>
      </c>
      <c r="G176" t="inlineStr">
        <is>
          <t>n° 7 : 0,50 + n° 8 : 0,50</t>
        </is>
      </c>
      <c r="H176" t="n">
        <v>1</v>
      </c>
    </row>
    <row r="177">
      <c r="A177" t="inlineStr">
        <is>
          <t>2022-2023</t>
        </is>
      </c>
      <c r="B177" t="inlineStr">
        <is>
          <t>2022-05-19</t>
        </is>
      </c>
      <c r="C177" t="inlineStr">
        <is>
          <t>12:39</t>
        </is>
      </c>
      <c r="D177" t="inlineStr">
        <is>
          <t>n° 7 + n° 8</t>
        </is>
      </c>
      <c r="E177" t="inlineStr">
        <is>
          <t>Galette nature</t>
        </is>
      </c>
      <c r="F177" t="n">
        <v>2.9</v>
      </c>
      <c r="G177" t="inlineStr">
        <is>
          <t>n° 7 : 0,50 + n° 8 : 0,50</t>
        </is>
      </c>
      <c r="H177" t="n">
        <v>1</v>
      </c>
    </row>
    <row r="178">
      <c r="A178" t="inlineStr">
        <is>
          <t>2022-2023</t>
        </is>
      </c>
      <c r="B178" t="inlineStr">
        <is>
          <t>2022-05-19</t>
        </is>
      </c>
      <c r="C178" t="inlineStr">
        <is>
          <t>12:39</t>
        </is>
      </c>
      <c r="D178" t="inlineStr">
        <is>
          <t>n° 7 + n° 8</t>
        </is>
      </c>
      <c r="E178" t="inlineStr">
        <is>
          <t>Crêpe nature</t>
        </is>
      </c>
      <c r="F178" t="n">
        <v>2.9</v>
      </c>
      <c r="G178" t="inlineStr">
        <is>
          <t>n° 7 : 0,50 + n° 8 : 0,50</t>
        </is>
      </c>
      <c r="H178" t="n">
        <v>1</v>
      </c>
    </row>
    <row r="179">
      <c r="A179" t="inlineStr">
        <is>
          <t>2022-2023</t>
        </is>
      </c>
      <c r="B179" t="inlineStr">
        <is>
          <t>2022-05-19</t>
        </is>
      </c>
      <c r="C179" t="inlineStr">
        <is>
          <t>12:39</t>
        </is>
      </c>
      <c r="D179" t="inlineStr">
        <is>
          <t>n° 7 + n° 8</t>
        </is>
      </c>
      <c r="E179" t="inlineStr">
        <is>
          <t>CHANTILLY</t>
        </is>
      </c>
      <c r="F179" t="n">
        <v>1.8</v>
      </c>
      <c r="G179" t="inlineStr">
        <is>
          <t>n° 7 : 0,50 + n° 8 : 0,50</t>
        </is>
      </c>
      <c r="H179" t="n">
        <v>1</v>
      </c>
    </row>
    <row r="180">
      <c r="A180" t="inlineStr">
        <is>
          <t>2022-2023</t>
        </is>
      </c>
      <c r="B180" t="inlineStr">
        <is>
          <t>2022-05-19</t>
        </is>
      </c>
      <c r="C180" t="inlineStr">
        <is>
          <t>12:39</t>
        </is>
      </c>
      <c r="D180" t="inlineStr">
        <is>
          <t>n° 7 + n° 8</t>
        </is>
      </c>
      <c r="E180" t="inlineStr">
        <is>
          <t>Crème Fraîche</t>
        </is>
      </c>
      <c r="F180" t="n">
        <v>1.4</v>
      </c>
      <c r="G180" t="inlineStr">
        <is>
          <t>n° 7 : 0,50 + n° 8 : 0,50</t>
        </is>
      </c>
      <c r="H180" t="n">
        <v>1</v>
      </c>
    </row>
    <row r="181">
      <c r="A181" t="inlineStr">
        <is>
          <t>2022-2023</t>
        </is>
      </c>
      <c r="B181" t="inlineStr">
        <is>
          <t>2022-05-21</t>
        </is>
      </c>
      <c r="C181" t="inlineStr">
        <is>
          <t>12:32</t>
        </is>
      </c>
      <c r="D181" t="inlineStr">
        <is>
          <t>n° 11 + n° 12</t>
        </is>
      </c>
      <c r="E181" t="inlineStr">
        <is>
          <t>Menu Franc-Comtois</t>
        </is>
      </c>
      <c r="F181" t="n">
        <v>32</v>
      </c>
      <c r="G181" t="inlineStr">
        <is>
          <t>n° 11 : 0,50 + n° 12 : 0,50</t>
        </is>
      </c>
      <c r="H181" t="n">
        <v>1</v>
      </c>
    </row>
    <row r="182">
      <c r="A182" t="inlineStr">
        <is>
          <t>2022-2023</t>
        </is>
      </c>
      <c r="B182" t="inlineStr">
        <is>
          <t>2022-05-21</t>
        </is>
      </c>
      <c r="C182" t="inlineStr">
        <is>
          <t>12:32</t>
        </is>
      </c>
      <c r="D182" t="inlineStr">
        <is>
          <t>n° 11 + n° 12</t>
        </is>
      </c>
      <c r="E182" t="inlineStr">
        <is>
          <t>Mambo</t>
        </is>
      </c>
      <c r="F182" t="n">
        <v>6.5</v>
      </c>
      <c r="G182" t="inlineStr">
        <is>
          <t>n° 11 : 0,50 + n° 12 : 0,50</t>
        </is>
      </c>
      <c r="H182" t="n">
        <v>1</v>
      </c>
    </row>
    <row r="183">
      <c r="A183" t="inlineStr">
        <is>
          <t>2022-2023</t>
        </is>
      </c>
      <c r="B183" t="inlineStr">
        <is>
          <t>2022-05-21</t>
        </is>
      </c>
      <c r="C183" t="inlineStr">
        <is>
          <t>12:32</t>
        </is>
      </c>
      <c r="D183" t="inlineStr">
        <is>
          <t>n° 11 + n° 12</t>
        </is>
      </c>
      <c r="E183" t="inlineStr">
        <is>
          <t>Expresso</t>
        </is>
      </c>
      <c r="F183" t="n">
        <v>2.2</v>
      </c>
      <c r="G183" t="inlineStr">
        <is>
          <t>n° 11 : 1,50 + n° 12 : 1,50</t>
        </is>
      </c>
      <c r="H183" t="n">
        <v>3</v>
      </c>
    </row>
    <row r="184">
      <c r="A184" t="inlineStr">
        <is>
          <t>2022-2023</t>
        </is>
      </c>
      <c r="B184" t="inlineStr">
        <is>
          <t>2022-05-22</t>
        </is>
      </c>
      <c r="C184" t="inlineStr">
        <is>
          <t>12:58</t>
        </is>
      </c>
      <c r="D184" t="inlineStr">
        <is>
          <t>n° 10 + n° 11</t>
        </is>
      </c>
      <c r="E184" t="inlineStr">
        <is>
          <t>Salade Végétarienne</t>
        </is>
      </c>
      <c r="F184" t="n">
        <v>19.9</v>
      </c>
      <c r="G184" t="inlineStr">
        <is>
          <t>n° 10 : 0,50 + n° 11 : 0,50</t>
        </is>
      </c>
      <c r="H184" t="n">
        <v>1</v>
      </c>
    </row>
    <row r="185">
      <c r="A185" t="inlineStr">
        <is>
          <t>2022-2023</t>
        </is>
      </c>
      <c r="B185" t="inlineStr">
        <is>
          <t>2022-05-22</t>
        </is>
      </c>
      <c r="C185" t="inlineStr">
        <is>
          <t>12:58</t>
        </is>
      </c>
      <c r="D185" t="inlineStr">
        <is>
          <t>n° 10 + n° 11</t>
        </is>
      </c>
      <c r="E185" t="inlineStr">
        <is>
          <t>Crêpe Nutella</t>
        </is>
      </c>
      <c r="F185" t="n">
        <v>4.7</v>
      </c>
      <c r="G185" t="inlineStr">
        <is>
          <t>n° 10 : 0,50 + n° 11 : 0,50</t>
        </is>
      </c>
      <c r="H185" t="n">
        <v>1</v>
      </c>
    </row>
    <row r="186">
      <c r="A186" t="inlineStr">
        <is>
          <t>2022-2023</t>
        </is>
      </c>
      <c r="B186" t="inlineStr">
        <is>
          <t>2022-05-22</t>
        </is>
      </c>
      <c r="C186" t="inlineStr">
        <is>
          <t>12:58</t>
        </is>
      </c>
      <c r="D186" t="inlineStr">
        <is>
          <t>n° 10 + n° 11</t>
        </is>
      </c>
      <c r="E186" t="inlineStr">
        <is>
          <t>Coca (25cl)</t>
        </is>
      </c>
      <c r="F186" t="n">
        <v>3.9</v>
      </c>
      <c r="G186" t="inlineStr">
        <is>
          <t>n° 10 : 0,50 + n° 11 : 0,50</t>
        </is>
      </c>
      <c r="H186" t="n">
        <v>1</v>
      </c>
    </row>
    <row r="187">
      <c r="A187" t="inlineStr">
        <is>
          <t>2022-2023</t>
        </is>
      </c>
      <c r="B187" t="inlineStr">
        <is>
          <t>2022-05-22</t>
        </is>
      </c>
      <c r="C187" t="inlineStr">
        <is>
          <t>12:58</t>
        </is>
      </c>
      <c r="D187" t="inlineStr">
        <is>
          <t>n° 10 + n° 11</t>
        </is>
      </c>
      <c r="E187" t="inlineStr">
        <is>
          <t>Limonade (25cl)</t>
        </is>
      </c>
      <c r="F187" t="n">
        <v>3.9</v>
      </c>
      <c r="G187" t="inlineStr">
        <is>
          <t>n° 10 : 0,50 + n° 11 : 0,50</t>
        </is>
      </c>
      <c r="H187" t="n">
        <v>1</v>
      </c>
    </row>
    <row r="188">
      <c r="A188" t="inlineStr">
        <is>
          <t>2022-2023</t>
        </is>
      </c>
      <c r="B188" t="inlineStr">
        <is>
          <t>2022-05-22</t>
        </is>
      </c>
      <c r="C188" t="inlineStr">
        <is>
          <t>13:29</t>
        </is>
      </c>
      <c r="D188" t="inlineStr">
        <is>
          <t>n° 15 + n° 16</t>
        </is>
      </c>
      <c r="E188" t="inlineStr">
        <is>
          <t>Chablis</t>
        </is>
      </c>
      <c r="F188" t="n">
        <v>39.5</v>
      </c>
      <c r="G188" t="inlineStr">
        <is>
          <t>n° 15 : 0,50 + n° 16 : 0,50</t>
        </is>
      </c>
      <c r="H188" t="n">
        <v>1</v>
      </c>
    </row>
    <row r="189">
      <c r="A189" t="inlineStr">
        <is>
          <t>2022-2023</t>
        </is>
      </c>
      <c r="B189" t="inlineStr">
        <is>
          <t>2022-05-22</t>
        </is>
      </c>
      <c r="C189" t="inlineStr">
        <is>
          <t>13:29</t>
        </is>
      </c>
      <c r="D189" t="inlineStr">
        <is>
          <t>n° 15 + n° 16</t>
        </is>
      </c>
      <c r="E189" t="inlineStr">
        <is>
          <t>BURGER COMTOIS</t>
        </is>
      </c>
      <c r="F189" t="n">
        <v>19</v>
      </c>
      <c r="G189" t="inlineStr">
        <is>
          <t>n° 15 : 0,50 + n° 16 : 0,50</t>
        </is>
      </c>
      <c r="H189" t="n">
        <v>1</v>
      </c>
    </row>
    <row r="190">
      <c r="A190" t="inlineStr">
        <is>
          <t>2022-2023</t>
        </is>
      </c>
      <c r="B190" t="inlineStr">
        <is>
          <t>2022-05-22</t>
        </is>
      </c>
      <c r="C190" t="inlineStr">
        <is>
          <t>13:29</t>
        </is>
      </c>
      <c r="D190" t="inlineStr">
        <is>
          <t>n° 15 + n° 16</t>
        </is>
      </c>
      <c r="E190" t="inlineStr">
        <is>
          <t>CAMEMBERT ROTI</t>
        </is>
      </c>
      <c r="F190" t="n">
        <v>17.6</v>
      </c>
      <c r="G190" t="inlineStr">
        <is>
          <t>n° 15 : 0,50 + n° 16 : 0,50</t>
        </is>
      </c>
      <c r="H190" t="n">
        <v>1</v>
      </c>
    </row>
    <row r="191">
      <c r="A191" t="inlineStr">
        <is>
          <t>2022-2023</t>
        </is>
      </c>
      <c r="B191" t="inlineStr">
        <is>
          <t>2022-05-22</t>
        </is>
      </c>
      <c r="C191" t="inlineStr">
        <is>
          <t>13:29</t>
        </is>
      </c>
      <c r="D191" t="inlineStr">
        <is>
          <t>n° 15 + n° 16</t>
        </is>
      </c>
      <c r="E191" t="inlineStr">
        <is>
          <t>TRUITE JURASSIENNE</t>
        </is>
      </c>
      <c r="F191" t="n">
        <v>17.6</v>
      </c>
      <c r="G191" t="inlineStr">
        <is>
          <t>n° 15 : 0,50 + n° 16 : 0,50</t>
        </is>
      </c>
      <c r="H191" t="n">
        <v>1</v>
      </c>
    </row>
    <row r="192">
      <c r="A192" t="inlineStr">
        <is>
          <t>2022-2023</t>
        </is>
      </c>
      <c r="B192" t="inlineStr">
        <is>
          <t>2022-05-22</t>
        </is>
      </c>
      <c r="C192" t="inlineStr">
        <is>
          <t>13:29</t>
        </is>
      </c>
      <c r="D192" t="inlineStr">
        <is>
          <t>n° 15 + n° 16</t>
        </is>
      </c>
      <c r="E192" t="inlineStr">
        <is>
          <t>TRUITE PESTO</t>
        </is>
      </c>
      <c r="F192" t="n">
        <v>15.9</v>
      </c>
      <c r="G192" t="inlineStr">
        <is>
          <t>n° 15 : 0,50 + n° 16 : 0,50</t>
        </is>
      </c>
      <c r="H192" t="n">
        <v>1</v>
      </c>
    </row>
    <row r="193">
      <c r="A193" t="inlineStr">
        <is>
          <t>2022-2023</t>
        </is>
      </c>
      <c r="B193" t="inlineStr">
        <is>
          <t>2022-05-22</t>
        </is>
      </c>
      <c r="C193" t="inlineStr">
        <is>
          <t>13:29</t>
        </is>
      </c>
      <c r="D193" t="inlineStr">
        <is>
          <t>n° 15 + n° 16</t>
        </is>
      </c>
      <c r="E193" t="inlineStr">
        <is>
          <t>Chat perché</t>
        </is>
      </c>
      <c r="F193" t="n">
        <v>5.2</v>
      </c>
      <c r="G193" t="inlineStr">
        <is>
          <t>n° 15 : 0,50 + n° 16 : 0,50</t>
        </is>
      </c>
      <c r="H193" t="n">
        <v>1</v>
      </c>
    </row>
    <row r="194">
      <c r="A194" t="inlineStr">
        <is>
          <t>2022-2023</t>
        </is>
      </c>
      <c r="B194" t="inlineStr">
        <is>
          <t>2022-05-22</t>
        </is>
      </c>
      <c r="C194" t="inlineStr">
        <is>
          <t>13:29</t>
        </is>
      </c>
      <c r="D194" t="inlineStr">
        <is>
          <t>n° 15 + n° 16</t>
        </is>
      </c>
      <c r="E194" t="inlineStr">
        <is>
          <t>Père Gregoire</t>
        </is>
      </c>
      <c r="F194" t="n">
        <v>4.9</v>
      </c>
      <c r="G194" t="inlineStr">
        <is>
          <t>n° 15 : 1,50 + n° 16 : 1,50</t>
        </is>
      </c>
      <c r="H194" t="n">
        <v>3</v>
      </c>
    </row>
    <row r="195">
      <c r="A195" t="inlineStr">
        <is>
          <t>2022-2023</t>
        </is>
      </c>
      <c r="B195" t="inlineStr">
        <is>
          <t>2022-05-25</t>
        </is>
      </c>
      <c r="C195" t="inlineStr">
        <is>
          <t>19:53</t>
        </is>
      </c>
      <c r="D195" t="inlineStr">
        <is>
          <t>n° 24 + n° 25</t>
        </is>
      </c>
      <c r="E195" t="inlineStr">
        <is>
          <t>Entrecôte Forestiére</t>
        </is>
      </c>
      <c r="F195" t="n">
        <v>27.8</v>
      </c>
      <c r="G195" t="inlineStr">
        <is>
          <t>n° 24 : 0,50 + n° 25 : 0,50</t>
        </is>
      </c>
      <c r="H195" t="n">
        <v>1</v>
      </c>
    </row>
    <row r="196">
      <c r="A196" t="inlineStr">
        <is>
          <t>2022-2023</t>
        </is>
      </c>
      <c r="B196" t="inlineStr">
        <is>
          <t>2022-05-25</t>
        </is>
      </c>
      <c r="C196" t="inlineStr">
        <is>
          <t>19:53</t>
        </is>
      </c>
      <c r="D196" t="inlineStr">
        <is>
          <t>n° 24 + n° 25</t>
        </is>
      </c>
      <c r="E196" t="inlineStr">
        <is>
          <t>Crémeux du Jura</t>
        </is>
      </c>
      <c r="F196" t="n">
        <v>19</v>
      </c>
      <c r="G196" t="inlineStr">
        <is>
          <t>n° 24 : 0,50 + n° 25 : 0,50</t>
        </is>
      </c>
      <c r="H196" t="n">
        <v>1</v>
      </c>
    </row>
    <row r="197">
      <c r="A197" t="inlineStr">
        <is>
          <t>2022-2023</t>
        </is>
      </c>
      <c r="B197" t="inlineStr">
        <is>
          <t>2022-05-25</t>
        </is>
      </c>
      <c r="C197" t="inlineStr">
        <is>
          <t>19:53</t>
        </is>
      </c>
      <c r="D197" t="inlineStr">
        <is>
          <t>n° 24 + n° 25</t>
        </is>
      </c>
      <c r="E197" t="inlineStr">
        <is>
          <t>TANTE ARIE</t>
        </is>
      </c>
      <c r="F197" t="n">
        <v>8.5</v>
      </c>
      <c r="G197" t="inlineStr">
        <is>
          <t>n° 24 : 0,50 + n° 25 : 0,50</t>
        </is>
      </c>
      <c r="H197" t="n">
        <v>1</v>
      </c>
    </row>
    <row r="198">
      <c r="A198" t="inlineStr">
        <is>
          <t>2022-2023</t>
        </is>
      </c>
      <c r="B198" t="inlineStr">
        <is>
          <t>2022-05-25</t>
        </is>
      </c>
      <c r="C198" t="inlineStr">
        <is>
          <t>19:53</t>
        </is>
      </c>
      <c r="D198" t="inlineStr">
        <is>
          <t>n° 24 + n° 25</t>
        </is>
      </c>
      <c r="E198" t="inlineStr">
        <is>
          <t>Mi</t>
        </is>
      </c>
      <c r="F198" t="n">
        <v>8.5</v>
      </c>
      <c r="G198" t="inlineStr">
        <is>
          <t>n° 24 : 0,50 + n° 25 : 0,50</t>
        </is>
      </c>
      <c r="H198" t="n">
        <v>1</v>
      </c>
    </row>
    <row r="199">
      <c r="A199" t="inlineStr">
        <is>
          <t>2022-2023</t>
        </is>
      </c>
      <c r="B199" t="inlineStr">
        <is>
          <t>2022-05-25</t>
        </is>
      </c>
      <c r="C199" t="inlineStr">
        <is>
          <t>19:53</t>
        </is>
      </c>
      <c r="D199" t="inlineStr">
        <is>
          <t>n° 24 + n° 25</t>
        </is>
      </c>
      <c r="E199" t="inlineStr">
        <is>
          <t>VERRE H.C.DE BEAUNE</t>
        </is>
      </c>
      <c r="F199" t="n">
        <v>7.9</v>
      </c>
      <c r="G199" t="inlineStr">
        <is>
          <t>n° 24 : 0,50 + n° 25 : 0,50</t>
        </is>
      </c>
      <c r="H199" t="n">
        <v>1</v>
      </c>
    </row>
    <row r="200">
      <c r="A200" t="inlineStr">
        <is>
          <t>2022-2023</t>
        </is>
      </c>
      <c r="B200" t="inlineStr">
        <is>
          <t>2022-05-25</t>
        </is>
      </c>
      <c r="C200" t="inlineStr">
        <is>
          <t>19:53</t>
        </is>
      </c>
      <c r="D200" t="inlineStr">
        <is>
          <t>n° 24 + n° 25</t>
        </is>
      </c>
      <c r="E200" t="inlineStr">
        <is>
          <t>C du  Rhone St Josep</t>
        </is>
      </c>
      <c r="F200" t="n">
        <v>7.2</v>
      </c>
      <c r="G200" t="inlineStr">
        <is>
          <t>n° 24 : 0,50 + n° 25 : 0,50</t>
        </is>
      </c>
      <c r="H200" t="n">
        <v>1</v>
      </c>
    </row>
    <row r="201">
      <c r="A201" t="inlineStr">
        <is>
          <t>2022-2023</t>
        </is>
      </c>
      <c r="B201" t="inlineStr">
        <is>
          <t>2022-05-25</t>
        </is>
      </c>
      <c r="C201" t="inlineStr">
        <is>
          <t>19:53</t>
        </is>
      </c>
      <c r="D201" t="inlineStr">
        <is>
          <t>n° 24 + n° 25</t>
        </is>
      </c>
      <c r="E201" t="inlineStr">
        <is>
          <t>Savagnin verre</t>
        </is>
      </c>
      <c r="F201" t="n">
        <v>7.2</v>
      </c>
      <c r="G201" t="inlineStr">
        <is>
          <t>n° 24 : 0,50 + n° 25 : 0,50</t>
        </is>
      </c>
      <c r="H201" t="n">
        <v>1</v>
      </c>
    </row>
    <row r="202">
      <c r="A202" t="inlineStr">
        <is>
          <t>2022-2023</t>
        </is>
      </c>
      <c r="B202" t="inlineStr">
        <is>
          <t>2022-05-26</t>
        </is>
      </c>
      <c r="C202" t="inlineStr">
        <is>
          <t>11:59</t>
        </is>
      </c>
      <c r="D202" t="inlineStr">
        <is>
          <t>n° 3 + n° 4</t>
        </is>
      </c>
      <c r="E202" t="inlineStr">
        <is>
          <t>MORTEAU GRILLEE</t>
        </is>
      </c>
      <c r="F202" t="n">
        <v>17.6</v>
      </c>
      <c r="G202" t="inlineStr">
        <is>
          <t>n° 3 : 0,50 + n° 4 : 0,50</t>
        </is>
      </c>
      <c r="H202" t="n">
        <v>1</v>
      </c>
    </row>
    <row r="203">
      <c r="A203" t="inlineStr">
        <is>
          <t>2022-2023</t>
        </is>
      </c>
      <c r="B203" t="inlineStr">
        <is>
          <t>2022-05-26</t>
        </is>
      </c>
      <c r="C203" t="inlineStr">
        <is>
          <t>11:59</t>
        </is>
      </c>
      <c r="D203" t="inlineStr">
        <is>
          <t>n° 3 + n° 4</t>
        </is>
      </c>
      <c r="E203" t="inlineStr">
        <is>
          <t>TRUITE PESTO</t>
        </is>
      </c>
      <c r="F203" t="n">
        <v>15.9</v>
      </c>
      <c r="G203" t="inlineStr">
        <is>
          <t>n° 3 : 0,50 + n° 4 : 0,50</t>
        </is>
      </c>
      <c r="H203" t="n">
        <v>1</v>
      </c>
    </row>
    <row r="204">
      <c r="A204" t="inlineStr">
        <is>
          <t>2022-2023</t>
        </is>
      </c>
      <c r="B204" t="inlineStr">
        <is>
          <t>2022-05-26</t>
        </is>
      </c>
      <c r="C204" t="inlineStr">
        <is>
          <t>11:59</t>
        </is>
      </c>
      <c r="D204" t="inlineStr">
        <is>
          <t>n° 3 + n° 4</t>
        </is>
      </c>
      <c r="E204" t="inlineStr">
        <is>
          <t>Menu Bambin</t>
        </is>
      </c>
      <c r="F204" t="n">
        <v>6.9</v>
      </c>
      <c r="G204" t="inlineStr">
        <is>
          <t>n° 3 : 0,50 + n° 4 : 0,50</t>
        </is>
      </c>
      <c r="H204" t="n">
        <v>1</v>
      </c>
    </row>
    <row r="205">
      <c r="A205" t="inlineStr">
        <is>
          <t>2022-2023</t>
        </is>
      </c>
      <c r="B205" t="inlineStr">
        <is>
          <t>2022-05-26</t>
        </is>
      </c>
      <c r="C205" t="inlineStr">
        <is>
          <t>11:59</t>
        </is>
      </c>
      <c r="D205" t="inlineStr">
        <is>
          <t>n° 3 + n° 4</t>
        </is>
      </c>
      <c r="E205" t="inlineStr">
        <is>
          <t>Coca (25cl)</t>
        </is>
      </c>
      <c r="F205" t="n">
        <v>3.9</v>
      </c>
      <c r="G205" t="inlineStr">
        <is>
          <t>n° 3 : 0,50 + n° 4 : 0,50</t>
        </is>
      </c>
      <c r="H205" t="n">
        <v>1</v>
      </c>
    </row>
    <row r="206">
      <c r="A206" t="inlineStr">
        <is>
          <t>2022-2023</t>
        </is>
      </c>
      <c r="B206" t="inlineStr">
        <is>
          <t>2022-05-26</t>
        </is>
      </c>
      <c r="C206" t="inlineStr">
        <is>
          <t>11:59</t>
        </is>
      </c>
      <c r="D206" t="inlineStr">
        <is>
          <t>n° 3 + n° 4</t>
        </is>
      </c>
      <c r="E206" t="inlineStr">
        <is>
          <t>Limonade (25cl)</t>
        </is>
      </c>
      <c r="F206" t="n">
        <v>3.9</v>
      </c>
      <c r="G206" t="inlineStr">
        <is>
          <t>n° 3 : 0,50 + n° 4 : 0,50</t>
        </is>
      </c>
      <c r="H206" t="n">
        <v>1</v>
      </c>
    </row>
    <row r="207">
      <c r="A207" t="inlineStr">
        <is>
          <t>2022-2023</t>
        </is>
      </c>
      <c r="B207" t="inlineStr">
        <is>
          <t>2022-05-26</t>
        </is>
      </c>
      <c r="C207" t="inlineStr">
        <is>
          <t>11:59</t>
        </is>
      </c>
      <c r="D207" t="inlineStr">
        <is>
          <t>n° 3 + n° 4</t>
        </is>
      </c>
      <c r="E207" t="inlineStr">
        <is>
          <t>Déca</t>
        </is>
      </c>
      <c r="F207" t="n">
        <v>2.2</v>
      </c>
      <c r="G207" t="inlineStr">
        <is>
          <t>n° 3 : 0,50 + n° 4 : 0,50</t>
        </is>
      </c>
      <c r="H207" t="n">
        <v>1</v>
      </c>
    </row>
    <row r="208">
      <c r="A208" t="inlineStr">
        <is>
          <t>2022-2023</t>
        </is>
      </c>
      <c r="B208" t="inlineStr">
        <is>
          <t>2022-05-26</t>
        </is>
      </c>
      <c r="C208" t="inlineStr">
        <is>
          <t>13:02</t>
        </is>
      </c>
      <c r="D208" t="inlineStr">
        <is>
          <t>n° 13 + n° 14</t>
        </is>
      </c>
      <c r="E208" t="inlineStr">
        <is>
          <t>Arbois Trousseau Bou</t>
        </is>
      </c>
      <c r="F208" t="n">
        <v>32</v>
      </c>
      <c r="G208" t="inlineStr">
        <is>
          <t>n° 13 : 0,50 + n° 14 : 0,50</t>
        </is>
      </c>
      <c r="H208" t="n">
        <v>1</v>
      </c>
    </row>
    <row r="209">
      <c r="A209" t="inlineStr">
        <is>
          <t>2022-2023</t>
        </is>
      </c>
      <c r="B209" t="inlineStr">
        <is>
          <t>2022-05-26</t>
        </is>
      </c>
      <c r="C209" t="inlineStr">
        <is>
          <t>13:02</t>
        </is>
      </c>
      <c r="D209" t="inlineStr">
        <is>
          <t>n° 13 + n° 14</t>
        </is>
      </c>
      <c r="E209" t="inlineStr">
        <is>
          <t>Poulet aux Morilles</t>
        </is>
      </c>
      <c r="F209" t="n">
        <v>28.6</v>
      </c>
      <c r="G209" t="inlineStr">
        <is>
          <t>n° 13 : 0,50 + n° 14 : 0,50</t>
        </is>
      </c>
      <c r="H209" t="n">
        <v>1</v>
      </c>
    </row>
    <row r="210">
      <c r="A210" t="inlineStr">
        <is>
          <t>2022-2023</t>
        </is>
      </c>
      <c r="B210" t="inlineStr">
        <is>
          <t>2022-05-26</t>
        </is>
      </c>
      <c r="C210" t="inlineStr">
        <is>
          <t>13:02</t>
        </is>
      </c>
      <c r="D210" t="inlineStr">
        <is>
          <t>n° 13 + n° 14</t>
        </is>
      </c>
      <c r="E210" t="inlineStr">
        <is>
          <t>Saint Véran Verre</t>
        </is>
      </c>
      <c r="F210" t="n">
        <v>7.9</v>
      </c>
      <c r="G210" t="inlineStr">
        <is>
          <t>n° 13 : 0,50 + n° 14 : 0,50</t>
        </is>
      </c>
      <c r="H210" t="n">
        <v>1</v>
      </c>
    </row>
    <row r="211">
      <c r="A211" t="inlineStr">
        <is>
          <t>2022-2023</t>
        </is>
      </c>
      <c r="B211" t="inlineStr">
        <is>
          <t>2022-05-26</t>
        </is>
      </c>
      <c r="C211" t="inlineStr">
        <is>
          <t>13:02</t>
        </is>
      </c>
      <c r="D211" t="inlineStr">
        <is>
          <t>n° 13 + n° 14</t>
        </is>
      </c>
      <c r="E211" t="inlineStr">
        <is>
          <t>Jus de Fruit</t>
        </is>
      </c>
      <c r="F211" t="n">
        <v>3.9</v>
      </c>
      <c r="G211" t="inlineStr">
        <is>
          <t>n° 13 : 0,50 + n° 14 : 0,50</t>
        </is>
      </c>
      <c r="H211" t="n">
        <v>1</v>
      </c>
    </row>
    <row r="212">
      <c r="A212" t="inlineStr">
        <is>
          <t>2022-2023</t>
        </is>
      </c>
      <c r="B212" t="inlineStr">
        <is>
          <t>2022-05-26</t>
        </is>
      </c>
      <c r="C212" t="inlineStr">
        <is>
          <t>13:02</t>
        </is>
      </c>
      <c r="D212" t="inlineStr">
        <is>
          <t>n° 13 + n° 14</t>
        </is>
      </c>
      <c r="E212" t="inlineStr">
        <is>
          <t>Pontarlier</t>
        </is>
      </c>
      <c r="F212" t="n">
        <v>3.8</v>
      </c>
      <c r="G212" t="inlineStr">
        <is>
          <t>n° 13 : 0,50 + n° 14 : 0,50</t>
        </is>
      </c>
      <c r="H212" t="n">
        <v>1</v>
      </c>
    </row>
    <row r="213">
      <c r="A213" t="inlineStr">
        <is>
          <t>2022-2023</t>
        </is>
      </c>
      <c r="B213" t="inlineStr">
        <is>
          <t>2022-05-26</t>
        </is>
      </c>
      <c r="C213" t="inlineStr">
        <is>
          <t>20:20</t>
        </is>
      </c>
      <c r="D213" t="inlineStr">
        <is>
          <t>n° 28 + n° 29</t>
        </is>
      </c>
      <c r="E213" t="inlineStr">
        <is>
          <t>GLACE 2 BOULES</t>
        </is>
      </c>
      <c r="F213" t="n">
        <v>3.9</v>
      </c>
      <c r="G213" t="inlineStr">
        <is>
          <t>n° 28 : 0,50 + n° 29 : 0,50</t>
        </is>
      </c>
      <c r="H213" t="n">
        <v>1</v>
      </c>
    </row>
    <row r="214">
      <c r="A214" t="inlineStr">
        <is>
          <t>2022-2023</t>
        </is>
      </c>
      <c r="B214" t="inlineStr">
        <is>
          <t>2022-05-27</t>
        </is>
      </c>
      <c r="C214" t="inlineStr">
        <is>
          <t>18:40</t>
        </is>
      </c>
      <c r="D214" t="inlineStr">
        <is>
          <t>n° 19 + n° 20</t>
        </is>
      </c>
      <c r="E214" t="inlineStr">
        <is>
          <t>Clair de Rosé</t>
        </is>
      </c>
      <c r="F214" t="n">
        <v>18</v>
      </c>
      <c r="G214" t="inlineStr">
        <is>
          <t>n° 19 : 0,50 + n° 20 : 0,50</t>
        </is>
      </c>
      <c r="H214" t="n">
        <v>1</v>
      </c>
    </row>
    <row r="215">
      <c r="A215" t="inlineStr">
        <is>
          <t>2022-2023</t>
        </is>
      </c>
      <c r="B215" t="inlineStr">
        <is>
          <t>2022-05-27</t>
        </is>
      </c>
      <c r="C215" t="inlineStr">
        <is>
          <t>18:40</t>
        </is>
      </c>
      <c r="D215" t="inlineStr">
        <is>
          <t>n° 19 + n° 20</t>
        </is>
      </c>
      <c r="E215" t="inlineStr">
        <is>
          <t>ASSIETTE FRANC-COMTO</t>
        </is>
      </c>
      <c r="F215" t="n">
        <v>17.6</v>
      </c>
      <c r="G215" t="inlineStr">
        <is>
          <t>n° 19 : 0,50 + n° 20 : 0,50</t>
        </is>
      </c>
      <c r="H215" t="n">
        <v>1</v>
      </c>
    </row>
    <row r="216">
      <c r="A216" t="inlineStr">
        <is>
          <t>2022-2023</t>
        </is>
      </c>
      <c r="B216" t="inlineStr">
        <is>
          <t>2022-05-27</t>
        </is>
      </c>
      <c r="C216" t="inlineStr">
        <is>
          <t>18:40</t>
        </is>
      </c>
      <c r="D216" t="inlineStr">
        <is>
          <t>n° 19 + n° 20</t>
        </is>
      </c>
      <c r="E216" t="inlineStr">
        <is>
          <t>ASSIETTE PERE GREGOI</t>
        </is>
      </c>
      <c r="F216" t="n">
        <v>17.6</v>
      </c>
      <c r="G216" t="inlineStr">
        <is>
          <t>n° 19 : 0,50 + n° 20 : 0,50</t>
        </is>
      </c>
      <c r="H216" t="n">
        <v>1</v>
      </c>
    </row>
    <row r="217">
      <c r="A217" t="inlineStr">
        <is>
          <t>2022-2023</t>
        </is>
      </c>
      <c r="B217" t="inlineStr">
        <is>
          <t>2022-05-27</t>
        </is>
      </c>
      <c r="C217" t="inlineStr">
        <is>
          <t>18:40</t>
        </is>
      </c>
      <c r="D217" t="inlineStr">
        <is>
          <t>n° 19 + n° 20</t>
        </is>
      </c>
      <c r="E217" t="inlineStr">
        <is>
          <t>Pavlova</t>
        </is>
      </c>
      <c r="F217" t="n">
        <v>8.699999999999999</v>
      </c>
      <c r="G217" t="inlineStr">
        <is>
          <t>n° 19 : 0,50 + n° 20 : 0,50</t>
        </is>
      </c>
      <c r="H217" t="n">
        <v>1</v>
      </c>
    </row>
    <row r="218">
      <c r="A218" t="inlineStr">
        <is>
          <t>2022-2023</t>
        </is>
      </c>
      <c r="B218" t="inlineStr">
        <is>
          <t>2022-05-27</t>
        </is>
      </c>
      <c r="C218" t="inlineStr">
        <is>
          <t>18:40</t>
        </is>
      </c>
      <c r="D218" t="inlineStr">
        <is>
          <t>n° 19 + n° 20</t>
        </is>
      </c>
      <c r="E218" t="inlineStr">
        <is>
          <t>Baba au Macvin</t>
        </is>
      </c>
      <c r="F218" t="n">
        <v>6.9</v>
      </c>
      <c r="G218" t="inlineStr">
        <is>
          <t>n° 19 : 0,50 + n° 20 : 0,50</t>
        </is>
      </c>
      <c r="H218" t="n">
        <v>1</v>
      </c>
    </row>
    <row r="219">
      <c r="A219" t="inlineStr">
        <is>
          <t>2022-2023</t>
        </is>
      </c>
      <c r="B219" t="inlineStr">
        <is>
          <t>2022-05-27</t>
        </is>
      </c>
      <c r="C219" t="inlineStr">
        <is>
          <t>18:40</t>
        </is>
      </c>
      <c r="D219" t="inlineStr">
        <is>
          <t>n° 19 + n° 20</t>
        </is>
      </c>
      <c r="E219" t="inlineStr">
        <is>
          <t>Infusion</t>
        </is>
      </c>
      <c r="F219" t="n">
        <v>3.4</v>
      </c>
      <c r="G219" t="inlineStr">
        <is>
          <t>n° 19 : 0,50 + n° 20 : 0,50</t>
        </is>
      </c>
      <c r="H219" t="n">
        <v>1</v>
      </c>
    </row>
    <row r="220">
      <c r="A220" t="inlineStr">
        <is>
          <t>2022-2023</t>
        </is>
      </c>
      <c r="B220" t="inlineStr">
        <is>
          <t>2022-05-27</t>
        </is>
      </c>
      <c r="C220" t="inlineStr">
        <is>
          <t>18:40</t>
        </is>
      </c>
      <c r="D220" t="inlineStr">
        <is>
          <t>n° 19 + n° 20</t>
        </is>
      </c>
      <c r="E220" t="inlineStr">
        <is>
          <t>Expresso</t>
        </is>
      </c>
      <c r="F220" t="n">
        <v>2.2</v>
      </c>
      <c r="G220" t="inlineStr">
        <is>
          <t>n° 19 : 0,50 + n° 20 : 0,50</t>
        </is>
      </c>
      <c r="H220" t="n">
        <v>1</v>
      </c>
    </row>
    <row r="221">
      <c r="A221" t="inlineStr">
        <is>
          <t>2022-2023</t>
        </is>
      </c>
      <c r="B221" t="inlineStr">
        <is>
          <t>2022-05-27</t>
        </is>
      </c>
      <c r="C221" t="inlineStr">
        <is>
          <t>20:08</t>
        </is>
      </c>
      <c r="D221" t="inlineStr">
        <is>
          <t>n° 30 + n° 31</t>
        </is>
      </c>
      <c r="E221" t="inlineStr">
        <is>
          <t>Pichet 50cl vin</t>
        </is>
      </c>
      <c r="F221" t="n">
        <v>9.800000000000001</v>
      </c>
      <c r="G221" t="inlineStr">
        <is>
          <t>n° 30 : 0,33 + n° 31 : 0,67</t>
        </is>
      </c>
      <c r="H221" t="n">
        <v>1</v>
      </c>
    </row>
    <row r="222">
      <c r="A222" t="inlineStr">
        <is>
          <t>2022-2023</t>
        </is>
      </c>
      <c r="B222" t="inlineStr">
        <is>
          <t>2022-05-27</t>
        </is>
      </c>
      <c r="C222" t="inlineStr">
        <is>
          <t>20:08</t>
        </is>
      </c>
      <c r="D222" t="inlineStr">
        <is>
          <t>n° 30 + n° 31</t>
        </is>
      </c>
      <c r="E222" t="inlineStr">
        <is>
          <t>Mi</t>
        </is>
      </c>
      <c r="F222" t="n">
        <v>8.5</v>
      </c>
      <c r="G222" t="inlineStr">
        <is>
          <t>n° 30 : 0,33 + n° 31 : 0,67</t>
        </is>
      </c>
      <c r="H222" t="n">
        <v>1</v>
      </c>
    </row>
    <row r="223">
      <c r="A223" t="inlineStr">
        <is>
          <t>2022-2023</t>
        </is>
      </c>
      <c r="B223" t="inlineStr">
        <is>
          <t>2022-05-27</t>
        </is>
      </c>
      <c r="C223" t="inlineStr">
        <is>
          <t>20:08</t>
        </is>
      </c>
      <c r="D223" t="inlineStr">
        <is>
          <t>n° 30 + n° 31</t>
        </is>
      </c>
      <c r="E223" t="inlineStr">
        <is>
          <t>Salade Verte</t>
        </is>
      </c>
      <c r="F223" t="n">
        <v>5.9</v>
      </c>
      <c r="G223" t="inlineStr">
        <is>
          <t>n° 30 : 0,33 + n° 31 : 0,67</t>
        </is>
      </c>
      <c r="H223" t="n">
        <v>1</v>
      </c>
    </row>
    <row r="224">
      <c r="A224" t="inlineStr">
        <is>
          <t>2022-2023</t>
        </is>
      </c>
      <c r="B224" t="inlineStr">
        <is>
          <t>2022-05-27</t>
        </is>
      </c>
      <c r="C224" t="inlineStr">
        <is>
          <t>20:08</t>
        </is>
      </c>
      <c r="D224" t="inlineStr">
        <is>
          <t>n° 30 + n° 31</t>
        </is>
      </c>
      <c r="E224" t="inlineStr">
        <is>
          <t>pression</t>
        </is>
      </c>
      <c r="F224" t="n">
        <v>3.9</v>
      </c>
      <c r="G224" t="inlineStr">
        <is>
          <t>n° 30 : 0,33 + n° 31 : 0,67</t>
        </is>
      </c>
      <c r="H224" t="n">
        <v>1</v>
      </c>
    </row>
    <row r="225">
      <c r="A225" t="inlineStr">
        <is>
          <t>2022-2023</t>
        </is>
      </c>
      <c r="B225" t="inlineStr">
        <is>
          <t>2022-05-27</t>
        </is>
      </c>
      <c r="C225" t="inlineStr">
        <is>
          <t>20:08</t>
        </is>
      </c>
      <c r="D225" t="inlineStr">
        <is>
          <t>n° 30 + n° 31</t>
        </is>
      </c>
      <c r="E225" t="inlineStr">
        <is>
          <t>POMMES FRITES</t>
        </is>
      </c>
      <c r="F225" t="n">
        <v>3.9</v>
      </c>
      <c r="G225" t="inlineStr">
        <is>
          <t>n° 30 : 0,33 + n° 31 : 0,67</t>
        </is>
      </c>
      <c r="H225" t="n">
        <v>1</v>
      </c>
    </row>
    <row r="226">
      <c r="A226" t="inlineStr">
        <is>
          <t>2022-2023</t>
        </is>
      </c>
      <c r="B226" t="inlineStr">
        <is>
          <t>2022-05-27</t>
        </is>
      </c>
      <c r="C226" t="inlineStr">
        <is>
          <t>20:08</t>
        </is>
      </c>
      <c r="D226" t="inlineStr">
        <is>
          <t>n° 30 + n° 31</t>
        </is>
      </c>
      <c r="E226" t="inlineStr">
        <is>
          <t>Pommes grenailles</t>
        </is>
      </c>
      <c r="F226" t="n">
        <v>3.9</v>
      </c>
      <c r="G226" t="inlineStr">
        <is>
          <t>n° 30 : 0,33 + n° 31 : 0,67</t>
        </is>
      </c>
      <c r="H226" t="n">
        <v>1</v>
      </c>
    </row>
    <row r="227">
      <c r="A227" t="inlineStr">
        <is>
          <t>2022-2023</t>
        </is>
      </c>
      <c r="B227" t="inlineStr">
        <is>
          <t>2022-05-27</t>
        </is>
      </c>
      <c r="C227" t="inlineStr">
        <is>
          <t>20:08</t>
        </is>
      </c>
      <c r="D227" t="inlineStr">
        <is>
          <t>n° 30 + n° 31</t>
        </is>
      </c>
      <c r="E227" t="inlineStr">
        <is>
          <t>GLACE 2 BOULES</t>
        </is>
      </c>
      <c r="F227" t="n">
        <v>3.9</v>
      </c>
      <c r="G227" t="inlineStr">
        <is>
          <t>n° 30 : 0,67 + n° 31 : 1,33</t>
        </is>
      </c>
      <c r="H227" t="n">
        <v>2</v>
      </c>
    </row>
    <row r="228">
      <c r="A228" t="inlineStr">
        <is>
          <t>2022-2023</t>
        </is>
      </c>
      <c r="B228" t="inlineStr">
        <is>
          <t>2022-05-27</t>
        </is>
      </c>
      <c r="C228" t="inlineStr">
        <is>
          <t>20:08</t>
        </is>
      </c>
      <c r="D228" t="inlineStr">
        <is>
          <t>n° 30 + n° 31</t>
        </is>
      </c>
      <c r="E228" t="inlineStr">
        <is>
          <t>Déca</t>
        </is>
      </c>
      <c r="F228" t="n">
        <v>2.2</v>
      </c>
      <c r="G228" t="inlineStr">
        <is>
          <t>n° 30 : 0,67 + n° 31 : 1,33</t>
        </is>
      </c>
      <c r="H228" t="n">
        <v>2</v>
      </c>
    </row>
    <row r="229">
      <c r="A229" t="inlineStr">
        <is>
          <t>2022-2023</t>
        </is>
      </c>
      <c r="B229" t="inlineStr">
        <is>
          <t>2022-05-27</t>
        </is>
      </c>
      <c r="C229" t="inlineStr">
        <is>
          <t>20:52</t>
        </is>
      </c>
      <c r="D229" t="inlineStr">
        <is>
          <t>n° 34 + n° 35</t>
        </is>
      </c>
      <c r="E229" t="inlineStr">
        <is>
          <t>DAHU</t>
        </is>
      </c>
      <c r="F229" t="n">
        <v>9.699999999999999</v>
      </c>
      <c r="G229" t="inlineStr">
        <is>
          <t>n° 34 : 0,50 + n° 35 : 0,50</t>
        </is>
      </c>
      <c r="H229" t="n">
        <v>1</v>
      </c>
    </row>
    <row r="230">
      <c r="A230" t="inlineStr">
        <is>
          <t>2022-2023</t>
        </is>
      </c>
      <c r="B230" t="inlineStr">
        <is>
          <t>2022-05-27</t>
        </is>
      </c>
      <c r="C230" t="inlineStr">
        <is>
          <t>20:52</t>
        </is>
      </c>
      <c r="D230" t="inlineStr">
        <is>
          <t>n° 34 + n° 35</t>
        </is>
      </c>
      <c r="E230" t="inlineStr">
        <is>
          <t>TANTE ARIE</t>
        </is>
      </c>
      <c r="F230" t="n">
        <v>8.5</v>
      </c>
      <c r="G230" t="inlineStr">
        <is>
          <t>n° 34 : 0,50 + n° 35 : 0,50</t>
        </is>
      </c>
      <c r="H230" t="n">
        <v>1</v>
      </c>
    </row>
    <row r="231">
      <c r="A231" t="inlineStr">
        <is>
          <t>2022-2023</t>
        </is>
      </c>
      <c r="B231" t="inlineStr">
        <is>
          <t>2022-05-27</t>
        </is>
      </c>
      <c r="C231" t="inlineStr">
        <is>
          <t>20:52</t>
        </is>
      </c>
      <c r="D231" t="inlineStr">
        <is>
          <t>n° 34 + n° 35</t>
        </is>
      </c>
      <c r="E231" t="inlineStr">
        <is>
          <t>Salade Verte</t>
        </is>
      </c>
      <c r="F231" t="n">
        <v>5.9</v>
      </c>
      <c r="G231" t="inlineStr">
        <is>
          <t>n° 34 : 0,50 + n° 35 : 0,50</t>
        </is>
      </c>
      <c r="H231" t="n">
        <v>1</v>
      </c>
    </row>
    <row r="232">
      <c r="A232" t="inlineStr">
        <is>
          <t>2022-2023</t>
        </is>
      </c>
      <c r="B232" t="inlineStr">
        <is>
          <t>2022-05-28</t>
        </is>
      </c>
      <c r="C232" t="inlineStr">
        <is>
          <t>12:31</t>
        </is>
      </c>
      <c r="D232" t="inlineStr">
        <is>
          <t>n° 10 + n° 11</t>
        </is>
      </c>
      <c r="E232" t="inlineStr">
        <is>
          <t>Menu Végétarien</t>
        </is>
      </c>
      <c r="F232" t="n">
        <v>23</v>
      </c>
      <c r="G232" t="inlineStr">
        <is>
          <t>n° 10 : 0,75 + n° 11 : 2,25</t>
        </is>
      </c>
      <c r="H232" t="n">
        <v>3</v>
      </c>
    </row>
    <row r="233">
      <c r="A233" t="inlineStr">
        <is>
          <t>2022-2023</t>
        </is>
      </c>
      <c r="B233" t="inlineStr">
        <is>
          <t>2022-05-28</t>
        </is>
      </c>
      <c r="C233" t="inlineStr">
        <is>
          <t>12:31</t>
        </is>
      </c>
      <c r="D233" t="inlineStr">
        <is>
          <t>n° 10 + n° 11</t>
        </is>
      </c>
      <c r="E233" t="inlineStr">
        <is>
          <t>Clair de Rosé</t>
        </is>
      </c>
      <c r="F233" t="n">
        <v>18</v>
      </c>
      <c r="G233" t="inlineStr">
        <is>
          <t>n° 10 : 0,25 + n° 11 : 0,75</t>
        </is>
      </c>
      <c r="H233" t="n">
        <v>1</v>
      </c>
    </row>
    <row r="234">
      <c r="A234" t="inlineStr">
        <is>
          <t>2022-2023</t>
        </is>
      </c>
      <c r="B234" t="inlineStr">
        <is>
          <t>2022-05-28</t>
        </is>
      </c>
      <c r="C234" t="inlineStr">
        <is>
          <t>12:31</t>
        </is>
      </c>
      <c r="D234" t="inlineStr">
        <is>
          <t>n° 10 + n° 11</t>
        </is>
      </c>
      <c r="E234" t="inlineStr">
        <is>
          <t>Menu 'Galette'</t>
        </is>
      </c>
      <c r="F234" t="n">
        <v>15.9</v>
      </c>
      <c r="G234" t="inlineStr">
        <is>
          <t>n° 10 : 0,25 + n° 11 : 0,75</t>
        </is>
      </c>
      <c r="H234" t="n">
        <v>1</v>
      </c>
    </row>
    <row r="235">
      <c r="A235" t="inlineStr">
        <is>
          <t>2022-2023</t>
        </is>
      </c>
      <c r="B235" t="inlineStr">
        <is>
          <t>2022-05-28</t>
        </is>
      </c>
      <c r="C235" t="inlineStr">
        <is>
          <t>20:17</t>
        </is>
      </c>
      <c r="D235" t="inlineStr">
        <is>
          <t>n° 33 + n° 34</t>
        </is>
      </c>
      <c r="E235" t="inlineStr">
        <is>
          <t>1/2 Arbois Béthanie</t>
        </is>
      </c>
      <c r="F235" t="n">
        <v>19</v>
      </c>
      <c r="G235" t="inlineStr">
        <is>
          <t>n° 33 : 0,50 + n° 34 : 0,50</t>
        </is>
      </c>
      <c r="H235" t="n">
        <v>1</v>
      </c>
    </row>
    <row r="236">
      <c r="A236" t="inlineStr">
        <is>
          <t>2022-2023</t>
        </is>
      </c>
      <c r="B236" t="inlineStr">
        <is>
          <t>2022-05-28</t>
        </is>
      </c>
      <c r="C236" t="inlineStr">
        <is>
          <t>20:17</t>
        </is>
      </c>
      <c r="D236" t="inlineStr">
        <is>
          <t>n° 33 + n° 34</t>
        </is>
      </c>
      <c r="E236" t="inlineStr">
        <is>
          <t>MORTEAU GRILLEE</t>
        </is>
      </c>
      <c r="F236" t="n">
        <v>17.6</v>
      </c>
      <c r="G236" t="inlineStr">
        <is>
          <t>n° 33 : 0,50 + n° 34 : 0,50</t>
        </is>
      </c>
      <c r="H236" t="n">
        <v>1</v>
      </c>
    </row>
    <row r="237">
      <c r="A237" t="inlineStr">
        <is>
          <t>2022-2023</t>
        </is>
      </c>
      <c r="B237" t="inlineStr">
        <is>
          <t>2022-05-28</t>
        </is>
      </c>
      <c r="C237" t="inlineStr">
        <is>
          <t>20:17</t>
        </is>
      </c>
      <c r="D237" t="inlineStr">
        <is>
          <t>n° 33 + n° 34</t>
        </is>
      </c>
      <c r="E237" t="inlineStr">
        <is>
          <t>TRUITE JURASSIENNE</t>
        </is>
      </c>
      <c r="F237" t="n">
        <v>17.6</v>
      </c>
      <c r="G237" t="inlineStr">
        <is>
          <t>n° 33 : 0,50 + n° 34 : 0,50</t>
        </is>
      </c>
      <c r="H237" t="n">
        <v>1</v>
      </c>
    </row>
    <row r="238">
      <c r="A238" t="inlineStr">
        <is>
          <t>2022-2023</t>
        </is>
      </c>
      <c r="B238" t="inlineStr">
        <is>
          <t>2022-05-28</t>
        </is>
      </c>
      <c r="C238" t="inlineStr">
        <is>
          <t>20:17</t>
        </is>
      </c>
      <c r="D238" t="inlineStr">
        <is>
          <t>n° 33 + n° 34</t>
        </is>
      </c>
      <c r="E238" t="inlineStr">
        <is>
          <t>Escargots de Bourgog</t>
        </is>
      </c>
      <c r="F238" t="n">
        <v>8</v>
      </c>
      <c r="G238" t="inlineStr">
        <is>
          <t>n° 33 : 0,50 + n° 34 : 0,50</t>
        </is>
      </c>
      <c r="H238" t="n">
        <v>1</v>
      </c>
    </row>
    <row r="239">
      <c r="A239" t="inlineStr">
        <is>
          <t>2022-2023</t>
        </is>
      </c>
      <c r="B239" t="inlineStr">
        <is>
          <t>2022-05-28</t>
        </is>
      </c>
      <c r="C239" t="inlineStr">
        <is>
          <t>20:17</t>
        </is>
      </c>
      <c r="D239" t="inlineStr">
        <is>
          <t>n° 33 + n° 34</t>
        </is>
      </c>
      <c r="E239" t="inlineStr">
        <is>
          <t>Chantilly</t>
        </is>
      </c>
      <c r="F239" t="n">
        <v>1.8</v>
      </c>
      <c r="G239" t="inlineStr">
        <is>
          <t>n° 33 : 0,50 + n° 34 : 0,50</t>
        </is>
      </c>
      <c r="H239" t="n">
        <v>1</v>
      </c>
    </row>
    <row r="240">
      <c r="A240" t="inlineStr">
        <is>
          <t>2022-2023</t>
        </is>
      </c>
      <c r="B240" t="inlineStr">
        <is>
          <t>2022-05-29</t>
        </is>
      </c>
      <c r="C240" t="inlineStr">
        <is>
          <t>19:31</t>
        </is>
      </c>
      <c r="D240" t="inlineStr">
        <is>
          <t>n° 25 + n° 26</t>
        </is>
      </c>
      <c r="E240" t="inlineStr">
        <is>
          <t>Entrecôte grillée</t>
        </is>
      </c>
      <c r="F240" t="n">
        <v>19.9</v>
      </c>
      <c r="G240" t="inlineStr">
        <is>
          <t>n° 25 : 0,50 + n° 26 : 0,50</t>
        </is>
      </c>
      <c r="H240" t="n">
        <v>1</v>
      </c>
    </row>
    <row r="241">
      <c r="A241" t="inlineStr">
        <is>
          <t>2022-2023</t>
        </is>
      </c>
      <c r="B241" t="inlineStr">
        <is>
          <t>2022-05-29</t>
        </is>
      </c>
      <c r="C241" t="inlineStr">
        <is>
          <t>19:31</t>
        </is>
      </c>
      <c r="D241" t="inlineStr">
        <is>
          <t>n° 25 + n° 26</t>
        </is>
      </c>
      <c r="E241" t="inlineStr">
        <is>
          <t>MORTEAU GRILLEE</t>
        </is>
      </c>
      <c r="F241" t="n">
        <v>17.6</v>
      </c>
      <c r="G241" t="inlineStr">
        <is>
          <t>n° 25 : 0,50 + n° 26 : 0,50</t>
        </is>
      </c>
      <c r="H241" t="n">
        <v>1</v>
      </c>
    </row>
    <row r="242">
      <c r="A242" t="inlineStr">
        <is>
          <t>2022-2023</t>
        </is>
      </c>
      <c r="B242" t="inlineStr">
        <is>
          <t>2022-05-29</t>
        </is>
      </c>
      <c r="C242" t="inlineStr">
        <is>
          <t>19:31</t>
        </is>
      </c>
      <c r="D242" t="inlineStr">
        <is>
          <t>n° 25 + n° 26</t>
        </is>
      </c>
      <c r="E242" t="inlineStr">
        <is>
          <t>Salade Franc-Comptoi</t>
        </is>
      </c>
      <c r="F242" t="n">
        <v>8.9</v>
      </c>
      <c r="G242" t="inlineStr">
        <is>
          <t>n° 25 : 0,50 + n° 26 : 0,50</t>
        </is>
      </c>
      <c r="H242" t="n">
        <v>1</v>
      </c>
    </row>
    <row r="243">
      <c r="A243" t="inlineStr">
        <is>
          <t>2022-2023</t>
        </is>
      </c>
      <c r="B243" t="inlineStr">
        <is>
          <t>2022-05-29</t>
        </is>
      </c>
      <c r="C243" t="inlineStr">
        <is>
          <t>19:31</t>
        </is>
      </c>
      <c r="D243" t="inlineStr">
        <is>
          <t>n° 25 + n° 26</t>
        </is>
      </c>
      <c r="E243" t="inlineStr">
        <is>
          <t>Saucisse de Morteau</t>
        </is>
      </c>
      <c r="F243" t="n">
        <v>8.800000000000001</v>
      </c>
      <c r="G243" t="inlineStr">
        <is>
          <t>n° 25 : 0,50 + n° 26 : 0,50</t>
        </is>
      </c>
      <c r="H243" t="n">
        <v>1</v>
      </c>
    </row>
    <row r="244">
      <c r="A244" t="inlineStr">
        <is>
          <t>2022-2023</t>
        </is>
      </c>
      <c r="B244" t="inlineStr">
        <is>
          <t>2022-05-29</t>
        </is>
      </c>
      <c r="C244" t="inlineStr">
        <is>
          <t>19:31</t>
        </is>
      </c>
      <c r="D244" t="inlineStr">
        <is>
          <t>n° 25 + n° 26</t>
        </is>
      </c>
      <c r="E244" t="inlineStr">
        <is>
          <t>Escargots de Bourgog</t>
        </is>
      </c>
      <c r="F244" t="n">
        <v>8</v>
      </c>
      <c r="G244" t="inlineStr">
        <is>
          <t>n° 25 : 0,50 + n° 26 : 0,50</t>
        </is>
      </c>
      <c r="H244" t="n">
        <v>1</v>
      </c>
    </row>
    <row r="245">
      <c r="A245" t="inlineStr">
        <is>
          <t>2022-2023</t>
        </is>
      </c>
      <c r="B245" t="inlineStr">
        <is>
          <t>2022-05-29</t>
        </is>
      </c>
      <c r="C245" t="inlineStr">
        <is>
          <t>19:31</t>
        </is>
      </c>
      <c r="D245" t="inlineStr">
        <is>
          <t>n° 25 + n° 26</t>
        </is>
      </c>
      <c r="E245" t="inlineStr">
        <is>
          <t>Salade Verte aux Noi</t>
        </is>
      </c>
      <c r="F245" t="n">
        <v>5.9</v>
      </c>
      <c r="G245" t="inlineStr">
        <is>
          <t>n° 25 : 0,50 + n° 26 : 0,50</t>
        </is>
      </c>
      <c r="H245" t="n">
        <v>1</v>
      </c>
    </row>
    <row r="246">
      <c r="A246" t="inlineStr">
        <is>
          <t>2022-2023</t>
        </is>
      </c>
      <c r="B246" t="inlineStr">
        <is>
          <t>2022-05-29</t>
        </is>
      </c>
      <c r="C246" t="inlineStr">
        <is>
          <t>19:31</t>
        </is>
      </c>
      <c r="D246" t="inlineStr">
        <is>
          <t>n° 25 + n° 26</t>
        </is>
      </c>
      <c r="E246" t="inlineStr">
        <is>
          <t>Panaché</t>
        </is>
      </c>
      <c r="F246" t="n">
        <v>3.9</v>
      </c>
      <c r="G246" t="inlineStr">
        <is>
          <t>n° 25 : 0,50 + n° 26 : 0,50</t>
        </is>
      </c>
      <c r="H246" t="n">
        <v>1</v>
      </c>
    </row>
    <row r="247">
      <c r="A247" t="inlineStr">
        <is>
          <t>2022-2023</t>
        </is>
      </c>
      <c r="B247" t="inlineStr">
        <is>
          <t>2022-05-29</t>
        </is>
      </c>
      <c r="C247" t="inlineStr">
        <is>
          <t>19:31</t>
        </is>
      </c>
      <c r="D247" t="inlineStr">
        <is>
          <t>n° 25 + n° 26</t>
        </is>
      </c>
      <c r="E247" t="inlineStr">
        <is>
          <t>pression</t>
        </is>
      </c>
      <c r="F247" t="n">
        <v>3.9</v>
      </c>
      <c r="G247" t="inlineStr">
        <is>
          <t>n° 25 : 0,50 + n° 26 : 0,50</t>
        </is>
      </c>
      <c r="H247" t="n">
        <v>1</v>
      </c>
    </row>
    <row r="248">
      <c r="A248" t="inlineStr">
        <is>
          <t>2022-2023</t>
        </is>
      </c>
      <c r="B248" t="inlineStr">
        <is>
          <t>2022-05-29</t>
        </is>
      </c>
      <c r="C248" t="inlineStr">
        <is>
          <t>19:31</t>
        </is>
      </c>
      <c r="D248" t="inlineStr">
        <is>
          <t>n° 25 + n° 26</t>
        </is>
      </c>
      <c r="E248" t="inlineStr">
        <is>
          <t>Limonade (25cl)</t>
        </is>
      </c>
      <c r="F248" t="n">
        <v>3.9</v>
      </c>
      <c r="G248" t="inlineStr">
        <is>
          <t>n° 25 : 0,50 + n° 26 : 0,50</t>
        </is>
      </c>
      <c r="H248" t="n">
        <v>1</v>
      </c>
    </row>
    <row r="249">
      <c r="A249" t="inlineStr">
        <is>
          <t>2022-2023</t>
        </is>
      </c>
      <c r="B249" t="inlineStr">
        <is>
          <t>2022-05-29</t>
        </is>
      </c>
      <c r="C249" t="inlineStr">
        <is>
          <t>19:31</t>
        </is>
      </c>
      <c r="D249" t="inlineStr">
        <is>
          <t>n° 25 + n° 26</t>
        </is>
      </c>
      <c r="E249" t="inlineStr">
        <is>
          <t>POMMES FRITES</t>
        </is>
      </c>
      <c r="F249" t="n">
        <v>3.9</v>
      </c>
      <c r="G249" t="inlineStr">
        <is>
          <t>n° 25 : 0,50 + n° 26 : 0,50</t>
        </is>
      </c>
      <c r="H249" t="n">
        <v>1</v>
      </c>
    </row>
    <row r="250">
      <c r="A250" t="inlineStr">
        <is>
          <t>2022-2023</t>
        </is>
      </c>
      <c r="B250" t="inlineStr">
        <is>
          <t>2022-05-29</t>
        </is>
      </c>
      <c r="C250" t="inlineStr">
        <is>
          <t>20:23</t>
        </is>
      </c>
      <c r="D250" t="inlineStr">
        <is>
          <t>n° 31 + n° 32</t>
        </is>
      </c>
      <c r="E250" t="inlineStr">
        <is>
          <t>Crémeux du Jura</t>
        </is>
      </c>
      <c r="F250" t="n">
        <v>19</v>
      </c>
      <c r="G250" t="inlineStr">
        <is>
          <t>n° 31 : 0,50 + n° 32 : 0,50</t>
        </is>
      </c>
      <c r="H250" t="n">
        <v>1</v>
      </c>
    </row>
    <row r="251">
      <c r="A251" t="inlineStr">
        <is>
          <t>2022-2023</t>
        </is>
      </c>
      <c r="B251" t="inlineStr">
        <is>
          <t>2022-05-29</t>
        </is>
      </c>
      <c r="C251" t="inlineStr">
        <is>
          <t>20:23</t>
        </is>
      </c>
      <c r="D251" t="inlineStr">
        <is>
          <t>n° 31 + n° 32</t>
        </is>
      </c>
      <c r="E251" t="inlineStr">
        <is>
          <t>ASSIETTE PERE GREGOI</t>
        </is>
      </c>
      <c r="F251" t="n">
        <v>17.6</v>
      </c>
      <c r="G251" t="inlineStr">
        <is>
          <t>n° 31 : 0,50 + n° 32 : 0,50</t>
        </is>
      </c>
      <c r="H251" t="n">
        <v>1</v>
      </c>
    </row>
    <row r="252">
      <c r="A252" t="inlineStr">
        <is>
          <t>2022-2023</t>
        </is>
      </c>
      <c r="B252" t="inlineStr">
        <is>
          <t>2022-05-29</t>
        </is>
      </c>
      <c r="C252" t="inlineStr">
        <is>
          <t>20:23</t>
        </is>
      </c>
      <c r="D252" t="inlineStr">
        <is>
          <t>n° 31 + n° 32</t>
        </is>
      </c>
      <c r="E252" t="inlineStr">
        <is>
          <t>BALIDOU</t>
        </is>
      </c>
      <c r="F252" t="n">
        <v>9</v>
      </c>
      <c r="G252" t="inlineStr">
        <is>
          <t>n° 31 : 0,50 + n° 32 : 0,50</t>
        </is>
      </c>
      <c r="H252" t="n">
        <v>1</v>
      </c>
    </row>
    <row r="253">
      <c r="A253" t="inlineStr">
        <is>
          <t>2022-2023</t>
        </is>
      </c>
      <c r="B253" t="inlineStr">
        <is>
          <t>2022-05-29</t>
        </is>
      </c>
      <c r="C253" t="inlineStr">
        <is>
          <t>20:23</t>
        </is>
      </c>
      <c r="D253" t="inlineStr">
        <is>
          <t>n° 31 + n° 32</t>
        </is>
      </c>
      <c r="E253" t="inlineStr">
        <is>
          <t>TANTE ARIE</t>
        </is>
      </c>
      <c r="F253" t="n">
        <v>8.5</v>
      </c>
      <c r="G253" t="inlineStr">
        <is>
          <t>n° 31 : 0,50 + n° 32 : 0,50</t>
        </is>
      </c>
      <c r="H253" t="n">
        <v>1</v>
      </c>
    </row>
    <row r="254">
      <c r="A254" t="inlineStr">
        <is>
          <t>2022-2023</t>
        </is>
      </c>
      <c r="B254" t="inlineStr">
        <is>
          <t>2022-05-29</t>
        </is>
      </c>
      <c r="C254" t="inlineStr">
        <is>
          <t>20:23</t>
        </is>
      </c>
      <c r="D254" t="inlineStr">
        <is>
          <t>n° 31 + n° 32</t>
        </is>
      </c>
      <c r="E254" t="inlineStr">
        <is>
          <t>Crémant</t>
        </is>
      </c>
      <c r="F254" t="n">
        <v>3.9</v>
      </c>
      <c r="G254" t="inlineStr">
        <is>
          <t>n° 31 : 0,50 + n° 32 : 0,50</t>
        </is>
      </c>
      <c r="H254" t="n">
        <v>1</v>
      </c>
    </row>
    <row r="255">
      <c r="A255" t="inlineStr">
        <is>
          <t>2022-2023</t>
        </is>
      </c>
      <c r="B255" t="inlineStr">
        <is>
          <t>2022-05-29</t>
        </is>
      </c>
      <c r="C255" t="inlineStr">
        <is>
          <t>20:23</t>
        </is>
      </c>
      <c r="D255" t="inlineStr">
        <is>
          <t>n° 31 + n° 32</t>
        </is>
      </c>
      <c r="E255" t="inlineStr">
        <is>
          <t>Crêpe nature</t>
        </is>
      </c>
      <c r="F255" t="n">
        <v>2.9</v>
      </c>
      <c r="G255" t="inlineStr">
        <is>
          <t>n° 31 : 0,50 + n° 32 : 0,50</t>
        </is>
      </c>
      <c r="H255" t="n">
        <v>1</v>
      </c>
    </row>
    <row r="256">
      <c r="A256" t="inlineStr">
        <is>
          <t>2022-2023</t>
        </is>
      </c>
      <c r="B256" t="inlineStr">
        <is>
          <t>2022-05-29</t>
        </is>
      </c>
      <c r="C256" t="inlineStr">
        <is>
          <t>20:23</t>
        </is>
      </c>
      <c r="D256" t="inlineStr">
        <is>
          <t>n° 31 + n° 32</t>
        </is>
      </c>
      <c r="E256" t="inlineStr">
        <is>
          <t>Caramel</t>
        </is>
      </c>
      <c r="F256" t="n">
        <v>1.8</v>
      </c>
      <c r="G256" t="inlineStr">
        <is>
          <t>n° 31 : 0,50 + n° 32 : 0,50</t>
        </is>
      </c>
      <c r="H256" t="n">
        <v>1</v>
      </c>
    </row>
    <row r="257">
      <c r="A257" t="inlineStr">
        <is>
          <t>2022-2023</t>
        </is>
      </c>
      <c r="B257" t="inlineStr">
        <is>
          <t>2022-05-29</t>
        </is>
      </c>
      <c r="C257" t="inlineStr">
        <is>
          <t>20:23</t>
        </is>
      </c>
      <c r="D257" t="inlineStr">
        <is>
          <t>n° 31 + n° 32</t>
        </is>
      </c>
      <c r="E257" t="inlineStr">
        <is>
          <t>CHANTILLY</t>
        </is>
      </c>
      <c r="F257" t="n">
        <v>1.8</v>
      </c>
      <c r="G257" t="inlineStr">
        <is>
          <t>n° 31 : 0,50 + n° 32 : 0,50</t>
        </is>
      </c>
      <c r="H257" t="n">
        <v>1</v>
      </c>
    </row>
    <row r="258">
      <c r="A258" t="inlineStr">
        <is>
          <t>2022-2023</t>
        </is>
      </c>
      <c r="B258" t="inlineStr">
        <is>
          <t>2022-06-01</t>
        </is>
      </c>
      <c r="C258" t="inlineStr">
        <is>
          <t>13:00</t>
        </is>
      </c>
      <c r="D258" t="inlineStr">
        <is>
          <t>n° 8 + n° 9</t>
        </is>
      </c>
      <c r="E258" t="inlineStr">
        <is>
          <t>Baba au Macvin</t>
        </is>
      </c>
      <c r="F258" t="n">
        <v>6.9</v>
      </c>
      <c r="G258" t="inlineStr">
        <is>
          <t>n° 8 : 0,50 + n° 9 : 0,50</t>
        </is>
      </c>
      <c r="H258" t="n">
        <v>1</v>
      </c>
    </row>
    <row r="259">
      <c r="A259" t="inlineStr">
        <is>
          <t>2022-2023</t>
        </is>
      </c>
      <c r="B259" t="inlineStr">
        <is>
          <t>2022-06-01</t>
        </is>
      </c>
      <c r="C259" t="inlineStr">
        <is>
          <t>13:00</t>
        </is>
      </c>
      <c r="D259" t="inlineStr">
        <is>
          <t>n° 8 + n° 9</t>
        </is>
      </c>
      <c r="E259" t="inlineStr">
        <is>
          <t>San Pelegrino</t>
        </is>
      </c>
      <c r="F259" t="n">
        <v>5.9</v>
      </c>
      <c r="G259" t="inlineStr">
        <is>
          <t>n° 8 : 0,50 + n° 9 : 0,50</t>
        </is>
      </c>
      <c r="H259" t="n">
        <v>1</v>
      </c>
    </row>
    <row r="260">
      <c r="A260" t="inlineStr">
        <is>
          <t>2022-2023</t>
        </is>
      </c>
      <c r="B260" t="inlineStr">
        <is>
          <t>2022-06-01</t>
        </is>
      </c>
      <c r="C260" t="inlineStr">
        <is>
          <t>13:00</t>
        </is>
      </c>
      <c r="D260" t="inlineStr">
        <is>
          <t>n° 8 + n° 9</t>
        </is>
      </c>
      <c r="E260" t="inlineStr">
        <is>
          <t>Crêpe Nutella</t>
        </is>
      </c>
      <c r="F260" t="n">
        <v>4.7</v>
      </c>
      <c r="G260" t="inlineStr">
        <is>
          <t>n° 8 : 0,50 + n° 9 : 0,50</t>
        </is>
      </c>
      <c r="H260" t="n">
        <v>1</v>
      </c>
    </row>
    <row r="261">
      <c r="A261" t="inlineStr">
        <is>
          <t>2022-2023</t>
        </is>
      </c>
      <c r="B261" t="inlineStr">
        <is>
          <t>2022-06-01</t>
        </is>
      </c>
      <c r="C261" t="inlineStr">
        <is>
          <t>13:00</t>
        </is>
      </c>
      <c r="D261" t="inlineStr">
        <is>
          <t>n° 8 + n° 9</t>
        </is>
      </c>
      <c r="E261" t="inlineStr">
        <is>
          <t>Orangina (25cl)</t>
        </is>
      </c>
      <c r="F261" t="n">
        <v>3.9</v>
      </c>
      <c r="G261" t="inlineStr">
        <is>
          <t>n° 8 : 0,50 + n° 9 : 0,50</t>
        </is>
      </c>
      <c r="H261" t="n">
        <v>1</v>
      </c>
    </row>
    <row r="262">
      <c r="A262" t="inlineStr">
        <is>
          <t>2022-2023</t>
        </is>
      </c>
      <c r="B262" t="inlineStr">
        <is>
          <t>2022-06-01</t>
        </is>
      </c>
      <c r="C262" t="inlineStr">
        <is>
          <t>13:00</t>
        </is>
      </c>
      <c r="D262" t="inlineStr">
        <is>
          <t>n° 8 + n° 9</t>
        </is>
      </c>
      <c r="E262" t="inlineStr">
        <is>
          <t>pression</t>
        </is>
      </c>
      <c r="F262" t="n">
        <v>3.9</v>
      </c>
      <c r="G262" t="inlineStr">
        <is>
          <t>n° 8 : 0,50 + n° 9 : 0,50</t>
        </is>
      </c>
      <c r="H262" t="n">
        <v>1</v>
      </c>
    </row>
    <row r="263">
      <c r="A263" t="inlineStr">
        <is>
          <t>2022-2023</t>
        </is>
      </c>
      <c r="B263" t="inlineStr">
        <is>
          <t>2022-06-03</t>
        </is>
      </c>
      <c r="C263" t="inlineStr">
        <is>
          <t>19:44</t>
        </is>
      </c>
      <c r="D263" t="inlineStr">
        <is>
          <t>n° 19 + n° 20 + n° 21 + n° 22</t>
        </is>
      </c>
      <c r="E263" t="inlineStr">
        <is>
          <t>PICHET GEWURZTRAMINE</t>
        </is>
      </c>
      <c r="F263" t="n">
        <v>27</v>
      </c>
      <c r="G263" t="inlineStr">
        <is>
          <t>n° 19 : 0,50 + n° 20 : 0,50</t>
        </is>
      </c>
      <c r="H263" t="n">
        <v>1</v>
      </c>
    </row>
    <row r="264">
      <c r="A264" t="inlineStr">
        <is>
          <t>2022-2023</t>
        </is>
      </c>
      <c r="B264" t="inlineStr">
        <is>
          <t>2022-06-03</t>
        </is>
      </c>
      <c r="C264" t="inlineStr">
        <is>
          <t>19:44</t>
        </is>
      </c>
      <c r="D264" t="inlineStr">
        <is>
          <t>n° 19 + n° 20 + n° 21 + n° 22</t>
        </is>
      </c>
      <c r="E264" t="inlineStr">
        <is>
          <t>Menu Végétarien</t>
        </is>
      </c>
      <c r="F264" t="n">
        <v>23</v>
      </c>
      <c r="G264" t="inlineStr">
        <is>
          <t>n° 21 : 0,50 + n° 22 : 0,50</t>
        </is>
      </c>
      <c r="H264" t="n">
        <v>1</v>
      </c>
    </row>
    <row r="265">
      <c r="A265" t="inlineStr">
        <is>
          <t>2022-2023</t>
        </is>
      </c>
      <c r="B265" t="inlineStr">
        <is>
          <t>2022-06-03</t>
        </is>
      </c>
      <c r="C265" t="inlineStr">
        <is>
          <t>19:44</t>
        </is>
      </c>
      <c r="D265" t="inlineStr">
        <is>
          <t>n° 19 + n° 20 + n° 21 + n° 22</t>
        </is>
      </c>
      <c r="E265" t="inlineStr">
        <is>
          <t>1/2 Arbois Béthanie</t>
        </is>
      </c>
      <c r="F265" t="n">
        <v>19</v>
      </c>
      <c r="G265" t="inlineStr">
        <is>
          <t>n° 21 : 0,50 + n° 22 : 0,50</t>
        </is>
      </c>
      <c r="H265" t="n">
        <v>1</v>
      </c>
    </row>
    <row r="266">
      <c r="A266" t="inlineStr">
        <is>
          <t>2022-2023</t>
        </is>
      </c>
      <c r="B266" t="inlineStr">
        <is>
          <t>2022-06-03</t>
        </is>
      </c>
      <c r="C266" t="inlineStr">
        <is>
          <t>19:44</t>
        </is>
      </c>
      <c r="D266" t="inlineStr">
        <is>
          <t>n° 19 + n° 20 + n° 21 + n° 22</t>
        </is>
      </c>
      <c r="E266" t="inlineStr">
        <is>
          <t>ASSIETTE FRANC-COMTO</t>
        </is>
      </c>
      <c r="F266" t="n">
        <v>17.6</v>
      </c>
      <c r="G266" t="inlineStr">
        <is>
          <t>n° 19 : 0,50 + n° 20 : 0,50</t>
        </is>
      </c>
      <c r="H266" t="n">
        <v>1</v>
      </c>
    </row>
    <row r="267">
      <c r="A267" t="inlineStr">
        <is>
          <t>2022-2023</t>
        </is>
      </c>
      <c r="B267" t="inlineStr">
        <is>
          <t>2022-06-03</t>
        </is>
      </c>
      <c r="C267" t="inlineStr">
        <is>
          <t>19:44</t>
        </is>
      </c>
      <c r="D267" t="inlineStr">
        <is>
          <t>n° 19 + n° 20 + n° 21 + n° 22</t>
        </is>
      </c>
      <c r="E267" t="inlineStr">
        <is>
          <t>CAMEMBERT ROTI</t>
        </is>
      </c>
      <c r="F267" t="n">
        <v>17.6</v>
      </c>
      <c r="G267" t="inlineStr">
        <is>
          <t>n° 19 : 0,50 + n° 20 : 0,50</t>
        </is>
      </c>
      <c r="H267" t="n">
        <v>1</v>
      </c>
    </row>
    <row r="268">
      <c r="A268" t="inlineStr">
        <is>
          <t>2022-2023</t>
        </is>
      </c>
      <c r="B268" t="inlineStr">
        <is>
          <t>2022-06-03</t>
        </is>
      </c>
      <c r="C268" t="inlineStr">
        <is>
          <t>19:44</t>
        </is>
      </c>
      <c r="D268" t="inlineStr">
        <is>
          <t>n° 19 + n° 20 + n° 21 + n° 22</t>
        </is>
      </c>
      <c r="E268" t="inlineStr">
        <is>
          <t>Jambon sec</t>
        </is>
      </c>
      <c r="F268" t="n">
        <v>8.9</v>
      </c>
      <c r="G268" t="inlineStr">
        <is>
          <t>n° 19 : 0,50 + n° 20 : 0,50</t>
        </is>
      </c>
      <c r="H268" t="n">
        <v>1</v>
      </c>
    </row>
    <row r="269">
      <c r="A269" t="inlineStr">
        <is>
          <t>2022-2023</t>
        </is>
      </c>
      <c r="B269" t="inlineStr">
        <is>
          <t>2022-06-03</t>
        </is>
      </c>
      <c r="C269" t="inlineStr">
        <is>
          <t>19:44</t>
        </is>
      </c>
      <c r="D269" t="inlineStr">
        <is>
          <t>n° 19 + n° 20 + n° 21 + n° 22</t>
        </is>
      </c>
      <c r="E269" t="inlineStr">
        <is>
          <t>Pinte Picon</t>
        </is>
      </c>
      <c r="F269" t="n">
        <v>8.9</v>
      </c>
      <c r="G269" t="inlineStr">
        <is>
          <t>n° 21 : 0,50 + n° 22 : 0,50</t>
        </is>
      </c>
      <c r="H269" t="n">
        <v>1</v>
      </c>
    </row>
    <row r="270">
      <c r="A270" t="inlineStr">
        <is>
          <t>2022-2023</t>
        </is>
      </c>
      <c r="B270" t="inlineStr">
        <is>
          <t>2022-06-03</t>
        </is>
      </c>
      <c r="C270" t="inlineStr">
        <is>
          <t>19:44</t>
        </is>
      </c>
      <c r="D270" t="inlineStr">
        <is>
          <t>n° 19 + n° 20 + n° 21 + n° 22</t>
        </is>
      </c>
      <c r="E270" t="inlineStr">
        <is>
          <t>Pavlova</t>
        </is>
      </c>
      <c r="F270" t="n">
        <v>8.699999999999999</v>
      </c>
      <c r="G270" t="inlineStr">
        <is>
          <t>n° 19 : 0,50 + n° 20 : 0,50</t>
        </is>
      </c>
      <c r="H270" t="n">
        <v>1</v>
      </c>
    </row>
    <row r="271">
      <c r="A271" t="inlineStr">
        <is>
          <t>2022-2023</t>
        </is>
      </c>
      <c r="B271" t="inlineStr">
        <is>
          <t>2022-06-03</t>
        </is>
      </c>
      <c r="C271" t="inlineStr">
        <is>
          <t>19:44</t>
        </is>
      </c>
      <c r="D271" t="inlineStr">
        <is>
          <t>n° 19 + n° 20 + n° 21 + n° 22</t>
        </is>
      </c>
      <c r="E271" t="inlineStr">
        <is>
          <t>CREME BRULEE</t>
        </is>
      </c>
      <c r="F271" t="n">
        <v>6.9</v>
      </c>
      <c r="G271" t="inlineStr">
        <is>
          <t>n° 19 : 0,50 + n° 20 : 0,50</t>
        </is>
      </c>
      <c r="H271" t="n">
        <v>1</v>
      </c>
    </row>
    <row r="272">
      <c r="A272" t="inlineStr">
        <is>
          <t>2022-2023</t>
        </is>
      </c>
      <c r="B272" t="inlineStr">
        <is>
          <t>2022-06-03</t>
        </is>
      </c>
      <c r="C272" t="inlineStr">
        <is>
          <t>19:44</t>
        </is>
      </c>
      <c r="D272" t="inlineStr">
        <is>
          <t>n° 19 + n° 20 + n° 21 + n° 22</t>
        </is>
      </c>
      <c r="E272" t="inlineStr">
        <is>
          <t>Rosé Pamplemousse</t>
        </is>
      </c>
      <c r="F272" t="n">
        <v>4.2</v>
      </c>
      <c r="G272" t="inlineStr">
        <is>
          <t>n° 21 : 0,50 + n° 22 : 0,50</t>
        </is>
      </c>
      <c r="H272" t="n">
        <v>1</v>
      </c>
    </row>
    <row r="273">
      <c r="A273" t="inlineStr">
        <is>
          <t>2022-2023</t>
        </is>
      </c>
      <c r="B273" t="inlineStr">
        <is>
          <t>2022-06-03</t>
        </is>
      </c>
      <c r="C273" t="inlineStr">
        <is>
          <t>19:44</t>
        </is>
      </c>
      <c r="D273" t="inlineStr">
        <is>
          <t>n° 19 + n° 20 + n° 21 + n° 22</t>
        </is>
      </c>
      <c r="E273" t="inlineStr">
        <is>
          <t>Jus de Fruit</t>
        </is>
      </c>
      <c r="F273" t="n">
        <v>3.9</v>
      </c>
      <c r="G273" t="inlineStr">
        <is>
          <t>n° 21 : 0,50 + n° 22 : 0,50</t>
        </is>
      </c>
      <c r="H273" t="n">
        <v>1</v>
      </c>
    </row>
    <row r="274">
      <c r="A274" t="inlineStr">
        <is>
          <t>2022-2023</t>
        </is>
      </c>
      <c r="B274" t="inlineStr">
        <is>
          <t>2022-06-04</t>
        </is>
      </c>
      <c r="C274" t="inlineStr">
        <is>
          <t>19:08</t>
        </is>
      </c>
      <c r="D274" t="inlineStr">
        <is>
          <t>n° 17 + n° 18</t>
        </is>
      </c>
      <c r="E274" t="inlineStr">
        <is>
          <t>Menu Bourguignon</t>
        </is>
      </c>
      <c r="F274" t="n">
        <v>32</v>
      </c>
      <c r="G274" t="inlineStr">
        <is>
          <t>n° 17 : 0,50 + n° 18 : 0,50</t>
        </is>
      </c>
      <c r="H274" t="n">
        <v>1</v>
      </c>
    </row>
    <row r="275">
      <c r="A275" t="inlineStr">
        <is>
          <t>2022-2023</t>
        </is>
      </c>
      <c r="B275" t="inlineStr">
        <is>
          <t>2022-06-04</t>
        </is>
      </c>
      <c r="C275" t="inlineStr">
        <is>
          <t>19:08</t>
        </is>
      </c>
      <c r="D275" t="inlineStr">
        <is>
          <t>n° 17 + n° 18</t>
        </is>
      </c>
      <c r="E275" t="inlineStr">
        <is>
          <t>BURGER COMTOIS</t>
        </is>
      </c>
      <c r="F275" t="n">
        <v>19</v>
      </c>
      <c r="G275" t="inlineStr">
        <is>
          <t>n° 17 : 0,50 + n° 18 : 0,50</t>
        </is>
      </c>
      <c r="H275" t="n">
        <v>1</v>
      </c>
    </row>
    <row r="276">
      <c r="A276" t="inlineStr">
        <is>
          <t>2022-2023</t>
        </is>
      </c>
      <c r="B276" t="inlineStr">
        <is>
          <t>2022-06-04</t>
        </is>
      </c>
      <c r="C276" t="inlineStr">
        <is>
          <t>19:08</t>
        </is>
      </c>
      <c r="D276" t="inlineStr">
        <is>
          <t>n° 17 + n° 18</t>
        </is>
      </c>
      <c r="E276" t="inlineStr">
        <is>
          <t>Blanche des plateaux</t>
        </is>
      </c>
      <c r="F276" t="n">
        <v>5.9</v>
      </c>
      <c r="G276" t="inlineStr">
        <is>
          <t>n° 17 : 0,50 + n° 18 : 0,50</t>
        </is>
      </c>
      <c r="H276" t="n">
        <v>1</v>
      </c>
    </row>
    <row r="277">
      <c r="A277" t="inlineStr">
        <is>
          <t>2022-2023</t>
        </is>
      </c>
      <c r="B277" t="inlineStr">
        <is>
          <t>2022-06-04</t>
        </is>
      </c>
      <c r="C277" t="inlineStr">
        <is>
          <t>19:08</t>
        </is>
      </c>
      <c r="D277" t="inlineStr">
        <is>
          <t>n° 17 + n° 18</t>
        </is>
      </c>
      <c r="E277" t="inlineStr">
        <is>
          <t>La Vouivre</t>
        </is>
      </c>
      <c r="F277" t="n">
        <v>5.2</v>
      </c>
      <c r="G277" t="inlineStr">
        <is>
          <t>n° 17 : 0,50 + n° 18 : 0,50</t>
        </is>
      </c>
      <c r="H277" t="n">
        <v>1</v>
      </c>
    </row>
    <row r="278">
      <c r="A278" t="inlineStr">
        <is>
          <t>2022-2023</t>
        </is>
      </c>
      <c r="B278" t="inlineStr">
        <is>
          <t>2022-06-04</t>
        </is>
      </c>
      <c r="C278" t="inlineStr">
        <is>
          <t>19:08</t>
        </is>
      </c>
      <c r="D278" t="inlineStr">
        <is>
          <t>n° 17 + n° 18</t>
        </is>
      </c>
      <c r="E278" t="inlineStr">
        <is>
          <t>Coca (25cl)</t>
        </is>
      </c>
      <c r="F278" t="n">
        <v>3.9</v>
      </c>
      <c r="G278" t="inlineStr">
        <is>
          <t>n° 17 : 0,50 + n° 18 : 0,50</t>
        </is>
      </c>
      <c r="H278" t="n">
        <v>1</v>
      </c>
    </row>
    <row r="279">
      <c r="A279" t="inlineStr">
        <is>
          <t>2022-2023</t>
        </is>
      </c>
      <c r="B279" t="inlineStr">
        <is>
          <t>2022-06-04</t>
        </is>
      </c>
      <c r="C279" t="inlineStr">
        <is>
          <t>19:08</t>
        </is>
      </c>
      <c r="D279" t="inlineStr">
        <is>
          <t>n° 17 + n° 18</t>
        </is>
      </c>
      <c r="E279" t="inlineStr">
        <is>
          <t>Jus de Fruit</t>
        </is>
      </c>
      <c r="F279" t="n">
        <v>3.9</v>
      </c>
      <c r="G279" t="inlineStr">
        <is>
          <t>n° 17 : 0,50 + n° 18 : 0,50</t>
        </is>
      </c>
      <c r="H279" t="n">
        <v>1</v>
      </c>
    </row>
    <row r="280">
      <c r="A280" t="inlineStr">
        <is>
          <t>2022-2023</t>
        </is>
      </c>
      <c r="B280" t="inlineStr">
        <is>
          <t>2022-06-05</t>
        </is>
      </c>
      <c r="C280" t="inlineStr">
        <is>
          <t>19:29</t>
        </is>
      </c>
      <c r="D280" t="inlineStr">
        <is>
          <t>n° 29 + n° 30</t>
        </is>
      </c>
      <c r="E280" t="inlineStr">
        <is>
          <t>Entrecôte grillée</t>
        </is>
      </c>
      <c r="F280" t="n">
        <v>19.9</v>
      </c>
      <c r="G280" t="inlineStr">
        <is>
          <t>n° 29 : 0,50 + n° 30 : 0,50</t>
        </is>
      </c>
      <c r="H280" t="n">
        <v>1</v>
      </c>
    </row>
    <row r="281">
      <c r="A281" t="inlineStr">
        <is>
          <t>2022-2023</t>
        </is>
      </c>
      <c r="B281" t="inlineStr">
        <is>
          <t>2022-06-05</t>
        </is>
      </c>
      <c r="C281" t="inlineStr">
        <is>
          <t>19:29</t>
        </is>
      </c>
      <c r="D281" t="inlineStr">
        <is>
          <t>n° 29 + n° 30</t>
        </is>
      </c>
      <c r="E281" t="inlineStr">
        <is>
          <t>BURGER COMTOIS</t>
        </is>
      </c>
      <c r="F281" t="n">
        <v>19</v>
      </c>
      <c r="G281" t="inlineStr">
        <is>
          <t>n° 29 : 0,50 + n° 30 : 0,50</t>
        </is>
      </c>
      <c r="H281" t="n">
        <v>1</v>
      </c>
    </row>
    <row r="282">
      <c r="A282" t="inlineStr">
        <is>
          <t>2022-2023</t>
        </is>
      </c>
      <c r="B282" t="inlineStr">
        <is>
          <t>2022-06-05</t>
        </is>
      </c>
      <c r="C282" t="inlineStr">
        <is>
          <t>19:29</t>
        </is>
      </c>
      <c r="D282" t="inlineStr">
        <is>
          <t>n° 29 + n° 30</t>
        </is>
      </c>
      <c r="E282" t="inlineStr">
        <is>
          <t>ASSIETTE FRANC-COMTO</t>
        </is>
      </c>
      <c r="F282" t="n">
        <v>17.6</v>
      </c>
      <c r="G282" t="inlineStr">
        <is>
          <t>n° 29 : 0,50 + n° 30 : 0,50</t>
        </is>
      </c>
      <c r="H282" t="n">
        <v>1</v>
      </c>
    </row>
    <row r="283">
      <c r="A283" t="inlineStr">
        <is>
          <t>2022-2023</t>
        </is>
      </c>
      <c r="B283" t="inlineStr">
        <is>
          <t>2022-06-05</t>
        </is>
      </c>
      <c r="C283" t="inlineStr">
        <is>
          <t>19:29</t>
        </is>
      </c>
      <c r="D283" t="inlineStr">
        <is>
          <t>n° 29 + n° 30</t>
        </is>
      </c>
      <c r="E283" t="inlineStr">
        <is>
          <t>CAMEMBERT ROTI</t>
        </is>
      </c>
      <c r="F283" t="n">
        <v>17.6</v>
      </c>
      <c r="G283" t="inlineStr">
        <is>
          <t>n° 29 : 0,50 + n° 30 : 0,50</t>
        </is>
      </c>
      <c r="H283" t="n">
        <v>1</v>
      </c>
    </row>
    <row r="284">
      <c r="A284" t="inlineStr">
        <is>
          <t>2022-2023</t>
        </is>
      </c>
      <c r="B284" t="inlineStr">
        <is>
          <t>2022-06-05</t>
        </is>
      </c>
      <c r="C284" t="inlineStr">
        <is>
          <t>19:29</t>
        </is>
      </c>
      <c r="D284" t="inlineStr">
        <is>
          <t>n° 29 + n° 30</t>
        </is>
      </c>
      <c r="E284" t="inlineStr">
        <is>
          <t>Pinte Picon</t>
        </is>
      </c>
      <c r="F284" t="n">
        <v>8.9</v>
      </c>
      <c r="G284" t="inlineStr">
        <is>
          <t>n° 29 : 0,50 + n° 30 : 0,50</t>
        </is>
      </c>
      <c r="H284" t="n">
        <v>1</v>
      </c>
    </row>
    <row r="285">
      <c r="A285" t="inlineStr">
        <is>
          <t>2022-2023</t>
        </is>
      </c>
      <c r="B285" t="inlineStr">
        <is>
          <t>2022-06-05</t>
        </is>
      </c>
      <c r="C285" t="inlineStr">
        <is>
          <t>19:29</t>
        </is>
      </c>
      <c r="D285" t="inlineStr">
        <is>
          <t>n° 29 + n° 30</t>
        </is>
      </c>
      <c r="E285" t="inlineStr">
        <is>
          <t>CREME BRULEE</t>
        </is>
      </c>
      <c r="F285" t="n">
        <v>6.9</v>
      </c>
      <c r="G285" t="inlineStr">
        <is>
          <t>n° 29 : 0,50 + n° 30 : 0,50</t>
        </is>
      </c>
      <c r="H285" t="n">
        <v>1</v>
      </c>
    </row>
    <row r="286">
      <c r="A286" t="inlineStr">
        <is>
          <t>2022-2023</t>
        </is>
      </c>
      <c r="B286" t="inlineStr">
        <is>
          <t>2022-06-05</t>
        </is>
      </c>
      <c r="C286" t="inlineStr">
        <is>
          <t>19:29</t>
        </is>
      </c>
      <c r="D286" t="inlineStr">
        <is>
          <t>n° 29 + n° 30</t>
        </is>
      </c>
      <c r="E286" t="inlineStr">
        <is>
          <t>KITTYKIR</t>
        </is>
      </c>
      <c r="F286" t="n">
        <v>5.2</v>
      </c>
      <c r="G286" t="inlineStr">
        <is>
          <t>n° 29 : 0,50 + n° 30 : 0,50</t>
        </is>
      </c>
      <c r="H286" t="n">
        <v>1</v>
      </c>
    </row>
    <row r="287">
      <c r="A287" t="inlineStr">
        <is>
          <t>2022-2023</t>
        </is>
      </c>
      <c r="B287" t="inlineStr">
        <is>
          <t>2022-06-05</t>
        </is>
      </c>
      <c r="C287" t="inlineStr">
        <is>
          <t>19:29</t>
        </is>
      </c>
      <c r="D287" t="inlineStr">
        <is>
          <t>n° 29 + n° 30</t>
        </is>
      </c>
      <c r="E287" t="inlineStr">
        <is>
          <t>Père Gregoire</t>
        </is>
      </c>
      <c r="F287" t="n">
        <v>4.9</v>
      </c>
      <c r="G287" t="inlineStr">
        <is>
          <t>n° 29 : 0,50 + n° 30 : 0,50</t>
        </is>
      </c>
      <c r="H287" t="n">
        <v>1</v>
      </c>
    </row>
    <row r="288">
      <c r="A288" t="inlineStr">
        <is>
          <t>2022-2023</t>
        </is>
      </c>
      <c r="B288" t="inlineStr">
        <is>
          <t>2022-06-05</t>
        </is>
      </c>
      <c r="C288" t="inlineStr">
        <is>
          <t>19:29</t>
        </is>
      </c>
      <c r="D288" t="inlineStr">
        <is>
          <t>n° 29 + n° 30</t>
        </is>
      </c>
      <c r="E288" t="inlineStr">
        <is>
          <t>Diabolo (25cl)</t>
        </is>
      </c>
      <c r="F288" t="n">
        <v>3.9</v>
      </c>
      <c r="G288" t="inlineStr">
        <is>
          <t>n° 29 : 0,50 + n° 30 : 0,50</t>
        </is>
      </c>
      <c r="H288" t="n">
        <v>1</v>
      </c>
    </row>
    <row r="289">
      <c r="A289" t="inlineStr">
        <is>
          <t>2022-2023</t>
        </is>
      </c>
      <c r="B289" t="inlineStr">
        <is>
          <t>2022-06-05</t>
        </is>
      </c>
      <c r="C289" t="inlineStr">
        <is>
          <t>19:29</t>
        </is>
      </c>
      <c r="D289" t="inlineStr">
        <is>
          <t>n° 29 + n° 30</t>
        </is>
      </c>
      <c r="E289" t="inlineStr">
        <is>
          <t>GLACE 2 BOULES</t>
        </is>
      </c>
      <c r="F289" t="n">
        <v>3.9</v>
      </c>
      <c r="G289" t="inlineStr">
        <is>
          <t>n° 29 : 1,50 + n° 30 : 1,50</t>
        </is>
      </c>
      <c r="H289" t="n">
        <v>3</v>
      </c>
    </row>
    <row r="290">
      <c r="A290" t="inlineStr">
        <is>
          <t>2022-2023</t>
        </is>
      </c>
      <c r="B290" t="inlineStr">
        <is>
          <t>2022-06-05</t>
        </is>
      </c>
      <c r="C290" t="inlineStr">
        <is>
          <t>21:06</t>
        </is>
      </c>
      <c r="D290" t="inlineStr">
        <is>
          <t>n° 42 + n° 43</t>
        </is>
      </c>
      <c r="E290" t="inlineStr">
        <is>
          <t>Entrecôte grillée</t>
        </is>
      </c>
      <c r="F290" t="n">
        <v>19.9</v>
      </c>
      <c r="G290" t="inlineStr">
        <is>
          <t>n° 42 : 0,50 + n° 43 : 0,50</t>
        </is>
      </c>
      <c r="H290" t="n">
        <v>1</v>
      </c>
    </row>
    <row r="291">
      <c r="A291" t="inlineStr">
        <is>
          <t>2022-2023</t>
        </is>
      </c>
      <c r="B291" t="inlineStr">
        <is>
          <t>2022-06-05</t>
        </is>
      </c>
      <c r="C291" t="inlineStr">
        <is>
          <t>21:06</t>
        </is>
      </c>
      <c r="D291" t="inlineStr">
        <is>
          <t>n° 42 + n° 43</t>
        </is>
      </c>
      <c r="E291" t="inlineStr">
        <is>
          <t>POULET JURASSIENNE</t>
        </is>
      </c>
      <c r="F291" t="n">
        <v>17.6</v>
      </c>
      <c r="G291" t="inlineStr">
        <is>
          <t>n° 42 : 0,50 + n° 43 : 0,50</t>
        </is>
      </c>
      <c r="H291" t="n">
        <v>1</v>
      </c>
    </row>
    <row r="292">
      <c r="A292" t="inlineStr">
        <is>
          <t>2022-2023</t>
        </is>
      </c>
      <c r="B292" t="inlineStr">
        <is>
          <t>2022-06-05</t>
        </is>
      </c>
      <c r="C292" t="inlineStr">
        <is>
          <t>21:06</t>
        </is>
      </c>
      <c r="D292" t="inlineStr">
        <is>
          <t>n° 42 + n° 43</t>
        </is>
      </c>
      <c r="E292" t="inlineStr">
        <is>
          <t>Jambon sec</t>
        </is>
      </c>
      <c r="F292" t="n">
        <v>8.9</v>
      </c>
      <c r="G292" t="inlineStr">
        <is>
          <t>n° 42 : 0,50 + n° 43 : 0,50</t>
        </is>
      </c>
      <c r="H292" t="n">
        <v>1</v>
      </c>
    </row>
    <row r="293">
      <c r="A293" t="inlineStr">
        <is>
          <t>2022-2023</t>
        </is>
      </c>
      <c r="B293" t="inlineStr">
        <is>
          <t>2022-06-05</t>
        </is>
      </c>
      <c r="C293" t="inlineStr">
        <is>
          <t>21:06</t>
        </is>
      </c>
      <c r="D293" t="inlineStr">
        <is>
          <t>n° 42 + n° 43</t>
        </is>
      </c>
      <c r="E293" t="inlineStr">
        <is>
          <t>Escargots de Bourgog</t>
        </is>
      </c>
      <c r="F293" t="n">
        <v>8</v>
      </c>
      <c r="G293" t="inlineStr">
        <is>
          <t>n° 42 : 0,50 + n° 43 : 0,50</t>
        </is>
      </c>
      <c r="H293" t="n">
        <v>1</v>
      </c>
    </row>
    <row r="294">
      <c r="A294" t="inlineStr">
        <is>
          <t>2022-2023</t>
        </is>
      </c>
      <c r="B294" t="inlineStr">
        <is>
          <t>2022-06-05</t>
        </is>
      </c>
      <c r="C294" t="inlineStr">
        <is>
          <t>21:06</t>
        </is>
      </c>
      <c r="D294" t="inlineStr">
        <is>
          <t>n° 42 + n° 43</t>
        </is>
      </c>
      <c r="E294" t="inlineStr">
        <is>
          <t>Fuze Tea</t>
        </is>
      </c>
      <c r="F294" t="n">
        <v>3.9</v>
      </c>
      <c r="G294" t="inlineStr">
        <is>
          <t>n° 42 : 0,50 + n° 43 : 0,50</t>
        </is>
      </c>
      <c r="H294" t="n">
        <v>1</v>
      </c>
    </row>
    <row r="295">
      <c r="A295" t="inlineStr">
        <is>
          <t>2022-2023</t>
        </is>
      </c>
      <c r="B295" t="inlineStr">
        <is>
          <t>2022-06-05</t>
        </is>
      </c>
      <c r="C295" t="inlineStr">
        <is>
          <t>21:06</t>
        </is>
      </c>
      <c r="D295" t="inlineStr">
        <is>
          <t>n° 42 + n° 43</t>
        </is>
      </c>
      <c r="E295" t="inlineStr">
        <is>
          <t>Limonade (25cl)</t>
        </is>
      </c>
      <c r="F295" t="n">
        <v>3.9</v>
      </c>
      <c r="G295" t="inlineStr">
        <is>
          <t>n° 42 : 0,50 + n° 43 : 0,50</t>
        </is>
      </c>
      <c r="H295" t="n">
        <v>1</v>
      </c>
    </row>
    <row r="296">
      <c r="A296" t="inlineStr">
        <is>
          <t>2022-2023</t>
        </is>
      </c>
      <c r="B296" t="inlineStr">
        <is>
          <t>2022-06-06</t>
        </is>
      </c>
      <c r="C296" t="inlineStr">
        <is>
          <t>12:22</t>
        </is>
      </c>
      <c r="D296" t="inlineStr">
        <is>
          <t>n° 10 + n° 11</t>
        </is>
      </c>
      <c r="E296" t="inlineStr">
        <is>
          <t>Menu 'Demi Lune'</t>
        </is>
      </c>
      <c r="F296" t="n">
        <v>45</v>
      </c>
      <c r="G296" t="inlineStr">
        <is>
          <t>n° 10 : 0,50 + n° 11 : 0,50</t>
        </is>
      </c>
      <c r="H296" t="n">
        <v>1</v>
      </c>
    </row>
    <row r="297">
      <c r="A297" t="inlineStr">
        <is>
          <t>2022-2023</t>
        </is>
      </c>
      <c r="B297" t="inlineStr">
        <is>
          <t>2022-06-06</t>
        </is>
      </c>
      <c r="C297" t="inlineStr">
        <is>
          <t>12:22</t>
        </is>
      </c>
      <c r="D297" t="inlineStr">
        <is>
          <t>n° 10 + n° 11</t>
        </is>
      </c>
      <c r="E297" t="inlineStr">
        <is>
          <t>Menu Franc-Comtois</t>
        </is>
      </c>
      <c r="F297" t="n">
        <v>32</v>
      </c>
      <c r="G297" t="inlineStr">
        <is>
          <t>n° 10 : 0,50 + n° 11 : 0,50</t>
        </is>
      </c>
      <c r="H297" t="n">
        <v>1</v>
      </c>
    </row>
    <row r="298">
      <c r="A298" t="inlineStr">
        <is>
          <t>2022-2023</t>
        </is>
      </c>
      <c r="B298" t="inlineStr">
        <is>
          <t>2022-06-06</t>
        </is>
      </c>
      <c r="C298" t="inlineStr">
        <is>
          <t>12:22</t>
        </is>
      </c>
      <c r="D298" t="inlineStr">
        <is>
          <t>n° 10 + n° 11</t>
        </is>
      </c>
      <c r="E298" t="inlineStr">
        <is>
          <t>1/2 Arbois Béthanie</t>
        </is>
      </c>
      <c r="F298" t="n">
        <v>19</v>
      </c>
      <c r="G298" t="inlineStr">
        <is>
          <t>n° 10 : 0,50 + n° 11 : 0,50</t>
        </is>
      </c>
      <c r="H298" t="n">
        <v>1</v>
      </c>
    </row>
    <row r="299">
      <c r="A299" t="inlineStr">
        <is>
          <t>2022-2023</t>
        </is>
      </c>
      <c r="B299" t="inlineStr">
        <is>
          <t>2022-06-06</t>
        </is>
      </c>
      <c r="C299" t="inlineStr">
        <is>
          <t>12:22</t>
        </is>
      </c>
      <c r="D299" t="inlineStr">
        <is>
          <t>n° 10 + n° 11</t>
        </is>
      </c>
      <c r="E299" t="inlineStr">
        <is>
          <t>Mambo</t>
        </is>
      </c>
      <c r="F299" t="n">
        <v>6.5</v>
      </c>
      <c r="G299" t="inlineStr">
        <is>
          <t>n° 10 : 0,50 + n° 11 : 0,50</t>
        </is>
      </c>
      <c r="H299" t="n">
        <v>1</v>
      </c>
    </row>
    <row r="300">
      <c r="A300" t="inlineStr">
        <is>
          <t>2022-2023</t>
        </is>
      </c>
      <c r="B300" t="inlineStr">
        <is>
          <t>2022-06-06</t>
        </is>
      </c>
      <c r="C300" t="inlineStr">
        <is>
          <t>12:22</t>
        </is>
      </c>
      <c r="D300" t="inlineStr">
        <is>
          <t>n° 10 + n° 11</t>
        </is>
      </c>
      <c r="E300" t="inlineStr">
        <is>
          <t>Luna</t>
        </is>
      </c>
      <c r="F300" t="n">
        <v>6</v>
      </c>
      <c r="G300" t="inlineStr">
        <is>
          <t>n° 10 : 0,50 + n° 11 : 0,50</t>
        </is>
      </c>
      <c r="H300" t="n">
        <v>1</v>
      </c>
    </row>
    <row r="301">
      <c r="A301" t="inlineStr">
        <is>
          <t>2022-2023</t>
        </is>
      </c>
      <c r="B301" t="inlineStr">
        <is>
          <t>2022-06-06</t>
        </is>
      </c>
      <c r="C301" t="inlineStr">
        <is>
          <t>12:22</t>
        </is>
      </c>
      <c r="D301" t="inlineStr">
        <is>
          <t>n° 10 + n° 11</t>
        </is>
      </c>
      <c r="E301" t="inlineStr">
        <is>
          <t>Expresso Crème</t>
        </is>
      </c>
      <c r="F301" t="n">
        <v>2.4</v>
      </c>
      <c r="G301" t="inlineStr">
        <is>
          <t>n° 10 : 0,50 + n° 11 : 0,50</t>
        </is>
      </c>
      <c r="H301" t="n">
        <v>1</v>
      </c>
    </row>
    <row r="302">
      <c r="A302" t="inlineStr">
        <is>
          <t>2022-2023</t>
        </is>
      </c>
      <c r="B302" t="inlineStr">
        <is>
          <t>2022-06-06</t>
        </is>
      </c>
      <c r="C302" t="inlineStr">
        <is>
          <t>12:22</t>
        </is>
      </c>
      <c r="D302" t="inlineStr">
        <is>
          <t>n° 10 + n° 11</t>
        </is>
      </c>
      <c r="E302" t="inlineStr">
        <is>
          <t>Expresso</t>
        </is>
      </c>
      <c r="F302" t="n">
        <v>2.2</v>
      </c>
      <c r="G302" t="inlineStr">
        <is>
          <t>n° 10 : 1,50 + n° 11 : 1,50</t>
        </is>
      </c>
      <c r="H302" t="n">
        <v>3</v>
      </c>
    </row>
    <row r="303">
      <c r="A303" t="inlineStr">
        <is>
          <t>2022-2023</t>
        </is>
      </c>
      <c r="B303" t="inlineStr">
        <is>
          <t>2022-06-06</t>
        </is>
      </c>
      <c r="C303" t="inlineStr">
        <is>
          <t>13:02</t>
        </is>
      </c>
      <c r="D303" t="inlineStr">
        <is>
          <t>n° 15 + n° 16</t>
        </is>
      </c>
      <c r="E303" t="inlineStr">
        <is>
          <t>Menu Végétarien</t>
        </is>
      </c>
      <c r="F303" t="n">
        <v>23</v>
      </c>
      <c r="G303" t="inlineStr">
        <is>
          <t>n° 15 : 0,50 + n° 16 : 0,50</t>
        </is>
      </c>
      <c r="H303" t="n">
        <v>1</v>
      </c>
    </row>
    <row r="304">
      <c r="A304" t="inlineStr">
        <is>
          <t>2022-2023</t>
        </is>
      </c>
      <c r="B304" t="inlineStr">
        <is>
          <t>2022-06-06</t>
        </is>
      </c>
      <c r="C304" t="inlineStr">
        <is>
          <t>13:02</t>
        </is>
      </c>
      <c r="D304" t="inlineStr">
        <is>
          <t>n° 15 + n° 16</t>
        </is>
      </c>
      <c r="E304" t="inlineStr">
        <is>
          <t>Salade Régionale</t>
        </is>
      </c>
      <c r="F304" t="n">
        <v>19.9</v>
      </c>
      <c r="G304" t="inlineStr">
        <is>
          <t>n° 15 : 0,50 + n° 16 : 0,50</t>
        </is>
      </c>
      <c r="H304" t="n">
        <v>1</v>
      </c>
    </row>
    <row r="305">
      <c r="A305" t="inlineStr">
        <is>
          <t>2022-2023</t>
        </is>
      </c>
      <c r="B305" t="inlineStr">
        <is>
          <t>2022-06-06</t>
        </is>
      </c>
      <c r="C305" t="inlineStr">
        <is>
          <t>13:02</t>
        </is>
      </c>
      <c r="D305" t="inlineStr">
        <is>
          <t>n° 15 + n° 16</t>
        </is>
      </c>
      <c r="E305" t="inlineStr">
        <is>
          <t>ASSIETTE PERE GREGOI</t>
        </is>
      </c>
      <c r="F305" t="n">
        <v>17.6</v>
      </c>
      <c r="G305" t="inlineStr">
        <is>
          <t>n° 15 : 0,50 + n° 16 : 0,50</t>
        </is>
      </c>
      <c r="H305" t="n">
        <v>1</v>
      </c>
    </row>
    <row r="306">
      <c r="A306" t="inlineStr">
        <is>
          <t>2022-2023</t>
        </is>
      </c>
      <c r="B306" t="inlineStr">
        <is>
          <t>2022-06-06</t>
        </is>
      </c>
      <c r="C306" t="inlineStr">
        <is>
          <t>13:02</t>
        </is>
      </c>
      <c r="D306" t="inlineStr">
        <is>
          <t>n° 15 + n° 16</t>
        </is>
      </c>
      <c r="E306" t="inlineStr">
        <is>
          <t>ASSIETTE FRANC-COMTO</t>
        </is>
      </c>
      <c r="F306" t="n">
        <v>17.6</v>
      </c>
      <c r="G306" t="inlineStr">
        <is>
          <t>n° 15 : 0,50 + n° 16 : 0,50</t>
        </is>
      </c>
      <c r="H306" t="n">
        <v>1</v>
      </c>
    </row>
    <row r="307">
      <c r="A307" t="inlineStr">
        <is>
          <t>2022-2023</t>
        </is>
      </c>
      <c r="B307" t="inlineStr">
        <is>
          <t>2022-06-06</t>
        </is>
      </c>
      <c r="C307" t="inlineStr">
        <is>
          <t>13:02</t>
        </is>
      </c>
      <c r="D307" t="inlineStr">
        <is>
          <t>n° 15 + n° 16</t>
        </is>
      </c>
      <c r="E307" t="inlineStr">
        <is>
          <t>Menu 'Galette'</t>
        </is>
      </c>
      <c r="F307" t="n">
        <v>15.9</v>
      </c>
      <c r="G307" t="inlineStr">
        <is>
          <t>n° 15 : 0,50 + n° 16 : 0,50</t>
        </is>
      </c>
      <c r="H307" t="n">
        <v>1</v>
      </c>
    </row>
    <row r="308">
      <c r="A308" t="inlineStr">
        <is>
          <t>2022-2023</t>
        </is>
      </c>
      <c r="B308" t="inlineStr">
        <is>
          <t>2022-06-06</t>
        </is>
      </c>
      <c r="C308" t="inlineStr">
        <is>
          <t>13:02</t>
        </is>
      </c>
      <c r="D308" t="inlineStr">
        <is>
          <t>n° 15 + n° 16</t>
        </is>
      </c>
      <c r="E308" t="inlineStr">
        <is>
          <t>Ambrée</t>
        </is>
      </c>
      <c r="F308" t="n">
        <v>5.9</v>
      </c>
      <c r="G308" t="inlineStr">
        <is>
          <t>n° 15 : 0,50 + n° 16 : 0,50</t>
        </is>
      </c>
      <c r="H308" t="n">
        <v>1</v>
      </c>
    </row>
    <row r="309">
      <c r="A309" t="inlineStr">
        <is>
          <t>2022-2023</t>
        </is>
      </c>
      <c r="B309" t="inlineStr">
        <is>
          <t>2022-06-06</t>
        </is>
      </c>
      <c r="C309" t="inlineStr">
        <is>
          <t>13:02</t>
        </is>
      </c>
      <c r="D309" t="inlineStr">
        <is>
          <t>n° 15 + n° 16</t>
        </is>
      </c>
      <c r="E309" t="inlineStr">
        <is>
          <t>Verre de vin</t>
        </is>
      </c>
      <c r="F309" t="n">
        <v>3.6</v>
      </c>
      <c r="G309" t="inlineStr">
        <is>
          <t>n° 15 : 0,50 + n° 16 : 0,50</t>
        </is>
      </c>
      <c r="H309" t="n">
        <v>1</v>
      </c>
    </row>
    <row r="310">
      <c r="A310" t="inlineStr">
        <is>
          <t>2022-2023</t>
        </is>
      </c>
      <c r="B310" t="inlineStr">
        <is>
          <t>2022-06-06</t>
        </is>
      </c>
      <c r="C310" t="inlineStr">
        <is>
          <t>13:02</t>
        </is>
      </c>
      <c r="D310" t="inlineStr">
        <is>
          <t>n° 15 + n° 16</t>
        </is>
      </c>
      <c r="E310" t="inlineStr">
        <is>
          <t>Crêpe sucrée</t>
        </is>
      </c>
      <c r="F310" t="n">
        <v>2.9</v>
      </c>
      <c r="G310" t="inlineStr">
        <is>
          <t>n° 15 : 0,50 + n° 16 : 0,50</t>
        </is>
      </c>
      <c r="H310" t="n">
        <v>1</v>
      </c>
    </row>
    <row r="311">
      <c r="A311" t="inlineStr">
        <is>
          <t>2022-2023</t>
        </is>
      </c>
      <c r="B311" t="inlineStr">
        <is>
          <t>2022-06-06</t>
        </is>
      </c>
      <c r="C311" t="inlineStr">
        <is>
          <t>13:02</t>
        </is>
      </c>
      <c r="D311" t="inlineStr">
        <is>
          <t>n° 15 + n° 16</t>
        </is>
      </c>
      <c r="E311" t="inlineStr">
        <is>
          <t>Jus de citron</t>
        </is>
      </c>
      <c r="F311" t="n">
        <v>1.2</v>
      </c>
      <c r="G311" t="inlineStr">
        <is>
          <t>n° 15 : 0,50 + n° 16 : 0,50</t>
        </is>
      </c>
      <c r="H311" t="n">
        <v>1</v>
      </c>
    </row>
    <row r="312">
      <c r="A312" t="inlineStr">
        <is>
          <t>2022-2023</t>
        </is>
      </c>
      <c r="B312" t="inlineStr">
        <is>
          <t>2022-06-08</t>
        </is>
      </c>
      <c r="C312" t="inlineStr">
        <is>
          <t>12:31</t>
        </is>
      </c>
      <c r="D312" t="inlineStr">
        <is>
          <t>n° 11 + n° 12</t>
        </is>
      </c>
      <c r="E312" t="inlineStr">
        <is>
          <t>Poulet aux Morilles</t>
        </is>
      </c>
      <c r="F312" t="n">
        <v>28.6</v>
      </c>
      <c r="G312" t="inlineStr">
        <is>
          <t>n° 11 : 0,50 + n° 12 : 0,50</t>
        </is>
      </c>
      <c r="H312" t="n">
        <v>1</v>
      </c>
    </row>
    <row r="313">
      <c r="A313" t="inlineStr">
        <is>
          <t>2022-2023</t>
        </is>
      </c>
      <c r="B313" t="inlineStr">
        <is>
          <t>2022-06-08</t>
        </is>
      </c>
      <c r="C313" t="inlineStr">
        <is>
          <t>12:31</t>
        </is>
      </c>
      <c r="D313" t="inlineStr">
        <is>
          <t>n° 11 + n° 12</t>
        </is>
      </c>
      <c r="E313" t="inlineStr">
        <is>
          <t>Clair de Rosé</t>
        </is>
      </c>
      <c r="F313" t="n">
        <v>18</v>
      </c>
      <c r="G313" t="inlineStr">
        <is>
          <t>n° 11 : 0,50 + n° 12 : 0,50</t>
        </is>
      </c>
      <c r="H313" t="n">
        <v>1</v>
      </c>
    </row>
    <row r="314">
      <c r="A314" t="inlineStr">
        <is>
          <t>2022-2023</t>
        </is>
      </c>
      <c r="B314" t="inlineStr">
        <is>
          <t>2022-06-08</t>
        </is>
      </c>
      <c r="C314" t="inlineStr">
        <is>
          <t>12:31</t>
        </is>
      </c>
      <c r="D314" t="inlineStr">
        <is>
          <t>n° 11 + n° 12</t>
        </is>
      </c>
      <c r="E314" t="inlineStr">
        <is>
          <t>CAMEMBERT ROTI</t>
        </is>
      </c>
      <c r="F314" t="n">
        <v>17.6</v>
      </c>
      <c r="G314" t="inlineStr">
        <is>
          <t>n° 11 : 0,50 + n° 12 : 0,50</t>
        </is>
      </c>
      <c r="H314" t="n">
        <v>1</v>
      </c>
    </row>
    <row r="315">
      <c r="A315" t="inlineStr">
        <is>
          <t>2022-2023</t>
        </is>
      </c>
      <c r="B315" t="inlineStr">
        <is>
          <t>2022-06-08</t>
        </is>
      </c>
      <c r="C315" t="inlineStr">
        <is>
          <t>12:31</t>
        </is>
      </c>
      <c r="D315" t="inlineStr">
        <is>
          <t>n° 11 + n° 12</t>
        </is>
      </c>
      <c r="E315" t="inlineStr">
        <is>
          <t>Pavlova</t>
        </is>
      </c>
      <c r="F315" t="n">
        <v>8.699999999999999</v>
      </c>
      <c r="G315" t="inlineStr">
        <is>
          <t>n° 11 : 0,50 + n° 12 : 0,50</t>
        </is>
      </c>
      <c r="H315" t="n">
        <v>1</v>
      </c>
    </row>
    <row r="316">
      <c r="A316" t="inlineStr">
        <is>
          <t>2022-2023</t>
        </is>
      </c>
      <c r="B316" t="inlineStr">
        <is>
          <t>2022-06-08</t>
        </is>
      </c>
      <c r="C316" t="inlineStr">
        <is>
          <t>12:31</t>
        </is>
      </c>
      <c r="D316" t="inlineStr">
        <is>
          <t>n° 11 + n° 12</t>
        </is>
      </c>
      <c r="E316" t="inlineStr">
        <is>
          <t>CUPIDON</t>
        </is>
      </c>
      <c r="F316" t="n">
        <v>7.5</v>
      </c>
      <c r="G316" t="inlineStr">
        <is>
          <t>n° 11 : 0,50 + n° 12 : 0,50</t>
        </is>
      </c>
      <c r="H316" t="n">
        <v>1</v>
      </c>
    </row>
    <row r="317">
      <c r="A317" t="inlineStr">
        <is>
          <t>2022-2023</t>
        </is>
      </c>
      <c r="B317" t="inlineStr">
        <is>
          <t>2022-06-08</t>
        </is>
      </c>
      <c r="C317" t="inlineStr">
        <is>
          <t>12:31</t>
        </is>
      </c>
      <c r="D317" t="inlineStr">
        <is>
          <t>n° 11 + n° 12</t>
        </is>
      </c>
      <c r="E317" t="inlineStr">
        <is>
          <t>Baba au Macvin</t>
        </is>
      </c>
      <c r="F317" t="n">
        <v>6.9</v>
      </c>
      <c r="G317" t="inlineStr">
        <is>
          <t>n° 11 : 0,50 + n° 12 : 0,50</t>
        </is>
      </c>
      <c r="H317" t="n">
        <v>1</v>
      </c>
    </row>
    <row r="318">
      <c r="A318" t="inlineStr">
        <is>
          <t>2022-2023</t>
        </is>
      </c>
      <c r="B318" t="inlineStr">
        <is>
          <t>2022-06-08</t>
        </is>
      </c>
      <c r="C318" t="inlineStr">
        <is>
          <t>12:31</t>
        </is>
      </c>
      <c r="D318" t="inlineStr">
        <is>
          <t>n° 11 + n° 12</t>
        </is>
      </c>
      <c r="E318" t="inlineStr">
        <is>
          <t>TOQUADE</t>
        </is>
      </c>
      <c r="F318" t="n">
        <v>6.9</v>
      </c>
      <c r="G318" t="inlineStr">
        <is>
          <t>n° 11 : 0,50 + n° 12 : 0,50</t>
        </is>
      </c>
      <c r="H318" t="n">
        <v>1</v>
      </c>
    </row>
    <row r="319">
      <c r="A319" t="inlineStr">
        <is>
          <t>2022-2023</t>
        </is>
      </c>
      <c r="B319" t="inlineStr">
        <is>
          <t>2022-06-09</t>
        </is>
      </c>
      <c r="C319" t="inlineStr">
        <is>
          <t>19:38</t>
        </is>
      </c>
      <c r="D319" t="inlineStr">
        <is>
          <t>n° 20 + n° 21</t>
        </is>
      </c>
      <c r="E319" t="inlineStr">
        <is>
          <t>BURGER COMTOIS</t>
        </is>
      </c>
      <c r="F319" t="n">
        <v>19</v>
      </c>
      <c r="G319" t="inlineStr">
        <is>
          <t>n° 20 : 0,50 + n° 21 : 0,50</t>
        </is>
      </c>
      <c r="H319" t="n">
        <v>1</v>
      </c>
    </row>
    <row r="320">
      <c r="A320" t="inlineStr">
        <is>
          <t>2022-2023</t>
        </is>
      </c>
      <c r="B320" t="inlineStr">
        <is>
          <t>2022-06-09</t>
        </is>
      </c>
      <c r="C320" t="inlineStr">
        <is>
          <t>19:38</t>
        </is>
      </c>
      <c r="D320" t="inlineStr">
        <is>
          <t>n° 20 + n° 21</t>
        </is>
      </c>
      <c r="E320" t="inlineStr">
        <is>
          <t>ECRESSI</t>
        </is>
      </c>
      <c r="F320" t="n">
        <v>14.5</v>
      </c>
      <c r="G320" t="inlineStr">
        <is>
          <t>n° 20 : 0,50 + n° 21 : 0,50</t>
        </is>
      </c>
      <c r="H320" t="n">
        <v>1</v>
      </c>
    </row>
    <row r="321">
      <c r="A321" t="inlineStr">
        <is>
          <t>2022-2023</t>
        </is>
      </c>
      <c r="B321" t="inlineStr">
        <is>
          <t>2022-06-09</t>
        </is>
      </c>
      <c r="C321" t="inlineStr">
        <is>
          <t>19:38</t>
        </is>
      </c>
      <c r="D321" t="inlineStr">
        <is>
          <t>n° 20 + n° 21</t>
        </is>
      </c>
      <c r="E321" t="inlineStr">
        <is>
          <t>Cidre Bouché Brut</t>
        </is>
      </c>
      <c r="F321" t="n">
        <v>14</v>
      </c>
      <c r="G321" t="inlineStr">
        <is>
          <t>n° 20 : 0,50 + n° 21 : 0,50</t>
        </is>
      </c>
      <c r="H321" t="n">
        <v>1</v>
      </c>
    </row>
    <row r="322">
      <c r="A322" t="inlineStr">
        <is>
          <t>2022-2023</t>
        </is>
      </c>
      <c r="B322" t="inlineStr">
        <is>
          <t>2022-06-09</t>
        </is>
      </c>
      <c r="C322" t="inlineStr">
        <is>
          <t>19:38</t>
        </is>
      </c>
      <c r="D322" t="inlineStr">
        <is>
          <t>n° 20 + n° 21</t>
        </is>
      </c>
      <c r="E322" t="inlineStr">
        <is>
          <t>BARBEULENET</t>
        </is>
      </c>
      <c r="F322" t="n">
        <v>13.9</v>
      </c>
      <c r="G322" t="inlineStr">
        <is>
          <t>n° 20 : 0,50 + n° 21 : 0,50</t>
        </is>
      </c>
      <c r="H322" t="n">
        <v>1</v>
      </c>
    </row>
    <row r="323">
      <c r="A323" t="inlineStr">
        <is>
          <t>2022-2023</t>
        </is>
      </c>
      <c r="B323" t="inlineStr">
        <is>
          <t>2022-06-09</t>
        </is>
      </c>
      <c r="C323" t="inlineStr">
        <is>
          <t>19:38</t>
        </is>
      </c>
      <c r="D323" t="inlineStr">
        <is>
          <t>n° 20 + n° 21</t>
        </is>
      </c>
      <c r="E323" t="inlineStr">
        <is>
          <t>VOGEOTTE</t>
        </is>
      </c>
      <c r="F323" t="n">
        <v>10.9</v>
      </c>
      <c r="G323" t="inlineStr">
        <is>
          <t>n° 20 : 0,50 + n° 21 : 0,50</t>
        </is>
      </c>
      <c r="H323" t="n">
        <v>1</v>
      </c>
    </row>
    <row r="324">
      <c r="A324" t="inlineStr">
        <is>
          <t>2022-2023</t>
        </is>
      </c>
      <c r="B324" t="inlineStr">
        <is>
          <t>2022-06-09</t>
        </is>
      </c>
      <c r="C324" t="inlineStr">
        <is>
          <t>19:38</t>
        </is>
      </c>
      <c r="D324" t="inlineStr">
        <is>
          <t>n° 20 + n° 21</t>
        </is>
      </c>
      <c r="E324" t="inlineStr">
        <is>
          <t>DAHU</t>
        </is>
      </c>
      <c r="F324" t="n">
        <v>9.699999999999999</v>
      </c>
      <c r="G324" t="inlineStr">
        <is>
          <t>n° 20 : 0,50 + n° 21 : 0,50</t>
        </is>
      </c>
      <c r="H324" t="n">
        <v>1</v>
      </c>
    </row>
    <row r="325">
      <c r="A325" t="inlineStr">
        <is>
          <t>2022-2023</t>
        </is>
      </c>
      <c r="B325" t="inlineStr">
        <is>
          <t>2022-06-09</t>
        </is>
      </c>
      <c r="C325" t="inlineStr">
        <is>
          <t>19:38</t>
        </is>
      </c>
      <c r="D325" t="inlineStr">
        <is>
          <t>n° 20 + n° 21</t>
        </is>
      </c>
      <c r="E325" t="inlineStr">
        <is>
          <t>Salade Franc-Comptoi</t>
        </is>
      </c>
      <c r="F325" t="n">
        <v>8.9</v>
      </c>
      <c r="G325" t="inlineStr">
        <is>
          <t>n° 20 : 0,50 + n° 21 : 0,50</t>
        </is>
      </c>
      <c r="H325" t="n">
        <v>1</v>
      </c>
    </row>
    <row r="326">
      <c r="A326" t="inlineStr">
        <is>
          <t>2022-2023</t>
        </is>
      </c>
      <c r="B326" t="inlineStr">
        <is>
          <t>2022-06-09</t>
        </is>
      </c>
      <c r="C326" t="inlineStr">
        <is>
          <t>19:38</t>
        </is>
      </c>
      <c r="D326" t="inlineStr">
        <is>
          <t>n° 20 + n° 21</t>
        </is>
      </c>
      <c r="E326" t="inlineStr">
        <is>
          <t>DAMES VERTES</t>
        </is>
      </c>
      <c r="F326" t="n">
        <v>8.300000000000001</v>
      </c>
      <c r="G326" t="inlineStr">
        <is>
          <t>n° 20 : 0,50 + n° 21 : 0,50</t>
        </is>
      </c>
      <c r="H326" t="n">
        <v>1</v>
      </c>
    </row>
    <row r="327">
      <c r="A327" t="inlineStr">
        <is>
          <t>2022-2023</t>
        </is>
      </c>
      <c r="B327" t="inlineStr">
        <is>
          <t>2022-06-09</t>
        </is>
      </c>
      <c r="C327" t="inlineStr">
        <is>
          <t>19:38</t>
        </is>
      </c>
      <c r="D327" t="inlineStr">
        <is>
          <t>n° 20 + n° 21</t>
        </is>
      </c>
      <c r="E327" t="inlineStr">
        <is>
          <t>CREPE CHOC/CHANTILLY</t>
        </is>
      </c>
      <c r="F327" t="n">
        <v>6.5</v>
      </c>
      <c r="G327" t="inlineStr">
        <is>
          <t>n° 20 : 0,50 + n° 21 : 0,50</t>
        </is>
      </c>
      <c r="H327" t="n">
        <v>1</v>
      </c>
    </row>
    <row r="328">
      <c r="A328" t="inlineStr">
        <is>
          <t>2022-2023</t>
        </is>
      </c>
      <c r="B328" t="inlineStr">
        <is>
          <t>2022-06-09</t>
        </is>
      </c>
      <c r="C328" t="inlineStr">
        <is>
          <t>19:38</t>
        </is>
      </c>
      <c r="D328" t="inlineStr">
        <is>
          <t>n° 20 + n° 21</t>
        </is>
      </c>
      <c r="E328" t="inlineStr">
        <is>
          <t>Diabolo (25cl)</t>
        </is>
      </c>
      <c r="F328" t="n">
        <v>3.9</v>
      </c>
      <c r="G328" t="inlineStr">
        <is>
          <t>n° 20 : 0,50 + n° 21 : 0,50</t>
        </is>
      </c>
      <c r="H328" t="n">
        <v>1</v>
      </c>
    </row>
    <row r="329">
      <c r="A329" t="inlineStr">
        <is>
          <t>2022-2023</t>
        </is>
      </c>
      <c r="B329" t="inlineStr">
        <is>
          <t>2022-06-09</t>
        </is>
      </c>
      <c r="C329" t="inlineStr">
        <is>
          <t>19:38</t>
        </is>
      </c>
      <c r="D329" t="inlineStr">
        <is>
          <t>n° 20 + n° 21</t>
        </is>
      </c>
      <c r="E329" t="inlineStr">
        <is>
          <t>Fromage de Chèvre</t>
        </is>
      </c>
      <c r="F329" t="n">
        <v>3.9</v>
      </c>
      <c r="G329" t="inlineStr">
        <is>
          <t>n° 20 : 0,50 + n° 21 : 0,50</t>
        </is>
      </c>
      <c r="H329" t="n">
        <v>1</v>
      </c>
    </row>
    <row r="330">
      <c r="A330" t="inlineStr">
        <is>
          <t>2022-2023</t>
        </is>
      </c>
      <c r="B330" t="inlineStr">
        <is>
          <t>2022-06-09</t>
        </is>
      </c>
      <c r="C330" t="inlineStr">
        <is>
          <t>19:38</t>
        </is>
      </c>
      <c r="D330" t="inlineStr">
        <is>
          <t>n° 20 + n° 21</t>
        </is>
      </c>
      <c r="E330" t="inlineStr">
        <is>
          <t>Jambon Blanc</t>
        </is>
      </c>
      <c r="F330" t="n">
        <v>3.8</v>
      </c>
      <c r="G330" t="inlineStr">
        <is>
          <t>n° 20 : 0,50 + n° 21 : 0,50</t>
        </is>
      </c>
      <c r="H330" t="n">
        <v>1</v>
      </c>
    </row>
    <row r="331">
      <c r="A331" t="inlineStr">
        <is>
          <t>2022-2023</t>
        </is>
      </c>
      <c r="B331" t="inlineStr">
        <is>
          <t>2022-06-09</t>
        </is>
      </c>
      <c r="C331" t="inlineStr">
        <is>
          <t>19:38</t>
        </is>
      </c>
      <c r="D331" t="inlineStr">
        <is>
          <t>n° 20 + n° 21</t>
        </is>
      </c>
      <c r="E331" t="inlineStr">
        <is>
          <t>Galette nature</t>
        </is>
      </c>
      <c r="F331" t="n">
        <v>2.9</v>
      </c>
      <c r="G331" t="inlineStr">
        <is>
          <t>n° 20 : 0,50 + n° 21 : 0,50</t>
        </is>
      </c>
      <c r="H331" t="n">
        <v>1</v>
      </c>
    </row>
    <row r="332">
      <c r="A332" t="inlineStr">
        <is>
          <t>2022-2023</t>
        </is>
      </c>
      <c r="B332" t="inlineStr">
        <is>
          <t>2022-06-09</t>
        </is>
      </c>
      <c r="C332" t="inlineStr">
        <is>
          <t>19:38</t>
        </is>
      </c>
      <c r="D332" t="inlineStr">
        <is>
          <t>n° 20 + n° 21</t>
        </is>
      </c>
      <c r="E332" t="inlineStr">
        <is>
          <t>GLACE 1 BOULE</t>
        </is>
      </c>
      <c r="F332" t="n">
        <v>2</v>
      </c>
      <c r="G332" t="inlineStr">
        <is>
          <t>n° 20 : 0,50 + n° 21 : 0,50</t>
        </is>
      </c>
      <c r="H332" t="n">
        <v>1</v>
      </c>
    </row>
    <row r="333">
      <c r="A333" t="inlineStr">
        <is>
          <t>2022-2023</t>
        </is>
      </c>
      <c r="B333" t="inlineStr">
        <is>
          <t>2022-06-09</t>
        </is>
      </c>
      <c r="C333" t="inlineStr">
        <is>
          <t>19:38</t>
        </is>
      </c>
      <c r="D333" t="inlineStr">
        <is>
          <t>n° 20 + n° 21</t>
        </is>
      </c>
      <c r="E333" t="inlineStr">
        <is>
          <t>Crème Fraîche</t>
        </is>
      </c>
      <c r="F333" t="n">
        <v>1.4</v>
      </c>
      <c r="G333" t="inlineStr">
        <is>
          <t>n° 20 : 0,50 + n° 21 : 0,50</t>
        </is>
      </c>
      <c r="H333" t="n">
        <v>1</v>
      </c>
    </row>
    <row r="334">
      <c r="A334" t="inlineStr">
        <is>
          <t>2022-2023</t>
        </is>
      </c>
      <c r="B334" t="inlineStr">
        <is>
          <t>2022-06-09</t>
        </is>
      </c>
      <c r="C334" t="inlineStr">
        <is>
          <t>19:38</t>
        </is>
      </c>
      <c r="D334" t="inlineStr">
        <is>
          <t>n° 20 + n° 21</t>
        </is>
      </c>
      <c r="E334" t="inlineStr">
        <is>
          <t>Œuf</t>
        </is>
      </c>
      <c r="F334" t="n">
        <v>0.9</v>
      </c>
      <c r="G334" t="inlineStr">
        <is>
          <t>n° 20 : 0,50 + n° 21 : 0,50</t>
        </is>
      </c>
      <c r="H334" t="n">
        <v>1</v>
      </c>
    </row>
    <row r="335">
      <c r="A335" t="inlineStr">
        <is>
          <t>2022-2023</t>
        </is>
      </c>
      <c r="B335" t="inlineStr">
        <is>
          <t>2022-06-10</t>
        </is>
      </c>
      <c r="C335" t="inlineStr">
        <is>
          <t>12:09</t>
        </is>
      </c>
      <c r="D335" t="inlineStr">
        <is>
          <t>n° 4 + n° 5</t>
        </is>
      </c>
      <c r="E335" t="inlineStr">
        <is>
          <t>LOURNETTE</t>
        </is>
      </c>
      <c r="F335" t="n">
        <v>16.9</v>
      </c>
      <c r="G335" t="inlineStr">
        <is>
          <t>n° 4 : 0,50 + n° 5 : 0,50</t>
        </is>
      </c>
      <c r="H335" t="n">
        <v>1</v>
      </c>
    </row>
    <row r="336">
      <c r="A336" t="inlineStr">
        <is>
          <t>2022-2023</t>
        </is>
      </c>
      <c r="B336" t="inlineStr">
        <is>
          <t>2022-06-10</t>
        </is>
      </c>
      <c r="C336" t="inlineStr">
        <is>
          <t>12:09</t>
        </is>
      </c>
      <c r="D336" t="inlineStr">
        <is>
          <t>n° 4 + n° 5</t>
        </is>
      </c>
      <c r="E336" t="inlineStr">
        <is>
          <t>Formule à 11</t>
        </is>
      </c>
      <c r="F336" t="n">
        <v>11</v>
      </c>
      <c r="G336" t="inlineStr">
        <is>
          <t>n° 4 : 0,50 + n° 5 : 0,50</t>
        </is>
      </c>
      <c r="H336" t="n">
        <v>1</v>
      </c>
    </row>
    <row r="337">
      <c r="A337" t="inlineStr">
        <is>
          <t>2022-2023</t>
        </is>
      </c>
      <c r="B337" t="inlineStr">
        <is>
          <t>2022-06-10</t>
        </is>
      </c>
      <c r="C337" t="inlineStr">
        <is>
          <t>12:09</t>
        </is>
      </c>
      <c r="D337" t="inlineStr">
        <is>
          <t>n° 4 + n° 5</t>
        </is>
      </c>
      <c r="E337" t="inlineStr">
        <is>
          <t>BALIDOU</t>
        </is>
      </c>
      <c r="F337" t="n">
        <v>9</v>
      </c>
      <c r="G337" t="inlineStr">
        <is>
          <t>n° 4 : 0,50 + n° 5 : 0,50</t>
        </is>
      </c>
      <c r="H337" t="n">
        <v>1</v>
      </c>
    </row>
    <row r="338">
      <c r="A338" t="inlineStr">
        <is>
          <t>2022-2023</t>
        </is>
      </c>
      <c r="B338" t="inlineStr">
        <is>
          <t>2022-06-10</t>
        </is>
      </c>
      <c r="C338" t="inlineStr">
        <is>
          <t>12:09</t>
        </is>
      </c>
      <c r="D338" t="inlineStr">
        <is>
          <t>n° 4 + n° 5</t>
        </is>
      </c>
      <c r="E338" t="inlineStr">
        <is>
          <t>DAMES VERTES</t>
        </is>
      </c>
      <c r="F338" t="n">
        <v>8.300000000000001</v>
      </c>
      <c r="G338" t="inlineStr">
        <is>
          <t>n° 4 : 0,50 + n° 5 : 0,50</t>
        </is>
      </c>
      <c r="H338" t="n">
        <v>1</v>
      </c>
    </row>
    <row r="339">
      <c r="A339" t="inlineStr">
        <is>
          <t>2022-2023</t>
        </is>
      </c>
      <c r="B339" t="inlineStr">
        <is>
          <t>2022-06-10</t>
        </is>
      </c>
      <c r="C339" t="inlineStr">
        <is>
          <t>12:09</t>
        </is>
      </c>
      <c r="D339" t="inlineStr">
        <is>
          <t>n° 4 + n° 5</t>
        </is>
      </c>
      <c r="E339" t="inlineStr">
        <is>
          <t>Mambo</t>
        </is>
      </c>
      <c r="F339" t="n">
        <v>6.5</v>
      </c>
      <c r="G339" t="inlineStr">
        <is>
          <t>n° 4 : 0,50 + n° 5 : 0,50</t>
        </is>
      </c>
      <c r="H339" t="n">
        <v>1</v>
      </c>
    </row>
    <row r="340">
      <c r="A340" t="inlineStr">
        <is>
          <t>2022-2023</t>
        </is>
      </c>
      <c r="B340" t="inlineStr">
        <is>
          <t>2022-06-10</t>
        </is>
      </c>
      <c r="C340" t="inlineStr">
        <is>
          <t>12:09</t>
        </is>
      </c>
      <c r="D340" t="inlineStr">
        <is>
          <t>n° 4 + n° 5</t>
        </is>
      </c>
      <c r="E340" t="inlineStr">
        <is>
          <t>Infusion</t>
        </is>
      </c>
      <c r="F340" t="n">
        <v>3.4</v>
      </c>
      <c r="G340" t="inlineStr">
        <is>
          <t>n° 4 : 0,50 + n° 5 : 0,50</t>
        </is>
      </c>
      <c r="H340" t="n">
        <v>1</v>
      </c>
    </row>
    <row r="341">
      <c r="A341" t="inlineStr">
        <is>
          <t>2022-2023</t>
        </is>
      </c>
      <c r="B341" t="inlineStr">
        <is>
          <t>2022-06-10</t>
        </is>
      </c>
      <c r="C341" t="inlineStr">
        <is>
          <t>12:30</t>
        </is>
      </c>
      <c r="D341" t="inlineStr">
        <is>
          <t>n° 11 + n° 12 + n° 14 + n° 15</t>
        </is>
      </c>
      <c r="E341" t="inlineStr">
        <is>
          <t>TRUITE JURASSIENNE</t>
        </is>
      </c>
      <c r="F341" t="n">
        <v>17.6</v>
      </c>
      <c r="G341" t="inlineStr">
        <is>
          <t>n° 11 : 0,50 + n° 12 : 0,50</t>
        </is>
      </c>
      <c r="H341" t="n">
        <v>1</v>
      </c>
    </row>
    <row r="342">
      <c r="A342" t="inlineStr">
        <is>
          <t>2022-2023</t>
        </is>
      </c>
      <c r="B342" t="inlineStr">
        <is>
          <t>2022-06-10</t>
        </is>
      </c>
      <c r="C342" t="inlineStr">
        <is>
          <t>12:30</t>
        </is>
      </c>
      <c r="D342" t="inlineStr">
        <is>
          <t>n° 11 + n° 12 + n° 14 + n° 15</t>
        </is>
      </c>
      <c r="E342" t="inlineStr">
        <is>
          <t>Menu 'Galette'</t>
        </is>
      </c>
      <c r="F342" t="n">
        <v>15.9</v>
      </c>
      <c r="G342" t="inlineStr">
        <is>
          <t>n° 11 : 1,50 + n° 12 : 1,50</t>
        </is>
      </c>
      <c r="H342" t="n">
        <v>3</v>
      </c>
    </row>
    <row r="343">
      <c r="A343" t="inlineStr">
        <is>
          <t>2022-2023</t>
        </is>
      </c>
      <c r="B343" t="inlineStr">
        <is>
          <t>2022-06-10</t>
        </is>
      </c>
      <c r="C343" t="inlineStr">
        <is>
          <t>12:30</t>
        </is>
      </c>
      <c r="D343" t="inlineStr">
        <is>
          <t>n° 11 + n° 12 + n° 14 + n° 15</t>
        </is>
      </c>
      <c r="E343" t="inlineStr">
        <is>
          <t>Pichet 50cl vin</t>
        </is>
      </c>
      <c r="F343" t="n">
        <v>9.800000000000001</v>
      </c>
      <c r="G343" t="inlineStr">
        <is>
          <t>n° 11 : 1,00 + n° 12 : 1,00 + n° 14 : 0,50 + n° 15 : 0,50</t>
        </is>
      </c>
      <c r="H343" t="n">
        <v>3</v>
      </c>
    </row>
    <row r="344">
      <c r="A344" t="inlineStr">
        <is>
          <t>2022-2023</t>
        </is>
      </c>
      <c r="B344" t="inlineStr">
        <is>
          <t>2022-06-10</t>
        </is>
      </c>
      <c r="C344" t="inlineStr">
        <is>
          <t>12:30</t>
        </is>
      </c>
      <c r="D344" t="inlineStr">
        <is>
          <t>n° 11 + n° 12 + n° 14 + n° 15</t>
        </is>
      </c>
      <c r="E344" t="inlineStr">
        <is>
          <t>Saint Véran Verre</t>
        </is>
      </c>
      <c r="F344" t="n">
        <v>7.9</v>
      </c>
      <c r="G344" t="inlineStr">
        <is>
          <t>n° 14 : 0,50 + n° 15 : 0,50</t>
        </is>
      </c>
      <c r="H344" t="n">
        <v>1</v>
      </c>
    </row>
    <row r="345">
      <c r="A345" t="inlineStr">
        <is>
          <t>2022-2023</t>
        </is>
      </c>
      <c r="B345" t="inlineStr">
        <is>
          <t>2022-06-10</t>
        </is>
      </c>
      <c r="C345" t="inlineStr">
        <is>
          <t>12:30</t>
        </is>
      </c>
      <c r="D345" t="inlineStr">
        <is>
          <t>n° 11 + n° 12 + n° 14 + n° 15</t>
        </is>
      </c>
      <c r="E345" t="inlineStr">
        <is>
          <t>GLACE 2 BOULES</t>
        </is>
      </c>
      <c r="F345" t="n">
        <v>3.9</v>
      </c>
      <c r="G345" t="inlineStr">
        <is>
          <t>n° 11 : 0,50 + n° 12 : 0,50</t>
        </is>
      </c>
      <c r="H345" t="n">
        <v>1</v>
      </c>
    </row>
    <row r="346">
      <c r="A346" t="inlineStr">
        <is>
          <t>2022-2023</t>
        </is>
      </c>
      <c r="B346" t="inlineStr">
        <is>
          <t>2022-06-10</t>
        </is>
      </c>
      <c r="C346" t="inlineStr">
        <is>
          <t>12:30</t>
        </is>
      </c>
      <c r="D346" t="inlineStr">
        <is>
          <t>n° 11 + n° 12 + n° 14 + n° 15</t>
        </is>
      </c>
      <c r="E346" t="inlineStr">
        <is>
          <t>Expresso</t>
        </is>
      </c>
      <c r="F346" t="n">
        <v>2.2</v>
      </c>
      <c r="G346" t="inlineStr">
        <is>
          <t>n° 14 : 0,50 + n° 15 : 0,50</t>
        </is>
      </c>
      <c r="H346" t="n">
        <v>1</v>
      </c>
    </row>
    <row r="347">
      <c r="A347" t="inlineStr">
        <is>
          <t>2022-2023</t>
        </is>
      </c>
      <c r="B347" t="inlineStr">
        <is>
          <t>2022-06-10</t>
        </is>
      </c>
      <c r="C347" t="inlineStr">
        <is>
          <t>19:50</t>
        </is>
      </c>
      <c r="D347" t="inlineStr">
        <is>
          <t>n° 27 + n° 28</t>
        </is>
      </c>
      <c r="E347" t="inlineStr">
        <is>
          <t>CAMEMBERT ROTI</t>
        </is>
      </c>
      <c r="F347" t="n">
        <v>17.6</v>
      </c>
      <c r="G347" t="inlineStr">
        <is>
          <t>n° 27 : 0,50 + n° 28 : 0,50</t>
        </is>
      </c>
      <c r="H347" t="n">
        <v>1</v>
      </c>
    </row>
    <row r="348">
      <c r="A348" t="inlineStr">
        <is>
          <t>2022-2023</t>
        </is>
      </c>
      <c r="B348" t="inlineStr">
        <is>
          <t>2022-06-10</t>
        </is>
      </c>
      <c r="C348" t="inlineStr">
        <is>
          <t>19:50</t>
        </is>
      </c>
      <c r="D348" t="inlineStr">
        <is>
          <t>n° 27 + n° 28</t>
        </is>
      </c>
      <c r="E348" t="inlineStr">
        <is>
          <t>POULET JURASSIENNE</t>
        </is>
      </c>
      <c r="F348" t="n">
        <v>17.6</v>
      </c>
      <c r="G348" t="inlineStr">
        <is>
          <t>n° 27 : 0,50 + n° 28 : 0,50</t>
        </is>
      </c>
      <c r="H348" t="n">
        <v>1</v>
      </c>
    </row>
    <row r="349">
      <c r="A349" t="inlineStr">
        <is>
          <t>2022-2023</t>
        </is>
      </c>
      <c r="B349" t="inlineStr">
        <is>
          <t>2022-06-10</t>
        </is>
      </c>
      <c r="C349" t="inlineStr">
        <is>
          <t>19:50</t>
        </is>
      </c>
      <c r="D349" t="inlineStr">
        <is>
          <t>n° 27 + n° 28</t>
        </is>
      </c>
      <c r="E349" t="inlineStr">
        <is>
          <t>C du  Rhone St Josep</t>
        </is>
      </c>
      <c r="F349" t="n">
        <v>7.2</v>
      </c>
      <c r="G349" t="inlineStr">
        <is>
          <t>n° 27 : 0,50 + n° 28 : 0,50</t>
        </is>
      </c>
      <c r="H349" t="n">
        <v>1</v>
      </c>
    </row>
    <row r="350">
      <c r="A350" t="inlineStr">
        <is>
          <t>2022-2023</t>
        </is>
      </c>
      <c r="B350" t="inlineStr">
        <is>
          <t>2022-06-10</t>
        </is>
      </c>
      <c r="C350" t="inlineStr">
        <is>
          <t>19:50</t>
        </is>
      </c>
      <c r="D350" t="inlineStr">
        <is>
          <t>n° 27 + n° 28</t>
        </is>
      </c>
      <c r="E350" t="inlineStr">
        <is>
          <t>Savagnin verre</t>
        </is>
      </c>
      <c r="F350" t="n">
        <v>7.2</v>
      </c>
      <c r="G350" t="inlineStr">
        <is>
          <t>n° 27 : 0,50 + n° 28 : 0,50</t>
        </is>
      </c>
      <c r="H350" t="n">
        <v>1</v>
      </c>
    </row>
    <row r="351">
      <c r="A351" t="inlineStr">
        <is>
          <t>2022-2023</t>
        </is>
      </c>
      <c r="B351" t="inlineStr">
        <is>
          <t>2022-06-10</t>
        </is>
      </c>
      <c r="C351" t="inlineStr">
        <is>
          <t>19:50</t>
        </is>
      </c>
      <c r="D351" t="inlineStr">
        <is>
          <t>n° 27 + n° 28</t>
        </is>
      </c>
      <c r="E351" t="inlineStr">
        <is>
          <t>La Vouivre</t>
        </is>
      </c>
      <c r="F351" t="n">
        <v>5.2</v>
      </c>
      <c r="G351" t="inlineStr">
        <is>
          <t>n° 27 : 0,50 + n° 28 : 0,50</t>
        </is>
      </c>
      <c r="H351" t="n">
        <v>1</v>
      </c>
    </row>
    <row r="352">
      <c r="A352" t="inlineStr">
        <is>
          <t>2022-2023</t>
        </is>
      </c>
      <c r="B352" t="inlineStr">
        <is>
          <t>2022-06-10</t>
        </is>
      </c>
      <c r="C352" t="inlineStr">
        <is>
          <t>19:50</t>
        </is>
      </c>
      <c r="D352" t="inlineStr">
        <is>
          <t>n° 27 + n° 28</t>
        </is>
      </c>
      <c r="E352" t="inlineStr">
        <is>
          <t>Macvin du Jura</t>
        </is>
      </c>
      <c r="F352" t="n">
        <v>4.9</v>
      </c>
      <c r="G352" t="inlineStr">
        <is>
          <t>n° 27 : 0,50 + n° 28 : 0,50</t>
        </is>
      </c>
      <c r="H352" t="n">
        <v>1</v>
      </c>
    </row>
    <row r="353">
      <c r="A353" t="inlineStr">
        <is>
          <t>2022-2023</t>
        </is>
      </c>
      <c r="B353" t="inlineStr">
        <is>
          <t>2022-06-10</t>
        </is>
      </c>
      <c r="C353" t="inlineStr">
        <is>
          <t>19:50</t>
        </is>
      </c>
      <c r="D353" t="inlineStr">
        <is>
          <t>n° 27 + n° 28</t>
        </is>
      </c>
      <c r="E353" t="inlineStr">
        <is>
          <t>GLACE 2 BOULES</t>
        </is>
      </c>
      <c r="F353" t="n">
        <v>3.9</v>
      </c>
      <c r="G353" t="inlineStr">
        <is>
          <t>n° 27 : 0,50 + n° 28 : 0,50</t>
        </is>
      </c>
      <c r="H353" t="n">
        <v>1</v>
      </c>
    </row>
    <row r="354">
      <c r="A354" t="inlineStr">
        <is>
          <t>2022-2023</t>
        </is>
      </c>
      <c r="B354" t="inlineStr">
        <is>
          <t>2022-06-11</t>
        </is>
      </c>
      <c r="C354" t="inlineStr">
        <is>
          <t>12:35</t>
        </is>
      </c>
      <c r="D354" t="inlineStr">
        <is>
          <t>n° 11 + n° 12</t>
        </is>
      </c>
      <c r="E354" t="inlineStr">
        <is>
          <t>LIGOUSE</t>
        </is>
      </c>
      <c r="F354" t="n">
        <v>15.6</v>
      </c>
      <c r="G354" t="inlineStr">
        <is>
          <t>n° 11 : 0,50 + n° 12 : 0,50</t>
        </is>
      </c>
      <c r="H354" t="n">
        <v>1</v>
      </c>
    </row>
    <row r="355">
      <c r="A355" t="inlineStr">
        <is>
          <t>2022-2023</t>
        </is>
      </c>
      <c r="B355" t="inlineStr">
        <is>
          <t>2022-06-11</t>
        </is>
      </c>
      <c r="C355" t="inlineStr">
        <is>
          <t>12:35</t>
        </is>
      </c>
      <c r="D355" t="inlineStr">
        <is>
          <t>n° 11 + n° 12</t>
        </is>
      </c>
      <c r="E355" t="inlineStr">
        <is>
          <t>BARBEULENET</t>
        </is>
      </c>
      <c r="F355" t="n">
        <v>13.9</v>
      </c>
      <c r="G355" t="inlineStr">
        <is>
          <t>n° 11 : 0,50 + n° 12 : 0,50</t>
        </is>
      </c>
      <c r="H355" t="n">
        <v>1</v>
      </c>
    </row>
    <row r="356">
      <c r="A356" t="inlineStr">
        <is>
          <t>2022-2023</t>
        </is>
      </c>
      <c r="B356" t="inlineStr">
        <is>
          <t>2022-06-15</t>
        </is>
      </c>
      <c r="C356" t="inlineStr">
        <is>
          <t>11:52</t>
        </is>
      </c>
      <c r="D356" t="inlineStr">
        <is>
          <t>n° 6 + n° 7</t>
        </is>
      </c>
      <c r="E356" t="inlineStr">
        <is>
          <t>TRUITE JURASSIENNE</t>
        </is>
      </c>
      <c r="F356" t="n">
        <v>17.6</v>
      </c>
      <c r="G356" t="inlineStr">
        <is>
          <t>n° 6 : 0,50 + n° 7 : 0,50</t>
        </is>
      </c>
      <c r="H356" t="n">
        <v>1</v>
      </c>
    </row>
    <row r="357">
      <c r="A357" t="inlineStr">
        <is>
          <t>2022-2023</t>
        </is>
      </c>
      <c r="B357" t="inlineStr">
        <is>
          <t>2022-06-15</t>
        </is>
      </c>
      <c r="C357" t="inlineStr">
        <is>
          <t>11:52</t>
        </is>
      </c>
      <c r="D357" t="inlineStr">
        <is>
          <t>n° 6 + n° 7</t>
        </is>
      </c>
      <c r="E357" t="inlineStr">
        <is>
          <t>TANTELIN</t>
        </is>
      </c>
      <c r="F357" t="n">
        <v>16.4</v>
      </c>
      <c r="G357" t="inlineStr">
        <is>
          <t>n° 6 : 0,50 + n° 7 : 0,50</t>
        </is>
      </c>
      <c r="H357" t="n">
        <v>1</v>
      </c>
    </row>
    <row r="358">
      <c r="A358" t="inlineStr">
        <is>
          <t>2022-2023</t>
        </is>
      </c>
      <c r="B358" t="inlineStr">
        <is>
          <t>2022-06-15</t>
        </is>
      </c>
      <c r="C358" t="inlineStr">
        <is>
          <t>11:52</t>
        </is>
      </c>
      <c r="D358" t="inlineStr">
        <is>
          <t>n° 6 + n° 7</t>
        </is>
      </c>
      <c r="E358" t="inlineStr">
        <is>
          <t>BARBEULENET</t>
        </is>
      </c>
      <c r="F358" t="n">
        <v>13.9</v>
      </c>
      <c r="G358" t="inlineStr">
        <is>
          <t>n° 6 : 0,50 + n° 7 : 0,50</t>
        </is>
      </c>
      <c r="H358" t="n">
        <v>1</v>
      </c>
    </row>
    <row r="359">
      <c r="A359" t="inlineStr">
        <is>
          <t>2022-2023</t>
        </is>
      </c>
      <c r="B359" t="inlineStr">
        <is>
          <t>2022-06-15</t>
        </is>
      </c>
      <c r="C359" t="inlineStr">
        <is>
          <t>11:52</t>
        </is>
      </c>
      <c r="D359" t="inlineStr">
        <is>
          <t>n° 6 + n° 7</t>
        </is>
      </c>
      <c r="E359" t="inlineStr">
        <is>
          <t>Pavlova</t>
        </is>
      </c>
      <c r="F359" t="n">
        <v>8.699999999999999</v>
      </c>
      <c r="G359" t="inlineStr">
        <is>
          <t>n° 6 : 0,50 + n° 7 : 0,50</t>
        </is>
      </c>
      <c r="H359" t="n">
        <v>1</v>
      </c>
    </row>
    <row r="360">
      <c r="A360" t="inlineStr">
        <is>
          <t>2022-2023</t>
        </is>
      </c>
      <c r="B360" t="inlineStr">
        <is>
          <t>2022-06-15</t>
        </is>
      </c>
      <c r="C360" t="inlineStr">
        <is>
          <t>11:52</t>
        </is>
      </c>
      <c r="D360" t="inlineStr">
        <is>
          <t>n° 6 + n° 7</t>
        </is>
      </c>
      <c r="E360" t="inlineStr">
        <is>
          <t>Limonade (25cl)</t>
        </is>
      </c>
      <c r="F360" t="n">
        <v>3.9</v>
      </c>
      <c r="G360" t="inlineStr">
        <is>
          <t>n° 6 : 0,50 + n° 7 : 0,50</t>
        </is>
      </c>
      <c r="H360" t="n">
        <v>1</v>
      </c>
    </row>
    <row r="361">
      <c r="A361" t="inlineStr">
        <is>
          <t>2022-2023</t>
        </is>
      </c>
      <c r="B361" t="inlineStr">
        <is>
          <t>2022-06-15</t>
        </is>
      </c>
      <c r="C361" t="inlineStr">
        <is>
          <t>11:52</t>
        </is>
      </c>
      <c r="D361" t="inlineStr">
        <is>
          <t>n° 6 + n° 7</t>
        </is>
      </c>
      <c r="E361" t="inlineStr">
        <is>
          <t>GLACE 1 BOULE</t>
        </is>
      </c>
      <c r="F361" t="n">
        <v>2</v>
      </c>
      <c r="G361" t="inlineStr">
        <is>
          <t>n° 6 : 0,50 + n° 7 : 0,50</t>
        </is>
      </c>
      <c r="H361" t="n">
        <v>1</v>
      </c>
    </row>
    <row r="362">
      <c r="A362" t="inlineStr">
        <is>
          <t>2022-2023</t>
        </is>
      </c>
      <c r="B362" t="inlineStr">
        <is>
          <t>2022-06-16</t>
        </is>
      </c>
      <c r="C362" t="inlineStr">
        <is>
          <t>11:54</t>
        </is>
      </c>
      <c r="D362" t="inlineStr">
        <is>
          <t>n° 3 + n° 4 + n° 6 + n° 7</t>
        </is>
      </c>
      <c r="E362" t="inlineStr">
        <is>
          <t>BURGER COMTOIS</t>
        </is>
      </c>
      <c r="F362" t="n">
        <v>19</v>
      </c>
      <c r="G362" t="inlineStr">
        <is>
          <t>n° 6 : 0,50 + n° 7 : 0,50</t>
        </is>
      </c>
      <c r="H362" t="n">
        <v>1</v>
      </c>
    </row>
    <row r="363">
      <c r="A363" t="inlineStr">
        <is>
          <t>2022-2023</t>
        </is>
      </c>
      <c r="B363" t="inlineStr">
        <is>
          <t>2022-06-16</t>
        </is>
      </c>
      <c r="C363" t="inlineStr">
        <is>
          <t>11:54</t>
        </is>
      </c>
      <c r="D363" t="inlineStr">
        <is>
          <t>n° 3 + n° 4 + n° 6 + n° 7</t>
        </is>
      </c>
      <c r="E363" t="inlineStr">
        <is>
          <t>ECRESSI</t>
        </is>
      </c>
      <c r="F363" t="n">
        <v>14.5</v>
      </c>
      <c r="G363" t="inlineStr">
        <is>
          <t>n° 6 : 0,50 + n° 7 : 0,50</t>
        </is>
      </c>
      <c r="H363" t="n">
        <v>1</v>
      </c>
    </row>
    <row r="364">
      <c r="A364" t="inlineStr">
        <is>
          <t>2022-2023</t>
        </is>
      </c>
      <c r="B364" t="inlineStr">
        <is>
          <t>2022-06-16</t>
        </is>
      </c>
      <c r="C364" t="inlineStr">
        <is>
          <t>11:54</t>
        </is>
      </c>
      <c r="D364" t="inlineStr">
        <is>
          <t>n° 3 + n° 4 + n° 6 + n° 7</t>
        </is>
      </c>
      <c r="E364" t="inlineStr">
        <is>
          <t>Pichet 75cl vin</t>
        </is>
      </c>
      <c r="F364" t="n">
        <v>13.4</v>
      </c>
      <c r="G364" t="inlineStr">
        <is>
          <t>n° 6 : 0,50 + n° 7 : 0,50</t>
        </is>
      </c>
      <c r="H364" t="n">
        <v>1</v>
      </c>
    </row>
    <row r="365">
      <c r="A365" t="inlineStr">
        <is>
          <t>2022-2023</t>
        </is>
      </c>
      <c r="B365" t="inlineStr">
        <is>
          <t>2022-06-16</t>
        </is>
      </c>
      <c r="C365" t="inlineStr">
        <is>
          <t>11:54</t>
        </is>
      </c>
      <c r="D365" t="inlineStr">
        <is>
          <t>n° 3 + n° 4 + n° 6 + n° 7</t>
        </is>
      </c>
      <c r="E365" t="inlineStr">
        <is>
          <t>ASSIETTE VEGAN</t>
        </is>
      </c>
      <c r="F365" t="n">
        <v>13</v>
      </c>
      <c r="G365" t="inlineStr">
        <is>
          <t>n° 3 : 1,50 + n° 4 : 1,50</t>
        </is>
      </c>
      <c r="H365" t="n">
        <v>3</v>
      </c>
    </row>
    <row r="366">
      <c r="A366" t="inlineStr">
        <is>
          <t>2022-2023</t>
        </is>
      </c>
      <c r="B366" t="inlineStr">
        <is>
          <t>2022-06-16</t>
        </is>
      </c>
      <c r="C366" t="inlineStr">
        <is>
          <t>11:54</t>
        </is>
      </c>
      <c r="D366" t="inlineStr">
        <is>
          <t>n° 3 + n° 4 + n° 6 + n° 7</t>
        </is>
      </c>
      <c r="E366" t="inlineStr">
        <is>
          <t>Chat perché</t>
        </is>
      </c>
      <c r="F366" t="n">
        <v>5.2</v>
      </c>
      <c r="G366" t="inlineStr">
        <is>
          <t>n° 6 : 1,50 + n° 7 : 1,50</t>
        </is>
      </c>
      <c r="H366" t="n">
        <v>3</v>
      </c>
    </row>
    <row r="367">
      <c r="A367" t="inlineStr">
        <is>
          <t>2022-2023</t>
        </is>
      </c>
      <c r="B367" t="inlineStr">
        <is>
          <t>2022-06-16</t>
        </is>
      </c>
      <c r="C367" t="inlineStr">
        <is>
          <t>11:54</t>
        </is>
      </c>
      <c r="D367" t="inlineStr">
        <is>
          <t>n° 3 + n° 4 + n° 6 + n° 7</t>
        </is>
      </c>
      <c r="E367" t="inlineStr">
        <is>
          <t>Picon bière</t>
        </is>
      </c>
      <c r="F367" t="n">
        <v>4.5</v>
      </c>
      <c r="G367" t="inlineStr">
        <is>
          <t>n° 6 : 0,50 + n° 7 : 0,50</t>
        </is>
      </c>
      <c r="H367" t="n">
        <v>1</v>
      </c>
    </row>
    <row r="368">
      <c r="A368" t="inlineStr">
        <is>
          <t>2022-2023</t>
        </is>
      </c>
      <c r="B368" t="inlineStr">
        <is>
          <t>2022-06-18</t>
        </is>
      </c>
      <c r="C368" t="inlineStr">
        <is>
          <t>20:35</t>
        </is>
      </c>
      <c r="D368" t="inlineStr">
        <is>
          <t>n° 27 + n° 28</t>
        </is>
      </c>
      <c r="E368" t="inlineStr">
        <is>
          <t>Saint Véran</t>
        </is>
      </c>
      <c r="F368" t="n">
        <v>39.5</v>
      </c>
      <c r="G368" t="inlineStr">
        <is>
          <t>n° 27 : 0,50 + n° 28 : 0,50</t>
        </is>
      </c>
      <c r="H368" t="n">
        <v>1</v>
      </c>
    </row>
    <row r="369">
      <c r="A369" t="inlineStr">
        <is>
          <t>2022-2023</t>
        </is>
      </c>
      <c r="B369" t="inlineStr">
        <is>
          <t>2022-06-18</t>
        </is>
      </c>
      <c r="C369" t="inlineStr">
        <is>
          <t>20:35</t>
        </is>
      </c>
      <c r="D369" t="inlineStr">
        <is>
          <t>n° 27 + n° 28</t>
        </is>
      </c>
      <c r="E369" t="inlineStr">
        <is>
          <t>Chèvre  chaud</t>
        </is>
      </c>
      <c r="F369" t="n">
        <v>9.6</v>
      </c>
      <c r="G369" t="inlineStr">
        <is>
          <t>n° 27 : 0,50 + n° 28 : 0,50</t>
        </is>
      </c>
      <c r="H369" t="n">
        <v>1</v>
      </c>
    </row>
    <row r="370">
      <c r="A370" t="inlineStr">
        <is>
          <t>2022-2023</t>
        </is>
      </c>
      <c r="B370" t="inlineStr">
        <is>
          <t>2022-06-18</t>
        </is>
      </c>
      <c r="C370" t="inlineStr">
        <is>
          <t>20:35</t>
        </is>
      </c>
      <c r="D370" t="inlineStr">
        <is>
          <t>n° 27 + n° 28</t>
        </is>
      </c>
      <c r="E370" t="inlineStr">
        <is>
          <t>Salade Franc-Comptoi</t>
        </is>
      </c>
      <c r="F370" t="n">
        <v>8.9</v>
      </c>
      <c r="G370" t="inlineStr">
        <is>
          <t>n° 27 : 0,50 + n° 28 : 0,50</t>
        </is>
      </c>
      <c r="H370" t="n">
        <v>1</v>
      </c>
    </row>
    <row r="371">
      <c r="A371" t="inlineStr">
        <is>
          <t>2022-2023</t>
        </is>
      </c>
      <c r="B371" t="inlineStr">
        <is>
          <t>2022-06-18</t>
        </is>
      </c>
      <c r="C371" t="inlineStr">
        <is>
          <t>20:35</t>
        </is>
      </c>
      <c r="D371" t="inlineStr">
        <is>
          <t>n° 27 + n° 28</t>
        </is>
      </c>
      <c r="E371" t="inlineStr">
        <is>
          <t>La Vouivre</t>
        </is>
      </c>
      <c r="F371" t="n">
        <v>5.2</v>
      </c>
      <c r="G371" t="inlineStr">
        <is>
          <t>n° 27 : 0,50 + n° 28 : 0,50</t>
        </is>
      </c>
      <c r="H371" t="n">
        <v>1</v>
      </c>
    </row>
    <row r="372">
      <c r="A372" t="inlineStr">
        <is>
          <t>2022-2023</t>
        </is>
      </c>
      <c r="B372" t="inlineStr">
        <is>
          <t>2022-06-18</t>
        </is>
      </c>
      <c r="C372" t="inlineStr">
        <is>
          <t>20:56</t>
        </is>
      </c>
      <c r="D372" t="inlineStr">
        <is>
          <t>n° 31 + n° 32</t>
        </is>
      </c>
      <c r="E372" t="inlineStr">
        <is>
          <t>TRUITE PESTO</t>
        </is>
      </c>
      <c r="F372" t="n">
        <v>15.9</v>
      </c>
      <c r="G372" t="inlineStr">
        <is>
          <t>n° 31 : 0,50 + n° 32 : 0,50</t>
        </is>
      </c>
      <c r="H372" t="n">
        <v>1</v>
      </c>
    </row>
    <row r="373">
      <c r="A373" t="inlineStr">
        <is>
          <t>2022-2023</t>
        </is>
      </c>
      <c r="B373" t="inlineStr">
        <is>
          <t>2022-06-18</t>
        </is>
      </c>
      <c r="C373" t="inlineStr">
        <is>
          <t>20:56</t>
        </is>
      </c>
      <c r="D373" t="inlineStr">
        <is>
          <t>n° 31 + n° 32</t>
        </is>
      </c>
      <c r="E373" t="inlineStr">
        <is>
          <t>BARBEULENET</t>
        </is>
      </c>
      <c r="F373" t="n">
        <v>13.9</v>
      </c>
      <c r="G373" t="inlineStr">
        <is>
          <t>n° 31 : 0,50 + n° 32 : 0,50</t>
        </is>
      </c>
      <c r="H373" t="n">
        <v>1</v>
      </c>
    </row>
    <row r="374">
      <c r="A374" t="inlineStr">
        <is>
          <t>2022-2023</t>
        </is>
      </c>
      <c r="B374" t="inlineStr">
        <is>
          <t>2022-06-18</t>
        </is>
      </c>
      <c r="C374" t="inlineStr">
        <is>
          <t>20:56</t>
        </is>
      </c>
      <c r="D374" t="inlineStr">
        <is>
          <t>n° 31 + n° 32</t>
        </is>
      </c>
      <c r="E374" t="inlineStr">
        <is>
          <t>La Vouivre</t>
        </is>
      </c>
      <c r="F374" t="n">
        <v>5.2</v>
      </c>
      <c r="G374" t="inlineStr">
        <is>
          <t>n° 31 : 0,50 + n° 32 : 0,50</t>
        </is>
      </c>
      <c r="H374" t="n">
        <v>1</v>
      </c>
    </row>
    <row r="375">
      <c r="A375" t="inlineStr">
        <is>
          <t>2022-2023</t>
        </is>
      </c>
      <c r="B375" t="inlineStr">
        <is>
          <t>2022-06-18</t>
        </is>
      </c>
      <c r="C375" t="inlineStr">
        <is>
          <t>20:56</t>
        </is>
      </c>
      <c r="D375" t="inlineStr">
        <is>
          <t>n° 31 + n° 32</t>
        </is>
      </c>
      <c r="E375" t="inlineStr">
        <is>
          <t>Crêpe Nutella</t>
        </is>
      </c>
      <c r="F375" t="n">
        <v>4.7</v>
      </c>
      <c r="G375" t="inlineStr">
        <is>
          <t>n° 31 : 0,50 + n° 32 : 0,50</t>
        </is>
      </c>
      <c r="H375" t="n">
        <v>1</v>
      </c>
    </row>
    <row r="376">
      <c r="A376" t="inlineStr">
        <is>
          <t>2022-2023</t>
        </is>
      </c>
      <c r="B376" t="inlineStr">
        <is>
          <t>2022-06-18</t>
        </is>
      </c>
      <c r="C376" t="inlineStr">
        <is>
          <t>20:56</t>
        </is>
      </c>
      <c r="D376" t="inlineStr">
        <is>
          <t>n° 31 + n° 32</t>
        </is>
      </c>
      <c r="E376" t="inlineStr">
        <is>
          <t>GLACE 2 BOULES</t>
        </is>
      </c>
      <c r="F376" t="n">
        <v>3.9</v>
      </c>
      <c r="G376" t="inlineStr">
        <is>
          <t>n° 31 : 0,50 + n° 32 : 0,50</t>
        </is>
      </c>
      <c r="H376" t="n">
        <v>1</v>
      </c>
    </row>
    <row r="377">
      <c r="A377" t="inlineStr">
        <is>
          <t>2022-2023</t>
        </is>
      </c>
      <c r="B377" t="inlineStr">
        <is>
          <t>2022-06-18</t>
        </is>
      </c>
      <c r="C377" t="inlineStr">
        <is>
          <t>20:56</t>
        </is>
      </c>
      <c r="D377" t="inlineStr">
        <is>
          <t>n° 31 + n° 32</t>
        </is>
      </c>
      <c r="E377" t="inlineStr">
        <is>
          <t>Sirop à l'eau</t>
        </is>
      </c>
      <c r="F377" t="n">
        <v>2.2</v>
      </c>
      <c r="G377" t="inlineStr">
        <is>
          <t>n° 31 : 0,50 + n° 32 : 0,50</t>
        </is>
      </c>
      <c r="H377" t="n">
        <v>1</v>
      </c>
    </row>
    <row r="378">
      <c r="A378" t="inlineStr">
        <is>
          <t>2022-2023</t>
        </is>
      </c>
      <c r="B378" t="inlineStr">
        <is>
          <t>2022-06-18</t>
        </is>
      </c>
      <c r="C378" t="inlineStr">
        <is>
          <t>20:56</t>
        </is>
      </c>
      <c r="D378" t="inlineStr">
        <is>
          <t>n° 31 + n° 32</t>
        </is>
      </c>
      <c r="E378" t="inlineStr">
        <is>
          <t>1 Boule Glace</t>
        </is>
      </c>
      <c r="F378" t="n">
        <v>2</v>
      </c>
      <c r="G378" t="inlineStr">
        <is>
          <t>n° 31 : 0,50 + n° 32 : 0,50</t>
        </is>
      </c>
      <c r="H378" t="n">
        <v>1</v>
      </c>
    </row>
    <row r="379">
      <c r="A379" t="inlineStr">
        <is>
          <t>2022-2023</t>
        </is>
      </c>
      <c r="B379" t="inlineStr">
        <is>
          <t>2022-06-18</t>
        </is>
      </c>
      <c r="C379" t="inlineStr">
        <is>
          <t>20:56</t>
        </is>
      </c>
      <c r="D379" t="inlineStr">
        <is>
          <t>n° 31 + n° 32</t>
        </is>
      </c>
      <c r="E379" t="inlineStr">
        <is>
          <t>CHANTILLY</t>
        </is>
      </c>
      <c r="F379" t="n">
        <v>1.8</v>
      </c>
      <c r="G379" t="inlineStr">
        <is>
          <t>n° 31 : 0,50 + n° 32 : 0,50</t>
        </is>
      </c>
      <c r="H379" t="n">
        <v>1</v>
      </c>
    </row>
    <row r="380">
      <c r="A380" t="inlineStr">
        <is>
          <t>2022-2023</t>
        </is>
      </c>
      <c r="B380" t="inlineStr">
        <is>
          <t>2022-06-18</t>
        </is>
      </c>
      <c r="C380" t="inlineStr">
        <is>
          <t>20:56</t>
        </is>
      </c>
      <c r="D380" t="inlineStr">
        <is>
          <t>n° 31 + n° 32</t>
        </is>
      </c>
      <c r="E380" t="inlineStr">
        <is>
          <t>Noix de coco rapée</t>
        </is>
      </c>
      <c r="F380" t="n">
        <v>1.2</v>
      </c>
      <c r="G380" t="inlineStr">
        <is>
          <t>n° 31 : 0,50 + n° 32 : 0,50</t>
        </is>
      </c>
      <c r="H380" t="n">
        <v>1</v>
      </c>
    </row>
    <row r="381">
      <c r="A381" t="inlineStr">
        <is>
          <t>2022-2023</t>
        </is>
      </c>
      <c r="B381" t="inlineStr">
        <is>
          <t>2022-06-22</t>
        </is>
      </c>
      <c r="C381" t="inlineStr">
        <is>
          <t>12:03</t>
        </is>
      </c>
      <c r="D381" t="inlineStr">
        <is>
          <t>n° 4 + n° 5</t>
        </is>
      </c>
      <c r="E381" t="inlineStr">
        <is>
          <t>Salade Végétarienne</t>
        </is>
      </c>
      <c r="F381" t="n">
        <v>19.9</v>
      </c>
      <c r="G381" t="inlineStr">
        <is>
          <t>n° 4 : 0,50 + n° 5 : 0,50</t>
        </is>
      </c>
      <c r="H381" t="n">
        <v>1</v>
      </c>
    </row>
    <row r="382">
      <c r="A382" t="inlineStr">
        <is>
          <t>2022-2023</t>
        </is>
      </c>
      <c r="B382" t="inlineStr">
        <is>
          <t>2022-06-22</t>
        </is>
      </c>
      <c r="C382" t="inlineStr">
        <is>
          <t>12:03</t>
        </is>
      </c>
      <c r="D382" t="inlineStr">
        <is>
          <t>n° 4 + n° 5</t>
        </is>
      </c>
      <c r="E382" t="inlineStr">
        <is>
          <t>PAYSANNE</t>
        </is>
      </c>
      <c r="F382" t="n">
        <v>19.9</v>
      </c>
      <c r="G382" t="inlineStr">
        <is>
          <t>n° 4 : 0,50 + n° 5 : 0,50</t>
        </is>
      </c>
      <c r="H382" t="n">
        <v>1</v>
      </c>
    </row>
    <row r="383">
      <c r="A383" t="inlineStr">
        <is>
          <t>2022-2023</t>
        </is>
      </c>
      <c r="B383" t="inlineStr">
        <is>
          <t>2022-06-22</t>
        </is>
      </c>
      <c r="C383" t="inlineStr">
        <is>
          <t>12:03</t>
        </is>
      </c>
      <c r="D383" t="inlineStr">
        <is>
          <t>n° 4 + n° 5</t>
        </is>
      </c>
      <c r="E383" t="inlineStr">
        <is>
          <t>Perrier 33cl</t>
        </is>
      </c>
      <c r="F383" t="n">
        <v>4</v>
      </c>
      <c r="G383" t="inlineStr">
        <is>
          <t>n° 4 : 0,50 + n° 5 : 0,50</t>
        </is>
      </c>
      <c r="H383" t="n">
        <v>1</v>
      </c>
    </row>
    <row r="384">
      <c r="A384" t="inlineStr">
        <is>
          <t>2022-2023</t>
        </is>
      </c>
      <c r="B384" t="inlineStr">
        <is>
          <t>2022-06-22</t>
        </is>
      </c>
      <c r="C384" t="inlineStr">
        <is>
          <t>12:03</t>
        </is>
      </c>
      <c r="D384" t="inlineStr">
        <is>
          <t>n° 4 + n° 5</t>
        </is>
      </c>
      <c r="E384" t="inlineStr">
        <is>
          <t>Coca (25cl)</t>
        </is>
      </c>
      <c r="F384" t="n">
        <v>3.9</v>
      </c>
      <c r="G384" t="inlineStr">
        <is>
          <t>n° 4 : 0,50 + n° 5 : 0,50</t>
        </is>
      </c>
      <c r="H384" t="n">
        <v>1</v>
      </c>
    </row>
    <row r="385">
      <c r="A385" t="inlineStr">
        <is>
          <t>2022-2023</t>
        </is>
      </c>
      <c r="B385" t="inlineStr">
        <is>
          <t>2022-06-22</t>
        </is>
      </c>
      <c r="C385" t="inlineStr">
        <is>
          <t>12:03</t>
        </is>
      </c>
      <c r="D385" t="inlineStr">
        <is>
          <t>n° 4 + n° 5</t>
        </is>
      </c>
      <c r="E385" t="inlineStr">
        <is>
          <t>Expresso</t>
        </is>
      </c>
      <c r="F385" t="n">
        <v>2.2</v>
      </c>
      <c r="G385" t="inlineStr">
        <is>
          <t>n° 4 : 0,50 + n° 5 : 0,50</t>
        </is>
      </c>
      <c r="H385" t="n">
        <v>1</v>
      </c>
    </row>
    <row r="386">
      <c r="A386" t="inlineStr">
        <is>
          <t>2022-2023</t>
        </is>
      </c>
      <c r="B386" t="inlineStr">
        <is>
          <t>2022-06-22</t>
        </is>
      </c>
      <c r="C386" t="inlineStr">
        <is>
          <t>12:03</t>
        </is>
      </c>
      <c r="D386" t="inlineStr">
        <is>
          <t>n° 4 + n° 5</t>
        </is>
      </c>
      <c r="E386" t="inlineStr">
        <is>
          <t>GLACE 1 BOULE</t>
        </is>
      </c>
      <c r="F386" t="n">
        <v>2</v>
      </c>
      <c r="G386" t="inlineStr">
        <is>
          <t>n° 4 : 0,50 + n° 5 : 0,50</t>
        </is>
      </c>
      <c r="H386" t="n">
        <v>1</v>
      </c>
    </row>
    <row r="387">
      <c r="A387" t="inlineStr">
        <is>
          <t>2022-2023</t>
        </is>
      </c>
      <c r="B387" t="inlineStr">
        <is>
          <t>2022-06-22</t>
        </is>
      </c>
      <c r="C387" t="inlineStr">
        <is>
          <t>19:16</t>
        </is>
      </c>
      <c r="D387" t="inlineStr">
        <is>
          <t>n° 15 + n° 16</t>
        </is>
      </c>
      <c r="E387" t="inlineStr">
        <is>
          <t>Crémeux du Jura</t>
        </is>
      </c>
      <c r="F387" t="n">
        <v>19</v>
      </c>
      <c r="G387" t="inlineStr">
        <is>
          <t>n° 15 : 0,50 + n° 16 : 0,50</t>
        </is>
      </c>
      <c r="H387" t="n">
        <v>1</v>
      </c>
    </row>
    <row r="388">
      <c r="A388" t="inlineStr">
        <is>
          <t>2022-2023</t>
        </is>
      </c>
      <c r="B388" t="inlineStr">
        <is>
          <t>2022-06-22</t>
        </is>
      </c>
      <c r="C388" t="inlineStr">
        <is>
          <t>19:16</t>
        </is>
      </c>
      <c r="D388" t="inlineStr">
        <is>
          <t>n° 15 + n° 16</t>
        </is>
      </c>
      <c r="E388" t="inlineStr">
        <is>
          <t>Sauce Forestière</t>
        </is>
      </c>
      <c r="F388" t="n">
        <v>7.9</v>
      </c>
      <c r="G388" t="inlineStr">
        <is>
          <t>n° 15 : 0,50 + n° 16 : 0,50</t>
        </is>
      </c>
      <c r="H388" t="n">
        <v>1</v>
      </c>
    </row>
    <row r="389">
      <c r="A389" t="inlineStr">
        <is>
          <t>2022-2023</t>
        </is>
      </c>
      <c r="B389" t="inlineStr">
        <is>
          <t>2022-06-22</t>
        </is>
      </c>
      <c r="C389" t="inlineStr">
        <is>
          <t>19:16</t>
        </is>
      </c>
      <c r="D389" t="inlineStr">
        <is>
          <t>n° 15 + n° 16</t>
        </is>
      </c>
      <c r="E389" t="inlineStr">
        <is>
          <t>Beaujolais Moulin à</t>
        </is>
      </c>
      <c r="F389" t="n">
        <v>5.8</v>
      </c>
      <c r="G389" t="inlineStr">
        <is>
          <t>n° 15 : 0,50 + n° 16 : 0,50</t>
        </is>
      </c>
      <c r="H389" t="n">
        <v>1</v>
      </c>
    </row>
    <row r="390">
      <c r="A390" t="inlineStr">
        <is>
          <t>2022-2023</t>
        </is>
      </c>
      <c r="B390" t="inlineStr">
        <is>
          <t>2022-06-22</t>
        </is>
      </c>
      <c r="C390" t="inlineStr">
        <is>
          <t>19:16</t>
        </is>
      </c>
      <c r="D390" t="inlineStr">
        <is>
          <t>n° 15 + n° 16</t>
        </is>
      </c>
      <c r="E390" t="inlineStr">
        <is>
          <t>Pommes de Terre</t>
        </is>
      </c>
      <c r="F390" t="n">
        <v>3.2</v>
      </c>
      <c r="G390" t="inlineStr">
        <is>
          <t>n° 15 : 0,50 + n° 16 : 0,50</t>
        </is>
      </c>
      <c r="H390" t="n">
        <v>1</v>
      </c>
    </row>
    <row r="391">
      <c r="A391" t="inlineStr">
        <is>
          <t>2022-2023</t>
        </is>
      </c>
      <c r="B391" t="inlineStr">
        <is>
          <t>2022-06-22</t>
        </is>
      </c>
      <c r="C391" t="inlineStr">
        <is>
          <t>19:16</t>
        </is>
      </c>
      <c r="D391" t="inlineStr">
        <is>
          <t>n° 15 + n° 16</t>
        </is>
      </c>
      <c r="E391" t="inlineStr">
        <is>
          <t>Galette nature</t>
        </is>
      </c>
      <c r="F391" t="n">
        <v>2.9</v>
      </c>
      <c r="G391" t="inlineStr">
        <is>
          <t>n° 15 : 0,50 + n° 16 : 0,50</t>
        </is>
      </c>
      <c r="H391" t="n">
        <v>1</v>
      </c>
    </row>
    <row r="392">
      <c r="A392" t="inlineStr">
        <is>
          <t>2022-2023</t>
        </is>
      </c>
      <c r="B392" t="inlineStr">
        <is>
          <t>2022-06-22</t>
        </is>
      </c>
      <c r="C392" t="inlineStr">
        <is>
          <t>19:16</t>
        </is>
      </c>
      <c r="D392" t="inlineStr">
        <is>
          <t>n° 15 + n° 16</t>
        </is>
      </c>
      <c r="E392" t="inlineStr">
        <is>
          <t>Salade Verte</t>
        </is>
      </c>
      <c r="F392" t="n">
        <v>2.9</v>
      </c>
      <c r="G392" t="inlineStr">
        <is>
          <t>n° 15 : 0,50 + n° 16 : 0,50</t>
        </is>
      </c>
      <c r="H392" t="n">
        <v>1</v>
      </c>
    </row>
    <row r="393">
      <c r="A393" t="inlineStr">
        <is>
          <t>2022-2023</t>
        </is>
      </c>
      <c r="B393" t="inlineStr">
        <is>
          <t>2022-06-25</t>
        </is>
      </c>
      <c r="C393" t="inlineStr">
        <is>
          <t>11:58</t>
        </is>
      </c>
      <c r="D393" t="inlineStr">
        <is>
          <t>n° 4 + n° 5</t>
        </is>
      </c>
      <c r="E393" t="inlineStr">
        <is>
          <t>Pichet 75cl vin</t>
        </is>
      </c>
      <c r="F393" t="n">
        <v>13.4</v>
      </c>
      <c r="G393" t="inlineStr">
        <is>
          <t>n° 4 : 0,50 + n° 5 : 0,50</t>
        </is>
      </c>
      <c r="H393" t="n">
        <v>1</v>
      </c>
    </row>
    <row r="394">
      <c r="A394" t="inlineStr">
        <is>
          <t>2022-2023</t>
        </is>
      </c>
      <c r="B394" t="inlineStr">
        <is>
          <t>2022-06-25</t>
        </is>
      </c>
      <c r="C394" t="inlineStr">
        <is>
          <t>20:07</t>
        </is>
      </c>
      <c r="D394" t="inlineStr">
        <is>
          <t>n° 25 + n° 26 + n° 27 + n° 28</t>
        </is>
      </c>
      <c r="E394" t="inlineStr">
        <is>
          <t>DADOULET</t>
        </is>
      </c>
      <c r="F394" t="n">
        <v>20.9</v>
      </c>
      <c r="G394" t="inlineStr">
        <is>
          <t>n° 25 : 0,50 + n° 26 : 0,50</t>
        </is>
      </c>
      <c r="H394" t="n">
        <v>1</v>
      </c>
    </row>
    <row r="395">
      <c r="A395" t="inlineStr">
        <is>
          <t>2022-2023</t>
        </is>
      </c>
      <c r="B395" t="inlineStr">
        <is>
          <t>2022-06-25</t>
        </is>
      </c>
      <c r="C395" t="inlineStr">
        <is>
          <t>20:07</t>
        </is>
      </c>
      <c r="D395" t="inlineStr">
        <is>
          <t>n° 25 + n° 26 + n° 27 + n° 28</t>
        </is>
      </c>
      <c r="E395" t="inlineStr">
        <is>
          <t>TANTELIN</t>
        </is>
      </c>
      <c r="F395" t="n">
        <v>16.4</v>
      </c>
      <c r="G395" t="inlineStr">
        <is>
          <t>n° 25 : 0,50 + n° 26 : 0,50</t>
        </is>
      </c>
      <c r="H395" t="n">
        <v>1</v>
      </c>
    </row>
    <row r="396">
      <c r="A396" t="inlineStr">
        <is>
          <t>2022-2023</t>
        </is>
      </c>
      <c r="B396" t="inlineStr">
        <is>
          <t>2022-06-25</t>
        </is>
      </c>
      <c r="C396" t="inlineStr">
        <is>
          <t>20:07</t>
        </is>
      </c>
      <c r="D396" t="inlineStr">
        <is>
          <t>n° 25 + n° 26 + n° 27 + n° 28</t>
        </is>
      </c>
      <c r="E396" t="inlineStr">
        <is>
          <t>Luna</t>
        </is>
      </c>
      <c r="F396" t="n">
        <v>6</v>
      </c>
      <c r="G396" t="inlineStr">
        <is>
          <t>n° 25 : 0,50 + n° 26 : 0,50</t>
        </is>
      </c>
      <c r="H396" t="n">
        <v>1</v>
      </c>
    </row>
    <row r="397">
      <c r="A397" t="inlineStr">
        <is>
          <t>2022-2023</t>
        </is>
      </c>
      <c r="B397" t="inlineStr">
        <is>
          <t>2022-06-25</t>
        </is>
      </c>
      <c r="C397" t="inlineStr">
        <is>
          <t>20:07</t>
        </is>
      </c>
      <c r="D397" t="inlineStr">
        <is>
          <t>n° 25 + n° 26 + n° 27 + n° 28</t>
        </is>
      </c>
      <c r="E397" t="inlineStr">
        <is>
          <t>Ambrée</t>
        </is>
      </c>
      <c r="F397" t="n">
        <v>5.9</v>
      </c>
      <c r="G397" t="inlineStr">
        <is>
          <t>n° 25 : 0,50 + n° 26 : 0,50</t>
        </is>
      </c>
      <c r="H397" t="n">
        <v>1</v>
      </c>
    </row>
    <row r="398">
      <c r="A398" t="inlineStr">
        <is>
          <t>2022-2023</t>
        </is>
      </c>
      <c r="B398" t="inlineStr">
        <is>
          <t>2022-06-25</t>
        </is>
      </c>
      <c r="C398" t="inlineStr">
        <is>
          <t>20:07</t>
        </is>
      </c>
      <c r="D398" t="inlineStr">
        <is>
          <t>n° 25 + n° 26 + n° 27 + n° 28</t>
        </is>
      </c>
      <c r="E398" t="inlineStr">
        <is>
          <t>Jambon Sec</t>
        </is>
      </c>
      <c r="F398" t="n">
        <v>5.4</v>
      </c>
      <c r="G398" t="inlineStr">
        <is>
          <t>n° 27 : 0,50 + n° 28 : 0,50</t>
        </is>
      </c>
      <c r="H398" t="n">
        <v>1</v>
      </c>
    </row>
    <row r="399">
      <c r="A399" t="inlineStr">
        <is>
          <t>2022-2023</t>
        </is>
      </c>
      <c r="B399" t="inlineStr">
        <is>
          <t>2022-06-25</t>
        </is>
      </c>
      <c r="C399" t="inlineStr">
        <is>
          <t>20:07</t>
        </is>
      </c>
      <c r="D399" t="inlineStr">
        <is>
          <t>n° 25 + n° 26 + n° 27 + n° 28</t>
        </is>
      </c>
      <c r="E399" t="inlineStr">
        <is>
          <t>POMMES FRITES</t>
        </is>
      </c>
      <c r="F399" t="n">
        <v>3.9</v>
      </c>
      <c r="G399" t="inlineStr">
        <is>
          <t>n° 25 : 0,50 + n° 26 : 0,50</t>
        </is>
      </c>
      <c r="H399" t="n">
        <v>1</v>
      </c>
    </row>
    <row r="400">
      <c r="A400" t="inlineStr">
        <is>
          <t>2022-2023</t>
        </is>
      </c>
      <c r="B400" t="inlineStr">
        <is>
          <t>2022-06-25</t>
        </is>
      </c>
      <c r="C400" t="inlineStr">
        <is>
          <t>20:07</t>
        </is>
      </c>
      <c r="D400" t="inlineStr">
        <is>
          <t>n° 25 + n° 26 + n° 27 + n° 28</t>
        </is>
      </c>
      <c r="E400" t="inlineStr">
        <is>
          <t>Jambon Blanc</t>
        </is>
      </c>
      <c r="F400" t="n">
        <v>3.8</v>
      </c>
      <c r="G400" t="inlineStr">
        <is>
          <t>n° 27 : 0,50 + n° 28 : 0,50</t>
        </is>
      </c>
      <c r="H400" t="n">
        <v>1</v>
      </c>
    </row>
    <row r="401">
      <c r="A401" t="inlineStr">
        <is>
          <t>2022-2023</t>
        </is>
      </c>
      <c r="B401" t="inlineStr">
        <is>
          <t>2022-06-26</t>
        </is>
      </c>
      <c r="C401" t="inlineStr">
        <is>
          <t>12:10</t>
        </is>
      </c>
      <c r="D401" t="inlineStr">
        <is>
          <t>n° 4 + n° 5</t>
        </is>
      </c>
      <c r="E401" t="inlineStr">
        <is>
          <t>C du Rhone St  Josep</t>
        </is>
      </c>
      <c r="F401" t="n">
        <v>36</v>
      </c>
      <c r="G401" t="inlineStr">
        <is>
          <t>n° 4 : 0,50 + n° 5 : 0,50</t>
        </is>
      </c>
      <c r="H401" t="n">
        <v>1</v>
      </c>
    </row>
    <row r="402">
      <c r="A402" t="inlineStr">
        <is>
          <t>2022-2023</t>
        </is>
      </c>
      <c r="B402" t="inlineStr">
        <is>
          <t>2022-06-26</t>
        </is>
      </c>
      <c r="C402" t="inlineStr">
        <is>
          <t>12:10</t>
        </is>
      </c>
      <c r="D402" t="inlineStr">
        <is>
          <t>n° 4 + n° 5</t>
        </is>
      </c>
      <c r="E402" t="inlineStr">
        <is>
          <t>CANCOINE</t>
        </is>
      </c>
      <c r="F402" t="n">
        <v>21.6</v>
      </c>
      <c r="G402" t="inlineStr">
        <is>
          <t>n° 4 : 0,50 + n° 5 : 0,50</t>
        </is>
      </c>
      <c r="H402" t="n">
        <v>1</v>
      </c>
    </row>
    <row r="403">
      <c r="A403" t="inlineStr">
        <is>
          <t>2022-2023</t>
        </is>
      </c>
      <c r="B403" t="inlineStr">
        <is>
          <t>2022-06-26</t>
        </is>
      </c>
      <c r="C403" t="inlineStr">
        <is>
          <t>12:10</t>
        </is>
      </c>
      <c r="D403" t="inlineStr">
        <is>
          <t>n° 4 + n° 5</t>
        </is>
      </c>
      <c r="E403" t="inlineStr">
        <is>
          <t>POULET JURASSIENNE</t>
        </is>
      </c>
      <c r="F403" t="n">
        <v>17.6</v>
      </c>
      <c r="G403" t="inlineStr">
        <is>
          <t>n° 4 : 0,50 + n° 5 : 0,50</t>
        </is>
      </c>
      <c r="H403" t="n">
        <v>1</v>
      </c>
    </row>
    <row r="404">
      <c r="A404" t="inlineStr">
        <is>
          <t>2022-2023</t>
        </is>
      </c>
      <c r="B404" t="inlineStr">
        <is>
          <t>2022-06-30</t>
        </is>
      </c>
      <c r="C404" t="inlineStr">
        <is>
          <t>12:46</t>
        </is>
      </c>
      <c r="D404" t="inlineStr">
        <is>
          <t>n° 13 + n° 14</t>
        </is>
      </c>
      <c r="E404" t="inlineStr">
        <is>
          <t>Chèvre  chaud</t>
        </is>
      </c>
      <c r="F404" t="n">
        <v>9.6</v>
      </c>
      <c r="G404" t="inlineStr">
        <is>
          <t>n° 13 : 0,50 + n° 14 : 0,50</t>
        </is>
      </c>
      <c r="H404" t="n">
        <v>1</v>
      </c>
    </row>
    <row r="405">
      <c r="A405" t="inlineStr">
        <is>
          <t>2022-2023</t>
        </is>
      </c>
      <c r="B405" t="inlineStr">
        <is>
          <t>2022-06-30</t>
        </is>
      </c>
      <c r="C405" t="inlineStr">
        <is>
          <t>12:46</t>
        </is>
      </c>
      <c r="D405" t="inlineStr">
        <is>
          <t>n° 13 + n° 14</t>
        </is>
      </c>
      <c r="E405" t="inlineStr">
        <is>
          <t>TENDRESSE</t>
        </is>
      </c>
      <c r="F405" t="n">
        <v>3.9</v>
      </c>
      <c r="G405" t="inlineStr">
        <is>
          <t>n° 13 : 0,50 + n° 14 : 0,50</t>
        </is>
      </c>
      <c r="H405" t="n">
        <v>1</v>
      </c>
    </row>
    <row r="406">
      <c r="A406" t="inlineStr">
        <is>
          <t>2022-2023</t>
        </is>
      </c>
      <c r="B406" t="inlineStr">
        <is>
          <t>2022-06-30</t>
        </is>
      </c>
      <c r="C406" t="inlineStr">
        <is>
          <t>12:46</t>
        </is>
      </c>
      <c r="D406" t="inlineStr">
        <is>
          <t>n° 13 + n° 14</t>
        </is>
      </c>
      <c r="E406" t="inlineStr">
        <is>
          <t>GLACE 2 BOULES</t>
        </is>
      </c>
      <c r="F406" t="n">
        <v>3.9</v>
      </c>
      <c r="G406" t="inlineStr">
        <is>
          <t>n° 13 : 0,50 + n° 14 : 0,50</t>
        </is>
      </c>
      <c r="H406" t="n">
        <v>1</v>
      </c>
    </row>
    <row r="407">
      <c r="A407" t="inlineStr">
        <is>
          <t>2022-2023</t>
        </is>
      </c>
      <c r="B407" t="inlineStr">
        <is>
          <t>2022-06-30</t>
        </is>
      </c>
      <c r="C407" t="inlineStr">
        <is>
          <t>12:46</t>
        </is>
      </c>
      <c r="D407" t="inlineStr">
        <is>
          <t>n° 13 + n° 14</t>
        </is>
      </c>
      <c r="E407" t="inlineStr">
        <is>
          <t>Déca</t>
        </is>
      </c>
      <c r="F407" t="n">
        <v>2.2</v>
      </c>
      <c r="G407" t="inlineStr">
        <is>
          <t>n° 13 : 0,50 + n° 14 : 0,50</t>
        </is>
      </c>
      <c r="H407" t="n">
        <v>1</v>
      </c>
    </row>
    <row r="408">
      <c r="A408" t="inlineStr">
        <is>
          <t>2022-2023</t>
        </is>
      </c>
      <c r="B408" t="inlineStr">
        <is>
          <t>2022-06-30</t>
        </is>
      </c>
      <c r="C408" t="inlineStr">
        <is>
          <t>12:46</t>
        </is>
      </c>
      <c r="D408" t="inlineStr">
        <is>
          <t>n° 13 + n° 14</t>
        </is>
      </c>
      <c r="E408" t="inlineStr">
        <is>
          <t>Chantilly</t>
        </is>
      </c>
      <c r="F408" t="n">
        <v>1.8</v>
      </c>
      <c r="G408" t="inlineStr">
        <is>
          <t>n° 13 : 0,50 + n° 14 : 0,50</t>
        </is>
      </c>
      <c r="H408" t="n">
        <v>1</v>
      </c>
    </row>
    <row r="409">
      <c r="A409" t="inlineStr">
        <is>
          <t>2022-2023</t>
        </is>
      </c>
      <c r="B409" t="inlineStr">
        <is>
          <t>2022-06-30</t>
        </is>
      </c>
      <c r="C409" t="inlineStr">
        <is>
          <t>19:32</t>
        </is>
      </c>
      <c r="D409" t="inlineStr">
        <is>
          <t>n° 22 + n° 23</t>
        </is>
      </c>
      <c r="E409" t="inlineStr">
        <is>
          <t>Crémeux du Jura</t>
        </is>
      </c>
      <c r="F409" t="n">
        <v>19</v>
      </c>
      <c r="G409" t="inlineStr">
        <is>
          <t>n° 22 : 0,50 + n° 23 : 0,50</t>
        </is>
      </c>
      <c r="H409" t="n">
        <v>1</v>
      </c>
    </row>
    <row r="410">
      <c r="A410" t="inlineStr">
        <is>
          <t>2022-2023</t>
        </is>
      </c>
      <c r="B410" t="inlineStr">
        <is>
          <t>2022-06-30</t>
        </is>
      </c>
      <c r="C410" t="inlineStr">
        <is>
          <t>19:32</t>
        </is>
      </c>
      <c r="D410" t="inlineStr">
        <is>
          <t>n° 22 + n° 23</t>
        </is>
      </c>
      <c r="E410" t="inlineStr">
        <is>
          <t>ASSIETTE PERE GREGOI</t>
        </is>
      </c>
      <c r="F410" t="n">
        <v>17.6</v>
      </c>
      <c r="G410" t="inlineStr">
        <is>
          <t>n° 22 : 0,50 + n° 23 : 0,50</t>
        </is>
      </c>
      <c r="H410" t="n">
        <v>1</v>
      </c>
    </row>
    <row r="411">
      <c r="A411" t="inlineStr">
        <is>
          <t>2022-2023</t>
        </is>
      </c>
      <c r="B411" t="inlineStr">
        <is>
          <t>2022-06-30</t>
        </is>
      </c>
      <c r="C411" t="inlineStr">
        <is>
          <t>19:32</t>
        </is>
      </c>
      <c r="D411" t="inlineStr">
        <is>
          <t>n° 22 + n° 23</t>
        </is>
      </c>
      <c r="E411" t="inlineStr">
        <is>
          <t>Crêpe Nutella</t>
        </is>
      </c>
      <c r="F411" t="n">
        <v>4.7</v>
      </c>
      <c r="G411" t="inlineStr">
        <is>
          <t>n° 22 : 0,50 + n° 23 : 0,50</t>
        </is>
      </c>
      <c r="H411" t="n">
        <v>1</v>
      </c>
    </row>
    <row r="412">
      <c r="A412" t="inlineStr">
        <is>
          <t>2022-2023</t>
        </is>
      </c>
      <c r="B412" t="inlineStr">
        <is>
          <t>2022-06-30</t>
        </is>
      </c>
      <c r="C412" t="inlineStr">
        <is>
          <t>19:32</t>
        </is>
      </c>
      <c r="D412" t="inlineStr">
        <is>
          <t>n° 22 + n° 23</t>
        </is>
      </c>
      <c r="E412" t="inlineStr">
        <is>
          <t>Crêpe Cassonade</t>
        </is>
      </c>
      <c r="F412" t="n">
        <v>2.9</v>
      </c>
      <c r="G412" t="inlineStr">
        <is>
          <t>n° 22 : 0,50 + n° 23 : 0,50</t>
        </is>
      </c>
      <c r="H412" t="n">
        <v>1</v>
      </c>
    </row>
    <row r="413">
      <c r="A413" t="inlineStr">
        <is>
          <t>2022-2023</t>
        </is>
      </c>
      <c r="B413" t="inlineStr">
        <is>
          <t>2022-07-02</t>
        </is>
      </c>
      <c r="C413" t="inlineStr">
        <is>
          <t>19:26</t>
        </is>
      </c>
      <c r="D413" t="inlineStr">
        <is>
          <t>n° 17 + n° 18 + n° 19 + n° 20</t>
        </is>
      </c>
      <c r="E413" t="inlineStr">
        <is>
          <t>Poulet aux Morilles</t>
        </is>
      </c>
      <c r="F413" t="n">
        <v>28.6</v>
      </c>
      <c r="G413" t="inlineStr">
        <is>
          <t>n° 17 : 0,50 + n° 18 : 0,50</t>
        </is>
      </c>
      <c r="H413" t="n">
        <v>1</v>
      </c>
    </row>
    <row r="414">
      <c r="A414" t="inlineStr">
        <is>
          <t>2022-2023</t>
        </is>
      </c>
      <c r="B414" t="inlineStr">
        <is>
          <t>2022-07-02</t>
        </is>
      </c>
      <c r="C414" t="inlineStr">
        <is>
          <t>19:26</t>
        </is>
      </c>
      <c r="D414" t="inlineStr">
        <is>
          <t>n° 17 + n° 18 + n° 19 + n° 20</t>
        </is>
      </c>
      <c r="E414" t="inlineStr">
        <is>
          <t>Entrecôte grillée</t>
        </is>
      </c>
      <c r="F414" t="n">
        <v>19.9</v>
      </c>
      <c r="G414" t="inlineStr">
        <is>
          <t>n° 17 : 0,50 + n° 18 : 0,50</t>
        </is>
      </c>
      <c r="H414" t="n">
        <v>1</v>
      </c>
    </row>
    <row r="415">
      <c r="A415" t="inlineStr">
        <is>
          <t>2022-2023</t>
        </is>
      </c>
      <c r="B415" t="inlineStr">
        <is>
          <t>2022-07-02</t>
        </is>
      </c>
      <c r="C415" t="inlineStr">
        <is>
          <t>19:26</t>
        </is>
      </c>
      <c r="D415" t="inlineStr">
        <is>
          <t>n° 17 + n° 18 + n° 19 + n° 20</t>
        </is>
      </c>
      <c r="E415" t="inlineStr">
        <is>
          <t>POULET JURASSIENNE</t>
        </is>
      </c>
      <c r="F415" t="n">
        <v>17.6</v>
      </c>
      <c r="G415" t="inlineStr">
        <is>
          <t>n° 17 : 0,50 + n° 18 : 0,50</t>
        </is>
      </c>
      <c r="H415" t="n">
        <v>1</v>
      </c>
    </row>
    <row r="416">
      <c r="A416" t="inlineStr">
        <is>
          <t>2022-2023</t>
        </is>
      </c>
      <c r="B416" t="inlineStr">
        <is>
          <t>2022-07-02</t>
        </is>
      </c>
      <c r="C416" t="inlineStr">
        <is>
          <t>19:26</t>
        </is>
      </c>
      <c r="D416" t="inlineStr">
        <is>
          <t>n° 17 + n° 18 + n° 19 + n° 20</t>
        </is>
      </c>
      <c r="E416" t="inlineStr">
        <is>
          <t>CAMEMBERT ROTI</t>
        </is>
      </c>
      <c r="F416" t="n">
        <v>17.6</v>
      </c>
      <c r="G416" t="inlineStr">
        <is>
          <t>n° 19 : 0,50 + n° 20 : 0,50</t>
        </is>
      </c>
      <c r="H416" t="n">
        <v>1</v>
      </c>
    </row>
    <row r="417">
      <c r="A417" t="inlineStr">
        <is>
          <t>2022-2023</t>
        </is>
      </c>
      <c r="B417" t="inlineStr">
        <is>
          <t>2022-07-02</t>
        </is>
      </c>
      <c r="C417" t="inlineStr">
        <is>
          <t>19:26</t>
        </is>
      </c>
      <c r="D417" t="inlineStr">
        <is>
          <t>n° 17 + n° 18 + n° 19 + n° 20</t>
        </is>
      </c>
      <c r="E417" t="inlineStr">
        <is>
          <t>TRUITE JURASSIENNE</t>
        </is>
      </c>
      <c r="F417" t="n">
        <v>17.6</v>
      </c>
      <c r="G417" t="inlineStr">
        <is>
          <t>n° 19 : 0,50 + n° 20 : 0,50</t>
        </is>
      </c>
      <c r="H417" t="n">
        <v>1</v>
      </c>
    </row>
    <row r="418">
      <c r="A418" t="inlineStr">
        <is>
          <t>2022-2023</t>
        </is>
      </c>
      <c r="B418" t="inlineStr">
        <is>
          <t>2022-07-02</t>
        </is>
      </c>
      <c r="C418" t="inlineStr">
        <is>
          <t>19:26</t>
        </is>
      </c>
      <c r="D418" t="inlineStr">
        <is>
          <t>n° 17 + n° 18 + n° 19 + n° 20</t>
        </is>
      </c>
      <c r="E418" t="inlineStr">
        <is>
          <t>Menu 'Enfant'</t>
        </is>
      </c>
      <c r="F418" t="n">
        <v>9.9</v>
      </c>
      <c r="G418" t="inlineStr">
        <is>
          <t>n° 17 : 0,50 + n° 18 : 0,50</t>
        </is>
      </c>
      <c r="H418" t="n">
        <v>1</v>
      </c>
    </row>
    <row r="419">
      <c r="A419" t="inlineStr">
        <is>
          <t>2022-2023</t>
        </is>
      </c>
      <c r="B419" t="inlineStr">
        <is>
          <t>2022-07-02</t>
        </is>
      </c>
      <c r="C419" t="inlineStr">
        <is>
          <t>19:26</t>
        </is>
      </c>
      <c r="D419" t="inlineStr">
        <is>
          <t>n° 17 + n° 18 + n° 19 + n° 20</t>
        </is>
      </c>
      <c r="E419" t="inlineStr">
        <is>
          <t>Pinte Picon</t>
        </is>
      </c>
      <c r="F419" t="n">
        <v>8.9</v>
      </c>
      <c r="G419" t="inlineStr">
        <is>
          <t>n° 17 : 0,50 + n° 18 : 0,50</t>
        </is>
      </c>
      <c r="H419" t="n">
        <v>1</v>
      </c>
    </row>
    <row r="420">
      <c r="A420" t="inlineStr">
        <is>
          <t>2022-2023</t>
        </is>
      </c>
      <c r="B420" t="inlineStr">
        <is>
          <t>2022-07-02</t>
        </is>
      </c>
      <c r="C420" t="inlineStr">
        <is>
          <t>19:26</t>
        </is>
      </c>
      <c r="D420" t="inlineStr">
        <is>
          <t>n° 17 + n° 18 + n° 19 + n° 20</t>
        </is>
      </c>
      <c r="E420" t="inlineStr">
        <is>
          <t>Mi</t>
        </is>
      </c>
      <c r="F420" t="n">
        <v>8.5</v>
      </c>
      <c r="G420" t="inlineStr">
        <is>
          <t>n° 17 : 0,50 + n° 18 : 0,50</t>
        </is>
      </c>
      <c r="H420" t="n">
        <v>1</v>
      </c>
    </row>
    <row r="421">
      <c r="A421" t="inlineStr">
        <is>
          <t>2022-2023</t>
        </is>
      </c>
      <c r="B421" t="inlineStr">
        <is>
          <t>2022-07-02</t>
        </is>
      </c>
      <c r="C421" t="inlineStr">
        <is>
          <t>19:26</t>
        </is>
      </c>
      <c r="D421" t="inlineStr">
        <is>
          <t>n° 17 + n° 18 + n° 19 + n° 20</t>
        </is>
      </c>
      <c r="E421" t="inlineStr">
        <is>
          <t>Pinte</t>
        </is>
      </c>
      <c r="F421" t="n">
        <v>7.8</v>
      </c>
      <c r="G421" t="inlineStr">
        <is>
          <t>n° 17 : 0,50 + n° 18 : 0,50</t>
        </is>
      </c>
      <c r="H421" t="n">
        <v>1</v>
      </c>
    </row>
    <row r="422">
      <c r="A422" t="inlineStr">
        <is>
          <t>2022-2023</t>
        </is>
      </c>
      <c r="B422" t="inlineStr">
        <is>
          <t>2022-07-02</t>
        </is>
      </c>
      <c r="C422" t="inlineStr">
        <is>
          <t>19:26</t>
        </is>
      </c>
      <c r="D422" t="inlineStr">
        <is>
          <t>n° 17 + n° 18 + n° 19 + n° 20</t>
        </is>
      </c>
      <c r="E422" t="inlineStr">
        <is>
          <t>Savagnin verre</t>
        </is>
      </c>
      <c r="F422" t="n">
        <v>7.2</v>
      </c>
      <c r="G422" t="inlineStr">
        <is>
          <t>n° 19 : 0,50 + n° 20 : 0,50</t>
        </is>
      </c>
      <c r="H422" t="n">
        <v>1</v>
      </c>
    </row>
    <row r="423">
      <c r="A423" t="inlineStr">
        <is>
          <t>2022-2023</t>
        </is>
      </c>
      <c r="B423" t="inlineStr">
        <is>
          <t>2022-07-02</t>
        </is>
      </c>
      <c r="C423" t="inlineStr">
        <is>
          <t>19:26</t>
        </is>
      </c>
      <c r="D423" t="inlineStr">
        <is>
          <t>n° 17 + n° 18 + n° 19 + n° 20</t>
        </is>
      </c>
      <c r="E423" t="inlineStr">
        <is>
          <t>Ré</t>
        </is>
      </c>
      <c r="F423" t="n">
        <v>7</v>
      </c>
      <c r="G423" t="inlineStr">
        <is>
          <t>n° 17 : 0,50 + n° 18 : 0,50</t>
        </is>
      </c>
      <c r="H423" t="n">
        <v>1</v>
      </c>
    </row>
    <row r="424">
      <c r="A424" t="inlineStr">
        <is>
          <t>2022-2023</t>
        </is>
      </c>
      <c r="B424" t="inlineStr">
        <is>
          <t>2022-07-02</t>
        </is>
      </c>
      <c r="C424" t="inlineStr">
        <is>
          <t>19:26</t>
        </is>
      </c>
      <c r="D424" t="inlineStr">
        <is>
          <t>n° 17 + n° 18 + n° 19 + n° 20</t>
        </is>
      </c>
      <c r="E424" t="inlineStr">
        <is>
          <t>Macvin du Jura</t>
        </is>
      </c>
      <c r="F424" t="n">
        <v>4.9</v>
      </c>
      <c r="G424" t="inlineStr">
        <is>
          <t>n° 19 : 0,50 + n° 20 : 0,50</t>
        </is>
      </c>
      <c r="H424" t="n">
        <v>1</v>
      </c>
    </row>
    <row r="425">
      <c r="A425" t="inlineStr">
        <is>
          <t>2022-2023</t>
        </is>
      </c>
      <c r="B425" t="inlineStr">
        <is>
          <t>2022-07-02</t>
        </is>
      </c>
      <c r="C425" t="inlineStr">
        <is>
          <t>19:26</t>
        </is>
      </c>
      <c r="D425" t="inlineStr">
        <is>
          <t>n° 17 + n° 18 + n° 19 + n° 20</t>
        </is>
      </c>
      <c r="E425" t="inlineStr">
        <is>
          <t>Perrier 33cl</t>
        </is>
      </c>
      <c r="F425" t="n">
        <v>4</v>
      </c>
      <c r="G425" t="inlineStr">
        <is>
          <t>n° 17 : 0,50 + n° 18 : 0,50</t>
        </is>
      </c>
      <c r="H425" t="n">
        <v>1</v>
      </c>
    </row>
    <row r="426">
      <c r="A426" t="inlineStr">
        <is>
          <t>2022-2023</t>
        </is>
      </c>
      <c r="B426" t="inlineStr">
        <is>
          <t>2022-07-02</t>
        </is>
      </c>
      <c r="C426" t="inlineStr">
        <is>
          <t>19:26</t>
        </is>
      </c>
      <c r="D426" t="inlineStr">
        <is>
          <t>n° 17 + n° 18 + n° 19 + n° 20</t>
        </is>
      </c>
      <c r="E426" t="inlineStr">
        <is>
          <t>Comté</t>
        </is>
      </c>
      <c r="F426" t="n">
        <v>4</v>
      </c>
      <c r="G426" t="inlineStr">
        <is>
          <t>n° 17 : 0,50 + n° 18 : 0,50</t>
        </is>
      </c>
      <c r="H426" t="n">
        <v>1</v>
      </c>
    </row>
    <row r="427">
      <c r="A427" t="inlineStr">
        <is>
          <t>2022-2023</t>
        </is>
      </c>
      <c r="B427" t="inlineStr">
        <is>
          <t>2022-07-02</t>
        </is>
      </c>
      <c r="C427" t="inlineStr">
        <is>
          <t>19:26</t>
        </is>
      </c>
      <c r="D427" t="inlineStr">
        <is>
          <t>n° 17 + n° 18 + n° 19 + n° 20</t>
        </is>
      </c>
      <c r="E427" t="inlineStr">
        <is>
          <t>Coca (25cl)</t>
        </is>
      </c>
      <c r="F427" t="n">
        <v>3.9</v>
      </c>
      <c r="G427" t="inlineStr">
        <is>
          <t>n° 17 : 0,50 + n° 18 : 0,50</t>
        </is>
      </c>
      <c r="H427" t="n">
        <v>1</v>
      </c>
    </row>
    <row r="428">
      <c r="A428" t="inlineStr">
        <is>
          <t>2022-2023</t>
        </is>
      </c>
      <c r="B428" t="inlineStr">
        <is>
          <t>2022-07-02</t>
        </is>
      </c>
      <c r="C428" t="inlineStr">
        <is>
          <t>19:26</t>
        </is>
      </c>
      <c r="D428" t="inlineStr">
        <is>
          <t>n° 17 + n° 18 + n° 19 + n° 20</t>
        </is>
      </c>
      <c r="E428" t="inlineStr">
        <is>
          <t>Diabolo (25cl)</t>
        </is>
      </c>
      <c r="F428" t="n">
        <v>3.9</v>
      </c>
      <c r="G428" t="inlineStr">
        <is>
          <t>n° 17 : 0,50 + n° 18 : 0,50</t>
        </is>
      </c>
      <c r="H428" t="n">
        <v>1</v>
      </c>
    </row>
    <row r="429">
      <c r="A429" t="inlineStr">
        <is>
          <t>2022-2023</t>
        </is>
      </c>
      <c r="B429" t="inlineStr">
        <is>
          <t>2022-07-02</t>
        </is>
      </c>
      <c r="C429" t="inlineStr">
        <is>
          <t>19:26</t>
        </is>
      </c>
      <c r="D429" t="inlineStr">
        <is>
          <t>n° 17 + n° 18 + n° 19 + n° 20</t>
        </is>
      </c>
      <c r="E429" t="inlineStr">
        <is>
          <t>GLACE 2 BOULES</t>
        </is>
      </c>
      <c r="F429" t="n">
        <v>3.9</v>
      </c>
      <c r="G429" t="inlineStr">
        <is>
          <t>n° 17 : 0,50 + n° 18 : 0,50</t>
        </is>
      </c>
      <c r="H429" t="n">
        <v>1</v>
      </c>
    </row>
    <row r="430">
      <c r="A430" t="inlineStr">
        <is>
          <t>2022-2023</t>
        </is>
      </c>
      <c r="B430" t="inlineStr">
        <is>
          <t>2022-07-02</t>
        </is>
      </c>
      <c r="C430" t="inlineStr">
        <is>
          <t>19:26</t>
        </is>
      </c>
      <c r="D430" t="inlineStr">
        <is>
          <t>n° 17 + n° 18 + n° 19 + n° 20</t>
        </is>
      </c>
      <c r="E430" t="inlineStr">
        <is>
          <t>Champignons frais</t>
        </is>
      </c>
      <c r="F430" t="n">
        <v>3.2</v>
      </c>
      <c r="G430" t="inlineStr">
        <is>
          <t>n° 17 : 0,50 + n° 18 : 0,50</t>
        </is>
      </c>
      <c r="H430" t="n">
        <v>1</v>
      </c>
    </row>
    <row r="431">
      <c r="A431" t="inlineStr">
        <is>
          <t>2022-2023</t>
        </is>
      </c>
      <c r="B431" t="inlineStr">
        <is>
          <t>2022-07-02</t>
        </is>
      </c>
      <c r="C431" t="inlineStr">
        <is>
          <t>19:26</t>
        </is>
      </c>
      <c r="D431" t="inlineStr">
        <is>
          <t>n° 17 + n° 18 + n° 19 + n° 20</t>
        </is>
      </c>
      <c r="E431" t="inlineStr">
        <is>
          <t>Galette nature</t>
        </is>
      </c>
      <c r="F431" t="n">
        <v>2.9</v>
      </c>
      <c r="G431" t="inlineStr">
        <is>
          <t>n° 17 : 0,50 + n° 18 : 0,50</t>
        </is>
      </c>
      <c r="H431" t="n">
        <v>1</v>
      </c>
    </row>
    <row r="432">
      <c r="A432" t="inlineStr">
        <is>
          <t>2022-2023</t>
        </is>
      </c>
      <c r="B432" t="inlineStr">
        <is>
          <t>2022-07-02</t>
        </is>
      </c>
      <c r="C432" t="inlineStr">
        <is>
          <t>19:26</t>
        </is>
      </c>
      <c r="D432" t="inlineStr">
        <is>
          <t>n° 17 + n° 18 + n° 19 + n° 20</t>
        </is>
      </c>
      <c r="E432" t="inlineStr">
        <is>
          <t>COULIS FRAMBOISE</t>
        </is>
      </c>
      <c r="F432" t="n">
        <v>2.4</v>
      </c>
      <c r="G432" t="inlineStr">
        <is>
          <t>n° 17 : 0,50 + n° 18 : 0,50</t>
        </is>
      </c>
      <c r="H432" t="n">
        <v>1</v>
      </c>
    </row>
    <row r="433">
      <c r="A433" t="inlineStr">
        <is>
          <t>2022-2023</t>
        </is>
      </c>
      <c r="B433" t="inlineStr">
        <is>
          <t>2022-07-02</t>
        </is>
      </c>
      <c r="C433" t="inlineStr">
        <is>
          <t>19:26</t>
        </is>
      </c>
      <c r="D433" t="inlineStr">
        <is>
          <t>n° 17 + n° 18 + n° 19 + n° 20</t>
        </is>
      </c>
      <c r="E433" t="inlineStr">
        <is>
          <t>GLACE 1 BOULE</t>
        </is>
      </c>
      <c r="F433" t="n">
        <v>2</v>
      </c>
      <c r="G433" t="inlineStr">
        <is>
          <t>n° 17 : 0,50 + n° 18 : 0,50</t>
        </is>
      </c>
      <c r="H433" t="n">
        <v>1</v>
      </c>
    </row>
    <row r="434">
      <c r="A434" t="inlineStr">
        <is>
          <t>2022-2023</t>
        </is>
      </c>
      <c r="B434" t="inlineStr">
        <is>
          <t>2022-07-03</t>
        </is>
      </c>
      <c r="C434" t="inlineStr">
        <is>
          <t>13:08</t>
        </is>
      </c>
      <c r="D434" t="inlineStr">
        <is>
          <t>n° 9 + n° 10 + n° 12 + n° 13</t>
        </is>
      </c>
      <c r="E434" t="inlineStr">
        <is>
          <t>CAMEMBERT ROTI</t>
        </is>
      </c>
      <c r="F434" t="n">
        <v>17.6</v>
      </c>
      <c r="G434" t="inlineStr">
        <is>
          <t>n° 9 : 0,50 + n° 10 : 0,50</t>
        </is>
      </c>
      <c r="H434" t="n">
        <v>1</v>
      </c>
    </row>
    <row r="435">
      <c r="A435" t="inlineStr">
        <is>
          <t>2022-2023</t>
        </is>
      </c>
      <c r="B435" t="inlineStr">
        <is>
          <t>2022-07-03</t>
        </is>
      </c>
      <c r="C435" t="inlineStr">
        <is>
          <t>13:08</t>
        </is>
      </c>
      <c r="D435" t="inlineStr">
        <is>
          <t>n° 9 + n° 10 + n° 12 + n° 13</t>
        </is>
      </c>
      <c r="E435" t="inlineStr">
        <is>
          <t>CREME BRULEE</t>
        </is>
      </c>
      <c r="F435" t="n">
        <v>6.9</v>
      </c>
      <c r="G435" t="inlineStr">
        <is>
          <t>n° 9 : 0,50 + n° 10 : 0,50</t>
        </is>
      </c>
      <c r="H435" t="n">
        <v>1</v>
      </c>
    </row>
    <row r="436">
      <c r="A436" t="inlineStr">
        <is>
          <t>2022-2023</t>
        </is>
      </c>
      <c r="B436" t="inlineStr">
        <is>
          <t>2022-07-03</t>
        </is>
      </c>
      <c r="C436" t="inlineStr">
        <is>
          <t>13:08</t>
        </is>
      </c>
      <c r="D436" t="inlineStr">
        <is>
          <t>n° 9 + n° 10 + n° 12 + n° 13</t>
        </is>
      </c>
      <c r="E436" t="inlineStr">
        <is>
          <t>FROMAGES REGIONAUX</t>
        </is>
      </c>
      <c r="F436" t="n">
        <v>6.9</v>
      </c>
      <c r="G436" t="inlineStr">
        <is>
          <t>n° 12 : 0,50 + n° 13 : 0,50</t>
        </is>
      </c>
      <c r="H436" t="n">
        <v>1</v>
      </c>
    </row>
    <row r="437">
      <c r="A437" t="inlineStr">
        <is>
          <t>2022-2023</t>
        </is>
      </c>
      <c r="B437" t="inlineStr">
        <is>
          <t>2022-07-03</t>
        </is>
      </c>
      <c r="C437" t="inlineStr">
        <is>
          <t>13:08</t>
        </is>
      </c>
      <c r="D437" t="inlineStr">
        <is>
          <t>n° 9 + n° 10 + n° 12 + n° 13</t>
        </is>
      </c>
      <c r="E437" t="inlineStr">
        <is>
          <t>Mambo</t>
        </is>
      </c>
      <c r="F437" t="n">
        <v>6.5</v>
      </c>
      <c r="G437" t="inlineStr">
        <is>
          <t>n° 9 : 0,50 + n° 10 : 0,50</t>
        </is>
      </c>
      <c r="H437" t="n">
        <v>1</v>
      </c>
    </row>
    <row r="438">
      <c r="A438" t="inlineStr">
        <is>
          <t>2022-2023</t>
        </is>
      </c>
      <c r="B438" t="inlineStr">
        <is>
          <t>2022-07-03</t>
        </is>
      </c>
      <c r="C438" t="inlineStr">
        <is>
          <t>13:08</t>
        </is>
      </c>
      <c r="D438" t="inlineStr">
        <is>
          <t>n° 9 + n° 10 + n° 12 + n° 13</t>
        </is>
      </c>
      <c r="E438" t="inlineStr">
        <is>
          <t>Beaujolais Moulin à</t>
        </is>
      </c>
      <c r="F438" t="n">
        <v>5.8</v>
      </c>
      <c r="G438" t="inlineStr">
        <is>
          <t>n° 12 : 0,50 + n° 13 : 0,50</t>
        </is>
      </c>
      <c r="H438" t="n">
        <v>1</v>
      </c>
    </row>
    <row r="439">
      <c r="A439" t="inlineStr">
        <is>
          <t>2022-2023</t>
        </is>
      </c>
      <c r="B439" t="inlineStr">
        <is>
          <t>2022-07-03</t>
        </is>
      </c>
      <c r="C439" t="inlineStr">
        <is>
          <t>13:08</t>
        </is>
      </c>
      <c r="D439" t="inlineStr">
        <is>
          <t>n° 9 + n° 10 + n° 12 + n° 13</t>
        </is>
      </c>
      <c r="E439" t="inlineStr">
        <is>
          <t>Picon bière</t>
        </is>
      </c>
      <c r="F439" t="n">
        <v>4.5</v>
      </c>
      <c r="G439" t="inlineStr">
        <is>
          <t>n° 9 : 0,50 + n° 10 : 0,50</t>
        </is>
      </c>
      <c r="H439" t="n">
        <v>1</v>
      </c>
    </row>
    <row r="440">
      <c r="A440" t="inlineStr">
        <is>
          <t>2022-2023</t>
        </is>
      </c>
      <c r="B440" t="inlineStr">
        <is>
          <t>2022-07-03</t>
        </is>
      </c>
      <c r="C440" t="inlineStr">
        <is>
          <t>13:08</t>
        </is>
      </c>
      <c r="D440" t="inlineStr">
        <is>
          <t>n° 9 + n° 10 + n° 12 + n° 13</t>
        </is>
      </c>
      <c r="E440" t="inlineStr">
        <is>
          <t>Rosé Pamplemousse</t>
        </is>
      </c>
      <c r="F440" t="n">
        <v>4.2</v>
      </c>
      <c r="G440" t="inlineStr">
        <is>
          <t>n° 12 : 0,50 + n° 13 : 0,50</t>
        </is>
      </c>
      <c r="H440" t="n">
        <v>1</v>
      </c>
    </row>
    <row r="441">
      <c r="A441" t="inlineStr">
        <is>
          <t>2022-2023</t>
        </is>
      </c>
      <c r="B441" t="inlineStr">
        <is>
          <t>2022-07-03</t>
        </is>
      </c>
      <c r="C441" t="inlineStr">
        <is>
          <t>13:08</t>
        </is>
      </c>
      <c r="D441" t="inlineStr">
        <is>
          <t>n° 9 + n° 10 + n° 12 + n° 13</t>
        </is>
      </c>
      <c r="E441" t="inlineStr">
        <is>
          <t>Fuze Tea</t>
        </is>
      </c>
      <c r="F441" t="n">
        <v>3.9</v>
      </c>
      <c r="G441" t="inlineStr">
        <is>
          <t>n° 9 : 0,50 + n° 10 : 0,50</t>
        </is>
      </c>
      <c r="H441" t="n">
        <v>1</v>
      </c>
    </row>
    <row r="442">
      <c r="A442" t="inlineStr">
        <is>
          <t>2022-2023</t>
        </is>
      </c>
      <c r="B442" t="inlineStr">
        <is>
          <t>2022-07-03</t>
        </is>
      </c>
      <c r="C442" t="inlineStr">
        <is>
          <t>13:08</t>
        </is>
      </c>
      <c r="D442" t="inlineStr">
        <is>
          <t>n° 9 + n° 10 + n° 12 + n° 13</t>
        </is>
      </c>
      <c r="E442" t="inlineStr">
        <is>
          <t>GLACE 2 BOULES</t>
        </is>
      </c>
      <c r="F442" t="n">
        <v>3.9</v>
      </c>
      <c r="G442" t="inlineStr">
        <is>
          <t>n° 9 : 0,50 + n° 10 : 0,50 + n° 12 : 0,50 + n° 13 : 0,50</t>
        </is>
      </c>
      <c r="H442" t="n">
        <v>2</v>
      </c>
    </row>
    <row r="443">
      <c r="A443" t="inlineStr">
        <is>
          <t>2022-2023</t>
        </is>
      </c>
      <c r="B443" t="inlineStr">
        <is>
          <t>2022-07-03</t>
        </is>
      </c>
      <c r="C443" t="inlineStr">
        <is>
          <t>13:08</t>
        </is>
      </c>
      <c r="D443" t="inlineStr">
        <is>
          <t>n° 9 + n° 10 + n° 12 + n° 13</t>
        </is>
      </c>
      <c r="E443" t="inlineStr">
        <is>
          <t>Panaché</t>
        </is>
      </c>
      <c r="F443" t="n">
        <v>3.9</v>
      </c>
      <c r="G443" t="inlineStr">
        <is>
          <t>n° 12 : 0,50 + n° 13 : 0,50</t>
        </is>
      </c>
      <c r="H443" t="n">
        <v>1</v>
      </c>
    </row>
    <row r="444">
      <c r="A444" t="inlineStr">
        <is>
          <t>2022-2023</t>
        </is>
      </c>
      <c r="B444" t="inlineStr">
        <is>
          <t>2022-07-03</t>
        </is>
      </c>
      <c r="C444" t="inlineStr">
        <is>
          <t>13:08</t>
        </is>
      </c>
      <c r="D444" t="inlineStr">
        <is>
          <t>n° 9 + n° 10 + n° 12 + n° 13</t>
        </is>
      </c>
      <c r="E444" t="inlineStr">
        <is>
          <t>Expresso</t>
        </is>
      </c>
      <c r="F444" t="n">
        <v>2.2</v>
      </c>
      <c r="G444" t="inlineStr">
        <is>
          <t>n° 9 : 0,50 + n° 10 : 0,50 + n° 12 : 1,00 + n° 13 : 1,00</t>
        </is>
      </c>
      <c r="H444" t="n">
        <v>3</v>
      </c>
    </row>
    <row r="445">
      <c r="A445" t="inlineStr">
        <is>
          <t>2022-2023</t>
        </is>
      </c>
      <c r="B445" t="inlineStr">
        <is>
          <t>2022-07-03</t>
        </is>
      </c>
      <c r="C445" t="inlineStr">
        <is>
          <t>13:08</t>
        </is>
      </c>
      <c r="D445" t="inlineStr">
        <is>
          <t>n° 9 + n° 10 + n° 12 + n° 13</t>
        </is>
      </c>
      <c r="E445" t="inlineStr">
        <is>
          <t>Chantilly</t>
        </is>
      </c>
      <c r="F445" t="n">
        <v>1.8</v>
      </c>
      <c r="G445" t="inlineStr">
        <is>
          <t>n° 9 : 0,50 + n° 10 : 0,50</t>
        </is>
      </c>
      <c r="H445" t="n">
        <v>1</v>
      </c>
    </row>
    <row r="446">
      <c r="A446" t="inlineStr">
        <is>
          <t>2022-2023</t>
        </is>
      </c>
      <c r="B446" t="inlineStr">
        <is>
          <t>2022-07-03</t>
        </is>
      </c>
      <c r="C446" t="inlineStr">
        <is>
          <t>20:01</t>
        </is>
      </c>
      <c r="D446" t="inlineStr">
        <is>
          <t>n° 27 + n° 28</t>
        </is>
      </c>
      <c r="E446" t="inlineStr">
        <is>
          <t>ASSIETTE FRANC-COMTO</t>
        </is>
      </c>
      <c r="F446" t="n">
        <v>17.6</v>
      </c>
      <c r="G446" t="inlineStr">
        <is>
          <t>n° 27 : 0,50 + n° 28 : 0,50</t>
        </is>
      </c>
      <c r="H446" t="n">
        <v>1</v>
      </c>
    </row>
    <row r="447">
      <c r="A447" t="inlineStr">
        <is>
          <t>2022-2023</t>
        </is>
      </c>
      <c r="B447" t="inlineStr">
        <is>
          <t>2022-07-03</t>
        </is>
      </c>
      <c r="C447" t="inlineStr">
        <is>
          <t>20:01</t>
        </is>
      </c>
      <c r="D447" t="inlineStr">
        <is>
          <t>n° 27 + n° 28</t>
        </is>
      </c>
      <c r="E447" t="inlineStr">
        <is>
          <t>LIGOUSE</t>
        </is>
      </c>
      <c r="F447" t="n">
        <v>15.6</v>
      </c>
      <c r="G447" t="inlineStr">
        <is>
          <t>n° 27 : 0,50 + n° 28 : 0,50</t>
        </is>
      </c>
      <c r="H447" t="n">
        <v>1</v>
      </c>
    </row>
    <row r="448">
      <c r="A448" t="inlineStr">
        <is>
          <t>2022-2023</t>
        </is>
      </c>
      <c r="B448" t="inlineStr">
        <is>
          <t>2022-07-03</t>
        </is>
      </c>
      <c r="C448" t="inlineStr">
        <is>
          <t>20:01</t>
        </is>
      </c>
      <c r="D448" t="inlineStr">
        <is>
          <t>n° 27 + n° 28</t>
        </is>
      </c>
      <c r="E448" t="inlineStr">
        <is>
          <t>CUPIDON</t>
        </is>
      </c>
      <c r="F448" t="n">
        <v>7.5</v>
      </c>
      <c r="G448" t="inlineStr">
        <is>
          <t>n° 27 : 0,50 + n° 28 : 0,50</t>
        </is>
      </c>
      <c r="H448" t="n">
        <v>1</v>
      </c>
    </row>
    <row r="449">
      <c r="A449" t="inlineStr">
        <is>
          <t>2022-2023</t>
        </is>
      </c>
      <c r="B449" t="inlineStr">
        <is>
          <t>2022-07-03</t>
        </is>
      </c>
      <c r="C449" t="inlineStr">
        <is>
          <t>20:01</t>
        </is>
      </c>
      <c r="D449" t="inlineStr">
        <is>
          <t>n° 27 + n° 28</t>
        </is>
      </c>
      <c r="E449" t="inlineStr">
        <is>
          <t>Savagnin verre</t>
        </is>
      </c>
      <c r="F449" t="n">
        <v>7.2</v>
      </c>
      <c r="G449" t="inlineStr">
        <is>
          <t>n° 27 : 0,50 + n° 28 : 0,50</t>
        </is>
      </c>
      <c r="H449" t="n">
        <v>1</v>
      </c>
    </row>
    <row r="450">
      <c r="A450" t="inlineStr">
        <is>
          <t>2022-2023</t>
        </is>
      </c>
      <c r="B450" t="inlineStr">
        <is>
          <t>2022-07-03</t>
        </is>
      </c>
      <c r="C450" t="inlineStr">
        <is>
          <t>20:01</t>
        </is>
      </c>
      <c r="D450" t="inlineStr">
        <is>
          <t>n° 27 + n° 28</t>
        </is>
      </c>
      <c r="E450" t="inlineStr">
        <is>
          <t>BEGUIN</t>
        </is>
      </c>
      <c r="F450" t="n">
        <v>6.9</v>
      </c>
      <c r="G450" t="inlineStr">
        <is>
          <t>n° 27 : 0,50 + n° 28 : 0,50</t>
        </is>
      </c>
      <c r="H450" t="n">
        <v>1</v>
      </c>
    </row>
    <row r="451">
      <c r="A451" t="inlineStr">
        <is>
          <t>2022-2023</t>
        </is>
      </c>
      <c r="B451" t="inlineStr">
        <is>
          <t>2022-07-03</t>
        </is>
      </c>
      <c r="C451" t="inlineStr">
        <is>
          <t>20:01</t>
        </is>
      </c>
      <c r="D451" t="inlineStr">
        <is>
          <t>n° 27 + n° 28</t>
        </is>
      </c>
      <c r="E451" t="inlineStr">
        <is>
          <t>Luna</t>
        </is>
      </c>
      <c r="F451" t="n">
        <v>6</v>
      </c>
      <c r="G451" t="inlineStr">
        <is>
          <t>n° 27 : 0,50 + n° 28 : 0,50</t>
        </is>
      </c>
      <c r="H451" t="n">
        <v>1</v>
      </c>
    </row>
    <row r="452">
      <c r="A452" t="inlineStr">
        <is>
          <t>2022-2023</t>
        </is>
      </c>
      <c r="B452" t="inlineStr">
        <is>
          <t>2022-07-03</t>
        </is>
      </c>
      <c r="C452" t="inlineStr">
        <is>
          <t>20:01</t>
        </is>
      </c>
      <c r="D452" t="inlineStr">
        <is>
          <t>n° 27 + n° 28</t>
        </is>
      </c>
      <c r="E452" t="inlineStr">
        <is>
          <t>Père Gregoire</t>
        </is>
      </c>
      <c r="F452" t="n">
        <v>4.9</v>
      </c>
      <c r="G452" t="inlineStr">
        <is>
          <t>n° 27 : 0,50 + n° 28 : 0,50</t>
        </is>
      </c>
      <c r="H452" t="n">
        <v>1</v>
      </c>
    </row>
    <row r="453">
      <c r="A453" t="inlineStr">
        <is>
          <t>2022-2023</t>
        </is>
      </c>
      <c r="B453" t="inlineStr">
        <is>
          <t>2022-07-06</t>
        </is>
      </c>
      <c r="C453" t="inlineStr">
        <is>
          <t>19:23</t>
        </is>
      </c>
      <c r="D453" t="inlineStr">
        <is>
          <t>n° 17 + n° 18</t>
        </is>
      </c>
      <c r="E453" t="inlineStr">
        <is>
          <t>BURGER COMTOIS</t>
        </is>
      </c>
      <c r="F453" t="n">
        <v>19</v>
      </c>
      <c r="G453" t="inlineStr">
        <is>
          <t>n° 17 : 0,50 + n° 18 : 0,50</t>
        </is>
      </c>
      <c r="H453" t="n">
        <v>1</v>
      </c>
    </row>
    <row r="454">
      <c r="A454" t="inlineStr">
        <is>
          <t>2022-2023</t>
        </is>
      </c>
      <c r="B454" t="inlineStr">
        <is>
          <t>2022-07-06</t>
        </is>
      </c>
      <c r="C454" t="inlineStr">
        <is>
          <t>19:23</t>
        </is>
      </c>
      <c r="D454" t="inlineStr">
        <is>
          <t>n° 17 + n° 18</t>
        </is>
      </c>
      <c r="E454" t="inlineStr">
        <is>
          <t>POULET JURASSIENNE</t>
        </is>
      </c>
      <c r="F454" t="n">
        <v>17.6</v>
      </c>
      <c r="G454" t="inlineStr">
        <is>
          <t>n° 17 : 0,50 + n° 18 : 0,50</t>
        </is>
      </c>
      <c r="H454" t="n">
        <v>1</v>
      </c>
    </row>
    <row r="455">
      <c r="A455" t="inlineStr">
        <is>
          <t>2022-2023</t>
        </is>
      </c>
      <c r="B455" t="inlineStr">
        <is>
          <t>2022-07-06</t>
        </is>
      </c>
      <c r="C455" t="inlineStr">
        <is>
          <t>19:23</t>
        </is>
      </c>
      <c r="D455" t="inlineStr">
        <is>
          <t>n° 17 + n° 18</t>
        </is>
      </c>
      <c r="E455" t="inlineStr">
        <is>
          <t>FOULETOT</t>
        </is>
      </c>
      <c r="F455" t="n">
        <v>10.5</v>
      </c>
      <c r="G455" t="inlineStr">
        <is>
          <t>n° 17 : 0,50 + n° 18 : 0,50</t>
        </is>
      </c>
      <c r="H455" t="n">
        <v>1</v>
      </c>
    </row>
    <row r="456">
      <c r="A456" t="inlineStr">
        <is>
          <t>2022-2023</t>
        </is>
      </c>
      <c r="B456" t="inlineStr">
        <is>
          <t>2022-07-06</t>
        </is>
      </c>
      <c r="C456" t="inlineStr">
        <is>
          <t>19:23</t>
        </is>
      </c>
      <c r="D456" t="inlineStr">
        <is>
          <t>n° 17 + n° 18</t>
        </is>
      </c>
      <c r="E456" t="inlineStr">
        <is>
          <t>TANTE ARIE</t>
        </is>
      </c>
      <c r="F456" t="n">
        <v>8.5</v>
      </c>
      <c r="G456" t="inlineStr">
        <is>
          <t>n° 17 : 0,50 + n° 18 : 0,50</t>
        </is>
      </c>
      <c r="H456" t="n">
        <v>1</v>
      </c>
    </row>
    <row r="457">
      <c r="A457" t="inlineStr">
        <is>
          <t>2022-2023</t>
        </is>
      </c>
      <c r="B457" t="inlineStr">
        <is>
          <t>2022-07-07</t>
        </is>
      </c>
      <c r="C457" t="inlineStr">
        <is>
          <t>12:54</t>
        </is>
      </c>
      <c r="D457" t="inlineStr">
        <is>
          <t>n° 16 + n° 17 + n° 18</t>
        </is>
      </c>
      <c r="E457" t="inlineStr">
        <is>
          <t>Menu Végétarien</t>
        </is>
      </c>
      <c r="F457" t="n">
        <v>23</v>
      </c>
      <c r="G457" t="inlineStr">
        <is>
          <t>n° 16 : 0,50</t>
        </is>
      </c>
      <c r="H457" t="n">
        <v>0.5</v>
      </c>
    </row>
    <row r="458">
      <c r="A458" t="inlineStr">
        <is>
          <t>2022-2023</t>
        </is>
      </c>
      <c r="B458" t="inlineStr">
        <is>
          <t>2022-07-07</t>
        </is>
      </c>
      <c r="C458" t="inlineStr">
        <is>
          <t>12:54</t>
        </is>
      </c>
      <c r="D458" t="inlineStr">
        <is>
          <t>n° 16 + n° 17 + n° 18</t>
        </is>
      </c>
      <c r="E458" t="inlineStr">
        <is>
          <t>CAMEMBERT ROTI</t>
        </is>
      </c>
      <c r="F458" t="n">
        <v>17.6</v>
      </c>
      <c r="G458" t="inlineStr">
        <is>
          <t>n° 16 : 0,50</t>
        </is>
      </c>
      <c r="H458" t="n">
        <v>0.5</v>
      </c>
    </row>
    <row r="459">
      <c r="A459" t="inlineStr">
        <is>
          <t>2022-2023</t>
        </is>
      </c>
      <c r="B459" t="inlineStr">
        <is>
          <t>2022-07-07</t>
        </is>
      </c>
      <c r="C459" t="inlineStr">
        <is>
          <t>12:54</t>
        </is>
      </c>
      <c r="D459" t="inlineStr">
        <is>
          <t>n° 16 + n° 17 + n° 18</t>
        </is>
      </c>
      <c r="E459" t="inlineStr">
        <is>
          <t>Savagnin verre</t>
        </is>
      </c>
      <c r="F459" t="n">
        <v>7.2</v>
      </c>
      <c r="G459" t="inlineStr">
        <is>
          <t>n° 17 : 0,50 + n° 18 : 0,50</t>
        </is>
      </c>
      <c r="H459" t="n">
        <v>1</v>
      </c>
    </row>
    <row r="460">
      <c r="A460" t="inlineStr">
        <is>
          <t>2022-2023</t>
        </is>
      </c>
      <c r="B460" t="inlineStr">
        <is>
          <t>2022-07-07</t>
        </is>
      </c>
      <c r="C460" t="inlineStr">
        <is>
          <t>12:54</t>
        </is>
      </c>
      <c r="D460" t="inlineStr">
        <is>
          <t>n° 16 + n° 17 + n° 18</t>
        </is>
      </c>
      <c r="E460" t="inlineStr">
        <is>
          <t>GLACE 3 BOULES</t>
        </is>
      </c>
      <c r="F460" t="n">
        <v>5.8</v>
      </c>
      <c r="G460" t="inlineStr">
        <is>
          <t>n° 16 : 0,50</t>
        </is>
      </c>
      <c r="H460" t="n">
        <v>0.5</v>
      </c>
    </row>
    <row r="461">
      <c r="A461" t="inlineStr">
        <is>
          <t>2022-2023</t>
        </is>
      </c>
      <c r="B461" t="inlineStr">
        <is>
          <t>2022-07-07</t>
        </is>
      </c>
      <c r="C461" t="inlineStr">
        <is>
          <t>12:54</t>
        </is>
      </c>
      <c r="D461" t="inlineStr">
        <is>
          <t>n° 16 + n° 17 + n° 18</t>
        </is>
      </c>
      <c r="E461" t="inlineStr">
        <is>
          <t>Fuze Tea</t>
        </is>
      </c>
      <c r="F461" t="n">
        <v>3.9</v>
      </c>
      <c r="G461" t="inlineStr">
        <is>
          <t>n° 17 : 0,50 + n° 18 : 0,50</t>
        </is>
      </c>
      <c r="H461" t="n">
        <v>1</v>
      </c>
    </row>
    <row r="462">
      <c r="A462" t="inlineStr">
        <is>
          <t>2022-2023</t>
        </is>
      </c>
      <c r="B462" t="inlineStr">
        <is>
          <t>2022-07-07</t>
        </is>
      </c>
      <c r="C462" t="inlineStr">
        <is>
          <t>12:54</t>
        </is>
      </c>
      <c r="D462" t="inlineStr">
        <is>
          <t>n° 16 + n° 17 + n° 18</t>
        </is>
      </c>
      <c r="E462" t="inlineStr">
        <is>
          <t>Expresso</t>
        </is>
      </c>
      <c r="F462" t="n">
        <v>2.2</v>
      </c>
      <c r="G462" t="inlineStr">
        <is>
          <t>n° 16 : 0,50</t>
        </is>
      </c>
      <c r="H462" t="n">
        <v>0.5</v>
      </c>
    </row>
    <row r="463">
      <c r="A463" t="inlineStr">
        <is>
          <t>2022-2023</t>
        </is>
      </c>
      <c r="B463" t="inlineStr">
        <is>
          <t>2022-07-07</t>
        </is>
      </c>
      <c r="C463" t="inlineStr">
        <is>
          <t>20:35</t>
        </is>
      </c>
      <c r="D463" t="inlineStr">
        <is>
          <t>n° 27 + n° 28</t>
        </is>
      </c>
      <c r="E463" t="inlineStr">
        <is>
          <t>TRUITE JURASSIENNE</t>
        </is>
      </c>
      <c r="F463" t="n">
        <v>17.6</v>
      </c>
      <c r="G463" t="inlineStr">
        <is>
          <t>n° 27 : 0,50 + n° 28 : 0,50</t>
        </is>
      </c>
      <c r="H463" t="n">
        <v>1</v>
      </c>
    </row>
    <row r="464">
      <c r="A464" t="inlineStr">
        <is>
          <t>2022-2023</t>
        </is>
      </c>
      <c r="B464" t="inlineStr">
        <is>
          <t>2022-07-07</t>
        </is>
      </c>
      <c r="C464" t="inlineStr">
        <is>
          <t>20:35</t>
        </is>
      </c>
      <c r="D464" t="inlineStr">
        <is>
          <t>n° 27 + n° 28</t>
        </is>
      </c>
      <c r="E464" t="inlineStr">
        <is>
          <t>CAMEMBERT ROTI</t>
        </is>
      </c>
      <c r="F464" t="n">
        <v>17.6</v>
      </c>
      <c r="G464" t="inlineStr">
        <is>
          <t>n° 27 : 0,50 + n° 28 : 0,50</t>
        </is>
      </c>
      <c r="H464" t="n">
        <v>1</v>
      </c>
    </row>
    <row r="465">
      <c r="A465" t="inlineStr">
        <is>
          <t>2022-2023</t>
        </is>
      </c>
      <c r="B465" t="inlineStr">
        <is>
          <t>2022-07-07</t>
        </is>
      </c>
      <c r="C465" t="inlineStr">
        <is>
          <t>20:35</t>
        </is>
      </c>
      <c r="D465" t="inlineStr">
        <is>
          <t>n° 27 + n° 28</t>
        </is>
      </c>
      <c r="E465" t="inlineStr">
        <is>
          <t>GLACE 3 BOULES</t>
        </is>
      </c>
      <c r="F465" t="n">
        <v>5.8</v>
      </c>
      <c r="G465" t="inlineStr">
        <is>
          <t>n° 27 : 0,50 + n° 28 : 0,50</t>
        </is>
      </c>
      <c r="H465" t="n">
        <v>1</v>
      </c>
    </row>
    <row r="466">
      <c r="A466" t="inlineStr">
        <is>
          <t>2022-2023</t>
        </is>
      </c>
      <c r="B466" t="inlineStr">
        <is>
          <t>2022-07-08</t>
        </is>
      </c>
      <c r="C466" t="inlineStr">
        <is>
          <t>12:21</t>
        </is>
      </c>
      <c r="D466" t="inlineStr">
        <is>
          <t>n° 11 + n° 12</t>
        </is>
      </c>
      <c r="E466" t="inlineStr">
        <is>
          <t>Pichet 50cl vin</t>
        </is>
      </c>
      <c r="F466" t="n">
        <v>9.800000000000001</v>
      </c>
      <c r="G466" t="inlineStr">
        <is>
          <t>n° 11 : 0,50 + n° 12 : 0,50</t>
        </is>
      </c>
      <c r="H466" t="n">
        <v>1</v>
      </c>
    </row>
    <row r="467">
      <c r="A467" t="inlineStr">
        <is>
          <t>2022-2023</t>
        </is>
      </c>
      <c r="B467" t="inlineStr">
        <is>
          <t>2022-07-08</t>
        </is>
      </c>
      <c r="C467" t="inlineStr">
        <is>
          <t>19:32</t>
        </is>
      </c>
      <c r="D467" t="inlineStr">
        <is>
          <t>n° 24 + n° 25</t>
        </is>
      </c>
      <c r="E467" t="inlineStr">
        <is>
          <t>Arbois Béthanie</t>
        </is>
      </c>
      <c r="F467" t="n">
        <v>29.9</v>
      </c>
      <c r="G467" t="inlineStr">
        <is>
          <t>n° 24 : 0,50 + n° 25 : 0,50</t>
        </is>
      </c>
      <c r="H467" t="n">
        <v>1</v>
      </c>
    </row>
    <row r="468">
      <c r="A468" t="inlineStr">
        <is>
          <t>2022-2023</t>
        </is>
      </c>
      <c r="B468" t="inlineStr">
        <is>
          <t>2022-07-08</t>
        </is>
      </c>
      <c r="C468" t="inlineStr">
        <is>
          <t>19:32</t>
        </is>
      </c>
      <c r="D468" t="inlineStr">
        <is>
          <t>n° 24 + n° 25</t>
        </is>
      </c>
      <c r="E468" t="inlineStr">
        <is>
          <t>MORTEAU GRILLEE</t>
        </is>
      </c>
      <c r="F468" t="n">
        <v>17.6</v>
      </c>
      <c r="G468" t="inlineStr">
        <is>
          <t>n° 24 : 0,50 + n° 25 : 0,50</t>
        </is>
      </c>
      <c r="H468" t="n">
        <v>1</v>
      </c>
    </row>
    <row r="469">
      <c r="A469" t="inlineStr">
        <is>
          <t>2022-2023</t>
        </is>
      </c>
      <c r="B469" t="inlineStr">
        <is>
          <t>2022-07-08</t>
        </is>
      </c>
      <c r="C469" t="inlineStr">
        <is>
          <t>19:32</t>
        </is>
      </c>
      <c r="D469" t="inlineStr">
        <is>
          <t>n° 24 + n° 25</t>
        </is>
      </c>
      <c r="E469" t="inlineStr">
        <is>
          <t>CAMEMBERT ROTI</t>
        </is>
      </c>
      <c r="F469" t="n">
        <v>17.6</v>
      </c>
      <c r="G469" t="inlineStr">
        <is>
          <t>n° 24 : 0,50 + n° 25 : 0,50</t>
        </is>
      </c>
      <c r="H469" t="n">
        <v>1</v>
      </c>
    </row>
    <row r="470">
      <c r="A470" t="inlineStr">
        <is>
          <t>2022-2023</t>
        </is>
      </c>
      <c r="B470" t="inlineStr">
        <is>
          <t>2022-07-08</t>
        </is>
      </c>
      <c r="C470" t="inlineStr">
        <is>
          <t>19:32</t>
        </is>
      </c>
      <c r="D470" t="inlineStr">
        <is>
          <t>n° 24 + n° 25</t>
        </is>
      </c>
      <c r="E470" t="inlineStr">
        <is>
          <t>POULET JURASSIENNE</t>
        </is>
      </c>
      <c r="F470" t="n">
        <v>17.6</v>
      </c>
      <c r="G470" t="inlineStr">
        <is>
          <t>n° 24 : 0,50 + n° 25 : 0,50</t>
        </is>
      </c>
      <c r="H470" t="n">
        <v>1</v>
      </c>
    </row>
    <row r="471">
      <c r="A471" t="inlineStr">
        <is>
          <t>2022-2023</t>
        </is>
      </c>
      <c r="B471" t="inlineStr">
        <is>
          <t>2022-07-08</t>
        </is>
      </c>
      <c r="C471" t="inlineStr">
        <is>
          <t>19:32</t>
        </is>
      </c>
      <c r="D471" t="inlineStr">
        <is>
          <t>n° 24 + n° 25</t>
        </is>
      </c>
      <c r="E471" t="inlineStr">
        <is>
          <t>Pavlova</t>
        </is>
      </c>
      <c r="F471" t="n">
        <v>8.699999999999999</v>
      </c>
      <c r="G471" t="inlineStr">
        <is>
          <t>n° 24 : 0,50 + n° 25 : 0,50</t>
        </is>
      </c>
      <c r="H471" t="n">
        <v>1</v>
      </c>
    </row>
    <row r="472">
      <c r="A472" t="inlineStr">
        <is>
          <t>2022-2023</t>
        </is>
      </c>
      <c r="B472" t="inlineStr">
        <is>
          <t>2022-07-08</t>
        </is>
      </c>
      <c r="C472" t="inlineStr">
        <is>
          <t>19:32</t>
        </is>
      </c>
      <c r="D472" t="inlineStr">
        <is>
          <t>n° 24 + n° 25</t>
        </is>
      </c>
      <c r="E472" t="inlineStr">
        <is>
          <t>Normandine</t>
        </is>
      </c>
      <c r="F472" t="n">
        <v>8.699999999999999</v>
      </c>
      <c r="G472" t="inlineStr">
        <is>
          <t>n° 24 : 0,50 + n° 25 : 0,50</t>
        </is>
      </c>
      <c r="H472" t="n">
        <v>1</v>
      </c>
    </row>
    <row r="473">
      <c r="A473" t="inlineStr">
        <is>
          <t>2022-2023</t>
        </is>
      </c>
      <c r="B473" t="inlineStr">
        <is>
          <t>2022-07-08</t>
        </is>
      </c>
      <c r="C473" t="inlineStr">
        <is>
          <t>19:32</t>
        </is>
      </c>
      <c r="D473" t="inlineStr">
        <is>
          <t>n° 24 + n° 25</t>
        </is>
      </c>
      <c r="E473" t="inlineStr">
        <is>
          <t>TANTE ARIE</t>
        </is>
      </c>
      <c r="F473" t="n">
        <v>8.5</v>
      </c>
      <c r="G473" t="inlineStr">
        <is>
          <t>n° 24 : 0,50 + n° 25 : 0,50</t>
        </is>
      </c>
      <c r="H473" t="n">
        <v>1</v>
      </c>
    </row>
    <row r="474">
      <c r="A474" t="inlineStr">
        <is>
          <t>2022-2023</t>
        </is>
      </c>
      <c r="B474" t="inlineStr">
        <is>
          <t>2022-07-08</t>
        </is>
      </c>
      <c r="C474" t="inlineStr">
        <is>
          <t>19:32</t>
        </is>
      </c>
      <c r="D474" t="inlineStr">
        <is>
          <t>n° 24 + n° 25</t>
        </is>
      </c>
      <c r="E474" t="inlineStr">
        <is>
          <t>Père Gregoire</t>
        </is>
      </c>
      <c r="F474" t="n">
        <v>4.9</v>
      </c>
      <c r="G474" t="inlineStr">
        <is>
          <t>n° 24 : 0,50 + n° 25 : 0,50</t>
        </is>
      </c>
      <c r="H474" t="n">
        <v>1</v>
      </c>
    </row>
    <row r="475">
      <c r="A475" t="inlineStr">
        <is>
          <t>2022-2023</t>
        </is>
      </c>
      <c r="B475" t="inlineStr">
        <is>
          <t>2022-07-08</t>
        </is>
      </c>
      <c r="C475" t="inlineStr">
        <is>
          <t>19:32</t>
        </is>
      </c>
      <c r="D475" t="inlineStr">
        <is>
          <t>n° 24 + n° 25</t>
        </is>
      </c>
      <c r="E475" t="inlineStr">
        <is>
          <t>Macvin du Jura</t>
        </is>
      </c>
      <c r="F475" t="n">
        <v>4.9</v>
      </c>
      <c r="G475" t="inlineStr">
        <is>
          <t>n° 24 : 0,50 + n° 25 : 0,50</t>
        </is>
      </c>
      <c r="H475" t="n">
        <v>1</v>
      </c>
    </row>
    <row r="476">
      <c r="A476" t="inlineStr">
        <is>
          <t>2022-2023</t>
        </is>
      </c>
      <c r="B476" t="inlineStr">
        <is>
          <t>2022-07-08</t>
        </is>
      </c>
      <c r="C476" t="inlineStr">
        <is>
          <t>19:32</t>
        </is>
      </c>
      <c r="D476" t="inlineStr">
        <is>
          <t>n° 24 + n° 25</t>
        </is>
      </c>
      <c r="E476" t="inlineStr">
        <is>
          <t>Coca (25cl)</t>
        </is>
      </c>
      <c r="F476" t="n">
        <v>3.9</v>
      </c>
      <c r="G476" t="inlineStr">
        <is>
          <t>n° 24 : 0,50 + n° 25 : 0,50</t>
        </is>
      </c>
      <c r="H476" t="n">
        <v>1</v>
      </c>
    </row>
    <row r="477">
      <c r="A477" t="inlineStr">
        <is>
          <t>2022-2023</t>
        </is>
      </c>
      <c r="B477" t="inlineStr">
        <is>
          <t>2022-07-09</t>
        </is>
      </c>
      <c r="C477" t="inlineStr">
        <is>
          <t>13:17</t>
        </is>
      </c>
      <c r="D477" t="inlineStr">
        <is>
          <t>n° 25 + n° 26</t>
        </is>
      </c>
      <c r="E477" t="inlineStr">
        <is>
          <t>Arbois Chardonnay Le</t>
        </is>
      </c>
      <c r="F477" t="n">
        <v>24.9</v>
      </c>
      <c r="G477" t="inlineStr">
        <is>
          <t>n° 25 : 0,50 + n° 26 : 0,50</t>
        </is>
      </c>
      <c r="H477" t="n">
        <v>1</v>
      </c>
    </row>
    <row r="478">
      <c r="A478" t="inlineStr">
        <is>
          <t>2022-2023</t>
        </is>
      </c>
      <c r="B478" t="inlineStr">
        <is>
          <t>2022-07-09</t>
        </is>
      </c>
      <c r="C478" t="inlineStr">
        <is>
          <t>13:17</t>
        </is>
      </c>
      <c r="D478" t="inlineStr">
        <is>
          <t>n° 25 + n° 26</t>
        </is>
      </c>
      <c r="E478" t="inlineStr">
        <is>
          <t>ASSIETTE FRANC-COMTO</t>
        </is>
      </c>
      <c r="F478" t="n">
        <v>17.6</v>
      </c>
      <c r="G478" t="inlineStr">
        <is>
          <t>n° 25 : 0,50 + n° 26 : 0,50</t>
        </is>
      </c>
      <c r="H478" t="n">
        <v>1</v>
      </c>
    </row>
    <row r="479">
      <c r="A479" t="inlineStr">
        <is>
          <t>2022-2023</t>
        </is>
      </c>
      <c r="B479" t="inlineStr">
        <is>
          <t>2022-07-09</t>
        </is>
      </c>
      <c r="C479" t="inlineStr">
        <is>
          <t>13:17</t>
        </is>
      </c>
      <c r="D479" t="inlineStr">
        <is>
          <t>n° 25 + n° 26</t>
        </is>
      </c>
      <c r="E479" t="inlineStr">
        <is>
          <t>Formule Express</t>
        </is>
      </c>
      <c r="F479" t="n">
        <v>15</v>
      </c>
      <c r="G479" t="inlineStr">
        <is>
          <t>n° 25 : 1,50 + n° 26 : 1,50</t>
        </is>
      </c>
      <c r="H479" t="n">
        <v>3</v>
      </c>
    </row>
    <row r="480">
      <c r="A480" t="inlineStr">
        <is>
          <t>2022-2023</t>
        </is>
      </c>
      <c r="B480" t="inlineStr">
        <is>
          <t>2022-07-09</t>
        </is>
      </c>
      <c r="C480" t="inlineStr">
        <is>
          <t>19:46</t>
        </is>
      </c>
      <c r="D480" t="inlineStr">
        <is>
          <t>n° 50 + n° 51</t>
        </is>
      </c>
      <c r="E480" t="inlineStr">
        <is>
          <t>POULET JURASSIENNE</t>
        </is>
      </c>
      <c r="F480" t="n">
        <v>17.6</v>
      </c>
      <c r="G480" t="inlineStr">
        <is>
          <t>n° 50 : 0,50 + n° 51 : 0,50</t>
        </is>
      </c>
      <c r="H480" t="n">
        <v>1</v>
      </c>
    </row>
    <row r="481">
      <c r="A481" t="inlineStr">
        <is>
          <t>2022-2023</t>
        </is>
      </c>
      <c r="B481" t="inlineStr">
        <is>
          <t>2022-07-09</t>
        </is>
      </c>
      <c r="C481" t="inlineStr">
        <is>
          <t>19:46</t>
        </is>
      </c>
      <c r="D481" t="inlineStr">
        <is>
          <t>n° 50 + n° 51</t>
        </is>
      </c>
      <c r="E481" t="inlineStr">
        <is>
          <t>MORTEAU GRILLEE</t>
        </is>
      </c>
      <c r="F481" t="n">
        <v>17.6</v>
      </c>
      <c r="G481" t="inlineStr">
        <is>
          <t>n° 50 : 0,50 + n° 51 : 0,50</t>
        </is>
      </c>
      <c r="H481" t="n">
        <v>1</v>
      </c>
    </row>
    <row r="482">
      <c r="A482" t="inlineStr">
        <is>
          <t>2022-2023</t>
        </is>
      </c>
      <c r="B482" t="inlineStr">
        <is>
          <t>2022-07-09</t>
        </is>
      </c>
      <c r="C482" t="inlineStr">
        <is>
          <t>19:46</t>
        </is>
      </c>
      <c r="D482" t="inlineStr">
        <is>
          <t>n° 50 + n° 51</t>
        </is>
      </c>
      <c r="E482" t="inlineStr">
        <is>
          <t>La</t>
        </is>
      </c>
      <c r="F482" t="n">
        <v>8.5</v>
      </c>
      <c r="G482" t="inlineStr">
        <is>
          <t>n° 50 : 0,50 + n° 51 : 0,50</t>
        </is>
      </c>
      <c r="H482" t="n">
        <v>1</v>
      </c>
    </row>
    <row r="483">
      <c r="A483" t="inlineStr">
        <is>
          <t>2022-2023</t>
        </is>
      </c>
      <c r="B483" t="inlineStr">
        <is>
          <t>2022-07-09</t>
        </is>
      </c>
      <c r="C483" t="inlineStr">
        <is>
          <t>19:46</t>
        </is>
      </c>
      <c r="D483" t="inlineStr">
        <is>
          <t>n° 50 + n° 51</t>
        </is>
      </c>
      <c r="E483" t="inlineStr">
        <is>
          <t>CUPIDON</t>
        </is>
      </c>
      <c r="F483" t="n">
        <v>7.5</v>
      </c>
      <c r="G483" t="inlineStr">
        <is>
          <t>n° 50 : 0,50 + n° 51 : 0,50</t>
        </is>
      </c>
      <c r="H483" t="n">
        <v>1</v>
      </c>
    </row>
    <row r="484">
      <c r="A484" t="inlineStr">
        <is>
          <t>2022-2023</t>
        </is>
      </c>
      <c r="B484" t="inlineStr">
        <is>
          <t>2022-07-09</t>
        </is>
      </c>
      <c r="C484" t="inlineStr">
        <is>
          <t>19:46</t>
        </is>
      </c>
      <c r="D484" t="inlineStr">
        <is>
          <t>n° 50 + n° 51</t>
        </is>
      </c>
      <c r="E484" t="inlineStr">
        <is>
          <t>Ré</t>
        </is>
      </c>
      <c r="F484" t="n">
        <v>7</v>
      </c>
      <c r="G484" t="inlineStr">
        <is>
          <t>n° 50 : 0,50 + n° 51 : 0,50</t>
        </is>
      </c>
      <c r="H484" t="n">
        <v>1</v>
      </c>
    </row>
    <row r="485">
      <c r="A485" t="inlineStr">
        <is>
          <t>2022-2023</t>
        </is>
      </c>
      <c r="B485" t="inlineStr">
        <is>
          <t>2022-07-09</t>
        </is>
      </c>
      <c r="C485" t="inlineStr">
        <is>
          <t>19:46</t>
        </is>
      </c>
      <c r="D485" t="inlineStr">
        <is>
          <t>n° 50 + n° 51</t>
        </is>
      </c>
      <c r="E485" t="inlineStr">
        <is>
          <t>Do</t>
        </is>
      </c>
      <c r="F485" t="n">
        <v>6.9</v>
      </c>
      <c r="G485" t="inlineStr">
        <is>
          <t>n° 50 : 0,50 + n° 51 : 0,50</t>
        </is>
      </c>
      <c r="H485" t="n">
        <v>1</v>
      </c>
    </row>
    <row r="486">
      <c r="A486" t="inlineStr">
        <is>
          <t>2022-2023</t>
        </is>
      </c>
      <c r="B486" t="inlineStr">
        <is>
          <t>2022-07-09</t>
        </is>
      </c>
      <c r="C486" t="inlineStr">
        <is>
          <t>19:46</t>
        </is>
      </c>
      <c r="D486" t="inlineStr">
        <is>
          <t>n° 50 + n° 51</t>
        </is>
      </c>
      <c r="E486" t="inlineStr">
        <is>
          <t>Salade Verte aux Noi</t>
        </is>
      </c>
      <c r="F486" t="n">
        <v>5.9</v>
      </c>
      <c r="G486" t="inlineStr">
        <is>
          <t>n° 50 : 0,50 + n° 51 : 0,50</t>
        </is>
      </c>
      <c r="H486" t="n">
        <v>1</v>
      </c>
    </row>
    <row r="487">
      <c r="A487" t="inlineStr">
        <is>
          <t>2022-2023</t>
        </is>
      </c>
      <c r="B487" t="inlineStr">
        <is>
          <t>2022-07-09</t>
        </is>
      </c>
      <c r="C487" t="inlineStr">
        <is>
          <t>19:46</t>
        </is>
      </c>
      <c r="D487" t="inlineStr">
        <is>
          <t>n° 50 + n° 51</t>
        </is>
      </c>
      <c r="E487" t="inlineStr">
        <is>
          <t>Expresso</t>
        </is>
      </c>
      <c r="F487" t="n">
        <v>2.2</v>
      </c>
      <c r="G487" t="inlineStr">
        <is>
          <t>n° 50 : 0,50 + n° 51 : 0,50</t>
        </is>
      </c>
      <c r="H487" t="n">
        <v>1</v>
      </c>
    </row>
    <row r="488">
      <c r="A488" t="inlineStr">
        <is>
          <t>2022-2023</t>
        </is>
      </c>
      <c r="B488" t="inlineStr">
        <is>
          <t>2022-07-10</t>
        </is>
      </c>
      <c r="C488" t="inlineStr">
        <is>
          <t>12:08</t>
        </is>
      </c>
      <c r="D488" t="inlineStr">
        <is>
          <t>n° 7 + n° 8</t>
        </is>
      </c>
      <c r="E488" t="inlineStr">
        <is>
          <t>Salade Végétarienne</t>
        </is>
      </c>
      <c r="F488" t="n">
        <v>19.9</v>
      </c>
      <c r="G488" t="inlineStr">
        <is>
          <t>n° 7 : 0,50 + n° 8 : 0,50</t>
        </is>
      </c>
      <c r="H488" t="n">
        <v>1</v>
      </c>
    </row>
    <row r="489">
      <c r="A489" t="inlineStr">
        <is>
          <t>2022-2023</t>
        </is>
      </c>
      <c r="B489" t="inlineStr">
        <is>
          <t>2022-07-10</t>
        </is>
      </c>
      <c r="C489" t="inlineStr">
        <is>
          <t>12:08</t>
        </is>
      </c>
      <c r="D489" t="inlineStr">
        <is>
          <t>n° 7 + n° 8</t>
        </is>
      </c>
      <c r="E489" t="inlineStr">
        <is>
          <t>CABRICHOU</t>
        </is>
      </c>
      <c r="F489" t="n">
        <v>15.9</v>
      </c>
      <c r="G489" t="inlineStr">
        <is>
          <t>n° 7 : 0,50 + n° 8 : 0,50</t>
        </is>
      </c>
      <c r="H489" t="n">
        <v>1</v>
      </c>
    </row>
    <row r="490">
      <c r="A490" t="inlineStr">
        <is>
          <t>2022-2023</t>
        </is>
      </c>
      <c r="B490" t="inlineStr">
        <is>
          <t>2022-07-10</t>
        </is>
      </c>
      <c r="C490" t="inlineStr">
        <is>
          <t>12:08</t>
        </is>
      </c>
      <c r="D490" t="inlineStr">
        <is>
          <t>n° 7 + n° 8</t>
        </is>
      </c>
      <c r="E490" t="inlineStr">
        <is>
          <t>Pichet 50cl vin</t>
        </is>
      </c>
      <c r="F490" t="n">
        <v>9.800000000000001</v>
      </c>
      <c r="G490" t="inlineStr">
        <is>
          <t>n° 7 : 0,50 + n° 8 : 0,50</t>
        </is>
      </c>
      <c r="H490" t="n">
        <v>1</v>
      </c>
    </row>
    <row r="491">
      <c r="A491" t="inlineStr">
        <is>
          <t>2022-2023</t>
        </is>
      </c>
      <c r="B491" t="inlineStr">
        <is>
          <t>2022-07-10</t>
        </is>
      </c>
      <c r="C491" t="inlineStr">
        <is>
          <t>12:08</t>
        </is>
      </c>
      <c r="D491" t="inlineStr">
        <is>
          <t>n° 7 + n° 8</t>
        </is>
      </c>
      <c r="E491" t="inlineStr">
        <is>
          <t>Expresso</t>
        </is>
      </c>
      <c r="F491" t="n">
        <v>2.2</v>
      </c>
      <c r="G491" t="inlineStr">
        <is>
          <t>n° 7 : 0,50 + n° 8 : 0,50</t>
        </is>
      </c>
      <c r="H491" t="n">
        <v>1</v>
      </c>
    </row>
    <row r="492">
      <c r="A492" t="inlineStr">
        <is>
          <t>2022-2023</t>
        </is>
      </c>
      <c r="B492" t="inlineStr">
        <is>
          <t>2022-07-10</t>
        </is>
      </c>
      <c r="C492" t="inlineStr">
        <is>
          <t>12:08</t>
        </is>
      </c>
      <c r="D492" t="inlineStr">
        <is>
          <t>n° 7 + n° 8</t>
        </is>
      </c>
      <c r="E492" t="inlineStr">
        <is>
          <t>GLACE 1 BOULE</t>
        </is>
      </c>
      <c r="F492" t="n">
        <v>2</v>
      </c>
      <c r="G492" t="inlineStr">
        <is>
          <t>n° 7 : 0,50 + n° 8 : 0,50</t>
        </is>
      </c>
      <c r="H492" t="n">
        <v>1</v>
      </c>
    </row>
    <row r="493">
      <c r="A493" t="inlineStr">
        <is>
          <t>2022-2023</t>
        </is>
      </c>
      <c r="B493" t="inlineStr">
        <is>
          <t>2022-07-10</t>
        </is>
      </c>
      <c r="C493" t="inlineStr">
        <is>
          <t>13:05</t>
        </is>
      </c>
      <c r="D493" t="inlineStr">
        <is>
          <t>n° 14 + n° 15</t>
        </is>
      </c>
      <c r="E493" t="inlineStr">
        <is>
          <t>PICHET C.DE BEAUNE R</t>
        </is>
      </c>
      <c r="F493" t="n">
        <v>30</v>
      </c>
      <c r="G493" t="inlineStr">
        <is>
          <t>n° 14 : 0,50 + n° 15 : 0,50</t>
        </is>
      </c>
      <c r="H493" t="n">
        <v>1</v>
      </c>
    </row>
    <row r="494">
      <c r="A494" t="inlineStr">
        <is>
          <t>2022-2023</t>
        </is>
      </c>
      <c r="B494" t="inlineStr">
        <is>
          <t>2022-07-10</t>
        </is>
      </c>
      <c r="C494" t="inlineStr">
        <is>
          <t>13:05</t>
        </is>
      </c>
      <c r="D494" t="inlineStr">
        <is>
          <t>n° 14 + n° 15</t>
        </is>
      </c>
      <c r="E494" t="inlineStr">
        <is>
          <t>BURGER COMTOIS</t>
        </is>
      </c>
      <c r="F494" t="n">
        <v>19</v>
      </c>
      <c r="G494" t="inlineStr">
        <is>
          <t>n° 14 : 0,50 + n° 15 : 0,50</t>
        </is>
      </c>
      <c r="H494" t="n">
        <v>1</v>
      </c>
    </row>
    <row r="495">
      <c r="A495" t="inlineStr">
        <is>
          <t>2022-2023</t>
        </is>
      </c>
      <c r="B495" t="inlineStr">
        <is>
          <t>2022-07-10</t>
        </is>
      </c>
      <c r="C495" t="inlineStr">
        <is>
          <t>13:05</t>
        </is>
      </c>
      <c r="D495" t="inlineStr">
        <is>
          <t>n° 14 + n° 15</t>
        </is>
      </c>
      <c r="E495" t="inlineStr">
        <is>
          <t>Crémeux du Jura</t>
        </is>
      </c>
      <c r="F495" t="n">
        <v>19</v>
      </c>
      <c r="G495" t="inlineStr">
        <is>
          <t>n° 14 : 0,50 + n° 15 : 0,50</t>
        </is>
      </c>
      <c r="H495" t="n">
        <v>1</v>
      </c>
    </row>
    <row r="496">
      <c r="A496" t="inlineStr">
        <is>
          <t>2022-2023</t>
        </is>
      </c>
      <c r="B496" t="inlineStr">
        <is>
          <t>2022-07-12</t>
        </is>
      </c>
      <c r="C496" t="inlineStr">
        <is>
          <t>12:25</t>
        </is>
      </c>
      <c r="D496" t="inlineStr">
        <is>
          <t>n° 13 + n° 14</t>
        </is>
      </c>
      <c r="E496" t="inlineStr">
        <is>
          <t>Salade Régionale</t>
        </is>
      </c>
      <c r="F496" t="n">
        <v>19.9</v>
      </c>
      <c r="G496" t="inlineStr">
        <is>
          <t>n° 13 : 0,50 + n° 14 : 0,50</t>
        </is>
      </c>
      <c r="H496" t="n">
        <v>1</v>
      </c>
    </row>
    <row r="497">
      <c r="A497" t="inlineStr">
        <is>
          <t>2022-2023</t>
        </is>
      </c>
      <c r="B497" t="inlineStr">
        <is>
          <t>2022-07-12</t>
        </is>
      </c>
      <c r="C497" t="inlineStr">
        <is>
          <t>12:25</t>
        </is>
      </c>
      <c r="D497" t="inlineStr">
        <is>
          <t>n° 13 + n° 14</t>
        </is>
      </c>
      <c r="E497" t="inlineStr">
        <is>
          <t>TRUITE PESTO</t>
        </is>
      </c>
      <c r="F497" t="n">
        <v>15.9</v>
      </c>
      <c r="G497" t="inlineStr">
        <is>
          <t>n° 13 : 0,50 + n° 14 : 0,50</t>
        </is>
      </c>
      <c r="H497" t="n">
        <v>1</v>
      </c>
    </row>
    <row r="498">
      <c r="A498" t="inlineStr">
        <is>
          <t>2022-2023</t>
        </is>
      </c>
      <c r="B498" t="inlineStr">
        <is>
          <t>2022-07-12</t>
        </is>
      </c>
      <c r="C498" t="inlineStr">
        <is>
          <t>19:12</t>
        </is>
      </c>
      <c r="D498" t="inlineStr">
        <is>
          <t>n° 24 + n° 25</t>
        </is>
      </c>
      <c r="E498" t="inlineStr">
        <is>
          <t>TRUITE JURASSIENNE</t>
        </is>
      </c>
      <c r="F498" t="n">
        <v>17.6</v>
      </c>
      <c r="G498" t="inlineStr">
        <is>
          <t>n° 24 : 0,50 + n° 25 : 0,50</t>
        </is>
      </c>
      <c r="H498" t="n">
        <v>1</v>
      </c>
    </row>
    <row r="499">
      <c r="A499" t="inlineStr">
        <is>
          <t>2022-2023</t>
        </is>
      </c>
      <c r="B499" t="inlineStr">
        <is>
          <t>2022-07-12</t>
        </is>
      </c>
      <c r="C499" t="inlineStr">
        <is>
          <t>19:12</t>
        </is>
      </c>
      <c r="D499" t="inlineStr">
        <is>
          <t>n° 24 + n° 25</t>
        </is>
      </c>
      <c r="E499" t="inlineStr">
        <is>
          <t>POULET JURASSIENNE</t>
        </is>
      </c>
      <c r="F499" t="n">
        <v>17.6</v>
      </c>
      <c r="G499" t="inlineStr">
        <is>
          <t>n° 24 : 0,50 + n° 25 : 0,50</t>
        </is>
      </c>
      <c r="H499" t="n">
        <v>1</v>
      </c>
    </row>
    <row r="500">
      <c r="A500" t="inlineStr">
        <is>
          <t>2022-2023</t>
        </is>
      </c>
      <c r="B500" t="inlineStr">
        <is>
          <t>2022-07-13</t>
        </is>
      </c>
      <c r="C500" t="inlineStr">
        <is>
          <t>11:54</t>
        </is>
      </c>
      <c r="D500" t="inlineStr">
        <is>
          <t>n° 6 + n° 7</t>
        </is>
      </c>
      <c r="E500" t="inlineStr">
        <is>
          <t>POULET JURASSIENNE</t>
        </is>
      </c>
      <c r="F500" t="n">
        <v>17.6</v>
      </c>
      <c r="G500" t="inlineStr">
        <is>
          <t>n° 6 : 0,50 + n° 7 : 0,50</t>
        </is>
      </c>
      <c r="H500" t="n">
        <v>1</v>
      </c>
    </row>
    <row r="501">
      <c r="A501" t="inlineStr">
        <is>
          <t>2022-2023</t>
        </is>
      </c>
      <c r="B501" t="inlineStr">
        <is>
          <t>2022-07-13</t>
        </is>
      </c>
      <c r="C501" t="inlineStr">
        <is>
          <t>11:54</t>
        </is>
      </c>
      <c r="D501" t="inlineStr">
        <is>
          <t>n° 6 + n° 7</t>
        </is>
      </c>
      <c r="E501" t="inlineStr">
        <is>
          <t>ASSIETTE FRANC-COMTO</t>
        </is>
      </c>
      <c r="F501" t="n">
        <v>17.6</v>
      </c>
      <c r="G501" t="inlineStr">
        <is>
          <t>n° 6 : 0,50 + n° 7 : 0,50</t>
        </is>
      </c>
      <c r="H501" t="n">
        <v>1</v>
      </c>
    </row>
    <row r="502">
      <c r="A502" t="inlineStr">
        <is>
          <t>2022-2023</t>
        </is>
      </c>
      <c r="B502" t="inlineStr">
        <is>
          <t>2022-07-13</t>
        </is>
      </c>
      <c r="C502" t="inlineStr">
        <is>
          <t>12:27</t>
        </is>
      </c>
      <c r="D502" t="inlineStr">
        <is>
          <t>n° 12 + n° 13 + n° 16 + n° 17 + n° 18 + n° 19 + n° 20</t>
        </is>
      </c>
      <c r="E502" t="inlineStr">
        <is>
          <t>Poulet aux Morilles</t>
        </is>
      </c>
      <c r="F502" t="n">
        <v>28.6</v>
      </c>
      <c r="G502" t="inlineStr">
        <is>
          <t>n° 18 : 0,33 + n° 19 : 0,34 + n° 20 : 0,33</t>
        </is>
      </c>
      <c r="H502" t="n">
        <v>1</v>
      </c>
    </row>
    <row r="503">
      <c r="A503" t="inlineStr">
        <is>
          <t>2022-2023</t>
        </is>
      </c>
      <c r="B503" t="inlineStr">
        <is>
          <t>2022-07-13</t>
        </is>
      </c>
      <c r="C503" t="inlineStr">
        <is>
          <t>12:27</t>
        </is>
      </c>
      <c r="D503" t="inlineStr">
        <is>
          <t>n° 12 + n° 13 + n° 16 + n° 17 + n° 18 + n° 19 + n° 20</t>
        </is>
      </c>
      <c r="E503" t="inlineStr">
        <is>
          <t>Salade Végétarienne</t>
        </is>
      </c>
      <c r="F503" t="n">
        <v>19.9</v>
      </c>
      <c r="G503" t="inlineStr">
        <is>
          <t>n° 16 : 0,50 + n° 17 : 0,50</t>
        </is>
      </c>
      <c r="H503" t="n">
        <v>1</v>
      </c>
    </row>
    <row r="504">
      <c r="A504" t="inlineStr">
        <is>
          <t>2022-2023</t>
        </is>
      </c>
      <c r="B504" t="inlineStr">
        <is>
          <t>2022-07-13</t>
        </is>
      </c>
      <c r="C504" t="inlineStr">
        <is>
          <t>12:27</t>
        </is>
      </c>
      <c r="D504" t="inlineStr">
        <is>
          <t>n° 12 + n° 13 + n° 16 + n° 17 + n° 18 + n° 19 + n° 20</t>
        </is>
      </c>
      <c r="E504" t="inlineStr">
        <is>
          <t>BURGER COMTOIS</t>
        </is>
      </c>
      <c r="F504" t="n">
        <v>19</v>
      </c>
      <c r="G504" t="inlineStr">
        <is>
          <t>n° 16 : 0,50 + n° 17 : 0,50</t>
        </is>
      </c>
      <c r="H504" t="n">
        <v>1</v>
      </c>
    </row>
    <row r="505">
      <c r="A505" t="inlineStr">
        <is>
          <t>2022-2023</t>
        </is>
      </c>
      <c r="B505" t="inlineStr">
        <is>
          <t>2022-07-13</t>
        </is>
      </c>
      <c r="C505" t="inlineStr">
        <is>
          <t>12:27</t>
        </is>
      </c>
      <c r="D505" t="inlineStr">
        <is>
          <t>n° 12 + n° 13 + n° 16 + n° 17 + n° 18 + n° 19 + n° 20</t>
        </is>
      </c>
      <c r="E505" t="inlineStr">
        <is>
          <t>MORTEAU GRILLEE</t>
        </is>
      </c>
      <c r="F505" t="n">
        <v>17.6</v>
      </c>
      <c r="G505" t="inlineStr">
        <is>
          <t>n° 12 : 0,33 + n° 13 : 0,67</t>
        </is>
      </c>
      <c r="H505" t="n">
        <v>1</v>
      </c>
    </row>
    <row r="506">
      <c r="A506" t="inlineStr">
        <is>
          <t>2022-2023</t>
        </is>
      </c>
      <c r="B506" t="inlineStr">
        <is>
          <t>2022-07-13</t>
        </is>
      </c>
      <c r="C506" t="inlineStr">
        <is>
          <t>12:27</t>
        </is>
      </c>
      <c r="D506" t="inlineStr">
        <is>
          <t>n° 12 + n° 13 + n° 16 + n° 17 + n° 18 + n° 19 + n° 20</t>
        </is>
      </c>
      <c r="E506" t="inlineStr">
        <is>
          <t>CAMEMBERT ROTI</t>
        </is>
      </c>
      <c r="F506" t="n">
        <v>17.6</v>
      </c>
      <c r="G506" t="inlineStr">
        <is>
          <t>n° 18 : 0,67 + n° 19 : 0,67 + n° 20 : 0,66</t>
        </is>
      </c>
      <c r="H506" t="n">
        <v>2</v>
      </c>
    </row>
    <row r="507">
      <c r="A507" t="inlineStr">
        <is>
          <t>2022-2023</t>
        </is>
      </c>
      <c r="B507" t="inlineStr">
        <is>
          <t>2022-07-13</t>
        </is>
      </c>
      <c r="C507" t="inlineStr">
        <is>
          <t>12:27</t>
        </is>
      </c>
      <c r="D507" t="inlineStr">
        <is>
          <t>n° 12 + n° 13 + n° 16 + n° 17 + n° 18 + n° 19 + n° 20</t>
        </is>
      </c>
      <c r="E507" t="inlineStr">
        <is>
          <t>TRUITE PESTO</t>
        </is>
      </c>
      <c r="F507" t="n">
        <v>15.9</v>
      </c>
      <c r="G507" t="inlineStr">
        <is>
          <t>n° 12 : 0,67 + n° 13 : 1,33</t>
        </is>
      </c>
      <c r="H507" t="n">
        <v>2</v>
      </c>
    </row>
    <row r="508">
      <c r="A508" t="inlineStr">
        <is>
          <t>2022-2023</t>
        </is>
      </c>
      <c r="B508" t="inlineStr">
        <is>
          <t>2022-07-13</t>
        </is>
      </c>
      <c r="C508" t="inlineStr">
        <is>
          <t>12:27</t>
        </is>
      </c>
      <c r="D508" t="inlineStr">
        <is>
          <t>n° 12 + n° 13 + n° 16 + n° 17 + n° 18 + n° 19 + n° 20</t>
        </is>
      </c>
      <c r="E508" t="inlineStr">
        <is>
          <t>Pavlova</t>
        </is>
      </c>
      <c r="F508" t="n">
        <v>8.699999999999999</v>
      </c>
      <c r="G508" t="inlineStr">
        <is>
          <t>n° 12 : 0,33 + n° 13 : 0,67</t>
        </is>
      </c>
      <c r="H508" t="n">
        <v>1</v>
      </c>
    </row>
    <row r="509">
      <c r="A509" t="inlineStr">
        <is>
          <t>2022-2023</t>
        </is>
      </c>
      <c r="B509" t="inlineStr">
        <is>
          <t>2022-07-13</t>
        </is>
      </c>
      <c r="C509" t="inlineStr">
        <is>
          <t>12:27</t>
        </is>
      </c>
      <c r="D509" t="inlineStr">
        <is>
          <t>n° 12 + n° 13 + n° 16 + n° 17 + n° 18 + n° 19 + n° 20</t>
        </is>
      </c>
      <c r="E509" t="inlineStr">
        <is>
          <t>VALENTINE</t>
        </is>
      </c>
      <c r="F509" t="n">
        <v>8.1</v>
      </c>
      <c r="G509" t="inlineStr">
        <is>
          <t>n° 12 : 0,33 + n° 13 : 0,67</t>
        </is>
      </c>
      <c r="H509" t="n">
        <v>1</v>
      </c>
    </row>
    <row r="510">
      <c r="A510" t="inlineStr">
        <is>
          <t>2022-2023</t>
        </is>
      </c>
      <c r="B510" t="inlineStr">
        <is>
          <t>2022-07-13</t>
        </is>
      </c>
      <c r="C510" t="inlineStr">
        <is>
          <t>12:27</t>
        </is>
      </c>
      <c r="D510" t="inlineStr">
        <is>
          <t>n° 12 + n° 13 + n° 16 + n° 17 + n° 18 + n° 19 + n° 20</t>
        </is>
      </c>
      <c r="E510" t="inlineStr">
        <is>
          <t>Mambo</t>
        </is>
      </c>
      <c r="F510" t="n">
        <v>6.5</v>
      </c>
      <c r="G510" t="inlineStr">
        <is>
          <t>n° 12 : 0,67 + n° 13 : 1,33</t>
        </is>
      </c>
      <c r="H510" t="n">
        <v>2</v>
      </c>
    </row>
    <row r="511">
      <c r="A511" t="inlineStr">
        <is>
          <t>2022-2023</t>
        </is>
      </c>
      <c r="B511" t="inlineStr">
        <is>
          <t>2022-07-13</t>
        </is>
      </c>
      <c r="C511" t="inlineStr">
        <is>
          <t>12:27</t>
        </is>
      </c>
      <c r="D511" t="inlineStr">
        <is>
          <t>n° 12 + n° 13 + n° 16 + n° 17 + n° 18 + n° 19 + n° 20</t>
        </is>
      </c>
      <c r="E511" t="inlineStr">
        <is>
          <t>Luna</t>
        </is>
      </c>
      <c r="F511" t="n">
        <v>6</v>
      </c>
      <c r="G511" t="inlineStr">
        <is>
          <t>n° 12 : 0,33 + n° 13 : 0,67</t>
        </is>
      </c>
      <c r="H511" t="n">
        <v>1</v>
      </c>
    </row>
    <row r="512">
      <c r="A512" t="inlineStr">
        <is>
          <t>2022-2023</t>
        </is>
      </c>
      <c r="B512" t="inlineStr">
        <is>
          <t>2022-07-13</t>
        </is>
      </c>
      <c r="C512" t="inlineStr">
        <is>
          <t>12:27</t>
        </is>
      </c>
      <c r="D512" t="inlineStr">
        <is>
          <t>n° 12 + n° 13 + n° 16 + n° 17 + n° 18 + n° 19 + n° 20</t>
        </is>
      </c>
      <c r="E512" t="inlineStr">
        <is>
          <t>Blanche des plateaux</t>
        </is>
      </c>
      <c r="F512" t="n">
        <v>5.9</v>
      </c>
      <c r="G512" t="inlineStr">
        <is>
          <t>n° 16 : 0,50 + n° 17 : 0,50</t>
        </is>
      </c>
      <c r="H512" t="n">
        <v>1</v>
      </c>
    </row>
    <row r="513">
      <c r="A513" t="inlineStr">
        <is>
          <t>2022-2023</t>
        </is>
      </c>
      <c r="B513" t="inlineStr">
        <is>
          <t>2022-07-13</t>
        </is>
      </c>
      <c r="C513" t="inlineStr">
        <is>
          <t>12:27</t>
        </is>
      </c>
      <c r="D513" t="inlineStr">
        <is>
          <t>n° 12 + n° 13 + n° 16 + n° 17 + n° 18 + n° 19 + n° 20</t>
        </is>
      </c>
      <c r="E513" t="inlineStr">
        <is>
          <t>PASSION</t>
        </is>
      </c>
      <c r="F513" t="n">
        <v>5.8</v>
      </c>
      <c r="G513" t="inlineStr">
        <is>
          <t>n° 12 : 0,33 + n° 13 : 0,67</t>
        </is>
      </c>
      <c r="H513" t="n">
        <v>1</v>
      </c>
    </row>
    <row r="514">
      <c r="A514" t="inlineStr">
        <is>
          <t>2022-2023</t>
        </is>
      </c>
      <c r="B514" t="inlineStr">
        <is>
          <t>2022-07-13</t>
        </is>
      </c>
      <c r="C514" t="inlineStr">
        <is>
          <t>12:27</t>
        </is>
      </c>
      <c r="D514" t="inlineStr">
        <is>
          <t>n° 12 + n° 13 + n° 16 + n° 17 + n° 18 + n° 19 + n° 20</t>
        </is>
      </c>
      <c r="E514" t="inlineStr">
        <is>
          <t>Panaché</t>
        </is>
      </c>
      <c r="F514" t="n">
        <v>3.9</v>
      </c>
      <c r="G514" t="inlineStr">
        <is>
          <t>n° 16 : 0,50 + n° 17 : 0,50</t>
        </is>
      </c>
      <c r="H514" t="n">
        <v>1</v>
      </c>
    </row>
    <row r="515">
      <c r="A515" t="inlineStr">
        <is>
          <t>2022-2023</t>
        </is>
      </c>
      <c r="B515" t="inlineStr">
        <is>
          <t>2022-07-13</t>
        </is>
      </c>
      <c r="C515" t="inlineStr">
        <is>
          <t>12:27</t>
        </is>
      </c>
      <c r="D515" t="inlineStr">
        <is>
          <t>n° 12 + n° 13 + n° 16 + n° 17 + n° 18 + n° 19 + n° 20</t>
        </is>
      </c>
      <c r="E515" t="inlineStr">
        <is>
          <t>Thé</t>
        </is>
      </c>
      <c r="F515" t="n">
        <v>3.4</v>
      </c>
      <c r="G515" t="inlineStr">
        <is>
          <t>n° 18 : 0,33 + n° 19 : 0,34 + n° 20 : 0,33</t>
        </is>
      </c>
      <c r="H515" t="n">
        <v>1</v>
      </c>
    </row>
    <row r="516">
      <c r="A516" t="inlineStr">
        <is>
          <t>2022-2023</t>
        </is>
      </c>
      <c r="B516" t="inlineStr">
        <is>
          <t>2022-07-13</t>
        </is>
      </c>
      <c r="C516" t="inlineStr">
        <is>
          <t>12:27</t>
        </is>
      </c>
      <c r="D516" t="inlineStr">
        <is>
          <t>n° 12 + n° 13 + n° 16 + n° 17 + n° 18 + n° 19 + n° 20</t>
        </is>
      </c>
      <c r="E516" t="inlineStr">
        <is>
          <t>Expresso</t>
        </is>
      </c>
      <c r="F516" t="n">
        <v>2.2</v>
      </c>
      <c r="G516" t="inlineStr">
        <is>
          <t>n° 16 : 1,00 + n° 17 : 1,00 + n° 18 : 0,33 + n° 19 : 0,34 + n° 20 : 0,33</t>
        </is>
      </c>
      <c r="H516" t="n">
        <v>3</v>
      </c>
    </row>
    <row r="517">
      <c r="A517" t="inlineStr">
        <is>
          <t>2022-2023</t>
        </is>
      </c>
      <c r="B517" t="inlineStr">
        <is>
          <t>2022-07-13</t>
        </is>
      </c>
      <c r="C517" t="inlineStr">
        <is>
          <t>21:10</t>
        </is>
      </c>
      <c r="D517" t="inlineStr">
        <is>
          <t>n° 41 + n° 42</t>
        </is>
      </c>
      <c r="E517" t="inlineStr">
        <is>
          <t>LIGOUSE</t>
        </is>
      </c>
      <c r="F517" t="n">
        <v>15.6</v>
      </c>
      <c r="G517" t="inlineStr">
        <is>
          <t>n° 41 : 0,50 + n° 42 : 0,50</t>
        </is>
      </c>
      <c r="H517" t="n">
        <v>1</v>
      </c>
    </row>
    <row r="518">
      <c r="A518" t="inlineStr">
        <is>
          <t>2022-2023</t>
        </is>
      </c>
      <c r="B518" t="inlineStr">
        <is>
          <t>2022-07-13</t>
        </is>
      </c>
      <c r="C518" t="inlineStr">
        <is>
          <t>21:10</t>
        </is>
      </c>
      <c r="D518" t="inlineStr">
        <is>
          <t>n° 41 + n° 42</t>
        </is>
      </c>
      <c r="E518" t="inlineStr">
        <is>
          <t>ECRESSI</t>
        </is>
      </c>
      <c r="F518" t="n">
        <v>14.5</v>
      </c>
      <c r="G518" t="inlineStr">
        <is>
          <t>n° 41 : 0,50 + n° 42 : 0,50</t>
        </is>
      </c>
      <c r="H518" t="n">
        <v>1</v>
      </c>
    </row>
    <row r="519">
      <c r="A519" t="inlineStr">
        <is>
          <t>2022-2023</t>
        </is>
      </c>
      <c r="B519" t="inlineStr">
        <is>
          <t>2022-07-13</t>
        </is>
      </c>
      <c r="C519" t="inlineStr">
        <is>
          <t>21:10</t>
        </is>
      </c>
      <c r="D519" t="inlineStr">
        <is>
          <t>n° 41 + n° 42</t>
        </is>
      </c>
      <c r="E519" t="inlineStr">
        <is>
          <t>Cidre Bouché Doux</t>
        </is>
      </c>
      <c r="F519" t="n">
        <v>14</v>
      </c>
      <c r="G519" t="inlineStr">
        <is>
          <t>n° 41 : 0,50 + n° 42 : 0,50</t>
        </is>
      </c>
      <c r="H519" t="n">
        <v>1</v>
      </c>
    </row>
    <row r="520">
      <c r="A520" t="inlineStr">
        <is>
          <t>2022-2023</t>
        </is>
      </c>
      <c r="B520" t="inlineStr">
        <is>
          <t>2022-07-13</t>
        </is>
      </c>
      <c r="C520" t="inlineStr">
        <is>
          <t>21:10</t>
        </is>
      </c>
      <c r="D520" t="inlineStr">
        <is>
          <t>n° 41 + n° 42</t>
        </is>
      </c>
      <c r="E520" t="inlineStr">
        <is>
          <t>Crêpe nature</t>
        </is>
      </c>
      <c r="F520" t="n">
        <v>2.9</v>
      </c>
      <c r="G520" t="inlineStr">
        <is>
          <t>n° 41 : 0,50 + n° 42 : 0,50</t>
        </is>
      </c>
      <c r="H520" t="n">
        <v>1</v>
      </c>
    </row>
    <row r="521">
      <c r="A521" t="inlineStr">
        <is>
          <t>2022-2023</t>
        </is>
      </c>
      <c r="B521" t="inlineStr">
        <is>
          <t>2022-07-13</t>
        </is>
      </c>
      <c r="C521" t="inlineStr">
        <is>
          <t>21:10</t>
        </is>
      </c>
      <c r="D521" t="inlineStr">
        <is>
          <t>n° 41 + n° 42</t>
        </is>
      </c>
      <c r="E521" t="inlineStr">
        <is>
          <t>Crêpe Cassonade</t>
        </is>
      </c>
      <c r="F521" t="n">
        <v>2.9</v>
      </c>
      <c r="G521" t="inlineStr">
        <is>
          <t>n° 41 : 0,50 + n° 42 : 0,50</t>
        </is>
      </c>
      <c r="H521" t="n">
        <v>1</v>
      </c>
    </row>
    <row r="522">
      <c r="A522" t="inlineStr">
        <is>
          <t>2022-2023</t>
        </is>
      </c>
      <c r="B522" t="inlineStr">
        <is>
          <t>2022-07-13</t>
        </is>
      </c>
      <c r="C522" t="inlineStr">
        <is>
          <t>21:10</t>
        </is>
      </c>
      <c r="D522" t="inlineStr">
        <is>
          <t>n° 41 + n° 42</t>
        </is>
      </c>
      <c r="E522" t="inlineStr">
        <is>
          <t>Miel</t>
        </is>
      </c>
      <c r="F522" t="n">
        <v>1.8</v>
      </c>
      <c r="G522" t="inlineStr">
        <is>
          <t>n° 41 : 0,50 + n° 42 : 0,50</t>
        </is>
      </c>
      <c r="H522" t="n">
        <v>1</v>
      </c>
    </row>
    <row r="523">
      <c r="A523" t="inlineStr">
        <is>
          <t>2022-2023</t>
        </is>
      </c>
      <c r="B523" t="inlineStr">
        <is>
          <t>2022-07-13</t>
        </is>
      </c>
      <c r="C523" t="inlineStr">
        <is>
          <t>21:10</t>
        </is>
      </c>
      <c r="D523" t="inlineStr">
        <is>
          <t>n° 41 + n° 42</t>
        </is>
      </c>
      <c r="E523" t="inlineStr">
        <is>
          <t>Confiture</t>
        </is>
      </c>
      <c r="F523" t="n">
        <v>1.7</v>
      </c>
      <c r="G523" t="inlineStr">
        <is>
          <t>n° 41 : 0,50 + n° 42 : 0,50</t>
        </is>
      </c>
      <c r="H523" t="n">
        <v>1</v>
      </c>
    </row>
    <row r="524">
      <c r="A524" t="inlineStr">
        <is>
          <t>2022-2023</t>
        </is>
      </c>
      <c r="B524" t="inlineStr">
        <is>
          <t>2022-07-13</t>
        </is>
      </c>
      <c r="C524" t="inlineStr">
        <is>
          <t>21:10</t>
        </is>
      </c>
      <c r="D524" t="inlineStr">
        <is>
          <t>n° 41 + n° 42</t>
        </is>
      </c>
      <c r="E524" t="inlineStr">
        <is>
          <t>Jus de citron</t>
        </is>
      </c>
      <c r="F524" t="n">
        <v>1.2</v>
      </c>
      <c r="G524" t="inlineStr">
        <is>
          <t>n° 41 : 0,50 + n° 42 : 0,50</t>
        </is>
      </c>
      <c r="H524" t="n">
        <v>1</v>
      </c>
    </row>
    <row r="525">
      <c r="A525" t="inlineStr">
        <is>
          <t>2022-2023</t>
        </is>
      </c>
      <c r="B525" t="inlineStr">
        <is>
          <t>2022-07-15</t>
        </is>
      </c>
      <c r="C525" t="inlineStr">
        <is>
          <t>12:30</t>
        </is>
      </c>
      <c r="D525" t="inlineStr">
        <is>
          <t>n° 11 + n° 12 + n° 13</t>
        </is>
      </c>
      <c r="E525" t="inlineStr">
        <is>
          <t>Entrecôte grillée</t>
        </is>
      </c>
      <c r="F525" t="n">
        <v>19.9</v>
      </c>
      <c r="G525" t="inlineStr">
        <is>
          <t>n° 11 : 0,33 + n° 12 : 0,34 + n° 13 : 0,33</t>
        </is>
      </c>
      <c r="H525" t="n">
        <v>1</v>
      </c>
    </row>
    <row r="526">
      <c r="A526" t="inlineStr">
        <is>
          <t>2022-2023</t>
        </is>
      </c>
      <c r="B526" t="inlineStr">
        <is>
          <t>2022-07-15</t>
        </is>
      </c>
      <c r="C526" t="inlineStr">
        <is>
          <t>12:30</t>
        </is>
      </c>
      <c r="D526" t="inlineStr">
        <is>
          <t>n° 11 + n° 12 + n° 13</t>
        </is>
      </c>
      <c r="E526" t="inlineStr">
        <is>
          <t>PAYSANNE</t>
        </is>
      </c>
      <c r="F526" t="n">
        <v>19.9</v>
      </c>
      <c r="G526" t="inlineStr">
        <is>
          <t>n° 11 : 0,33 + n° 12 : 0,34 + n° 13 : 0,33</t>
        </is>
      </c>
      <c r="H526" t="n">
        <v>1</v>
      </c>
    </row>
    <row r="527">
      <c r="A527" t="inlineStr">
        <is>
          <t>2022-2023</t>
        </is>
      </c>
      <c r="B527" t="inlineStr">
        <is>
          <t>2022-07-15</t>
        </is>
      </c>
      <c r="C527" t="inlineStr">
        <is>
          <t>12:30</t>
        </is>
      </c>
      <c r="D527" t="inlineStr">
        <is>
          <t>n° 11 + n° 12 + n° 13</t>
        </is>
      </c>
      <c r="E527" t="inlineStr">
        <is>
          <t>POULET JURASSIENNE</t>
        </is>
      </c>
      <c r="F527" t="n">
        <v>17.6</v>
      </c>
      <c r="G527" t="inlineStr">
        <is>
          <t>n° 11 : 0,33 + n° 12 : 0,34 + n° 13 : 0,33</t>
        </is>
      </c>
      <c r="H527" t="n">
        <v>1</v>
      </c>
    </row>
    <row r="528">
      <c r="A528" t="inlineStr">
        <is>
          <t>2022-2023</t>
        </is>
      </c>
      <c r="B528" t="inlineStr">
        <is>
          <t>2022-07-16</t>
        </is>
      </c>
      <c r="C528" t="inlineStr">
        <is>
          <t>11:45</t>
        </is>
      </c>
      <c r="D528" t="inlineStr">
        <is>
          <t>n° 6 + n° 7</t>
        </is>
      </c>
      <c r="E528" t="inlineStr">
        <is>
          <t>Crémeux du Jura</t>
        </is>
      </c>
      <c r="F528" t="n">
        <v>19</v>
      </c>
      <c r="G528" t="inlineStr">
        <is>
          <t>n° 6 : 0,50 + n° 7 : 0,50</t>
        </is>
      </c>
      <c r="H528" t="n">
        <v>1</v>
      </c>
    </row>
    <row r="529">
      <c r="A529" t="inlineStr">
        <is>
          <t>2022-2023</t>
        </is>
      </c>
      <c r="B529" t="inlineStr">
        <is>
          <t>2022-07-16</t>
        </is>
      </c>
      <c r="C529" t="inlineStr">
        <is>
          <t>11:45</t>
        </is>
      </c>
      <c r="D529" t="inlineStr">
        <is>
          <t>n° 6 + n° 7</t>
        </is>
      </c>
      <c r="E529" t="inlineStr">
        <is>
          <t>CAMEMBERT ROTI</t>
        </is>
      </c>
      <c r="F529" t="n">
        <v>17.6</v>
      </c>
      <c r="G529" t="inlineStr">
        <is>
          <t>n° 6 : 0,50 + n° 7 : 0,50</t>
        </is>
      </c>
      <c r="H529" t="n">
        <v>1</v>
      </c>
    </row>
    <row r="530">
      <c r="A530" t="inlineStr">
        <is>
          <t>2022-2023</t>
        </is>
      </c>
      <c r="B530" t="inlineStr">
        <is>
          <t>2022-07-16</t>
        </is>
      </c>
      <c r="C530" t="inlineStr">
        <is>
          <t>11:45</t>
        </is>
      </c>
      <c r="D530" t="inlineStr">
        <is>
          <t>n° 6 + n° 7</t>
        </is>
      </c>
      <c r="E530" t="inlineStr">
        <is>
          <t>TEQUILA SUNRISE</t>
        </is>
      </c>
      <c r="F530" t="n">
        <v>9</v>
      </c>
      <c r="G530" t="inlineStr">
        <is>
          <t>n° 6 : 0,50 + n° 7 : 0,50</t>
        </is>
      </c>
      <c r="H530" t="n">
        <v>1</v>
      </c>
    </row>
    <row r="531">
      <c r="A531" t="inlineStr">
        <is>
          <t>2022-2023</t>
        </is>
      </c>
      <c r="B531" t="inlineStr">
        <is>
          <t>2022-07-16</t>
        </is>
      </c>
      <c r="C531" t="inlineStr">
        <is>
          <t>11:45</t>
        </is>
      </c>
      <c r="D531" t="inlineStr">
        <is>
          <t>n° 6 + n° 7</t>
        </is>
      </c>
      <c r="E531" t="inlineStr">
        <is>
          <t>TANTE ARIE</t>
        </is>
      </c>
      <c r="F531" t="n">
        <v>8.5</v>
      </c>
      <c r="G531" t="inlineStr">
        <is>
          <t>n° 6 : 0,50 + n° 7 : 0,50</t>
        </is>
      </c>
      <c r="H531" t="n">
        <v>1</v>
      </c>
    </row>
    <row r="532">
      <c r="A532" t="inlineStr">
        <is>
          <t>2022-2023</t>
        </is>
      </c>
      <c r="B532" t="inlineStr">
        <is>
          <t>2022-07-16</t>
        </is>
      </c>
      <c r="C532" t="inlineStr">
        <is>
          <t>11:45</t>
        </is>
      </c>
      <c r="D532" t="inlineStr">
        <is>
          <t>n° 6 + n° 7</t>
        </is>
      </c>
      <c r="E532" t="inlineStr">
        <is>
          <t>Crêpe Salidou</t>
        </is>
      </c>
      <c r="F532" t="n">
        <v>5.6</v>
      </c>
      <c r="G532" t="inlineStr">
        <is>
          <t>n° 6 : 0,50 + n° 7 : 0,50</t>
        </is>
      </c>
      <c r="H532" t="n">
        <v>1</v>
      </c>
    </row>
    <row r="533">
      <c r="A533" t="inlineStr">
        <is>
          <t>2022-2023</t>
        </is>
      </c>
      <c r="B533" t="inlineStr">
        <is>
          <t>2022-07-16</t>
        </is>
      </c>
      <c r="C533" t="inlineStr">
        <is>
          <t>11:45</t>
        </is>
      </c>
      <c r="D533" t="inlineStr">
        <is>
          <t>n° 6 + n° 7</t>
        </is>
      </c>
      <c r="E533" t="inlineStr">
        <is>
          <t>Père Gregoire</t>
        </is>
      </c>
      <c r="F533" t="n">
        <v>4.9</v>
      </c>
      <c r="G533" t="inlineStr">
        <is>
          <t>n° 6 : 0,50 + n° 7 : 0,50</t>
        </is>
      </c>
      <c r="H533" t="n">
        <v>1</v>
      </c>
    </row>
    <row r="534">
      <c r="A534" t="inlineStr">
        <is>
          <t>2022-2023</t>
        </is>
      </c>
      <c r="B534" t="inlineStr">
        <is>
          <t>2022-07-16</t>
        </is>
      </c>
      <c r="C534" t="inlineStr">
        <is>
          <t>12:13</t>
        </is>
      </c>
      <c r="D534" t="inlineStr">
        <is>
          <t>n° 12 + n° 13</t>
        </is>
      </c>
      <c r="E534" t="inlineStr">
        <is>
          <t>DAMES VERTES</t>
        </is>
      </c>
      <c r="F534" t="n">
        <v>8.300000000000001</v>
      </c>
      <c r="G534" t="inlineStr">
        <is>
          <t>n° 12 : 0,50 + n° 13 : 0,50</t>
        </is>
      </c>
      <c r="H534" t="n">
        <v>1</v>
      </c>
    </row>
    <row r="535">
      <c r="A535" t="inlineStr">
        <is>
          <t>2022-2023</t>
        </is>
      </c>
      <c r="B535" t="inlineStr">
        <is>
          <t>2022-07-16</t>
        </is>
      </c>
      <c r="C535" t="inlineStr">
        <is>
          <t>12:13</t>
        </is>
      </c>
      <c r="D535" t="inlineStr">
        <is>
          <t>n° 12 + n° 13</t>
        </is>
      </c>
      <c r="E535" t="inlineStr">
        <is>
          <t>FLIRT</t>
        </is>
      </c>
      <c r="F535" t="n">
        <v>8.1</v>
      </c>
      <c r="G535" t="inlineStr">
        <is>
          <t>n° 12 : 0,50 + n° 13 : 0,50</t>
        </is>
      </c>
      <c r="H535" t="n">
        <v>1</v>
      </c>
    </row>
    <row r="536">
      <c r="A536" t="inlineStr">
        <is>
          <t>2022-2023</t>
        </is>
      </c>
      <c r="B536" t="inlineStr">
        <is>
          <t>2022-07-16</t>
        </is>
      </c>
      <c r="C536" t="inlineStr">
        <is>
          <t>12:53</t>
        </is>
      </c>
      <c r="D536" t="inlineStr">
        <is>
          <t>n° 18 + n° 19</t>
        </is>
      </c>
      <c r="E536" t="inlineStr">
        <is>
          <t>CREME BRULEE</t>
        </is>
      </c>
      <c r="F536" t="n">
        <v>6.9</v>
      </c>
      <c r="G536" t="inlineStr">
        <is>
          <t>n° 18 : 0,50 + n° 19 : 0,50</t>
        </is>
      </c>
      <c r="H536" t="n">
        <v>1</v>
      </c>
    </row>
    <row r="537">
      <c r="A537" t="inlineStr">
        <is>
          <t>2022-2023</t>
        </is>
      </c>
      <c r="B537" t="inlineStr">
        <is>
          <t>2022-07-16</t>
        </is>
      </c>
      <c r="C537" t="inlineStr">
        <is>
          <t>12:53</t>
        </is>
      </c>
      <c r="D537" t="inlineStr">
        <is>
          <t>n° 18 + n° 19</t>
        </is>
      </c>
      <c r="E537" t="inlineStr">
        <is>
          <t>Baba au Macvin</t>
        </is>
      </c>
      <c r="F537" t="n">
        <v>6.9</v>
      </c>
      <c r="G537" t="inlineStr">
        <is>
          <t>n° 18 : 0,50 + n° 19 : 0,50</t>
        </is>
      </c>
      <c r="H537" t="n">
        <v>1</v>
      </c>
    </row>
    <row r="538">
      <c r="A538" t="inlineStr">
        <is>
          <t>2022-2023</t>
        </is>
      </c>
      <c r="B538" t="inlineStr">
        <is>
          <t>2022-07-16</t>
        </is>
      </c>
      <c r="C538" t="inlineStr">
        <is>
          <t>12:53</t>
        </is>
      </c>
      <c r="D538" t="inlineStr">
        <is>
          <t>n° 18 + n° 19</t>
        </is>
      </c>
      <c r="E538" t="inlineStr">
        <is>
          <t>pression</t>
        </is>
      </c>
      <c r="F538" t="n">
        <v>3.9</v>
      </c>
      <c r="G538" t="inlineStr">
        <is>
          <t>n° 18 : 0,50 + n° 19 : 0,50</t>
        </is>
      </c>
      <c r="H538" t="n">
        <v>1</v>
      </c>
    </row>
    <row r="539">
      <c r="A539" t="inlineStr">
        <is>
          <t>2022-2023</t>
        </is>
      </c>
      <c r="B539" t="inlineStr">
        <is>
          <t>2022-07-16</t>
        </is>
      </c>
      <c r="C539" t="inlineStr">
        <is>
          <t>12:53</t>
        </is>
      </c>
      <c r="D539" t="inlineStr">
        <is>
          <t>n° 18 + n° 19</t>
        </is>
      </c>
      <c r="E539" t="inlineStr">
        <is>
          <t>Jus de Fruit</t>
        </is>
      </c>
      <c r="F539" t="n">
        <v>3.9</v>
      </c>
      <c r="G539" t="inlineStr">
        <is>
          <t>n° 18 : 0,50 + n° 19 : 0,50</t>
        </is>
      </c>
      <c r="H539" t="n">
        <v>1</v>
      </c>
    </row>
    <row r="540">
      <c r="A540" t="inlineStr">
        <is>
          <t>2022-2023</t>
        </is>
      </c>
      <c r="B540" t="inlineStr">
        <is>
          <t>2022-07-17</t>
        </is>
      </c>
      <c r="C540" t="inlineStr">
        <is>
          <t>11:47</t>
        </is>
      </c>
      <c r="D540" t="inlineStr">
        <is>
          <t>n° 5 + n° 6</t>
        </is>
      </c>
      <c r="E540" t="inlineStr">
        <is>
          <t>Menu Bourguignon</t>
        </is>
      </c>
      <c r="F540" t="n">
        <v>32</v>
      </c>
      <c r="G540" t="inlineStr">
        <is>
          <t>n° 5 : 0,50 + n° 6 : 0,50</t>
        </is>
      </c>
      <c r="H540" t="n">
        <v>1</v>
      </c>
    </row>
    <row r="541">
      <c r="A541" t="inlineStr">
        <is>
          <t>2022-2023</t>
        </is>
      </c>
      <c r="B541" t="inlineStr">
        <is>
          <t>2022-07-17</t>
        </is>
      </c>
      <c r="C541" t="inlineStr">
        <is>
          <t>11:47</t>
        </is>
      </c>
      <c r="D541" t="inlineStr">
        <is>
          <t>n° 5 + n° 6</t>
        </is>
      </c>
      <c r="E541" t="inlineStr">
        <is>
          <t>Menu Végétarien</t>
        </is>
      </c>
      <c r="F541" t="n">
        <v>23</v>
      </c>
      <c r="G541" t="inlineStr">
        <is>
          <t>n° 5 : 0,50 + n° 6 : 0,50</t>
        </is>
      </c>
      <c r="H541" t="n">
        <v>1</v>
      </c>
    </row>
    <row r="542">
      <c r="A542" t="inlineStr">
        <is>
          <t>2022-2023</t>
        </is>
      </c>
      <c r="B542" t="inlineStr">
        <is>
          <t>2022-07-17</t>
        </is>
      </c>
      <c r="C542" t="inlineStr">
        <is>
          <t>11:47</t>
        </is>
      </c>
      <c r="D542" t="inlineStr">
        <is>
          <t>n° 5 + n° 6</t>
        </is>
      </c>
      <c r="E542" t="inlineStr">
        <is>
          <t>Chablis Le Verre</t>
        </is>
      </c>
      <c r="F542" t="n">
        <v>7.9</v>
      </c>
      <c r="G542" t="inlineStr">
        <is>
          <t>n° 5 : 0,50 + n° 6 : 0,50</t>
        </is>
      </c>
      <c r="H542" t="n">
        <v>1</v>
      </c>
    </row>
    <row r="543">
      <c r="A543" t="inlineStr">
        <is>
          <t>2022-2023</t>
        </is>
      </c>
      <c r="B543" t="inlineStr">
        <is>
          <t>2022-07-17</t>
        </is>
      </c>
      <c r="C543" t="inlineStr">
        <is>
          <t>11:47</t>
        </is>
      </c>
      <c r="D543" t="inlineStr">
        <is>
          <t>n° 5 + n° 6</t>
        </is>
      </c>
      <c r="E543" t="inlineStr">
        <is>
          <t>Panaché</t>
        </is>
      </c>
      <c r="F543" t="n">
        <v>3.9</v>
      </c>
      <c r="G543" t="inlineStr">
        <is>
          <t>n° 5 : 0,50 + n° 6 : 0,50</t>
        </is>
      </c>
      <c r="H543" t="n">
        <v>1</v>
      </c>
    </row>
    <row r="544">
      <c r="A544" t="inlineStr">
        <is>
          <t>2022-2023</t>
        </is>
      </c>
      <c r="B544" t="inlineStr">
        <is>
          <t>2022-07-17</t>
        </is>
      </c>
      <c r="C544" t="inlineStr">
        <is>
          <t>12:43</t>
        </is>
      </c>
      <c r="D544" t="inlineStr">
        <is>
          <t>n° 16 + n° 17</t>
        </is>
      </c>
      <c r="E544" t="inlineStr">
        <is>
          <t>ASSIETTE FRANC-COMTO</t>
        </is>
      </c>
      <c r="F544" t="n">
        <v>17.6</v>
      </c>
      <c r="G544" t="inlineStr">
        <is>
          <t>n° 16 : 0,50 + n° 17 : 0,50</t>
        </is>
      </c>
      <c r="H544" t="n">
        <v>1</v>
      </c>
    </row>
    <row r="545">
      <c r="A545" t="inlineStr">
        <is>
          <t>2022-2023</t>
        </is>
      </c>
      <c r="B545" t="inlineStr">
        <is>
          <t>2022-07-17</t>
        </is>
      </c>
      <c r="C545" t="inlineStr">
        <is>
          <t>12:43</t>
        </is>
      </c>
      <c r="D545" t="inlineStr">
        <is>
          <t>n° 16 + n° 17</t>
        </is>
      </c>
      <c r="E545" t="inlineStr">
        <is>
          <t>Croûtes Morilles</t>
        </is>
      </c>
      <c r="F545" t="n">
        <v>16.9</v>
      </c>
      <c r="G545" t="inlineStr">
        <is>
          <t>n° 16 : 0,50 + n° 17 : 0,50</t>
        </is>
      </c>
      <c r="H545" t="n">
        <v>1</v>
      </c>
    </row>
    <row r="546">
      <c r="A546" t="inlineStr">
        <is>
          <t>2022-2023</t>
        </is>
      </c>
      <c r="B546" t="inlineStr">
        <is>
          <t>2022-07-17</t>
        </is>
      </c>
      <c r="C546" t="inlineStr">
        <is>
          <t>12:43</t>
        </is>
      </c>
      <c r="D546" t="inlineStr">
        <is>
          <t>n° 16 + n° 17</t>
        </is>
      </c>
      <c r="E546" t="inlineStr">
        <is>
          <t>Chablis Le Verre</t>
        </is>
      </c>
      <c r="F546" t="n">
        <v>7.9</v>
      </c>
      <c r="G546" t="inlineStr">
        <is>
          <t>n° 16 : 0,50 + n° 17 : 0,50</t>
        </is>
      </c>
      <c r="H546" t="n">
        <v>1</v>
      </c>
    </row>
    <row r="547">
      <c r="A547" t="inlineStr">
        <is>
          <t>2022-2023</t>
        </is>
      </c>
      <c r="B547" t="inlineStr">
        <is>
          <t>2022-07-17</t>
        </is>
      </c>
      <c r="C547" t="inlineStr">
        <is>
          <t>12:43</t>
        </is>
      </c>
      <c r="D547" t="inlineStr">
        <is>
          <t>n° 16 + n° 17</t>
        </is>
      </c>
      <c r="E547" t="inlineStr">
        <is>
          <t>Savagnin verre</t>
        </is>
      </c>
      <c r="F547" t="n">
        <v>7.2</v>
      </c>
      <c r="G547" t="inlineStr">
        <is>
          <t>n° 16 : 0,50 + n° 17 : 0,50</t>
        </is>
      </c>
      <c r="H547" t="n">
        <v>1</v>
      </c>
    </row>
    <row r="548">
      <c r="A548" t="inlineStr">
        <is>
          <t>2022-2023</t>
        </is>
      </c>
      <c r="B548" t="inlineStr">
        <is>
          <t>2022-07-17</t>
        </is>
      </c>
      <c r="C548" t="inlineStr">
        <is>
          <t>12:43</t>
        </is>
      </c>
      <c r="D548" t="inlineStr">
        <is>
          <t>n° 16 + n° 17</t>
        </is>
      </c>
      <c r="E548" t="inlineStr">
        <is>
          <t>Baba au Macvin</t>
        </is>
      </c>
      <c r="F548" t="n">
        <v>6.9</v>
      </c>
      <c r="G548" t="inlineStr">
        <is>
          <t>n° 16 : 0,50 + n° 17 : 0,50</t>
        </is>
      </c>
      <c r="H548" t="n">
        <v>1</v>
      </c>
    </row>
    <row r="549">
      <c r="A549" t="inlineStr">
        <is>
          <t>2022-2023</t>
        </is>
      </c>
      <c r="B549" t="inlineStr">
        <is>
          <t>2022-07-17</t>
        </is>
      </c>
      <c r="C549" t="inlineStr">
        <is>
          <t>12:43</t>
        </is>
      </c>
      <c r="D549" t="inlineStr">
        <is>
          <t>n° 16 + n° 17</t>
        </is>
      </c>
      <c r="E549" t="inlineStr">
        <is>
          <t>San Pelegrino</t>
        </is>
      </c>
      <c r="F549" t="n">
        <v>5.9</v>
      </c>
      <c r="G549" t="inlineStr">
        <is>
          <t>n° 16 : 0,50 + n° 17 : 0,50</t>
        </is>
      </c>
      <c r="H549" t="n">
        <v>1</v>
      </c>
    </row>
    <row r="550">
      <c r="A550" t="inlineStr">
        <is>
          <t>2022-2023</t>
        </is>
      </c>
      <c r="B550" t="inlineStr">
        <is>
          <t>2022-07-17</t>
        </is>
      </c>
      <c r="C550" t="inlineStr">
        <is>
          <t>12:43</t>
        </is>
      </c>
      <c r="D550" t="inlineStr">
        <is>
          <t>n° 16 + n° 17</t>
        </is>
      </c>
      <c r="E550" t="inlineStr">
        <is>
          <t>Salade Verte aux Noi</t>
        </is>
      </c>
      <c r="F550" t="n">
        <v>5.9</v>
      </c>
      <c r="G550" t="inlineStr">
        <is>
          <t>n° 16 : 0,50 + n° 17 : 0,50</t>
        </is>
      </c>
      <c r="H550" t="n">
        <v>1</v>
      </c>
    </row>
    <row r="551">
      <c r="A551" t="inlineStr">
        <is>
          <t>2022-2023</t>
        </is>
      </c>
      <c r="B551" t="inlineStr">
        <is>
          <t>2022-07-17</t>
        </is>
      </c>
      <c r="C551" t="inlineStr">
        <is>
          <t>12:43</t>
        </is>
      </c>
      <c r="D551" t="inlineStr">
        <is>
          <t>n° 16 + n° 17</t>
        </is>
      </c>
      <c r="E551" t="inlineStr">
        <is>
          <t>Macvin du Jura</t>
        </is>
      </c>
      <c r="F551" t="n">
        <v>4.9</v>
      </c>
      <c r="G551" t="inlineStr">
        <is>
          <t>n° 16 : 0,50 + n° 17 : 0,50</t>
        </is>
      </c>
      <c r="H551" t="n">
        <v>1</v>
      </c>
    </row>
    <row r="552">
      <c r="A552" t="inlineStr">
        <is>
          <t>2022-2023</t>
        </is>
      </c>
      <c r="B552" t="inlineStr">
        <is>
          <t>2022-07-17</t>
        </is>
      </c>
      <c r="C552" t="inlineStr">
        <is>
          <t>19:13</t>
        </is>
      </c>
      <c r="D552" t="inlineStr">
        <is>
          <t>n° 28 + n° 29</t>
        </is>
      </c>
      <c r="E552" t="inlineStr">
        <is>
          <t>BURGER COMTOIS</t>
        </is>
      </c>
      <c r="F552" t="n">
        <v>19</v>
      </c>
      <c r="G552" t="inlineStr">
        <is>
          <t>n° 28 : 0,50 + n° 29 : 0,50</t>
        </is>
      </c>
      <c r="H552" t="n">
        <v>1</v>
      </c>
    </row>
    <row r="553">
      <c r="A553" t="inlineStr">
        <is>
          <t>2022-2023</t>
        </is>
      </c>
      <c r="B553" t="inlineStr">
        <is>
          <t>2022-07-17</t>
        </is>
      </c>
      <c r="C553" t="inlineStr">
        <is>
          <t>19:13</t>
        </is>
      </c>
      <c r="D553" t="inlineStr">
        <is>
          <t>n° 28 + n° 29</t>
        </is>
      </c>
      <c r="E553" t="inlineStr">
        <is>
          <t>ASSIETTE FRANC-COMTO</t>
        </is>
      </c>
      <c r="F553" t="n">
        <v>17.6</v>
      </c>
      <c r="G553" t="inlineStr">
        <is>
          <t>n° 28 : 0,50 + n° 29 : 0,50</t>
        </is>
      </c>
      <c r="H553" t="n">
        <v>1</v>
      </c>
    </row>
    <row r="554">
      <c r="A554" t="inlineStr">
        <is>
          <t>2022-2023</t>
        </is>
      </c>
      <c r="B554" t="inlineStr">
        <is>
          <t>2022-07-19</t>
        </is>
      </c>
      <c r="C554" t="inlineStr">
        <is>
          <t>19:52</t>
        </is>
      </c>
      <c r="D554" t="inlineStr">
        <is>
          <t>n° 16 + n° 17</t>
        </is>
      </c>
      <c r="E554" t="inlineStr">
        <is>
          <t>Complète</t>
        </is>
      </c>
      <c r="F554" t="n">
        <v>11.6</v>
      </c>
      <c r="G554" t="inlineStr">
        <is>
          <t>n° 16 : 0,50 + n° 17 : 0,50</t>
        </is>
      </c>
      <c r="H554" t="n">
        <v>1</v>
      </c>
    </row>
    <row r="555">
      <c r="A555" t="inlineStr">
        <is>
          <t>2022-2023</t>
        </is>
      </c>
      <c r="B555" t="inlineStr">
        <is>
          <t>2022-07-19</t>
        </is>
      </c>
      <c r="C555" t="inlineStr">
        <is>
          <t>19:52</t>
        </is>
      </c>
      <c r="D555" t="inlineStr">
        <is>
          <t>n° 16 + n° 17</t>
        </is>
      </c>
      <c r="E555" t="inlineStr">
        <is>
          <t>TANTE ARIE</t>
        </is>
      </c>
      <c r="F555" t="n">
        <v>8.5</v>
      </c>
      <c r="G555" t="inlineStr">
        <is>
          <t>n° 16 : 0,50 + n° 17 : 0,50</t>
        </is>
      </c>
      <c r="H555" t="n">
        <v>1</v>
      </c>
    </row>
    <row r="556">
      <c r="A556" t="inlineStr">
        <is>
          <t>2022-2023</t>
        </is>
      </c>
      <c r="B556" t="inlineStr">
        <is>
          <t>2022-07-19</t>
        </is>
      </c>
      <c r="C556" t="inlineStr">
        <is>
          <t>19:52</t>
        </is>
      </c>
      <c r="D556" t="inlineStr">
        <is>
          <t>n° 16 + n° 17</t>
        </is>
      </c>
      <c r="E556" t="inlineStr">
        <is>
          <t>SAUCE JURASSIENNE</t>
        </is>
      </c>
      <c r="F556" t="n">
        <v>6.1</v>
      </c>
      <c r="G556" t="inlineStr">
        <is>
          <t>n° 16 : 0,50 + n° 17 : 0,50</t>
        </is>
      </c>
      <c r="H556" t="n">
        <v>1</v>
      </c>
    </row>
    <row r="557">
      <c r="A557" t="inlineStr">
        <is>
          <t>2022-2023</t>
        </is>
      </c>
      <c r="B557" t="inlineStr">
        <is>
          <t>2022-07-19</t>
        </is>
      </c>
      <c r="C557" t="inlineStr">
        <is>
          <t>19:52</t>
        </is>
      </c>
      <c r="D557" t="inlineStr">
        <is>
          <t>n° 16 + n° 17</t>
        </is>
      </c>
      <c r="E557" t="inlineStr">
        <is>
          <t>Vin de Paille</t>
        </is>
      </c>
      <c r="F557" t="n">
        <v>6</v>
      </c>
      <c r="G557" t="inlineStr">
        <is>
          <t>n° 16 : 0,50 + n° 17 : 0,50</t>
        </is>
      </c>
      <c r="H557" t="n">
        <v>1</v>
      </c>
    </row>
    <row r="558">
      <c r="A558" t="inlineStr">
        <is>
          <t>2022-2023</t>
        </is>
      </c>
      <c r="B558" t="inlineStr">
        <is>
          <t>2022-07-19</t>
        </is>
      </c>
      <c r="C558" t="inlineStr">
        <is>
          <t>19:52</t>
        </is>
      </c>
      <c r="D558" t="inlineStr">
        <is>
          <t>n° 16 + n° 17</t>
        </is>
      </c>
      <c r="E558" t="inlineStr">
        <is>
          <t>Jambon Sec</t>
        </is>
      </c>
      <c r="F558" t="n">
        <v>5.4</v>
      </c>
      <c r="G558" t="inlineStr">
        <is>
          <t>n° 16 : 0,50 + n° 17 : 0,50</t>
        </is>
      </c>
      <c r="H558" t="n">
        <v>1</v>
      </c>
    </row>
    <row r="559">
      <c r="A559" t="inlineStr">
        <is>
          <t>2022-2023</t>
        </is>
      </c>
      <c r="B559" t="inlineStr">
        <is>
          <t>2022-07-19</t>
        </is>
      </c>
      <c r="C559" t="inlineStr">
        <is>
          <t>19:52</t>
        </is>
      </c>
      <c r="D559" t="inlineStr">
        <is>
          <t>n° 16 + n° 17</t>
        </is>
      </c>
      <c r="E559" t="inlineStr">
        <is>
          <t>Martini Blanc</t>
        </is>
      </c>
      <c r="F559" t="n">
        <v>4.2</v>
      </c>
      <c r="G559" t="inlineStr">
        <is>
          <t>n° 16 : 0,50 + n° 17 : 0,50</t>
        </is>
      </c>
      <c r="H559" t="n">
        <v>1</v>
      </c>
    </row>
    <row r="560">
      <c r="A560" t="inlineStr">
        <is>
          <t>2022-2023</t>
        </is>
      </c>
      <c r="B560" t="inlineStr">
        <is>
          <t>2022-07-19</t>
        </is>
      </c>
      <c r="C560" t="inlineStr">
        <is>
          <t>19:52</t>
        </is>
      </c>
      <c r="D560" t="inlineStr">
        <is>
          <t>n° 16 + n° 17</t>
        </is>
      </c>
      <c r="E560" t="inlineStr">
        <is>
          <t>Coca (25cl)</t>
        </is>
      </c>
      <c r="F560" t="n">
        <v>3.9</v>
      </c>
      <c r="G560" t="inlineStr">
        <is>
          <t>n° 16 : 0,50 + n° 17 : 0,50</t>
        </is>
      </c>
      <c r="H560" t="n">
        <v>1</v>
      </c>
    </row>
    <row r="561">
      <c r="A561" t="inlineStr">
        <is>
          <t>2022-2023</t>
        </is>
      </c>
      <c r="B561" t="inlineStr">
        <is>
          <t>2022-07-19</t>
        </is>
      </c>
      <c r="C561" t="inlineStr">
        <is>
          <t>19:52</t>
        </is>
      </c>
      <c r="D561" t="inlineStr">
        <is>
          <t>n° 16 + n° 17</t>
        </is>
      </c>
      <c r="E561" t="inlineStr">
        <is>
          <t>Limonade (25cl)</t>
        </is>
      </c>
      <c r="F561" t="n">
        <v>3.9</v>
      </c>
      <c r="G561" t="inlineStr">
        <is>
          <t>n° 16 : 0,50 + n° 17 : 0,50</t>
        </is>
      </c>
      <c r="H561" t="n">
        <v>1</v>
      </c>
    </row>
    <row r="562">
      <c r="A562" t="inlineStr">
        <is>
          <t>2022-2023</t>
        </is>
      </c>
      <c r="B562" t="inlineStr">
        <is>
          <t>2022-07-19</t>
        </is>
      </c>
      <c r="C562" t="inlineStr">
        <is>
          <t>19:52</t>
        </is>
      </c>
      <c r="D562" t="inlineStr">
        <is>
          <t>n° 16 + n° 17</t>
        </is>
      </c>
      <c r="E562" t="inlineStr">
        <is>
          <t>Bleu de Gex</t>
        </is>
      </c>
      <c r="F562" t="n">
        <v>3.9</v>
      </c>
      <c r="G562" t="inlineStr">
        <is>
          <t>n° 16 : 0,50 + n° 17 : 0,50</t>
        </is>
      </c>
      <c r="H562" t="n">
        <v>1</v>
      </c>
    </row>
    <row r="563">
      <c r="A563" t="inlineStr">
        <is>
          <t>2022-2023</t>
        </is>
      </c>
      <c r="B563" t="inlineStr">
        <is>
          <t>2022-07-19</t>
        </is>
      </c>
      <c r="C563" t="inlineStr">
        <is>
          <t>19:52</t>
        </is>
      </c>
      <c r="D563" t="inlineStr">
        <is>
          <t>n° 16 + n° 17</t>
        </is>
      </c>
      <c r="E563" t="inlineStr">
        <is>
          <t>GLACE 2 BOULES</t>
        </is>
      </c>
      <c r="F563" t="n">
        <v>3.9</v>
      </c>
      <c r="G563" t="inlineStr">
        <is>
          <t>n° 16 : 0,50 + n° 17 : 0,50</t>
        </is>
      </c>
      <c r="H563" t="n">
        <v>1</v>
      </c>
    </row>
    <row r="564">
      <c r="A564" t="inlineStr">
        <is>
          <t>2022-2023</t>
        </is>
      </c>
      <c r="B564" t="inlineStr">
        <is>
          <t>2022-07-19</t>
        </is>
      </c>
      <c r="C564" t="inlineStr">
        <is>
          <t>19:52</t>
        </is>
      </c>
      <c r="D564" t="inlineStr">
        <is>
          <t>n° 16 + n° 17</t>
        </is>
      </c>
      <c r="E564" t="inlineStr">
        <is>
          <t>Morbier</t>
        </is>
      </c>
      <c r="F564" t="n">
        <v>3.5</v>
      </c>
      <c r="G564" t="inlineStr">
        <is>
          <t>n° 16 : 0,50 + n° 17 : 0,50</t>
        </is>
      </c>
      <c r="H564" t="n">
        <v>1</v>
      </c>
    </row>
    <row r="565">
      <c r="A565" t="inlineStr">
        <is>
          <t>2022-2023</t>
        </is>
      </c>
      <c r="B565" t="inlineStr">
        <is>
          <t>2022-07-19</t>
        </is>
      </c>
      <c r="C565" t="inlineStr">
        <is>
          <t>19:52</t>
        </is>
      </c>
      <c r="D565" t="inlineStr">
        <is>
          <t>n° 16 + n° 17</t>
        </is>
      </c>
      <c r="E565" t="inlineStr">
        <is>
          <t>Galette nature</t>
        </is>
      </c>
      <c r="F565" t="n">
        <v>2.9</v>
      </c>
      <c r="G565" t="inlineStr">
        <is>
          <t>n° 16 : 0,50 + n° 17 : 0,50</t>
        </is>
      </c>
      <c r="H565" t="n">
        <v>1</v>
      </c>
    </row>
    <row r="566">
      <c r="A566" t="inlineStr">
        <is>
          <t>2022-2023</t>
        </is>
      </c>
      <c r="B566" t="inlineStr">
        <is>
          <t>2022-07-19</t>
        </is>
      </c>
      <c r="C566" t="inlineStr">
        <is>
          <t>20:51</t>
        </is>
      </c>
      <c r="D566" t="inlineStr">
        <is>
          <t>n° 22 + n° 23</t>
        </is>
      </c>
      <c r="E566" t="inlineStr">
        <is>
          <t>Arbois Béthanie</t>
        </is>
      </c>
      <c r="F566" t="n">
        <v>29.9</v>
      </c>
      <c r="G566" t="inlineStr">
        <is>
          <t>n° 22 : 0,50 + n° 23 : 0,50</t>
        </is>
      </c>
      <c r="H566" t="n">
        <v>1</v>
      </c>
    </row>
    <row r="567">
      <c r="A567" t="inlineStr">
        <is>
          <t>2022-2023</t>
        </is>
      </c>
      <c r="B567" t="inlineStr">
        <is>
          <t>2022-07-19</t>
        </is>
      </c>
      <c r="C567" t="inlineStr">
        <is>
          <t>20:51</t>
        </is>
      </c>
      <c r="D567" t="inlineStr">
        <is>
          <t>n° 22 + n° 23</t>
        </is>
      </c>
      <c r="E567" t="inlineStr">
        <is>
          <t>Normandine</t>
        </is>
      </c>
      <c r="F567" t="n">
        <v>8.699999999999999</v>
      </c>
      <c r="G567" t="inlineStr">
        <is>
          <t>n° 22 : 0,50 + n° 23 : 0,50</t>
        </is>
      </c>
      <c r="H567" t="n">
        <v>1</v>
      </c>
    </row>
    <row r="568">
      <c r="A568" t="inlineStr">
        <is>
          <t>2022-2023</t>
        </is>
      </c>
      <c r="B568" t="inlineStr">
        <is>
          <t>2022-07-20</t>
        </is>
      </c>
      <c r="C568" t="inlineStr">
        <is>
          <t>18:26</t>
        </is>
      </c>
      <c r="D568" t="inlineStr">
        <is>
          <t>n° 13 + n° 14</t>
        </is>
      </c>
      <c r="E568" t="inlineStr">
        <is>
          <t>Pichet 75cl vin</t>
        </is>
      </c>
      <c r="F568" t="n">
        <v>13.4</v>
      </c>
      <c r="G568" t="inlineStr">
        <is>
          <t>n° 13 : 0,50 + n° 14 : 0,50</t>
        </is>
      </c>
      <c r="H568" t="n">
        <v>1</v>
      </c>
    </row>
    <row r="569">
      <c r="A569" t="inlineStr">
        <is>
          <t>2022-2023</t>
        </is>
      </c>
      <c r="B569" t="inlineStr">
        <is>
          <t>2022-07-21</t>
        </is>
      </c>
      <c r="C569" t="inlineStr">
        <is>
          <t>11:36</t>
        </is>
      </c>
      <c r="D569" t="inlineStr">
        <is>
          <t>n° 4 + n° 5</t>
        </is>
      </c>
      <c r="E569" t="inlineStr">
        <is>
          <t>Pichet Chablis</t>
        </is>
      </c>
      <c r="F569" t="n">
        <v>30</v>
      </c>
      <c r="G569" t="inlineStr">
        <is>
          <t>n° 4 : 0,50 + n° 5 : 0,50</t>
        </is>
      </c>
      <c r="H569" t="n">
        <v>1</v>
      </c>
    </row>
    <row r="570">
      <c r="A570" t="inlineStr">
        <is>
          <t>2022-2023</t>
        </is>
      </c>
      <c r="B570" t="inlineStr">
        <is>
          <t>2022-07-21</t>
        </is>
      </c>
      <c r="C570" t="inlineStr">
        <is>
          <t>11:36</t>
        </is>
      </c>
      <c r="D570" t="inlineStr">
        <is>
          <t>n° 4 + n° 5</t>
        </is>
      </c>
      <c r="E570" t="inlineStr">
        <is>
          <t>CAPRICE</t>
        </is>
      </c>
      <c r="F570" t="n">
        <v>9.9</v>
      </c>
      <c r="G570" t="inlineStr">
        <is>
          <t>n° 4 : 0,50 + n° 5 : 0,50</t>
        </is>
      </c>
      <c r="H570" t="n">
        <v>1</v>
      </c>
    </row>
    <row r="571">
      <c r="A571" t="inlineStr">
        <is>
          <t>2022-2023</t>
        </is>
      </c>
      <c r="B571" t="inlineStr">
        <is>
          <t>2022-07-21</t>
        </is>
      </c>
      <c r="C571" t="inlineStr">
        <is>
          <t>11:36</t>
        </is>
      </c>
      <c r="D571" t="inlineStr">
        <is>
          <t>n° 4 + n° 5</t>
        </is>
      </c>
      <c r="E571" t="inlineStr">
        <is>
          <t>Salade Franc-Comptoi</t>
        </is>
      </c>
      <c r="F571" t="n">
        <v>8.9</v>
      </c>
      <c r="G571" t="inlineStr">
        <is>
          <t>n° 4 : 0,50 + n° 5 : 0,50</t>
        </is>
      </c>
      <c r="H571" t="n">
        <v>1</v>
      </c>
    </row>
    <row r="572">
      <c r="A572" t="inlineStr">
        <is>
          <t>2022-2023</t>
        </is>
      </c>
      <c r="B572" t="inlineStr">
        <is>
          <t>2022-07-21</t>
        </is>
      </c>
      <c r="C572" t="inlineStr">
        <is>
          <t>11:36</t>
        </is>
      </c>
      <c r="D572" t="inlineStr">
        <is>
          <t>n° 4 + n° 5</t>
        </is>
      </c>
      <c r="E572" t="inlineStr">
        <is>
          <t>Jamhon Persillé</t>
        </is>
      </c>
      <c r="F572" t="n">
        <v>7.2</v>
      </c>
      <c r="G572" t="inlineStr">
        <is>
          <t>n° 4 : 0,50 + n° 5 : 0,50</t>
        </is>
      </c>
      <c r="H572" t="n">
        <v>1</v>
      </c>
    </row>
    <row r="573">
      <c r="A573" t="inlineStr">
        <is>
          <t>2022-2023</t>
        </is>
      </c>
      <c r="B573" t="inlineStr">
        <is>
          <t>2022-07-21</t>
        </is>
      </c>
      <c r="C573" t="inlineStr">
        <is>
          <t>11:36</t>
        </is>
      </c>
      <c r="D573" t="inlineStr">
        <is>
          <t>n° 4 + n° 5</t>
        </is>
      </c>
      <c r="E573" t="inlineStr">
        <is>
          <t>GLACE 2 BOULES</t>
        </is>
      </c>
      <c r="F573" t="n">
        <v>3.9</v>
      </c>
      <c r="G573" t="inlineStr">
        <is>
          <t>n° 4 : 0,50 + n° 5 : 0,50</t>
        </is>
      </c>
      <c r="H573" t="n">
        <v>1</v>
      </c>
    </row>
    <row r="574">
      <c r="A574" t="inlineStr">
        <is>
          <t>2022-2023</t>
        </is>
      </c>
      <c r="B574" t="inlineStr">
        <is>
          <t>2022-07-23</t>
        </is>
      </c>
      <c r="C574" t="inlineStr">
        <is>
          <t>11:57</t>
        </is>
      </c>
      <c r="D574" t="inlineStr">
        <is>
          <t>n° 5 + n° 6</t>
        </is>
      </c>
      <c r="E574" t="inlineStr">
        <is>
          <t>BURGER COMTOIS</t>
        </is>
      </c>
      <c r="F574" t="n">
        <v>19</v>
      </c>
      <c r="G574" t="inlineStr">
        <is>
          <t>n° 5 : 0,50 + n° 6 : 0,50</t>
        </is>
      </c>
      <c r="H574" t="n">
        <v>1</v>
      </c>
    </row>
    <row r="575">
      <c r="A575" t="inlineStr">
        <is>
          <t>2022-2023</t>
        </is>
      </c>
      <c r="B575" t="inlineStr">
        <is>
          <t>2022-07-23</t>
        </is>
      </c>
      <c r="C575" t="inlineStr">
        <is>
          <t>11:57</t>
        </is>
      </c>
      <c r="D575" t="inlineStr">
        <is>
          <t>n° 5 + n° 6</t>
        </is>
      </c>
      <c r="E575" t="inlineStr">
        <is>
          <t>TANTELIN</t>
        </is>
      </c>
      <c r="F575" t="n">
        <v>16.4</v>
      </c>
      <c r="G575" t="inlineStr">
        <is>
          <t>n° 5 : 0,50 + n° 6 : 0,50</t>
        </is>
      </c>
      <c r="H575" t="n">
        <v>1</v>
      </c>
    </row>
    <row r="576">
      <c r="A576" t="inlineStr">
        <is>
          <t>2022-2023</t>
        </is>
      </c>
      <c r="B576" t="inlineStr">
        <is>
          <t>2022-07-23</t>
        </is>
      </c>
      <c r="C576" t="inlineStr">
        <is>
          <t>11:57</t>
        </is>
      </c>
      <c r="D576" t="inlineStr">
        <is>
          <t>n° 5 + n° 6</t>
        </is>
      </c>
      <c r="E576" t="inlineStr">
        <is>
          <t>Panaché</t>
        </is>
      </c>
      <c r="F576" t="n">
        <v>3.9</v>
      </c>
      <c r="G576" t="inlineStr">
        <is>
          <t>n° 5 : 0,50 + n° 6 : 0,50</t>
        </is>
      </c>
      <c r="H576" t="n">
        <v>1</v>
      </c>
    </row>
    <row r="577">
      <c r="A577" t="inlineStr">
        <is>
          <t>2022-2023</t>
        </is>
      </c>
      <c r="B577" t="inlineStr">
        <is>
          <t>2022-07-23</t>
        </is>
      </c>
      <c r="C577" t="inlineStr">
        <is>
          <t>11:57</t>
        </is>
      </c>
      <c r="D577" t="inlineStr">
        <is>
          <t>n° 5 + n° 6</t>
        </is>
      </c>
      <c r="E577" t="inlineStr">
        <is>
          <t>Orangina (25cl)</t>
        </is>
      </c>
      <c r="F577" t="n">
        <v>3.9</v>
      </c>
      <c r="G577" t="inlineStr">
        <is>
          <t>n° 5 : 0,50 + n° 6 : 0,50</t>
        </is>
      </c>
      <c r="H577" t="n">
        <v>1</v>
      </c>
    </row>
    <row r="578">
      <c r="A578" t="inlineStr">
        <is>
          <t>2022-2023</t>
        </is>
      </c>
      <c r="B578" t="inlineStr">
        <is>
          <t>2022-07-23</t>
        </is>
      </c>
      <c r="C578" t="inlineStr">
        <is>
          <t>11:57</t>
        </is>
      </c>
      <c r="D578" t="inlineStr">
        <is>
          <t>n° 5 + n° 6</t>
        </is>
      </c>
      <c r="E578" t="inlineStr">
        <is>
          <t>Jus de Fruit</t>
        </is>
      </c>
      <c r="F578" t="n">
        <v>3.9</v>
      </c>
      <c r="G578" t="inlineStr">
        <is>
          <t>n° 5 : 0,50 + n° 6 : 0,50</t>
        </is>
      </c>
      <c r="H578" t="n">
        <v>1</v>
      </c>
    </row>
    <row r="579">
      <c r="A579" t="inlineStr">
        <is>
          <t>2022-2023</t>
        </is>
      </c>
      <c r="B579" t="inlineStr">
        <is>
          <t>2022-07-23</t>
        </is>
      </c>
      <c r="C579" t="inlineStr">
        <is>
          <t>11:57</t>
        </is>
      </c>
      <c r="D579" t="inlineStr">
        <is>
          <t>n° 5 + n° 6</t>
        </is>
      </c>
      <c r="E579" t="inlineStr">
        <is>
          <t>Thé</t>
        </is>
      </c>
      <c r="F579" t="n">
        <v>3.4</v>
      </c>
      <c r="G579" t="inlineStr">
        <is>
          <t>n° 5 : 0,50 + n° 6 : 0,50</t>
        </is>
      </c>
      <c r="H579" t="n">
        <v>1</v>
      </c>
    </row>
    <row r="580">
      <c r="A580" t="inlineStr">
        <is>
          <t>2022-2023</t>
        </is>
      </c>
      <c r="B580" t="inlineStr">
        <is>
          <t>2022-07-23</t>
        </is>
      </c>
      <c r="C580" t="inlineStr">
        <is>
          <t>11:57</t>
        </is>
      </c>
      <c r="D580" t="inlineStr">
        <is>
          <t>n° 5 + n° 6</t>
        </is>
      </c>
      <c r="E580" t="inlineStr">
        <is>
          <t>Expresso</t>
        </is>
      </c>
      <c r="F580" t="n">
        <v>2.2</v>
      </c>
      <c r="G580" t="inlineStr">
        <is>
          <t>n° 5 : 0,50 + n° 6 : 0,50</t>
        </is>
      </c>
      <c r="H580" t="n">
        <v>1</v>
      </c>
    </row>
    <row r="581">
      <c r="A581" t="inlineStr">
        <is>
          <t>2022-2023</t>
        </is>
      </c>
      <c r="B581" t="inlineStr">
        <is>
          <t>2022-07-24</t>
        </is>
      </c>
      <c r="C581" t="inlineStr">
        <is>
          <t>18:57</t>
        </is>
      </c>
      <c r="D581" t="inlineStr">
        <is>
          <t>n° 16 + n° 17</t>
        </is>
      </c>
      <c r="E581" t="inlineStr">
        <is>
          <t>Coca (25cl)</t>
        </is>
      </c>
      <c r="F581" t="n">
        <v>3.9</v>
      </c>
      <c r="G581" t="inlineStr">
        <is>
          <t>n° 16 : 0,50 + n° 17 : 0,50</t>
        </is>
      </c>
      <c r="H581" t="n">
        <v>1</v>
      </c>
    </row>
    <row r="582">
      <c r="A582" t="inlineStr">
        <is>
          <t>2022-2023</t>
        </is>
      </c>
      <c r="B582" t="inlineStr">
        <is>
          <t>2022-07-24</t>
        </is>
      </c>
      <c r="C582" t="inlineStr">
        <is>
          <t>18:57</t>
        </is>
      </c>
      <c r="D582" t="inlineStr">
        <is>
          <t>n° 16 + n° 17</t>
        </is>
      </c>
      <c r="E582" t="inlineStr">
        <is>
          <t>Monaco</t>
        </is>
      </c>
      <c r="F582" t="n">
        <v>3.9</v>
      </c>
      <c r="G582" t="inlineStr">
        <is>
          <t>n° 16 : 0,50 + n° 17 : 0,50</t>
        </is>
      </c>
      <c r="H582" t="n">
        <v>1</v>
      </c>
    </row>
    <row r="583">
      <c r="A583" t="inlineStr">
        <is>
          <t>2022-2023</t>
        </is>
      </c>
      <c r="B583" t="inlineStr">
        <is>
          <t>2022-07-24</t>
        </is>
      </c>
      <c r="C583" t="inlineStr">
        <is>
          <t>19:44</t>
        </is>
      </c>
      <c r="D583" t="inlineStr">
        <is>
          <t>n° 23 + n° 24</t>
        </is>
      </c>
      <c r="E583" t="inlineStr">
        <is>
          <t>Entrecôte Forestiére</t>
        </is>
      </c>
      <c r="F583" t="n">
        <v>27.8</v>
      </c>
      <c r="G583" t="inlineStr">
        <is>
          <t>n° 23 : 0,50 + n° 24 : 0,50</t>
        </is>
      </c>
      <c r="H583" t="n">
        <v>1</v>
      </c>
    </row>
    <row r="584">
      <c r="A584" t="inlineStr">
        <is>
          <t>2022-2023</t>
        </is>
      </c>
      <c r="B584" t="inlineStr">
        <is>
          <t>2022-07-24</t>
        </is>
      </c>
      <c r="C584" t="inlineStr">
        <is>
          <t>19:44</t>
        </is>
      </c>
      <c r="D584" t="inlineStr">
        <is>
          <t>n° 23 + n° 24</t>
        </is>
      </c>
      <c r="E584" t="inlineStr">
        <is>
          <t>Vin jaune</t>
        </is>
      </c>
      <c r="F584" t="n">
        <v>12</v>
      </c>
      <c r="G584" t="inlineStr">
        <is>
          <t>n° 23 : 0,50 + n° 24 : 0,50</t>
        </is>
      </c>
      <c r="H584" t="n">
        <v>1</v>
      </c>
    </row>
    <row r="585">
      <c r="A585" t="inlineStr">
        <is>
          <t>2022-2023</t>
        </is>
      </c>
      <c r="B585" t="inlineStr">
        <is>
          <t>2022-07-24</t>
        </is>
      </c>
      <c r="C585" t="inlineStr">
        <is>
          <t>19:44</t>
        </is>
      </c>
      <c r="D585" t="inlineStr">
        <is>
          <t>n° 23 + n° 24</t>
        </is>
      </c>
      <c r="E585" t="inlineStr">
        <is>
          <t>VALENTINE</t>
        </is>
      </c>
      <c r="F585" t="n">
        <v>8.1</v>
      </c>
      <c r="G585" t="inlineStr">
        <is>
          <t>n° 23 : 0,50 + n° 24 : 0,50</t>
        </is>
      </c>
      <c r="H585" t="n">
        <v>1</v>
      </c>
    </row>
    <row r="586">
      <c r="A586" t="inlineStr">
        <is>
          <t>2022-2023</t>
        </is>
      </c>
      <c r="B586" t="inlineStr">
        <is>
          <t>2022-07-24</t>
        </is>
      </c>
      <c r="C586" t="inlineStr">
        <is>
          <t>19:44</t>
        </is>
      </c>
      <c r="D586" t="inlineStr">
        <is>
          <t>n° 23 + n° 24</t>
        </is>
      </c>
      <c r="E586" t="inlineStr">
        <is>
          <t>Mambo</t>
        </is>
      </c>
      <c r="F586" t="n">
        <v>6.5</v>
      </c>
      <c r="G586" t="inlineStr">
        <is>
          <t>n° 23 : 0,50 + n° 24 : 0,50</t>
        </is>
      </c>
      <c r="H586" t="n">
        <v>1</v>
      </c>
    </row>
    <row r="587">
      <c r="A587" t="inlineStr">
        <is>
          <t>2022-2023</t>
        </is>
      </c>
      <c r="B587" t="inlineStr">
        <is>
          <t>2022-07-24</t>
        </is>
      </c>
      <c r="C587" t="inlineStr">
        <is>
          <t>19:44</t>
        </is>
      </c>
      <c r="D587" t="inlineStr">
        <is>
          <t>n° 23 + n° 24</t>
        </is>
      </c>
      <c r="E587" t="inlineStr">
        <is>
          <t>Crêpe Nutella</t>
        </is>
      </c>
      <c r="F587" t="n">
        <v>4.7</v>
      </c>
      <c r="G587" t="inlineStr">
        <is>
          <t>n° 23 : 0,50 + n° 24 : 0,50</t>
        </is>
      </c>
      <c r="H587" t="n">
        <v>1</v>
      </c>
    </row>
    <row r="588">
      <c r="A588" t="inlineStr">
        <is>
          <t>2022-2023</t>
        </is>
      </c>
      <c r="B588" t="inlineStr">
        <is>
          <t>2022-07-24</t>
        </is>
      </c>
      <c r="C588" t="inlineStr">
        <is>
          <t>19:44</t>
        </is>
      </c>
      <c r="D588" t="inlineStr">
        <is>
          <t>n° 23 + n° 24</t>
        </is>
      </c>
      <c r="E588" t="inlineStr">
        <is>
          <t>Comté</t>
        </is>
      </c>
      <c r="F588" t="n">
        <v>4</v>
      </c>
      <c r="G588" t="inlineStr">
        <is>
          <t>n° 23 : 0,50 + n° 24 : 0,50</t>
        </is>
      </c>
      <c r="H588" t="n">
        <v>1</v>
      </c>
    </row>
    <row r="589">
      <c r="A589" t="inlineStr">
        <is>
          <t>2022-2023</t>
        </is>
      </c>
      <c r="B589" t="inlineStr">
        <is>
          <t>2022-07-24</t>
        </is>
      </c>
      <c r="C589" t="inlineStr">
        <is>
          <t>19:44</t>
        </is>
      </c>
      <c r="D589" t="inlineStr">
        <is>
          <t>n° 23 + n° 24</t>
        </is>
      </c>
      <c r="E589" t="inlineStr">
        <is>
          <t>Cancoillotte</t>
        </is>
      </c>
      <c r="F589" t="n">
        <v>3.9</v>
      </c>
      <c r="G589" t="inlineStr">
        <is>
          <t>n° 23 : 0,50 + n° 24 : 0,50</t>
        </is>
      </c>
      <c r="H589" t="n">
        <v>1</v>
      </c>
    </row>
    <row r="590">
      <c r="A590" t="inlineStr">
        <is>
          <t>2022-2023</t>
        </is>
      </c>
      <c r="B590" t="inlineStr">
        <is>
          <t>2022-07-24</t>
        </is>
      </c>
      <c r="C590" t="inlineStr">
        <is>
          <t>19:44</t>
        </is>
      </c>
      <c r="D590" t="inlineStr">
        <is>
          <t>n° 23 + n° 24</t>
        </is>
      </c>
      <c r="E590" t="inlineStr">
        <is>
          <t>Pommes de Terre</t>
        </is>
      </c>
      <c r="F590" t="n">
        <v>3.2</v>
      </c>
      <c r="G590" t="inlineStr">
        <is>
          <t>n° 23 : 0,50 + n° 24 : 0,50</t>
        </is>
      </c>
      <c r="H590" t="n">
        <v>1</v>
      </c>
    </row>
    <row r="591">
      <c r="A591" t="inlineStr">
        <is>
          <t>2022-2023</t>
        </is>
      </c>
      <c r="B591" t="inlineStr">
        <is>
          <t>2022-07-24</t>
        </is>
      </c>
      <c r="C591" t="inlineStr">
        <is>
          <t>19:44</t>
        </is>
      </c>
      <c r="D591" t="inlineStr">
        <is>
          <t>n° 23 + n° 24</t>
        </is>
      </c>
      <c r="E591" t="inlineStr">
        <is>
          <t>Galette nature</t>
        </is>
      </c>
      <c r="F591" t="n">
        <v>2.9</v>
      </c>
      <c r="G591" t="inlineStr">
        <is>
          <t>n° 23 : 0,50 + n° 24 : 0,50</t>
        </is>
      </c>
      <c r="H591" t="n">
        <v>1</v>
      </c>
    </row>
    <row r="592">
      <c r="A592" t="inlineStr">
        <is>
          <t>2022-2023</t>
        </is>
      </c>
      <c r="B592" t="inlineStr">
        <is>
          <t>2022-07-24</t>
        </is>
      </c>
      <c r="C592" t="inlineStr">
        <is>
          <t>20:39</t>
        </is>
      </c>
      <c r="D592" t="inlineStr">
        <is>
          <t>n° 30 + n° 31</t>
        </is>
      </c>
      <c r="E592" t="inlineStr">
        <is>
          <t>Menu Franc-Comtois</t>
        </is>
      </c>
      <c r="F592" t="n">
        <v>32</v>
      </c>
      <c r="G592" t="inlineStr">
        <is>
          <t>n° 30 : 0,50 + n° 31 : 0,50</t>
        </is>
      </c>
      <c r="H592" t="n">
        <v>1</v>
      </c>
    </row>
    <row r="593">
      <c r="A593" t="inlineStr">
        <is>
          <t>2022-2023</t>
        </is>
      </c>
      <c r="B593" t="inlineStr">
        <is>
          <t>2022-07-24</t>
        </is>
      </c>
      <c r="C593" t="inlineStr">
        <is>
          <t>20:39</t>
        </is>
      </c>
      <c r="D593" t="inlineStr">
        <is>
          <t>n° 30 + n° 31</t>
        </is>
      </c>
      <c r="E593" t="inlineStr">
        <is>
          <t>Menu Bourguignon</t>
        </is>
      </c>
      <c r="F593" t="n">
        <v>32</v>
      </c>
      <c r="G593" t="inlineStr">
        <is>
          <t>n° 30 : 0,50 + n° 31 : 0,50</t>
        </is>
      </c>
      <c r="H593" t="n">
        <v>1</v>
      </c>
    </row>
    <row r="594">
      <c r="A594" t="inlineStr">
        <is>
          <t>2022-2023</t>
        </is>
      </c>
      <c r="B594" t="inlineStr">
        <is>
          <t>2022-07-24</t>
        </is>
      </c>
      <c r="C594" t="inlineStr">
        <is>
          <t>20:39</t>
        </is>
      </c>
      <c r="D594" t="inlineStr">
        <is>
          <t>n° 30 + n° 31</t>
        </is>
      </c>
      <c r="E594" t="inlineStr">
        <is>
          <t>Bohème</t>
        </is>
      </c>
      <c r="F594" t="n">
        <v>29</v>
      </c>
      <c r="G594" t="inlineStr">
        <is>
          <t>n° 30 : 1,50 + n° 31 : 1,50</t>
        </is>
      </c>
      <c r="H594" t="n">
        <v>3</v>
      </c>
    </row>
    <row r="595">
      <c r="A595" t="inlineStr">
        <is>
          <t>2022-2023</t>
        </is>
      </c>
      <c r="B595" t="inlineStr">
        <is>
          <t>2022-07-24</t>
        </is>
      </c>
      <c r="C595" t="inlineStr">
        <is>
          <t>20:39</t>
        </is>
      </c>
      <c r="D595" t="inlineStr">
        <is>
          <t>n° 30 + n° 31</t>
        </is>
      </c>
      <c r="E595" t="inlineStr">
        <is>
          <t>Menu Végétarien</t>
        </is>
      </c>
      <c r="F595" t="n">
        <v>23</v>
      </c>
      <c r="G595" t="inlineStr">
        <is>
          <t>n° 30 : 0,50 + n° 31 : 0,50</t>
        </is>
      </c>
      <c r="H595" t="n">
        <v>1</v>
      </c>
    </row>
    <row r="596">
      <c r="A596" t="inlineStr">
        <is>
          <t>2022-2023</t>
        </is>
      </c>
      <c r="B596" t="inlineStr">
        <is>
          <t>2022-07-24</t>
        </is>
      </c>
      <c r="C596" t="inlineStr">
        <is>
          <t>20:39</t>
        </is>
      </c>
      <c r="D596" t="inlineStr">
        <is>
          <t>n° 30 + n° 31</t>
        </is>
      </c>
      <c r="E596" t="inlineStr">
        <is>
          <t>CANCOINE</t>
        </is>
      </c>
      <c r="F596" t="n">
        <v>21.6</v>
      </c>
      <c r="G596" t="inlineStr">
        <is>
          <t>n° 30 : 0,50 + n° 31 : 0,50</t>
        </is>
      </c>
      <c r="H596" t="n">
        <v>1</v>
      </c>
    </row>
    <row r="597">
      <c r="A597" t="inlineStr">
        <is>
          <t>2022-2023</t>
        </is>
      </c>
      <c r="B597" t="inlineStr">
        <is>
          <t>2022-07-24</t>
        </is>
      </c>
      <c r="C597" t="inlineStr">
        <is>
          <t>20:39</t>
        </is>
      </c>
      <c r="D597" t="inlineStr">
        <is>
          <t>n° 30 + n° 31</t>
        </is>
      </c>
      <c r="E597" t="inlineStr">
        <is>
          <t>Escargots de Bourgog</t>
        </is>
      </c>
      <c r="F597" t="n">
        <v>8</v>
      </c>
      <c r="G597" t="inlineStr">
        <is>
          <t>n° 30 : 0,50 + n° 31 : 0,50</t>
        </is>
      </c>
      <c r="H597" t="n">
        <v>1</v>
      </c>
    </row>
    <row r="598">
      <c r="A598" t="inlineStr">
        <is>
          <t>2022-2023</t>
        </is>
      </c>
      <c r="B598" t="inlineStr">
        <is>
          <t>2022-07-24</t>
        </is>
      </c>
      <c r="C598" t="inlineStr">
        <is>
          <t>20:39</t>
        </is>
      </c>
      <c r="D598" t="inlineStr">
        <is>
          <t>n° 30 + n° 31</t>
        </is>
      </c>
      <c r="E598" t="inlineStr">
        <is>
          <t>FROMAGES REGIONAUX</t>
        </is>
      </c>
      <c r="F598" t="n">
        <v>6.9</v>
      </c>
      <c r="G598" t="inlineStr">
        <is>
          <t>n° 30 : 0,50 + n° 31 : 0,50</t>
        </is>
      </c>
      <c r="H598" t="n">
        <v>1</v>
      </c>
    </row>
    <row r="599">
      <c r="A599" t="inlineStr">
        <is>
          <t>2022-2023</t>
        </is>
      </c>
      <c r="B599" t="inlineStr">
        <is>
          <t>2022-07-26</t>
        </is>
      </c>
      <c r="C599" t="inlineStr">
        <is>
          <t>19:01</t>
        </is>
      </c>
      <c r="D599" t="inlineStr">
        <is>
          <t>n° 15 + n° 16</t>
        </is>
      </c>
      <c r="E599" t="inlineStr">
        <is>
          <t>Pichet 50cl vin</t>
        </is>
      </c>
      <c r="F599" t="n">
        <v>9.800000000000001</v>
      </c>
      <c r="G599" t="inlineStr">
        <is>
          <t>n° 15 : 0,50 + n° 16 : 0,50</t>
        </is>
      </c>
      <c r="H599" t="n">
        <v>1</v>
      </c>
    </row>
    <row r="600">
      <c r="A600" t="inlineStr">
        <is>
          <t>2022-2023</t>
        </is>
      </c>
      <c r="B600" t="inlineStr">
        <is>
          <t>2022-07-26</t>
        </is>
      </c>
      <c r="C600" t="inlineStr">
        <is>
          <t>20:09</t>
        </is>
      </c>
      <c r="D600" t="inlineStr">
        <is>
          <t>n° 26 + n° 27</t>
        </is>
      </c>
      <c r="E600" t="inlineStr">
        <is>
          <t>PiCHET TROUSSEAU</t>
        </is>
      </c>
      <c r="F600" t="n">
        <v>24</v>
      </c>
      <c r="G600" t="inlineStr">
        <is>
          <t>n° 26 : 0,50 + n° 27 : 0,50</t>
        </is>
      </c>
      <c r="H600" t="n">
        <v>1</v>
      </c>
    </row>
    <row r="601">
      <c r="A601" t="inlineStr">
        <is>
          <t>2022-2023</t>
        </is>
      </c>
      <c r="B601" t="inlineStr">
        <is>
          <t>2022-07-26</t>
        </is>
      </c>
      <c r="C601" t="inlineStr">
        <is>
          <t>20:09</t>
        </is>
      </c>
      <c r="D601" t="inlineStr">
        <is>
          <t>n° 26 + n° 27</t>
        </is>
      </c>
      <c r="E601" t="inlineStr">
        <is>
          <t>POULET JURASSIENNE</t>
        </is>
      </c>
      <c r="F601" t="n">
        <v>17.6</v>
      </c>
      <c r="G601" t="inlineStr">
        <is>
          <t>n° 26 : 0,50 + n° 27 : 0,50</t>
        </is>
      </c>
      <c r="H601" t="n">
        <v>1</v>
      </c>
    </row>
    <row r="602">
      <c r="A602" t="inlineStr">
        <is>
          <t>2022-2023</t>
        </is>
      </c>
      <c r="B602" t="inlineStr">
        <is>
          <t>2022-07-26</t>
        </is>
      </c>
      <c r="C602" t="inlineStr">
        <is>
          <t>20:09</t>
        </is>
      </c>
      <c r="D602" t="inlineStr">
        <is>
          <t>n° 26 + n° 27</t>
        </is>
      </c>
      <c r="E602" t="inlineStr">
        <is>
          <t>ASSIETTE FRANC-COMTO</t>
        </is>
      </c>
      <c r="F602" t="n">
        <v>17.6</v>
      </c>
      <c r="G602" t="inlineStr">
        <is>
          <t>n° 26 : 0,50 + n° 27 : 0,50</t>
        </is>
      </c>
      <c r="H602" t="n">
        <v>1</v>
      </c>
    </row>
    <row r="603">
      <c r="A603" t="inlineStr">
        <is>
          <t>2022-2023</t>
        </is>
      </c>
      <c r="B603" t="inlineStr">
        <is>
          <t>2022-07-26</t>
        </is>
      </c>
      <c r="C603" t="inlineStr">
        <is>
          <t>20:09</t>
        </is>
      </c>
      <c r="D603" t="inlineStr">
        <is>
          <t>n° 26 + n° 27</t>
        </is>
      </c>
      <c r="E603" t="inlineStr">
        <is>
          <t>Déca</t>
        </is>
      </c>
      <c r="F603" t="n">
        <v>2.2</v>
      </c>
      <c r="G603" t="inlineStr">
        <is>
          <t>n° 26 : 0,50 + n° 27 : 0,50</t>
        </is>
      </c>
      <c r="H603" t="n">
        <v>1</v>
      </c>
    </row>
    <row r="604">
      <c r="A604" t="inlineStr">
        <is>
          <t>2022-2023</t>
        </is>
      </c>
      <c r="B604" t="inlineStr">
        <is>
          <t>2022-07-26</t>
        </is>
      </c>
      <c r="C604" t="inlineStr">
        <is>
          <t>20:09</t>
        </is>
      </c>
      <c r="D604" t="inlineStr">
        <is>
          <t>n° 26 + n° 27</t>
        </is>
      </c>
      <c r="E604" t="inlineStr">
        <is>
          <t>GLACE 1 BOULE</t>
        </is>
      </c>
      <c r="F604" t="n">
        <v>2</v>
      </c>
      <c r="G604" t="inlineStr">
        <is>
          <t>n° 26 : 0,50 + n° 27 : 0,50</t>
        </is>
      </c>
      <c r="H604" t="n">
        <v>1</v>
      </c>
    </row>
    <row r="605">
      <c r="A605" t="inlineStr">
        <is>
          <t>2022-2023</t>
        </is>
      </c>
      <c r="B605" t="inlineStr">
        <is>
          <t>2022-07-27</t>
        </is>
      </c>
      <c r="C605" t="inlineStr">
        <is>
          <t>11:39</t>
        </is>
      </c>
      <c r="D605" t="inlineStr">
        <is>
          <t>n° 4 + n° 5</t>
        </is>
      </c>
      <c r="E605" t="inlineStr">
        <is>
          <t>GLACE 2 BOULES</t>
        </is>
      </c>
      <c r="F605" t="n">
        <v>3.9</v>
      </c>
      <c r="G605" t="inlineStr">
        <is>
          <t>n° 4 : 0,50 + n° 5 : 0,50</t>
        </is>
      </c>
      <c r="H605" t="n">
        <v>1</v>
      </c>
    </row>
    <row r="606">
      <c r="A606" t="inlineStr">
        <is>
          <t>2022-2023</t>
        </is>
      </c>
      <c r="B606" t="inlineStr">
        <is>
          <t>2022-07-27</t>
        </is>
      </c>
      <c r="C606" t="inlineStr">
        <is>
          <t>11:39</t>
        </is>
      </c>
      <c r="D606" t="inlineStr">
        <is>
          <t>n° 4 + n° 5</t>
        </is>
      </c>
      <c r="E606" t="inlineStr">
        <is>
          <t>GLACE 1 BOULE</t>
        </is>
      </c>
      <c r="F606" t="n">
        <v>2</v>
      </c>
      <c r="G606" t="inlineStr">
        <is>
          <t>n° 4 : 0,50 + n° 5 : 0,50</t>
        </is>
      </c>
      <c r="H606" t="n">
        <v>1</v>
      </c>
    </row>
    <row r="607">
      <c r="A607" t="inlineStr">
        <is>
          <t>2022-2023</t>
        </is>
      </c>
      <c r="B607" t="inlineStr">
        <is>
          <t>2022-07-27</t>
        </is>
      </c>
      <c r="C607" t="inlineStr">
        <is>
          <t>20:53</t>
        </is>
      </c>
      <c r="D607" t="inlineStr">
        <is>
          <t>n° 36 + n° 37</t>
        </is>
      </c>
      <c r="E607" t="inlineStr">
        <is>
          <t>BURGER COMTOIS</t>
        </is>
      </c>
      <c r="F607" t="n">
        <v>19</v>
      </c>
      <c r="G607" t="inlineStr">
        <is>
          <t>n° 36 : 0,50 + n° 37 : 0,50</t>
        </is>
      </c>
      <c r="H607" t="n">
        <v>1</v>
      </c>
    </row>
    <row r="608">
      <c r="A608" t="inlineStr">
        <is>
          <t>2022-2023</t>
        </is>
      </c>
      <c r="B608" t="inlineStr">
        <is>
          <t>2022-07-27</t>
        </is>
      </c>
      <c r="C608" t="inlineStr">
        <is>
          <t>20:53</t>
        </is>
      </c>
      <c r="D608" t="inlineStr">
        <is>
          <t>n° 36 + n° 37</t>
        </is>
      </c>
      <c r="E608" t="inlineStr">
        <is>
          <t>CABRICHOU</t>
        </is>
      </c>
      <c r="F608" t="n">
        <v>15.9</v>
      </c>
      <c r="G608" t="inlineStr">
        <is>
          <t>n° 36 : 0,50 + n° 37 : 0,50</t>
        </is>
      </c>
      <c r="H608" t="n">
        <v>1</v>
      </c>
    </row>
    <row r="609">
      <c r="A609" t="inlineStr">
        <is>
          <t>2022-2023</t>
        </is>
      </c>
      <c r="B609" t="inlineStr">
        <is>
          <t>2022-07-27</t>
        </is>
      </c>
      <c r="C609" t="inlineStr">
        <is>
          <t>20:53</t>
        </is>
      </c>
      <c r="D609" t="inlineStr">
        <is>
          <t>n° 36 + n° 37</t>
        </is>
      </c>
      <c r="E609" t="inlineStr">
        <is>
          <t>Mambo</t>
        </is>
      </c>
      <c r="F609" t="n">
        <v>6.5</v>
      </c>
      <c r="G609" t="inlineStr">
        <is>
          <t>n° 36 : 0,50 + n° 37 : 0,50</t>
        </is>
      </c>
      <c r="H609" t="n">
        <v>1</v>
      </c>
    </row>
    <row r="610">
      <c r="A610" t="inlineStr">
        <is>
          <t>2022-2023</t>
        </is>
      </c>
      <c r="B610" t="inlineStr">
        <is>
          <t>2022-07-27</t>
        </is>
      </c>
      <c r="C610" t="inlineStr">
        <is>
          <t>20:53</t>
        </is>
      </c>
      <c r="D610" t="inlineStr">
        <is>
          <t>n° 36 + n° 37</t>
        </is>
      </c>
      <c r="E610" t="inlineStr">
        <is>
          <t>Crêpe Nutella</t>
        </is>
      </c>
      <c r="F610" t="n">
        <v>4.7</v>
      </c>
      <c r="G610" t="inlineStr">
        <is>
          <t>n° 36 : 0,50 + n° 37 : 0,50</t>
        </is>
      </c>
      <c r="H610" t="n">
        <v>1</v>
      </c>
    </row>
    <row r="611">
      <c r="A611" t="inlineStr">
        <is>
          <t>2022-2023</t>
        </is>
      </c>
      <c r="B611" t="inlineStr">
        <is>
          <t>2022-07-27</t>
        </is>
      </c>
      <c r="C611" t="inlineStr">
        <is>
          <t>20:53</t>
        </is>
      </c>
      <c r="D611" t="inlineStr">
        <is>
          <t>n° 36 + n° 37</t>
        </is>
      </c>
      <c r="E611" t="inlineStr">
        <is>
          <t>Monaco</t>
        </is>
      </c>
      <c r="F611" t="n">
        <v>3.9</v>
      </c>
      <c r="G611" t="inlineStr">
        <is>
          <t>n° 36 : 0,50 + n° 37 : 0,50</t>
        </is>
      </c>
      <c r="H611" t="n">
        <v>1</v>
      </c>
    </row>
    <row r="612">
      <c r="A612" t="inlineStr">
        <is>
          <t>2022-2023</t>
        </is>
      </c>
      <c r="B612" t="inlineStr">
        <is>
          <t>2022-07-27</t>
        </is>
      </c>
      <c r="C612" t="inlineStr">
        <is>
          <t>20:53</t>
        </is>
      </c>
      <c r="D612" t="inlineStr">
        <is>
          <t>n° 36 + n° 37</t>
        </is>
      </c>
      <c r="E612" t="inlineStr">
        <is>
          <t>POMMES FRITES</t>
        </is>
      </c>
      <c r="F612" t="n">
        <v>3.9</v>
      </c>
      <c r="G612" t="inlineStr">
        <is>
          <t>n° 36 : 0,50 + n° 37 : 0,50</t>
        </is>
      </c>
      <c r="H612" t="n">
        <v>1</v>
      </c>
    </row>
    <row r="613">
      <c r="A613" t="inlineStr">
        <is>
          <t>2022-2023</t>
        </is>
      </c>
      <c r="B613" t="inlineStr">
        <is>
          <t>2022-07-27</t>
        </is>
      </c>
      <c r="C613" t="inlineStr">
        <is>
          <t>20:53</t>
        </is>
      </c>
      <c r="D613" t="inlineStr">
        <is>
          <t>n° 36 + n° 37</t>
        </is>
      </c>
      <c r="E613" t="inlineStr">
        <is>
          <t>Crêpe Cassonade</t>
        </is>
      </c>
      <c r="F613" t="n">
        <v>2.9</v>
      </c>
      <c r="G613" t="inlineStr">
        <is>
          <t>n° 36 : 0,50 + n° 37 : 0,50</t>
        </is>
      </c>
      <c r="H613" t="n">
        <v>1</v>
      </c>
    </row>
    <row r="614">
      <c r="A614" t="inlineStr">
        <is>
          <t>2022-2023</t>
        </is>
      </c>
      <c r="B614" t="inlineStr">
        <is>
          <t>2022-07-27</t>
        </is>
      </c>
      <c r="C614" t="inlineStr">
        <is>
          <t>20:53</t>
        </is>
      </c>
      <c r="D614" t="inlineStr">
        <is>
          <t>n° 36 + n° 37</t>
        </is>
      </c>
      <c r="E614" t="inlineStr">
        <is>
          <t>Expresso</t>
        </is>
      </c>
      <c r="F614" t="n">
        <v>2.2</v>
      </c>
      <c r="G614" t="inlineStr">
        <is>
          <t>n° 36 : 0,50 + n° 37 : 0,50</t>
        </is>
      </c>
      <c r="H614" t="n">
        <v>1</v>
      </c>
    </row>
    <row r="615">
      <c r="A615" t="inlineStr">
        <is>
          <t>2022-2023</t>
        </is>
      </c>
      <c r="B615" t="inlineStr">
        <is>
          <t>2022-07-28</t>
        </is>
      </c>
      <c r="C615" t="inlineStr">
        <is>
          <t>19:55</t>
        </is>
      </c>
      <c r="D615" t="inlineStr">
        <is>
          <t>n° 23 + n° 24</t>
        </is>
      </c>
      <c r="E615" t="inlineStr">
        <is>
          <t>Arbois Béthanie</t>
        </is>
      </c>
      <c r="F615" t="n">
        <v>29.9</v>
      </c>
      <c r="G615" t="inlineStr">
        <is>
          <t>n° 23 : 0,50 + n° 24 : 0,50</t>
        </is>
      </c>
      <c r="H615" t="n">
        <v>1</v>
      </c>
    </row>
    <row r="616">
      <c r="A616" t="inlineStr">
        <is>
          <t>2022-2023</t>
        </is>
      </c>
      <c r="B616" t="inlineStr">
        <is>
          <t>2022-07-28</t>
        </is>
      </c>
      <c r="C616" t="inlineStr">
        <is>
          <t>19:55</t>
        </is>
      </c>
      <c r="D616" t="inlineStr">
        <is>
          <t>n° 23 + n° 24</t>
        </is>
      </c>
      <c r="E616" t="inlineStr">
        <is>
          <t>Crémeux du Jura</t>
        </is>
      </c>
      <c r="F616" t="n">
        <v>19</v>
      </c>
      <c r="G616" t="inlineStr">
        <is>
          <t>n° 23 : 0,50 + n° 24 : 0,50</t>
        </is>
      </c>
      <c r="H616" t="n">
        <v>1</v>
      </c>
    </row>
    <row r="617">
      <c r="A617" t="inlineStr">
        <is>
          <t>2022-2023</t>
        </is>
      </c>
      <c r="B617" t="inlineStr">
        <is>
          <t>2022-07-28</t>
        </is>
      </c>
      <c r="C617" t="inlineStr">
        <is>
          <t>19:55</t>
        </is>
      </c>
      <c r="D617" t="inlineStr">
        <is>
          <t>n° 23 + n° 24</t>
        </is>
      </c>
      <c r="E617" t="inlineStr">
        <is>
          <t>LOURNETTE</t>
        </is>
      </c>
      <c r="F617" t="n">
        <v>16.9</v>
      </c>
      <c r="G617" t="inlineStr">
        <is>
          <t>n° 23 : 0,50 + n° 24 : 0,50</t>
        </is>
      </c>
      <c r="H617" t="n">
        <v>1</v>
      </c>
    </row>
    <row r="618">
      <c r="A618" t="inlineStr">
        <is>
          <t>2022-2023</t>
        </is>
      </c>
      <c r="B618" t="inlineStr">
        <is>
          <t>2022-07-28</t>
        </is>
      </c>
      <c r="C618" t="inlineStr">
        <is>
          <t>19:55</t>
        </is>
      </c>
      <c r="D618" t="inlineStr">
        <is>
          <t>n° 23 + n° 24</t>
        </is>
      </c>
      <c r="E618" t="inlineStr">
        <is>
          <t>CREME BRULEE</t>
        </is>
      </c>
      <c r="F618" t="n">
        <v>6.9</v>
      </c>
      <c r="G618" t="inlineStr">
        <is>
          <t>n° 23 : 0,50 + n° 24 : 0,50</t>
        </is>
      </c>
      <c r="H618" t="n">
        <v>1</v>
      </c>
    </row>
    <row r="619">
      <c r="A619" t="inlineStr">
        <is>
          <t>2022-2023</t>
        </is>
      </c>
      <c r="B619" t="inlineStr">
        <is>
          <t>2022-07-28</t>
        </is>
      </c>
      <c r="C619" t="inlineStr">
        <is>
          <t>19:55</t>
        </is>
      </c>
      <c r="D619" t="inlineStr">
        <is>
          <t>n° 23 + n° 24</t>
        </is>
      </c>
      <c r="E619" t="inlineStr">
        <is>
          <t>Baba au Macvin</t>
        </is>
      </c>
      <c r="F619" t="n">
        <v>6.9</v>
      </c>
      <c r="G619" t="inlineStr">
        <is>
          <t>n° 23 : 0,50 + n° 24 : 0,50</t>
        </is>
      </c>
      <c r="H619" t="n">
        <v>1</v>
      </c>
    </row>
    <row r="620">
      <c r="A620" t="inlineStr">
        <is>
          <t>2022-2023</t>
        </is>
      </c>
      <c r="B620" t="inlineStr">
        <is>
          <t>2022-07-28</t>
        </is>
      </c>
      <c r="C620" t="inlineStr">
        <is>
          <t>19:55</t>
        </is>
      </c>
      <c r="D620" t="inlineStr">
        <is>
          <t>n° 23 + n° 24</t>
        </is>
      </c>
      <c r="E620" t="inlineStr">
        <is>
          <t>Père Gregoire</t>
        </is>
      </c>
      <c r="F620" t="n">
        <v>4.9</v>
      </c>
      <c r="G620" t="inlineStr">
        <is>
          <t>n° 23 : 1,50 + n° 24 : 1,50</t>
        </is>
      </c>
      <c r="H620" t="n">
        <v>3</v>
      </c>
    </row>
    <row r="621">
      <c r="A621" t="inlineStr">
        <is>
          <t>2022-2023</t>
        </is>
      </c>
      <c r="B621" t="inlineStr">
        <is>
          <t>2022-07-28</t>
        </is>
      </c>
      <c r="C621" t="inlineStr">
        <is>
          <t>19:55</t>
        </is>
      </c>
      <c r="D621" t="inlineStr">
        <is>
          <t>n° 23 + n° 24</t>
        </is>
      </c>
      <c r="E621" t="inlineStr">
        <is>
          <t>Kir Bourgogne</t>
        </is>
      </c>
      <c r="F621" t="n">
        <v>4.2</v>
      </c>
      <c r="G621" t="inlineStr">
        <is>
          <t>n° 23 : 0,50 + n° 24 : 0,50</t>
        </is>
      </c>
      <c r="H621" t="n">
        <v>1</v>
      </c>
    </row>
    <row r="622">
      <c r="A622" t="inlineStr">
        <is>
          <t>2022-2023</t>
        </is>
      </c>
      <c r="B622" t="inlineStr">
        <is>
          <t>2022-07-28</t>
        </is>
      </c>
      <c r="C622" t="inlineStr">
        <is>
          <t>20:58</t>
        </is>
      </c>
      <c r="D622" t="inlineStr">
        <is>
          <t>n° 28 + n° 29 + n° 30 + n° 31</t>
        </is>
      </c>
      <c r="E622" t="inlineStr">
        <is>
          <t>Arbois Béthanie</t>
        </is>
      </c>
      <c r="F622" t="n">
        <v>29.9</v>
      </c>
      <c r="G622" t="inlineStr">
        <is>
          <t>n° 30 : 0,50 + n° 31 : 0,50</t>
        </is>
      </c>
      <c r="H622" t="n">
        <v>1</v>
      </c>
    </row>
    <row r="623">
      <c r="A623" t="inlineStr">
        <is>
          <t>2022-2023</t>
        </is>
      </c>
      <c r="B623" t="inlineStr">
        <is>
          <t>2022-07-28</t>
        </is>
      </c>
      <c r="C623" t="inlineStr">
        <is>
          <t>20:58</t>
        </is>
      </c>
      <c r="D623" t="inlineStr">
        <is>
          <t>n° 28 + n° 29 + n° 30 + n° 31</t>
        </is>
      </c>
      <c r="E623" t="inlineStr">
        <is>
          <t>LIGOUSE</t>
        </is>
      </c>
      <c r="F623" t="n">
        <v>15.6</v>
      </c>
      <c r="G623" t="inlineStr">
        <is>
          <t>n° 28 : 0,50 + n° 29 : 0,50</t>
        </is>
      </c>
      <c r="H623" t="n">
        <v>1</v>
      </c>
    </row>
    <row r="624">
      <c r="A624" t="inlineStr">
        <is>
          <t>2022-2023</t>
        </is>
      </c>
      <c r="B624" t="inlineStr">
        <is>
          <t>2022-07-28</t>
        </is>
      </c>
      <c r="C624" t="inlineStr">
        <is>
          <t>20:58</t>
        </is>
      </c>
      <c r="D624" t="inlineStr">
        <is>
          <t>n° 28 + n° 29 + n° 30 + n° 31</t>
        </is>
      </c>
      <c r="E624" t="inlineStr">
        <is>
          <t>Pichet 50cl vin</t>
        </is>
      </c>
      <c r="F624" t="n">
        <v>9.800000000000001</v>
      </c>
      <c r="G624" t="inlineStr">
        <is>
          <t>n° 28 : 0,50 + n° 29 : 0,50</t>
        </is>
      </c>
      <c r="H624" t="n">
        <v>1</v>
      </c>
    </row>
    <row r="625">
      <c r="A625" t="inlineStr">
        <is>
          <t>2022-2023</t>
        </is>
      </c>
      <c r="B625" t="inlineStr">
        <is>
          <t>2022-07-28</t>
        </is>
      </c>
      <c r="C625" t="inlineStr">
        <is>
          <t>20:58</t>
        </is>
      </c>
      <c r="D625" t="inlineStr">
        <is>
          <t>n° 28 + n° 29 + n° 30 + n° 31</t>
        </is>
      </c>
      <c r="E625" t="inlineStr">
        <is>
          <t>TANTE ARIE</t>
        </is>
      </c>
      <c r="F625" t="n">
        <v>8.5</v>
      </c>
      <c r="G625" t="inlineStr">
        <is>
          <t>n° 28 : 0,50 + n° 29 : 0,50</t>
        </is>
      </c>
      <c r="H625" t="n">
        <v>1</v>
      </c>
    </row>
    <row r="626">
      <c r="A626" t="inlineStr">
        <is>
          <t>2022-2023</t>
        </is>
      </c>
      <c r="B626" t="inlineStr">
        <is>
          <t>2022-07-28</t>
        </is>
      </c>
      <c r="C626" t="inlineStr">
        <is>
          <t>20:58</t>
        </is>
      </c>
      <c r="D626" t="inlineStr">
        <is>
          <t>n° 28 + n° 29 + n° 30 + n° 31</t>
        </is>
      </c>
      <c r="E626" t="inlineStr">
        <is>
          <t>Chablis Le Verre</t>
        </is>
      </c>
      <c r="F626" t="n">
        <v>7.9</v>
      </c>
      <c r="G626" t="inlineStr">
        <is>
          <t>n° 30 : 0,50 + n° 31 : 0,50</t>
        </is>
      </c>
      <c r="H626" t="n">
        <v>1</v>
      </c>
    </row>
    <row r="627">
      <c r="A627" t="inlineStr">
        <is>
          <t>2022-2023</t>
        </is>
      </c>
      <c r="B627" t="inlineStr">
        <is>
          <t>2022-07-28</t>
        </is>
      </c>
      <c r="C627" t="inlineStr">
        <is>
          <t>20:58</t>
        </is>
      </c>
      <c r="D627" t="inlineStr">
        <is>
          <t>n° 28 + n° 29 + n° 30 + n° 31</t>
        </is>
      </c>
      <c r="E627" t="inlineStr">
        <is>
          <t>Do</t>
        </is>
      </c>
      <c r="F627" t="n">
        <v>6.9</v>
      </c>
      <c r="G627" t="inlineStr">
        <is>
          <t>n° 28 : 0,50 + n° 29 : 0,50</t>
        </is>
      </c>
      <c r="H627" t="n">
        <v>1</v>
      </c>
    </row>
    <row r="628">
      <c r="A628" t="inlineStr">
        <is>
          <t>2022-2023</t>
        </is>
      </c>
      <c r="B628" t="inlineStr">
        <is>
          <t>2022-07-28</t>
        </is>
      </c>
      <c r="C628" t="inlineStr">
        <is>
          <t>20:58</t>
        </is>
      </c>
      <c r="D628" t="inlineStr">
        <is>
          <t>n° 28 + n° 29 + n° 30 + n° 31</t>
        </is>
      </c>
      <c r="E628" t="inlineStr">
        <is>
          <t>Crêpe Salidou</t>
        </is>
      </c>
      <c r="F628" t="n">
        <v>5.6</v>
      </c>
      <c r="G628" t="inlineStr">
        <is>
          <t>n° 28 : 0,50 + n° 29 : 0,50</t>
        </is>
      </c>
      <c r="H628" t="n">
        <v>1</v>
      </c>
    </row>
    <row r="629">
      <c r="A629" t="inlineStr">
        <is>
          <t>2022-2023</t>
        </is>
      </c>
      <c r="B629" t="inlineStr">
        <is>
          <t>2022-07-28</t>
        </is>
      </c>
      <c r="C629" t="inlineStr">
        <is>
          <t>20:58</t>
        </is>
      </c>
      <c r="D629" t="inlineStr">
        <is>
          <t>n° 28 + n° 29 + n° 30 + n° 31</t>
        </is>
      </c>
      <c r="E629" t="inlineStr">
        <is>
          <t>Macvin du Jura</t>
        </is>
      </c>
      <c r="F629" t="n">
        <v>4.9</v>
      </c>
      <c r="G629" t="inlineStr">
        <is>
          <t>n° 30 : 1,50 + n° 31 : 1,50</t>
        </is>
      </c>
      <c r="H629" t="n">
        <v>3</v>
      </c>
    </row>
    <row r="630">
      <c r="A630" t="inlineStr">
        <is>
          <t>2022-2023</t>
        </is>
      </c>
      <c r="B630" t="inlineStr">
        <is>
          <t>2022-07-28</t>
        </is>
      </c>
      <c r="C630" t="inlineStr">
        <is>
          <t>20:58</t>
        </is>
      </c>
      <c r="D630" t="inlineStr">
        <is>
          <t>n° 28 + n° 29 + n° 30 + n° 31</t>
        </is>
      </c>
      <c r="E630" t="inlineStr">
        <is>
          <t>Crémant</t>
        </is>
      </c>
      <c r="F630" t="n">
        <v>3.9</v>
      </c>
      <c r="G630" t="inlineStr">
        <is>
          <t>n° 30 : 0,50 + n° 31 : 0,50</t>
        </is>
      </c>
      <c r="H630" t="n">
        <v>1</v>
      </c>
    </row>
    <row r="631">
      <c r="A631" t="inlineStr">
        <is>
          <t>2022-2023</t>
        </is>
      </c>
      <c r="B631" t="inlineStr">
        <is>
          <t>2022-07-28</t>
        </is>
      </c>
      <c r="C631" t="inlineStr">
        <is>
          <t>20:58</t>
        </is>
      </c>
      <c r="D631" t="inlineStr">
        <is>
          <t>n° 28 + n° 29 + n° 30 + n° 31</t>
        </is>
      </c>
      <c r="E631" t="inlineStr">
        <is>
          <t>pression</t>
        </is>
      </c>
      <c r="F631" t="n">
        <v>3.9</v>
      </c>
      <c r="G631" t="inlineStr">
        <is>
          <t>n° 30 : 0,50 + n° 31 : 0,50</t>
        </is>
      </c>
      <c r="H631" t="n">
        <v>1</v>
      </c>
    </row>
    <row r="632">
      <c r="A632" t="inlineStr">
        <is>
          <t>2022-2023</t>
        </is>
      </c>
      <c r="B632" t="inlineStr">
        <is>
          <t>2022-07-29</t>
        </is>
      </c>
      <c r="C632" t="inlineStr">
        <is>
          <t>12:48</t>
        </is>
      </c>
      <c r="D632" t="inlineStr">
        <is>
          <t>n° 12 + n° 13</t>
        </is>
      </c>
      <c r="E632" t="inlineStr">
        <is>
          <t>Crepe Chocolat</t>
        </is>
      </c>
      <c r="F632" t="n">
        <v>4.7</v>
      </c>
      <c r="G632" t="inlineStr">
        <is>
          <t>n° 12 : 0,50 + n° 13 : 0,50</t>
        </is>
      </c>
      <c r="H632" t="n">
        <v>1</v>
      </c>
    </row>
    <row r="633">
      <c r="A633" t="inlineStr">
        <is>
          <t>2022-2023</t>
        </is>
      </c>
      <c r="B633" t="inlineStr">
        <is>
          <t>2022-07-29</t>
        </is>
      </c>
      <c r="C633" t="inlineStr">
        <is>
          <t>12:48</t>
        </is>
      </c>
      <c r="D633" t="inlineStr">
        <is>
          <t>n° 12 + n° 13</t>
        </is>
      </c>
      <c r="E633" t="inlineStr">
        <is>
          <t>Crêpe Confiture</t>
        </is>
      </c>
      <c r="F633" t="n">
        <v>4.6</v>
      </c>
      <c r="G633" t="inlineStr">
        <is>
          <t>n° 12 : 0,50 + n° 13 : 0,50</t>
        </is>
      </c>
      <c r="H633" t="n">
        <v>1</v>
      </c>
    </row>
    <row r="634">
      <c r="A634" t="inlineStr">
        <is>
          <t>2022-2023</t>
        </is>
      </c>
      <c r="B634" t="inlineStr">
        <is>
          <t>2022-07-29</t>
        </is>
      </c>
      <c r="C634" t="inlineStr">
        <is>
          <t>21:12</t>
        </is>
      </c>
      <c r="D634" t="inlineStr">
        <is>
          <t>n° 34 + n° 35 + n° 36 + n° 37 + n° 38</t>
        </is>
      </c>
      <c r="E634" t="inlineStr">
        <is>
          <t>Arbois Chardonnay Le</t>
        </is>
      </c>
      <c r="F634" t="n">
        <v>24.9</v>
      </c>
      <c r="G634" t="inlineStr">
        <is>
          <t>n° 34 : 0,50 + n° 35 : 0,25 + n° 36 : 0,25</t>
        </is>
      </c>
      <c r="H634" t="n">
        <v>1</v>
      </c>
    </row>
    <row r="635">
      <c r="A635" t="inlineStr">
        <is>
          <t>2022-2023</t>
        </is>
      </c>
      <c r="B635" t="inlineStr">
        <is>
          <t>2022-07-29</t>
        </is>
      </c>
      <c r="C635" t="inlineStr">
        <is>
          <t>21:12</t>
        </is>
      </c>
      <c r="D635" t="inlineStr">
        <is>
          <t>n° 34 + n° 35 + n° 36 + n° 37 + n° 38</t>
        </is>
      </c>
      <c r="E635" t="inlineStr">
        <is>
          <t>FONDUE VIN JAUNE</t>
        </is>
      </c>
      <c r="F635" t="n">
        <v>24</v>
      </c>
      <c r="G635" t="inlineStr">
        <is>
          <t>n° 34 : 1,00 + n° 35 : 0,50 + n° 36 : 0,50</t>
        </is>
      </c>
      <c r="H635" t="n">
        <v>2</v>
      </c>
    </row>
    <row r="636">
      <c r="A636" t="inlineStr">
        <is>
          <t>2022-2023</t>
        </is>
      </c>
      <c r="B636" t="inlineStr">
        <is>
          <t>2022-07-29</t>
        </is>
      </c>
      <c r="C636" t="inlineStr">
        <is>
          <t>21:12</t>
        </is>
      </c>
      <c r="D636" t="inlineStr">
        <is>
          <t>n° 34 + n° 35 + n° 36 + n° 37 + n° 38</t>
        </is>
      </c>
      <c r="E636" t="inlineStr">
        <is>
          <t>CAMEMBERT ROTI</t>
        </is>
      </c>
      <c r="F636" t="n">
        <v>17.6</v>
      </c>
      <c r="G636" t="inlineStr">
        <is>
          <t>n° 34 : 0,50 + n° 35 : 0,25 + n° 36 : 0,25</t>
        </is>
      </c>
      <c r="H636" t="n">
        <v>1</v>
      </c>
    </row>
    <row r="637">
      <c r="A637" t="inlineStr">
        <is>
          <t>2022-2023</t>
        </is>
      </c>
      <c r="B637" t="inlineStr">
        <is>
          <t>2022-07-29</t>
        </is>
      </c>
      <c r="C637" t="inlineStr">
        <is>
          <t>21:12</t>
        </is>
      </c>
      <c r="D637" t="inlineStr">
        <is>
          <t>n° 34 + n° 35 + n° 36 + n° 37 + n° 38</t>
        </is>
      </c>
      <c r="E637" t="inlineStr">
        <is>
          <t>TRUITE PESTO</t>
        </is>
      </c>
      <c r="F637" t="n">
        <v>15.9</v>
      </c>
      <c r="G637" t="inlineStr">
        <is>
          <t>n° 34 : 0,50 + n° 35 : 0,25 + n° 36 : 0,25</t>
        </is>
      </c>
      <c r="H637" t="n">
        <v>1</v>
      </c>
    </row>
    <row r="638">
      <c r="A638" t="inlineStr">
        <is>
          <t>2022-2023</t>
        </is>
      </c>
      <c r="B638" t="inlineStr">
        <is>
          <t>2022-07-29</t>
        </is>
      </c>
      <c r="C638" t="inlineStr">
        <is>
          <t>21:12</t>
        </is>
      </c>
      <c r="D638" t="inlineStr">
        <is>
          <t>n° 34 + n° 35 + n° 36 + n° 37 + n° 38</t>
        </is>
      </c>
      <c r="E638" t="inlineStr">
        <is>
          <t>CALIN</t>
        </is>
      </c>
      <c r="F638" t="n">
        <v>10.5</v>
      </c>
      <c r="G638" t="inlineStr">
        <is>
          <t>n° 34 : 0,50 + n° 35 : 0,25 + n° 36 : 0,25</t>
        </is>
      </c>
      <c r="H638" t="n">
        <v>1</v>
      </c>
    </row>
    <row r="639">
      <c r="A639" t="inlineStr">
        <is>
          <t>2022-2023</t>
        </is>
      </c>
      <c r="B639" t="inlineStr">
        <is>
          <t>2022-07-29</t>
        </is>
      </c>
      <c r="C639" t="inlineStr">
        <is>
          <t>21:12</t>
        </is>
      </c>
      <c r="D639" t="inlineStr">
        <is>
          <t>n° 34 + n° 35 + n° 36 + n° 37 + n° 38</t>
        </is>
      </c>
      <c r="E639" t="inlineStr">
        <is>
          <t>FOULETOT</t>
        </is>
      </c>
      <c r="F639" t="n">
        <v>10.5</v>
      </c>
      <c r="G639" t="inlineStr">
        <is>
          <t>n° 34 : 0,50 + n° 35 : 0,25 + n° 36 : 0,25</t>
        </is>
      </c>
      <c r="H639" t="n">
        <v>1</v>
      </c>
    </row>
    <row r="640">
      <c r="A640" t="inlineStr">
        <is>
          <t>2022-2023</t>
        </is>
      </c>
      <c r="B640" t="inlineStr">
        <is>
          <t>2022-07-29</t>
        </is>
      </c>
      <c r="C640" t="inlineStr">
        <is>
          <t>21:12</t>
        </is>
      </c>
      <c r="D640" t="inlineStr">
        <is>
          <t>n° 34 + n° 35 + n° 36 + n° 37 + n° 38</t>
        </is>
      </c>
      <c r="E640" t="inlineStr">
        <is>
          <t>Assortiment charcute</t>
        </is>
      </c>
      <c r="F640" t="n">
        <v>8.800000000000001</v>
      </c>
      <c r="G640" t="inlineStr">
        <is>
          <t>n° 34 : 0,50 + n° 35 : 0,25 + n° 36 : 0,25</t>
        </is>
      </c>
      <c r="H640" t="n">
        <v>1</v>
      </c>
    </row>
    <row r="641">
      <c r="A641" t="inlineStr">
        <is>
          <t>2022-2023</t>
        </is>
      </c>
      <c r="B641" t="inlineStr">
        <is>
          <t>2022-07-29</t>
        </is>
      </c>
      <c r="C641" t="inlineStr">
        <is>
          <t>21:12</t>
        </is>
      </c>
      <c r="D641" t="inlineStr">
        <is>
          <t>n° 34 + n° 35 + n° 36 + n° 37 + n° 38</t>
        </is>
      </c>
      <c r="E641" t="inlineStr">
        <is>
          <t>Pavlova</t>
        </is>
      </c>
      <c r="F641" t="n">
        <v>8.699999999999999</v>
      </c>
      <c r="G641" t="inlineStr">
        <is>
          <t>n° 37 : 0,50 + n° 38 : 0,50</t>
        </is>
      </c>
      <c r="H641" t="n">
        <v>1</v>
      </c>
    </row>
    <row r="642">
      <c r="A642" t="inlineStr">
        <is>
          <t>2022-2023</t>
        </is>
      </c>
      <c r="B642" t="inlineStr">
        <is>
          <t>2022-07-29</t>
        </is>
      </c>
      <c r="C642" t="inlineStr">
        <is>
          <t>21:12</t>
        </is>
      </c>
      <c r="D642" t="inlineStr">
        <is>
          <t>n° 34 + n° 35 + n° 36 + n° 37 + n° 38</t>
        </is>
      </c>
      <c r="E642" t="inlineStr">
        <is>
          <t>Macvin du Jura</t>
        </is>
      </c>
      <c r="F642" t="n">
        <v>4.9</v>
      </c>
      <c r="G642" t="inlineStr">
        <is>
          <t>n° 34 : 0,50 + n° 35 : 0,25 + n° 36 : 0,25</t>
        </is>
      </c>
      <c r="H642" t="n">
        <v>1</v>
      </c>
    </row>
    <row r="643">
      <c r="A643" t="inlineStr">
        <is>
          <t>2022-2023</t>
        </is>
      </c>
      <c r="B643" t="inlineStr">
        <is>
          <t>2022-07-29</t>
        </is>
      </c>
      <c r="C643" t="inlineStr">
        <is>
          <t>21:12</t>
        </is>
      </c>
      <c r="D643" t="inlineStr">
        <is>
          <t>n° 34 + n° 35 + n° 36 + n° 37 + n° 38</t>
        </is>
      </c>
      <c r="E643" t="inlineStr">
        <is>
          <t>Kir Bourgogne</t>
        </is>
      </c>
      <c r="F643" t="n">
        <v>4.2</v>
      </c>
      <c r="G643" t="inlineStr">
        <is>
          <t>n° 34 : 1,50 + n° 35 : 0,75 + n° 36 : 0,75</t>
        </is>
      </c>
      <c r="H643" t="n">
        <v>3</v>
      </c>
    </row>
    <row r="644">
      <c r="A644" t="inlineStr">
        <is>
          <t>2022-2023</t>
        </is>
      </c>
      <c r="B644" t="inlineStr">
        <is>
          <t>2022-07-29</t>
        </is>
      </c>
      <c r="C644" t="inlineStr">
        <is>
          <t>21:12</t>
        </is>
      </c>
      <c r="D644" t="inlineStr">
        <is>
          <t>n° 34 + n° 35 + n° 36 + n° 37 + n° 38</t>
        </is>
      </c>
      <c r="E644" t="inlineStr">
        <is>
          <t>GLACE 2 BOULES</t>
        </is>
      </c>
      <c r="F644" t="n">
        <v>3.9</v>
      </c>
      <c r="G644" t="inlineStr">
        <is>
          <t>n° 34 : 1,00 + n° 35 : 0,50 + n° 36 : 0,50 + n° 37 : 0,50 + n° 38 : 0,50</t>
        </is>
      </c>
      <c r="H644" t="n">
        <v>3</v>
      </c>
    </row>
    <row r="645">
      <c r="A645" t="inlineStr">
        <is>
          <t>2022-2023</t>
        </is>
      </c>
      <c r="B645" t="inlineStr">
        <is>
          <t>2022-07-29</t>
        </is>
      </c>
      <c r="C645" t="inlineStr">
        <is>
          <t>21:12</t>
        </is>
      </c>
      <c r="D645" t="inlineStr">
        <is>
          <t>n° 34 + n° 35 + n° 36 + n° 37 + n° 38</t>
        </is>
      </c>
      <c r="E645" t="inlineStr">
        <is>
          <t>Diabolo (25cl)</t>
        </is>
      </c>
      <c r="F645" t="n">
        <v>3.9</v>
      </c>
      <c r="G645" t="inlineStr">
        <is>
          <t>n° 37 : 0,50 + n° 38 : 0,50</t>
        </is>
      </c>
      <c r="H645" t="n">
        <v>1</v>
      </c>
    </row>
    <row r="646">
      <c r="A646" t="inlineStr">
        <is>
          <t>2022-2023</t>
        </is>
      </c>
      <c r="B646" t="inlineStr">
        <is>
          <t>2022-07-29</t>
        </is>
      </c>
      <c r="C646" t="inlineStr">
        <is>
          <t>21:12</t>
        </is>
      </c>
      <c r="D646" t="inlineStr">
        <is>
          <t>n° 34 + n° 35 + n° 36 + n° 37 + n° 38</t>
        </is>
      </c>
      <c r="E646" t="inlineStr">
        <is>
          <t>Jus de Fruit</t>
        </is>
      </c>
      <c r="F646" t="n">
        <v>3.9</v>
      </c>
      <c r="G646" t="inlineStr">
        <is>
          <t>n° 37 : 0,50 + n° 38 : 0,50</t>
        </is>
      </c>
      <c r="H646" t="n">
        <v>1</v>
      </c>
    </row>
    <row r="647">
      <c r="A647" t="inlineStr">
        <is>
          <t>2022-2023</t>
        </is>
      </c>
      <c r="B647" t="inlineStr">
        <is>
          <t>2022-07-30</t>
        </is>
      </c>
      <c r="C647" t="inlineStr">
        <is>
          <t>20:07</t>
        </is>
      </c>
      <c r="D647" t="inlineStr">
        <is>
          <t>n° 20 + n° 21 + n° 23 + n° 24</t>
        </is>
      </c>
      <c r="E647" t="inlineStr">
        <is>
          <t>Menu Franc-Comtois</t>
        </is>
      </c>
      <c r="F647" t="n">
        <v>32</v>
      </c>
      <c r="G647" t="inlineStr">
        <is>
          <t>n° 23 : 0,50 + n° 24 : 0,50</t>
        </is>
      </c>
      <c r="H647" t="n">
        <v>1</v>
      </c>
    </row>
    <row r="648">
      <c r="A648" t="inlineStr">
        <is>
          <t>2022-2023</t>
        </is>
      </c>
      <c r="B648" t="inlineStr">
        <is>
          <t>2022-07-30</t>
        </is>
      </c>
      <c r="C648" t="inlineStr">
        <is>
          <t>20:07</t>
        </is>
      </c>
      <c r="D648" t="inlineStr">
        <is>
          <t>n° 20 + n° 21 + n° 23 + n° 24</t>
        </is>
      </c>
      <c r="E648" t="inlineStr">
        <is>
          <t>CAMEMBERT ROTI</t>
        </is>
      </c>
      <c r="F648" t="n">
        <v>17.6</v>
      </c>
      <c r="G648" t="inlineStr">
        <is>
          <t>n° 23 : 0,50 + n° 24 : 0,50</t>
        </is>
      </c>
      <c r="H648" t="n">
        <v>1</v>
      </c>
    </row>
    <row r="649">
      <c r="A649" t="inlineStr">
        <is>
          <t>2022-2023</t>
        </is>
      </c>
      <c r="B649" t="inlineStr">
        <is>
          <t>2022-07-30</t>
        </is>
      </c>
      <c r="C649" t="inlineStr">
        <is>
          <t>20:07</t>
        </is>
      </c>
      <c r="D649" t="inlineStr">
        <is>
          <t>n° 20 + n° 21 + n° 23 + n° 24</t>
        </is>
      </c>
      <c r="E649" t="inlineStr">
        <is>
          <t>TANTE ARIE</t>
        </is>
      </c>
      <c r="F649" t="n">
        <v>8.5</v>
      </c>
      <c r="G649" t="inlineStr">
        <is>
          <t>n° 23 : 0,50 + n° 24 : 0,50</t>
        </is>
      </c>
      <c r="H649" t="n">
        <v>1</v>
      </c>
    </row>
    <row r="650">
      <c r="A650" t="inlineStr">
        <is>
          <t>2022-2023</t>
        </is>
      </c>
      <c r="B650" t="inlineStr">
        <is>
          <t>2022-07-30</t>
        </is>
      </c>
      <c r="C650" t="inlineStr">
        <is>
          <t>20:07</t>
        </is>
      </c>
      <c r="D650" t="inlineStr">
        <is>
          <t>n° 20 + n° 21 + n° 23 + n° 24</t>
        </is>
      </c>
      <c r="E650" t="inlineStr">
        <is>
          <t>Escargots de Bourgog</t>
        </is>
      </c>
      <c r="F650" t="n">
        <v>8</v>
      </c>
      <c r="G650" t="inlineStr">
        <is>
          <t>n° 23 : 0,50 + n° 24 : 0,50</t>
        </is>
      </c>
      <c r="H650" t="n">
        <v>1</v>
      </c>
    </row>
    <row r="651">
      <c r="A651" t="inlineStr">
        <is>
          <t>2022-2023</t>
        </is>
      </c>
      <c r="B651" t="inlineStr">
        <is>
          <t>2022-07-30</t>
        </is>
      </c>
      <c r="C651" t="inlineStr">
        <is>
          <t>20:07</t>
        </is>
      </c>
      <c r="D651" t="inlineStr">
        <is>
          <t>n° 20 + n° 21 + n° 23 + n° 24</t>
        </is>
      </c>
      <c r="E651" t="inlineStr">
        <is>
          <t>Blanche des plateaux</t>
        </is>
      </c>
      <c r="F651" t="n">
        <v>5.9</v>
      </c>
      <c r="G651" t="inlineStr">
        <is>
          <t>n° 23 : 0,50 + n° 24 : 0,50</t>
        </is>
      </c>
      <c r="H651" t="n">
        <v>1</v>
      </c>
    </row>
    <row r="652">
      <c r="A652" t="inlineStr">
        <is>
          <t>2022-2023</t>
        </is>
      </c>
      <c r="B652" t="inlineStr">
        <is>
          <t>2022-07-30</t>
        </is>
      </c>
      <c r="C652" t="inlineStr">
        <is>
          <t>20:07</t>
        </is>
      </c>
      <c r="D652" t="inlineStr">
        <is>
          <t>n° 20 + n° 21 + n° 23 + n° 24</t>
        </is>
      </c>
      <c r="E652" t="inlineStr">
        <is>
          <t>La Vouivre</t>
        </is>
      </c>
      <c r="F652" t="n">
        <v>5.2</v>
      </c>
      <c r="G652" t="inlineStr">
        <is>
          <t>n° 23 : 0,50 + n° 24 : 0,50</t>
        </is>
      </c>
      <c r="H652" t="n">
        <v>1</v>
      </c>
    </row>
    <row r="653">
      <c r="A653" t="inlineStr">
        <is>
          <t>2022-2023</t>
        </is>
      </c>
      <c r="B653" t="inlineStr">
        <is>
          <t>2022-07-30</t>
        </is>
      </c>
      <c r="C653" t="inlineStr">
        <is>
          <t>20:07</t>
        </is>
      </c>
      <c r="D653" t="inlineStr">
        <is>
          <t>n° 20 + n° 21 + n° 23 + n° 24</t>
        </is>
      </c>
      <c r="E653" t="inlineStr">
        <is>
          <t>Crêpe Nutella</t>
        </is>
      </c>
      <c r="F653" t="n">
        <v>4.7</v>
      </c>
      <c r="G653" t="inlineStr">
        <is>
          <t>n° 20 : 0,50 + n° 21 : 0,50</t>
        </is>
      </c>
      <c r="H653" t="n">
        <v>1</v>
      </c>
    </row>
    <row r="654">
      <c r="A654" t="inlineStr">
        <is>
          <t>2022-2023</t>
        </is>
      </c>
      <c r="B654" t="inlineStr">
        <is>
          <t>2022-07-30</t>
        </is>
      </c>
      <c r="C654" t="inlineStr">
        <is>
          <t>20:07</t>
        </is>
      </c>
      <c r="D654" t="inlineStr">
        <is>
          <t>n° 20 + n° 21 + n° 23 + n° 24</t>
        </is>
      </c>
      <c r="E654" t="inlineStr">
        <is>
          <t>GLACE 2 BOULES</t>
        </is>
      </c>
      <c r="F654" t="n">
        <v>3.9</v>
      </c>
      <c r="G654" t="inlineStr">
        <is>
          <t>n° 20 : 0,50 + n° 21 : 0,50</t>
        </is>
      </c>
      <c r="H654" t="n">
        <v>1</v>
      </c>
    </row>
    <row r="655">
      <c r="A655" t="inlineStr">
        <is>
          <t>2022-2023</t>
        </is>
      </c>
      <c r="B655" t="inlineStr">
        <is>
          <t>2022-07-30</t>
        </is>
      </c>
      <c r="C655" t="inlineStr">
        <is>
          <t>20:07</t>
        </is>
      </c>
      <c r="D655" t="inlineStr">
        <is>
          <t>n° 20 + n° 21 + n° 23 + n° 24</t>
        </is>
      </c>
      <c r="E655" t="inlineStr">
        <is>
          <t>CHANTILLY</t>
        </is>
      </c>
      <c r="F655" t="n">
        <v>1.8</v>
      </c>
      <c r="G655" t="inlineStr">
        <is>
          <t>n° 20 : 0,50 + n° 21 : 0,50</t>
        </is>
      </c>
      <c r="H655" t="n">
        <v>1</v>
      </c>
    </row>
    <row r="656">
      <c r="A656" t="inlineStr">
        <is>
          <t>2022-2023</t>
        </is>
      </c>
      <c r="B656" t="inlineStr">
        <is>
          <t>2022-07-31</t>
        </is>
      </c>
      <c r="C656" t="inlineStr">
        <is>
          <t>12:11</t>
        </is>
      </c>
      <c r="D656" t="inlineStr">
        <is>
          <t>n° 8 + n° 9</t>
        </is>
      </c>
      <c r="E656" t="inlineStr">
        <is>
          <t>PAYSANNE</t>
        </is>
      </c>
      <c r="F656" t="n">
        <v>19.9</v>
      </c>
      <c r="G656" t="inlineStr">
        <is>
          <t>n° 8 : 0,50 + n° 9 : 0,50</t>
        </is>
      </c>
      <c r="H656" t="n">
        <v>1</v>
      </c>
    </row>
    <row r="657">
      <c r="A657" t="inlineStr">
        <is>
          <t>2022-2023</t>
        </is>
      </c>
      <c r="B657" t="inlineStr">
        <is>
          <t>2022-07-31</t>
        </is>
      </c>
      <c r="C657" t="inlineStr">
        <is>
          <t>12:11</t>
        </is>
      </c>
      <c r="D657" t="inlineStr">
        <is>
          <t>n° 8 + n° 9</t>
        </is>
      </c>
      <c r="E657" t="inlineStr">
        <is>
          <t>CAMEMBERT ROTI</t>
        </is>
      </c>
      <c r="F657" t="n">
        <v>17.6</v>
      </c>
      <c r="G657" t="inlineStr">
        <is>
          <t>n° 8 : 0,50 + n° 9 : 0,50</t>
        </is>
      </c>
      <c r="H657" t="n">
        <v>1</v>
      </c>
    </row>
    <row r="658">
      <c r="A658" t="inlineStr">
        <is>
          <t>2022-2023</t>
        </is>
      </c>
      <c r="B658" t="inlineStr">
        <is>
          <t>2022-07-31</t>
        </is>
      </c>
      <c r="C658" t="inlineStr">
        <is>
          <t>12:11</t>
        </is>
      </c>
      <c r="D658" t="inlineStr">
        <is>
          <t>n° 8 + n° 9</t>
        </is>
      </c>
      <c r="E658" t="inlineStr">
        <is>
          <t>POULET JURASSIENNE</t>
        </is>
      </c>
      <c r="F658" t="n">
        <v>17.6</v>
      </c>
      <c r="G658" t="inlineStr">
        <is>
          <t>n° 8 : 0,50 + n° 9 : 0,50</t>
        </is>
      </c>
      <c r="H658" t="n">
        <v>1</v>
      </c>
    </row>
    <row r="659">
      <c r="A659" t="inlineStr">
        <is>
          <t>2022-2023</t>
        </is>
      </c>
      <c r="B659" t="inlineStr">
        <is>
          <t>2022-07-31</t>
        </is>
      </c>
      <c r="C659" t="inlineStr">
        <is>
          <t>12:11</t>
        </is>
      </c>
      <c r="D659" t="inlineStr">
        <is>
          <t>n° 8 + n° 9</t>
        </is>
      </c>
      <c r="E659" t="inlineStr">
        <is>
          <t>TRUITE PESTO</t>
        </is>
      </c>
      <c r="F659" t="n">
        <v>15.9</v>
      </c>
      <c r="G659" t="inlineStr">
        <is>
          <t>n° 8 : 0,50 + n° 9 : 0,50</t>
        </is>
      </c>
      <c r="H659" t="n">
        <v>1</v>
      </c>
    </row>
    <row r="660">
      <c r="A660" t="inlineStr">
        <is>
          <t>2022-2023</t>
        </is>
      </c>
      <c r="B660" t="inlineStr">
        <is>
          <t>2022-07-31</t>
        </is>
      </c>
      <c r="C660" t="inlineStr">
        <is>
          <t>12:11</t>
        </is>
      </c>
      <c r="D660" t="inlineStr">
        <is>
          <t>n° 8 + n° 9</t>
        </is>
      </c>
      <c r="E660" t="inlineStr">
        <is>
          <t>Sol</t>
        </is>
      </c>
      <c r="F660" t="n">
        <v>8.5</v>
      </c>
      <c r="G660" t="inlineStr">
        <is>
          <t>n° 8 : 0,50 + n° 9 : 0,50</t>
        </is>
      </c>
      <c r="H660" t="n">
        <v>1</v>
      </c>
    </row>
    <row r="661">
      <c r="A661" t="inlineStr">
        <is>
          <t>2022-2023</t>
        </is>
      </c>
      <c r="B661" t="inlineStr">
        <is>
          <t>2022-07-31</t>
        </is>
      </c>
      <c r="C661" t="inlineStr">
        <is>
          <t>12:11</t>
        </is>
      </c>
      <c r="D661" t="inlineStr">
        <is>
          <t>n° 8 + n° 9</t>
        </is>
      </c>
      <c r="E661" t="inlineStr">
        <is>
          <t>PASSION</t>
        </is>
      </c>
      <c r="F661" t="n">
        <v>5.8</v>
      </c>
      <c r="G661" t="inlineStr">
        <is>
          <t>n° 8 : 0,50 + n° 9 : 0,50</t>
        </is>
      </c>
      <c r="H661" t="n">
        <v>1</v>
      </c>
    </row>
    <row r="662">
      <c r="A662" t="inlineStr">
        <is>
          <t>2022-2023</t>
        </is>
      </c>
      <c r="B662" t="inlineStr">
        <is>
          <t>2022-07-31</t>
        </is>
      </c>
      <c r="C662" t="inlineStr">
        <is>
          <t>12:11</t>
        </is>
      </c>
      <c r="D662" t="inlineStr">
        <is>
          <t>n° 8 + n° 9</t>
        </is>
      </c>
      <c r="E662" t="inlineStr">
        <is>
          <t>Kir Bourgogne</t>
        </is>
      </c>
      <c r="F662" t="n">
        <v>4.2</v>
      </c>
      <c r="G662" t="inlineStr">
        <is>
          <t>n° 8 : 0,50 + n° 9 : 0,50</t>
        </is>
      </c>
      <c r="H662" t="n">
        <v>1</v>
      </c>
    </row>
    <row r="663">
      <c r="A663" t="inlineStr">
        <is>
          <t>2022-2023</t>
        </is>
      </c>
      <c r="B663" t="inlineStr">
        <is>
          <t>2022-07-31</t>
        </is>
      </c>
      <c r="C663" t="inlineStr">
        <is>
          <t>12:11</t>
        </is>
      </c>
      <c r="D663" t="inlineStr">
        <is>
          <t>n° 8 + n° 9</t>
        </is>
      </c>
      <c r="E663" t="inlineStr">
        <is>
          <t>Panaché</t>
        </is>
      </c>
      <c r="F663" t="n">
        <v>3.9</v>
      </c>
      <c r="G663" t="inlineStr">
        <is>
          <t>n° 8 : 0,50 + n° 9 : 0,50</t>
        </is>
      </c>
      <c r="H663" t="n">
        <v>1</v>
      </c>
    </row>
    <row r="664">
      <c r="A664" t="inlineStr">
        <is>
          <t>2022-2023</t>
        </is>
      </c>
      <c r="B664" t="inlineStr">
        <is>
          <t>2022-07-31</t>
        </is>
      </c>
      <c r="C664" t="inlineStr">
        <is>
          <t>12:11</t>
        </is>
      </c>
      <c r="D664" t="inlineStr">
        <is>
          <t>n° 8 + n° 9</t>
        </is>
      </c>
      <c r="E664" t="inlineStr">
        <is>
          <t>GLACE 2 BOULES</t>
        </is>
      </c>
      <c r="F664" t="n">
        <v>3.9</v>
      </c>
      <c r="G664" t="inlineStr">
        <is>
          <t>n° 8 : 0,50 + n° 9 : 0,50</t>
        </is>
      </c>
      <c r="H664" t="n">
        <v>1</v>
      </c>
    </row>
    <row r="665">
      <c r="A665" t="inlineStr">
        <is>
          <t>2022-2023</t>
        </is>
      </c>
      <c r="B665" t="inlineStr">
        <is>
          <t>2022-07-31</t>
        </is>
      </c>
      <c r="C665" t="inlineStr">
        <is>
          <t>12:11</t>
        </is>
      </c>
      <c r="D665" t="inlineStr">
        <is>
          <t>n° 8 + n° 9</t>
        </is>
      </c>
      <c r="E665" t="inlineStr">
        <is>
          <t>Expresso</t>
        </is>
      </c>
      <c r="F665" t="n">
        <v>2.2</v>
      </c>
      <c r="G665" t="inlineStr">
        <is>
          <t>n° 8 : 0,50 + n° 9 : 0,50</t>
        </is>
      </c>
      <c r="H665" t="n">
        <v>1</v>
      </c>
    </row>
    <row r="666">
      <c r="A666" t="inlineStr">
        <is>
          <t>2022-2023</t>
        </is>
      </c>
      <c r="B666" t="inlineStr">
        <is>
          <t>2022-08-02</t>
        </is>
      </c>
      <c r="C666" t="inlineStr">
        <is>
          <t>11:41</t>
        </is>
      </c>
      <c r="D666" t="inlineStr">
        <is>
          <t>n° 6 + n° 7</t>
        </is>
      </c>
      <c r="E666" t="inlineStr">
        <is>
          <t>CAMEMBERT ROTI</t>
        </is>
      </c>
      <c r="F666" t="n">
        <v>17.6</v>
      </c>
      <c r="G666" t="inlineStr">
        <is>
          <t>n° 6 : 0,50 + n° 7 : 0,50</t>
        </is>
      </c>
      <c r="H666" t="n">
        <v>1</v>
      </c>
    </row>
    <row r="667">
      <c r="A667" t="inlineStr">
        <is>
          <t>2022-2023</t>
        </is>
      </c>
      <c r="B667" t="inlineStr">
        <is>
          <t>2022-08-02</t>
        </is>
      </c>
      <c r="C667" t="inlineStr">
        <is>
          <t>11:41</t>
        </is>
      </c>
      <c r="D667" t="inlineStr">
        <is>
          <t>n° 6 + n° 7</t>
        </is>
      </c>
      <c r="E667" t="inlineStr">
        <is>
          <t>GLACE 2 BOULES</t>
        </is>
      </c>
      <c r="F667" t="n">
        <v>3.9</v>
      </c>
      <c r="G667" t="inlineStr">
        <is>
          <t>n° 6 : 1,50 + n° 7 : 1,50</t>
        </is>
      </c>
      <c r="H667" t="n">
        <v>3</v>
      </c>
    </row>
    <row r="668">
      <c r="A668" t="inlineStr">
        <is>
          <t>2022-2023</t>
        </is>
      </c>
      <c r="B668" t="inlineStr">
        <is>
          <t>2022-08-02</t>
        </is>
      </c>
      <c r="C668" t="inlineStr">
        <is>
          <t>19:31</t>
        </is>
      </c>
      <c r="D668" t="inlineStr">
        <is>
          <t>n° 26 + n° 27 + n° 29 + n° 30</t>
        </is>
      </c>
      <c r="E668" t="inlineStr">
        <is>
          <t>Bohème</t>
        </is>
      </c>
      <c r="F668" t="n">
        <v>29</v>
      </c>
      <c r="G668" t="inlineStr">
        <is>
          <t>n° 26 : 0,50 + n° 27 : 0,50</t>
        </is>
      </c>
      <c r="H668" t="n">
        <v>1</v>
      </c>
    </row>
    <row r="669">
      <c r="A669" t="inlineStr">
        <is>
          <t>2022-2023</t>
        </is>
      </c>
      <c r="B669" t="inlineStr">
        <is>
          <t>2022-08-02</t>
        </is>
      </c>
      <c r="C669" t="inlineStr">
        <is>
          <t>19:31</t>
        </is>
      </c>
      <c r="D669" t="inlineStr">
        <is>
          <t>n° 26 + n° 27 + n° 29 + n° 30</t>
        </is>
      </c>
      <c r="E669" t="inlineStr">
        <is>
          <t>Salade Végétarienne</t>
        </is>
      </c>
      <c r="F669" t="n">
        <v>19.9</v>
      </c>
      <c r="G669" t="inlineStr">
        <is>
          <t>n° 26 : 0,50 + n° 27 : 0,50</t>
        </is>
      </c>
      <c r="H669" t="n">
        <v>1</v>
      </c>
    </row>
    <row r="670">
      <c r="A670" t="inlineStr">
        <is>
          <t>2022-2023</t>
        </is>
      </c>
      <c r="B670" t="inlineStr">
        <is>
          <t>2022-08-02</t>
        </is>
      </c>
      <c r="C670" t="inlineStr">
        <is>
          <t>19:31</t>
        </is>
      </c>
      <c r="D670" t="inlineStr">
        <is>
          <t>n° 26 + n° 27 + n° 29 + n° 30</t>
        </is>
      </c>
      <c r="E670" t="inlineStr">
        <is>
          <t>PAYSANNE</t>
        </is>
      </c>
      <c r="F670" t="n">
        <v>19.9</v>
      </c>
      <c r="G670" t="inlineStr">
        <is>
          <t>n° 29 : 0,50 + n° 30 : 0,50</t>
        </is>
      </c>
      <c r="H670" t="n">
        <v>1</v>
      </c>
    </row>
    <row r="671">
      <c r="A671" t="inlineStr">
        <is>
          <t>2022-2023</t>
        </is>
      </c>
      <c r="B671" t="inlineStr">
        <is>
          <t>2022-08-02</t>
        </is>
      </c>
      <c r="C671" t="inlineStr">
        <is>
          <t>19:31</t>
        </is>
      </c>
      <c r="D671" t="inlineStr">
        <is>
          <t>n° 26 + n° 27 + n° 29 + n° 30</t>
        </is>
      </c>
      <c r="E671" t="inlineStr">
        <is>
          <t>TRUITE JURASSIENNE</t>
        </is>
      </c>
      <c r="F671" t="n">
        <v>17.6</v>
      </c>
      <c r="G671" t="inlineStr">
        <is>
          <t>n° 26 : 0,50 + n° 27 : 0,50</t>
        </is>
      </c>
      <c r="H671" t="n">
        <v>1</v>
      </c>
    </row>
    <row r="672">
      <c r="A672" t="inlineStr">
        <is>
          <t>2022-2023</t>
        </is>
      </c>
      <c r="B672" t="inlineStr">
        <is>
          <t>2022-08-02</t>
        </is>
      </c>
      <c r="C672" t="inlineStr">
        <is>
          <t>19:31</t>
        </is>
      </c>
      <c r="D672" t="inlineStr">
        <is>
          <t>n° 26 + n° 27 + n° 29 + n° 30</t>
        </is>
      </c>
      <c r="E672" t="inlineStr">
        <is>
          <t>ASSIETTE FRANC-COMTO</t>
        </is>
      </c>
      <c r="F672" t="n">
        <v>17.6</v>
      </c>
      <c r="G672" t="inlineStr">
        <is>
          <t>n° 29 : 0,50 + n° 30 : 0,50</t>
        </is>
      </c>
      <c r="H672" t="n">
        <v>1</v>
      </c>
    </row>
    <row r="673">
      <c r="A673" t="inlineStr">
        <is>
          <t>2022-2023</t>
        </is>
      </c>
      <c r="B673" t="inlineStr">
        <is>
          <t>2022-08-02</t>
        </is>
      </c>
      <c r="C673" t="inlineStr">
        <is>
          <t>19:31</t>
        </is>
      </c>
      <c r="D673" t="inlineStr">
        <is>
          <t>n° 26 + n° 27 + n° 29 + n° 30</t>
        </is>
      </c>
      <c r="E673" t="inlineStr">
        <is>
          <t>CABRICHOU</t>
        </is>
      </c>
      <c r="F673" t="n">
        <v>15.9</v>
      </c>
      <c r="G673" t="inlineStr">
        <is>
          <t>n° 26 : 0,50 + n° 27 : 0,50</t>
        </is>
      </c>
      <c r="H673" t="n">
        <v>1</v>
      </c>
    </row>
    <row r="674">
      <c r="A674" t="inlineStr">
        <is>
          <t>2022-2023</t>
        </is>
      </c>
      <c r="B674" t="inlineStr">
        <is>
          <t>2022-08-02</t>
        </is>
      </c>
      <c r="C674" t="inlineStr">
        <is>
          <t>19:31</t>
        </is>
      </c>
      <c r="D674" t="inlineStr">
        <is>
          <t>n° 26 + n° 27 + n° 29 + n° 30</t>
        </is>
      </c>
      <c r="E674" t="inlineStr">
        <is>
          <t>TRUITE PESTO</t>
        </is>
      </c>
      <c r="F674" t="n">
        <v>15.9</v>
      </c>
      <c r="G674" t="inlineStr">
        <is>
          <t>n° 26 : 0,50 + n° 27 : 0,50</t>
        </is>
      </c>
      <c r="H674" t="n">
        <v>1</v>
      </c>
    </row>
    <row r="675">
      <c r="A675" t="inlineStr">
        <is>
          <t>2022-2023</t>
        </is>
      </c>
      <c r="B675" t="inlineStr">
        <is>
          <t>2022-08-02</t>
        </is>
      </c>
      <c r="C675" t="inlineStr">
        <is>
          <t>19:31</t>
        </is>
      </c>
      <c r="D675" t="inlineStr">
        <is>
          <t>n° 26 + n° 27 + n° 29 + n° 30</t>
        </is>
      </c>
      <c r="E675" t="inlineStr">
        <is>
          <t>Pichet 50cl vin</t>
        </is>
      </c>
      <c r="F675" t="n">
        <v>9.800000000000001</v>
      </c>
      <c r="G675" t="inlineStr">
        <is>
          <t>n° 29 : 0,50 + n° 30 : 0,50</t>
        </is>
      </c>
      <c r="H675" t="n">
        <v>1</v>
      </c>
    </row>
    <row r="676">
      <c r="A676" t="inlineStr">
        <is>
          <t>2022-2023</t>
        </is>
      </c>
      <c r="B676" t="inlineStr">
        <is>
          <t>2022-08-02</t>
        </is>
      </c>
      <c r="C676" t="inlineStr">
        <is>
          <t>19:31</t>
        </is>
      </c>
      <c r="D676" t="inlineStr">
        <is>
          <t>n° 26 + n° 27 + n° 29 + n° 30</t>
        </is>
      </c>
      <c r="E676" t="inlineStr">
        <is>
          <t>Pavlova</t>
        </is>
      </c>
      <c r="F676" t="n">
        <v>8.699999999999999</v>
      </c>
      <c r="G676" t="inlineStr">
        <is>
          <t>n° 29 : 0,50 + n° 30 : 0,50</t>
        </is>
      </c>
      <c r="H676" t="n">
        <v>1</v>
      </c>
    </row>
    <row r="677">
      <c r="A677" t="inlineStr">
        <is>
          <t>2022-2023</t>
        </is>
      </c>
      <c r="B677" t="inlineStr">
        <is>
          <t>2022-08-02</t>
        </is>
      </c>
      <c r="C677" t="inlineStr">
        <is>
          <t>19:31</t>
        </is>
      </c>
      <c r="D677" t="inlineStr">
        <is>
          <t>n° 26 + n° 27 + n° 29 + n° 30</t>
        </is>
      </c>
      <c r="E677" t="inlineStr">
        <is>
          <t>Mi</t>
        </is>
      </c>
      <c r="F677" t="n">
        <v>8.5</v>
      </c>
      <c r="G677" t="inlineStr">
        <is>
          <t>n° 29 : 0,50 + n° 30 : 0,50</t>
        </is>
      </c>
      <c r="H677" t="n">
        <v>1</v>
      </c>
    </row>
    <row r="678">
      <c r="A678" t="inlineStr">
        <is>
          <t>2022-2023</t>
        </is>
      </c>
      <c r="B678" t="inlineStr">
        <is>
          <t>2022-08-02</t>
        </is>
      </c>
      <c r="C678" t="inlineStr">
        <is>
          <t>19:31</t>
        </is>
      </c>
      <c r="D678" t="inlineStr">
        <is>
          <t>n° 26 + n° 27 + n° 29 + n° 30</t>
        </is>
      </c>
      <c r="E678" t="inlineStr">
        <is>
          <t>Chat perché</t>
        </is>
      </c>
      <c r="F678" t="n">
        <v>5.2</v>
      </c>
      <c r="G678" t="inlineStr">
        <is>
          <t>n° 26 : 0,50 + n° 27 : 0,50</t>
        </is>
      </c>
      <c r="H678" t="n">
        <v>1</v>
      </c>
    </row>
    <row r="679">
      <c r="A679" t="inlineStr">
        <is>
          <t>2022-2023</t>
        </is>
      </c>
      <c r="B679" t="inlineStr">
        <is>
          <t>2022-08-02</t>
        </is>
      </c>
      <c r="C679" t="inlineStr">
        <is>
          <t>19:31</t>
        </is>
      </c>
      <c r="D679" t="inlineStr">
        <is>
          <t>n° 26 + n° 27 + n° 29 + n° 30</t>
        </is>
      </c>
      <c r="E679" t="inlineStr">
        <is>
          <t>Kir Bourgogne</t>
        </is>
      </c>
      <c r="F679" t="n">
        <v>4.2</v>
      </c>
      <c r="G679" t="inlineStr">
        <is>
          <t>n° 26 : 0,50 + n° 27 : 0,50</t>
        </is>
      </c>
      <c r="H679" t="n">
        <v>1</v>
      </c>
    </row>
    <row r="680">
      <c r="A680" t="inlineStr">
        <is>
          <t>2022-2023</t>
        </is>
      </c>
      <c r="B680" t="inlineStr">
        <is>
          <t>2022-08-02</t>
        </is>
      </c>
      <c r="C680" t="inlineStr">
        <is>
          <t>19:31</t>
        </is>
      </c>
      <c r="D680" t="inlineStr">
        <is>
          <t>n° 26 + n° 27 + n° 29 + n° 30</t>
        </is>
      </c>
      <c r="E680" t="inlineStr">
        <is>
          <t>Perrier 33cl</t>
        </is>
      </c>
      <c r="F680" t="n">
        <v>4</v>
      </c>
      <c r="G680" t="inlineStr">
        <is>
          <t>n° 29 : 0,50 + n° 30 : 0,50</t>
        </is>
      </c>
      <c r="H680" t="n">
        <v>1</v>
      </c>
    </row>
    <row r="681">
      <c r="A681" t="inlineStr">
        <is>
          <t>2022-2023</t>
        </is>
      </c>
      <c r="B681" t="inlineStr">
        <is>
          <t>2022-08-02</t>
        </is>
      </c>
      <c r="C681" t="inlineStr">
        <is>
          <t>19:31</t>
        </is>
      </c>
      <c r="D681" t="inlineStr">
        <is>
          <t>n° 26 + n° 27 + n° 29 + n° 30</t>
        </is>
      </c>
      <c r="E681" t="inlineStr">
        <is>
          <t>Expresso Crème</t>
        </is>
      </c>
      <c r="F681" t="n">
        <v>2.4</v>
      </c>
      <c r="G681" t="inlineStr">
        <is>
          <t>n° 26 : 0,50 + n° 27 : 0,50</t>
        </is>
      </c>
      <c r="H681" t="n">
        <v>1</v>
      </c>
    </row>
    <row r="682">
      <c r="A682" t="inlineStr">
        <is>
          <t>2022-2023</t>
        </is>
      </c>
      <c r="B682" t="inlineStr">
        <is>
          <t>2022-08-02</t>
        </is>
      </c>
      <c r="C682" t="inlineStr">
        <is>
          <t>19:31</t>
        </is>
      </c>
      <c r="D682" t="inlineStr">
        <is>
          <t>n° 26 + n° 27 + n° 29 + n° 30</t>
        </is>
      </c>
      <c r="E682" t="inlineStr">
        <is>
          <t>Expresso</t>
        </is>
      </c>
      <c r="F682" t="n">
        <v>2.2</v>
      </c>
      <c r="G682" t="inlineStr">
        <is>
          <t>n° 26 : 1,00 + n° 27 : 1,00 + n° 29 : 0,50 + n° 30 : 0,50</t>
        </is>
      </c>
      <c r="H682" t="n">
        <v>3</v>
      </c>
    </row>
    <row r="683">
      <c r="A683" t="inlineStr">
        <is>
          <t>2022-2023</t>
        </is>
      </c>
      <c r="B683" t="inlineStr">
        <is>
          <t>2022-08-03</t>
        </is>
      </c>
      <c r="C683" t="inlineStr">
        <is>
          <t>11:36</t>
        </is>
      </c>
      <c r="D683" t="inlineStr">
        <is>
          <t>n° 6 + n° 7</t>
        </is>
      </c>
      <c r="E683" t="inlineStr">
        <is>
          <t>Pichet 50cl vin</t>
        </is>
      </c>
      <c r="F683" t="n">
        <v>9.800000000000001</v>
      </c>
      <c r="G683" t="inlineStr">
        <is>
          <t>n° 6 : 0,50 + n° 7 : 0,50</t>
        </is>
      </c>
      <c r="H683" t="n">
        <v>1</v>
      </c>
    </row>
    <row r="684">
      <c r="A684" t="inlineStr">
        <is>
          <t>2022-2023</t>
        </is>
      </c>
      <c r="B684" t="inlineStr">
        <is>
          <t>2022-08-03</t>
        </is>
      </c>
      <c r="C684" t="inlineStr">
        <is>
          <t>11:36</t>
        </is>
      </c>
      <c r="D684" t="inlineStr">
        <is>
          <t>n° 6 + n° 7</t>
        </is>
      </c>
      <c r="E684" t="inlineStr">
        <is>
          <t>Expresso</t>
        </is>
      </c>
      <c r="F684" t="n">
        <v>2.2</v>
      </c>
      <c r="G684" t="inlineStr">
        <is>
          <t>n° 6 : 0,50 + n° 7 : 0,50</t>
        </is>
      </c>
      <c r="H684" t="n">
        <v>1</v>
      </c>
    </row>
    <row r="685">
      <c r="A685" t="inlineStr">
        <is>
          <t>2022-2023</t>
        </is>
      </c>
      <c r="B685" t="inlineStr">
        <is>
          <t>2022-08-03</t>
        </is>
      </c>
      <c r="C685" t="inlineStr">
        <is>
          <t>11:36</t>
        </is>
      </c>
      <c r="D685" t="inlineStr">
        <is>
          <t>n° 6 + n° 7</t>
        </is>
      </c>
      <c r="E685" t="inlineStr">
        <is>
          <t>Déca</t>
        </is>
      </c>
      <c r="F685" t="n">
        <v>2.2</v>
      </c>
      <c r="G685" t="inlineStr">
        <is>
          <t>n° 6 : 0,50 + n° 7 : 0,50</t>
        </is>
      </c>
      <c r="H685" t="n">
        <v>1</v>
      </c>
    </row>
    <row r="686">
      <c r="A686" t="inlineStr">
        <is>
          <t>2022-2023</t>
        </is>
      </c>
      <c r="B686" t="inlineStr">
        <is>
          <t>2022-08-03</t>
        </is>
      </c>
      <c r="C686" t="inlineStr">
        <is>
          <t>19:18</t>
        </is>
      </c>
      <c r="D686" t="inlineStr">
        <is>
          <t>n° 26 + n° 27</t>
        </is>
      </c>
      <c r="E686" t="inlineStr">
        <is>
          <t>Crémeux du Jura</t>
        </is>
      </c>
      <c r="F686" t="n">
        <v>19</v>
      </c>
      <c r="G686" t="inlineStr">
        <is>
          <t>n° 26 : 0,50 + n° 27 : 0,50</t>
        </is>
      </c>
      <c r="H686" t="n">
        <v>1</v>
      </c>
    </row>
    <row r="687">
      <c r="A687" t="inlineStr">
        <is>
          <t>2022-2023</t>
        </is>
      </c>
      <c r="B687" t="inlineStr">
        <is>
          <t>2022-08-03</t>
        </is>
      </c>
      <c r="C687" t="inlineStr">
        <is>
          <t>19:18</t>
        </is>
      </c>
      <c r="D687" t="inlineStr">
        <is>
          <t>n° 26 + n° 27</t>
        </is>
      </c>
      <c r="E687" t="inlineStr">
        <is>
          <t>TRUITE JURASSIENNE</t>
        </is>
      </c>
      <c r="F687" t="n">
        <v>17.6</v>
      </c>
      <c r="G687" t="inlineStr">
        <is>
          <t>n° 26 : 0,50 + n° 27 : 0,50</t>
        </is>
      </c>
      <c r="H687" t="n">
        <v>1</v>
      </c>
    </row>
    <row r="688">
      <c r="A688" t="inlineStr">
        <is>
          <t>2022-2023</t>
        </is>
      </c>
      <c r="B688" t="inlineStr">
        <is>
          <t>2022-08-03</t>
        </is>
      </c>
      <c r="C688" t="inlineStr">
        <is>
          <t>19:18</t>
        </is>
      </c>
      <c r="D688" t="inlineStr">
        <is>
          <t>n° 26 + n° 27</t>
        </is>
      </c>
      <c r="E688" t="inlineStr">
        <is>
          <t>GLACE 3 BOULES</t>
        </is>
      </c>
      <c r="F688" t="n">
        <v>5.8</v>
      </c>
      <c r="G688" t="inlineStr">
        <is>
          <t>n° 26 : 0,50 + n° 27 : 0,50</t>
        </is>
      </c>
      <c r="H688" t="n">
        <v>1</v>
      </c>
    </row>
    <row r="689">
      <c r="A689" t="inlineStr">
        <is>
          <t>2022-2023</t>
        </is>
      </c>
      <c r="B689" t="inlineStr">
        <is>
          <t>2022-08-03</t>
        </is>
      </c>
      <c r="C689" t="inlineStr">
        <is>
          <t>19:18</t>
        </is>
      </c>
      <c r="D689" t="inlineStr">
        <is>
          <t>n° 26 + n° 27</t>
        </is>
      </c>
      <c r="E689" t="inlineStr">
        <is>
          <t>Crêpe Salidou</t>
        </is>
      </c>
      <c r="F689" t="n">
        <v>5.6</v>
      </c>
      <c r="G689" t="inlineStr">
        <is>
          <t>n° 26 : 0,50 + n° 27 : 0,50</t>
        </is>
      </c>
      <c r="H689" t="n">
        <v>1</v>
      </c>
    </row>
    <row r="690">
      <c r="A690" t="inlineStr">
        <is>
          <t>2022-2023</t>
        </is>
      </c>
      <c r="B690" t="inlineStr">
        <is>
          <t>2022-08-03</t>
        </is>
      </c>
      <c r="C690" t="inlineStr">
        <is>
          <t>19:18</t>
        </is>
      </c>
      <c r="D690" t="inlineStr">
        <is>
          <t>n° 26 + n° 27</t>
        </is>
      </c>
      <c r="E690" t="inlineStr">
        <is>
          <t>La Vouivre</t>
        </is>
      </c>
      <c r="F690" t="n">
        <v>5.2</v>
      </c>
      <c r="G690" t="inlineStr">
        <is>
          <t>n° 26 : 0,50 + n° 27 : 0,50</t>
        </is>
      </c>
      <c r="H690" t="n">
        <v>1</v>
      </c>
    </row>
    <row r="691">
      <c r="A691" t="inlineStr">
        <is>
          <t>2022-2023</t>
        </is>
      </c>
      <c r="B691" t="inlineStr">
        <is>
          <t>2022-08-03</t>
        </is>
      </c>
      <c r="C691" t="inlineStr">
        <is>
          <t>20:41</t>
        </is>
      </c>
      <c r="D691" t="inlineStr">
        <is>
          <t>n° 34 + n° 35</t>
        </is>
      </c>
      <c r="E691" t="inlineStr">
        <is>
          <t>PICHET MOULIN A VENT</t>
        </is>
      </c>
      <c r="F691" t="n">
        <v>21</v>
      </c>
      <c r="G691" t="inlineStr">
        <is>
          <t>n° 34 : 0,50 + n° 35 : 0,50</t>
        </is>
      </c>
      <c r="H691" t="n">
        <v>1</v>
      </c>
    </row>
    <row r="692">
      <c r="A692" t="inlineStr">
        <is>
          <t>2022-2023</t>
        </is>
      </c>
      <c r="B692" t="inlineStr">
        <is>
          <t>2022-08-03</t>
        </is>
      </c>
      <c r="C692" t="inlineStr">
        <is>
          <t>20:41</t>
        </is>
      </c>
      <c r="D692" t="inlineStr">
        <is>
          <t>n° 34 + n° 35</t>
        </is>
      </c>
      <c r="E692" t="inlineStr">
        <is>
          <t>DADOULET</t>
        </is>
      </c>
      <c r="F692" t="n">
        <v>20.9</v>
      </c>
      <c r="G692" t="inlineStr">
        <is>
          <t>n° 34 : 0,50 + n° 35 : 0,50</t>
        </is>
      </c>
      <c r="H692" t="n">
        <v>1</v>
      </c>
    </row>
    <row r="693">
      <c r="A693" t="inlineStr">
        <is>
          <t>2022-2023</t>
        </is>
      </c>
      <c r="B693" t="inlineStr">
        <is>
          <t>2022-08-03</t>
        </is>
      </c>
      <c r="C693" t="inlineStr">
        <is>
          <t>20:41</t>
        </is>
      </c>
      <c r="D693" t="inlineStr">
        <is>
          <t>n° 34 + n° 35</t>
        </is>
      </c>
      <c r="E693" t="inlineStr">
        <is>
          <t>POULET JURASSIENNE</t>
        </is>
      </c>
      <c r="F693" t="n">
        <v>17.6</v>
      </c>
      <c r="G693" t="inlineStr">
        <is>
          <t>n° 34 : 0,50 + n° 35 : 0,50</t>
        </is>
      </c>
      <c r="H693" t="n">
        <v>1</v>
      </c>
    </row>
    <row r="694">
      <c r="A694" t="inlineStr">
        <is>
          <t>2022-2023</t>
        </is>
      </c>
      <c r="B694" t="inlineStr">
        <is>
          <t>2022-08-03</t>
        </is>
      </c>
      <c r="C694" t="inlineStr">
        <is>
          <t>20:41</t>
        </is>
      </c>
      <c r="D694" t="inlineStr">
        <is>
          <t>n° 34 + n° 35</t>
        </is>
      </c>
      <c r="E694" t="inlineStr">
        <is>
          <t>Crêpe Confiture</t>
        </is>
      </c>
      <c r="F694" t="n">
        <v>4.6</v>
      </c>
      <c r="G694" t="inlineStr">
        <is>
          <t>n° 34 : 0,50 + n° 35 : 0,50</t>
        </is>
      </c>
      <c r="H694" t="n">
        <v>1</v>
      </c>
    </row>
    <row r="695">
      <c r="A695" t="inlineStr">
        <is>
          <t>2022-2023</t>
        </is>
      </c>
      <c r="B695" t="inlineStr">
        <is>
          <t>2022-08-03</t>
        </is>
      </c>
      <c r="C695" t="inlineStr">
        <is>
          <t>20:41</t>
        </is>
      </c>
      <c r="D695" t="inlineStr">
        <is>
          <t>n° 34 + n° 35</t>
        </is>
      </c>
      <c r="E695" t="inlineStr">
        <is>
          <t>GLACE 2 BOULES</t>
        </is>
      </c>
      <c r="F695" t="n">
        <v>3.9</v>
      </c>
      <c r="G695" t="inlineStr">
        <is>
          <t>n° 34 : 0,50 + n° 35 : 0,50</t>
        </is>
      </c>
      <c r="H695" t="n">
        <v>1</v>
      </c>
    </row>
    <row r="696">
      <c r="A696" t="inlineStr">
        <is>
          <t>2022-2023</t>
        </is>
      </c>
      <c r="B696" t="inlineStr">
        <is>
          <t>2022-08-04</t>
        </is>
      </c>
      <c r="C696" t="inlineStr">
        <is>
          <t>13:19</t>
        </is>
      </c>
      <c r="D696" t="inlineStr">
        <is>
          <t>n° 17 + n° 18</t>
        </is>
      </c>
      <c r="E696" t="inlineStr">
        <is>
          <t>Crémeux du Jura</t>
        </is>
      </c>
      <c r="F696" t="n">
        <v>19</v>
      </c>
      <c r="G696" t="inlineStr">
        <is>
          <t>n° 17 : 0,50 + n° 18 : 0,50</t>
        </is>
      </c>
      <c r="H696" t="n">
        <v>1</v>
      </c>
    </row>
    <row r="697">
      <c r="A697" t="inlineStr">
        <is>
          <t>2022-2023</t>
        </is>
      </c>
      <c r="B697" t="inlineStr">
        <is>
          <t>2022-08-04</t>
        </is>
      </c>
      <c r="C697" t="inlineStr">
        <is>
          <t>13:19</t>
        </is>
      </c>
      <c r="D697" t="inlineStr">
        <is>
          <t>n° 17 + n° 18</t>
        </is>
      </c>
      <c r="E697" t="inlineStr">
        <is>
          <t>CAMEMBERT ROTI</t>
        </is>
      </c>
      <c r="F697" t="n">
        <v>17.6</v>
      </c>
      <c r="G697" t="inlineStr">
        <is>
          <t>n° 17 : 0,50 + n° 18 : 0,50</t>
        </is>
      </c>
      <c r="H697" t="n">
        <v>1</v>
      </c>
    </row>
    <row r="698">
      <c r="A698" t="inlineStr">
        <is>
          <t>2022-2023</t>
        </is>
      </c>
      <c r="B698" t="inlineStr">
        <is>
          <t>2022-08-04</t>
        </is>
      </c>
      <c r="C698" t="inlineStr">
        <is>
          <t>13:19</t>
        </is>
      </c>
      <c r="D698" t="inlineStr">
        <is>
          <t>n° 17 + n° 18</t>
        </is>
      </c>
      <c r="E698" t="inlineStr">
        <is>
          <t>Pavlova</t>
        </is>
      </c>
      <c r="F698" t="n">
        <v>8.699999999999999</v>
      </c>
      <c r="G698" t="inlineStr">
        <is>
          <t>n° 17 : 0,50 + n° 18 : 0,50</t>
        </is>
      </c>
      <c r="H698" t="n">
        <v>1</v>
      </c>
    </row>
    <row r="699">
      <c r="A699" t="inlineStr">
        <is>
          <t>2022-2023</t>
        </is>
      </c>
      <c r="B699" t="inlineStr">
        <is>
          <t>2022-08-04</t>
        </is>
      </c>
      <c r="C699" t="inlineStr">
        <is>
          <t>13:19</t>
        </is>
      </c>
      <c r="D699" t="inlineStr">
        <is>
          <t>n° 17 + n° 18</t>
        </is>
      </c>
      <c r="E699" t="inlineStr">
        <is>
          <t>PASSION</t>
        </is>
      </c>
      <c r="F699" t="n">
        <v>5.8</v>
      </c>
      <c r="G699" t="inlineStr">
        <is>
          <t>n° 17 : 0,50 + n° 18 : 0,50</t>
        </is>
      </c>
      <c r="H699" t="n">
        <v>1</v>
      </c>
    </row>
    <row r="700">
      <c r="A700" t="inlineStr">
        <is>
          <t>2022-2023</t>
        </is>
      </c>
      <c r="B700" t="inlineStr">
        <is>
          <t>2022-08-06</t>
        </is>
      </c>
      <c r="C700" t="inlineStr">
        <is>
          <t>19:04</t>
        </is>
      </c>
      <c r="D700" t="inlineStr">
        <is>
          <t>n° 18 + n° 19</t>
        </is>
      </c>
      <c r="E700" t="inlineStr">
        <is>
          <t>Crémeux du Jura</t>
        </is>
      </c>
      <c r="F700" t="n">
        <v>19</v>
      </c>
      <c r="G700" t="inlineStr">
        <is>
          <t>n° 18 : 0,50 + n° 19 : 0,50</t>
        </is>
      </c>
      <c r="H700" t="n">
        <v>1</v>
      </c>
    </row>
    <row r="701">
      <c r="A701" t="inlineStr">
        <is>
          <t>2022-2023</t>
        </is>
      </c>
      <c r="B701" t="inlineStr">
        <is>
          <t>2022-08-06</t>
        </is>
      </c>
      <c r="C701" t="inlineStr">
        <is>
          <t>19:04</t>
        </is>
      </c>
      <c r="D701" t="inlineStr">
        <is>
          <t>n° 18 + n° 19</t>
        </is>
      </c>
      <c r="E701" t="inlineStr">
        <is>
          <t>CAMEMBERT ROTI</t>
        </is>
      </c>
      <c r="F701" t="n">
        <v>17.6</v>
      </c>
      <c r="G701" t="inlineStr">
        <is>
          <t>n° 18 : 0,50 + n° 19 : 0,50</t>
        </is>
      </c>
      <c r="H701" t="n">
        <v>1</v>
      </c>
    </row>
    <row r="702">
      <c r="A702" t="inlineStr">
        <is>
          <t>2022-2023</t>
        </is>
      </c>
      <c r="B702" t="inlineStr">
        <is>
          <t>2022-08-06</t>
        </is>
      </c>
      <c r="C702" t="inlineStr">
        <is>
          <t>19:04</t>
        </is>
      </c>
      <c r="D702" t="inlineStr">
        <is>
          <t>n° 18 + n° 19</t>
        </is>
      </c>
      <c r="E702" t="inlineStr">
        <is>
          <t>Pavlova</t>
        </is>
      </c>
      <c r="F702" t="n">
        <v>8.699999999999999</v>
      </c>
      <c r="G702" t="inlineStr">
        <is>
          <t>n° 18 : 0,50 + n° 19 : 0,50</t>
        </is>
      </c>
      <c r="H702" t="n">
        <v>1</v>
      </c>
    </row>
    <row r="703">
      <c r="A703" t="inlineStr">
        <is>
          <t>2022-2023</t>
        </is>
      </c>
      <c r="B703" t="inlineStr">
        <is>
          <t>2022-08-06</t>
        </is>
      </c>
      <c r="C703" t="inlineStr">
        <is>
          <t>19:04</t>
        </is>
      </c>
      <c r="D703" t="inlineStr">
        <is>
          <t>n° 18 + n° 19</t>
        </is>
      </c>
      <c r="E703" t="inlineStr">
        <is>
          <t>Savagnin verre</t>
        </is>
      </c>
      <c r="F703" t="n">
        <v>7.2</v>
      </c>
      <c r="G703" t="inlineStr">
        <is>
          <t>n° 18 : 0,50 + n° 19 : 0,50</t>
        </is>
      </c>
      <c r="H703" t="n">
        <v>1</v>
      </c>
    </row>
    <row r="704">
      <c r="A704" t="inlineStr">
        <is>
          <t>2022-2023</t>
        </is>
      </c>
      <c r="B704" t="inlineStr">
        <is>
          <t>2022-08-06</t>
        </is>
      </c>
      <c r="C704" t="inlineStr">
        <is>
          <t>19:04</t>
        </is>
      </c>
      <c r="D704" t="inlineStr">
        <is>
          <t>n° 18 + n° 19</t>
        </is>
      </c>
      <c r="E704" t="inlineStr">
        <is>
          <t>Crêpe au sucre</t>
        </is>
      </c>
      <c r="F704" t="n">
        <v>2.9</v>
      </c>
      <c r="G704" t="inlineStr">
        <is>
          <t>n° 18 : 0,50 + n° 19 : 0,50</t>
        </is>
      </c>
      <c r="H704" t="n">
        <v>1</v>
      </c>
    </row>
    <row r="705">
      <c r="A705" t="inlineStr">
        <is>
          <t>2022-2023</t>
        </is>
      </c>
      <c r="B705" t="inlineStr">
        <is>
          <t>2022-08-07</t>
        </is>
      </c>
      <c r="C705" t="inlineStr">
        <is>
          <t>11:36</t>
        </is>
      </c>
      <c r="D705" t="inlineStr">
        <is>
          <t>n° 2 + n° 3</t>
        </is>
      </c>
      <c r="E705" t="inlineStr">
        <is>
          <t>CAMEMBERT ROTI</t>
        </is>
      </c>
      <c r="F705" t="n">
        <v>17.6</v>
      </c>
      <c r="G705" t="inlineStr">
        <is>
          <t>n° 2 : 0,50 + n° 3 : 0,50</t>
        </is>
      </c>
      <c r="H705" t="n">
        <v>1</v>
      </c>
    </row>
    <row r="706">
      <c r="A706" t="inlineStr">
        <is>
          <t>2022-2023</t>
        </is>
      </c>
      <c r="B706" t="inlineStr">
        <is>
          <t>2022-08-07</t>
        </is>
      </c>
      <c r="C706" t="inlineStr">
        <is>
          <t>11:36</t>
        </is>
      </c>
      <c r="D706" t="inlineStr">
        <is>
          <t>n° 2 + n° 3</t>
        </is>
      </c>
      <c r="E706" t="inlineStr">
        <is>
          <t>LOURNETTE</t>
        </is>
      </c>
      <c r="F706" t="n">
        <v>16.9</v>
      </c>
      <c r="G706" t="inlineStr">
        <is>
          <t>n° 2 : 0,50 + n° 3 : 0,50</t>
        </is>
      </c>
      <c r="H706" t="n">
        <v>1</v>
      </c>
    </row>
    <row r="707">
      <c r="A707" t="inlineStr">
        <is>
          <t>2022-2023</t>
        </is>
      </c>
      <c r="B707" t="inlineStr">
        <is>
          <t>2022-08-07</t>
        </is>
      </c>
      <c r="C707" t="inlineStr">
        <is>
          <t>11:36</t>
        </is>
      </c>
      <c r="D707" t="inlineStr">
        <is>
          <t>n° 2 + n° 3</t>
        </is>
      </c>
      <c r="E707" t="inlineStr">
        <is>
          <t>pression</t>
        </is>
      </c>
      <c r="F707" t="n">
        <v>3.9</v>
      </c>
      <c r="G707" t="inlineStr">
        <is>
          <t>n° 2 : 0,50 + n° 3 : 0,50</t>
        </is>
      </c>
      <c r="H707" t="n">
        <v>1</v>
      </c>
    </row>
    <row r="708">
      <c r="A708" t="inlineStr">
        <is>
          <t>2022-2023</t>
        </is>
      </c>
      <c r="B708" t="inlineStr">
        <is>
          <t>2022-08-07</t>
        </is>
      </c>
      <c r="C708" t="inlineStr">
        <is>
          <t>11:36</t>
        </is>
      </c>
      <c r="D708" t="inlineStr">
        <is>
          <t>n° 2 + n° 3</t>
        </is>
      </c>
      <c r="E708" t="inlineStr">
        <is>
          <t>Panaché</t>
        </is>
      </c>
      <c r="F708" t="n">
        <v>3.9</v>
      </c>
      <c r="G708" t="inlineStr">
        <is>
          <t>n° 2 : 0,50 + n° 3 : 0,50</t>
        </is>
      </c>
      <c r="H708" t="n">
        <v>1</v>
      </c>
    </row>
    <row r="709">
      <c r="A709" t="inlineStr">
        <is>
          <t>2022-2023</t>
        </is>
      </c>
      <c r="B709" t="inlineStr">
        <is>
          <t>2022-08-10</t>
        </is>
      </c>
      <c r="C709" t="inlineStr">
        <is>
          <t>11:45</t>
        </is>
      </c>
      <c r="D709" t="inlineStr">
        <is>
          <t>n° 3 + n° 4 + n° 5 + n° 6</t>
        </is>
      </c>
      <c r="E709" t="inlineStr">
        <is>
          <t>BURGER COMTOIS</t>
        </is>
      </c>
      <c r="F709" t="n">
        <v>19</v>
      </c>
      <c r="G709" t="inlineStr">
        <is>
          <t>n° 3 : 0,50 + n° 4 : 0,50</t>
        </is>
      </c>
      <c r="H709" t="n">
        <v>1</v>
      </c>
    </row>
    <row r="710">
      <c r="A710" t="inlineStr">
        <is>
          <t>2022-2023</t>
        </is>
      </c>
      <c r="B710" t="inlineStr">
        <is>
          <t>2022-08-10</t>
        </is>
      </c>
      <c r="C710" t="inlineStr">
        <is>
          <t>11:45</t>
        </is>
      </c>
      <c r="D710" t="inlineStr">
        <is>
          <t>n° 3 + n° 4 + n° 5 + n° 6</t>
        </is>
      </c>
      <c r="E710" t="inlineStr">
        <is>
          <t>LIGOUSE</t>
        </is>
      </c>
      <c r="F710" t="n">
        <v>15.6</v>
      </c>
      <c r="G710" t="inlineStr">
        <is>
          <t>n° 3 : 0,50 + n° 4 : 0,50</t>
        </is>
      </c>
      <c r="H710" t="n">
        <v>1</v>
      </c>
    </row>
    <row r="711">
      <c r="A711" t="inlineStr">
        <is>
          <t>2022-2023</t>
        </is>
      </c>
      <c r="B711" t="inlineStr">
        <is>
          <t>2022-08-10</t>
        </is>
      </c>
      <c r="C711" t="inlineStr">
        <is>
          <t>11:45</t>
        </is>
      </c>
      <c r="D711" t="inlineStr">
        <is>
          <t>n° 3 + n° 4 + n° 5 + n° 6</t>
        </is>
      </c>
      <c r="E711" t="inlineStr">
        <is>
          <t>Pichet 50cl vin</t>
        </is>
      </c>
      <c r="F711" t="n">
        <v>9.800000000000001</v>
      </c>
      <c r="G711" t="inlineStr">
        <is>
          <t>n° 5 : 0,50 + n° 6 : 0,50</t>
        </is>
      </c>
      <c r="H711" t="n">
        <v>1</v>
      </c>
    </row>
    <row r="712">
      <c r="A712" t="inlineStr">
        <is>
          <t>2022-2023</t>
        </is>
      </c>
      <c r="B712" t="inlineStr">
        <is>
          <t>2022-08-10</t>
        </is>
      </c>
      <c r="C712" t="inlineStr">
        <is>
          <t>11:45</t>
        </is>
      </c>
      <c r="D712" t="inlineStr">
        <is>
          <t>n° 3 + n° 4 + n° 5 + n° 6</t>
        </is>
      </c>
      <c r="E712" t="inlineStr">
        <is>
          <t>Baba au Macvin</t>
        </is>
      </c>
      <c r="F712" t="n">
        <v>6.9</v>
      </c>
      <c r="G712" t="inlineStr">
        <is>
          <t>n° 5 : 0,50 + n° 6 : 0,50</t>
        </is>
      </c>
      <c r="H712" t="n">
        <v>1</v>
      </c>
    </row>
    <row r="713">
      <c r="A713" t="inlineStr">
        <is>
          <t>2022-2023</t>
        </is>
      </c>
      <c r="B713" t="inlineStr">
        <is>
          <t>2022-08-10</t>
        </is>
      </c>
      <c r="C713" t="inlineStr">
        <is>
          <t>11:45</t>
        </is>
      </c>
      <c r="D713" t="inlineStr">
        <is>
          <t>n° 3 + n° 4 + n° 5 + n° 6</t>
        </is>
      </c>
      <c r="E713" t="inlineStr">
        <is>
          <t>Luna</t>
        </is>
      </c>
      <c r="F713" t="n">
        <v>6</v>
      </c>
      <c r="G713" t="inlineStr">
        <is>
          <t>n° 3 : 0,50 + n° 4 : 0,50</t>
        </is>
      </c>
      <c r="H713" t="n">
        <v>1</v>
      </c>
    </row>
    <row r="714">
      <c r="A714" t="inlineStr">
        <is>
          <t>2022-2023</t>
        </is>
      </c>
      <c r="B714" t="inlineStr">
        <is>
          <t>2022-08-10</t>
        </is>
      </c>
      <c r="C714" t="inlineStr">
        <is>
          <t>11:45</t>
        </is>
      </c>
      <c r="D714" t="inlineStr">
        <is>
          <t>n° 3 + n° 4 + n° 5 + n° 6</t>
        </is>
      </c>
      <c r="E714" t="inlineStr">
        <is>
          <t>GLACE 3 BOULES</t>
        </is>
      </c>
      <c r="F714" t="n">
        <v>5.8</v>
      </c>
      <c r="G714" t="inlineStr">
        <is>
          <t>n° 3 : 0,50 + n° 4 : 0,50 + n° 5 : 0,50 + n° 6 : 0,50</t>
        </is>
      </c>
      <c r="H714" t="n">
        <v>2</v>
      </c>
    </row>
    <row r="715">
      <c r="A715" t="inlineStr">
        <is>
          <t>2022-2023</t>
        </is>
      </c>
      <c r="B715" t="inlineStr">
        <is>
          <t>2022-08-10</t>
        </is>
      </c>
      <c r="C715" t="inlineStr">
        <is>
          <t>11:45</t>
        </is>
      </c>
      <c r="D715" t="inlineStr">
        <is>
          <t>n° 3 + n° 4 + n° 5 + n° 6</t>
        </is>
      </c>
      <c r="E715" t="inlineStr">
        <is>
          <t>Coca (25cl)</t>
        </is>
      </c>
      <c r="F715" t="n">
        <v>3.9</v>
      </c>
      <c r="G715" t="inlineStr">
        <is>
          <t>n° 3 : 0,50 + n° 4 : 0,50</t>
        </is>
      </c>
      <c r="H715" t="n">
        <v>1</v>
      </c>
    </row>
    <row r="716">
      <c r="A716" t="inlineStr">
        <is>
          <t>2022-2023</t>
        </is>
      </c>
      <c r="B716" t="inlineStr">
        <is>
          <t>2022-08-10</t>
        </is>
      </c>
      <c r="C716" t="inlineStr">
        <is>
          <t>11:45</t>
        </is>
      </c>
      <c r="D716" t="inlineStr">
        <is>
          <t>n° 3 + n° 4 + n° 5 + n° 6</t>
        </is>
      </c>
      <c r="E716" t="inlineStr">
        <is>
          <t>SAUCE CHOCO/CAFE/CAR</t>
        </is>
      </c>
      <c r="F716" t="n">
        <v>1.8</v>
      </c>
      <c r="G716" t="inlineStr">
        <is>
          <t>n° 3 : 0,50 + n° 4 : 0,50</t>
        </is>
      </c>
      <c r="H716" t="n">
        <v>1</v>
      </c>
    </row>
    <row r="717">
      <c r="A717" t="inlineStr">
        <is>
          <t>2022-2023</t>
        </is>
      </c>
      <c r="B717" t="inlineStr">
        <is>
          <t>2022-08-11</t>
        </is>
      </c>
      <c r="C717" t="inlineStr">
        <is>
          <t>11:54</t>
        </is>
      </c>
      <c r="D717" t="inlineStr">
        <is>
          <t>n° 9 + n° 10</t>
        </is>
      </c>
      <c r="E717" t="inlineStr">
        <is>
          <t>FANTA</t>
        </is>
      </c>
      <c r="F717" t="n">
        <v>3.9</v>
      </c>
      <c r="G717" t="inlineStr">
        <is>
          <t>n° 9 : 0,50 + n° 10 : 0,50</t>
        </is>
      </c>
      <c r="H717" t="n">
        <v>1</v>
      </c>
    </row>
    <row r="718">
      <c r="A718" t="inlineStr">
        <is>
          <t>2022-2023</t>
        </is>
      </c>
      <c r="B718" t="inlineStr">
        <is>
          <t>2022-08-11</t>
        </is>
      </c>
      <c r="C718" t="inlineStr">
        <is>
          <t>11:54</t>
        </is>
      </c>
      <c r="D718" t="inlineStr">
        <is>
          <t>n° 9 + n° 10</t>
        </is>
      </c>
      <c r="E718" t="inlineStr">
        <is>
          <t>Coca (25cl)</t>
        </is>
      </c>
      <c r="F718" t="n">
        <v>3.9</v>
      </c>
      <c r="G718" t="inlineStr">
        <is>
          <t>n° 9 : 0,50 + n° 10 : 0,50</t>
        </is>
      </c>
      <c r="H718" t="n">
        <v>1</v>
      </c>
    </row>
    <row r="719">
      <c r="A719" t="inlineStr">
        <is>
          <t>2022-2023</t>
        </is>
      </c>
      <c r="B719" t="inlineStr">
        <is>
          <t>2022-08-11</t>
        </is>
      </c>
      <c r="C719" t="inlineStr">
        <is>
          <t>11:54</t>
        </is>
      </c>
      <c r="D719" t="inlineStr">
        <is>
          <t>n° 9 + n° 10</t>
        </is>
      </c>
      <c r="E719" t="inlineStr">
        <is>
          <t>GLACE 2 BOULES</t>
        </is>
      </c>
      <c r="F719" t="n">
        <v>3.9</v>
      </c>
      <c r="G719" t="inlineStr">
        <is>
          <t>n° 9 : 0,50 + n° 10 : 0,50</t>
        </is>
      </c>
      <c r="H719" t="n">
        <v>1</v>
      </c>
    </row>
    <row r="720">
      <c r="A720" t="inlineStr">
        <is>
          <t>2022-2023</t>
        </is>
      </c>
      <c r="B720" t="inlineStr">
        <is>
          <t>2022-08-11</t>
        </is>
      </c>
      <c r="C720" t="inlineStr">
        <is>
          <t>11:54</t>
        </is>
      </c>
      <c r="D720" t="inlineStr">
        <is>
          <t>n° 9 + n° 10</t>
        </is>
      </c>
      <c r="E720" t="inlineStr">
        <is>
          <t>Morbier</t>
        </is>
      </c>
      <c r="F720" t="n">
        <v>3.5</v>
      </c>
      <c r="G720" t="inlineStr">
        <is>
          <t>n° 9 : 0,50 + n° 10 : 0,50</t>
        </is>
      </c>
      <c r="H720" t="n">
        <v>1</v>
      </c>
    </row>
    <row r="721">
      <c r="A721" t="inlineStr">
        <is>
          <t>2022-2023</t>
        </is>
      </c>
      <c r="B721" t="inlineStr">
        <is>
          <t>2022-08-11</t>
        </is>
      </c>
      <c r="C721" t="inlineStr">
        <is>
          <t>11:54</t>
        </is>
      </c>
      <c r="D721" t="inlineStr">
        <is>
          <t>n° 9 + n° 10</t>
        </is>
      </c>
      <c r="E721" t="inlineStr">
        <is>
          <t>GLACE 1 BOULE</t>
        </is>
      </c>
      <c r="F721" t="n">
        <v>2</v>
      </c>
      <c r="G721" t="inlineStr">
        <is>
          <t>n° 9 : 0,50 + n° 10 : 0,50</t>
        </is>
      </c>
      <c r="H721" t="n">
        <v>1</v>
      </c>
    </row>
    <row r="722">
      <c r="A722" t="inlineStr">
        <is>
          <t>2022-2023</t>
        </is>
      </c>
      <c r="B722" t="inlineStr">
        <is>
          <t>2022-08-12</t>
        </is>
      </c>
      <c r="C722" t="inlineStr">
        <is>
          <t>12:38</t>
        </is>
      </c>
      <c r="D722" t="inlineStr">
        <is>
          <t>n° 18 + n° 19</t>
        </is>
      </c>
      <c r="E722" t="inlineStr">
        <is>
          <t>TRUITE JURASSIENNE</t>
        </is>
      </c>
      <c r="F722" t="n">
        <v>17.6</v>
      </c>
      <c r="G722" t="inlineStr">
        <is>
          <t>n° 18 : 0,50 + n° 19 : 0,50</t>
        </is>
      </c>
      <c r="H722" t="n">
        <v>1</v>
      </c>
    </row>
    <row r="723">
      <c r="A723" t="inlineStr">
        <is>
          <t>2022-2023</t>
        </is>
      </c>
      <c r="B723" t="inlineStr">
        <is>
          <t>2022-08-12</t>
        </is>
      </c>
      <c r="C723" t="inlineStr">
        <is>
          <t>12:38</t>
        </is>
      </c>
      <c r="D723" t="inlineStr">
        <is>
          <t>n° 18 + n° 19</t>
        </is>
      </c>
      <c r="E723" t="inlineStr">
        <is>
          <t>ASSIETTE FRANC-COMTO</t>
        </is>
      </c>
      <c r="F723" t="n">
        <v>17.6</v>
      </c>
      <c r="G723" t="inlineStr">
        <is>
          <t>n° 18 : 0,50 + n° 19 : 0,50</t>
        </is>
      </c>
      <c r="H723" t="n">
        <v>1</v>
      </c>
    </row>
    <row r="724">
      <c r="A724" t="inlineStr">
        <is>
          <t>2022-2023</t>
        </is>
      </c>
      <c r="B724" t="inlineStr">
        <is>
          <t>2022-08-12</t>
        </is>
      </c>
      <c r="C724" t="inlineStr">
        <is>
          <t>12:38</t>
        </is>
      </c>
      <c r="D724" t="inlineStr">
        <is>
          <t>n° 18 + n° 19</t>
        </is>
      </c>
      <c r="E724" t="inlineStr">
        <is>
          <t>Gewurztraminer Le ve</t>
        </is>
      </c>
      <c r="F724" t="n">
        <v>7</v>
      </c>
      <c r="G724" t="inlineStr">
        <is>
          <t>n° 18 : 0,50 + n° 19 : 0,50</t>
        </is>
      </c>
      <c r="H724" t="n">
        <v>1</v>
      </c>
    </row>
    <row r="725">
      <c r="A725" t="inlineStr">
        <is>
          <t>2022-2023</t>
        </is>
      </c>
      <c r="B725" t="inlineStr">
        <is>
          <t>2022-08-12</t>
        </is>
      </c>
      <c r="C725" t="inlineStr">
        <is>
          <t>12:38</t>
        </is>
      </c>
      <c r="D725" t="inlineStr">
        <is>
          <t>n° 18 + n° 19</t>
        </is>
      </c>
      <c r="E725" t="inlineStr">
        <is>
          <t>pression</t>
        </is>
      </c>
      <c r="F725" t="n">
        <v>3.9</v>
      </c>
      <c r="G725" t="inlineStr">
        <is>
          <t>n° 18 : 0,50 + n° 19 : 0,50</t>
        </is>
      </c>
      <c r="H725" t="n">
        <v>1</v>
      </c>
    </row>
    <row r="726">
      <c r="A726" t="inlineStr">
        <is>
          <t>2022-2023</t>
        </is>
      </c>
      <c r="B726" t="inlineStr">
        <is>
          <t>2022-08-12</t>
        </is>
      </c>
      <c r="C726" t="inlineStr">
        <is>
          <t>12:38</t>
        </is>
      </c>
      <c r="D726" t="inlineStr">
        <is>
          <t>n° 18 + n° 19</t>
        </is>
      </c>
      <c r="E726" t="inlineStr">
        <is>
          <t>GLACE 2 BOULES</t>
        </is>
      </c>
      <c r="F726" t="n">
        <v>3.9</v>
      </c>
      <c r="G726" t="inlineStr">
        <is>
          <t>n° 18 : 0,50 + n° 19 : 0,50</t>
        </is>
      </c>
      <c r="H726" t="n">
        <v>1</v>
      </c>
    </row>
    <row r="727">
      <c r="A727" t="inlineStr">
        <is>
          <t>2022-2023</t>
        </is>
      </c>
      <c r="B727" t="inlineStr">
        <is>
          <t>2022-08-12</t>
        </is>
      </c>
      <c r="C727" t="inlineStr">
        <is>
          <t>12:38</t>
        </is>
      </c>
      <c r="D727" t="inlineStr">
        <is>
          <t>n° 18 + n° 19</t>
        </is>
      </c>
      <c r="E727" t="inlineStr">
        <is>
          <t>Crêpe nature</t>
        </is>
      </c>
      <c r="F727" t="n">
        <v>2.9</v>
      </c>
      <c r="G727" t="inlineStr">
        <is>
          <t>n° 18 : 0,50 + n° 19 : 0,50</t>
        </is>
      </c>
      <c r="H727" t="n">
        <v>1</v>
      </c>
    </row>
    <row r="728">
      <c r="A728" t="inlineStr">
        <is>
          <t>2022-2023</t>
        </is>
      </c>
      <c r="B728" t="inlineStr">
        <is>
          <t>2022-08-12</t>
        </is>
      </c>
      <c r="C728" t="inlineStr">
        <is>
          <t>12:38</t>
        </is>
      </c>
      <c r="D728" t="inlineStr">
        <is>
          <t>n° 18 + n° 19</t>
        </is>
      </c>
      <c r="E728" t="inlineStr">
        <is>
          <t>SAUCE CHOCO/CAFE/CAR</t>
        </is>
      </c>
      <c r="F728" t="n">
        <v>1.8</v>
      </c>
      <c r="G728" t="inlineStr">
        <is>
          <t>n° 18 : 0,50 + n° 19 : 0,50</t>
        </is>
      </c>
      <c r="H728" t="n">
        <v>1</v>
      </c>
    </row>
    <row r="729">
      <c r="A729" t="inlineStr">
        <is>
          <t>2022-2023</t>
        </is>
      </c>
      <c r="B729" t="inlineStr">
        <is>
          <t>2022-08-13</t>
        </is>
      </c>
      <c r="C729" t="inlineStr">
        <is>
          <t>11:56</t>
        </is>
      </c>
      <c r="D729" t="inlineStr">
        <is>
          <t>n° 5 + n° 6 + n° 8 + n° 9</t>
        </is>
      </c>
      <c r="E729" t="inlineStr">
        <is>
          <t>ASSIETTE FRANC-COMTO</t>
        </is>
      </c>
      <c r="F729" t="n">
        <v>17.6</v>
      </c>
      <c r="G729" t="inlineStr">
        <is>
          <t>n° 5 : 1,50 + n° 6 : 1,50</t>
        </is>
      </c>
      <c r="H729" t="n">
        <v>3</v>
      </c>
    </row>
    <row r="730">
      <c r="A730" t="inlineStr">
        <is>
          <t>2022-2023</t>
        </is>
      </c>
      <c r="B730" t="inlineStr">
        <is>
          <t>2022-08-13</t>
        </is>
      </c>
      <c r="C730" t="inlineStr">
        <is>
          <t>11:56</t>
        </is>
      </c>
      <c r="D730" t="inlineStr">
        <is>
          <t>n° 5 + n° 6 + n° 8 + n° 9</t>
        </is>
      </c>
      <c r="E730" t="inlineStr">
        <is>
          <t>ASSIETTE PERE GREGOI</t>
        </is>
      </c>
      <c r="F730" t="n">
        <v>17.6</v>
      </c>
      <c r="G730" t="inlineStr">
        <is>
          <t>n° 8 : 0,50 + n° 9 : 0,50</t>
        </is>
      </c>
      <c r="H730" t="n">
        <v>1</v>
      </c>
    </row>
    <row r="731">
      <c r="A731" t="inlineStr">
        <is>
          <t>2022-2023</t>
        </is>
      </c>
      <c r="B731" t="inlineStr">
        <is>
          <t>2022-08-13</t>
        </is>
      </c>
      <c r="C731" t="inlineStr">
        <is>
          <t>11:56</t>
        </is>
      </c>
      <c r="D731" t="inlineStr">
        <is>
          <t>n° 5 + n° 6 + n° 8 + n° 9</t>
        </is>
      </c>
      <c r="E731" t="inlineStr">
        <is>
          <t>BARBEULENET</t>
        </is>
      </c>
      <c r="F731" t="n">
        <v>13.9</v>
      </c>
      <c r="G731" t="inlineStr">
        <is>
          <t>n° 5 : 0,50 + n° 6 : 0,50</t>
        </is>
      </c>
      <c r="H731" t="n">
        <v>1</v>
      </c>
    </row>
    <row r="732">
      <c r="A732" t="inlineStr">
        <is>
          <t>2022-2023</t>
        </is>
      </c>
      <c r="B732" t="inlineStr">
        <is>
          <t>2022-08-13</t>
        </is>
      </c>
      <c r="C732" t="inlineStr">
        <is>
          <t>11:56</t>
        </is>
      </c>
      <c r="D732" t="inlineStr">
        <is>
          <t>n° 5 + n° 6 + n° 8 + n° 9</t>
        </is>
      </c>
      <c r="E732" t="inlineStr">
        <is>
          <t>CHOUKA</t>
        </is>
      </c>
      <c r="F732" t="n">
        <v>11</v>
      </c>
      <c r="G732" t="inlineStr">
        <is>
          <t>n° 8 : 0,50 + n° 9 : 0,50</t>
        </is>
      </c>
      <c r="H732" t="n">
        <v>1</v>
      </c>
    </row>
    <row r="733">
      <c r="A733" t="inlineStr">
        <is>
          <t>2022-2023</t>
        </is>
      </c>
      <c r="B733" t="inlineStr">
        <is>
          <t>2022-08-13</t>
        </is>
      </c>
      <c r="C733" t="inlineStr">
        <is>
          <t>11:56</t>
        </is>
      </c>
      <c r="D733" t="inlineStr">
        <is>
          <t>n° 5 + n° 6 + n° 8 + n° 9</t>
        </is>
      </c>
      <c r="E733" t="inlineStr">
        <is>
          <t>DOUCEUR</t>
        </is>
      </c>
      <c r="F733" t="n">
        <v>8.699999999999999</v>
      </c>
      <c r="G733" t="inlineStr">
        <is>
          <t>n° 5 : 0,50 + n° 6 : 0,50</t>
        </is>
      </c>
      <c r="H733" t="n">
        <v>1</v>
      </c>
    </row>
    <row r="734">
      <c r="A734" t="inlineStr">
        <is>
          <t>2022-2023</t>
        </is>
      </c>
      <c r="B734" t="inlineStr">
        <is>
          <t>2022-08-13</t>
        </is>
      </c>
      <c r="C734" t="inlineStr">
        <is>
          <t>11:56</t>
        </is>
      </c>
      <c r="D734" t="inlineStr">
        <is>
          <t>n° 5 + n° 6 + n° 8 + n° 9</t>
        </is>
      </c>
      <c r="E734" t="inlineStr">
        <is>
          <t>PASSION</t>
        </is>
      </c>
      <c r="F734" t="n">
        <v>5.8</v>
      </c>
      <c r="G734" t="inlineStr">
        <is>
          <t>n° 5 : 0,50 + n° 6 : 0,50</t>
        </is>
      </c>
      <c r="H734" t="n">
        <v>1</v>
      </c>
    </row>
    <row r="735">
      <c r="A735" t="inlineStr">
        <is>
          <t>2022-2023</t>
        </is>
      </c>
      <c r="B735" t="inlineStr">
        <is>
          <t>2022-08-13</t>
        </is>
      </c>
      <c r="C735" t="inlineStr">
        <is>
          <t>11:56</t>
        </is>
      </c>
      <c r="D735" t="inlineStr">
        <is>
          <t>n° 5 + n° 6 + n° 8 + n° 9</t>
        </is>
      </c>
      <c r="E735" t="inlineStr">
        <is>
          <t>pression</t>
        </is>
      </c>
      <c r="F735" t="n">
        <v>3.9</v>
      </c>
      <c r="G735" t="inlineStr">
        <is>
          <t>n° 5 : 1,50 + n° 6 : 1,50</t>
        </is>
      </c>
      <c r="H735" t="n">
        <v>3</v>
      </c>
    </row>
    <row r="736">
      <c r="A736" t="inlineStr">
        <is>
          <t>2022-2023</t>
        </is>
      </c>
      <c r="B736" t="inlineStr">
        <is>
          <t>2022-08-13</t>
        </is>
      </c>
      <c r="C736" t="inlineStr">
        <is>
          <t>11:56</t>
        </is>
      </c>
      <c r="D736" t="inlineStr">
        <is>
          <t>n° 5 + n° 6 + n° 8 + n° 9</t>
        </is>
      </c>
      <c r="E736" t="inlineStr">
        <is>
          <t>Panaché</t>
        </is>
      </c>
      <c r="F736" t="n">
        <v>3.9</v>
      </c>
      <c r="G736" t="inlineStr">
        <is>
          <t>n° 5 : 0,50 + n° 6 : 0,50</t>
        </is>
      </c>
      <c r="H736" t="n">
        <v>1</v>
      </c>
    </row>
    <row r="737">
      <c r="A737" t="inlineStr">
        <is>
          <t>2022-2023</t>
        </is>
      </c>
      <c r="B737" t="inlineStr">
        <is>
          <t>2022-08-14</t>
        </is>
      </c>
      <c r="C737" t="inlineStr">
        <is>
          <t>13:05</t>
        </is>
      </c>
      <c r="D737" t="inlineStr">
        <is>
          <t>n° 10 + n° 11</t>
        </is>
      </c>
      <c r="E737" t="inlineStr">
        <is>
          <t>TRUITE JURASSIENNE</t>
        </is>
      </c>
      <c r="F737" t="n">
        <v>17.6</v>
      </c>
      <c r="G737" t="inlineStr">
        <is>
          <t>n° 10 : 0,50 + n° 11 : 0,50</t>
        </is>
      </c>
      <c r="H737" t="n">
        <v>1</v>
      </c>
    </row>
    <row r="738">
      <c r="A738" t="inlineStr">
        <is>
          <t>2022-2023</t>
        </is>
      </c>
      <c r="B738" t="inlineStr">
        <is>
          <t>2022-08-14</t>
        </is>
      </c>
      <c r="C738" t="inlineStr">
        <is>
          <t>13:05</t>
        </is>
      </c>
      <c r="D738" t="inlineStr">
        <is>
          <t>n° 10 + n° 11</t>
        </is>
      </c>
      <c r="E738" t="inlineStr">
        <is>
          <t>MORTEAU GRILLEE</t>
        </is>
      </c>
      <c r="F738" t="n">
        <v>17.6</v>
      </c>
      <c r="G738" t="inlineStr">
        <is>
          <t>n° 10 : 0,50 + n° 11 : 0,50</t>
        </is>
      </c>
      <c r="H738" t="n">
        <v>1</v>
      </c>
    </row>
    <row r="739">
      <c r="A739" t="inlineStr">
        <is>
          <t>2022-2023</t>
        </is>
      </c>
      <c r="B739" t="inlineStr">
        <is>
          <t>2022-08-14</t>
        </is>
      </c>
      <c r="C739" t="inlineStr">
        <is>
          <t>13:05</t>
        </is>
      </c>
      <c r="D739" t="inlineStr">
        <is>
          <t>n° 10 + n° 11</t>
        </is>
      </c>
      <c r="E739" t="inlineStr">
        <is>
          <t>Chèvre  chaud</t>
        </is>
      </c>
      <c r="F739" t="n">
        <v>9.6</v>
      </c>
      <c r="G739" t="inlineStr">
        <is>
          <t>n° 10 : 0,50 + n° 11 : 0,50</t>
        </is>
      </c>
      <c r="H739" t="n">
        <v>1</v>
      </c>
    </row>
    <row r="740">
      <c r="A740" t="inlineStr">
        <is>
          <t>2022-2023</t>
        </is>
      </c>
      <c r="B740" t="inlineStr">
        <is>
          <t>2022-08-14</t>
        </is>
      </c>
      <c r="C740" t="inlineStr">
        <is>
          <t>13:42</t>
        </is>
      </c>
      <c r="D740" t="inlineStr">
        <is>
          <t>n° 14 + n° 15</t>
        </is>
      </c>
      <c r="E740" t="inlineStr">
        <is>
          <t>BURGER COMTOIS</t>
        </is>
      </c>
      <c r="F740" t="n">
        <v>19</v>
      </c>
      <c r="G740" t="inlineStr">
        <is>
          <t>n° 14 : 0,50 + n° 15 : 0,50</t>
        </is>
      </c>
      <c r="H740" t="n">
        <v>1</v>
      </c>
    </row>
    <row r="741">
      <c r="A741" t="inlineStr">
        <is>
          <t>2022-2023</t>
        </is>
      </c>
      <c r="B741" t="inlineStr">
        <is>
          <t>2022-08-14</t>
        </is>
      </c>
      <c r="C741" t="inlineStr">
        <is>
          <t>13:42</t>
        </is>
      </c>
      <c r="D741" t="inlineStr">
        <is>
          <t>n° 14 + n° 15</t>
        </is>
      </c>
      <c r="E741" t="inlineStr">
        <is>
          <t>Crémeux du Jura</t>
        </is>
      </c>
      <c r="F741" t="n">
        <v>19</v>
      </c>
      <c r="G741" t="inlineStr">
        <is>
          <t>n° 14 : 0,50 + n° 15 : 0,50</t>
        </is>
      </c>
      <c r="H741" t="n">
        <v>1</v>
      </c>
    </row>
    <row r="742">
      <c r="A742" t="inlineStr">
        <is>
          <t>2022-2023</t>
        </is>
      </c>
      <c r="B742" t="inlineStr">
        <is>
          <t>2022-08-14</t>
        </is>
      </c>
      <c r="C742" t="inlineStr">
        <is>
          <t>13:42</t>
        </is>
      </c>
      <c r="D742" t="inlineStr">
        <is>
          <t>n° 14 + n° 15</t>
        </is>
      </c>
      <c r="E742" t="inlineStr">
        <is>
          <t>POULET JURASSIENNE</t>
        </is>
      </c>
      <c r="F742" t="n">
        <v>17.6</v>
      </c>
      <c r="G742" t="inlineStr">
        <is>
          <t>n° 14 : 0,50 + n° 15 : 0,50</t>
        </is>
      </c>
      <c r="H742" t="n">
        <v>1</v>
      </c>
    </row>
    <row r="743">
      <c r="A743" t="inlineStr">
        <is>
          <t>2022-2023</t>
        </is>
      </c>
      <c r="B743" t="inlineStr">
        <is>
          <t>2022-08-14</t>
        </is>
      </c>
      <c r="C743" t="inlineStr">
        <is>
          <t>13:42</t>
        </is>
      </c>
      <c r="D743" t="inlineStr">
        <is>
          <t>n° 14 + n° 15</t>
        </is>
      </c>
      <c r="E743" t="inlineStr">
        <is>
          <t>CAMEMBERT ROTI</t>
        </is>
      </c>
      <c r="F743" t="n">
        <v>17.6</v>
      </c>
      <c r="G743" t="inlineStr">
        <is>
          <t>n° 14 : 0,50 + n° 15 : 0,50</t>
        </is>
      </c>
      <c r="H743" t="n">
        <v>1</v>
      </c>
    </row>
    <row r="744">
      <c r="A744" t="inlineStr">
        <is>
          <t>2022-2023</t>
        </is>
      </c>
      <c r="B744" t="inlineStr">
        <is>
          <t>2022-08-14</t>
        </is>
      </c>
      <c r="C744" t="inlineStr">
        <is>
          <t>13:42</t>
        </is>
      </c>
      <c r="D744" t="inlineStr">
        <is>
          <t>n° 14 + n° 15</t>
        </is>
      </c>
      <c r="E744" t="inlineStr">
        <is>
          <t>Escargots de Bourgog</t>
        </is>
      </c>
      <c r="F744" t="n">
        <v>16</v>
      </c>
      <c r="G744" t="inlineStr">
        <is>
          <t>n° 14 : 0,50 + n° 15 : 0,50</t>
        </is>
      </c>
      <c r="H744" t="n">
        <v>1</v>
      </c>
    </row>
    <row r="745">
      <c r="A745" t="inlineStr">
        <is>
          <t>2022-2023</t>
        </is>
      </c>
      <c r="B745" t="inlineStr">
        <is>
          <t>2022-08-14</t>
        </is>
      </c>
      <c r="C745" t="inlineStr">
        <is>
          <t>13:42</t>
        </is>
      </c>
      <c r="D745" t="inlineStr">
        <is>
          <t>n° 14 + n° 15</t>
        </is>
      </c>
      <c r="E745" t="inlineStr">
        <is>
          <t>La Vouivre</t>
        </is>
      </c>
      <c r="F745" t="n">
        <v>5.2</v>
      </c>
      <c r="G745" t="inlineStr">
        <is>
          <t>n° 14 : 0,50 + n° 15 : 0,50</t>
        </is>
      </c>
      <c r="H745" t="n">
        <v>1</v>
      </c>
    </row>
    <row r="746">
      <c r="A746" t="inlineStr">
        <is>
          <t>2022-2023</t>
        </is>
      </c>
      <c r="B746" t="inlineStr">
        <is>
          <t>2022-08-14</t>
        </is>
      </c>
      <c r="C746" t="inlineStr">
        <is>
          <t>13:42</t>
        </is>
      </c>
      <c r="D746" t="inlineStr">
        <is>
          <t>n° 14 + n° 15</t>
        </is>
      </c>
      <c r="E746" t="inlineStr">
        <is>
          <t>Père Gregoire</t>
        </is>
      </c>
      <c r="F746" t="n">
        <v>4.9</v>
      </c>
      <c r="G746" t="inlineStr">
        <is>
          <t>n° 14 : 0,50 + n° 15 : 0,50</t>
        </is>
      </c>
      <c r="H746" t="n">
        <v>1</v>
      </c>
    </row>
    <row r="747">
      <c r="A747" t="inlineStr">
        <is>
          <t>2022-2023</t>
        </is>
      </c>
      <c r="B747" t="inlineStr">
        <is>
          <t>2022-08-14</t>
        </is>
      </c>
      <c r="C747" t="inlineStr">
        <is>
          <t>13:42</t>
        </is>
      </c>
      <c r="D747" t="inlineStr">
        <is>
          <t>n° 14 + n° 15</t>
        </is>
      </c>
      <c r="E747" t="inlineStr">
        <is>
          <t>Macvin du Jura</t>
        </is>
      </c>
      <c r="F747" t="n">
        <v>4.9</v>
      </c>
      <c r="G747" t="inlineStr">
        <is>
          <t>n° 14 : 0,50 + n° 15 : 0,50</t>
        </is>
      </c>
      <c r="H747" t="n">
        <v>1</v>
      </c>
    </row>
    <row r="748">
      <c r="A748" t="inlineStr">
        <is>
          <t>2022-2023</t>
        </is>
      </c>
      <c r="B748" t="inlineStr">
        <is>
          <t>2022-08-14</t>
        </is>
      </c>
      <c r="C748" t="inlineStr">
        <is>
          <t>13:42</t>
        </is>
      </c>
      <c r="D748" t="inlineStr">
        <is>
          <t>n° 14 + n° 15</t>
        </is>
      </c>
      <c r="E748" t="inlineStr">
        <is>
          <t>Fuze Tea</t>
        </is>
      </c>
      <c r="F748" t="n">
        <v>3.9</v>
      </c>
      <c r="G748" t="inlineStr">
        <is>
          <t>n° 14 : 0,50 + n° 15 : 0,50</t>
        </is>
      </c>
      <c r="H748" t="n">
        <v>1</v>
      </c>
    </row>
    <row r="749">
      <c r="A749" t="inlineStr">
        <is>
          <t>2022-2023</t>
        </is>
      </c>
      <c r="B749" t="inlineStr">
        <is>
          <t>2022-08-16</t>
        </is>
      </c>
      <c r="C749" t="inlineStr">
        <is>
          <t>12:03</t>
        </is>
      </c>
      <c r="D749" t="inlineStr">
        <is>
          <t>n° 6 + n° 7</t>
        </is>
      </c>
      <c r="E749" t="inlineStr">
        <is>
          <t>ASSIETTE FRANC-COMTO</t>
        </is>
      </c>
      <c r="F749" t="n">
        <v>17.6</v>
      </c>
      <c r="G749" t="inlineStr">
        <is>
          <t>n° 6 : 1,50 + n° 7 : 1,50</t>
        </is>
      </c>
      <c r="H749" t="n">
        <v>3</v>
      </c>
    </row>
    <row r="750">
      <c r="A750" t="inlineStr">
        <is>
          <t>2022-2023</t>
        </is>
      </c>
      <c r="B750" t="inlineStr">
        <is>
          <t>2022-08-16</t>
        </is>
      </c>
      <c r="C750" t="inlineStr">
        <is>
          <t>12:03</t>
        </is>
      </c>
      <c r="D750" t="inlineStr">
        <is>
          <t>n° 6 + n° 7</t>
        </is>
      </c>
      <c r="E750" t="inlineStr">
        <is>
          <t>TRUITE JURASSIENNE</t>
        </is>
      </c>
      <c r="F750" t="n">
        <v>17.6</v>
      </c>
      <c r="G750" t="inlineStr">
        <is>
          <t>n° 6 : 0,50 + n° 7 : 0,50</t>
        </is>
      </c>
      <c r="H750" t="n">
        <v>1</v>
      </c>
    </row>
    <row r="751">
      <c r="A751" t="inlineStr">
        <is>
          <t>2022-2023</t>
        </is>
      </c>
      <c r="B751" t="inlineStr">
        <is>
          <t>2022-08-16</t>
        </is>
      </c>
      <c r="C751" t="inlineStr">
        <is>
          <t>12:03</t>
        </is>
      </c>
      <c r="D751" t="inlineStr">
        <is>
          <t>n° 6 + n° 7</t>
        </is>
      </c>
      <c r="E751" t="inlineStr">
        <is>
          <t>Pichet 75cl vin</t>
        </is>
      </c>
      <c r="F751" t="n">
        <v>13.4</v>
      </c>
      <c r="G751" t="inlineStr">
        <is>
          <t>n° 6 : 0,50 + n° 7 : 0,50</t>
        </is>
      </c>
      <c r="H751" t="n">
        <v>1</v>
      </c>
    </row>
    <row r="752">
      <c r="A752" t="inlineStr">
        <is>
          <t>2022-2023</t>
        </is>
      </c>
      <c r="B752" t="inlineStr">
        <is>
          <t>2022-08-16</t>
        </is>
      </c>
      <c r="C752" t="inlineStr">
        <is>
          <t>12:26</t>
        </is>
      </c>
      <c r="D752" t="inlineStr">
        <is>
          <t>n° 13 + n° 14</t>
        </is>
      </c>
      <c r="E752" t="inlineStr">
        <is>
          <t>Croûtes Morilles</t>
        </is>
      </c>
      <c r="F752" t="n">
        <v>16.9</v>
      </c>
      <c r="G752" t="inlineStr">
        <is>
          <t>n° 13 : 1,50 + n° 14 : 1,50</t>
        </is>
      </c>
      <c r="H752" t="n">
        <v>3</v>
      </c>
    </row>
    <row r="753">
      <c r="A753" t="inlineStr">
        <is>
          <t>2022-2023</t>
        </is>
      </c>
      <c r="B753" t="inlineStr">
        <is>
          <t>2022-08-16</t>
        </is>
      </c>
      <c r="C753" t="inlineStr">
        <is>
          <t>12:26</t>
        </is>
      </c>
      <c r="D753" t="inlineStr">
        <is>
          <t>n° 13 + n° 14</t>
        </is>
      </c>
      <c r="E753" t="inlineStr">
        <is>
          <t>Coca (25cl)</t>
        </is>
      </c>
      <c r="F753" t="n">
        <v>3.9</v>
      </c>
      <c r="G753" t="inlineStr">
        <is>
          <t>n° 13 : 0,50 + n° 14 : 0,50</t>
        </is>
      </c>
      <c r="H753" t="n">
        <v>1</v>
      </c>
    </row>
    <row r="754">
      <c r="A754" t="inlineStr">
        <is>
          <t>2022-2023</t>
        </is>
      </c>
      <c r="B754" t="inlineStr">
        <is>
          <t>2022-08-16</t>
        </is>
      </c>
      <c r="C754" t="inlineStr">
        <is>
          <t>12:26</t>
        </is>
      </c>
      <c r="D754" t="inlineStr">
        <is>
          <t>n° 13 + n° 14</t>
        </is>
      </c>
      <c r="E754" t="inlineStr">
        <is>
          <t>Expresso</t>
        </is>
      </c>
      <c r="F754" t="n">
        <v>2.2</v>
      </c>
      <c r="G754" t="inlineStr">
        <is>
          <t>n° 13 : 0,50 + n° 14 : 0,50</t>
        </is>
      </c>
      <c r="H754" t="n">
        <v>1</v>
      </c>
    </row>
    <row r="755">
      <c r="A755" t="inlineStr">
        <is>
          <t>2022-2023</t>
        </is>
      </c>
      <c r="B755" t="inlineStr">
        <is>
          <t>2022-08-16</t>
        </is>
      </c>
      <c r="C755" t="inlineStr">
        <is>
          <t>20:04</t>
        </is>
      </c>
      <c r="D755" t="inlineStr">
        <is>
          <t>n° 30 + n° 31</t>
        </is>
      </c>
      <c r="E755" t="inlineStr">
        <is>
          <t>Entrecôte Forestiére</t>
        </is>
      </c>
      <c r="F755" t="n">
        <v>27.8</v>
      </c>
      <c r="G755" t="inlineStr">
        <is>
          <t>n° 30 : 0,50 + n° 31 : 0,50</t>
        </is>
      </c>
      <c r="H755" t="n">
        <v>1</v>
      </c>
    </row>
    <row r="756">
      <c r="A756" t="inlineStr">
        <is>
          <t>2022-2023</t>
        </is>
      </c>
      <c r="B756" t="inlineStr">
        <is>
          <t>2022-08-16</t>
        </is>
      </c>
      <c r="C756" t="inlineStr">
        <is>
          <t>20:04</t>
        </is>
      </c>
      <c r="D756" t="inlineStr">
        <is>
          <t>n° 30 + n° 31</t>
        </is>
      </c>
      <c r="E756" t="inlineStr">
        <is>
          <t>Entrecôte grillée</t>
        </is>
      </c>
      <c r="F756" t="n">
        <v>19.9</v>
      </c>
      <c r="G756" t="inlineStr">
        <is>
          <t>n° 30 : 0,50 + n° 31 : 0,50</t>
        </is>
      </c>
      <c r="H756" t="n">
        <v>1</v>
      </c>
    </row>
    <row r="757">
      <c r="A757" t="inlineStr">
        <is>
          <t>2022-2023</t>
        </is>
      </c>
      <c r="B757" t="inlineStr">
        <is>
          <t>2022-08-16</t>
        </is>
      </c>
      <c r="C757" t="inlineStr">
        <is>
          <t>20:04</t>
        </is>
      </c>
      <c r="D757" t="inlineStr">
        <is>
          <t>n° 30 + n° 31</t>
        </is>
      </c>
      <c r="E757" t="inlineStr">
        <is>
          <t>San Pelegrino</t>
        </is>
      </c>
      <c r="F757" t="n">
        <v>5.9</v>
      </c>
      <c r="G757" t="inlineStr">
        <is>
          <t>n° 30 : 0,50 + n° 31 : 0,50</t>
        </is>
      </c>
      <c r="H757" t="n">
        <v>1</v>
      </c>
    </row>
    <row r="758">
      <c r="A758" t="inlineStr">
        <is>
          <t>2022-2023</t>
        </is>
      </c>
      <c r="B758" t="inlineStr">
        <is>
          <t>2022-08-17</t>
        </is>
      </c>
      <c r="C758" t="inlineStr">
        <is>
          <t>12:17</t>
        </is>
      </c>
      <c r="D758" t="inlineStr">
        <is>
          <t>n° 7 + n° 8 + n° 10 + n° 11</t>
        </is>
      </c>
      <c r="E758" t="inlineStr">
        <is>
          <t>Arbois Béthanie</t>
        </is>
      </c>
      <c r="F758" t="n">
        <v>29.9</v>
      </c>
      <c r="G758" t="inlineStr">
        <is>
          <t>n° 10 : 0,50 + n° 11 : 0,50</t>
        </is>
      </c>
      <c r="H758" t="n">
        <v>1</v>
      </c>
    </row>
    <row r="759">
      <c r="A759" t="inlineStr">
        <is>
          <t>2022-2023</t>
        </is>
      </c>
      <c r="B759" t="inlineStr">
        <is>
          <t>2022-08-17</t>
        </is>
      </c>
      <c r="C759" t="inlineStr">
        <is>
          <t>12:17</t>
        </is>
      </c>
      <c r="D759" t="inlineStr">
        <is>
          <t>n° 7 + n° 8 + n° 10 + n° 11</t>
        </is>
      </c>
      <c r="E759" t="inlineStr">
        <is>
          <t>ASSIETTE PERE GREGOI</t>
        </is>
      </c>
      <c r="F759" t="n">
        <v>17.6</v>
      </c>
      <c r="G759" t="inlineStr">
        <is>
          <t>n° 7 : 0,50 + n° 8 : 0,50</t>
        </is>
      </c>
      <c r="H759" t="n">
        <v>1</v>
      </c>
    </row>
    <row r="760">
      <c r="A760" t="inlineStr">
        <is>
          <t>2022-2023</t>
        </is>
      </c>
      <c r="B760" t="inlineStr">
        <is>
          <t>2022-08-17</t>
        </is>
      </c>
      <c r="C760" t="inlineStr">
        <is>
          <t>12:17</t>
        </is>
      </c>
      <c r="D760" t="inlineStr">
        <is>
          <t>n° 7 + n° 8 + n° 10 + n° 11</t>
        </is>
      </c>
      <c r="E760" t="inlineStr">
        <is>
          <t>Menu 'Galette'</t>
        </is>
      </c>
      <c r="F760" t="n">
        <v>15.9</v>
      </c>
      <c r="G760" t="inlineStr">
        <is>
          <t>n° 10 : 2,50 + n° 11 : 2,50</t>
        </is>
      </c>
      <c r="H760" t="n">
        <v>5</v>
      </c>
    </row>
    <row r="761">
      <c r="A761" t="inlineStr">
        <is>
          <t>2022-2023</t>
        </is>
      </c>
      <c r="B761" t="inlineStr">
        <is>
          <t>2022-08-17</t>
        </is>
      </c>
      <c r="C761" t="inlineStr">
        <is>
          <t>12:17</t>
        </is>
      </c>
      <c r="D761" t="inlineStr">
        <is>
          <t>n° 7 + n° 8 + n° 10 + n° 11</t>
        </is>
      </c>
      <c r="E761" t="inlineStr">
        <is>
          <t>Formule à 11</t>
        </is>
      </c>
      <c r="F761" t="n">
        <v>11</v>
      </c>
      <c r="G761" t="inlineStr">
        <is>
          <t>n° 7 : 0,50 + n° 8 : 0,50</t>
        </is>
      </c>
      <c r="H761" t="n">
        <v>1</v>
      </c>
    </row>
    <row r="762">
      <c r="A762" t="inlineStr">
        <is>
          <t>2022-2023</t>
        </is>
      </c>
      <c r="B762" t="inlineStr">
        <is>
          <t>2022-08-17</t>
        </is>
      </c>
      <c r="C762" t="inlineStr">
        <is>
          <t>12:17</t>
        </is>
      </c>
      <c r="D762" t="inlineStr">
        <is>
          <t>n° 7 + n° 8 + n° 10 + n° 11</t>
        </is>
      </c>
      <c r="E762" t="inlineStr">
        <is>
          <t>pression</t>
        </is>
      </c>
      <c r="F762" t="n">
        <v>3.9</v>
      </c>
      <c r="G762" t="inlineStr">
        <is>
          <t>n° 7 : 0,50 + n° 8 : 0,50 + n° 10 : 0,50 + n° 11 : 0,50</t>
        </is>
      </c>
      <c r="H762" t="n">
        <v>2</v>
      </c>
    </row>
    <row r="763">
      <c r="A763" t="inlineStr">
        <is>
          <t>2022-2023</t>
        </is>
      </c>
      <c r="B763" t="inlineStr">
        <is>
          <t>2022-08-17</t>
        </is>
      </c>
      <c r="C763" t="inlineStr">
        <is>
          <t>12:17</t>
        </is>
      </c>
      <c r="D763" t="inlineStr">
        <is>
          <t>n° 7 + n° 8 + n° 10 + n° 11</t>
        </is>
      </c>
      <c r="E763" t="inlineStr">
        <is>
          <t>Jus de Fruit</t>
        </is>
      </c>
      <c r="F763" t="n">
        <v>3.9</v>
      </c>
      <c r="G763" t="inlineStr">
        <is>
          <t>n° 7 : 0,50 + n° 8 : 0,50</t>
        </is>
      </c>
      <c r="H763" t="n">
        <v>1</v>
      </c>
    </row>
    <row r="764">
      <c r="A764" t="inlineStr">
        <is>
          <t>2022-2023</t>
        </is>
      </c>
      <c r="B764" t="inlineStr">
        <is>
          <t>2022-08-17</t>
        </is>
      </c>
      <c r="C764" t="inlineStr">
        <is>
          <t>12:17</t>
        </is>
      </c>
      <c r="D764" t="inlineStr">
        <is>
          <t>n° 7 + n° 8 + n° 10 + n° 11</t>
        </is>
      </c>
      <c r="E764" t="inlineStr">
        <is>
          <t>GLACE 2 BOULES</t>
        </is>
      </c>
      <c r="F764" t="n">
        <v>3.9</v>
      </c>
      <c r="G764" t="inlineStr">
        <is>
          <t>n° 7 : 0,50 + n° 8 : 0,50</t>
        </is>
      </c>
      <c r="H764" t="n">
        <v>1</v>
      </c>
    </row>
    <row r="765">
      <c r="A765" t="inlineStr">
        <is>
          <t>2022-2023</t>
        </is>
      </c>
      <c r="B765" t="inlineStr">
        <is>
          <t>2022-08-17</t>
        </is>
      </c>
      <c r="C765" t="inlineStr">
        <is>
          <t>12:17</t>
        </is>
      </c>
      <c r="D765" t="inlineStr">
        <is>
          <t>n° 7 + n° 8 + n° 10 + n° 11</t>
        </is>
      </c>
      <c r="E765" t="inlineStr">
        <is>
          <t>Crémant</t>
        </is>
      </c>
      <c r="F765" t="n">
        <v>3.9</v>
      </c>
      <c r="G765" t="inlineStr">
        <is>
          <t>n° 10 : 1,50 + n° 11 : 1,50</t>
        </is>
      </c>
      <c r="H765" t="n">
        <v>3</v>
      </c>
    </row>
    <row r="766">
      <c r="A766" t="inlineStr">
        <is>
          <t>2022-2023</t>
        </is>
      </c>
      <c r="B766" t="inlineStr">
        <is>
          <t>2022-08-17</t>
        </is>
      </c>
      <c r="C766" t="inlineStr">
        <is>
          <t>12:17</t>
        </is>
      </c>
      <c r="D766" t="inlineStr">
        <is>
          <t>n° 7 + n° 8 + n° 10 + n° 11</t>
        </is>
      </c>
      <c r="E766" t="inlineStr">
        <is>
          <t>Orangina (25cl)</t>
        </is>
      </c>
      <c r="F766" t="n">
        <v>3.9</v>
      </c>
      <c r="G766" t="inlineStr">
        <is>
          <t>n° 10 : 0,50 + n° 11 : 0,50</t>
        </is>
      </c>
      <c r="H766" t="n">
        <v>1</v>
      </c>
    </row>
    <row r="767">
      <c r="A767" t="inlineStr">
        <is>
          <t>2022-2023</t>
        </is>
      </c>
      <c r="B767" t="inlineStr">
        <is>
          <t>2022-08-17</t>
        </is>
      </c>
      <c r="C767" t="inlineStr">
        <is>
          <t>12:17</t>
        </is>
      </c>
      <c r="D767" t="inlineStr">
        <is>
          <t>n° 7 + n° 8 + n° 10 + n° 11</t>
        </is>
      </c>
      <c r="E767" t="inlineStr">
        <is>
          <t>Pastis</t>
        </is>
      </c>
      <c r="F767" t="n">
        <v>3.8</v>
      </c>
      <c r="G767" t="inlineStr">
        <is>
          <t>n° 10 : 0,50 + n° 11 : 0,50</t>
        </is>
      </c>
      <c r="H767" t="n">
        <v>1</v>
      </c>
    </row>
    <row r="768">
      <c r="A768" t="inlineStr">
        <is>
          <t>2022-2023</t>
        </is>
      </c>
      <c r="B768" t="inlineStr">
        <is>
          <t>2022-08-17</t>
        </is>
      </c>
      <c r="C768" t="inlineStr">
        <is>
          <t>12:17</t>
        </is>
      </c>
      <c r="D768" t="inlineStr">
        <is>
          <t>n° 7 + n° 8 + n° 10 + n° 11</t>
        </is>
      </c>
      <c r="E768" t="inlineStr">
        <is>
          <t>Sirop à l'eau</t>
        </is>
      </c>
      <c r="F768" t="n">
        <v>2.2</v>
      </c>
      <c r="G768" t="inlineStr">
        <is>
          <t>n° 10 : 0,50 + n° 11 : 0,50</t>
        </is>
      </c>
      <c r="H768" t="n">
        <v>1</v>
      </c>
    </row>
    <row r="769">
      <c r="A769" t="inlineStr">
        <is>
          <t>2022-2023</t>
        </is>
      </c>
      <c r="B769" t="inlineStr">
        <is>
          <t>2022-08-17</t>
        </is>
      </c>
      <c r="C769" t="inlineStr">
        <is>
          <t>19:38</t>
        </is>
      </c>
      <c r="D769" t="inlineStr">
        <is>
          <t>n° 22 + n° 23 + n° 24 + n° 25 + n° 27 + n° 28</t>
        </is>
      </c>
      <c r="E769" t="inlineStr">
        <is>
          <t>Entrecôte grillée</t>
        </is>
      </c>
      <c r="F769" t="n">
        <v>19.9</v>
      </c>
      <c r="G769" t="inlineStr">
        <is>
          <t>n° 24 : 0,50 + n° 25 : 0,50</t>
        </is>
      </c>
      <c r="H769" t="n">
        <v>1</v>
      </c>
    </row>
    <row r="770">
      <c r="A770" t="inlineStr">
        <is>
          <t>2022-2023</t>
        </is>
      </c>
      <c r="B770" t="inlineStr">
        <is>
          <t>2022-08-17</t>
        </is>
      </c>
      <c r="C770" t="inlineStr">
        <is>
          <t>19:38</t>
        </is>
      </c>
      <c r="D770" t="inlineStr">
        <is>
          <t>n° 22 + n° 23 + n° 24 + n° 25 + n° 27 + n° 28</t>
        </is>
      </c>
      <c r="E770" t="inlineStr">
        <is>
          <t>1/2 Arbois Béthanie</t>
        </is>
      </c>
      <c r="F770" t="n">
        <v>19</v>
      </c>
      <c r="G770" t="inlineStr">
        <is>
          <t>n° 22 : 0,50 + n° 23 : 0,50</t>
        </is>
      </c>
      <c r="H770" t="n">
        <v>1</v>
      </c>
    </row>
    <row r="771">
      <c r="A771" t="inlineStr">
        <is>
          <t>2022-2023</t>
        </is>
      </c>
      <c r="B771" t="inlineStr">
        <is>
          <t>2022-08-17</t>
        </is>
      </c>
      <c r="C771" t="inlineStr">
        <is>
          <t>19:38</t>
        </is>
      </c>
      <c r="D771" t="inlineStr">
        <is>
          <t>n° 22 + n° 23 + n° 24 + n° 25 + n° 27 + n° 28</t>
        </is>
      </c>
      <c r="E771" t="inlineStr">
        <is>
          <t>TRUITE JURASSIENNE</t>
        </is>
      </c>
      <c r="F771" t="n">
        <v>17.6</v>
      </c>
      <c r="G771" t="inlineStr">
        <is>
          <t>n° 24 : 0,50 + n° 25 : 0,50</t>
        </is>
      </c>
      <c r="H771" t="n">
        <v>1</v>
      </c>
    </row>
    <row r="772">
      <c r="A772" t="inlineStr">
        <is>
          <t>2022-2023</t>
        </is>
      </c>
      <c r="B772" t="inlineStr">
        <is>
          <t>2022-08-17</t>
        </is>
      </c>
      <c r="C772" t="inlineStr">
        <is>
          <t>19:38</t>
        </is>
      </c>
      <c r="D772" t="inlineStr">
        <is>
          <t>n° 22 + n° 23 + n° 24 + n° 25 + n° 27 + n° 28</t>
        </is>
      </c>
      <c r="E772" t="inlineStr">
        <is>
          <t>H.C.DE BEAUNE  VERRE</t>
        </is>
      </c>
      <c r="F772" t="n">
        <v>7.9</v>
      </c>
      <c r="G772" t="inlineStr">
        <is>
          <t>n° 24 : 0,50 + n° 25 : 0,50</t>
        </is>
      </c>
      <c r="H772" t="n">
        <v>1</v>
      </c>
    </row>
    <row r="773">
      <c r="A773" t="inlineStr">
        <is>
          <t>2022-2023</t>
        </is>
      </c>
      <c r="B773" t="inlineStr">
        <is>
          <t>2022-08-17</t>
        </is>
      </c>
      <c r="C773" t="inlineStr">
        <is>
          <t>19:38</t>
        </is>
      </c>
      <c r="D773" t="inlineStr">
        <is>
          <t>n° 22 + n° 23 + n° 24 + n° 25 + n° 27 + n° 28</t>
        </is>
      </c>
      <c r="E773" t="inlineStr">
        <is>
          <t>Blanche des plateaux</t>
        </is>
      </c>
      <c r="F773" t="n">
        <v>5.9</v>
      </c>
      <c r="G773" t="inlineStr">
        <is>
          <t>n° 22 : 0,50 + n° 23 : 0,50 + n° 27 : 0,50 + n° 28 : 0,50</t>
        </is>
      </c>
      <c r="H773" t="n">
        <v>2</v>
      </c>
    </row>
    <row r="774">
      <c r="A774" t="inlineStr">
        <is>
          <t>2022-2023</t>
        </is>
      </c>
      <c r="B774" t="inlineStr">
        <is>
          <t>2022-08-17</t>
        </is>
      </c>
      <c r="C774" t="inlineStr">
        <is>
          <t>19:38</t>
        </is>
      </c>
      <c r="D774" t="inlineStr">
        <is>
          <t>n° 22 + n° 23 + n° 24 + n° 25 + n° 27 + n° 28</t>
        </is>
      </c>
      <c r="E774" t="inlineStr">
        <is>
          <t>La Vouivre</t>
        </is>
      </c>
      <c r="F774" t="n">
        <v>5.2</v>
      </c>
      <c r="G774" t="inlineStr">
        <is>
          <t>n° 22 : 0,50 + n° 23 : 0,50</t>
        </is>
      </c>
      <c r="H774" t="n">
        <v>1</v>
      </c>
    </row>
    <row r="775">
      <c r="A775" t="inlineStr">
        <is>
          <t>2022-2023</t>
        </is>
      </c>
      <c r="B775" t="inlineStr">
        <is>
          <t>2022-08-17</t>
        </is>
      </c>
      <c r="C775" t="inlineStr">
        <is>
          <t>19:38</t>
        </is>
      </c>
      <c r="D775" t="inlineStr">
        <is>
          <t>n° 22 + n° 23 + n° 24 + n° 25 + n° 27 + n° 28</t>
        </is>
      </c>
      <c r="E775" t="inlineStr">
        <is>
          <t>Kir Bourgogne</t>
        </is>
      </c>
      <c r="F775" t="n">
        <v>4.2</v>
      </c>
      <c r="G775" t="inlineStr">
        <is>
          <t>n° 27 : 0,50 + n° 28 : 0,50</t>
        </is>
      </c>
      <c r="H775" t="n">
        <v>1</v>
      </c>
    </row>
    <row r="776">
      <c r="A776" t="inlineStr">
        <is>
          <t>2022-2023</t>
        </is>
      </c>
      <c r="B776" t="inlineStr">
        <is>
          <t>2022-08-17</t>
        </is>
      </c>
      <c r="C776" t="inlineStr">
        <is>
          <t>19:38</t>
        </is>
      </c>
      <c r="D776" t="inlineStr">
        <is>
          <t>n° 22 + n° 23 + n° 24 + n° 25 + n° 27 + n° 28</t>
        </is>
      </c>
      <c r="E776" t="inlineStr">
        <is>
          <t>Limonade (25cl)</t>
        </is>
      </c>
      <c r="F776" t="n">
        <v>3.9</v>
      </c>
      <c r="G776" t="inlineStr">
        <is>
          <t>n° 22 : 0,50 + n° 23 : 0,50</t>
        </is>
      </c>
      <c r="H776" t="n">
        <v>1</v>
      </c>
    </row>
    <row r="777">
      <c r="A777" t="inlineStr">
        <is>
          <t>2022-2023</t>
        </is>
      </c>
      <c r="B777" t="inlineStr">
        <is>
          <t>2022-08-17</t>
        </is>
      </c>
      <c r="C777" t="inlineStr">
        <is>
          <t>19:38</t>
        </is>
      </c>
      <c r="D777" t="inlineStr">
        <is>
          <t>n° 22 + n° 23 + n° 24 + n° 25 + n° 27 + n° 28</t>
        </is>
      </c>
      <c r="E777" t="inlineStr">
        <is>
          <t>Jus de Fruit</t>
        </is>
      </c>
      <c r="F777" t="n">
        <v>3.9</v>
      </c>
      <c r="G777" t="inlineStr">
        <is>
          <t>n° 22 : 0,50 + n° 23 : 0,50</t>
        </is>
      </c>
      <c r="H777" t="n">
        <v>1</v>
      </c>
    </row>
    <row r="778">
      <c r="A778" t="inlineStr">
        <is>
          <t>2022-2023</t>
        </is>
      </c>
      <c r="B778" t="inlineStr">
        <is>
          <t>2022-08-18</t>
        </is>
      </c>
      <c r="C778" t="inlineStr">
        <is>
          <t>19:23</t>
        </is>
      </c>
      <c r="D778" t="inlineStr">
        <is>
          <t>n° 20 + n° 21</t>
        </is>
      </c>
      <c r="E778" t="inlineStr">
        <is>
          <t>CAMEMBERT ROTI</t>
        </is>
      </c>
      <c r="F778" t="n">
        <v>17.6</v>
      </c>
      <c r="G778" t="inlineStr">
        <is>
          <t>n° 20 : 0,50 + n° 21 : 0,50</t>
        </is>
      </c>
      <c r="H778" t="n">
        <v>1</v>
      </c>
    </row>
    <row r="779">
      <c r="A779" t="inlineStr">
        <is>
          <t>2022-2023</t>
        </is>
      </c>
      <c r="B779" t="inlineStr">
        <is>
          <t>2022-08-18</t>
        </is>
      </c>
      <c r="C779" t="inlineStr">
        <is>
          <t>19:23</t>
        </is>
      </c>
      <c r="D779" t="inlineStr">
        <is>
          <t>n° 20 + n° 21</t>
        </is>
      </c>
      <c r="E779" t="inlineStr">
        <is>
          <t>Coca (25cl)</t>
        </is>
      </c>
      <c r="F779" t="n">
        <v>3.9</v>
      </c>
      <c r="G779" t="inlineStr">
        <is>
          <t>n° 20 : 0,50 + n° 21 : 0,50</t>
        </is>
      </c>
      <c r="H779" t="n">
        <v>1</v>
      </c>
    </row>
    <row r="780">
      <c r="A780" t="inlineStr">
        <is>
          <t>2022-2023</t>
        </is>
      </c>
      <c r="B780" t="inlineStr">
        <is>
          <t>2022-08-18</t>
        </is>
      </c>
      <c r="C780" t="inlineStr">
        <is>
          <t>19:23</t>
        </is>
      </c>
      <c r="D780" t="inlineStr">
        <is>
          <t>n° 20 + n° 21</t>
        </is>
      </c>
      <c r="E780" t="inlineStr">
        <is>
          <t>Jus de Fruit</t>
        </is>
      </c>
      <c r="F780" t="n">
        <v>3.9</v>
      </c>
      <c r="G780" t="inlineStr">
        <is>
          <t>n° 20 : 0,50 + n° 21 : 0,50</t>
        </is>
      </c>
      <c r="H780" t="n">
        <v>1</v>
      </c>
    </row>
    <row r="781">
      <c r="A781" t="inlineStr">
        <is>
          <t>2022-2023</t>
        </is>
      </c>
      <c r="B781" t="inlineStr">
        <is>
          <t>2022-08-18</t>
        </is>
      </c>
      <c r="C781" t="inlineStr">
        <is>
          <t>19:23</t>
        </is>
      </c>
      <c r="D781" t="inlineStr">
        <is>
          <t>n° 20 + n° 21</t>
        </is>
      </c>
      <c r="E781" t="inlineStr">
        <is>
          <t>Cancoillotte</t>
        </is>
      </c>
      <c r="F781" t="n">
        <v>3.9</v>
      </c>
      <c r="G781" t="inlineStr">
        <is>
          <t>n° 20 : 0,50 + n° 21 : 0,50</t>
        </is>
      </c>
      <c r="H781" t="n">
        <v>1</v>
      </c>
    </row>
    <row r="782">
      <c r="A782" t="inlineStr">
        <is>
          <t>2022-2023</t>
        </is>
      </c>
      <c r="B782" t="inlineStr">
        <is>
          <t>2022-08-18</t>
        </is>
      </c>
      <c r="C782" t="inlineStr">
        <is>
          <t>19:23</t>
        </is>
      </c>
      <c r="D782" t="inlineStr">
        <is>
          <t>n° 20 + n° 21</t>
        </is>
      </c>
      <c r="E782" t="inlineStr">
        <is>
          <t>Fromage de Chèvre</t>
        </is>
      </c>
      <c r="F782" t="n">
        <v>3.9</v>
      </c>
      <c r="G782" t="inlineStr">
        <is>
          <t>n° 20 : 0,50 + n° 21 : 0,50</t>
        </is>
      </c>
      <c r="H782" t="n">
        <v>1</v>
      </c>
    </row>
    <row r="783">
      <c r="A783" t="inlineStr">
        <is>
          <t>2022-2023</t>
        </is>
      </c>
      <c r="B783" t="inlineStr">
        <is>
          <t>2022-08-18</t>
        </is>
      </c>
      <c r="C783" t="inlineStr">
        <is>
          <t>19:23</t>
        </is>
      </c>
      <c r="D783" t="inlineStr">
        <is>
          <t>n° 20 + n° 21</t>
        </is>
      </c>
      <c r="E783" t="inlineStr">
        <is>
          <t>Ratatouille</t>
        </is>
      </c>
      <c r="F783" t="n">
        <v>3.2</v>
      </c>
      <c r="G783" t="inlineStr">
        <is>
          <t>n° 20 : 0,50 + n° 21 : 0,50</t>
        </is>
      </c>
      <c r="H783" t="n">
        <v>1</v>
      </c>
    </row>
    <row r="784">
      <c r="A784" t="inlineStr">
        <is>
          <t>2022-2023</t>
        </is>
      </c>
      <c r="B784" t="inlineStr">
        <is>
          <t>2022-08-18</t>
        </is>
      </c>
      <c r="C784" t="inlineStr">
        <is>
          <t>19:23</t>
        </is>
      </c>
      <c r="D784" t="inlineStr">
        <is>
          <t>n° 20 + n° 21</t>
        </is>
      </c>
      <c r="E784" t="inlineStr">
        <is>
          <t>Galette nature</t>
        </is>
      </c>
      <c r="F784" t="n">
        <v>2.9</v>
      </c>
      <c r="G784" t="inlineStr">
        <is>
          <t>n° 20 : 0,50 + n° 21 : 0,50</t>
        </is>
      </c>
      <c r="H784" t="n">
        <v>1</v>
      </c>
    </row>
    <row r="785">
      <c r="A785" t="inlineStr">
        <is>
          <t>2022-2023</t>
        </is>
      </c>
      <c r="B785" t="inlineStr">
        <is>
          <t>2022-08-18</t>
        </is>
      </c>
      <c r="C785" t="inlineStr">
        <is>
          <t>19:23</t>
        </is>
      </c>
      <c r="D785" t="inlineStr">
        <is>
          <t>n° 20 + n° 21</t>
        </is>
      </c>
      <c r="E785" t="inlineStr">
        <is>
          <t>Œuf</t>
        </is>
      </c>
      <c r="F785" t="n">
        <v>0.9</v>
      </c>
      <c r="G785" t="inlineStr">
        <is>
          <t>n° 20 : 0,50 + n° 21 : 0,50</t>
        </is>
      </c>
      <c r="H785" t="n">
        <v>1</v>
      </c>
    </row>
    <row r="786">
      <c r="A786" t="inlineStr">
        <is>
          <t>2022-2023</t>
        </is>
      </c>
      <c r="B786" t="inlineStr">
        <is>
          <t>2022-08-18</t>
        </is>
      </c>
      <c r="C786" t="inlineStr">
        <is>
          <t>20:13</t>
        </is>
      </c>
      <c r="D786" t="inlineStr">
        <is>
          <t>n° 33 + n° 34</t>
        </is>
      </c>
      <c r="E786" t="inlineStr">
        <is>
          <t>Arbois Chardonnay Le</t>
        </is>
      </c>
      <c r="F786" t="n">
        <v>24.9</v>
      </c>
      <c r="G786" t="inlineStr">
        <is>
          <t>n° 33 : 0,50 + n° 34 : 0,50</t>
        </is>
      </c>
      <c r="H786" t="n">
        <v>1</v>
      </c>
    </row>
    <row r="787">
      <c r="A787" t="inlineStr">
        <is>
          <t>2022-2023</t>
        </is>
      </c>
      <c r="B787" t="inlineStr">
        <is>
          <t>2022-08-18</t>
        </is>
      </c>
      <c r="C787" t="inlineStr">
        <is>
          <t>20:13</t>
        </is>
      </c>
      <c r="D787" t="inlineStr">
        <is>
          <t>n° 33 + n° 34</t>
        </is>
      </c>
      <c r="E787" t="inlineStr">
        <is>
          <t>Saucisse de Morteau</t>
        </is>
      </c>
      <c r="F787" t="n">
        <v>8.800000000000001</v>
      </c>
      <c r="G787" t="inlineStr">
        <is>
          <t>n° 33 : 0,50 + n° 34 : 0,50</t>
        </is>
      </c>
      <c r="H787" t="n">
        <v>1</v>
      </c>
    </row>
    <row r="788">
      <c r="A788" t="inlineStr">
        <is>
          <t>2022-2023</t>
        </is>
      </c>
      <c r="B788" t="inlineStr">
        <is>
          <t>2022-08-18</t>
        </is>
      </c>
      <c r="C788" t="inlineStr">
        <is>
          <t>20:13</t>
        </is>
      </c>
      <c r="D788" t="inlineStr">
        <is>
          <t>n° 33 + n° 34</t>
        </is>
      </c>
      <c r="E788" t="inlineStr">
        <is>
          <t>Pinte</t>
        </is>
      </c>
      <c r="F788" t="n">
        <v>7.8</v>
      </c>
      <c r="G788" t="inlineStr">
        <is>
          <t>n° 33 : 0,50 + n° 34 : 0,50</t>
        </is>
      </c>
      <c r="H788" t="n">
        <v>1</v>
      </c>
    </row>
    <row r="789">
      <c r="A789" t="inlineStr">
        <is>
          <t>2022-2023</t>
        </is>
      </c>
      <c r="B789" t="inlineStr">
        <is>
          <t>2022-08-18</t>
        </is>
      </c>
      <c r="C789" t="inlineStr">
        <is>
          <t>20:13</t>
        </is>
      </c>
      <c r="D789" t="inlineStr">
        <is>
          <t>n° 33 + n° 34</t>
        </is>
      </c>
      <c r="E789" t="inlineStr">
        <is>
          <t>Coca (25cl)</t>
        </is>
      </c>
      <c r="F789" t="n">
        <v>3.9</v>
      </c>
      <c r="G789" t="inlineStr">
        <is>
          <t>n° 33 : 0,50 + n° 34 : 0,50</t>
        </is>
      </c>
      <c r="H789" t="n">
        <v>1</v>
      </c>
    </row>
    <row r="790">
      <c r="A790" t="inlineStr">
        <is>
          <t>2022-2023</t>
        </is>
      </c>
      <c r="B790" t="inlineStr">
        <is>
          <t>2022-08-18</t>
        </is>
      </c>
      <c r="C790" t="inlineStr">
        <is>
          <t>20:13</t>
        </is>
      </c>
      <c r="D790" t="inlineStr">
        <is>
          <t>n° 33 + n° 34</t>
        </is>
      </c>
      <c r="E790" t="inlineStr">
        <is>
          <t>Expresso Crème</t>
        </is>
      </c>
      <c r="F790" t="n">
        <v>2.4</v>
      </c>
      <c r="G790" t="inlineStr">
        <is>
          <t>n° 33 : 0,50 + n° 34 : 0,50</t>
        </is>
      </c>
      <c r="H790" t="n">
        <v>1</v>
      </c>
    </row>
    <row r="791">
      <c r="A791" t="inlineStr">
        <is>
          <t>2022-2023</t>
        </is>
      </c>
      <c r="B791" t="inlineStr">
        <is>
          <t>2022-08-18</t>
        </is>
      </c>
      <c r="C791" t="inlineStr">
        <is>
          <t>20:13</t>
        </is>
      </c>
      <c r="D791" t="inlineStr">
        <is>
          <t>n° 33 + n° 34</t>
        </is>
      </c>
      <c r="E791" t="inlineStr">
        <is>
          <t>Expresso</t>
        </is>
      </c>
      <c r="F791" t="n">
        <v>2.2</v>
      </c>
      <c r="G791" t="inlineStr">
        <is>
          <t>n° 33 : 0,50 + n° 34 : 0,50</t>
        </is>
      </c>
      <c r="H791" t="n">
        <v>1</v>
      </c>
    </row>
    <row r="792">
      <c r="A792" t="inlineStr">
        <is>
          <t>2022-2023</t>
        </is>
      </c>
      <c r="B792" t="inlineStr">
        <is>
          <t>2022-08-19</t>
        </is>
      </c>
      <c r="C792" t="inlineStr">
        <is>
          <t>12:36</t>
        </is>
      </c>
      <c r="D792" t="inlineStr">
        <is>
          <t>n° 11 + n° 12</t>
        </is>
      </c>
      <c r="E792" t="inlineStr">
        <is>
          <t>Pommes grenailles</t>
        </is>
      </c>
      <c r="F792" t="n">
        <v>3.9</v>
      </c>
      <c r="G792" t="inlineStr">
        <is>
          <t>n° 11 : 0,50 + n° 12 : 0,50</t>
        </is>
      </c>
      <c r="H792" t="n">
        <v>1</v>
      </c>
    </row>
    <row r="793">
      <c r="A793" t="inlineStr">
        <is>
          <t>2022-2023</t>
        </is>
      </c>
      <c r="B793" t="inlineStr">
        <is>
          <t>2022-08-20</t>
        </is>
      </c>
      <c r="C793" t="inlineStr">
        <is>
          <t>19:50</t>
        </is>
      </c>
      <c r="D793" t="inlineStr">
        <is>
          <t>n° 26 + n° 27 + n° 30 + n° 31</t>
        </is>
      </c>
      <c r="E793" t="inlineStr">
        <is>
          <t>Arbois Savagnin</t>
        </is>
      </c>
      <c r="F793" t="n">
        <v>36</v>
      </c>
      <c r="G793" t="inlineStr">
        <is>
          <t>n° 26 : 0,50 + n° 27 : 0,50</t>
        </is>
      </c>
      <c r="H793" t="n">
        <v>1</v>
      </c>
    </row>
    <row r="794">
      <c r="A794" t="inlineStr">
        <is>
          <t>2022-2023</t>
        </is>
      </c>
      <c r="B794" t="inlineStr">
        <is>
          <t>2022-08-20</t>
        </is>
      </c>
      <c r="C794" t="inlineStr">
        <is>
          <t>19:50</t>
        </is>
      </c>
      <c r="D794" t="inlineStr">
        <is>
          <t>n° 26 + n° 27 + n° 30 + n° 31</t>
        </is>
      </c>
      <c r="E794" t="inlineStr">
        <is>
          <t>PICHET GEWURZTRAMINE</t>
        </is>
      </c>
      <c r="F794" t="n">
        <v>27</v>
      </c>
      <c r="G794" t="inlineStr">
        <is>
          <t>n° 30 : 0,50 + n° 31 : 0,50</t>
        </is>
      </c>
      <c r="H794" t="n">
        <v>1</v>
      </c>
    </row>
    <row r="795">
      <c r="A795" t="inlineStr">
        <is>
          <t>2022-2023</t>
        </is>
      </c>
      <c r="B795" t="inlineStr">
        <is>
          <t>2022-08-20</t>
        </is>
      </c>
      <c r="C795" t="inlineStr">
        <is>
          <t>19:50</t>
        </is>
      </c>
      <c r="D795" t="inlineStr">
        <is>
          <t>n° 26 + n° 27 + n° 30 + n° 31</t>
        </is>
      </c>
      <c r="E795" t="inlineStr">
        <is>
          <t>Crémeux du Jura</t>
        </is>
      </c>
      <c r="F795" t="n">
        <v>19</v>
      </c>
      <c r="G795" t="inlineStr">
        <is>
          <t>n° 30 : 0,50 + n° 31 : 0,50</t>
        </is>
      </c>
      <c r="H795" t="n">
        <v>1</v>
      </c>
    </row>
    <row r="796">
      <c r="A796" t="inlineStr">
        <is>
          <t>2022-2023</t>
        </is>
      </c>
      <c r="B796" t="inlineStr">
        <is>
          <t>2022-08-20</t>
        </is>
      </c>
      <c r="C796" t="inlineStr">
        <is>
          <t>19:50</t>
        </is>
      </c>
      <c r="D796" t="inlineStr">
        <is>
          <t>n° 26 + n° 27 + n° 30 + n° 31</t>
        </is>
      </c>
      <c r="E796" t="inlineStr">
        <is>
          <t>MORTEAU GRILLEE</t>
        </is>
      </c>
      <c r="F796" t="n">
        <v>17.6</v>
      </c>
      <c r="G796" t="inlineStr">
        <is>
          <t>n° 30 : 0,50 + n° 31 : 0,50</t>
        </is>
      </c>
      <c r="H796" t="n">
        <v>1</v>
      </c>
    </row>
    <row r="797">
      <c r="A797" t="inlineStr">
        <is>
          <t>2022-2023</t>
        </is>
      </c>
      <c r="B797" t="inlineStr">
        <is>
          <t>2022-08-20</t>
        </is>
      </c>
      <c r="C797" t="inlineStr">
        <is>
          <t>19:50</t>
        </is>
      </c>
      <c r="D797" t="inlineStr">
        <is>
          <t>n° 26 + n° 27 + n° 30 + n° 31</t>
        </is>
      </c>
      <c r="E797" t="inlineStr">
        <is>
          <t>Normandine</t>
        </is>
      </c>
      <c r="F797" t="n">
        <v>8.699999999999999</v>
      </c>
      <c r="G797" t="inlineStr">
        <is>
          <t>n° 26 : 0,50 + n° 27 : 0,50</t>
        </is>
      </c>
      <c r="H797" t="n">
        <v>1</v>
      </c>
    </row>
    <row r="798">
      <c r="A798" t="inlineStr">
        <is>
          <t>2022-2023</t>
        </is>
      </c>
      <c r="B798" t="inlineStr">
        <is>
          <t>2022-08-20</t>
        </is>
      </c>
      <c r="C798" t="inlineStr">
        <is>
          <t>19:50</t>
        </is>
      </c>
      <c r="D798" t="inlineStr">
        <is>
          <t>n° 26 + n° 27 + n° 30 + n° 31</t>
        </is>
      </c>
      <c r="E798" t="inlineStr">
        <is>
          <t>FLIRT</t>
        </is>
      </c>
      <c r="F798" t="n">
        <v>8.1</v>
      </c>
      <c r="G798" t="inlineStr">
        <is>
          <t>n° 26 : 0,50 + n° 27 : 0,50</t>
        </is>
      </c>
      <c r="H798" t="n">
        <v>1</v>
      </c>
    </row>
    <row r="799">
      <c r="A799" t="inlineStr">
        <is>
          <t>2022-2023</t>
        </is>
      </c>
      <c r="B799" t="inlineStr">
        <is>
          <t>2022-08-20</t>
        </is>
      </c>
      <c r="C799" t="inlineStr">
        <is>
          <t>19:50</t>
        </is>
      </c>
      <c r="D799" t="inlineStr">
        <is>
          <t>n° 26 + n° 27 + n° 30 + n° 31</t>
        </is>
      </c>
      <c r="E799" t="inlineStr">
        <is>
          <t>Vin de Paille</t>
        </is>
      </c>
      <c r="F799" t="n">
        <v>6</v>
      </c>
      <c r="G799" t="inlineStr">
        <is>
          <t>n° 30 : 0,50 + n° 31 : 0,50</t>
        </is>
      </c>
      <c r="H799" t="n">
        <v>1</v>
      </c>
    </row>
    <row r="800">
      <c r="A800" t="inlineStr">
        <is>
          <t>2022-2023</t>
        </is>
      </c>
      <c r="B800" t="inlineStr">
        <is>
          <t>2022-08-20</t>
        </is>
      </c>
      <c r="C800" t="inlineStr">
        <is>
          <t>19:50</t>
        </is>
      </c>
      <c r="D800" t="inlineStr">
        <is>
          <t>n° 26 + n° 27 + n° 30 + n° 31</t>
        </is>
      </c>
      <c r="E800" t="inlineStr">
        <is>
          <t>San Pelegrino</t>
        </is>
      </c>
      <c r="F800" t="n">
        <v>5.9</v>
      </c>
      <c r="G800" t="inlineStr">
        <is>
          <t>n° 26 : 0,50 + n° 27 : 0,50</t>
        </is>
      </c>
      <c r="H800" t="n">
        <v>1</v>
      </c>
    </row>
    <row r="801">
      <c r="A801" t="inlineStr">
        <is>
          <t>2022-2023</t>
        </is>
      </c>
      <c r="B801" t="inlineStr">
        <is>
          <t>2022-08-20</t>
        </is>
      </c>
      <c r="C801" t="inlineStr">
        <is>
          <t>19:50</t>
        </is>
      </c>
      <c r="D801" t="inlineStr">
        <is>
          <t>n° 26 + n° 27 + n° 30 + n° 31</t>
        </is>
      </c>
      <c r="E801" t="inlineStr">
        <is>
          <t>La Vouivre</t>
        </is>
      </c>
      <c r="F801" t="n">
        <v>5.2</v>
      </c>
      <c r="G801" t="inlineStr">
        <is>
          <t>n° 30 : 0,50 + n° 31 : 0,50</t>
        </is>
      </c>
      <c r="H801" t="n">
        <v>1</v>
      </c>
    </row>
    <row r="802">
      <c r="A802" t="inlineStr">
        <is>
          <t>2022-2023</t>
        </is>
      </c>
      <c r="B802" t="inlineStr">
        <is>
          <t>2022-08-21</t>
        </is>
      </c>
      <c r="C802" t="inlineStr">
        <is>
          <t>12:05</t>
        </is>
      </c>
      <c r="D802" t="inlineStr">
        <is>
          <t>n° 6 + n° 7</t>
        </is>
      </c>
      <c r="E802" t="inlineStr">
        <is>
          <t>Arbois Trousseau Le</t>
        </is>
      </c>
      <c r="F802" t="n">
        <v>6.4</v>
      </c>
      <c r="G802" t="inlineStr">
        <is>
          <t>n° 6 : 0,50 + n° 7 : 0,50</t>
        </is>
      </c>
      <c r="H802" t="n">
        <v>1</v>
      </c>
    </row>
    <row r="803">
      <c r="A803" t="inlineStr">
        <is>
          <t>2022-2023</t>
        </is>
      </c>
      <c r="B803" t="inlineStr">
        <is>
          <t>2022-08-24</t>
        </is>
      </c>
      <c r="C803" t="inlineStr">
        <is>
          <t>19:37</t>
        </is>
      </c>
      <c r="D803" t="inlineStr">
        <is>
          <t>n° 20 + n° 21</t>
        </is>
      </c>
      <c r="E803" t="inlineStr">
        <is>
          <t>Menu Végétarien</t>
        </is>
      </c>
      <c r="F803" t="n">
        <v>23</v>
      </c>
      <c r="G803" t="inlineStr">
        <is>
          <t>n° 20 : 0,50 + n° 21 : 0,50</t>
        </is>
      </c>
      <c r="H803" t="n">
        <v>1</v>
      </c>
    </row>
    <row r="804">
      <c r="A804" t="inlineStr">
        <is>
          <t>2022-2023</t>
        </is>
      </c>
      <c r="B804" t="inlineStr">
        <is>
          <t>2022-08-24</t>
        </is>
      </c>
      <c r="C804" t="inlineStr">
        <is>
          <t>19:37</t>
        </is>
      </c>
      <c r="D804" t="inlineStr">
        <is>
          <t>n° 20 + n° 21</t>
        </is>
      </c>
      <c r="E804" t="inlineStr">
        <is>
          <t>Menu 'Galette'</t>
        </is>
      </c>
      <c r="F804" t="n">
        <v>15.9</v>
      </c>
      <c r="G804" t="inlineStr">
        <is>
          <t>n° 20 : 0,50 + n° 21 : 0,50</t>
        </is>
      </c>
      <c r="H804" t="n">
        <v>1</v>
      </c>
    </row>
    <row r="805">
      <c r="A805" t="inlineStr">
        <is>
          <t>2022-2023</t>
        </is>
      </c>
      <c r="B805" t="inlineStr">
        <is>
          <t>2022-08-24</t>
        </is>
      </c>
      <c r="C805" t="inlineStr">
        <is>
          <t>19:37</t>
        </is>
      </c>
      <c r="D805" t="inlineStr">
        <is>
          <t>n° 20 + n° 21</t>
        </is>
      </c>
      <c r="E805" t="inlineStr">
        <is>
          <t>Pichet 75cl vin</t>
        </is>
      </c>
      <c r="F805" t="n">
        <v>13.4</v>
      </c>
      <c r="G805" t="inlineStr">
        <is>
          <t>n° 20 : 0,50 + n° 21 : 0,50</t>
        </is>
      </c>
      <c r="H805" t="n">
        <v>1</v>
      </c>
    </row>
    <row r="806">
      <c r="A806" t="inlineStr">
        <is>
          <t>2022-2023</t>
        </is>
      </c>
      <c r="B806" t="inlineStr">
        <is>
          <t>2022-08-24</t>
        </is>
      </c>
      <c r="C806" t="inlineStr">
        <is>
          <t>19:37</t>
        </is>
      </c>
      <c r="D806" t="inlineStr">
        <is>
          <t>n° 20 + n° 21</t>
        </is>
      </c>
      <c r="E806" t="inlineStr">
        <is>
          <t>Menu 'Enfant'</t>
        </is>
      </c>
      <c r="F806" t="n">
        <v>9.9</v>
      </c>
      <c r="G806" t="inlineStr">
        <is>
          <t>n° 20 : 0,50 + n° 21 : 0,50</t>
        </is>
      </c>
      <c r="H806" t="n">
        <v>1</v>
      </c>
    </row>
    <row r="807">
      <c r="A807" t="inlineStr">
        <is>
          <t>2022-2023</t>
        </is>
      </c>
      <c r="B807" t="inlineStr">
        <is>
          <t>2022-08-24</t>
        </is>
      </c>
      <c r="C807" t="inlineStr">
        <is>
          <t>20:31</t>
        </is>
      </c>
      <c r="D807" t="inlineStr">
        <is>
          <t>n° 28 + n° 29 + n° 30 + n° 31</t>
        </is>
      </c>
      <c r="E807" t="inlineStr">
        <is>
          <t>PICHET GEWURZTRAMINE</t>
        </is>
      </c>
      <c r="F807" t="n">
        <v>27</v>
      </c>
      <c r="G807" t="inlineStr">
        <is>
          <t>n° 28 : 0,50 + n° 29 : 0,50</t>
        </is>
      </c>
      <c r="H807" t="n">
        <v>1</v>
      </c>
    </row>
    <row r="808">
      <c r="A808" t="inlineStr">
        <is>
          <t>2022-2023</t>
        </is>
      </c>
      <c r="B808" t="inlineStr">
        <is>
          <t>2022-08-24</t>
        </is>
      </c>
      <c r="C808" t="inlineStr">
        <is>
          <t>20:31</t>
        </is>
      </c>
      <c r="D808" t="inlineStr">
        <is>
          <t>n° 28 + n° 29 + n° 30 + n° 31</t>
        </is>
      </c>
      <c r="E808" t="inlineStr">
        <is>
          <t>TRUITE JURASSIENNE</t>
        </is>
      </c>
      <c r="F808" t="n">
        <v>17.6</v>
      </c>
      <c r="G808" t="inlineStr">
        <is>
          <t>n° 28 : 0,50 + n° 29 : 0,50</t>
        </is>
      </c>
      <c r="H808" t="n">
        <v>1</v>
      </c>
    </row>
    <row r="809">
      <c r="A809" t="inlineStr">
        <is>
          <t>2022-2023</t>
        </is>
      </c>
      <c r="B809" t="inlineStr">
        <is>
          <t>2022-08-24</t>
        </is>
      </c>
      <c r="C809" t="inlineStr">
        <is>
          <t>20:31</t>
        </is>
      </c>
      <c r="D809" t="inlineStr">
        <is>
          <t>n° 28 + n° 29 + n° 30 + n° 31</t>
        </is>
      </c>
      <c r="E809" t="inlineStr">
        <is>
          <t>CABRICHOU</t>
        </is>
      </c>
      <c r="F809" t="n">
        <v>15.9</v>
      </c>
      <c r="G809" t="inlineStr">
        <is>
          <t>n° 30 : 0,50 + n° 31 : 0,50</t>
        </is>
      </c>
      <c r="H809" t="n">
        <v>1</v>
      </c>
    </row>
    <row r="810">
      <c r="A810" t="inlineStr">
        <is>
          <t>2022-2023</t>
        </is>
      </c>
      <c r="B810" t="inlineStr">
        <is>
          <t>2022-08-24</t>
        </is>
      </c>
      <c r="C810" t="inlineStr">
        <is>
          <t>20:31</t>
        </is>
      </c>
      <c r="D810" t="inlineStr">
        <is>
          <t>n° 28 + n° 29 + n° 30 + n° 31</t>
        </is>
      </c>
      <c r="E810" t="inlineStr">
        <is>
          <t>Complète</t>
        </is>
      </c>
      <c r="F810" t="n">
        <v>11.6</v>
      </c>
      <c r="G810" t="inlineStr">
        <is>
          <t>n° 30 : 0,50 + n° 31 : 0,50</t>
        </is>
      </c>
      <c r="H810" t="n">
        <v>1</v>
      </c>
    </row>
    <row r="811">
      <c r="A811" t="inlineStr">
        <is>
          <t>2022-2023</t>
        </is>
      </c>
      <c r="B811" t="inlineStr">
        <is>
          <t>2022-08-24</t>
        </is>
      </c>
      <c r="C811" t="inlineStr">
        <is>
          <t>20:31</t>
        </is>
      </c>
      <c r="D811" t="inlineStr">
        <is>
          <t>n° 28 + n° 29 + n° 30 + n° 31</t>
        </is>
      </c>
      <c r="E811" t="inlineStr">
        <is>
          <t>TANTE ARIE</t>
        </is>
      </c>
      <c r="F811" t="n">
        <v>8.5</v>
      </c>
      <c r="G811" t="inlineStr">
        <is>
          <t>n° 28 : 0,50 + n° 29 : 0,50</t>
        </is>
      </c>
      <c r="H811" t="n">
        <v>1</v>
      </c>
    </row>
    <row r="812">
      <c r="A812" t="inlineStr">
        <is>
          <t>2022-2023</t>
        </is>
      </c>
      <c r="B812" t="inlineStr">
        <is>
          <t>2022-08-24</t>
        </is>
      </c>
      <c r="C812" t="inlineStr">
        <is>
          <t>20:31</t>
        </is>
      </c>
      <c r="D812" t="inlineStr">
        <is>
          <t>n° 28 + n° 29 + n° 30 + n° 31</t>
        </is>
      </c>
      <c r="E812" t="inlineStr">
        <is>
          <t>Sauce Forestière</t>
        </is>
      </c>
      <c r="F812" t="n">
        <v>7.9</v>
      </c>
      <c r="G812" t="inlineStr">
        <is>
          <t>n° 28 : 0,50 + n° 29 : 0,50</t>
        </is>
      </c>
      <c r="H812" t="n">
        <v>1</v>
      </c>
    </row>
    <row r="813">
      <c r="A813" t="inlineStr">
        <is>
          <t>2022-2023</t>
        </is>
      </c>
      <c r="B813" t="inlineStr">
        <is>
          <t>2022-08-24</t>
        </is>
      </c>
      <c r="C813" t="inlineStr">
        <is>
          <t>20:31</t>
        </is>
      </c>
      <c r="D813" t="inlineStr">
        <is>
          <t>n° 28 + n° 29 + n° 30 + n° 31</t>
        </is>
      </c>
      <c r="E813" t="inlineStr">
        <is>
          <t>Pinte</t>
        </is>
      </c>
      <c r="F813" t="n">
        <v>7.8</v>
      </c>
      <c r="G813" t="inlineStr">
        <is>
          <t>n° 28 : 0,50 + n° 29 : 0,50</t>
        </is>
      </c>
      <c r="H813" t="n">
        <v>1</v>
      </c>
    </row>
    <row r="814">
      <c r="A814" t="inlineStr">
        <is>
          <t>2022-2023</t>
        </is>
      </c>
      <c r="B814" t="inlineStr">
        <is>
          <t>2022-08-24</t>
        </is>
      </c>
      <c r="C814" t="inlineStr">
        <is>
          <t>20:31</t>
        </is>
      </c>
      <c r="D814" t="inlineStr">
        <is>
          <t>n° 28 + n° 29 + n° 30 + n° 31</t>
        </is>
      </c>
      <c r="E814" t="inlineStr">
        <is>
          <t>Steak haché</t>
        </is>
      </c>
      <c r="F814" t="n">
        <v>7.8</v>
      </c>
      <c r="G814" t="inlineStr">
        <is>
          <t>n° 28 : 0,50 + n° 29 : 0,50</t>
        </is>
      </c>
      <c r="H814" t="n">
        <v>1</v>
      </c>
    </row>
    <row r="815">
      <c r="A815" t="inlineStr">
        <is>
          <t>2022-2023</t>
        </is>
      </c>
      <c r="B815" t="inlineStr">
        <is>
          <t>2022-08-24</t>
        </is>
      </c>
      <c r="C815" t="inlineStr">
        <is>
          <t>20:31</t>
        </is>
      </c>
      <c r="D815" t="inlineStr">
        <is>
          <t>n° 28 + n° 29 + n° 30 + n° 31</t>
        </is>
      </c>
      <c r="E815" t="inlineStr">
        <is>
          <t>Eau de vie Framboise</t>
        </is>
      </c>
      <c r="F815" t="n">
        <v>6.5</v>
      </c>
      <c r="G815" t="inlineStr">
        <is>
          <t>n° 28 : 0,50 + n° 29 : 0,50</t>
        </is>
      </c>
      <c r="H815" t="n">
        <v>1</v>
      </c>
    </row>
    <row r="816">
      <c r="A816" t="inlineStr">
        <is>
          <t>2022-2023</t>
        </is>
      </c>
      <c r="B816" t="inlineStr">
        <is>
          <t>2022-08-24</t>
        </is>
      </c>
      <c r="C816" t="inlineStr">
        <is>
          <t>20:31</t>
        </is>
      </c>
      <c r="D816" t="inlineStr">
        <is>
          <t>n° 28 + n° 29 + n° 30 + n° 31</t>
        </is>
      </c>
      <c r="E816" t="inlineStr">
        <is>
          <t>Get 27 (4cl)</t>
        </is>
      </c>
      <c r="F816" t="n">
        <v>5.2</v>
      </c>
      <c r="G816" t="inlineStr">
        <is>
          <t>n° 28 : 0,50 + n° 29 : 0,50</t>
        </is>
      </c>
      <c r="H816" t="n">
        <v>1</v>
      </c>
    </row>
    <row r="817">
      <c r="A817" t="inlineStr">
        <is>
          <t>2022-2023</t>
        </is>
      </c>
      <c r="B817" t="inlineStr">
        <is>
          <t>2022-08-24</t>
        </is>
      </c>
      <c r="C817" t="inlineStr">
        <is>
          <t>20:31</t>
        </is>
      </c>
      <c r="D817" t="inlineStr">
        <is>
          <t>n° 28 + n° 29 + n° 30 + n° 31</t>
        </is>
      </c>
      <c r="E817" t="inlineStr">
        <is>
          <t>Liqueur de Poire</t>
        </is>
      </c>
      <c r="F817" t="n">
        <v>5.2</v>
      </c>
      <c r="G817" t="inlineStr">
        <is>
          <t>n° 28 : 0,50 + n° 29 : 0,50</t>
        </is>
      </c>
      <c r="H817" t="n">
        <v>1</v>
      </c>
    </row>
    <row r="818">
      <c r="A818" t="inlineStr">
        <is>
          <t>2022-2023</t>
        </is>
      </c>
      <c r="B818" t="inlineStr">
        <is>
          <t>2022-08-24</t>
        </is>
      </c>
      <c r="C818" t="inlineStr">
        <is>
          <t>20:31</t>
        </is>
      </c>
      <c r="D818" t="inlineStr">
        <is>
          <t>n° 28 + n° 29 + n° 30 + n° 31</t>
        </is>
      </c>
      <c r="E818" t="inlineStr">
        <is>
          <t>Comté</t>
        </is>
      </c>
      <c r="F818" t="n">
        <v>4</v>
      </c>
      <c r="G818" t="inlineStr">
        <is>
          <t>n° 28 : 0,50 + n° 29 : 0,50</t>
        </is>
      </c>
      <c r="H818" t="n">
        <v>1</v>
      </c>
    </row>
    <row r="819">
      <c r="A819" t="inlineStr">
        <is>
          <t>2022-2023</t>
        </is>
      </c>
      <c r="B819" t="inlineStr">
        <is>
          <t>2022-08-24</t>
        </is>
      </c>
      <c r="C819" t="inlineStr">
        <is>
          <t>20:31</t>
        </is>
      </c>
      <c r="D819" t="inlineStr">
        <is>
          <t>n° 28 + n° 29 + n° 30 + n° 31</t>
        </is>
      </c>
      <c r="E819" t="inlineStr">
        <is>
          <t>Galette nature</t>
        </is>
      </c>
      <c r="F819" t="n">
        <v>2.9</v>
      </c>
      <c r="G819" t="inlineStr">
        <is>
          <t>n° 28 : 0,50 + n° 29 : 0,50</t>
        </is>
      </c>
      <c r="H819" t="n">
        <v>1</v>
      </c>
    </row>
    <row r="820">
      <c r="A820" t="inlineStr">
        <is>
          <t>2022-2023</t>
        </is>
      </c>
      <c r="B820" t="inlineStr">
        <is>
          <t>2022-08-24</t>
        </is>
      </c>
      <c r="C820" t="inlineStr">
        <is>
          <t>20:31</t>
        </is>
      </c>
      <c r="D820" t="inlineStr">
        <is>
          <t>n° 28 + n° 29 + n° 30 + n° 31</t>
        </is>
      </c>
      <c r="E820" t="inlineStr">
        <is>
          <t>GLACE 1 BOULE</t>
        </is>
      </c>
      <c r="F820" t="n">
        <v>2</v>
      </c>
      <c r="G820" t="inlineStr">
        <is>
          <t>n° 28 : 0,50 + n° 29 : 0,50</t>
        </is>
      </c>
      <c r="H820" t="n">
        <v>1</v>
      </c>
    </row>
    <row r="821">
      <c r="A821" t="inlineStr">
        <is>
          <t>2022-2023</t>
        </is>
      </c>
      <c r="B821" t="inlineStr">
        <is>
          <t>2022-08-25</t>
        </is>
      </c>
      <c r="C821" t="inlineStr">
        <is>
          <t>20:31</t>
        </is>
      </c>
      <c r="D821" t="inlineStr">
        <is>
          <t>n° 28 + n° 29</t>
        </is>
      </c>
      <c r="E821" t="inlineStr">
        <is>
          <t>Crémeux du Jura</t>
        </is>
      </c>
      <c r="F821" t="n">
        <v>19</v>
      </c>
      <c r="G821" t="inlineStr">
        <is>
          <t>n° 28 : 0,50 + n° 29 : 0,50</t>
        </is>
      </c>
      <c r="H821" t="n">
        <v>1</v>
      </c>
    </row>
    <row r="822">
      <c r="A822" t="inlineStr">
        <is>
          <t>2022-2023</t>
        </is>
      </c>
      <c r="B822" t="inlineStr">
        <is>
          <t>2022-08-25</t>
        </is>
      </c>
      <c r="C822" t="inlineStr">
        <is>
          <t>20:31</t>
        </is>
      </c>
      <c r="D822" t="inlineStr">
        <is>
          <t>n° 28 + n° 29</t>
        </is>
      </c>
      <c r="E822" t="inlineStr">
        <is>
          <t>Pichet 50cl vin</t>
        </is>
      </c>
      <c r="F822" t="n">
        <v>9.800000000000001</v>
      </c>
      <c r="G822" t="inlineStr">
        <is>
          <t>n° 28 : 0,50 + n° 29 : 0,50</t>
        </is>
      </c>
      <c r="H822" t="n">
        <v>1</v>
      </c>
    </row>
    <row r="823">
      <c r="A823" t="inlineStr">
        <is>
          <t>2022-2023</t>
        </is>
      </c>
      <c r="B823" t="inlineStr">
        <is>
          <t>2022-08-25</t>
        </is>
      </c>
      <c r="C823" t="inlineStr">
        <is>
          <t>20:31</t>
        </is>
      </c>
      <c r="D823" t="inlineStr">
        <is>
          <t>n° 28 + n° 29</t>
        </is>
      </c>
      <c r="E823" t="inlineStr">
        <is>
          <t>Saucisse de Morteau</t>
        </is>
      </c>
      <c r="F823" t="n">
        <v>8.800000000000001</v>
      </c>
      <c r="G823" t="inlineStr">
        <is>
          <t>n° 28 : 0,50 + n° 29 : 0,50</t>
        </is>
      </c>
      <c r="H823" t="n">
        <v>1</v>
      </c>
    </row>
    <row r="824">
      <c r="A824" t="inlineStr">
        <is>
          <t>2022-2023</t>
        </is>
      </c>
      <c r="B824" t="inlineStr">
        <is>
          <t>2022-08-25</t>
        </is>
      </c>
      <c r="C824" t="inlineStr">
        <is>
          <t>20:31</t>
        </is>
      </c>
      <c r="D824" t="inlineStr">
        <is>
          <t>n° 28 + n° 29</t>
        </is>
      </c>
      <c r="E824" t="inlineStr">
        <is>
          <t>SAUCE JURASSIENNE</t>
        </is>
      </c>
      <c r="F824" t="n">
        <v>6.1</v>
      </c>
      <c r="G824" t="inlineStr">
        <is>
          <t>n° 28 : 0,50 + n° 29 : 0,50</t>
        </is>
      </c>
      <c r="H824" t="n">
        <v>1</v>
      </c>
    </row>
    <row r="825">
      <c r="A825" t="inlineStr">
        <is>
          <t>2022-2023</t>
        </is>
      </c>
      <c r="B825" t="inlineStr">
        <is>
          <t>2022-08-25</t>
        </is>
      </c>
      <c r="C825" t="inlineStr">
        <is>
          <t>20:31</t>
        </is>
      </c>
      <c r="D825" t="inlineStr">
        <is>
          <t>n° 28 + n° 29</t>
        </is>
      </c>
      <c r="E825" t="inlineStr">
        <is>
          <t>pression</t>
        </is>
      </c>
      <c r="F825" t="n">
        <v>3.9</v>
      </c>
      <c r="G825" t="inlineStr">
        <is>
          <t>n° 28 : 0,50 + n° 29 : 0,50</t>
        </is>
      </c>
      <c r="H825" t="n">
        <v>1</v>
      </c>
    </row>
    <row r="826">
      <c r="A826" t="inlineStr">
        <is>
          <t>2022-2023</t>
        </is>
      </c>
      <c r="B826" t="inlineStr">
        <is>
          <t>2022-08-25</t>
        </is>
      </c>
      <c r="C826" t="inlineStr">
        <is>
          <t>20:31</t>
        </is>
      </c>
      <c r="D826" t="inlineStr">
        <is>
          <t>n° 28 + n° 29</t>
        </is>
      </c>
      <c r="E826" t="inlineStr">
        <is>
          <t>Galette nature</t>
        </is>
      </c>
      <c r="F826" t="n">
        <v>2.9</v>
      </c>
      <c r="G826" t="inlineStr">
        <is>
          <t>n° 28 : 0,50 + n° 29 : 0,50</t>
        </is>
      </c>
      <c r="H826" t="n">
        <v>1</v>
      </c>
    </row>
    <row r="827">
      <c r="A827" t="inlineStr">
        <is>
          <t>2022-2023</t>
        </is>
      </c>
      <c r="B827" t="inlineStr">
        <is>
          <t>2022-08-25</t>
        </is>
      </c>
      <c r="C827" t="inlineStr">
        <is>
          <t>20:31</t>
        </is>
      </c>
      <c r="D827" t="inlineStr">
        <is>
          <t>n° 28 + n° 29</t>
        </is>
      </c>
      <c r="E827" t="inlineStr">
        <is>
          <t>Expresso</t>
        </is>
      </c>
      <c r="F827" t="n">
        <v>2.2</v>
      </c>
      <c r="G827" t="inlineStr">
        <is>
          <t>n° 28 : 1,50 + n° 29 : 1,50</t>
        </is>
      </c>
      <c r="H827" t="n">
        <v>3</v>
      </c>
    </row>
    <row r="828">
      <c r="A828" t="inlineStr">
        <is>
          <t>2022-2023</t>
        </is>
      </c>
      <c r="B828" t="inlineStr">
        <is>
          <t>2022-08-26</t>
        </is>
      </c>
      <c r="C828" t="inlineStr">
        <is>
          <t>12:31</t>
        </is>
      </c>
      <c r="D828" t="inlineStr">
        <is>
          <t>n° 10 + n° 11</t>
        </is>
      </c>
      <c r="E828" t="inlineStr">
        <is>
          <t>Menu Franc-Comtois</t>
        </is>
      </c>
      <c r="F828" t="n">
        <v>32</v>
      </c>
      <c r="G828" t="inlineStr">
        <is>
          <t>n° 10 : 0,67 + n° 11 : 1,33</t>
        </is>
      </c>
      <c r="H828" t="n">
        <v>2</v>
      </c>
    </row>
    <row r="829">
      <c r="A829" t="inlineStr">
        <is>
          <t>2022-2023</t>
        </is>
      </c>
      <c r="B829" t="inlineStr">
        <is>
          <t>2022-08-26</t>
        </is>
      </c>
      <c r="C829" t="inlineStr">
        <is>
          <t>12:31</t>
        </is>
      </c>
      <c r="D829" t="inlineStr">
        <is>
          <t>n° 10 + n° 11</t>
        </is>
      </c>
      <c r="E829" t="inlineStr">
        <is>
          <t>Crémeux du Jura</t>
        </is>
      </c>
      <c r="F829" t="n">
        <v>19</v>
      </c>
      <c r="G829" t="inlineStr">
        <is>
          <t>n° 10 : 0,33 + n° 11 : 0,67</t>
        </is>
      </c>
      <c r="H829" t="n">
        <v>1</v>
      </c>
    </row>
    <row r="830">
      <c r="A830" t="inlineStr">
        <is>
          <t>2022-2023</t>
        </is>
      </c>
      <c r="B830" t="inlineStr">
        <is>
          <t>2022-08-26</t>
        </is>
      </c>
      <c r="C830" t="inlineStr">
        <is>
          <t>12:31</t>
        </is>
      </c>
      <c r="D830" t="inlineStr">
        <is>
          <t>n° 10 + n° 11</t>
        </is>
      </c>
      <c r="E830" t="inlineStr">
        <is>
          <t>CONQUÊTE</t>
        </is>
      </c>
      <c r="F830" t="n">
        <v>10.7</v>
      </c>
      <c r="G830" t="inlineStr">
        <is>
          <t>n° 10 : 0,33 + n° 11 : 0,67</t>
        </is>
      </c>
      <c r="H830" t="n">
        <v>1</v>
      </c>
    </row>
    <row r="831">
      <c r="A831" t="inlineStr">
        <is>
          <t>2022-2023</t>
        </is>
      </c>
      <c r="B831" t="inlineStr">
        <is>
          <t>2022-08-26</t>
        </is>
      </c>
      <c r="C831" t="inlineStr">
        <is>
          <t>12:31</t>
        </is>
      </c>
      <c r="D831" t="inlineStr">
        <is>
          <t>n° 10 + n° 11</t>
        </is>
      </c>
      <c r="E831" t="inlineStr">
        <is>
          <t>Savagnin verre</t>
        </is>
      </c>
      <c r="F831" t="n">
        <v>7.2</v>
      </c>
      <c r="G831" t="inlineStr">
        <is>
          <t>n° 10 : 0,33 + n° 11 : 0,67</t>
        </is>
      </c>
      <c r="H831" t="n">
        <v>1</v>
      </c>
    </row>
    <row r="832">
      <c r="A832" t="inlineStr">
        <is>
          <t>2022-2023</t>
        </is>
      </c>
      <c r="B832" t="inlineStr">
        <is>
          <t>2022-08-26</t>
        </is>
      </c>
      <c r="C832" t="inlineStr">
        <is>
          <t>12:31</t>
        </is>
      </c>
      <c r="D832" t="inlineStr">
        <is>
          <t>n° 10 + n° 11</t>
        </is>
      </c>
      <c r="E832" t="inlineStr">
        <is>
          <t>Mambo</t>
        </is>
      </c>
      <c r="F832" t="n">
        <v>6.5</v>
      </c>
      <c r="G832" t="inlineStr">
        <is>
          <t>n° 10 : 0,33 + n° 11 : 0,67</t>
        </is>
      </c>
      <c r="H832" t="n">
        <v>1</v>
      </c>
    </row>
    <row r="833">
      <c r="A833" t="inlineStr">
        <is>
          <t>2022-2023</t>
        </is>
      </c>
      <c r="B833" t="inlineStr">
        <is>
          <t>2022-08-26</t>
        </is>
      </c>
      <c r="C833" t="inlineStr">
        <is>
          <t>12:31</t>
        </is>
      </c>
      <c r="D833" t="inlineStr">
        <is>
          <t>n° 10 + n° 11</t>
        </is>
      </c>
      <c r="E833" t="inlineStr">
        <is>
          <t>Kir Bourgogne</t>
        </is>
      </c>
      <c r="F833" t="n">
        <v>4.2</v>
      </c>
      <c r="G833" t="inlineStr">
        <is>
          <t>n° 10 : 0,33 + n° 11 : 0,67</t>
        </is>
      </c>
      <c r="H833" t="n">
        <v>1</v>
      </c>
    </row>
    <row r="834">
      <c r="A834" t="inlineStr">
        <is>
          <t>2022-2023</t>
        </is>
      </c>
      <c r="B834" t="inlineStr">
        <is>
          <t>2022-08-26</t>
        </is>
      </c>
      <c r="C834" t="inlineStr">
        <is>
          <t>12:31</t>
        </is>
      </c>
      <c r="D834" t="inlineStr">
        <is>
          <t>n° 10 + n° 11</t>
        </is>
      </c>
      <c r="E834" t="inlineStr">
        <is>
          <t>pression</t>
        </is>
      </c>
      <c r="F834" t="n">
        <v>3.9</v>
      </c>
      <c r="G834" t="inlineStr">
        <is>
          <t>n° 10 : 0,33 + n° 11 : 0,67</t>
        </is>
      </c>
      <c r="H834" t="n">
        <v>1</v>
      </c>
    </row>
    <row r="835">
      <c r="A835" t="inlineStr">
        <is>
          <t>2022-2023</t>
        </is>
      </c>
      <c r="B835" t="inlineStr">
        <is>
          <t>2022-08-27</t>
        </is>
      </c>
      <c r="C835" t="inlineStr">
        <is>
          <t>20:24</t>
        </is>
      </c>
      <c r="D835" t="inlineStr">
        <is>
          <t>n° 32 + n° 33</t>
        </is>
      </c>
      <c r="E835" t="inlineStr">
        <is>
          <t>TRUITE JURASSIENNE</t>
        </is>
      </c>
      <c r="F835" t="n">
        <v>17.6</v>
      </c>
      <c r="G835" t="inlineStr">
        <is>
          <t>n° 32 : 0,50 + n° 33 : 0,50</t>
        </is>
      </c>
      <c r="H835" t="n">
        <v>1</v>
      </c>
    </row>
    <row r="836">
      <c r="A836" t="inlineStr">
        <is>
          <t>2022-2023</t>
        </is>
      </c>
      <c r="B836" t="inlineStr">
        <is>
          <t>2022-08-27</t>
        </is>
      </c>
      <c r="C836" t="inlineStr">
        <is>
          <t>20:24</t>
        </is>
      </c>
      <c r="D836" t="inlineStr">
        <is>
          <t>n° 32 + n° 33</t>
        </is>
      </c>
      <c r="E836" t="inlineStr">
        <is>
          <t>TRUITE PESTO</t>
        </is>
      </c>
      <c r="F836" t="n">
        <v>15.9</v>
      </c>
      <c r="G836" t="inlineStr">
        <is>
          <t>n° 32 : 0,50 + n° 33 : 0,50</t>
        </is>
      </c>
      <c r="H836" t="n">
        <v>1</v>
      </c>
    </row>
    <row r="837">
      <c r="A837" t="inlineStr">
        <is>
          <t>2022-2023</t>
        </is>
      </c>
      <c r="B837" t="inlineStr">
        <is>
          <t>2022-08-27</t>
        </is>
      </c>
      <c r="C837" t="inlineStr">
        <is>
          <t>20:24</t>
        </is>
      </c>
      <c r="D837" t="inlineStr">
        <is>
          <t>n° 32 + n° 33</t>
        </is>
      </c>
      <c r="E837" t="inlineStr">
        <is>
          <t>Pichet 75cl vin</t>
        </is>
      </c>
      <c r="F837" t="n">
        <v>13.4</v>
      </c>
      <c r="G837" t="inlineStr">
        <is>
          <t>n° 32 : 0,50 + n° 33 : 0,50</t>
        </is>
      </c>
      <c r="H837" t="n">
        <v>1</v>
      </c>
    </row>
    <row r="838">
      <c r="A838" t="inlineStr">
        <is>
          <t>2022-2023</t>
        </is>
      </c>
      <c r="B838" t="inlineStr">
        <is>
          <t>2022-08-27</t>
        </is>
      </c>
      <c r="C838" t="inlineStr">
        <is>
          <t>20:24</t>
        </is>
      </c>
      <c r="D838" t="inlineStr">
        <is>
          <t>n° 32 + n° 33</t>
        </is>
      </c>
      <c r="E838" t="inlineStr">
        <is>
          <t>Pavlova</t>
        </is>
      </c>
      <c r="F838" t="n">
        <v>8.699999999999999</v>
      </c>
      <c r="G838" t="inlineStr">
        <is>
          <t>n° 32 : 0,50 + n° 33 : 0,50</t>
        </is>
      </c>
      <c r="H838" t="n">
        <v>1</v>
      </c>
    </row>
    <row r="839">
      <c r="A839" t="inlineStr">
        <is>
          <t>2022-2023</t>
        </is>
      </c>
      <c r="B839" t="inlineStr">
        <is>
          <t>2022-08-27</t>
        </is>
      </c>
      <c r="C839" t="inlineStr">
        <is>
          <t>20:24</t>
        </is>
      </c>
      <c r="D839" t="inlineStr">
        <is>
          <t>n° 32 + n° 33</t>
        </is>
      </c>
      <c r="E839" t="inlineStr">
        <is>
          <t>Baba au Macvin</t>
        </is>
      </c>
      <c r="F839" t="n">
        <v>6.9</v>
      </c>
      <c r="G839" t="inlineStr">
        <is>
          <t>n° 32 : 0,50 + n° 33 : 0,50</t>
        </is>
      </c>
      <c r="H839" t="n">
        <v>1</v>
      </c>
    </row>
    <row r="840">
      <c r="A840" t="inlineStr">
        <is>
          <t>2022-2023</t>
        </is>
      </c>
      <c r="B840" t="inlineStr">
        <is>
          <t>2022-08-27</t>
        </is>
      </c>
      <c r="C840" t="inlineStr">
        <is>
          <t>20:40</t>
        </is>
      </c>
      <c r="D840" t="inlineStr">
        <is>
          <t>n° 34 + n° 35 + n° 36</t>
        </is>
      </c>
      <c r="E840" t="inlineStr">
        <is>
          <t>Savagnin verre</t>
        </is>
      </c>
      <c r="F840" t="n">
        <v>7.2</v>
      </c>
      <c r="G840" t="inlineStr">
        <is>
          <t>n° 34 : 0,67 + n° 35 : 0,67 + n° 36 : 0,66</t>
        </is>
      </c>
      <c r="H840" t="n">
        <v>2</v>
      </c>
    </row>
    <row r="841">
      <c r="A841" t="inlineStr">
        <is>
          <t>2022-2023</t>
        </is>
      </c>
      <c r="B841" t="inlineStr">
        <is>
          <t>2022-08-27</t>
        </is>
      </c>
      <c r="C841" t="inlineStr">
        <is>
          <t>20:40</t>
        </is>
      </c>
      <c r="D841" t="inlineStr">
        <is>
          <t>n° 34 + n° 35 + n° 36</t>
        </is>
      </c>
      <c r="E841" t="inlineStr">
        <is>
          <t>Fa</t>
        </is>
      </c>
      <c r="F841" t="n">
        <v>7</v>
      </c>
      <c r="G841" t="inlineStr">
        <is>
          <t>n° 34 : 0,33 + n° 35 : 0,34 + n° 36 : 0,33</t>
        </is>
      </c>
      <c r="H841" t="n">
        <v>1</v>
      </c>
    </row>
    <row r="842">
      <c r="A842" t="inlineStr">
        <is>
          <t>2022-2023</t>
        </is>
      </c>
      <c r="B842" t="inlineStr">
        <is>
          <t>2022-08-27</t>
        </is>
      </c>
      <c r="C842" t="inlineStr">
        <is>
          <t>20:40</t>
        </is>
      </c>
      <c r="D842" t="inlineStr">
        <is>
          <t>n° 34 + n° 35 + n° 36</t>
        </is>
      </c>
      <c r="E842" t="inlineStr">
        <is>
          <t>Crêpe Nutella</t>
        </is>
      </c>
      <c r="F842" t="n">
        <v>4.7</v>
      </c>
      <c r="G842" t="inlineStr">
        <is>
          <t>n° 34 : 0,67 + n° 35 : 0,67 + n° 36 : 0,66</t>
        </is>
      </c>
      <c r="H842" t="n">
        <v>2</v>
      </c>
    </row>
    <row r="843">
      <c r="A843" t="inlineStr">
        <is>
          <t>2022-2023</t>
        </is>
      </c>
      <c r="B843" t="inlineStr">
        <is>
          <t>2022-08-27</t>
        </is>
      </c>
      <c r="C843" t="inlineStr">
        <is>
          <t>20:40</t>
        </is>
      </c>
      <c r="D843" t="inlineStr">
        <is>
          <t>n° 34 + n° 35 + n° 36</t>
        </is>
      </c>
      <c r="E843" t="inlineStr">
        <is>
          <t>POMMES FRITES</t>
        </is>
      </c>
      <c r="F843" t="n">
        <v>3.9</v>
      </c>
      <c r="G843" t="inlineStr">
        <is>
          <t>n° 34 : 0,67 + n° 35 : 0,67 + n° 36 : 0,66</t>
        </is>
      </c>
      <c r="H843" t="n">
        <v>2</v>
      </c>
    </row>
    <row r="844">
      <c r="A844" t="inlineStr">
        <is>
          <t>2022-2023</t>
        </is>
      </c>
      <c r="B844" t="inlineStr">
        <is>
          <t>2022-08-27</t>
        </is>
      </c>
      <c r="C844" t="inlineStr">
        <is>
          <t>20:40</t>
        </is>
      </c>
      <c r="D844" t="inlineStr">
        <is>
          <t>n° 34 + n° 35 + n° 36</t>
        </is>
      </c>
      <c r="E844" t="inlineStr">
        <is>
          <t>Expresso</t>
        </is>
      </c>
      <c r="F844" t="n">
        <v>2.2</v>
      </c>
      <c r="G844" t="inlineStr">
        <is>
          <t>n° 34 : 0,33 + n° 35 : 0,34 + n° 36 : 0,33</t>
        </is>
      </c>
      <c r="H844" t="n">
        <v>1</v>
      </c>
    </row>
    <row r="845">
      <c r="A845" t="inlineStr">
        <is>
          <t>2022-2023</t>
        </is>
      </c>
      <c r="B845" t="inlineStr">
        <is>
          <t>2022-08-31</t>
        </is>
      </c>
      <c r="C845" t="inlineStr">
        <is>
          <t>19:50</t>
        </is>
      </c>
      <c r="D845" t="inlineStr">
        <is>
          <t>n° 32 + n° 33</t>
        </is>
      </c>
      <c r="E845" t="inlineStr">
        <is>
          <t>Champignons frais</t>
        </is>
      </c>
      <c r="F845" t="n">
        <v>3.2</v>
      </c>
      <c r="G845" t="inlineStr">
        <is>
          <t>n° 32 : 0,50 + n° 33 : 0,50</t>
        </is>
      </c>
      <c r="H845" t="n">
        <v>1</v>
      </c>
    </row>
    <row r="846">
      <c r="A846" t="inlineStr">
        <is>
          <t>2022-2023</t>
        </is>
      </c>
      <c r="B846" t="inlineStr">
        <is>
          <t>2022-08-31</t>
        </is>
      </c>
      <c r="C846" t="inlineStr">
        <is>
          <t>19:50</t>
        </is>
      </c>
      <c r="D846" t="inlineStr">
        <is>
          <t>n° 32 + n° 33</t>
        </is>
      </c>
      <c r="E846" t="inlineStr">
        <is>
          <t>Pommes de Terre</t>
        </is>
      </c>
      <c r="F846" t="n">
        <v>3.2</v>
      </c>
      <c r="G846" t="inlineStr">
        <is>
          <t>n° 32 : 0,50 + n° 33 : 0,50</t>
        </is>
      </c>
      <c r="H846" t="n">
        <v>1</v>
      </c>
    </row>
    <row r="847">
      <c r="A847" t="inlineStr">
        <is>
          <t>2022-2023</t>
        </is>
      </c>
      <c r="B847" t="inlineStr">
        <is>
          <t>2022-08-31</t>
        </is>
      </c>
      <c r="C847" t="inlineStr">
        <is>
          <t>19:50</t>
        </is>
      </c>
      <c r="D847" t="inlineStr">
        <is>
          <t>n° 32 + n° 33</t>
        </is>
      </c>
      <c r="E847" t="inlineStr">
        <is>
          <t>Ratatouille</t>
        </is>
      </c>
      <c r="F847" t="n">
        <v>3.2</v>
      </c>
      <c r="G847" t="inlineStr">
        <is>
          <t>n° 32 : 0,50 + n° 33 : 0,50</t>
        </is>
      </c>
      <c r="H847" t="n">
        <v>1</v>
      </c>
    </row>
    <row r="848">
      <c r="A848" t="inlineStr">
        <is>
          <t>2022-2023</t>
        </is>
      </c>
      <c r="B848" t="inlineStr">
        <is>
          <t>2022-08-31</t>
        </is>
      </c>
      <c r="C848" t="inlineStr">
        <is>
          <t>19:50</t>
        </is>
      </c>
      <c r="D848" t="inlineStr">
        <is>
          <t>n° 32 + n° 33</t>
        </is>
      </c>
      <c r="E848" t="inlineStr">
        <is>
          <t>Crêpe au sucre</t>
        </is>
      </c>
      <c r="F848" t="n">
        <v>2.9</v>
      </c>
      <c r="G848" t="inlineStr">
        <is>
          <t>n° 32 : 0,50 + n° 33 : 0,50</t>
        </is>
      </c>
      <c r="H848" t="n">
        <v>1</v>
      </c>
    </row>
    <row r="849">
      <c r="A849" t="inlineStr">
        <is>
          <t>2022-2023</t>
        </is>
      </c>
      <c r="B849" t="inlineStr">
        <is>
          <t>2022-08-31</t>
        </is>
      </c>
      <c r="C849" t="inlineStr">
        <is>
          <t>19:50</t>
        </is>
      </c>
      <c r="D849" t="inlineStr">
        <is>
          <t>n° 32 + n° 33</t>
        </is>
      </c>
      <c r="E849" t="inlineStr">
        <is>
          <t>ECLATS NOISETTES</t>
        </is>
      </c>
      <c r="F849" t="n">
        <v>1.2</v>
      </c>
      <c r="G849" t="inlineStr">
        <is>
          <t>n° 32 : 0,50 + n° 33 : 0,50</t>
        </is>
      </c>
      <c r="H849" t="n">
        <v>1</v>
      </c>
    </row>
    <row r="850">
      <c r="A850" t="inlineStr">
        <is>
          <t>2022-2023</t>
        </is>
      </c>
      <c r="B850" t="inlineStr">
        <is>
          <t>2022-08-31</t>
        </is>
      </c>
      <c r="C850" t="inlineStr">
        <is>
          <t>19:50</t>
        </is>
      </c>
      <c r="D850" t="inlineStr">
        <is>
          <t>n° 32 + n° 33</t>
        </is>
      </c>
      <c r="E850" t="inlineStr">
        <is>
          <t>Œuf</t>
        </is>
      </c>
      <c r="F850" t="n">
        <v>0.9</v>
      </c>
      <c r="G850" t="inlineStr">
        <is>
          <t>n° 32 : 0,50 + n° 33 : 0,50</t>
        </is>
      </c>
      <c r="H850" t="n">
        <v>1</v>
      </c>
    </row>
    <row r="851">
      <c r="A851" t="inlineStr">
        <is>
          <t>2022-2023</t>
        </is>
      </c>
      <c r="B851" t="inlineStr">
        <is>
          <t>2022-09-01</t>
        </is>
      </c>
      <c r="C851" t="inlineStr">
        <is>
          <t>12:48</t>
        </is>
      </c>
      <c r="D851" t="inlineStr">
        <is>
          <t>n° 13 + n° 14</t>
        </is>
      </c>
      <c r="E851" t="inlineStr">
        <is>
          <t>Crêpe Nutella</t>
        </is>
      </c>
      <c r="F851" t="n">
        <v>4.7</v>
      </c>
      <c r="G851" t="inlineStr">
        <is>
          <t>n° 13 : 0,50 + n° 14 : 0,50</t>
        </is>
      </c>
      <c r="H851" t="n">
        <v>1</v>
      </c>
    </row>
    <row r="852">
      <c r="A852" t="inlineStr">
        <is>
          <t>2022-2023</t>
        </is>
      </c>
      <c r="B852" t="inlineStr">
        <is>
          <t>2022-09-01</t>
        </is>
      </c>
      <c r="C852" t="inlineStr">
        <is>
          <t>12:48</t>
        </is>
      </c>
      <c r="D852" t="inlineStr">
        <is>
          <t>n° 13 + n° 14</t>
        </is>
      </c>
      <c r="E852" t="inlineStr">
        <is>
          <t>GLACE 2 BOULES</t>
        </is>
      </c>
      <c r="F852" t="n">
        <v>3.9</v>
      </c>
      <c r="G852" t="inlineStr">
        <is>
          <t>n° 13 : 0,50 + n° 14 : 0,50</t>
        </is>
      </c>
      <c r="H852" t="n">
        <v>1</v>
      </c>
    </row>
    <row r="853">
      <c r="A853" t="inlineStr">
        <is>
          <t>2022-2023</t>
        </is>
      </c>
      <c r="B853" t="inlineStr">
        <is>
          <t>2022-09-01</t>
        </is>
      </c>
      <c r="C853" t="inlineStr">
        <is>
          <t>12:48</t>
        </is>
      </c>
      <c r="D853" t="inlineStr">
        <is>
          <t>n° 13 + n° 14</t>
        </is>
      </c>
      <c r="E853" t="inlineStr">
        <is>
          <t>CHANTILLY</t>
        </is>
      </c>
      <c r="F853" t="n">
        <v>1.8</v>
      </c>
      <c r="G853" t="inlineStr">
        <is>
          <t>n° 13 : 0,50 + n° 14 : 0,50</t>
        </is>
      </c>
      <c r="H853" t="n">
        <v>1</v>
      </c>
    </row>
    <row r="854">
      <c r="A854" t="inlineStr">
        <is>
          <t>2022-2023</t>
        </is>
      </c>
      <c r="B854" t="inlineStr">
        <is>
          <t>2022-09-01</t>
        </is>
      </c>
      <c r="C854" t="inlineStr">
        <is>
          <t>20:19</t>
        </is>
      </c>
      <c r="D854" t="inlineStr">
        <is>
          <t>n° 32 + n° 33</t>
        </is>
      </c>
      <c r="E854" t="inlineStr">
        <is>
          <t>CANCOINE</t>
        </is>
      </c>
      <c r="F854" t="n">
        <v>21.6</v>
      </c>
      <c r="G854" t="inlineStr">
        <is>
          <t>n° 32 : 0,50 + n° 33 : 0,50</t>
        </is>
      </c>
      <c r="H854" t="n">
        <v>1</v>
      </c>
    </row>
    <row r="855">
      <c r="A855" t="inlineStr">
        <is>
          <t>2022-2023</t>
        </is>
      </c>
      <c r="B855" t="inlineStr">
        <is>
          <t>2022-09-01</t>
        </is>
      </c>
      <c r="C855" t="inlineStr">
        <is>
          <t>20:19</t>
        </is>
      </c>
      <c r="D855" t="inlineStr">
        <is>
          <t>n° 32 + n° 33</t>
        </is>
      </c>
      <c r="E855" t="inlineStr">
        <is>
          <t>MORTEAU GRILLEE</t>
        </is>
      </c>
      <c r="F855" t="n">
        <v>17.6</v>
      </c>
      <c r="G855" t="inlineStr">
        <is>
          <t>n° 32 : 0,50 + n° 33 : 0,50</t>
        </is>
      </c>
      <c r="H855" t="n">
        <v>1</v>
      </c>
    </row>
    <row r="856">
      <c r="A856" t="inlineStr">
        <is>
          <t>2022-2023</t>
        </is>
      </c>
      <c r="B856" t="inlineStr">
        <is>
          <t>2022-09-01</t>
        </is>
      </c>
      <c r="C856" t="inlineStr">
        <is>
          <t>20:19</t>
        </is>
      </c>
      <c r="D856" t="inlineStr">
        <is>
          <t>n° 32 + n° 33</t>
        </is>
      </c>
      <c r="E856" t="inlineStr">
        <is>
          <t>GRAPPINS</t>
        </is>
      </c>
      <c r="F856" t="n">
        <v>10.9</v>
      </c>
      <c r="G856" t="inlineStr">
        <is>
          <t>n° 32 : 0,50 + n° 33 : 0,50</t>
        </is>
      </c>
      <c r="H856" t="n">
        <v>1</v>
      </c>
    </row>
    <row r="857">
      <c r="A857" t="inlineStr">
        <is>
          <t>2022-2023</t>
        </is>
      </c>
      <c r="B857" t="inlineStr">
        <is>
          <t>2022-09-01</t>
        </is>
      </c>
      <c r="C857" t="inlineStr">
        <is>
          <t>20:19</t>
        </is>
      </c>
      <c r="D857" t="inlineStr">
        <is>
          <t>n° 32 + n° 33</t>
        </is>
      </c>
      <c r="E857" t="inlineStr">
        <is>
          <t>TANTE ARIE</t>
        </is>
      </c>
      <c r="F857" t="n">
        <v>8.5</v>
      </c>
      <c r="G857" t="inlineStr">
        <is>
          <t>n° 32 : 0,50 + n° 33 : 0,50</t>
        </is>
      </c>
      <c r="H857" t="n">
        <v>1</v>
      </c>
    </row>
    <row r="858">
      <c r="A858" t="inlineStr">
        <is>
          <t>2022-2023</t>
        </is>
      </c>
      <c r="B858" t="inlineStr">
        <is>
          <t>2022-09-01</t>
        </is>
      </c>
      <c r="C858" t="inlineStr">
        <is>
          <t>20:19</t>
        </is>
      </c>
      <c r="D858" t="inlineStr">
        <is>
          <t>n° 32 + n° 33</t>
        </is>
      </c>
      <c r="E858" t="inlineStr">
        <is>
          <t>Chat perché</t>
        </is>
      </c>
      <c r="F858" t="n">
        <v>5.2</v>
      </c>
      <c r="G858" t="inlineStr">
        <is>
          <t>n° 32 : 0,50 + n° 33 : 0,50</t>
        </is>
      </c>
      <c r="H858" t="n">
        <v>1</v>
      </c>
    </row>
    <row r="859">
      <c r="A859" t="inlineStr">
        <is>
          <t>2022-2023</t>
        </is>
      </c>
      <c r="B859" t="inlineStr">
        <is>
          <t>2022-09-01</t>
        </is>
      </c>
      <c r="C859" t="inlineStr">
        <is>
          <t>20:19</t>
        </is>
      </c>
      <c r="D859" t="inlineStr">
        <is>
          <t>n° 32 + n° 33</t>
        </is>
      </c>
      <c r="E859" t="inlineStr">
        <is>
          <t>Monaco</t>
        </is>
      </c>
      <c r="F859" t="n">
        <v>3.9</v>
      </c>
      <c r="G859" t="inlineStr">
        <is>
          <t>n° 32 : 0,50 + n° 33 : 0,50</t>
        </is>
      </c>
      <c r="H859" t="n">
        <v>1</v>
      </c>
    </row>
    <row r="860">
      <c r="A860" t="inlineStr">
        <is>
          <t>2022-2023</t>
        </is>
      </c>
      <c r="B860" t="inlineStr">
        <is>
          <t>2022-09-03</t>
        </is>
      </c>
      <c r="C860" t="inlineStr">
        <is>
          <t>11:38</t>
        </is>
      </c>
      <c r="D860" t="inlineStr">
        <is>
          <t>n° 3 + n° 4</t>
        </is>
      </c>
      <c r="E860" t="inlineStr">
        <is>
          <t>Mambo</t>
        </is>
      </c>
      <c r="F860" t="n">
        <v>6.5</v>
      </c>
      <c r="G860" t="inlineStr">
        <is>
          <t>n° 3 : 0,50 + n° 4 : 0,50</t>
        </is>
      </c>
      <c r="H860" t="n">
        <v>1</v>
      </c>
    </row>
    <row r="861">
      <c r="A861" t="inlineStr">
        <is>
          <t>2022-2023</t>
        </is>
      </c>
      <c r="B861" t="inlineStr">
        <is>
          <t>2022-09-03</t>
        </is>
      </c>
      <c r="C861" t="inlineStr">
        <is>
          <t>11:38</t>
        </is>
      </c>
      <c r="D861" t="inlineStr">
        <is>
          <t>n° 3 + n° 4</t>
        </is>
      </c>
      <c r="E861" t="inlineStr">
        <is>
          <t>Kir Bourgogne</t>
        </is>
      </c>
      <c r="F861" t="n">
        <v>4.2</v>
      </c>
      <c r="G861" t="inlineStr">
        <is>
          <t>n° 3 : 0,50 + n° 4 : 0,50</t>
        </is>
      </c>
      <c r="H861" t="n">
        <v>1</v>
      </c>
    </row>
    <row r="862">
      <c r="A862" t="inlineStr">
        <is>
          <t>2022-2023</t>
        </is>
      </c>
      <c r="B862" t="inlineStr">
        <is>
          <t>2022-09-03</t>
        </is>
      </c>
      <c r="C862" t="inlineStr">
        <is>
          <t>12:37</t>
        </is>
      </c>
      <c r="D862" t="inlineStr">
        <is>
          <t>n° 13 + n° 14</t>
        </is>
      </c>
      <c r="E862" t="inlineStr">
        <is>
          <t>Beaujolais Moulin à</t>
        </is>
      </c>
      <c r="F862" t="n">
        <v>29</v>
      </c>
      <c r="G862" t="inlineStr">
        <is>
          <t>n° 13 : 0,50 + n° 14 : 0,50</t>
        </is>
      </c>
      <c r="H862" t="n">
        <v>1</v>
      </c>
    </row>
    <row r="863">
      <c r="A863" t="inlineStr">
        <is>
          <t>2022-2023</t>
        </is>
      </c>
      <c r="B863" t="inlineStr">
        <is>
          <t>2022-09-07</t>
        </is>
      </c>
      <c r="C863" t="inlineStr">
        <is>
          <t>19:27</t>
        </is>
      </c>
      <c r="D863" t="inlineStr">
        <is>
          <t>n° 19 + n° 20</t>
        </is>
      </c>
      <c r="E863" t="inlineStr">
        <is>
          <t>Normandine</t>
        </is>
      </c>
      <c r="F863" t="n">
        <v>8.699999999999999</v>
      </c>
      <c r="G863" t="inlineStr">
        <is>
          <t>n° 19 : 0,50 + n° 20 : 0,50</t>
        </is>
      </c>
      <c r="H863" t="n">
        <v>1</v>
      </c>
    </row>
    <row r="864">
      <c r="A864" t="inlineStr">
        <is>
          <t>2022-2023</t>
        </is>
      </c>
      <c r="B864" t="inlineStr">
        <is>
          <t>2022-09-07</t>
        </is>
      </c>
      <c r="C864" t="inlineStr">
        <is>
          <t>19:27</t>
        </is>
      </c>
      <c r="D864" t="inlineStr">
        <is>
          <t>n° 19 + n° 20</t>
        </is>
      </c>
      <c r="E864" t="inlineStr">
        <is>
          <t>Arbois Trousseau Le</t>
        </is>
      </c>
      <c r="F864" t="n">
        <v>6.4</v>
      </c>
      <c r="G864" t="inlineStr">
        <is>
          <t>n° 19 : 0,50 + n° 20 : 0,50</t>
        </is>
      </c>
      <c r="H864" t="n">
        <v>1</v>
      </c>
    </row>
    <row r="865">
      <c r="A865" t="inlineStr">
        <is>
          <t>2022-2023</t>
        </is>
      </c>
      <c r="B865" t="inlineStr">
        <is>
          <t>2022-09-07</t>
        </is>
      </c>
      <c r="C865" t="inlineStr">
        <is>
          <t>19:27</t>
        </is>
      </c>
      <c r="D865" t="inlineStr">
        <is>
          <t>n° 19 + n° 20</t>
        </is>
      </c>
      <c r="E865" t="inlineStr">
        <is>
          <t>Expresso Crème</t>
        </is>
      </c>
      <c r="F865" t="n">
        <v>2.4</v>
      </c>
      <c r="G865" t="inlineStr">
        <is>
          <t>n° 19 : 0,50 + n° 20 : 0,50</t>
        </is>
      </c>
      <c r="H865" t="n">
        <v>1</v>
      </c>
    </row>
    <row r="866">
      <c r="A866" t="inlineStr">
        <is>
          <t>2022-2023</t>
        </is>
      </c>
      <c r="B866" t="inlineStr">
        <is>
          <t>2022-09-08</t>
        </is>
      </c>
      <c r="C866" t="inlineStr">
        <is>
          <t>12:32</t>
        </is>
      </c>
      <c r="D866" t="inlineStr">
        <is>
          <t>n° 10 + n° 11 + n° 14 + n° 15</t>
        </is>
      </c>
      <c r="E866" t="inlineStr">
        <is>
          <t>PICHET SAINT VERAN</t>
        </is>
      </c>
      <c r="F866" t="n">
        <v>30</v>
      </c>
      <c r="G866" t="inlineStr">
        <is>
          <t>n° 14 : 0,50 + n° 15 : 0,50</t>
        </is>
      </c>
      <c r="H866" t="n">
        <v>1</v>
      </c>
    </row>
    <row r="867">
      <c r="A867" t="inlineStr">
        <is>
          <t>2022-2023</t>
        </is>
      </c>
      <c r="B867" t="inlineStr">
        <is>
          <t>2022-09-08</t>
        </is>
      </c>
      <c r="C867" t="inlineStr">
        <is>
          <t>12:32</t>
        </is>
      </c>
      <c r="D867" t="inlineStr">
        <is>
          <t>n° 10 + n° 11 + n° 14 + n° 15</t>
        </is>
      </c>
      <c r="E867" t="inlineStr">
        <is>
          <t>Poulet aux Morilles</t>
        </is>
      </c>
      <c r="F867" t="n">
        <v>28.6</v>
      </c>
      <c r="G867" t="inlineStr">
        <is>
          <t>n° 14 : 0,50 + n° 15 : 0,50</t>
        </is>
      </c>
      <c r="H867" t="n">
        <v>1</v>
      </c>
    </row>
    <row r="868">
      <c r="A868" t="inlineStr">
        <is>
          <t>2022-2023</t>
        </is>
      </c>
      <c r="B868" t="inlineStr">
        <is>
          <t>2022-09-08</t>
        </is>
      </c>
      <c r="C868" t="inlineStr">
        <is>
          <t>12:32</t>
        </is>
      </c>
      <c r="D868" t="inlineStr">
        <is>
          <t>n° 10 + n° 11 + n° 14 + n° 15</t>
        </is>
      </c>
      <c r="E868" t="inlineStr">
        <is>
          <t>POULET JURASSIENNE</t>
        </is>
      </c>
      <c r="F868" t="n">
        <v>17.6</v>
      </c>
      <c r="G868" t="inlineStr">
        <is>
          <t>n° 14 : 0,50 + n° 15 : 0,50</t>
        </is>
      </c>
      <c r="H868" t="n">
        <v>1</v>
      </c>
    </row>
    <row r="869">
      <c r="A869" t="inlineStr">
        <is>
          <t>2022-2023</t>
        </is>
      </c>
      <c r="B869" t="inlineStr">
        <is>
          <t>2022-09-08</t>
        </is>
      </c>
      <c r="C869" t="inlineStr">
        <is>
          <t>12:32</t>
        </is>
      </c>
      <c r="D869" t="inlineStr">
        <is>
          <t>n° 10 + n° 11 + n° 14 + n° 15</t>
        </is>
      </c>
      <c r="E869" t="inlineStr">
        <is>
          <t>Escargots de Bourgog</t>
        </is>
      </c>
      <c r="F869" t="n">
        <v>8</v>
      </c>
      <c r="G869" t="inlineStr">
        <is>
          <t>n° 14 : 0,50 + n° 15 : 0,50</t>
        </is>
      </c>
      <c r="H869" t="n">
        <v>1</v>
      </c>
    </row>
    <row r="870">
      <c r="A870" t="inlineStr">
        <is>
          <t>2022-2023</t>
        </is>
      </c>
      <c r="B870" t="inlineStr">
        <is>
          <t>2022-09-08</t>
        </is>
      </c>
      <c r="C870" t="inlineStr">
        <is>
          <t>12:32</t>
        </is>
      </c>
      <c r="D870" t="inlineStr">
        <is>
          <t>n° 10 + n° 11 + n° 14 + n° 15</t>
        </is>
      </c>
      <c r="E870" t="inlineStr">
        <is>
          <t>Saint Véran Verre</t>
        </is>
      </c>
      <c r="F870" t="n">
        <v>7.9</v>
      </c>
      <c r="G870" t="inlineStr">
        <is>
          <t>n° 10 : 0,50 + n° 11 : 0,50</t>
        </is>
      </c>
      <c r="H870" t="n">
        <v>1</v>
      </c>
    </row>
    <row r="871">
      <c r="A871" t="inlineStr">
        <is>
          <t>2022-2023</t>
        </is>
      </c>
      <c r="B871" t="inlineStr">
        <is>
          <t>2022-09-08</t>
        </is>
      </c>
      <c r="C871" t="inlineStr">
        <is>
          <t>12:32</t>
        </is>
      </c>
      <c r="D871" t="inlineStr">
        <is>
          <t>n° 10 + n° 11 + n° 14 + n° 15</t>
        </is>
      </c>
      <c r="E871" t="inlineStr">
        <is>
          <t>Jamhon Persillé</t>
        </is>
      </c>
      <c r="F871" t="n">
        <v>7.2</v>
      </c>
      <c r="G871" t="inlineStr">
        <is>
          <t>n° 14 : 0,50 + n° 15 : 0,50</t>
        </is>
      </c>
      <c r="H871" t="n">
        <v>1</v>
      </c>
    </row>
    <row r="872">
      <c r="A872" t="inlineStr">
        <is>
          <t>2022-2023</t>
        </is>
      </c>
      <c r="B872" t="inlineStr">
        <is>
          <t>2022-09-08</t>
        </is>
      </c>
      <c r="C872" t="inlineStr">
        <is>
          <t>12:32</t>
        </is>
      </c>
      <c r="D872" t="inlineStr">
        <is>
          <t>n° 10 + n° 11 + n° 14 + n° 15</t>
        </is>
      </c>
      <c r="E872" t="inlineStr">
        <is>
          <t>Gewurztraminer Le ve</t>
        </is>
      </c>
      <c r="F872" t="n">
        <v>7</v>
      </c>
      <c r="G872" t="inlineStr">
        <is>
          <t>n° 10 : 0,50 + n° 11 : 0,50</t>
        </is>
      </c>
      <c r="H872" t="n">
        <v>1</v>
      </c>
    </row>
    <row r="873">
      <c r="A873" t="inlineStr">
        <is>
          <t>2022-2023</t>
        </is>
      </c>
      <c r="B873" t="inlineStr">
        <is>
          <t>2022-09-08</t>
        </is>
      </c>
      <c r="C873" t="inlineStr">
        <is>
          <t>12:32</t>
        </is>
      </c>
      <c r="D873" t="inlineStr">
        <is>
          <t>n° 10 + n° 11 + n° 14 + n° 15</t>
        </is>
      </c>
      <c r="E873" t="inlineStr">
        <is>
          <t>Crêpe Confiture</t>
        </is>
      </c>
      <c r="F873" t="n">
        <v>4.6</v>
      </c>
      <c r="G873" t="inlineStr">
        <is>
          <t>n° 14 : 0,50 + n° 15 : 0,50</t>
        </is>
      </c>
      <c r="H873" t="n">
        <v>1</v>
      </c>
    </row>
    <row r="874">
      <c r="A874" t="inlineStr">
        <is>
          <t>2022-2023</t>
        </is>
      </c>
      <c r="B874" t="inlineStr">
        <is>
          <t>2022-09-08</t>
        </is>
      </c>
      <c r="C874" t="inlineStr">
        <is>
          <t>12:32</t>
        </is>
      </c>
      <c r="D874" t="inlineStr">
        <is>
          <t>n° 10 + n° 11 + n° 14 + n° 15</t>
        </is>
      </c>
      <c r="E874" t="inlineStr">
        <is>
          <t>GLACE 2 BOULES</t>
        </is>
      </c>
      <c r="F874" t="n">
        <v>3.9</v>
      </c>
      <c r="G874" t="inlineStr">
        <is>
          <t>n° 14 : 0,50 + n° 15 : 0,50</t>
        </is>
      </c>
      <c r="H874" t="n">
        <v>1</v>
      </c>
    </row>
    <row r="875">
      <c r="A875" t="inlineStr">
        <is>
          <t>2022-2023</t>
        </is>
      </c>
      <c r="B875" t="inlineStr">
        <is>
          <t>2022-09-08</t>
        </is>
      </c>
      <c r="C875" t="inlineStr">
        <is>
          <t>20:38</t>
        </is>
      </c>
      <c r="D875" t="inlineStr">
        <is>
          <t>n° 36 + n° 37</t>
        </is>
      </c>
      <c r="E875" t="inlineStr">
        <is>
          <t>Mambo</t>
        </is>
      </c>
      <c r="F875" t="n">
        <v>6.5</v>
      </c>
      <c r="G875" t="inlineStr">
        <is>
          <t>n° 36 : 0,50 + n° 37 : 0,50</t>
        </is>
      </c>
      <c r="H875" t="n">
        <v>1</v>
      </c>
    </row>
    <row r="876">
      <c r="A876" t="inlineStr">
        <is>
          <t>2022-2023</t>
        </is>
      </c>
      <c r="B876" t="inlineStr">
        <is>
          <t>2022-09-08</t>
        </is>
      </c>
      <c r="C876" t="inlineStr">
        <is>
          <t>20:38</t>
        </is>
      </c>
      <c r="D876" t="inlineStr">
        <is>
          <t>n° 36 + n° 37</t>
        </is>
      </c>
      <c r="E876" t="inlineStr">
        <is>
          <t>San Pelegrino</t>
        </is>
      </c>
      <c r="F876" t="n">
        <v>5.9</v>
      </c>
      <c r="G876" t="inlineStr">
        <is>
          <t>n° 36 : 0,50 + n° 37 : 0,50</t>
        </is>
      </c>
      <c r="H876" t="n">
        <v>1</v>
      </c>
    </row>
    <row r="877">
      <c r="A877" t="inlineStr">
        <is>
          <t>2022-2023</t>
        </is>
      </c>
      <c r="B877" t="inlineStr">
        <is>
          <t>2022-09-08</t>
        </is>
      </c>
      <c r="C877" t="inlineStr">
        <is>
          <t>20:38</t>
        </is>
      </c>
      <c r="D877" t="inlineStr">
        <is>
          <t>n° 36 + n° 37</t>
        </is>
      </c>
      <c r="E877" t="inlineStr">
        <is>
          <t>Martini Blanc</t>
        </is>
      </c>
      <c r="F877" t="n">
        <v>4.2</v>
      </c>
      <c r="G877" t="inlineStr">
        <is>
          <t>n° 36 : 0,50 + n° 37 : 0,50</t>
        </is>
      </c>
      <c r="H877" t="n">
        <v>1</v>
      </c>
    </row>
    <row r="878">
      <c r="A878" t="inlineStr">
        <is>
          <t>2022-2023</t>
        </is>
      </c>
      <c r="B878" t="inlineStr">
        <is>
          <t>2022-09-09</t>
        </is>
      </c>
      <c r="C878" t="inlineStr">
        <is>
          <t>11:40</t>
        </is>
      </c>
      <c r="D878" t="inlineStr">
        <is>
          <t>n° 1 + n° 2</t>
        </is>
      </c>
      <c r="E878" t="inlineStr">
        <is>
          <t>Saucisse de Morteau</t>
        </is>
      </c>
      <c r="F878" t="n">
        <v>8.800000000000001</v>
      </c>
      <c r="G878" t="inlineStr">
        <is>
          <t>n° 1 : 0,50 + n° 2 : 0,50</t>
        </is>
      </c>
      <c r="H878" t="n">
        <v>1</v>
      </c>
    </row>
    <row r="879">
      <c r="A879" t="inlineStr">
        <is>
          <t>2022-2023</t>
        </is>
      </c>
      <c r="B879" t="inlineStr">
        <is>
          <t>2022-09-09</t>
        </is>
      </c>
      <c r="C879" t="inlineStr">
        <is>
          <t>11:40</t>
        </is>
      </c>
      <c r="D879" t="inlineStr">
        <is>
          <t>n° 1 + n° 2</t>
        </is>
      </c>
      <c r="E879" t="inlineStr">
        <is>
          <t>Savagnin verre</t>
        </is>
      </c>
      <c r="F879" t="n">
        <v>7.2</v>
      </c>
      <c r="G879" t="inlineStr">
        <is>
          <t>n° 1 : 0,50 + n° 2 : 0,50</t>
        </is>
      </c>
      <c r="H879" t="n">
        <v>1</v>
      </c>
    </row>
    <row r="880">
      <c r="A880" t="inlineStr">
        <is>
          <t>2022-2023</t>
        </is>
      </c>
      <c r="B880" t="inlineStr">
        <is>
          <t>2022-09-09</t>
        </is>
      </c>
      <c r="C880" t="inlineStr">
        <is>
          <t>11:40</t>
        </is>
      </c>
      <c r="D880" t="inlineStr">
        <is>
          <t>n° 1 + n° 2</t>
        </is>
      </c>
      <c r="E880" t="inlineStr">
        <is>
          <t>San Pelegrino</t>
        </is>
      </c>
      <c r="F880" t="n">
        <v>5.9</v>
      </c>
      <c r="G880" t="inlineStr">
        <is>
          <t>n° 1 : 0,50 + n° 2 : 0,50</t>
        </is>
      </c>
      <c r="H880" t="n">
        <v>1</v>
      </c>
    </row>
    <row r="881">
      <c r="A881" t="inlineStr">
        <is>
          <t>2022-2023</t>
        </is>
      </c>
      <c r="B881" t="inlineStr">
        <is>
          <t>2022-09-09</t>
        </is>
      </c>
      <c r="C881" t="inlineStr">
        <is>
          <t>11:40</t>
        </is>
      </c>
      <c r="D881" t="inlineStr">
        <is>
          <t>n° 1 + n° 2</t>
        </is>
      </c>
      <c r="E881" t="inlineStr">
        <is>
          <t>Salade Verte</t>
        </is>
      </c>
      <c r="F881" t="n">
        <v>5.9</v>
      </c>
      <c r="G881" t="inlineStr">
        <is>
          <t>n° 1 : 0,50 + n° 2 : 0,50</t>
        </is>
      </c>
      <c r="H881" t="n">
        <v>1</v>
      </c>
    </row>
    <row r="882">
      <c r="A882" t="inlineStr">
        <is>
          <t>2022-2023</t>
        </is>
      </c>
      <c r="B882" t="inlineStr">
        <is>
          <t>2022-09-09</t>
        </is>
      </c>
      <c r="C882" t="inlineStr">
        <is>
          <t>11:40</t>
        </is>
      </c>
      <c r="D882" t="inlineStr">
        <is>
          <t>n° 1 + n° 2</t>
        </is>
      </c>
      <c r="E882" t="inlineStr">
        <is>
          <t>pression</t>
        </is>
      </c>
      <c r="F882" t="n">
        <v>3.9</v>
      </c>
      <c r="G882" t="inlineStr">
        <is>
          <t>n° 1 : 0,50 + n° 2 : 0,50</t>
        </is>
      </c>
      <c r="H882" t="n">
        <v>1</v>
      </c>
    </row>
    <row r="883">
      <c r="A883" t="inlineStr">
        <is>
          <t>2022-2023</t>
        </is>
      </c>
      <c r="B883" t="inlineStr">
        <is>
          <t>2022-09-09</t>
        </is>
      </c>
      <c r="C883" t="inlineStr">
        <is>
          <t>12:50</t>
        </is>
      </c>
      <c r="D883" t="inlineStr">
        <is>
          <t>n° 11 + n° 12</t>
        </is>
      </c>
      <c r="E883" t="inlineStr">
        <is>
          <t>Menu 'Galette'</t>
        </is>
      </c>
      <c r="F883" t="n">
        <v>15.9</v>
      </c>
      <c r="G883" t="inlineStr">
        <is>
          <t>n° 11 : 1,50 + n° 12 : 1,50</t>
        </is>
      </c>
      <c r="H883" t="n">
        <v>3</v>
      </c>
    </row>
    <row r="884">
      <c r="A884" t="inlineStr">
        <is>
          <t>2022-2023</t>
        </is>
      </c>
      <c r="B884" t="inlineStr">
        <is>
          <t>2022-09-09</t>
        </is>
      </c>
      <c r="C884" t="inlineStr">
        <is>
          <t>12:50</t>
        </is>
      </c>
      <c r="D884" t="inlineStr">
        <is>
          <t>n° 11 + n° 12</t>
        </is>
      </c>
      <c r="E884" t="inlineStr">
        <is>
          <t>Cidre Bouché Doux</t>
        </is>
      </c>
      <c r="F884" t="n">
        <v>14</v>
      </c>
      <c r="G884" t="inlineStr">
        <is>
          <t>n° 11 : 0,50 + n° 12 : 0,50</t>
        </is>
      </c>
      <c r="H884" t="n">
        <v>1</v>
      </c>
    </row>
    <row r="885">
      <c r="A885" t="inlineStr">
        <is>
          <t>2022-2023</t>
        </is>
      </c>
      <c r="B885" t="inlineStr">
        <is>
          <t>2022-09-09</t>
        </is>
      </c>
      <c r="C885" t="inlineStr">
        <is>
          <t>12:50</t>
        </is>
      </c>
      <c r="D885" t="inlineStr">
        <is>
          <t>n° 11 + n° 12</t>
        </is>
      </c>
      <c r="E885" t="inlineStr">
        <is>
          <t>Formule à 11</t>
        </is>
      </c>
      <c r="F885" t="n">
        <v>11</v>
      </c>
      <c r="G885" t="inlineStr">
        <is>
          <t>n° 11 : 0,50 + n° 12 : 0,50</t>
        </is>
      </c>
      <c r="H885" t="n">
        <v>1</v>
      </c>
    </row>
    <row r="886">
      <c r="A886" t="inlineStr">
        <is>
          <t>2022-2023</t>
        </is>
      </c>
      <c r="B886" t="inlineStr">
        <is>
          <t>2022-09-09</t>
        </is>
      </c>
      <c r="C886" t="inlineStr">
        <is>
          <t>12:50</t>
        </is>
      </c>
      <c r="D886" t="inlineStr">
        <is>
          <t>n° 11 + n° 12</t>
        </is>
      </c>
      <c r="E886" t="inlineStr">
        <is>
          <t>pression</t>
        </is>
      </c>
      <c r="F886" t="n">
        <v>3.9</v>
      </c>
      <c r="G886" t="inlineStr">
        <is>
          <t>n° 11 : 0,50 + n° 12 : 0,50</t>
        </is>
      </c>
      <c r="H886" t="n">
        <v>1</v>
      </c>
    </row>
    <row r="887">
      <c r="A887" t="inlineStr">
        <is>
          <t>2022-2023</t>
        </is>
      </c>
      <c r="B887" t="inlineStr">
        <is>
          <t>2022-09-09</t>
        </is>
      </c>
      <c r="C887" t="inlineStr">
        <is>
          <t>19:34</t>
        </is>
      </c>
      <c r="D887" t="inlineStr">
        <is>
          <t>n° 20 + n° 21</t>
        </is>
      </c>
      <c r="E887" t="inlineStr">
        <is>
          <t>Entrecôte Forestiére</t>
        </is>
      </c>
      <c r="F887" t="n">
        <v>27.8</v>
      </c>
      <c r="G887" t="inlineStr">
        <is>
          <t>n° 20 : 0,50 + n° 21 : 0,50</t>
        </is>
      </c>
      <c r="H887" t="n">
        <v>1</v>
      </c>
    </row>
    <row r="888">
      <c r="A888" t="inlineStr">
        <is>
          <t>2022-2023</t>
        </is>
      </c>
      <c r="B888" t="inlineStr">
        <is>
          <t>2022-09-09</t>
        </is>
      </c>
      <c r="C888" t="inlineStr">
        <is>
          <t>19:34</t>
        </is>
      </c>
      <c r="D888" t="inlineStr">
        <is>
          <t>n° 20 + n° 21</t>
        </is>
      </c>
      <c r="E888" t="inlineStr">
        <is>
          <t>MORTEAU GRILLEE</t>
        </is>
      </c>
      <c r="F888" t="n">
        <v>17.6</v>
      </c>
      <c r="G888" t="inlineStr">
        <is>
          <t>n° 20 : 0,50 + n° 21 : 0,50</t>
        </is>
      </c>
      <c r="H888" t="n">
        <v>1</v>
      </c>
    </row>
    <row r="889">
      <c r="A889" t="inlineStr">
        <is>
          <t>2022-2023</t>
        </is>
      </c>
      <c r="B889" t="inlineStr">
        <is>
          <t>2022-09-09</t>
        </is>
      </c>
      <c r="C889" t="inlineStr">
        <is>
          <t>19:34</t>
        </is>
      </c>
      <c r="D889" t="inlineStr">
        <is>
          <t>n° 20 + n° 21</t>
        </is>
      </c>
      <c r="E889" t="inlineStr">
        <is>
          <t>FOULETOT</t>
        </is>
      </c>
      <c r="F889" t="n">
        <v>10.5</v>
      </c>
      <c r="G889" t="inlineStr">
        <is>
          <t>n° 20 : 0,50 + n° 21 : 0,50</t>
        </is>
      </c>
      <c r="H889" t="n">
        <v>1</v>
      </c>
    </row>
    <row r="890">
      <c r="A890" t="inlineStr">
        <is>
          <t>2022-2023</t>
        </is>
      </c>
      <c r="B890" t="inlineStr">
        <is>
          <t>2022-09-09</t>
        </is>
      </c>
      <c r="C890" t="inlineStr">
        <is>
          <t>19:34</t>
        </is>
      </c>
      <c r="D890" t="inlineStr">
        <is>
          <t>n° 20 + n° 21</t>
        </is>
      </c>
      <c r="E890" t="inlineStr">
        <is>
          <t>La</t>
        </is>
      </c>
      <c r="F890" t="n">
        <v>8.5</v>
      </c>
      <c r="G890" t="inlineStr">
        <is>
          <t>n° 20 : 0,50 + n° 21 : 0,50</t>
        </is>
      </c>
      <c r="H890" t="n">
        <v>1</v>
      </c>
    </row>
    <row r="891">
      <c r="A891" t="inlineStr">
        <is>
          <t>2022-2023</t>
        </is>
      </c>
      <c r="B891" t="inlineStr">
        <is>
          <t>2022-09-09</t>
        </is>
      </c>
      <c r="C891" t="inlineStr">
        <is>
          <t>19:34</t>
        </is>
      </c>
      <c r="D891" t="inlineStr">
        <is>
          <t>n° 20 + n° 21</t>
        </is>
      </c>
      <c r="E891" t="inlineStr">
        <is>
          <t>Savagnin verre</t>
        </is>
      </c>
      <c r="F891" t="n">
        <v>7.2</v>
      </c>
      <c r="G891" t="inlineStr">
        <is>
          <t>n° 20 : 1,50 + n° 21 : 1,50</t>
        </is>
      </c>
      <c r="H891" t="n">
        <v>3</v>
      </c>
    </row>
    <row r="892">
      <c r="A892" t="inlineStr">
        <is>
          <t>2022-2023</t>
        </is>
      </c>
      <c r="B892" t="inlineStr">
        <is>
          <t>2022-09-09</t>
        </is>
      </c>
      <c r="C892" t="inlineStr">
        <is>
          <t>19:34</t>
        </is>
      </c>
      <c r="D892" t="inlineStr">
        <is>
          <t>n° 20 + n° 21</t>
        </is>
      </c>
      <c r="E892" t="inlineStr">
        <is>
          <t>Arbois Trousseau Le</t>
        </is>
      </c>
      <c r="F892" t="n">
        <v>6.4</v>
      </c>
      <c r="G892" t="inlineStr">
        <is>
          <t>n° 20 : 0,50 + n° 21 : 0,50</t>
        </is>
      </c>
      <c r="H892" t="n">
        <v>1</v>
      </c>
    </row>
    <row r="893">
      <c r="A893" t="inlineStr">
        <is>
          <t>2022-2023</t>
        </is>
      </c>
      <c r="B893" t="inlineStr">
        <is>
          <t>2022-09-09</t>
        </is>
      </c>
      <c r="C893" t="inlineStr">
        <is>
          <t>19:34</t>
        </is>
      </c>
      <c r="D893" t="inlineStr">
        <is>
          <t>n° 20 + n° 21</t>
        </is>
      </c>
      <c r="E893" t="inlineStr">
        <is>
          <t>Crêpe Marrons</t>
        </is>
      </c>
      <c r="F893" t="n">
        <v>4.7</v>
      </c>
      <c r="G893" t="inlineStr">
        <is>
          <t>n° 20 : 0,50 + n° 21 : 0,50</t>
        </is>
      </c>
      <c r="H893" t="n">
        <v>1</v>
      </c>
    </row>
    <row r="894">
      <c r="A894" t="inlineStr">
        <is>
          <t>2022-2023</t>
        </is>
      </c>
      <c r="B894" t="inlineStr">
        <is>
          <t>2022-09-09</t>
        </is>
      </c>
      <c r="C894" t="inlineStr">
        <is>
          <t>19:34</t>
        </is>
      </c>
      <c r="D894" t="inlineStr">
        <is>
          <t>n° 20 + n° 21</t>
        </is>
      </c>
      <c r="E894" t="inlineStr">
        <is>
          <t>GLACE 2 BOULES</t>
        </is>
      </c>
      <c r="F894" t="n">
        <v>3.9</v>
      </c>
      <c r="G894" t="inlineStr">
        <is>
          <t>n° 20 : 0,50 + n° 21 : 0,50</t>
        </is>
      </c>
      <c r="H894" t="n">
        <v>1</v>
      </c>
    </row>
    <row r="895">
      <c r="A895" t="inlineStr">
        <is>
          <t>2022-2023</t>
        </is>
      </c>
      <c r="B895" t="inlineStr">
        <is>
          <t>2022-09-10</t>
        </is>
      </c>
      <c r="C895" t="inlineStr">
        <is>
          <t>13:02</t>
        </is>
      </c>
      <c r="D895" t="inlineStr">
        <is>
          <t>n° 13 + n° 14 + n° 16 + n° 17</t>
        </is>
      </c>
      <c r="E895" t="inlineStr">
        <is>
          <t>PiCHET TROUSSEAU</t>
        </is>
      </c>
      <c r="F895" t="n">
        <v>24</v>
      </c>
      <c r="G895" t="inlineStr">
        <is>
          <t>n° 13 : 0,50 + n° 14 : 0,50</t>
        </is>
      </c>
      <c r="H895" t="n">
        <v>1</v>
      </c>
    </row>
    <row r="896">
      <c r="A896" t="inlineStr">
        <is>
          <t>2022-2023</t>
        </is>
      </c>
      <c r="B896" t="inlineStr">
        <is>
          <t>2022-09-10</t>
        </is>
      </c>
      <c r="C896" t="inlineStr">
        <is>
          <t>13:02</t>
        </is>
      </c>
      <c r="D896" t="inlineStr">
        <is>
          <t>n° 13 + n° 14 + n° 16 + n° 17</t>
        </is>
      </c>
      <c r="E896" t="inlineStr">
        <is>
          <t>BURGER COMTOIS</t>
        </is>
      </c>
      <c r="F896" t="n">
        <v>19</v>
      </c>
      <c r="G896" t="inlineStr">
        <is>
          <t>n° 16 : 0,50 + n° 17 : 0,50</t>
        </is>
      </c>
      <c r="H896" t="n">
        <v>1</v>
      </c>
    </row>
    <row r="897">
      <c r="A897" t="inlineStr">
        <is>
          <t>2022-2023</t>
        </is>
      </c>
      <c r="B897" t="inlineStr">
        <is>
          <t>2022-09-10</t>
        </is>
      </c>
      <c r="C897" t="inlineStr">
        <is>
          <t>13:02</t>
        </is>
      </c>
      <c r="D897" t="inlineStr">
        <is>
          <t>n° 13 + n° 14 + n° 16 + n° 17</t>
        </is>
      </c>
      <c r="E897" t="inlineStr">
        <is>
          <t>CAMEMBERT ROTI</t>
        </is>
      </c>
      <c r="F897" t="n">
        <v>17.6</v>
      </c>
      <c r="G897" t="inlineStr">
        <is>
          <t>n° 13 : 0,50 + n° 14 : 0,50</t>
        </is>
      </c>
      <c r="H897" t="n">
        <v>1</v>
      </c>
    </row>
    <row r="898">
      <c r="A898" t="inlineStr">
        <is>
          <t>2022-2023</t>
        </is>
      </c>
      <c r="B898" t="inlineStr">
        <is>
          <t>2022-09-10</t>
        </is>
      </c>
      <c r="C898" t="inlineStr">
        <is>
          <t>13:02</t>
        </is>
      </c>
      <c r="D898" t="inlineStr">
        <is>
          <t>n° 13 + n° 14 + n° 16 + n° 17</t>
        </is>
      </c>
      <c r="E898" t="inlineStr">
        <is>
          <t>ASSIETTE FRANC-COMTO</t>
        </is>
      </c>
      <c r="F898" t="n">
        <v>17.6</v>
      </c>
      <c r="G898" t="inlineStr">
        <is>
          <t>n° 13 : 0,50 + n° 14 : 0,50</t>
        </is>
      </c>
      <c r="H898" t="n">
        <v>1</v>
      </c>
    </row>
    <row r="899">
      <c r="A899" t="inlineStr">
        <is>
          <t>2022-2023</t>
        </is>
      </c>
      <c r="B899" t="inlineStr">
        <is>
          <t>2022-09-10</t>
        </is>
      </c>
      <c r="C899" t="inlineStr">
        <is>
          <t>13:02</t>
        </is>
      </c>
      <c r="D899" t="inlineStr">
        <is>
          <t>n° 13 + n° 14 + n° 16 + n° 17</t>
        </is>
      </c>
      <c r="E899" t="inlineStr">
        <is>
          <t>POULET JURASSIENNE</t>
        </is>
      </c>
      <c r="F899" t="n">
        <v>17.6</v>
      </c>
      <c r="G899" t="inlineStr">
        <is>
          <t>n° 16 : 0,50 + n° 17 : 0,50</t>
        </is>
      </c>
      <c r="H899" t="n">
        <v>1</v>
      </c>
    </row>
    <row r="900">
      <c r="A900" t="inlineStr">
        <is>
          <t>2022-2023</t>
        </is>
      </c>
      <c r="B900" t="inlineStr">
        <is>
          <t>2022-09-10</t>
        </is>
      </c>
      <c r="C900" t="inlineStr">
        <is>
          <t>13:02</t>
        </is>
      </c>
      <c r="D900" t="inlineStr">
        <is>
          <t>n° 13 + n° 14 + n° 16 + n° 17</t>
        </is>
      </c>
      <c r="E900" t="inlineStr">
        <is>
          <t>Feuilleté Forestier</t>
        </is>
      </c>
      <c r="F900" t="n">
        <v>10.9</v>
      </c>
      <c r="G900" t="inlineStr">
        <is>
          <t>n° 16 : 0,50 + n° 17 : 0,50</t>
        </is>
      </c>
      <c r="H900" t="n">
        <v>1</v>
      </c>
    </row>
    <row r="901">
      <c r="A901" t="inlineStr">
        <is>
          <t>2022-2023</t>
        </is>
      </c>
      <c r="B901" t="inlineStr">
        <is>
          <t>2022-09-10</t>
        </is>
      </c>
      <c r="C901" t="inlineStr">
        <is>
          <t>13:02</t>
        </is>
      </c>
      <c r="D901" t="inlineStr">
        <is>
          <t>n° 13 + n° 14 + n° 16 + n° 17</t>
        </is>
      </c>
      <c r="E901" t="inlineStr">
        <is>
          <t>Jambon sec</t>
        </is>
      </c>
      <c r="F901" t="n">
        <v>8.9</v>
      </c>
      <c r="G901" t="inlineStr">
        <is>
          <t>n° 16 : 0,50 + n° 17 : 0,50</t>
        </is>
      </c>
      <c r="H901" t="n">
        <v>1</v>
      </c>
    </row>
    <row r="902">
      <c r="A902" t="inlineStr">
        <is>
          <t>2022-2023</t>
        </is>
      </c>
      <c r="B902" t="inlineStr">
        <is>
          <t>2022-09-10</t>
        </is>
      </c>
      <c r="C902" t="inlineStr">
        <is>
          <t>13:02</t>
        </is>
      </c>
      <c r="D902" t="inlineStr">
        <is>
          <t>n° 13 + n° 14 + n° 16 + n° 17</t>
        </is>
      </c>
      <c r="E902" t="inlineStr">
        <is>
          <t>Normandine</t>
        </is>
      </c>
      <c r="F902" t="n">
        <v>8.699999999999999</v>
      </c>
      <c r="G902" t="inlineStr">
        <is>
          <t>n° 13 : 0,50 + n° 14 : 0,50</t>
        </is>
      </c>
      <c r="H902" t="n">
        <v>1</v>
      </c>
    </row>
    <row r="903">
      <c r="A903" t="inlineStr">
        <is>
          <t>2022-2023</t>
        </is>
      </c>
      <c r="B903" t="inlineStr">
        <is>
          <t>2022-09-10</t>
        </is>
      </c>
      <c r="C903" t="inlineStr">
        <is>
          <t>13:02</t>
        </is>
      </c>
      <c r="D903" t="inlineStr">
        <is>
          <t>n° 13 + n° 14 + n° 16 + n° 17</t>
        </is>
      </c>
      <c r="E903" t="inlineStr">
        <is>
          <t>Baba au Macvin</t>
        </is>
      </c>
      <c r="F903" t="n">
        <v>6.9</v>
      </c>
      <c r="G903" t="inlineStr">
        <is>
          <t>n° 13 : 0,50 + n° 14 : 0,50</t>
        </is>
      </c>
      <c r="H903" t="n">
        <v>1</v>
      </c>
    </row>
    <row r="904">
      <c r="A904" t="inlineStr">
        <is>
          <t>2022-2023</t>
        </is>
      </c>
      <c r="B904" t="inlineStr">
        <is>
          <t>2022-09-10</t>
        </is>
      </c>
      <c r="C904" t="inlineStr">
        <is>
          <t>13:02</t>
        </is>
      </c>
      <c r="D904" t="inlineStr">
        <is>
          <t>n° 13 + n° 14 + n° 16 + n° 17</t>
        </is>
      </c>
      <c r="E904" t="inlineStr">
        <is>
          <t>KITTYKIR</t>
        </is>
      </c>
      <c r="F904" t="n">
        <v>5.2</v>
      </c>
      <c r="G904" t="inlineStr">
        <is>
          <t>n° 13 : 0,50 + n° 14 : 0,50</t>
        </is>
      </c>
      <c r="H904" t="n">
        <v>1</v>
      </c>
    </row>
    <row r="905">
      <c r="A905" t="inlineStr">
        <is>
          <t>2022-2023</t>
        </is>
      </c>
      <c r="B905" t="inlineStr">
        <is>
          <t>2022-09-10</t>
        </is>
      </c>
      <c r="C905" t="inlineStr">
        <is>
          <t>13:02</t>
        </is>
      </c>
      <c r="D905" t="inlineStr">
        <is>
          <t>n° 13 + n° 14 + n° 16 + n° 17</t>
        </is>
      </c>
      <c r="E905" t="inlineStr">
        <is>
          <t>Pontarlier</t>
        </is>
      </c>
      <c r="F905" t="n">
        <v>3.8</v>
      </c>
      <c r="G905" t="inlineStr">
        <is>
          <t>n° 13 : 0,50 + n° 14 : 0,50</t>
        </is>
      </c>
      <c r="H905" t="n">
        <v>1</v>
      </c>
    </row>
    <row r="906">
      <c r="A906" t="inlineStr">
        <is>
          <t>2022-2023</t>
        </is>
      </c>
      <c r="B906" t="inlineStr">
        <is>
          <t>2022-09-10</t>
        </is>
      </c>
      <c r="C906" t="inlineStr">
        <is>
          <t>13:02</t>
        </is>
      </c>
      <c r="D906" t="inlineStr">
        <is>
          <t>n° 13 + n° 14 + n° 16 + n° 17</t>
        </is>
      </c>
      <c r="E906" t="inlineStr">
        <is>
          <t>Expresso</t>
        </is>
      </c>
      <c r="F906" t="n">
        <v>2.2</v>
      </c>
      <c r="G906" t="inlineStr">
        <is>
          <t>n° 13 : 1,00 + n° 14 : 1,00 + n° 16 : 0,50 + n° 17 : 0,50</t>
        </is>
      </c>
      <c r="H906" t="n">
        <v>3</v>
      </c>
    </row>
    <row r="907">
      <c r="A907" t="inlineStr">
        <is>
          <t>2022-2023</t>
        </is>
      </c>
      <c r="B907" t="inlineStr">
        <is>
          <t>2022-09-11</t>
        </is>
      </c>
      <c r="C907" t="inlineStr">
        <is>
          <t>12:38</t>
        </is>
      </c>
      <c r="D907" t="inlineStr">
        <is>
          <t>n° 9 + n° 10</t>
        </is>
      </c>
      <c r="E907" t="inlineStr">
        <is>
          <t>Arbois Béthanie</t>
        </is>
      </c>
      <c r="F907" t="n">
        <v>29.9</v>
      </c>
      <c r="G907" t="inlineStr">
        <is>
          <t>n° 9 : 0,50 + n° 10 : 0,50</t>
        </is>
      </c>
      <c r="H907" t="n">
        <v>1</v>
      </c>
    </row>
    <row r="908">
      <c r="A908" t="inlineStr">
        <is>
          <t>2022-2023</t>
        </is>
      </c>
      <c r="B908" t="inlineStr">
        <is>
          <t>2022-09-11</t>
        </is>
      </c>
      <c r="C908" t="inlineStr">
        <is>
          <t>12:38</t>
        </is>
      </c>
      <c r="D908" t="inlineStr">
        <is>
          <t>n° 9 + n° 10</t>
        </is>
      </c>
      <c r="E908" t="inlineStr">
        <is>
          <t>Saucisse de Morteau</t>
        </is>
      </c>
      <c r="F908" t="n">
        <v>8.800000000000001</v>
      </c>
      <c r="G908" t="inlineStr">
        <is>
          <t>n° 9 : 0,50 + n° 10 : 0,50</t>
        </is>
      </c>
      <c r="H908" t="n">
        <v>1</v>
      </c>
    </row>
    <row r="909">
      <c r="A909" t="inlineStr">
        <is>
          <t>2022-2023</t>
        </is>
      </c>
      <c r="B909" t="inlineStr">
        <is>
          <t>2022-09-11</t>
        </is>
      </c>
      <c r="C909" t="inlineStr">
        <is>
          <t>12:38</t>
        </is>
      </c>
      <c r="D909" t="inlineStr">
        <is>
          <t>n° 9 + n° 10</t>
        </is>
      </c>
      <c r="E909" t="inlineStr">
        <is>
          <t>Assortiment charcute</t>
        </is>
      </c>
      <c r="F909" t="n">
        <v>8.800000000000001</v>
      </c>
      <c r="G909" t="inlineStr">
        <is>
          <t>n° 9 : 0,50 + n° 10 : 0,50</t>
        </is>
      </c>
      <c r="H909" t="n">
        <v>1</v>
      </c>
    </row>
    <row r="910">
      <c r="A910" t="inlineStr">
        <is>
          <t>2022-2023</t>
        </is>
      </c>
      <c r="B910" t="inlineStr">
        <is>
          <t>2022-09-11</t>
        </is>
      </c>
      <c r="C910" t="inlineStr">
        <is>
          <t>12:38</t>
        </is>
      </c>
      <c r="D910" t="inlineStr">
        <is>
          <t>n° 9 + n° 10</t>
        </is>
      </c>
      <c r="E910" t="inlineStr">
        <is>
          <t>Salade Verte</t>
        </is>
      </c>
      <c r="F910" t="n">
        <v>5.9</v>
      </c>
      <c r="G910" t="inlineStr">
        <is>
          <t>n° 9 : 0,50 + n° 10 : 0,50</t>
        </is>
      </c>
      <c r="H910" t="n">
        <v>1</v>
      </c>
    </row>
    <row r="911">
      <c r="A911" t="inlineStr">
        <is>
          <t>2022-2023</t>
        </is>
      </c>
      <c r="B911" t="inlineStr">
        <is>
          <t>2022-09-11</t>
        </is>
      </c>
      <c r="C911" t="inlineStr">
        <is>
          <t>12:38</t>
        </is>
      </c>
      <c r="D911" t="inlineStr">
        <is>
          <t>n° 9 + n° 10</t>
        </is>
      </c>
      <c r="E911" t="inlineStr">
        <is>
          <t>Chat perché</t>
        </is>
      </c>
      <c r="F911" t="n">
        <v>5.2</v>
      </c>
      <c r="G911" t="inlineStr">
        <is>
          <t>n° 9 : 0,50 + n° 10 : 0,50</t>
        </is>
      </c>
      <c r="H911" t="n">
        <v>1</v>
      </c>
    </row>
    <row r="912">
      <c r="A912" t="inlineStr">
        <is>
          <t>2022-2023</t>
        </is>
      </c>
      <c r="B912" t="inlineStr">
        <is>
          <t>2022-09-11</t>
        </is>
      </c>
      <c r="C912" t="inlineStr">
        <is>
          <t>12:38</t>
        </is>
      </c>
      <c r="D912" t="inlineStr">
        <is>
          <t>n° 9 + n° 10</t>
        </is>
      </c>
      <c r="E912" t="inlineStr">
        <is>
          <t>Macvin du Jura</t>
        </is>
      </c>
      <c r="F912" t="n">
        <v>4.9</v>
      </c>
      <c r="G912" t="inlineStr">
        <is>
          <t>n° 9 : 0,50 + n° 10 : 0,50</t>
        </is>
      </c>
      <c r="H912" t="n">
        <v>1</v>
      </c>
    </row>
    <row r="913">
      <c r="A913" t="inlineStr">
        <is>
          <t>2022-2023</t>
        </is>
      </c>
      <c r="B913" t="inlineStr">
        <is>
          <t>2022-09-11</t>
        </is>
      </c>
      <c r="C913" t="inlineStr">
        <is>
          <t>12:38</t>
        </is>
      </c>
      <c r="D913" t="inlineStr">
        <is>
          <t>n° 9 + n° 10</t>
        </is>
      </c>
      <c r="E913" t="inlineStr">
        <is>
          <t>Pommes grenailles</t>
        </is>
      </c>
      <c r="F913" t="n">
        <v>3.9</v>
      </c>
      <c r="G913" t="inlineStr">
        <is>
          <t>n° 9 : 0,50 + n° 10 : 0,50</t>
        </is>
      </c>
      <c r="H913" t="n">
        <v>1</v>
      </c>
    </row>
    <row r="914">
      <c r="A914" t="inlineStr">
        <is>
          <t>2022-2023</t>
        </is>
      </c>
      <c r="B914" t="inlineStr">
        <is>
          <t>2022-09-11</t>
        </is>
      </c>
      <c r="C914" t="inlineStr">
        <is>
          <t>12:38</t>
        </is>
      </c>
      <c r="D914" t="inlineStr">
        <is>
          <t>n° 9 + n° 10</t>
        </is>
      </c>
      <c r="E914" t="inlineStr">
        <is>
          <t>Expresso</t>
        </is>
      </c>
      <c r="F914" t="n">
        <v>2.2</v>
      </c>
      <c r="G914" t="inlineStr">
        <is>
          <t>n° 9 : 1,50 + n° 10 : 1,50</t>
        </is>
      </c>
      <c r="H914" t="n">
        <v>3</v>
      </c>
    </row>
    <row r="915">
      <c r="A915" t="inlineStr">
        <is>
          <t>2022-2023</t>
        </is>
      </c>
      <c r="B915" t="inlineStr">
        <is>
          <t>2022-09-14</t>
        </is>
      </c>
      <c r="C915" t="inlineStr">
        <is>
          <t>12:38</t>
        </is>
      </c>
      <c r="D915" t="inlineStr">
        <is>
          <t>n° 11 + n° 12</t>
        </is>
      </c>
      <c r="E915" t="inlineStr">
        <is>
          <t>MORTEAU GRILLEE</t>
        </is>
      </c>
      <c r="F915" t="n">
        <v>17.6</v>
      </c>
      <c r="G915" t="inlineStr">
        <is>
          <t>n° 11 : 0,50 + n° 12 : 0,50</t>
        </is>
      </c>
      <c r="H915" t="n">
        <v>1</v>
      </c>
    </row>
    <row r="916">
      <c r="A916" t="inlineStr">
        <is>
          <t>2022-2023</t>
        </is>
      </c>
      <c r="B916" t="inlineStr">
        <is>
          <t>2022-09-14</t>
        </is>
      </c>
      <c r="C916" t="inlineStr">
        <is>
          <t>12:38</t>
        </is>
      </c>
      <c r="D916" t="inlineStr">
        <is>
          <t>n° 11 + n° 12</t>
        </is>
      </c>
      <c r="E916" t="inlineStr">
        <is>
          <t>CABRICHOU</t>
        </is>
      </c>
      <c r="F916" t="n">
        <v>15.9</v>
      </c>
      <c r="G916" t="inlineStr">
        <is>
          <t>n° 11 : 0,50 + n° 12 : 0,50</t>
        </is>
      </c>
      <c r="H916" t="n">
        <v>1</v>
      </c>
    </row>
    <row r="917">
      <c r="A917" t="inlineStr">
        <is>
          <t>2022-2023</t>
        </is>
      </c>
      <c r="B917" t="inlineStr">
        <is>
          <t>2022-09-14</t>
        </is>
      </c>
      <c r="C917" t="inlineStr">
        <is>
          <t>12:38</t>
        </is>
      </c>
      <c r="D917" t="inlineStr">
        <is>
          <t>n° 11 + n° 12</t>
        </is>
      </c>
      <c r="E917" t="inlineStr">
        <is>
          <t>Crêpe Pommes</t>
        </is>
      </c>
      <c r="F917" t="n">
        <v>6.6</v>
      </c>
      <c r="G917" t="inlineStr">
        <is>
          <t>n° 11 : 0,50 + n° 12 : 0,50</t>
        </is>
      </c>
      <c r="H917" t="n">
        <v>1</v>
      </c>
    </row>
    <row r="918">
      <c r="A918" t="inlineStr">
        <is>
          <t>2022-2023</t>
        </is>
      </c>
      <c r="B918" t="inlineStr">
        <is>
          <t>2022-09-14</t>
        </is>
      </c>
      <c r="C918" t="inlineStr">
        <is>
          <t>12:38</t>
        </is>
      </c>
      <c r="D918" t="inlineStr">
        <is>
          <t>n° 11 + n° 12</t>
        </is>
      </c>
      <c r="E918" t="inlineStr">
        <is>
          <t>Perrier 33cl</t>
        </is>
      </c>
      <c r="F918" t="n">
        <v>4</v>
      </c>
      <c r="G918" t="inlineStr">
        <is>
          <t>n° 11 : 0,50 + n° 12 : 0,50</t>
        </is>
      </c>
      <c r="H918" t="n">
        <v>1</v>
      </c>
    </row>
    <row r="919">
      <c r="A919" t="inlineStr">
        <is>
          <t>2022-2023</t>
        </is>
      </c>
      <c r="B919" t="inlineStr">
        <is>
          <t>2022-09-14</t>
        </is>
      </c>
      <c r="C919" t="inlineStr">
        <is>
          <t>12:38</t>
        </is>
      </c>
      <c r="D919" t="inlineStr">
        <is>
          <t>n° 11 + n° 12</t>
        </is>
      </c>
      <c r="E919" t="inlineStr">
        <is>
          <t>Coca (25cl)</t>
        </is>
      </c>
      <c r="F919" t="n">
        <v>3.9</v>
      </c>
      <c r="G919" t="inlineStr">
        <is>
          <t>n° 11 : 0,50 + n° 12 : 0,50</t>
        </is>
      </c>
      <c r="H919" t="n">
        <v>1</v>
      </c>
    </row>
    <row r="920">
      <c r="A920" t="inlineStr">
        <is>
          <t>2022-2023</t>
        </is>
      </c>
      <c r="B920" t="inlineStr">
        <is>
          <t>2022-09-14</t>
        </is>
      </c>
      <c r="C920" t="inlineStr">
        <is>
          <t>12:38</t>
        </is>
      </c>
      <c r="D920" t="inlineStr">
        <is>
          <t>n° 11 + n° 12</t>
        </is>
      </c>
      <c r="E920" t="inlineStr">
        <is>
          <t>Double Expresso</t>
        </is>
      </c>
      <c r="F920" t="n">
        <v>3.8</v>
      </c>
      <c r="G920" t="inlineStr">
        <is>
          <t>n° 11 : 0,50 + n° 12 : 0,50</t>
        </is>
      </c>
      <c r="H920" t="n">
        <v>1</v>
      </c>
    </row>
    <row r="921">
      <c r="A921" t="inlineStr">
        <is>
          <t>2022-2023</t>
        </is>
      </c>
      <c r="B921" t="inlineStr">
        <is>
          <t>2022-09-14</t>
        </is>
      </c>
      <c r="C921" t="inlineStr">
        <is>
          <t>12:38</t>
        </is>
      </c>
      <c r="D921" t="inlineStr">
        <is>
          <t>n° 11 + n° 12</t>
        </is>
      </c>
      <c r="E921" t="inlineStr">
        <is>
          <t>Expresso</t>
        </is>
      </c>
      <c r="F921" t="n">
        <v>2.2</v>
      </c>
      <c r="G921" t="inlineStr">
        <is>
          <t>n° 11 : 0,50 + n° 12 : 0,50</t>
        </is>
      </c>
      <c r="H921" t="n">
        <v>1</v>
      </c>
    </row>
    <row r="922">
      <c r="A922" t="inlineStr">
        <is>
          <t>2022-2023</t>
        </is>
      </c>
      <c r="B922" t="inlineStr">
        <is>
          <t>2022-09-14</t>
        </is>
      </c>
      <c r="C922" t="inlineStr">
        <is>
          <t>18:57</t>
        </is>
      </c>
      <c r="D922" t="inlineStr">
        <is>
          <t>n° 15 + n° 16</t>
        </is>
      </c>
      <c r="E922" t="inlineStr">
        <is>
          <t>BURGER COMTOIS</t>
        </is>
      </c>
      <c r="F922" t="n">
        <v>19</v>
      </c>
      <c r="G922" t="inlineStr">
        <is>
          <t>n° 15 : 0,50 + n° 16 : 0,50</t>
        </is>
      </c>
      <c r="H922" t="n">
        <v>1</v>
      </c>
    </row>
    <row r="923">
      <c r="A923" t="inlineStr">
        <is>
          <t>2022-2023</t>
        </is>
      </c>
      <c r="B923" t="inlineStr">
        <is>
          <t>2022-09-14</t>
        </is>
      </c>
      <c r="C923" t="inlineStr">
        <is>
          <t>18:57</t>
        </is>
      </c>
      <c r="D923" t="inlineStr">
        <is>
          <t>n° 15 + n° 16</t>
        </is>
      </c>
      <c r="E923" t="inlineStr">
        <is>
          <t>CABRICHOU</t>
        </is>
      </c>
      <c r="F923" t="n">
        <v>15.9</v>
      </c>
      <c r="G923" t="inlineStr">
        <is>
          <t>n° 15 : 0,50 + n° 16 : 0,50</t>
        </is>
      </c>
      <c r="H923" t="n">
        <v>1</v>
      </c>
    </row>
    <row r="924">
      <c r="A924" t="inlineStr">
        <is>
          <t>2022-2023</t>
        </is>
      </c>
      <c r="B924" t="inlineStr">
        <is>
          <t>2022-09-14</t>
        </is>
      </c>
      <c r="C924" t="inlineStr">
        <is>
          <t>18:57</t>
        </is>
      </c>
      <c r="D924" t="inlineStr">
        <is>
          <t>n° 15 + n° 16</t>
        </is>
      </c>
      <c r="E924" t="inlineStr">
        <is>
          <t>Whisky-Coca</t>
        </is>
      </c>
      <c r="F924" t="n">
        <v>7.5</v>
      </c>
      <c r="G924" t="inlineStr">
        <is>
          <t>n° 15 : 0,50 + n° 16 : 0,50</t>
        </is>
      </c>
      <c r="H924" t="n">
        <v>1</v>
      </c>
    </row>
    <row r="925">
      <c r="A925" t="inlineStr">
        <is>
          <t>2022-2023</t>
        </is>
      </c>
      <c r="B925" t="inlineStr">
        <is>
          <t>2022-09-14</t>
        </is>
      </c>
      <c r="C925" t="inlineStr">
        <is>
          <t>18:57</t>
        </is>
      </c>
      <c r="D925" t="inlineStr">
        <is>
          <t>n° 15 + n° 16</t>
        </is>
      </c>
      <c r="E925" t="inlineStr">
        <is>
          <t>Coca (25cl)</t>
        </is>
      </c>
      <c r="F925" t="n">
        <v>3.9</v>
      </c>
      <c r="G925" t="inlineStr">
        <is>
          <t>n° 15 : 0,50 + n° 16 : 0,50</t>
        </is>
      </c>
      <c r="H925" t="n">
        <v>1</v>
      </c>
    </row>
    <row r="926">
      <c r="A926" t="inlineStr">
        <is>
          <t>2022-2023</t>
        </is>
      </c>
      <c r="B926" t="inlineStr">
        <is>
          <t>2022-09-15</t>
        </is>
      </c>
      <c r="C926" t="inlineStr">
        <is>
          <t>11:44</t>
        </is>
      </c>
      <c r="D926" t="inlineStr">
        <is>
          <t>n° 3 + n° 4</t>
        </is>
      </c>
      <c r="E926" t="inlineStr">
        <is>
          <t>Salade Végétarienne</t>
        </is>
      </c>
      <c r="F926" t="n">
        <v>19.9</v>
      </c>
      <c r="G926" t="inlineStr">
        <is>
          <t>n° 3 : 0,50 + n° 4 : 0,50</t>
        </is>
      </c>
      <c r="H926" t="n">
        <v>1</v>
      </c>
    </row>
    <row r="927">
      <c r="A927" t="inlineStr">
        <is>
          <t>2022-2023</t>
        </is>
      </c>
      <c r="B927" t="inlineStr">
        <is>
          <t>2022-09-15</t>
        </is>
      </c>
      <c r="C927" t="inlineStr">
        <is>
          <t>11:44</t>
        </is>
      </c>
      <c r="D927" t="inlineStr">
        <is>
          <t>n° 3 + n° 4</t>
        </is>
      </c>
      <c r="E927" t="inlineStr">
        <is>
          <t>PAYSANNE</t>
        </is>
      </c>
      <c r="F927" t="n">
        <v>19.9</v>
      </c>
      <c r="G927" t="inlineStr">
        <is>
          <t>n° 3 : 0,50 + n° 4 : 0,50</t>
        </is>
      </c>
      <c r="H927" t="n">
        <v>1</v>
      </c>
    </row>
    <row r="928">
      <c r="A928" t="inlineStr">
        <is>
          <t>2022-2023</t>
        </is>
      </c>
      <c r="B928" t="inlineStr">
        <is>
          <t>2022-09-15</t>
        </is>
      </c>
      <c r="C928" t="inlineStr">
        <is>
          <t>12:31</t>
        </is>
      </c>
      <c r="D928" t="inlineStr">
        <is>
          <t>n° 15 + n° 18 + n° 19</t>
        </is>
      </c>
      <c r="E928" t="inlineStr">
        <is>
          <t>POULET JURASSIENNE</t>
        </is>
      </c>
      <c r="F928" t="n">
        <v>17.6</v>
      </c>
      <c r="G928" t="inlineStr">
        <is>
          <t>n° 18 : 0,50 + n° 19 : 0,50</t>
        </is>
      </c>
      <c r="H928" t="n">
        <v>1</v>
      </c>
    </row>
    <row r="929">
      <c r="A929" t="inlineStr">
        <is>
          <t>2022-2023</t>
        </is>
      </c>
      <c r="B929" t="inlineStr">
        <is>
          <t>2022-09-15</t>
        </is>
      </c>
      <c r="C929" t="inlineStr">
        <is>
          <t>12:31</t>
        </is>
      </c>
      <c r="D929" t="inlineStr">
        <is>
          <t>n° 15 + n° 18 + n° 19</t>
        </is>
      </c>
      <c r="E929" t="inlineStr">
        <is>
          <t>TRUITE JURASSIENNE</t>
        </is>
      </c>
      <c r="F929" t="n">
        <v>17.6</v>
      </c>
      <c r="G929" t="inlineStr">
        <is>
          <t>n° 18 : 0,50 + n° 19 : 0,50</t>
        </is>
      </c>
      <c r="H929" t="n">
        <v>1</v>
      </c>
    </row>
    <row r="930">
      <c r="A930" t="inlineStr">
        <is>
          <t>2022-2023</t>
        </is>
      </c>
      <c r="B930" t="inlineStr">
        <is>
          <t>2022-09-15</t>
        </is>
      </c>
      <c r="C930" t="inlineStr">
        <is>
          <t>12:31</t>
        </is>
      </c>
      <c r="D930" t="inlineStr">
        <is>
          <t>n° 15 + n° 18 + n° 19</t>
        </is>
      </c>
      <c r="E930" t="inlineStr">
        <is>
          <t>Cidre Bouché Doux</t>
        </is>
      </c>
      <c r="F930" t="n">
        <v>14</v>
      </c>
      <c r="G930" t="inlineStr">
        <is>
          <t>n° 15 : 0,50</t>
        </is>
      </c>
      <c r="H930" t="n">
        <v>0.5</v>
      </c>
    </row>
    <row r="931">
      <c r="A931" t="inlineStr">
        <is>
          <t>2022-2023</t>
        </is>
      </c>
      <c r="B931" t="inlineStr">
        <is>
          <t>2022-09-15</t>
        </is>
      </c>
      <c r="C931" t="inlineStr">
        <is>
          <t>12:31</t>
        </is>
      </c>
      <c r="D931" t="inlineStr">
        <is>
          <t>n° 15 + n° 18 + n° 19</t>
        </is>
      </c>
      <c r="E931" t="inlineStr">
        <is>
          <t>Pichet 75cl vin</t>
        </is>
      </c>
      <c r="F931" t="n">
        <v>13.4</v>
      </c>
      <c r="G931" t="inlineStr">
        <is>
          <t>n° 18 : 0,50 + n° 19 : 0,50</t>
        </is>
      </c>
      <c r="H931" t="n">
        <v>1</v>
      </c>
    </row>
    <row r="932">
      <c r="A932" t="inlineStr">
        <is>
          <t>2022-2023</t>
        </is>
      </c>
      <c r="B932" t="inlineStr">
        <is>
          <t>2022-09-15</t>
        </is>
      </c>
      <c r="C932" t="inlineStr">
        <is>
          <t>12:31</t>
        </is>
      </c>
      <c r="D932" t="inlineStr">
        <is>
          <t>n° 15 + n° 18 + n° 19</t>
        </is>
      </c>
      <c r="E932" t="inlineStr">
        <is>
          <t>Pavlova</t>
        </is>
      </c>
      <c r="F932" t="n">
        <v>8.699999999999999</v>
      </c>
      <c r="G932" t="inlineStr">
        <is>
          <t>n° 18 : 0,50 + n° 19 : 0,50</t>
        </is>
      </c>
      <c r="H932" t="n">
        <v>1</v>
      </c>
    </row>
    <row r="933">
      <c r="A933" t="inlineStr">
        <is>
          <t>2022-2023</t>
        </is>
      </c>
      <c r="B933" t="inlineStr">
        <is>
          <t>2022-09-15</t>
        </is>
      </c>
      <c r="C933" t="inlineStr">
        <is>
          <t>12:31</t>
        </is>
      </c>
      <c r="D933" t="inlineStr">
        <is>
          <t>n° 15 + n° 18 + n° 19</t>
        </is>
      </c>
      <c r="E933" t="inlineStr">
        <is>
          <t>Baba au Macvin</t>
        </is>
      </c>
      <c r="F933" t="n">
        <v>6.9</v>
      </c>
      <c r="G933" t="inlineStr">
        <is>
          <t>n° 18 : 0,50 + n° 19 : 0,50</t>
        </is>
      </c>
      <c r="H933" t="n">
        <v>1</v>
      </c>
    </row>
    <row r="934">
      <c r="A934" t="inlineStr">
        <is>
          <t>2022-2023</t>
        </is>
      </c>
      <c r="B934" t="inlineStr">
        <is>
          <t>2022-09-15</t>
        </is>
      </c>
      <c r="C934" t="inlineStr">
        <is>
          <t>12:31</t>
        </is>
      </c>
      <c r="D934" t="inlineStr">
        <is>
          <t>n° 15 + n° 18 + n° 19</t>
        </is>
      </c>
      <c r="E934" t="inlineStr">
        <is>
          <t>Mambo</t>
        </is>
      </c>
      <c r="F934" t="n">
        <v>6.5</v>
      </c>
      <c r="G934" t="inlineStr">
        <is>
          <t>n° 15 : 0,50</t>
        </is>
      </c>
      <c r="H934" t="n">
        <v>0.5</v>
      </c>
    </row>
    <row r="935">
      <c r="A935" t="inlineStr">
        <is>
          <t>2022-2023</t>
        </is>
      </c>
      <c r="B935" t="inlineStr">
        <is>
          <t>2022-09-15</t>
        </is>
      </c>
      <c r="C935" t="inlineStr">
        <is>
          <t>12:31</t>
        </is>
      </c>
      <c r="D935" t="inlineStr">
        <is>
          <t>n° 15 + n° 18 + n° 19</t>
        </is>
      </c>
      <c r="E935" t="inlineStr">
        <is>
          <t>KITTYKIR</t>
        </is>
      </c>
      <c r="F935" t="n">
        <v>5.2</v>
      </c>
      <c r="G935" t="inlineStr">
        <is>
          <t>n° 15 : 0,50</t>
        </is>
      </c>
      <c r="H935" t="n">
        <v>0.5</v>
      </c>
    </row>
    <row r="936">
      <c r="A936" t="inlineStr">
        <is>
          <t>2022-2023</t>
        </is>
      </c>
      <c r="B936" t="inlineStr">
        <is>
          <t>2022-09-15</t>
        </is>
      </c>
      <c r="C936" t="inlineStr">
        <is>
          <t>12:31</t>
        </is>
      </c>
      <c r="D936" t="inlineStr">
        <is>
          <t>n° 15 + n° 18 + n° 19</t>
        </is>
      </c>
      <c r="E936" t="inlineStr">
        <is>
          <t>Macvin du Jura</t>
        </is>
      </c>
      <c r="F936" t="n">
        <v>4.9</v>
      </c>
      <c r="G936" t="inlineStr">
        <is>
          <t>n° 15 : 0,50</t>
        </is>
      </c>
      <c r="H936" t="n">
        <v>0.5</v>
      </c>
    </row>
    <row r="937">
      <c r="A937" t="inlineStr">
        <is>
          <t>2022-2023</t>
        </is>
      </c>
      <c r="B937" t="inlineStr">
        <is>
          <t>2022-09-15</t>
        </is>
      </c>
      <c r="C937" t="inlineStr">
        <is>
          <t>12:31</t>
        </is>
      </c>
      <c r="D937" t="inlineStr">
        <is>
          <t>n° 15 + n° 18 + n° 19</t>
        </is>
      </c>
      <c r="E937" t="inlineStr">
        <is>
          <t>Porto</t>
        </is>
      </c>
      <c r="F937" t="n">
        <v>4.2</v>
      </c>
      <c r="G937" t="inlineStr">
        <is>
          <t>n° 15 : 0,50</t>
        </is>
      </c>
      <c r="H937" t="n">
        <v>0.5</v>
      </c>
    </row>
    <row r="938">
      <c r="A938" t="inlineStr">
        <is>
          <t>2022-2023</t>
        </is>
      </c>
      <c r="B938" t="inlineStr">
        <is>
          <t>2022-09-15</t>
        </is>
      </c>
      <c r="C938" t="inlineStr">
        <is>
          <t>12:31</t>
        </is>
      </c>
      <c r="D938" t="inlineStr">
        <is>
          <t>n° 15 + n° 18 + n° 19</t>
        </is>
      </c>
      <c r="E938" t="inlineStr">
        <is>
          <t>Expresso</t>
        </is>
      </c>
      <c r="F938" t="n">
        <v>2.2</v>
      </c>
      <c r="G938" t="inlineStr">
        <is>
          <t>n° 18 : 0,50 + n° 19 : 0,50</t>
        </is>
      </c>
      <c r="H938" t="n">
        <v>1</v>
      </c>
    </row>
    <row r="939">
      <c r="A939" t="inlineStr">
        <is>
          <t>2022-2023</t>
        </is>
      </c>
      <c r="B939" t="inlineStr">
        <is>
          <t>2022-09-15</t>
        </is>
      </c>
      <c r="C939" t="inlineStr">
        <is>
          <t>19:41</t>
        </is>
      </c>
      <c r="D939" t="inlineStr">
        <is>
          <t>n° 26 + n° 27 + n° 28</t>
        </is>
      </c>
      <c r="E939" t="inlineStr">
        <is>
          <t>Crémeux du Jura</t>
        </is>
      </c>
      <c r="F939" t="n">
        <v>19</v>
      </c>
      <c r="G939" t="inlineStr">
        <is>
          <t>n° 26 : 0,33 + n° 27 : 0,34 + n° 28 : 0,33</t>
        </is>
      </c>
      <c r="H939" t="n">
        <v>1</v>
      </c>
    </row>
    <row r="940">
      <c r="A940" t="inlineStr">
        <is>
          <t>2022-2023</t>
        </is>
      </c>
      <c r="B940" t="inlineStr">
        <is>
          <t>2022-09-15</t>
        </is>
      </c>
      <c r="C940" t="inlineStr">
        <is>
          <t>19:41</t>
        </is>
      </c>
      <c r="D940" t="inlineStr">
        <is>
          <t>n° 26 + n° 27 + n° 28</t>
        </is>
      </c>
      <c r="E940" t="inlineStr">
        <is>
          <t>MORTEAU GRILLEE</t>
        </is>
      </c>
      <c r="F940" t="n">
        <v>17.6</v>
      </c>
      <c r="G940" t="inlineStr">
        <is>
          <t>n° 26 : 0,67 + n° 27 : 0,67 + n° 28 : 0,66</t>
        </is>
      </c>
      <c r="H940" t="n">
        <v>2</v>
      </c>
    </row>
    <row r="941">
      <c r="A941" t="inlineStr">
        <is>
          <t>2022-2023</t>
        </is>
      </c>
      <c r="B941" t="inlineStr">
        <is>
          <t>2022-09-15</t>
        </is>
      </c>
      <c r="C941" t="inlineStr">
        <is>
          <t>19:41</t>
        </is>
      </c>
      <c r="D941" t="inlineStr">
        <is>
          <t>n° 26 + n° 27 + n° 28</t>
        </is>
      </c>
      <c r="E941" t="inlineStr">
        <is>
          <t>Savagnin verre</t>
        </is>
      </c>
      <c r="F941" t="n">
        <v>7.2</v>
      </c>
      <c r="G941" t="inlineStr">
        <is>
          <t>n° 26 : 0,33 + n° 27 : 0,34 + n° 28 : 0,33</t>
        </is>
      </c>
      <c r="H941" t="n">
        <v>1</v>
      </c>
    </row>
    <row r="942">
      <c r="A942" t="inlineStr">
        <is>
          <t>2022-2023</t>
        </is>
      </c>
      <c r="B942" t="inlineStr">
        <is>
          <t>2022-09-15</t>
        </is>
      </c>
      <c r="C942" t="inlineStr">
        <is>
          <t>19:41</t>
        </is>
      </c>
      <c r="D942" t="inlineStr">
        <is>
          <t>n° 26 + n° 27 + n° 28</t>
        </is>
      </c>
      <c r="E942" t="inlineStr">
        <is>
          <t>Do</t>
        </is>
      </c>
      <c r="F942" t="n">
        <v>6.9</v>
      </c>
      <c r="G942" t="inlineStr">
        <is>
          <t>n° 26 : 0,33 + n° 27 : 0,34 + n° 28 : 0,33</t>
        </is>
      </c>
      <c r="H942" t="n">
        <v>1</v>
      </c>
    </row>
    <row r="943">
      <c r="A943" t="inlineStr">
        <is>
          <t>2022-2023</t>
        </is>
      </c>
      <c r="B943" t="inlineStr">
        <is>
          <t>2022-09-15</t>
        </is>
      </c>
      <c r="C943" t="inlineStr">
        <is>
          <t>19:41</t>
        </is>
      </c>
      <c r="D943" t="inlineStr">
        <is>
          <t>n° 26 + n° 27 + n° 28</t>
        </is>
      </c>
      <c r="E943" t="inlineStr">
        <is>
          <t>Verre de vin</t>
        </is>
      </c>
      <c r="F943" t="n">
        <v>3.6</v>
      </c>
      <c r="G943" t="inlineStr">
        <is>
          <t>n° 26 : 0,67 + n° 27 : 0,67 + n° 28 : 0,66</t>
        </is>
      </c>
      <c r="H943" t="n">
        <v>2</v>
      </c>
    </row>
    <row r="944">
      <c r="A944" t="inlineStr">
        <is>
          <t>2022-2023</t>
        </is>
      </c>
      <c r="B944" t="inlineStr">
        <is>
          <t>2022-09-15</t>
        </is>
      </c>
      <c r="C944" t="inlineStr">
        <is>
          <t>19:41</t>
        </is>
      </c>
      <c r="D944" t="inlineStr">
        <is>
          <t>n° 26 + n° 27 + n° 28</t>
        </is>
      </c>
      <c r="E944" t="inlineStr">
        <is>
          <t>Crêpe au sucre</t>
        </is>
      </c>
      <c r="F944" t="n">
        <v>2.9</v>
      </c>
      <c r="G944" t="inlineStr">
        <is>
          <t>n° 26 : 0,33 + n° 27 : 0,34 + n° 28 : 0,33</t>
        </is>
      </c>
      <c r="H944" t="n">
        <v>1</v>
      </c>
    </row>
    <row r="945">
      <c r="A945" t="inlineStr">
        <is>
          <t>2022-2023</t>
        </is>
      </c>
      <c r="B945" t="inlineStr">
        <is>
          <t>2022-09-15</t>
        </is>
      </c>
      <c r="C945" t="inlineStr">
        <is>
          <t>19:41</t>
        </is>
      </c>
      <c r="D945" t="inlineStr">
        <is>
          <t>n° 26 + n° 27 + n° 28</t>
        </is>
      </c>
      <c r="E945" t="inlineStr">
        <is>
          <t>GLACE 1 BOULE</t>
        </is>
      </c>
      <c r="F945" t="n">
        <v>2</v>
      </c>
      <c r="G945" t="inlineStr">
        <is>
          <t>n° 26 : 0,33 + n° 27 : 0,34 + n° 28 : 0,33</t>
        </is>
      </c>
      <c r="H945" t="n">
        <v>1</v>
      </c>
    </row>
    <row r="946">
      <c r="A946" t="inlineStr">
        <is>
          <t>2022-2023</t>
        </is>
      </c>
      <c r="B946" t="inlineStr">
        <is>
          <t>2022-09-17</t>
        </is>
      </c>
      <c r="C946" t="inlineStr">
        <is>
          <t>19:01</t>
        </is>
      </c>
      <c r="D946" t="inlineStr">
        <is>
          <t>n° 16 + n° 17</t>
        </is>
      </c>
      <c r="E946" t="inlineStr">
        <is>
          <t>Arbois Trousseau Bou</t>
        </is>
      </c>
      <c r="F946" t="n">
        <v>32</v>
      </c>
      <c r="G946" t="inlineStr">
        <is>
          <t>n° 16 : 0,50 + n° 17 : 0,50</t>
        </is>
      </c>
      <c r="H946" t="n">
        <v>1</v>
      </c>
    </row>
    <row r="947">
      <c r="A947" t="inlineStr">
        <is>
          <t>2022-2023</t>
        </is>
      </c>
      <c r="B947" t="inlineStr">
        <is>
          <t>2022-09-17</t>
        </is>
      </c>
      <c r="C947" t="inlineStr">
        <is>
          <t>19:01</t>
        </is>
      </c>
      <c r="D947" t="inlineStr">
        <is>
          <t>n° 16 + n° 17</t>
        </is>
      </c>
      <c r="E947" t="inlineStr">
        <is>
          <t>CANCOINE</t>
        </is>
      </c>
      <c r="F947" t="n">
        <v>21.6</v>
      </c>
      <c r="G947" t="inlineStr">
        <is>
          <t>n° 16 : 0,50 + n° 17 : 0,50</t>
        </is>
      </c>
      <c r="H947" t="n">
        <v>1</v>
      </c>
    </row>
    <row r="948">
      <c r="A948" t="inlineStr">
        <is>
          <t>2022-2023</t>
        </is>
      </c>
      <c r="B948" t="inlineStr">
        <is>
          <t>2022-09-17</t>
        </is>
      </c>
      <c r="C948" t="inlineStr">
        <is>
          <t>19:01</t>
        </is>
      </c>
      <c r="D948" t="inlineStr">
        <is>
          <t>n° 16 + n° 17</t>
        </is>
      </c>
      <c r="E948" t="inlineStr">
        <is>
          <t>FRELEE</t>
        </is>
      </c>
      <c r="F948" t="n">
        <v>18.6</v>
      </c>
      <c r="G948" t="inlineStr">
        <is>
          <t>n° 16 : 0,50 + n° 17 : 0,50</t>
        </is>
      </c>
      <c r="H948" t="n">
        <v>1</v>
      </c>
    </row>
    <row r="949">
      <c r="A949" t="inlineStr">
        <is>
          <t>2022-2023</t>
        </is>
      </c>
      <c r="B949" t="inlineStr">
        <is>
          <t>2022-09-17</t>
        </is>
      </c>
      <c r="C949" t="inlineStr">
        <is>
          <t>19:01</t>
        </is>
      </c>
      <c r="D949" t="inlineStr">
        <is>
          <t>n° 16 + n° 17</t>
        </is>
      </c>
      <c r="E949" t="inlineStr">
        <is>
          <t>Menu 'Galette'</t>
        </is>
      </c>
      <c r="F949" t="n">
        <v>15.9</v>
      </c>
      <c r="G949" t="inlineStr">
        <is>
          <t>n° 16 : 0,50 + n° 17 : 0,50</t>
        </is>
      </c>
      <c r="H949" t="n">
        <v>1</v>
      </c>
    </row>
    <row r="950">
      <c r="A950" t="inlineStr">
        <is>
          <t>2022-2023</t>
        </is>
      </c>
      <c r="B950" t="inlineStr">
        <is>
          <t>2022-09-17</t>
        </is>
      </c>
      <c r="C950" t="inlineStr">
        <is>
          <t>19:01</t>
        </is>
      </c>
      <c r="D950" t="inlineStr">
        <is>
          <t>n° 16 + n° 17</t>
        </is>
      </c>
      <c r="E950" t="inlineStr">
        <is>
          <t>BARBEULENET</t>
        </is>
      </c>
      <c r="F950" t="n">
        <v>13.9</v>
      </c>
      <c r="G950" t="inlineStr">
        <is>
          <t>n° 16 : 0,50 + n° 17 : 0,50</t>
        </is>
      </c>
      <c r="H950" t="n">
        <v>1</v>
      </c>
    </row>
    <row r="951">
      <c r="A951" t="inlineStr">
        <is>
          <t>2022-2023</t>
        </is>
      </c>
      <c r="B951" t="inlineStr">
        <is>
          <t>2022-09-17</t>
        </is>
      </c>
      <c r="C951" t="inlineStr">
        <is>
          <t>19:01</t>
        </is>
      </c>
      <c r="D951" t="inlineStr">
        <is>
          <t>n° 16 + n° 17</t>
        </is>
      </c>
      <c r="E951" t="inlineStr">
        <is>
          <t>San Pelegrino 50cl</t>
        </is>
      </c>
      <c r="F951" t="n">
        <v>4</v>
      </c>
      <c r="G951" t="inlineStr">
        <is>
          <t>n° 16 : 0,50 + n° 17 : 0,50</t>
        </is>
      </c>
      <c r="H951" t="n">
        <v>1</v>
      </c>
    </row>
    <row r="952">
      <c r="A952" t="inlineStr">
        <is>
          <t>2022-2023</t>
        </is>
      </c>
      <c r="B952" t="inlineStr">
        <is>
          <t>2022-09-17</t>
        </is>
      </c>
      <c r="C952" t="inlineStr">
        <is>
          <t>19:01</t>
        </is>
      </c>
      <c r="D952" t="inlineStr">
        <is>
          <t>n° 16 + n° 17</t>
        </is>
      </c>
      <c r="E952" t="inlineStr">
        <is>
          <t>Expresso</t>
        </is>
      </c>
      <c r="F952" t="n">
        <v>2.2</v>
      </c>
      <c r="G952" t="inlineStr">
        <is>
          <t>n° 16 : 0,50 + n° 17 : 0,50</t>
        </is>
      </c>
      <c r="H952" t="n">
        <v>1</v>
      </c>
    </row>
    <row r="953">
      <c r="A953" t="inlineStr">
        <is>
          <t>2022-2023</t>
        </is>
      </c>
      <c r="B953" t="inlineStr">
        <is>
          <t>2022-09-17</t>
        </is>
      </c>
      <c r="C953" t="inlineStr">
        <is>
          <t>20:19</t>
        </is>
      </c>
      <c r="D953" t="inlineStr">
        <is>
          <t>n° 31 + n° 32</t>
        </is>
      </c>
      <c r="E953" t="inlineStr">
        <is>
          <t>Coca (25cl)</t>
        </is>
      </c>
      <c r="F953" t="n">
        <v>3.9</v>
      </c>
      <c r="G953" t="inlineStr">
        <is>
          <t>n° 31 : 0,50 + n° 32 : 0,50</t>
        </is>
      </c>
      <c r="H953" t="n">
        <v>1</v>
      </c>
    </row>
    <row r="954">
      <c r="A954" t="inlineStr">
        <is>
          <t>2022-2023</t>
        </is>
      </c>
      <c r="B954" t="inlineStr">
        <is>
          <t>2022-09-17</t>
        </is>
      </c>
      <c r="C954" t="inlineStr">
        <is>
          <t>20:19</t>
        </is>
      </c>
      <c r="D954" t="inlineStr">
        <is>
          <t>n° 31 + n° 32</t>
        </is>
      </c>
      <c r="E954" t="inlineStr">
        <is>
          <t>Sirop à l'eau</t>
        </is>
      </c>
      <c r="F954" t="n">
        <v>2.2</v>
      </c>
      <c r="G954" t="inlineStr">
        <is>
          <t>n° 31 : 0,50 + n° 32 : 0,50</t>
        </is>
      </c>
      <c r="H954" t="n">
        <v>1</v>
      </c>
    </row>
    <row r="955">
      <c r="A955" t="inlineStr">
        <is>
          <t>2022-2023</t>
        </is>
      </c>
      <c r="B955" t="inlineStr">
        <is>
          <t>2022-09-18</t>
        </is>
      </c>
      <c r="C955" t="inlineStr">
        <is>
          <t>12:44</t>
        </is>
      </c>
      <c r="D955" t="inlineStr">
        <is>
          <t>n° 6 + n° 7</t>
        </is>
      </c>
      <c r="E955" t="inlineStr">
        <is>
          <t>CAMEMBERT ROTI</t>
        </is>
      </c>
      <c r="F955" t="n">
        <v>17.6</v>
      </c>
      <c r="G955" t="inlineStr">
        <is>
          <t>n° 6 : 0,50 + n° 7 : 0,50</t>
        </is>
      </c>
      <c r="H955" t="n">
        <v>1</v>
      </c>
    </row>
    <row r="956">
      <c r="A956" t="inlineStr">
        <is>
          <t>2022-2023</t>
        </is>
      </c>
      <c r="B956" t="inlineStr">
        <is>
          <t>2022-09-18</t>
        </is>
      </c>
      <c r="C956" t="inlineStr">
        <is>
          <t>12:44</t>
        </is>
      </c>
      <c r="D956" t="inlineStr">
        <is>
          <t>n° 6 + n° 7</t>
        </is>
      </c>
      <c r="E956" t="inlineStr">
        <is>
          <t>Croûtes Morilles</t>
        </is>
      </c>
      <c r="F956" t="n">
        <v>16.9</v>
      </c>
      <c r="G956" t="inlineStr">
        <is>
          <t>n° 6 : 0,50 + n° 7 : 0,50</t>
        </is>
      </c>
      <c r="H956" t="n">
        <v>1</v>
      </c>
    </row>
    <row r="957">
      <c r="A957" t="inlineStr">
        <is>
          <t>2022-2023</t>
        </is>
      </c>
      <c r="B957" t="inlineStr">
        <is>
          <t>2022-09-18</t>
        </is>
      </c>
      <c r="C957" t="inlineStr">
        <is>
          <t>12:44</t>
        </is>
      </c>
      <c r="D957" t="inlineStr">
        <is>
          <t>n° 6 + n° 7</t>
        </is>
      </c>
      <c r="E957" t="inlineStr">
        <is>
          <t>Pichet 75cl vin</t>
        </is>
      </c>
      <c r="F957" t="n">
        <v>13.4</v>
      </c>
      <c r="G957" t="inlineStr">
        <is>
          <t>n° 6 : 0,50 + n° 7 : 0,50</t>
        </is>
      </c>
      <c r="H957" t="n">
        <v>1</v>
      </c>
    </row>
    <row r="958">
      <c r="A958" t="inlineStr">
        <is>
          <t>2022-2023</t>
        </is>
      </c>
      <c r="B958" t="inlineStr">
        <is>
          <t>2022-09-18</t>
        </is>
      </c>
      <c r="C958" t="inlineStr">
        <is>
          <t>12:44</t>
        </is>
      </c>
      <c r="D958" t="inlineStr">
        <is>
          <t>n° 6 + n° 7</t>
        </is>
      </c>
      <c r="E958" t="inlineStr">
        <is>
          <t>Salade Verte aux Noi</t>
        </is>
      </c>
      <c r="F958" t="n">
        <v>5.9</v>
      </c>
      <c r="G958" t="inlineStr">
        <is>
          <t>n° 6 : 0,50 + n° 7 : 0,50</t>
        </is>
      </c>
      <c r="H958" t="n">
        <v>1</v>
      </c>
    </row>
    <row r="959">
      <c r="A959" t="inlineStr">
        <is>
          <t>2022-2023</t>
        </is>
      </c>
      <c r="B959" t="inlineStr">
        <is>
          <t>2022-09-22</t>
        </is>
      </c>
      <c r="C959" t="inlineStr">
        <is>
          <t>12:59</t>
        </is>
      </c>
      <c r="D959" t="inlineStr">
        <is>
          <t>n° 16 + n° 17</t>
        </is>
      </c>
      <c r="E959" t="inlineStr">
        <is>
          <t>Picon bière</t>
        </is>
      </c>
      <c r="F959" t="n">
        <v>4.5</v>
      </c>
      <c r="G959" t="inlineStr">
        <is>
          <t>n° 16 : 0,50 + n° 17 : 0,50</t>
        </is>
      </c>
      <c r="H959" t="n">
        <v>1</v>
      </c>
    </row>
    <row r="960">
      <c r="A960" t="inlineStr">
        <is>
          <t>2022-2023</t>
        </is>
      </c>
      <c r="B960" t="inlineStr">
        <is>
          <t>2022-09-22</t>
        </is>
      </c>
      <c r="C960" t="inlineStr">
        <is>
          <t>12:59</t>
        </is>
      </c>
      <c r="D960" t="inlineStr">
        <is>
          <t>n° 16 + n° 17</t>
        </is>
      </c>
      <c r="E960" t="inlineStr">
        <is>
          <t>Kir Princier</t>
        </is>
      </c>
      <c r="F960" t="n">
        <v>4.2</v>
      </c>
      <c r="G960" t="inlineStr">
        <is>
          <t>n° 16 : 0,50 + n° 17 : 0,50</t>
        </is>
      </c>
      <c r="H960" t="n">
        <v>1</v>
      </c>
    </row>
    <row r="961">
      <c r="A961" t="inlineStr">
        <is>
          <t>2022-2023</t>
        </is>
      </c>
      <c r="B961" t="inlineStr">
        <is>
          <t>2022-09-22</t>
        </is>
      </c>
      <c r="C961" t="inlineStr">
        <is>
          <t>12:59</t>
        </is>
      </c>
      <c r="D961" t="inlineStr">
        <is>
          <t>n° 16 + n° 17</t>
        </is>
      </c>
      <c r="E961" t="inlineStr">
        <is>
          <t>Expresso Crème</t>
        </is>
      </c>
      <c r="F961" t="n">
        <v>2.4</v>
      </c>
      <c r="G961" t="inlineStr">
        <is>
          <t>n° 16 : 0,50 + n° 17 : 0,50</t>
        </is>
      </c>
      <c r="H961" t="n">
        <v>1</v>
      </c>
    </row>
    <row r="962">
      <c r="A962" t="inlineStr">
        <is>
          <t>2022-2023</t>
        </is>
      </c>
      <c r="B962" t="inlineStr">
        <is>
          <t>2022-09-22</t>
        </is>
      </c>
      <c r="C962" t="inlineStr">
        <is>
          <t>12:59</t>
        </is>
      </c>
      <c r="D962" t="inlineStr">
        <is>
          <t>n° 16 + n° 17</t>
        </is>
      </c>
      <c r="E962" t="inlineStr">
        <is>
          <t>Expresso</t>
        </is>
      </c>
      <c r="F962" t="n">
        <v>2.2</v>
      </c>
      <c r="G962" t="inlineStr">
        <is>
          <t>n° 16 : 0,50 + n° 17 : 0,50</t>
        </is>
      </c>
      <c r="H962" t="n">
        <v>1</v>
      </c>
    </row>
    <row r="963">
      <c r="A963" t="inlineStr">
        <is>
          <t>2022-2023</t>
        </is>
      </c>
      <c r="B963" t="inlineStr">
        <is>
          <t>2022-09-23</t>
        </is>
      </c>
      <c r="C963" t="inlineStr">
        <is>
          <t>11:50</t>
        </is>
      </c>
      <c r="D963" t="inlineStr">
        <is>
          <t>n° 4 + n° 5</t>
        </is>
      </c>
      <c r="E963" t="inlineStr">
        <is>
          <t>Expresso</t>
        </is>
      </c>
      <c r="F963" t="n">
        <v>2.2</v>
      </c>
      <c r="G963" t="inlineStr">
        <is>
          <t>n° 4 : 0,50 + n° 5 : 0,50</t>
        </is>
      </c>
      <c r="H963" t="n">
        <v>1</v>
      </c>
    </row>
    <row r="964">
      <c r="A964" t="inlineStr">
        <is>
          <t>2022-2023</t>
        </is>
      </c>
      <c r="B964" t="inlineStr">
        <is>
          <t>2022-09-23</t>
        </is>
      </c>
      <c r="C964" t="inlineStr">
        <is>
          <t>12:27</t>
        </is>
      </c>
      <c r="D964" t="inlineStr">
        <is>
          <t>n° 13 + n° 14</t>
        </is>
      </c>
      <c r="E964" t="inlineStr">
        <is>
          <t>Poulet aux Morilles</t>
        </is>
      </c>
      <c r="F964" t="n">
        <v>28.6</v>
      </c>
      <c r="G964" t="inlineStr">
        <is>
          <t>n° 13 : 0,50 + n° 14 : 0,50</t>
        </is>
      </c>
      <c r="H964" t="n">
        <v>1</v>
      </c>
    </row>
    <row r="965">
      <c r="A965" t="inlineStr">
        <is>
          <t>2022-2023</t>
        </is>
      </c>
      <c r="B965" t="inlineStr">
        <is>
          <t>2022-09-23</t>
        </is>
      </c>
      <c r="C965" t="inlineStr">
        <is>
          <t>12:27</t>
        </is>
      </c>
      <c r="D965" t="inlineStr">
        <is>
          <t>n° 13 + n° 14</t>
        </is>
      </c>
      <c r="E965" t="inlineStr">
        <is>
          <t>BURGER COMTOIS</t>
        </is>
      </c>
      <c r="F965" t="n">
        <v>19</v>
      </c>
      <c r="G965" t="inlineStr">
        <is>
          <t>n° 13 : 0,50 + n° 14 : 0,50</t>
        </is>
      </c>
      <c r="H965" t="n">
        <v>1</v>
      </c>
    </row>
    <row r="966">
      <c r="A966" t="inlineStr">
        <is>
          <t>2022-2023</t>
        </is>
      </c>
      <c r="B966" t="inlineStr">
        <is>
          <t>2022-09-23</t>
        </is>
      </c>
      <c r="C966" t="inlineStr">
        <is>
          <t>12:27</t>
        </is>
      </c>
      <c r="D966" t="inlineStr">
        <is>
          <t>n° 13 + n° 14</t>
        </is>
      </c>
      <c r="E966" t="inlineStr">
        <is>
          <t>POULET JURASSIENNE</t>
        </is>
      </c>
      <c r="F966" t="n">
        <v>17.6</v>
      </c>
      <c r="G966" t="inlineStr">
        <is>
          <t>n° 13 : 0,50 + n° 14 : 0,50</t>
        </is>
      </c>
      <c r="H966" t="n">
        <v>1</v>
      </c>
    </row>
    <row r="967">
      <c r="A967" t="inlineStr">
        <is>
          <t>2022-2023</t>
        </is>
      </c>
      <c r="B967" t="inlineStr">
        <is>
          <t>2022-09-23</t>
        </is>
      </c>
      <c r="C967" t="inlineStr">
        <is>
          <t>12:27</t>
        </is>
      </c>
      <c r="D967" t="inlineStr">
        <is>
          <t>n° 13 + n° 14</t>
        </is>
      </c>
      <c r="E967" t="inlineStr">
        <is>
          <t>PEUTE</t>
        </is>
      </c>
      <c r="F967" t="n">
        <v>16.8</v>
      </c>
      <c r="G967" t="inlineStr">
        <is>
          <t>n° 13 : 0,50 + n° 14 : 0,50</t>
        </is>
      </c>
      <c r="H967" t="n">
        <v>1</v>
      </c>
    </row>
    <row r="968">
      <c r="A968" t="inlineStr">
        <is>
          <t>2022-2023</t>
        </is>
      </c>
      <c r="B968" t="inlineStr">
        <is>
          <t>2022-09-23</t>
        </is>
      </c>
      <c r="C968" t="inlineStr">
        <is>
          <t>12:27</t>
        </is>
      </c>
      <c r="D968" t="inlineStr">
        <is>
          <t>n° 13 + n° 14</t>
        </is>
      </c>
      <c r="E968" t="inlineStr">
        <is>
          <t>Pichet 75cl vin</t>
        </is>
      </c>
      <c r="F968" t="n">
        <v>13.4</v>
      </c>
      <c r="G968" t="inlineStr">
        <is>
          <t>n° 13 : 0,50 + n° 14 : 0,50</t>
        </is>
      </c>
      <c r="H968" t="n">
        <v>1</v>
      </c>
    </row>
    <row r="969">
      <c r="A969" t="inlineStr">
        <is>
          <t>2022-2023</t>
        </is>
      </c>
      <c r="B969" t="inlineStr">
        <is>
          <t>2022-09-23</t>
        </is>
      </c>
      <c r="C969" t="inlineStr">
        <is>
          <t>12:27</t>
        </is>
      </c>
      <c r="D969" t="inlineStr">
        <is>
          <t>n° 13 + n° 14</t>
        </is>
      </c>
      <c r="E969" t="inlineStr">
        <is>
          <t>Jack Daniel's</t>
        </is>
      </c>
      <c r="F969" t="n">
        <v>7.5</v>
      </c>
      <c r="G969" t="inlineStr">
        <is>
          <t>n° 13 : 0,50 + n° 14 : 0,50</t>
        </is>
      </c>
      <c r="H969" t="n">
        <v>1</v>
      </c>
    </row>
    <row r="970">
      <c r="A970" t="inlineStr">
        <is>
          <t>2022-2023</t>
        </is>
      </c>
      <c r="B970" t="inlineStr">
        <is>
          <t>2022-09-23</t>
        </is>
      </c>
      <c r="C970" t="inlineStr">
        <is>
          <t>12:27</t>
        </is>
      </c>
      <c r="D970" t="inlineStr">
        <is>
          <t>n° 13 + n° 14</t>
        </is>
      </c>
      <c r="E970" t="inlineStr">
        <is>
          <t>La Vouivre</t>
        </is>
      </c>
      <c r="F970" t="n">
        <v>5.2</v>
      </c>
      <c r="G970" t="inlineStr">
        <is>
          <t>n° 13 : 0,50 + n° 14 : 0,50</t>
        </is>
      </c>
      <c r="H970" t="n">
        <v>1</v>
      </c>
    </row>
    <row r="971">
      <c r="A971" t="inlineStr">
        <is>
          <t>2022-2023</t>
        </is>
      </c>
      <c r="B971" t="inlineStr">
        <is>
          <t>2022-09-23</t>
        </is>
      </c>
      <c r="C971" t="inlineStr">
        <is>
          <t>12:27</t>
        </is>
      </c>
      <c r="D971" t="inlineStr">
        <is>
          <t>n° 13 + n° 14</t>
        </is>
      </c>
      <c r="E971" t="inlineStr">
        <is>
          <t>Père Gregoire</t>
        </is>
      </c>
      <c r="F971" t="n">
        <v>4.9</v>
      </c>
      <c r="G971" t="inlineStr">
        <is>
          <t>n° 13 : 0,50 + n° 14 : 0,50</t>
        </is>
      </c>
      <c r="H971" t="n">
        <v>1</v>
      </c>
    </row>
    <row r="972">
      <c r="A972" t="inlineStr">
        <is>
          <t>2022-2023</t>
        </is>
      </c>
      <c r="B972" t="inlineStr">
        <is>
          <t>2022-09-23</t>
        </is>
      </c>
      <c r="C972" t="inlineStr">
        <is>
          <t>12:27</t>
        </is>
      </c>
      <c r="D972" t="inlineStr">
        <is>
          <t>n° 13 + n° 14</t>
        </is>
      </c>
      <c r="E972" t="inlineStr">
        <is>
          <t>Jus de Fruit</t>
        </is>
      </c>
      <c r="F972" t="n">
        <v>3.9</v>
      </c>
      <c r="G972" t="inlineStr">
        <is>
          <t>n° 13 : 0,50 + n° 14 : 0,50</t>
        </is>
      </c>
      <c r="H972" t="n">
        <v>1</v>
      </c>
    </row>
    <row r="973">
      <c r="A973" t="inlineStr">
        <is>
          <t>2022-2023</t>
        </is>
      </c>
      <c r="B973" t="inlineStr">
        <is>
          <t>2022-09-23</t>
        </is>
      </c>
      <c r="C973" t="inlineStr">
        <is>
          <t>12:27</t>
        </is>
      </c>
      <c r="D973" t="inlineStr">
        <is>
          <t>n° 13 + n° 14</t>
        </is>
      </c>
      <c r="E973" t="inlineStr">
        <is>
          <t>Expresso</t>
        </is>
      </c>
      <c r="F973" t="n">
        <v>2.2</v>
      </c>
      <c r="G973" t="inlineStr">
        <is>
          <t>n° 13 : 2,50 + n° 14 : 2,50</t>
        </is>
      </c>
      <c r="H973" t="n">
        <v>5</v>
      </c>
    </row>
    <row r="974">
      <c r="A974" t="inlineStr">
        <is>
          <t>2022-2023</t>
        </is>
      </c>
      <c r="B974" t="inlineStr">
        <is>
          <t>2022-09-23</t>
        </is>
      </c>
      <c r="C974" t="inlineStr">
        <is>
          <t>19:35</t>
        </is>
      </c>
      <c r="D974" t="inlineStr">
        <is>
          <t>n° 26 + n° 27</t>
        </is>
      </c>
      <c r="E974" t="inlineStr">
        <is>
          <t>POULET JURASSIENNE</t>
        </is>
      </c>
      <c r="F974" t="n">
        <v>17.6</v>
      </c>
      <c r="G974" t="inlineStr">
        <is>
          <t>n° 26 : 0,50 + n° 27 : 0,50</t>
        </is>
      </c>
      <c r="H974" t="n">
        <v>1</v>
      </c>
    </row>
    <row r="975">
      <c r="A975" t="inlineStr">
        <is>
          <t>2022-2023</t>
        </is>
      </c>
      <c r="B975" t="inlineStr">
        <is>
          <t>2022-09-23</t>
        </is>
      </c>
      <c r="C975" t="inlineStr">
        <is>
          <t>19:35</t>
        </is>
      </c>
      <c r="D975" t="inlineStr">
        <is>
          <t>n° 26 + n° 27</t>
        </is>
      </c>
      <c r="E975" t="inlineStr">
        <is>
          <t>CAMEMBERT ROTI</t>
        </is>
      </c>
      <c r="F975" t="n">
        <v>17.6</v>
      </c>
      <c r="G975" t="inlineStr">
        <is>
          <t>n° 26 : 0,50 + n° 27 : 0,50</t>
        </is>
      </c>
      <c r="H975" t="n">
        <v>1</v>
      </c>
    </row>
    <row r="976">
      <c r="A976" t="inlineStr">
        <is>
          <t>2022-2023</t>
        </is>
      </c>
      <c r="B976" t="inlineStr">
        <is>
          <t>2022-09-23</t>
        </is>
      </c>
      <c r="C976" t="inlineStr">
        <is>
          <t>19:35</t>
        </is>
      </c>
      <c r="D976" t="inlineStr">
        <is>
          <t>n° 26 + n° 27</t>
        </is>
      </c>
      <c r="E976" t="inlineStr">
        <is>
          <t>Pavlova</t>
        </is>
      </c>
      <c r="F976" t="n">
        <v>8.699999999999999</v>
      </c>
      <c r="G976" t="inlineStr">
        <is>
          <t>n° 26 : 0,50 + n° 27 : 0,50</t>
        </is>
      </c>
      <c r="H976" t="n">
        <v>1</v>
      </c>
    </row>
    <row r="977">
      <c r="A977" t="inlineStr">
        <is>
          <t>2022-2023</t>
        </is>
      </c>
      <c r="B977" t="inlineStr">
        <is>
          <t>2022-09-23</t>
        </is>
      </c>
      <c r="C977" t="inlineStr">
        <is>
          <t>19:35</t>
        </is>
      </c>
      <c r="D977" t="inlineStr">
        <is>
          <t>n° 26 + n° 27</t>
        </is>
      </c>
      <c r="E977" t="inlineStr">
        <is>
          <t>TANTE ARIE</t>
        </is>
      </c>
      <c r="F977" t="n">
        <v>8.5</v>
      </c>
      <c r="G977" t="inlineStr">
        <is>
          <t>n° 26 : 0,50 + n° 27 : 0,50</t>
        </is>
      </c>
      <c r="H977" t="n">
        <v>1</v>
      </c>
    </row>
    <row r="978">
      <c r="A978" t="inlineStr">
        <is>
          <t>2022-2023</t>
        </is>
      </c>
      <c r="B978" t="inlineStr">
        <is>
          <t>2022-09-24</t>
        </is>
      </c>
      <c r="C978" t="inlineStr">
        <is>
          <t>19:08</t>
        </is>
      </c>
      <c r="D978" t="inlineStr">
        <is>
          <t>n° 22 + n° 23 + n° 25 + n° 26</t>
        </is>
      </c>
      <c r="E978" t="inlineStr">
        <is>
          <t>Arbois Béthanie</t>
        </is>
      </c>
      <c r="F978" t="n">
        <v>29.9</v>
      </c>
      <c r="G978" t="inlineStr">
        <is>
          <t>n° 25 : 0,50 + n° 26 : 0,50</t>
        </is>
      </c>
      <c r="H978" t="n">
        <v>1</v>
      </c>
    </row>
    <row r="979">
      <c r="A979" t="inlineStr">
        <is>
          <t>2022-2023</t>
        </is>
      </c>
      <c r="B979" t="inlineStr">
        <is>
          <t>2022-09-24</t>
        </is>
      </c>
      <c r="C979" t="inlineStr">
        <is>
          <t>19:08</t>
        </is>
      </c>
      <c r="D979" t="inlineStr">
        <is>
          <t>n° 22 + n° 23 + n° 25 + n° 26</t>
        </is>
      </c>
      <c r="E979" t="inlineStr">
        <is>
          <t>PAYSANNE</t>
        </is>
      </c>
      <c r="F979" t="n">
        <v>19.9</v>
      </c>
      <c r="G979" t="inlineStr">
        <is>
          <t>n° 25 : 0,50 + n° 26 : 0,50</t>
        </is>
      </c>
      <c r="H979" t="n">
        <v>1</v>
      </c>
    </row>
    <row r="980">
      <c r="A980" t="inlineStr">
        <is>
          <t>2022-2023</t>
        </is>
      </c>
      <c r="B980" t="inlineStr">
        <is>
          <t>2022-09-24</t>
        </is>
      </c>
      <c r="C980" t="inlineStr">
        <is>
          <t>19:08</t>
        </is>
      </c>
      <c r="D980" t="inlineStr">
        <is>
          <t>n° 22 + n° 23 + n° 25 + n° 26</t>
        </is>
      </c>
      <c r="E980" t="inlineStr">
        <is>
          <t>BURGER COMTOIS</t>
        </is>
      </c>
      <c r="F980" t="n">
        <v>19</v>
      </c>
      <c r="G980" t="inlineStr">
        <is>
          <t>n° 22 : 0,50 + n° 23 : 0,50</t>
        </is>
      </c>
      <c r="H980" t="n">
        <v>1</v>
      </c>
    </row>
    <row r="981">
      <c r="A981" t="inlineStr">
        <is>
          <t>2022-2023</t>
        </is>
      </c>
      <c r="B981" t="inlineStr">
        <is>
          <t>2022-09-24</t>
        </is>
      </c>
      <c r="C981" t="inlineStr">
        <is>
          <t>19:08</t>
        </is>
      </c>
      <c r="D981" t="inlineStr">
        <is>
          <t>n° 22 + n° 23 + n° 25 + n° 26</t>
        </is>
      </c>
      <c r="E981" t="inlineStr">
        <is>
          <t>Crémeux du Jura</t>
        </is>
      </c>
      <c r="F981" t="n">
        <v>19</v>
      </c>
      <c r="G981" t="inlineStr">
        <is>
          <t>n° 22 : 0,50 + n° 23 : 0,50</t>
        </is>
      </c>
      <c r="H981" t="n">
        <v>1</v>
      </c>
    </row>
    <row r="982">
      <c r="A982" t="inlineStr">
        <is>
          <t>2022-2023</t>
        </is>
      </c>
      <c r="B982" t="inlineStr">
        <is>
          <t>2022-09-24</t>
        </is>
      </c>
      <c r="C982" t="inlineStr">
        <is>
          <t>19:08</t>
        </is>
      </c>
      <c r="D982" t="inlineStr">
        <is>
          <t>n° 22 + n° 23 + n° 25 + n° 26</t>
        </is>
      </c>
      <c r="E982" t="inlineStr">
        <is>
          <t>ASSIETTE PERE GREGOI</t>
        </is>
      </c>
      <c r="F982" t="n">
        <v>17.6</v>
      </c>
      <c r="G982" t="inlineStr">
        <is>
          <t>n° 22 : 0,50 + n° 23 : 0,50</t>
        </is>
      </c>
      <c r="H982" t="n">
        <v>1</v>
      </c>
    </row>
    <row r="983">
      <c r="A983" t="inlineStr">
        <is>
          <t>2022-2023</t>
        </is>
      </c>
      <c r="B983" t="inlineStr">
        <is>
          <t>2022-09-24</t>
        </is>
      </c>
      <c r="C983" t="inlineStr">
        <is>
          <t>19:08</t>
        </is>
      </c>
      <c r="D983" t="inlineStr">
        <is>
          <t>n° 22 + n° 23 + n° 25 + n° 26</t>
        </is>
      </c>
      <c r="E983" t="inlineStr">
        <is>
          <t>TANTELIN</t>
        </is>
      </c>
      <c r="F983" t="n">
        <v>16.4</v>
      </c>
      <c r="G983" t="inlineStr">
        <is>
          <t>n° 25 : 0,50 + n° 26 : 0,50</t>
        </is>
      </c>
      <c r="H983" t="n">
        <v>1</v>
      </c>
    </row>
    <row r="984">
      <c r="A984" t="inlineStr">
        <is>
          <t>2022-2023</t>
        </is>
      </c>
      <c r="B984" t="inlineStr">
        <is>
          <t>2022-09-24</t>
        </is>
      </c>
      <c r="C984" t="inlineStr">
        <is>
          <t>19:08</t>
        </is>
      </c>
      <c r="D984" t="inlineStr">
        <is>
          <t>n° 22 + n° 23 + n° 25 + n° 26</t>
        </is>
      </c>
      <c r="E984" t="inlineStr">
        <is>
          <t>Assortiment charcute</t>
        </is>
      </c>
      <c r="F984" t="n">
        <v>8.800000000000001</v>
      </c>
      <c r="G984" t="inlineStr">
        <is>
          <t>n° 25 : 0,50 + n° 26 : 0,50</t>
        </is>
      </c>
      <c r="H984" t="n">
        <v>1</v>
      </c>
    </row>
    <row r="985">
      <c r="A985" t="inlineStr">
        <is>
          <t>2022-2023</t>
        </is>
      </c>
      <c r="B985" t="inlineStr">
        <is>
          <t>2022-09-24</t>
        </is>
      </c>
      <c r="C985" t="inlineStr">
        <is>
          <t>19:08</t>
        </is>
      </c>
      <c r="D985" t="inlineStr">
        <is>
          <t>n° 22 + n° 23 + n° 25 + n° 26</t>
        </is>
      </c>
      <c r="E985" t="inlineStr">
        <is>
          <t>DAMES VERTES</t>
        </is>
      </c>
      <c r="F985" t="n">
        <v>8.300000000000001</v>
      </c>
      <c r="G985" t="inlineStr">
        <is>
          <t>n° 25 : 0,50 + n° 26 : 0,50</t>
        </is>
      </c>
      <c r="H985" t="n">
        <v>1</v>
      </c>
    </row>
    <row r="986">
      <c r="A986" t="inlineStr">
        <is>
          <t>2022-2023</t>
        </is>
      </c>
      <c r="B986" t="inlineStr">
        <is>
          <t>2022-09-24</t>
        </is>
      </c>
      <c r="C986" t="inlineStr">
        <is>
          <t>19:08</t>
        </is>
      </c>
      <c r="D986" t="inlineStr">
        <is>
          <t>n° 22 + n° 23 + n° 25 + n° 26</t>
        </is>
      </c>
      <c r="E986" t="inlineStr">
        <is>
          <t>Martini Blanc</t>
        </is>
      </c>
      <c r="F986" t="n">
        <v>4.2</v>
      </c>
      <c r="G986" t="inlineStr">
        <is>
          <t>n° 25 : 0,50 + n° 26 : 0,50</t>
        </is>
      </c>
      <c r="H986" t="n">
        <v>1</v>
      </c>
    </row>
    <row r="987">
      <c r="A987" t="inlineStr">
        <is>
          <t>2022-2023</t>
        </is>
      </c>
      <c r="B987" t="inlineStr">
        <is>
          <t>2022-09-24</t>
        </is>
      </c>
      <c r="C987" t="inlineStr">
        <is>
          <t>19:08</t>
        </is>
      </c>
      <c r="D987" t="inlineStr">
        <is>
          <t>n° 22 + n° 23 + n° 25 + n° 26</t>
        </is>
      </c>
      <c r="E987" t="inlineStr">
        <is>
          <t>Coca (25cl)</t>
        </is>
      </c>
      <c r="F987" t="n">
        <v>3.9</v>
      </c>
      <c r="G987" t="inlineStr">
        <is>
          <t>n° 22 : 0,50 + n° 23 : 0,50</t>
        </is>
      </c>
      <c r="H987" t="n">
        <v>1</v>
      </c>
    </row>
    <row r="988">
      <c r="A988" t="inlineStr">
        <is>
          <t>2022-2023</t>
        </is>
      </c>
      <c r="B988" t="inlineStr">
        <is>
          <t>2022-09-24</t>
        </is>
      </c>
      <c r="C988" t="inlineStr">
        <is>
          <t>19:08</t>
        </is>
      </c>
      <c r="D988" t="inlineStr">
        <is>
          <t>n° 22 + n° 23 + n° 25 + n° 26</t>
        </is>
      </c>
      <c r="E988" t="inlineStr">
        <is>
          <t>Jus de Fruit</t>
        </is>
      </c>
      <c r="F988" t="n">
        <v>3.9</v>
      </c>
      <c r="G988" t="inlineStr">
        <is>
          <t>n° 25 : 0,50 + n° 26 : 0,50</t>
        </is>
      </c>
      <c r="H988" t="n">
        <v>1</v>
      </c>
    </row>
    <row r="989">
      <c r="A989" t="inlineStr">
        <is>
          <t>2022-2023</t>
        </is>
      </c>
      <c r="B989" t="inlineStr">
        <is>
          <t>2022-09-24</t>
        </is>
      </c>
      <c r="C989" t="inlineStr">
        <is>
          <t>19:08</t>
        </is>
      </c>
      <c r="D989" t="inlineStr">
        <is>
          <t>n° 22 + n° 23 + n° 25 + n° 26</t>
        </is>
      </c>
      <c r="E989" t="inlineStr">
        <is>
          <t>GLACE 2 BOULES</t>
        </is>
      </c>
      <c r="F989" t="n">
        <v>3.9</v>
      </c>
      <c r="G989" t="inlineStr">
        <is>
          <t>n° 25 : 0,50 + n° 26 : 0,50</t>
        </is>
      </c>
      <c r="H989" t="n">
        <v>1</v>
      </c>
    </row>
    <row r="990">
      <c r="A990" t="inlineStr">
        <is>
          <t>2022-2023</t>
        </is>
      </c>
      <c r="B990" t="inlineStr">
        <is>
          <t>2022-09-24</t>
        </is>
      </c>
      <c r="C990" t="inlineStr">
        <is>
          <t>19:08</t>
        </is>
      </c>
      <c r="D990" t="inlineStr">
        <is>
          <t>n° 22 + n° 23 + n° 25 + n° 26</t>
        </is>
      </c>
      <c r="E990" t="inlineStr">
        <is>
          <t>Crêpe sucrée</t>
        </is>
      </c>
      <c r="F990" t="n">
        <v>2.9</v>
      </c>
      <c r="G990" t="inlineStr">
        <is>
          <t>n° 22 : 0,50 + n° 23 : 0,50</t>
        </is>
      </c>
      <c r="H990" t="n">
        <v>1</v>
      </c>
    </row>
    <row r="991">
      <c r="A991" t="inlineStr">
        <is>
          <t>2022-2023</t>
        </is>
      </c>
      <c r="B991" t="inlineStr">
        <is>
          <t>2022-09-25</t>
        </is>
      </c>
      <c r="C991" t="inlineStr">
        <is>
          <t>19:49</t>
        </is>
      </c>
      <c r="D991" t="inlineStr">
        <is>
          <t>n° 20 + n° 21</t>
        </is>
      </c>
      <c r="E991" t="inlineStr">
        <is>
          <t>POULET JURASSIENNE</t>
        </is>
      </c>
      <c r="F991" t="n">
        <v>17.6</v>
      </c>
      <c r="G991" t="inlineStr">
        <is>
          <t>n° 20 : 0,50 + n° 21 : 0,50</t>
        </is>
      </c>
      <c r="H991" t="n">
        <v>1</v>
      </c>
    </row>
    <row r="992">
      <c r="A992" t="inlineStr">
        <is>
          <t>2022-2023</t>
        </is>
      </c>
      <c r="B992" t="inlineStr">
        <is>
          <t>2022-09-25</t>
        </is>
      </c>
      <c r="C992" t="inlineStr">
        <is>
          <t>19:49</t>
        </is>
      </c>
      <c r="D992" t="inlineStr">
        <is>
          <t>n° 20 + n° 21</t>
        </is>
      </c>
      <c r="E992" t="inlineStr">
        <is>
          <t>ASSIETTE FRANC-COMTO</t>
        </is>
      </c>
      <c r="F992" t="n">
        <v>17.6</v>
      </c>
      <c r="G992" t="inlineStr">
        <is>
          <t>n° 20 : 0,50 + n° 21 : 0,50</t>
        </is>
      </c>
      <c r="H992" t="n">
        <v>1</v>
      </c>
    </row>
    <row r="993">
      <c r="A993" t="inlineStr">
        <is>
          <t>2022-2023</t>
        </is>
      </c>
      <c r="B993" t="inlineStr">
        <is>
          <t>2022-09-25</t>
        </is>
      </c>
      <c r="C993" t="inlineStr">
        <is>
          <t>19:49</t>
        </is>
      </c>
      <c r="D993" t="inlineStr">
        <is>
          <t>n° 20 + n° 21</t>
        </is>
      </c>
      <c r="E993" t="inlineStr">
        <is>
          <t>Pavlova</t>
        </is>
      </c>
      <c r="F993" t="n">
        <v>8.699999999999999</v>
      </c>
      <c r="G993" t="inlineStr">
        <is>
          <t>n° 20 : 0,50 + n° 21 : 0,50</t>
        </is>
      </c>
      <c r="H993" t="n">
        <v>1</v>
      </c>
    </row>
    <row r="994">
      <c r="A994" t="inlineStr">
        <is>
          <t>2022-2023</t>
        </is>
      </c>
      <c r="B994" t="inlineStr">
        <is>
          <t>2022-09-25</t>
        </is>
      </c>
      <c r="C994" t="inlineStr">
        <is>
          <t>19:49</t>
        </is>
      </c>
      <c r="D994" t="inlineStr">
        <is>
          <t>n° 20 + n° 21</t>
        </is>
      </c>
      <c r="E994" t="inlineStr">
        <is>
          <t>CREME BRULEE</t>
        </is>
      </c>
      <c r="F994" t="n">
        <v>6.9</v>
      </c>
      <c r="G994" t="inlineStr">
        <is>
          <t>n° 20 : 0,50 + n° 21 : 0,50</t>
        </is>
      </c>
      <c r="H994" t="n">
        <v>1</v>
      </c>
    </row>
    <row r="995">
      <c r="A995" t="inlineStr">
        <is>
          <t>2022-2023</t>
        </is>
      </c>
      <c r="B995" t="inlineStr">
        <is>
          <t>2022-09-25</t>
        </is>
      </c>
      <c r="C995" t="inlineStr">
        <is>
          <t>19:49</t>
        </is>
      </c>
      <c r="D995" t="inlineStr">
        <is>
          <t>n° 20 + n° 21</t>
        </is>
      </c>
      <c r="E995" t="inlineStr">
        <is>
          <t>Infusion</t>
        </is>
      </c>
      <c r="F995" t="n">
        <v>3.4</v>
      </c>
      <c r="G995" t="inlineStr">
        <is>
          <t>n° 20 : 0,50 + n° 21 : 0,50</t>
        </is>
      </c>
      <c r="H995" t="n">
        <v>1</v>
      </c>
    </row>
    <row r="996">
      <c r="A996" t="inlineStr">
        <is>
          <t>2022-2023</t>
        </is>
      </c>
      <c r="B996" t="inlineStr">
        <is>
          <t>2022-09-25</t>
        </is>
      </c>
      <c r="C996" t="inlineStr">
        <is>
          <t>19:49</t>
        </is>
      </c>
      <c r="D996" t="inlineStr">
        <is>
          <t>n° 20 + n° 21</t>
        </is>
      </c>
      <c r="E996" t="inlineStr">
        <is>
          <t>Expresso</t>
        </is>
      </c>
      <c r="F996" t="n">
        <v>2.2</v>
      </c>
      <c r="G996" t="inlineStr">
        <is>
          <t>n° 20 : 0,50 + n° 21 : 0,50</t>
        </is>
      </c>
      <c r="H996" t="n">
        <v>1</v>
      </c>
    </row>
    <row r="997">
      <c r="A997" t="inlineStr">
        <is>
          <t>2022-2023</t>
        </is>
      </c>
      <c r="B997" t="inlineStr">
        <is>
          <t>2022-10-01</t>
        </is>
      </c>
      <c r="C997" t="inlineStr">
        <is>
          <t>19:21</t>
        </is>
      </c>
      <c r="D997" t="inlineStr">
        <is>
          <t>n° 21 + n° 22 + n° 23 + n° 24</t>
        </is>
      </c>
      <c r="E997" t="inlineStr">
        <is>
          <t>H.C.BEAUNE BOUTEILLE</t>
        </is>
      </c>
      <c r="F997" t="n">
        <v>39.5</v>
      </c>
      <c r="G997" t="inlineStr">
        <is>
          <t>n° 23 : 0,50 + n° 24 : 0,50</t>
        </is>
      </c>
      <c r="H997" t="n">
        <v>1</v>
      </c>
    </row>
    <row r="998">
      <c r="A998" t="inlineStr">
        <is>
          <t>2022-2023</t>
        </is>
      </c>
      <c r="B998" t="inlineStr">
        <is>
          <t>2022-10-01</t>
        </is>
      </c>
      <c r="C998" t="inlineStr">
        <is>
          <t>19:21</t>
        </is>
      </c>
      <c r="D998" t="inlineStr">
        <is>
          <t>n° 21 + n° 22 + n° 23 + n° 24</t>
        </is>
      </c>
      <c r="E998" t="inlineStr">
        <is>
          <t>POULET JURASSIENNE</t>
        </is>
      </c>
      <c r="F998" t="n">
        <v>17.6</v>
      </c>
      <c r="G998" t="inlineStr">
        <is>
          <t>n° 23 : 0,50 + n° 24 : 0,50</t>
        </is>
      </c>
      <c r="H998" t="n">
        <v>1</v>
      </c>
    </row>
    <row r="999">
      <c r="A999" t="inlineStr">
        <is>
          <t>2022-2023</t>
        </is>
      </c>
      <c r="B999" t="inlineStr">
        <is>
          <t>2022-10-01</t>
        </is>
      </c>
      <c r="C999" t="inlineStr">
        <is>
          <t>19:21</t>
        </is>
      </c>
      <c r="D999" t="inlineStr">
        <is>
          <t>n° 21 + n° 22 + n° 23 + n° 24</t>
        </is>
      </c>
      <c r="E999" t="inlineStr">
        <is>
          <t>VOGEOTTE</t>
        </is>
      </c>
      <c r="F999" t="n">
        <v>10.9</v>
      </c>
      <c r="G999" t="inlineStr">
        <is>
          <t>n° 23 : 0,50 + n° 24 : 0,50</t>
        </is>
      </c>
      <c r="H999" t="n">
        <v>1</v>
      </c>
    </row>
    <row r="1000">
      <c r="A1000" t="inlineStr">
        <is>
          <t>2022-2023</t>
        </is>
      </c>
      <c r="B1000" t="inlineStr">
        <is>
          <t>2022-10-01</t>
        </is>
      </c>
      <c r="C1000" t="inlineStr">
        <is>
          <t>19:21</t>
        </is>
      </c>
      <c r="D1000" t="inlineStr">
        <is>
          <t>n° 21 + n° 22 + n° 23 + n° 24</t>
        </is>
      </c>
      <c r="E1000" t="inlineStr">
        <is>
          <t>Pichet 50cl vin</t>
        </is>
      </c>
      <c r="F1000" t="n">
        <v>9.800000000000001</v>
      </c>
      <c r="G1000" t="inlineStr">
        <is>
          <t>n° 21 : 0,50 + n° 22 : 0,50</t>
        </is>
      </c>
      <c r="H1000" t="n">
        <v>1</v>
      </c>
    </row>
    <row r="1001">
      <c r="A1001" t="inlineStr">
        <is>
          <t>2022-2023</t>
        </is>
      </c>
      <c r="B1001" t="inlineStr">
        <is>
          <t>2022-10-01</t>
        </is>
      </c>
      <c r="C1001" t="inlineStr">
        <is>
          <t>19:21</t>
        </is>
      </c>
      <c r="D1001" t="inlineStr">
        <is>
          <t>n° 21 + n° 22 + n° 23 + n° 24</t>
        </is>
      </c>
      <c r="E1001" t="inlineStr">
        <is>
          <t>SAUCE JURASSIENNE</t>
        </is>
      </c>
      <c r="F1001" t="n">
        <v>6.1</v>
      </c>
      <c r="G1001" t="inlineStr">
        <is>
          <t>n° 23 : 0,50 + n° 24 : 0,50</t>
        </is>
      </c>
      <c r="H1001" t="n">
        <v>1</v>
      </c>
    </row>
    <row r="1002">
      <c r="A1002" t="inlineStr">
        <is>
          <t>2022-2023</t>
        </is>
      </c>
      <c r="B1002" t="inlineStr">
        <is>
          <t>2022-10-01</t>
        </is>
      </c>
      <c r="C1002" t="inlineStr">
        <is>
          <t>19:21</t>
        </is>
      </c>
      <c r="D1002" t="inlineStr">
        <is>
          <t>n° 21 + n° 22 + n° 23 + n° 24</t>
        </is>
      </c>
      <c r="E1002" t="inlineStr">
        <is>
          <t>Crêpe Salidou</t>
        </is>
      </c>
      <c r="F1002" t="n">
        <v>5.6</v>
      </c>
      <c r="G1002" t="inlineStr">
        <is>
          <t>n° 23 : 0,50 + n° 24 : 0,50</t>
        </is>
      </c>
      <c r="H1002" t="n">
        <v>1</v>
      </c>
    </row>
    <row r="1003">
      <c r="A1003" t="inlineStr">
        <is>
          <t>2022-2023</t>
        </is>
      </c>
      <c r="B1003" t="inlineStr">
        <is>
          <t>2022-10-01</t>
        </is>
      </c>
      <c r="C1003" t="inlineStr">
        <is>
          <t>19:21</t>
        </is>
      </c>
      <c r="D1003" t="inlineStr">
        <is>
          <t>n° 21 + n° 22 + n° 23 + n° 24</t>
        </is>
      </c>
      <c r="E1003" t="inlineStr">
        <is>
          <t>Jambon Blanc</t>
        </is>
      </c>
      <c r="F1003" t="n">
        <v>3.8</v>
      </c>
      <c r="G1003" t="inlineStr">
        <is>
          <t>n° 23 : 0,50 + n° 24 : 0,50</t>
        </is>
      </c>
      <c r="H1003" t="n">
        <v>1</v>
      </c>
    </row>
    <row r="1004">
      <c r="A1004" t="inlineStr">
        <is>
          <t>2022-2023</t>
        </is>
      </c>
      <c r="B1004" t="inlineStr">
        <is>
          <t>2022-10-01</t>
        </is>
      </c>
      <c r="C1004" t="inlineStr">
        <is>
          <t>19:21</t>
        </is>
      </c>
      <c r="D1004" t="inlineStr">
        <is>
          <t>n° 21 + n° 22 + n° 23 + n° 24</t>
        </is>
      </c>
      <c r="E1004" t="inlineStr">
        <is>
          <t>Galette nature</t>
        </is>
      </c>
      <c r="F1004" t="n">
        <v>2.9</v>
      </c>
      <c r="G1004" t="inlineStr">
        <is>
          <t>n° 23 : 0,50 + n° 24 : 0,50</t>
        </is>
      </c>
      <c r="H1004" t="n">
        <v>1</v>
      </c>
    </row>
    <row r="1005">
      <c r="A1005" t="inlineStr">
        <is>
          <t>2022-2023</t>
        </is>
      </c>
      <c r="B1005" t="inlineStr">
        <is>
          <t>2022-10-01</t>
        </is>
      </c>
      <c r="C1005" t="inlineStr">
        <is>
          <t>19:21</t>
        </is>
      </c>
      <c r="D1005" t="inlineStr">
        <is>
          <t>n° 21 + n° 22 + n° 23 + n° 24</t>
        </is>
      </c>
      <c r="E1005" t="inlineStr">
        <is>
          <t>Sirop à l'eau</t>
        </is>
      </c>
      <c r="F1005" t="n">
        <v>2.2</v>
      </c>
      <c r="G1005" t="inlineStr">
        <is>
          <t>n° 23 : 0,50 + n° 24 : 0,50</t>
        </is>
      </c>
      <c r="H1005" t="n">
        <v>1</v>
      </c>
    </row>
    <row r="1006">
      <c r="A1006" t="inlineStr">
        <is>
          <t>2022-2023</t>
        </is>
      </c>
      <c r="B1006" t="inlineStr">
        <is>
          <t>2022-10-01</t>
        </is>
      </c>
      <c r="C1006" t="inlineStr">
        <is>
          <t>19:21</t>
        </is>
      </c>
      <c r="D1006" t="inlineStr">
        <is>
          <t>n° 21 + n° 22 + n° 23 + n° 24</t>
        </is>
      </c>
      <c r="E1006" t="inlineStr">
        <is>
          <t>SAUCE CHOCO/CAFE/CAR</t>
        </is>
      </c>
      <c r="F1006" t="n">
        <v>1.8</v>
      </c>
      <c r="G1006" t="inlineStr">
        <is>
          <t>n° 23 : 0,50 + n° 24 : 0,50</t>
        </is>
      </c>
      <c r="H1006" t="n">
        <v>1</v>
      </c>
    </row>
    <row r="1007">
      <c r="A1007" t="inlineStr">
        <is>
          <t>2022-2023</t>
        </is>
      </c>
      <c r="B1007" t="inlineStr">
        <is>
          <t>2022-10-01</t>
        </is>
      </c>
      <c r="C1007" t="inlineStr">
        <is>
          <t>19:21</t>
        </is>
      </c>
      <c r="D1007" t="inlineStr">
        <is>
          <t>n° 21 + n° 22 + n° 23 + n° 24</t>
        </is>
      </c>
      <c r="E1007" t="inlineStr">
        <is>
          <t>CHANTILLY</t>
        </is>
      </c>
      <c r="F1007" t="n">
        <v>1.8</v>
      </c>
      <c r="G1007" t="inlineStr">
        <is>
          <t>n° 23 : 0,50 + n° 24 : 0,50</t>
        </is>
      </c>
      <c r="H1007" t="n">
        <v>1</v>
      </c>
    </row>
    <row r="1008">
      <c r="A1008" t="inlineStr">
        <is>
          <t>2022-2023</t>
        </is>
      </c>
      <c r="B1008" t="inlineStr">
        <is>
          <t>2022-10-01</t>
        </is>
      </c>
      <c r="C1008" t="inlineStr">
        <is>
          <t>19:21</t>
        </is>
      </c>
      <c r="D1008" t="inlineStr">
        <is>
          <t>n° 21 + n° 22 + n° 23 + n° 24</t>
        </is>
      </c>
      <c r="E1008" t="inlineStr">
        <is>
          <t>Œuf</t>
        </is>
      </c>
      <c r="F1008" t="n">
        <v>0.9</v>
      </c>
      <c r="G1008" t="inlineStr">
        <is>
          <t>n° 23 : 0,50 + n° 24 : 0,50</t>
        </is>
      </c>
      <c r="H1008" t="n">
        <v>1</v>
      </c>
    </row>
    <row r="1009">
      <c r="A1009" t="inlineStr">
        <is>
          <t>2022-2023</t>
        </is>
      </c>
      <c r="B1009" t="inlineStr">
        <is>
          <t>2022-10-05</t>
        </is>
      </c>
      <c r="C1009" t="inlineStr">
        <is>
          <t>12:23</t>
        </is>
      </c>
      <c r="D1009" t="inlineStr">
        <is>
          <t>n° 6 + n° 7</t>
        </is>
      </c>
      <c r="E1009" t="inlineStr">
        <is>
          <t>Menu 'Galette'</t>
        </is>
      </c>
      <c r="F1009" t="n">
        <v>15.9</v>
      </c>
      <c r="G1009" t="inlineStr">
        <is>
          <t>n° 6 : 0,50 + n° 7 : 0,50</t>
        </is>
      </c>
      <c r="H1009" t="n">
        <v>1</v>
      </c>
    </row>
    <row r="1010">
      <c r="A1010" t="inlineStr">
        <is>
          <t>2022-2023</t>
        </is>
      </c>
      <c r="B1010" t="inlineStr">
        <is>
          <t>2022-10-05</t>
        </is>
      </c>
      <c r="C1010" t="inlineStr">
        <is>
          <t>12:23</t>
        </is>
      </c>
      <c r="D1010" t="inlineStr">
        <is>
          <t>n° 6 + n° 7</t>
        </is>
      </c>
      <c r="E1010" t="inlineStr">
        <is>
          <t>TRUITE PESTO</t>
        </is>
      </c>
      <c r="F1010" t="n">
        <v>15.9</v>
      </c>
      <c r="G1010" t="inlineStr">
        <is>
          <t>n° 6 : 0,50 + n° 7 : 0,50</t>
        </is>
      </c>
      <c r="H1010" t="n">
        <v>1</v>
      </c>
    </row>
    <row r="1011">
      <c r="A1011" t="inlineStr">
        <is>
          <t>2022-2023</t>
        </is>
      </c>
      <c r="B1011" t="inlineStr">
        <is>
          <t>2022-10-05</t>
        </is>
      </c>
      <c r="C1011" t="inlineStr">
        <is>
          <t>12:23</t>
        </is>
      </c>
      <c r="D1011" t="inlineStr">
        <is>
          <t>n° 6 + n° 7</t>
        </is>
      </c>
      <c r="E1011" t="inlineStr">
        <is>
          <t>Double Expresso</t>
        </is>
      </c>
      <c r="F1011" t="n">
        <v>3.8</v>
      </c>
      <c r="G1011" t="inlineStr">
        <is>
          <t>n° 6 : 0,50 + n° 7 : 0,50</t>
        </is>
      </c>
      <c r="H1011" t="n">
        <v>1</v>
      </c>
    </row>
    <row r="1012">
      <c r="A1012" t="inlineStr">
        <is>
          <t>2022-2023</t>
        </is>
      </c>
      <c r="B1012" t="inlineStr">
        <is>
          <t>2022-10-06</t>
        </is>
      </c>
      <c r="C1012" t="inlineStr">
        <is>
          <t>12:06</t>
        </is>
      </c>
      <c r="D1012" t="inlineStr">
        <is>
          <t>n° 4 + n° 5</t>
        </is>
      </c>
      <c r="E1012" t="inlineStr">
        <is>
          <t>H.C.DE BEAUNE  VERRE</t>
        </is>
      </c>
      <c r="F1012" t="n">
        <v>7.9</v>
      </c>
      <c r="G1012" t="inlineStr">
        <is>
          <t>n° 4 : 0,50 + n° 5 : 0,50</t>
        </is>
      </c>
      <c r="H1012" t="n">
        <v>1</v>
      </c>
    </row>
    <row r="1013">
      <c r="A1013" t="inlineStr">
        <is>
          <t>2022-2023</t>
        </is>
      </c>
      <c r="B1013" t="inlineStr">
        <is>
          <t>2022-10-06</t>
        </is>
      </c>
      <c r="C1013" t="inlineStr">
        <is>
          <t>12:06</t>
        </is>
      </c>
      <c r="D1013" t="inlineStr">
        <is>
          <t>n° 4 + n° 5</t>
        </is>
      </c>
      <c r="E1013" t="inlineStr">
        <is>
          <t>Savagnin verre</t>
        </is>
      </c>
      <c r="F1013" t="n">
        <v>7.2</v>
      </c>
      <c r="G1013" t="inlineStr">
        <is>
          <t>n° 4 : 0,50 + n° 5 : 0,50</t>
        </is>
      </c>
      <c r="H1013" t="n">
        <v>1</v>
      </c>
    </row>
    <row r="1014">
      <c r="A1014" t="inlineStr">
        <is>
          <t>2022-2023</t>
        </is>
      </c>
      <c r="B1014" t="inlineStr">
        <is>
          <t>2022-10-06</t>
        </is>
      </c>
      <c r="C1014" t="inlineStr">
        <is>
          <t>19:59</t>
        </is>
      </c>
      <c r="D1014" t="inlineStr">
        <is>
          <t>n° 19 + n° 20</t>
        </is>
      </c>
      <c r="E1014" t="inlineStr">
        <is>
          <t>Saint Véran</t>
        </is>
      </c>
      <c r="F1014" t="n">
        <v>39.5</v>
      </c>
      <c r="G1014" t="inlineStr">
        <is>
          <t>n° 19 : 0,50 + n° 20 : 0,50</t>
        </is>
      </c>
      <c r="H1014" t="n">
        <v>1</v>
      </c>
    </row>
    <row r="1015">
      <c r="A1015" t="inlineStr">
        <is>
          <t>2022-2023</t>
        </is>
      </c>
      <c r="B1015" t="inlineStr">
        <is>
          <t>2022-10-07</t>
        </is>
      </c>
      <c r="C1015" t="inlineStr">
        <is>
          <t>20:08</t>
        </is>
      </c>
      <c r="D1015" t="inlineStr">
        <is>
          <t>n° 17 + n° 18</t>
        </is>
      </c>
      <c r="E1015" t="inlineStr">
        <is>
          <t>Rêve Bleu</t>
        </is>
      </c>
      <c r="F1015" t="n">
        <v>9</v>
      </c>
      <c r="G1015" t="inlineStr">
        <is>
          <t>n° 17 : 0,50 + n° 18 : 0,50</t>
        </is>
      </c>
      <c r="H1015" t="n">
        <v>1</v>
      </c>
    </row>
    <row r="1016">
      <c r="A1016" t="inlineStr">
        <is>
          <t>2022-2023</t>
        </is>
      </c>
      <c r="B1016" t="inlineStr">
        <is>
          <t>2022-10-07</t>
        </is>
      </c>
      <c r="C1016" t="inlineStr">
        <is>
          <t>20:08</t>
        </is>
      </c>
      <c r="D1016" t="inlineStr">
        <is>
          <t>n° 17 + n° 18</t>
        </is>
      </c>
      <c r="E1016" t="inlineStr">
        <is>
          <t>MAEVA</t>
        </is>
      </c>
      <c r="F1016" t="n">
        <v>9</v>
      </c>
      <c r="G1016" t="inlineStr">
        <is>
          <t>n° 17 : 0,50 + n° 18 : 0,50</t>
        </is>
      </c>
      <c r="H1016" t="n">
        <v>1</v>
      </c>
    </row>
    <row r="1017">
      <c r="A1017" t="inlineStr">
        <is>
          <t>2022-2023</t>
        </is>
      </c>
      <c r="B1017" t="inlineStr">
        <is>
          <t>2022-10-07</t>
        </is>
      </c>
      <c r="C1017" t="inlineStr">
        <is>
          <t>20:08</t>
        </is>
      </c>
      <c r="D1017" t="inlineStr">
        <is>
          <t>n° 17 + n° 18</t>
        </is>
      </c>
      <c r="E1017" t="inlineStr">
        <is>
          <t>VERRE H.C.DE BEAUNE</t>
        </is>
      </c>
      <c r="F1017" t="n">
        <v>7.9</v>
      </c>
      <c r="G1017" t="inlineStr">
        <is>
          <t>n° 17 : 0,50 + n° 18 : 0,50</t>
        </is>
      </c>
      <c r="H1017" t="n">
        <v>1</v>
      </c>
    </row>
    <row r="1018">
      <c r="A1018" t="inlineStr">
        <is>
          <t>2022-2023</t>
        </is>
      </c>
      <c r="B1018" t="inlineStr">
        <is>
          <t>2022-10-07</t>
        </is>
      </c>
      <c r="C1018" t="inlineStr">
        <is>
          <t>20:08</t>
        </is>
      </c>
      <c r="D1018" t="inlineStr">
        <is>
          <t>n° 17 + n° 18</t>
        </is>
      </c>
      <c r="E1018" t="inlineStr">
        <is>
          <t>Saint Véran Verre</t>
        </is>
      </c>
      <c r="F1018" t="n">
        <v>7.9</v>
      </c>
      <c r="G1018" t="inlineStr">
        <is>
          <t>n° 17 : 0,50 + n° 18 : 0,50</t>
        </is>
      </c>
      <c r="H1018" t="n">
        <v>1</v>
      </c>
    </row>
    <row r="1019">
      <c r="A1019" t="inlineStr">
        <is>
          <t>2022-2023</t>
        </is>
      </c>
      <c r="B1019" t="inlineStr">
        <is>
          <t>2022-10-07</t>
        </is>
      </c>
      <c r="C1019" t="inlineStr">
        <is>
          <t>20:08</t>
        </is>
      </c>
      <c r="D1019" t="inlineStr">
        <is>
          <t>n° 17 + n° 18</t>
        </is>
      </c>
      <c r="E1019" t="inlineStr">
        <is>
          <t>Salade Verte</t>
        </is>
      </c>
      <c r="F1019" t="n">
        <v>5.9</v>
      </c>
      <c r="G1019" t="inlineStr">
        <is>
          <t>n° 17 : 0,50 + n° 18 : 0,50</t>
        </is>
      </c>
      <c r="H1019" t="n">
        <v>1</v>
      </c>
    </row>
    <row r="1020">
      <c r="A1020" t="inlineStr">
        <is>
          <t>2022-2023</t>
        </is>
      </c>
      <c r="B1020" t="inlineStr">
        <is>
          <t>2022-10-07</t>
        </is>
      </c>
      <c r="C1020" t="inlineStr">
        <is>
          <t>20:29</t>
        </is>
      </c>
      <c r="D1020" t="inlineStr">
        <is>
          <t>n° 22 + n° 23</t>
        </is>
      </c>
      <c r="E1020" t="inlineStr">
        <is>
          <t>FRELEE</t>
        </is>
      </c>
      <c r="F1020" t="n">
        <v>18.6</v>
      </c>
      <c r="G1020" t="inlineStr">
        <is>
          <t>n° 22 : 0,50 + n° 23 : 0,50</t>
        </is>
      </c>
      <c r="H1020" t="n">
        <v>1</v>
      </c>
    </row>
    <row r="1021">
      <c r="A1021" t="inlineStr">
        <is>
          <t>2022-2023</t>
        </is>
      </c>
      <c r="B1021" t="inlineStr">
        <is>
          <t>2022-10-07</t>
        </is>
      </c>
      <c r="C1021" t="inlineStr">
        <is>
          <t>20:29</t>
        </is>
      </c>
      <c r="D1021" t="inlineStr">
        <is>
          <t>n° 22 + n° 23</t>
        </is>
      </c>
      <c r="E1021" t="inlineStr">
        <is>
          <t>ASSIETTE FRANC-COMTO</t>
        </is>
      </c>
      <c r="F1021" t="n">
        <v>17.6</v>
      </c>
      <c r="G1021" t="inlineStr">
        <is>
          <t>n° 22 : 0,50 + n° 23 : 0,50</t>
        </is>
      </c>
      <c r="H1021" t="n">
        <v>1</v>
      </c>
    </row>
    <row r="1022">
      <c r="A1022" t="inlineStr">
        <is>
          <t>2022-2023</t>
        </is>
      </c>
      <c r="B1022" t="inlineStr">
        <is>
          <t>2022-10-07</t>
        </is>
      </c>
      <c r="C1022" t="inlineStr">
        <is>
          <t>20:29</t>
        </is>
      </c>
      <c r="D1022" t="inlineStr">
        <is>
          <t>n° 22 + n° 23</t>
        </is>
      </c>
      <c r="E1022" t="inlineStr">
        <is>
          <t>Saint Véran Verre</t>
        </is>
      </c>
      <c r="F1022" t="n">
        <v>7.9</v>
      </c>
      <c r="G1022" t="inlineStr">
        <is>
          <t>n° 22 : 0,50 + n° 23 : 0,50</t>
        </is>
      </c>
      <c r="H1022" t="n">
        <v>1</v>
      </c>
    </row>
    <row r="1023">
      <c r="A1023" t="inlineStr">
        <is>
          <t>2022-2023</t>
        </is>
      </c>
      <c r="B1023" t="inlineStr">
        <is>
          <t>2022-10-07</t>
        </is>
      </c>
      <c r="C1023" t="inlineStr">
        <is>
          <t>20:29</t>
        </is>
      </c>
      <c r="D1023" t="inlineStr">
        <is>
          <t>n° 22 + n° 23</t>
        </is>
      </c>
      <c r="E1023" t="inlineStr">
        <is>
          <t>H.C.DE BEAUNE  VERRE</t>
        </is>
      </c>
      <c r="F1023" t="n">
        <v>7.9</v>
      </c>
      <c r="G1023" t="inlineStr">
        <is>
          <t>n° 22 : 0,50 + n° 23 : 0,50</t>
        </is>
      </c>
      <c r="H1023" t="n">
        <v>1</v>
      </c>
    </row>
    <row r="1024">
      <c r="A1024" t="inlineStr">
        <is>
          <t>2022-2023</t>
        </is>
      </c>
      <c r="B1024" t="inlineStr">
        <is>
          <t>2022-10-07</t>
        </is>
      </c>
      <c r="C1024" t="inlineStr">
        <is>
          <t>20:29</t>
        </is>
      </c>
      <c r="D1024" t="inlineStr">
        <is>
          <t>n° 22 + n° 23</t>
        </is>
      </c>
      <c r="E1024" t="inlineStr">
        <is>
          <t>CREME BRULEE</t>
        </is>
      </c>
      <c r="F1024" t="n">
        <v>6.9</v>
      </c>
      <c r="G1024" t="inlineStr">
        <is>
          <t>n° 22 : 0,50 + n° 23 : 0,50</t>
        </is>
      </c>
      <c r="H1024" t="n">
        <v>1</v>
      </c>
    </row>
    <row r="1025">
      <c r="A1025" t="inlineStr">
        <is>
          <t>2022-2023</t>
        </is>
      </c>
      <c r="B1025" t="inlineStr">
        <is>
          <t>2022-10-07</t>
        </is>
      </c>
      <c r="C1025" t="inlineStr">
        <is>
          <t>20:29</t>
        </is>
      </c>
      <c r="D1025" t="inlineStr">
        <is>
          <t>n° 22 + n° 23</t>
        </is>
      </c>
      <c r="E1025" t="inlineStr">
        <is>
          <t>CREPE CHOC/CHANTILLY</t>
        </is>
      </c>
      <c r="F1025" t="n">
        <v>6.5</v>
      </c>
      <c r="G1025" t="inlineStr">
        <is>
          <t>n° 22 : 0,50 + n° 23 : 0,50</t>
        </is>
      </c>
      <c r="H1025" t="n">
        <v>1</v>
      </c>
    </row>
    <row r="1026">
      <c r="A1026" t="inlineStr">
        <is>
          <t>2022-2023</t>
        </is>
      </c>
      <c r="B1026" t="inlineStr">
        <is>
          <t>2022-10-07</t>
        </is>
      </c>
      <c r="C1026" t="inlineStr">
        <is>
          <t>20:29</t>
        </is>
      </c>
      <c r="D1026" t="inlineStr">
        <is>
          <t>n° 22 + n° 23</t>
        </is>
      </c>
      <c r="E1026" t="inlineStr">
        <is>
          <t>Chat perché</t>
        </is>
      </c>
      <c r="F1026" t="n">
        <v>5.2</v>
      </c>
      <c r="G1026" t="inlineStr">
        <is>
          <t>n° 22 : 0,50 + n° 23 : 0,50</t>
        </is>
      </c>
      <c r="H1026" t="n">
        <v>1</v>
      </c>
    </row>
    <row r="1027">
      <c r="A1027" t="inlineStr">
        <is>
          <t>2022-2023</t>
        </is>
      </c>
      <c r="B1027" t="inlineStr">
        <is>
          <t>2022-10-07</t>
        </is>
      </c>
      <c r="C1027" t="inlineStr">
        <is>
          <t>20:29</t>
        </is>
      </c>
      <c r="D1027" t="inlineStr">
        <is>
          <t>n° 22 + n° 23</t>
        </is>
      </c>
      <c r="E1027" t="inlineStr">
        <is>
          <t>La Vouivre</t>
        </is>
      </c>
      <c r="F1027" t="n">
        <v>5.2</v>
      </c>
      <c r="G1027" t="inlineStr">
        <is>
          <t>n° 22 : 0,50 + n° 23 : 0,50</t>
        </is>
      </c>
      <c r="H1027" t="n">
        <v>1</v>
      </c>
    </row>
    <row r="1028">
      <c r="A1028" t="inlineStr">
        <is>
          <t>2022-2023</t>
        </is>
      </c>
      <c r="B1028" t="inlineStr">
        <is>
          <t>2022-10-07</t>
        </is>
      </c>
      <c r="C1028" t="inlineStr">
        <is>
          <t>20:29</t>
        </is>
      </c>
      <c r="D1028" t="inlineStr">
        <is>
          <t>n° 22 + n° 23</t>
        </is>
      </c>
      <c r="E1028" t="inlineStr">
        <is>
          <t>Expresso</t>
        </is>
      </c>
      <c r="F1028" t="n">
        <v>2.2</v>
      </c>
      <c r="G1028" t="inlineStr">
        <is>
          <t>n° 22 : 0,50 + n° 23 : 0,50</t>
        </is>
      </c>
      <c r="H1028" t="n">
        <v>1</v>
      </c>
    </row>
    <row r="1029">
      <c r="A1029" t="inlineStr">
        <is>
          <t>2022-2023</t>
        </is>
      </c>
      <c r="B1029" t="inlineStr">
        <is>
          <t>2022-10-07</t>
        </is>
      </c>
      <c r="C1029" t="inlineStr">
        <is>
          <t>20:29</t>
        </is>
      </c>
      <c r="D1029" t="inlineStr">
        <is>
          <t>n° 22 + n° 23</t>
        </is>
      </c>
      <c r="E1029" t="inlineStr">
        <is>
          <t>1 Boule Glace</t>
        </is>
      </c>
      <c r="F1029" t="n">
        <v>2</v>
      </c>
      <c r="G1029" t="inlineStr">
        <is>
          <t>n° 22 : 0,50 + n° 23 : 0,50</t>
        </is>
      </c>
      <c r="H1029" t="n">
        <v>1</v>
      </c>
    </row>
    <row r="1030">
      <c r="A1030" t="inlineStr">
        <is>
          <t>2022-2023</t>
        </is>
      </c>
      <c r="B1030" t="inlineStr">
        <is>
          <t>2022-10-08</t>
        </is>
      </c>
      <c r="C1030" t="inlineStr">
        <is>
          <t>12:18</t>
        </is>
      </c>
      <c r="D1030" t="inlineStr">
        <is>
          <t>n° 6 + n° 7</t>
        </is>
      </c>
      <c r="E1030" t="inlineStr">
        <is>
          <t>Menu Végétarien</t>
        </is>
      </c>
      <c r="F1030" t="n">
        <v>23</v>
      </c>
      <c r="G1030" t="inlineStr">
        <is>
          <t>n° 6 : 0,50 + n° 7 : 0,50</t>
        </is>
      </c>
      <c r="H1030" t="n">
        <v>1</v>
      </c>
    </row>
    <row r="1031">
      <c r="A1031" t="inlineStr">
        <is>
          <t>2022-2023</t>
        </is>
      </c>
      <c r="B1031" t="inlineStr">
        <is>
          <t>2022-10-08</t>
        </is>
      </c>
      <c r="C1031" t="inlineStr">
        <is>
          <t>12:18</t>
        </is>
      </c>
      <c r="D1031" t="inlineStr">
        <is>
          <t>n° 6 + n° 7</t>
        </is>
      </c>
      <c r="E1031" t="inlineStr">
        <is>
          <t>PICHET MOULIN A VENT</t>
        </is>
      </c>
      <c r="F1031" t="n">
        <v>21</v>
      </c>
      <c r="G1031" t="inlineStr">
        <is>
          <t>n° 6 : 0,50 + n° 7 : 0,50</t>
        </is>
      </c>
      <c r="H1031" t="n">
        <v>1</v>
      </c>
    </row>
    <row r="1032">
      <c r="A1032" t="inlineStr">
        <is>
          <t>2022-2023</t>
        </is>
      </c>
      <c r="B1032" t="inlineStr">
        <is>
          <t>2022-10-08</t>
        </is>
      </c>
      <c r="C1032" t="inlineStr">
        <is>
          <t>12:18</t>
        </is>
      </c>
      <c r="D1032" t="inlineStr">
        <is>
          <t>n° 6 + n° 7</t>
        </is>
      </c>
      <c r="E1032" t="inlineStr">
        <is>
          <t>ASSIETTE PERE GREGOI</t>
        </is>
      </c>
      <c r="F1032" t="n">
        <v>17.6</v>
      </c>
      <c r="G1032" t="inlineStr">
        <is>
          <t>n° 6 : 0,50 + n° 7 : 0,50</t>
        </is>
      </c>
      <c r="H1032" t="n">
        <v>1</v>
      </c>
    </row>
    <row r="1033">
      <c r="A1033" t="inlineStr">
        <is>
          <t>2022-2023</t>
        </is>
      </c>
      <c r="B1033" t="inlineStr">
        <is>
          <t>2022-10-08</t>
        </is>
      </c>
      <c r="C1033" t="inlineStr">
        <is>
          <t>12:18</t>
        </is>
      </c>
      <c r="D1033" t="inlineStr">
        <is>
          <t>n° 6 + n° 7</t>
        </is>
      </c>
      <c r="E1033" t="inlineStr">
        <is>
          <t>Expresso</t>
        </is>
      </c>
      <c r="F1033" t="n">
        <v>2.2</v>
      </c>
      <c r="G1033" t="inlineStr">
        <is>
          <t>n° 6 : 1,50 + n° 7 : 1,50</t>
        </is>
      </c>
      <c r="H1033" t="n">
        <v>3</v>
      </c>
    </row>
    <row r="1034">
      <c r="A1034" t="inlineStr">
        <is>
          <t>2022-2023</t>
        </is>
      </c>
      <c r="B1034" t="inlineStr">
        <is>
          <t>2022-10-13</t>
        </is>
      </c>
      <c r="C1034" t="inlineStr">
        <is>
          <t>19:36</t>
        </is>
      </c>
      <c r="D1034" t="inlineStr">
        <is>
          <t>n° 12 + n° 13 + n° 14</t>
        </is>
      </c>
      <c r="E1034" t="inlineStr">
        <is>
          <t>Pichet 50cl vin</t>
        </is>
      </c>
      <c r="F1034" t="n">
        <v>9.800000000000001</v>
      </c>
      <c r="G1034" t="inlineStr">
        <is>
          <t>n° 12 : 0,33 + n° 13 : 0,34 + n° 14 : 0,33</t>
        </is>
      </c>
      <c r="H1034" t="n">
        <v>1</v>
      </c>
    </row>
    <row r="1035">
      <c r="A1035" t="inlineStr">
        <is>
          <t>2022-2023</t>
        </is>
      </c>
      <c r="B1035" t="inlineStr">
        <is>
          <t>2022-10-13</t>
        </is>
      </c>
      <c r="C1035" t="inlineStr">
        <is>
          <t>19:36</t>
        </is>
      </c>
      <c r="D1035" t="inlineStr">
        <is>
          <t>n° 12 + n° 13 + n° 14</t>
        </is>
      </c>
      <c r="E1035" t="inlineStr">
        <is>
          <t>Pavlova</t>
        </is>
      </c>
      <c r="F1035" t="n">
        <v>8.699999999999999</v>
      </c>
      <c r="G1035" t="inlineStr">
        <is>
          <t>n° 12 : 0,33 + n° 13 : 0,34 + n° 14 : 0,33</t>
        </is>
      </c>
      <c r="H1035" t="n">
        <v>1</v>
      </c>
    </row>
    <row r="1036">
      <c r="A1036" t="inlineStr">
        <is>
          <t>2022-2023</t>
        </is>
      </c>
      <c r="B1036" t="inlineStr">
        <is>
          <t>2022-10-13</t>
        </is>
      </c>
      <c r="C1036" t="inlineStr">
        <is>
          <t>19:36</t>
        </is>
      </c>
      <c r="D1036" t="inlineStr">
        <is>
          <t>n° 12 + n° 13 + n° 14</t>
        </is>
      </c>
      <c r="E1036" t="inlineStr">
        <is>
          <t>Kir Bourgogne</t>
        </is>
      </c>
      <c r="F1036" t="n">
        <v>4.2</v>
      </c>
      <c r="G1036" t="inlineStr">
        <is>
          <t>n° 12 : 0,33 + n° 13 : 0,34 + n° 14 : 0,33</t>
        </is>
      </c>
      <c r="H1036" t="n">
        <v>1</v>
      </c>
    </row>
    <row r="1037">
      <c r="A1037" t="inlineStr">
        <is>
          <t>2022-2023</t>
        </is>
      </c>
      <c r="B1037" t="inlineStr">
        <is>
          <t>2022-10-13</t>
        </is>
      </c>
      <c r="C1037" t="inlineStr">
        <is>
          <t>19:36</t>
        </is>
      </c>
      <c r="D1037" t="inlineStr">
        <is>
          <t>n° 12 + n° 13 + n° 14</t>
        </is>
      </c>
      <c r="E1037" t="inlineStr">
        <is>
          <t>Déca</t>
        </is>
      </c>
      <c r="F1037" t="n">
        <v>2.2</v>
      </c>
      <c r="G1037" t="inlineStr">
        <is>
          <t>n° 12 : 0,67 + n° 13 : 0,67 + n° 14 : 0,66</t>
        </is>
      </c>
      <c r="H1037" t="n">
        <v>2</v>
      </c>
    </row>
    <row r="1038">
      <c r="A1038" t="inlineStr">
        <is>
          <t>2022-2023</t>
        </is>
      </c>
      <c r="B1038" t="inlineStr">
        <is>
          <t>2022-10-15</t>
        </is>
      </c>
      <c r="C1038" t="inlineStr">
        <is>
          <t>19:42</t>
        </is>
      </c>
      <c r="D1038" t="inlineStr">
        <is>
          <t>n° 22 + n° 23</t>
        </is>
      </c>
      <c r="E1038" t="inlineStr">
        <is>
          <t>Saucisse de Morteau</t>
        </is>
      </c>
      <c r="F1038" t="n">
        <v>8.9</v>
      </c>
      <c r="G1038" t="inlineStr">
        <is>
          <t>n° 22 : 0,50 + n° 23 : 0,50</t>
        </is>
      </c>
      <c r="H1038" t="n">
        <v>1</v>
      </c>
    </row>
    <row r="1039">
      <c r="A1039" t="inlineStr">
        <is>
          <t>2022-2023</t>
        </is>
      </c>
      <c r="B1039" t="inlineStr">
        <is>
          <t>2022-10-15</t>
        </is>
      </c>
      <c r="C1039" t="inlineStr">
        <is>
          <t>19:42</t>
        </is>
      </c>
      <c r="D1039" t="inlineStr">
        <is>
          <t>n° 22 + n° 23</t>
        </is>
      </c>
      <c r="E1039" t="inlineStr">
        <is>
          <t>Pavlova</t>
        </is>
      </c>
      <c r="F1039" t="n">
        <v>8.699999999999999</v>
      </c>
      <c r="G1039" t="inlineStr">
        <is>
          <t>n° 22 : 0,50 + n° 23 : 0,50</t>
        </is>
      </c>
      <c r="H1039" t="n">
        <v>1</v>
      </c>
    </row>
    <row r="1040">
      <c r="A1040" t="inlineStr">
        <is>
          <t>2022-2023</t>
        </is>
      </c>
      <c r="B1040" t="inlineStr">
        <is>
          <t>2022-10-15</t>
        </is>
      </c>
      <c r="C1040" t="inlineStr">
        <is>
          <t>19:42</t>
        </is>
      </c>
      <c r="D1040" t="inlineStr">
        <is>
          <t>n° 22 + n° 23</t>
        </is>
      </c>
      <c r="E1040" t="inlineStr">
        <is>
          <t>KITTYKIR</t>
        </is>
      </c>
      <c r="F1040" t="n">
        <v>5.2</v>
      </c>
      <c r="G1040" t="inlineStr">
        <is>
          <t>n° 22 : 0,50 + n° 23 : 0,50</t>
        </is>
      </c>
      <c r="H1040" t="n">
        <v>1</v>
      </c>
    </row>
    <row r="1041">
      <c r="A1041" t="inlineStr">
        <is>
          <t>2022-2023</t>
        </is>
      </c>
      <c r="B1041" t="inlineStr">
        <is>
          <t>2022-10-15</t>
        </is>
      </c>
      <c r="C1041" t="inlineStr">
        <is>
          <t>19:42</t>
        </is>
      </c>
      <c r="D1041" t="inlineStr">
        <is>
          <t>n° 22 + n° 23</t>
        </is>
      </c>
      <c r="E1041" t="inlineStr">
        <is>
          <t>La Vouivre</t>
        </is>
      </c>
      <c r="F1041" t="n">
        <v>5.2</v>
      </c>
      <c r="G1041" t="inlineStr">
        <is>
          <t>n° 22 : 0,50 + n° 23 : 0,50</t>
        </is>
      </c>
      <c r="H1041" t="n">
        <v>1</v>
      </c>
    </row>
    <row r="1042">
      <c r="A1042" t="inlineStr">
        <is>
          <t>2022-2023</t>
        </is>
      </c>
      <c r="B1042" t="inlineStr">
        <is>
          <t>2022-10-15</t>
        </is>
      </c>
      <c r="C1042" t="inlineStr">
        <is>
          <t>19:42</t>
        </is>
      </c>
      <c r="D1042" t="inlineStr">
        <is>
          <t>n° 22 + n° 23</t>
        </is>
      </c>
      <c r="E1042" t="inlineStr">
        <is>
          <t>Pommes grenailles</t>
        </is>
      </c>
      <c r="F1042" t="n">
        <v>3.9</v>
      </c>
      <c r="G1042" t="inlineStr">
        <is>
          <t>n° 22 : 0,50 + n° 23 : 0,50</t>
        </is>
      </c>
      <c r="H1042" t="n">
        <v>1</v>
      </c>
    </row>
    <row r="1043">
      <c r="A1043" t="inlineStr">
        <is>
          <t>2022-2023</t>
        </is>
      </c>
      <c r="B1043" t="inlineStr">
        <is>
          <t>2022-10-15</t>
        </is>
      </c>
      <c r="C1043" t="inlineStr">
        <is>
          <t>19:42</t>
        </is>
      </c>
      <c r="D1043" t="inlineStr">
        <is>
          <t>n° 22 + n° 23</t>
        </is>
      </c>
      <c r="E1043" t="inlineStr">
        <is>
          <t>Expresso</t>
        </is>
      </c>
      <c r="F1043" t="n">
        <v>2.2</v>
      </c>
      <c r="G1043" t="inlineStr">
        <is>
          <t>n° 22 : 0,50 + n° 23 : 0,50</t>
        </is>
      </c>
      <c r="H1043" t="n">
        <v>1</v>
      </c>
    </row>
    <row r="1044">
      <c r="A1044" t="inlineStr">
        <is>
          <t>2022-2023</t>
        </is>
      </c>
      <c r="B1044" t="inlineStr">
        <is>
          <t>2022-10-16</t>
        </is>
      </c>
      <c r="C1044" t="inlineStr">
        <is>
          <t>12:16</t>
        </is>
      </c>
      <c r="D1044" t="inlineStr">
        <is>
          <t>n° 3 + n° 4</t>
        </is>
      </c>
      <c r="E1044" t="inlineStr">
        <is>
          <t>POULET JURASSIENNE</t>
        </is>
      </c>
      <c r="F1044" t="n">
        <v>18.6</v>
      </c>
      <c r="G1044" t="inlineStr">
        <is>
          <t>n° 3 : 0,50 + n° 4 : 0,50</t>
        </is>
      </c>
      <c r="H1044" t="n">
        <v>1</v>
      </c>
    </row>
    <row r="1045">
      <c r="A1045" t="inlineStr">
        <is>
          <t>2022-2023</t>
        </is>
      </c>
      <c r="B1045" t="inlineStr">
        <is>
          <t>2022-10-16</t>
        </is>
      </c>
      <c r="C1045" t="inlineStr">
        <is>
          <t>12:16</t>
        </is>
      </c>
      <c r="D1045" t="inlineStr">
        <is>
          <t>n° 3 + n° 4</t>
        </is>
      </c>
      <c r="E1045" t="inlineStr">
        <is>
          <t>Crepe Chocolat</t>
        </is>
      </c>
      <c r="F1045" t="n">
        <v>4.7</v>
      </c>
      <c r="G1045" t="inlineStr">
        <is>
          <t>n° 3 : 0,50 + n° 4 : 0,50</t>
        </is>
      </c>
      <c r="H1045" t="n">
        <v>1</v>
      </c>
    </row>
    <row r="1046">
      <c r="A1046" t="inlineStr">
        <is>
          <t>2022-2023</t>
        </is>
      </c>
      <c r="B1046" t="inlineStr">
        <is>
          <t>2022-10-16</t>
        </is>
      </c>
      <c r="C1046" t="inlineStr">
        <is>
          <t>12:16</t>
        </is>
      </c>
      <c r="D1046" t="inlineStr">
        <is>
          <t>n° 3 + n° 4</t>
        </is>
      </c>
      <c r="E1046" t="inlineStr">
        <is>
          <t>Crêpe Nutella</t>
        </is>
      </c>
      <c r="F1046" t="n">
        <v>4.7</v>
      </c>
      <c r="G1046" t="inlineStr">
        <is>
          <t>n° 3 : 0,50 + n° 4 : 0,50</t>
        </is>
      </c>
      <c r="H1046" t="n">
        <v>1</v>
      </c>
    </row>
    <row r="1047">
      <c r="A1047" t="inlineStr">
        <is>
          <t>2022-2023</t>
        </is>
      </c>
      <c r="B1047" t="inlineStr">
        <is>
          <t>2022-10-16</t>
        </is>
      </c>
      <c r="C1047" t="inlineStr">
        <is>
          <t>12:16</t>
        </is>
      </c>
      <c r="D1047" t="inlineStr">
        <is>
          <t>n° 3 + n° 4</t>
        </is>
      </c>
      <c r="E1047" t="inlineStr">
        <is>
          <t>Comté</t>
        </is>
      </c>
      <c r="F1047" t="n">
        <v>4</v>
      </c>
      <c r="G1047" t="inlineStr">
        <is>
          <t>n° 3 : 0,50 + n° 4 : 0,50</t>
        </is>
      </c>
      <c r="H1047" t="n">
        <v>1</v>
      </c>
    </row>
    <row r="1048">
      <c r="A1048" t="inlineStr">
        <is>
          <t>2022-2023</t>
        </is>
      </c>
      <c r="B1048" t="inlineStr">
        <is>
          <t>2022-10-16</t>
        </is>
      </c>
      <c r="C1048" t="inlineStr">
        <is>
          <t>12:16</t>
        </is>
      </c>
      <c r="D1048" t="inlineStr">
        <is>
          <t>n° 3 + n° 4</t>
        </is>
      </c>
      <c r="E1048" t="inlineStr">
        <is>
          <t>Crémant</t>
        </is>
      </c>
      <c r="F1048" t="n">
        <v>3.9</v>
      </c>
      <c r="G1048" t="inlineStr">
        <is>
          <t>n° 3 : 0,50 + n° 4 : 0,50</t>
        </is>
      </c>
      <c r="H1048" t="n">
        <v>1</v>
      </c>
    </row>
    <row r="1049">
      <c r="A1049" t="inlineStr">
        <is>
          <t>2022-2023</t>
        </is>
      </c>
      <c r="B1049" t="inlineStr">
        <is>
          <t>2022-10-16</t>
        </is>
      </c>
      <c r="C1049" t="inlineStr">
        <is>
          <t>12:16</t>
        </is>
      </c>
      <c r="D1049" t="inlineStr">
        <is>
          <t>n° 3 + n° 4</t>
        </is>
      </c>
      <c r="E1049" t="inlineStr">
        <is>
          <t>Galette nature</t>
        </is>
      </c>
      <c r="F1049" t="n">
        <v>3.9</v>
      </c>
      <c r="G1049" t="inlineStr">
        <is>
          <t>n° 3 : 0,50 + n° 4 : 0,50</t>
        </is>
      </c>
      <c r="H1049" t="n">
        <v>1</v>
      </c>
    </row>
    <row r="1050">
      <c r="A1050" t="inlineStr">
        <is>
          <t>2022-2023</t>
        </is>
      </c>
      <c r="B1050" t="inlineStr">
        <is>
          <t>2022-10-16</t>
        </is>
      </c>
      <c r="C1050" t="inlineStr">
        <is>
          <t>12:16</t>
        </is>
      </c>
      <c r="D1050" t="inlineStr">
        <is>
          <t>n° 3 + n° 4</t>
        </is>
      </c>
      <c r="E1050" t="inlineStr">
        <is>
          <t>Pontarlier</t>
        </is>
      </c>
      <c r="F1050" t="n">
        <v>3.8</v>
      </c>
      <c r="G1050" t="inlineStr">
        <is>
          <t>n° 3 : 0,50 + n° 4 : 0,50</t>
        </is>
      </c>
      <c r="H1050" t="n">
        <v>1</v>
      </c>
    </row>
    <row r="1051">
      <c r="A1051" t="inlineStr">
        <is>
          <t>2022-2023</t>
        </is>
      </c>
      <c r="B1051" t="inlineStr">
        <is>
          <t>2022-10-16</t>
        </is>
      </c>
      <c r="C1051" t="inlineStr">
        <is>
          <t>12:16</t>
        </is>
      </c>
      <c r="D1051" t="inlineStr">
        <is>
          <t>n° 3 + n° 4</t>
        </is>
      </c>
      <c r="E1051" t="inlineStr">
        <is>
          <t>Champignons frais</t>
        </is>
      </c>
      <c r="F1051" t="n">
        <v>3.2</v>
      </c>
      <c r="G1051" t="inlineStr">
        <is>
          <t>n° 3 : 0,50 + n° 4 : 0,50</t>
        </is>
      </c>
      <c r="H1051" t="n">
        <v>1</v>
      </c>
    </row>
    <row r="1052">
      <c r="A1052" t="inlineStr">
        <is>
          <t>2022-2023</t>
        </is>
      </c>
      <c r="B1052" t="inlineStr">
        <is>
          <t>2022-10-16</t>
        </is>
      </c>
      <c r="C1052" t="inlineStr">
        <is>
          <t>12:16</t>
        </is>
      </c>
      <c r="D1052" t="inlineStr">
        <is>
          <t>n° 3 + n° 4</t>
        </is>
      </c>
      <c r="E1052" t="inlineStr">
        <is>
          <t>Pommes de Terre</t>
        </is>
      </c>
      <c r="F1052" t="n">
        <v>3.2</v>
      </c>
      <c r="G1052" t="inlineStr">
        <is>
          <t>n° 3 : 0,50 + n° 4 : 0,50</t>
        </is>
      </c>
      <c r="H1052" t="n">
        <v>1</v>
      </c>
    </row>
    <row r="1053">
      <c r="A1053" t="inlineStr">
        <is>
          <t>2022-2023</t>
        </is>
      </c>
      <c r="B1053" t="inlineStr">
        <is>
          <t>2022-10-16</t>
        </is>
      </c>
      <c r="C1053" t="inlineStr">
        <is>
          <t>12:16</t>
        </is>
      </c>
      <c r="D1053" t="inlineStr">
        <is>
          <t>n° 3 + n° 4</t>
        </is>
      </c>
      <c r="E1053" t="inlineStr">
        <is>
          <t>Caramel</t>
        </is>
      </c>
      <c r="F1053" t="n">
        <v>1.8</v>
      </c>
      <c r="G1053" t="inlineStr">
        <is>
          <t>n° 3 : 0,50 + n° 4 : 0,50</t>
        </is>
      </c>
      <c r="H1053" t="n">
        <v>1</v>
      </c>
    </row>
    <row r="1054">
      <c r="A1054" t="inlineStr">
        <is>
          <t>2022-2023</t>
        </is>
      </c>
      <c r="B1054" t="inlineStr">
        <is>
          <t>2022-10-16</t>
        </is>
      </c>
      <c r="C1054" t="inlineStr">
        <is>
          <t>12:16</t>
        </is>
      </c>
      <c r="D1054" t="inlineStr">
        <is>
          <t>n° 3 + n° 4</t>
        </is>
      </c>
      <c r="E1054" t="inlineStr">
        <is>
          <t>Œuf</t>
        </is>
      </c>
      <c r="F1054" t="n">
        <v>0.9</v>
      </c>
      <c r="G1054" t="inlineStr">
        <is>
          <t>n° 3 : 0,50 + n° 4 : 0,50</t>
        </is>
      </c>
      <c r="H1054" t="n">
        <v>1</v>
      </c>
    </row>
    <row r="1055">
      <c r="A1055" t="inlineStr">
        <is>
          <t>2022-2023</t>
        </is>
      </c>
      <c r="B1055" t="inlineStr">
        <is>
          <t>2022-10-21</t>
        </is>
      </c>
      <c r="C1055" t="inlineStr">
        <is>
          <t>11:36</t>
        </is>
      </c>
      <c r="D1055" t="inlineStr">
        <is>
          <t>n° 1 + n° 2</t>
        </is>
      </c>
      <c r="E1055" t="inlineStr">
        <is>
          <t>Crepe Chocolat</t>
        </is>
      </c>
      <c r="F1055" t="n">
        <v>4.7</v>
      </c>
      <c r="G1055" t="inlineStr">
        <is>
          <t>n° 1 : 0,50 + n° 2 : 0,50</t>
        </is>
      </c>
      <c r="H1055" t="n">
        <v>1</v>
      </c>
    </row>
    <row r="1056">
      <c r="A1056" t="inlineStr">
        <is>
          <t>2022-2023</t>
        </is>
      </c>
      <c r="B1056" t="inlineStr">
        <is>
          <t>2022-10-21</t>
        </is>
      </c>
      <c r="C1056" t="inlineStr">
        <is>
          <t>11:36</t>
        </is>
      </c>
      <c r="D1056" t="inlineStr">
        <is>
          <t>n° 1 + n° 2</t>
        </is>
      </c>
      <c r="E1056" t="inlineStr">
        <is>
          <t>Crêpe Nutella</t>
        </is>
      </c>
      <c r="F1056" t="n">
        <v>4.7</v>
      </c>
      <c r="G1056" t="inlineStr">
        <is>
          <t>n° 1 : 0,50 + n° 2 : 0,50</t>
        </is>
      </c>
      <c r="H1056" t="n">
        <v>1</v>
      </c>
    </row>
    <row r="1057">
      <c r="A1057" t="inlineStr">
        <is>
          <t>2022-2023</t>
        </is>
      </c>
      <c r="B1057" t="inlineStr">
        <is>
          <t>2022-10-22</t>
        </is>
      </c>
      <c r="C1057" t="inlineStr">
        <is>
          <t>12:18</t>
        </is>
      </c>
      <c r="D1057" t="inlineStr">
        <is>
          <t>n° 10 + n° 11</t>
        </is>
      </c>
      <c r="E1057" t="inlineStr">
        <is>
          <t>ASSIETTE FRANC-COMTO</t>
        </is>
      </c>
      <c r="F1057" t="n">
        <v>18.6</v>
      </c>
      <c r="G1057" t="inlineStr">
        <is>
          <t>n° 10 : 0,50 + n° 11 : 0,50</t>
        </is>
      </c>
      <c r="H1057" t="n">
        <v>1</v>
      </c>
    </row>
    <row r="1058">
      <c r="A1058" t="inlineStr">
        <is>
          <t>2022-2023</t>
        </is>
      </c>
      <c r="B1058" t="inlineStr">
        <is>
          <t>2022-10-22</t>
        </is>
      </c>
      <c r="C1058" t="inlineStr">
        <is>
          <t>12:18</t>
        </is>
      </c>
      <c r="D1058" t="inlineStr">
        <is>
          <t>n° 10 + n° 11</t>
        </is>
      </c>
      <c r="E1058" t="inlineStr">
        <is>
          <t>CAMEMBERT ROTI</t>
        </is>
      </c>
      <c r="F1058" t="n">
        <v>18.6</v>
      </c>
      <c r="G1058" t="inlineStr">
        <is>
          <t>n° 10 : 0,50 + n° 11 : 0,50</t>
        </is>
      </c>
      <c r="H1058" t="n">
        <v>1</v>
      </c>
    </row>
    <row r="1059">
      <c r="A1059" t="inlineStr">
        <is>
          <t>2022-2023</t>
        </is>
      </c>
      <c r="B1059" t="inlineStr">
        <is>
          <t>2022-10-22</t>
        </is>
      </c>
      <c r="C1059" t="inlineStr">
        <is>
          <t>12:18</t>
        </is>
      </c>
      <c r="D1059" t="inlineStr">
        <is>
          <t>n° 10 + n° 11</t>
        </is>
      </c>
      <c r="E1059" t="inlineStr">
        <is>
          <t>Sol</t>
        </is>
      </c>
      <c r="F1059" t="n">
        <v>8.5</v>
      </c>
      <c r="G1059" t="inlineStr">
        <is>
          <t>n° 10 : 0,50 + n° 11 : 0,50</t>
        </is>
      </c>
      <c r="H1059" t="n">
        <v>1</v>
      </c>
    </row>
    <row r="1060">
      <c r="A1060" t="inlineStr">
        <is>
          <t>2022-2023</t>
        </is>
      </c>
      <c r="B1060" t="inlineStr">
        <is>
          <t>2022-10-22</t>
        </is>
      </c>
      <c r="C1060" t="inlineStr">
        <is>
          <t>12:18</t>
        </is>
      </c>
      <c r="D1060" t="inlineStr">
        <is>
          <t>n° 10 + n° 11</t>
        </is>
      </c>
      <c r="E1060" t="inlineStr">
        <is>
          <t>Mi</t>
        </is>
      </c>
      <c r="F1060" t="n">
        <v>8.5</v>
      </c>
      <c r="G1060" t="inlineStr">
        <is>
          <t>n° 10 : 0,50 + n° 11 : 0,50</t>
        </is>
      </c>
      <c r="H1060" t="n">
        <v>1</v>
      </c>
    </row>
    <row r="1061">
      <c r="A1061" t="inlineStr">
        <is>
          <t>2022-2023</t>
        </is>
      </c>
      <c r="B1061" t="inlineStr">
        <is>
          <t>2022-10-22</t>
        </is>
      </c>
      <c r="C1061" t="inlineStr">
        <is>
          <t>12:18</t>
        </is>
      </c>
      <c r="D1061" t="inlineStr">
        <is>
          <t>n° 10 + n° 11</t>
        </is>
      </c>
      <c r="E1061" t="inlineStr">
        <is>
          <t>Expresso</t>
        </is>
      </c>
      <c r="F1061" t="n">
        <v>2.2</v>
      </c>
      <c r="G1061" t="inlineStr">
        <is>
          <t>n° 10 : 2,50 + n° 11 : 2,50</t>
        </is>
      </c>
      <c r="H1061" t="n">
        <v>5</v>
      </c>
    </row>
    <row r="1062">
      <c r="A1062" t="inlineStr">
        <is>
          <t>2022-2023</t>
        </is>
      </c>
      <c r="B1062" t="inlineStr">
        <is>
          <t>2022-10-22</t>
        </is>
      </c>
      <c r="C1062" t="inlineStr">
        <is>
          <t>20:23</t>
        </is>
      </c>
      <c r="D1062" t="inlineStr">
        <is>
          <t>n° 21 + n° 22</t>
        </is>
      </c>
      <c r="E1062" t="inlineStr">
        <is>
          <t>Arbois Trousseau Bou</t>
        </is>
      </c>
      <c r="F1062" t="n">
        <v>32</v>
      </c>
      <c r="G1062" t="inlineStr">
        <is>
          <t>n° 21 : 0,50 + n° 22 : 0,50</t>
        </is>
      </c>
      <c r="H1062" t="n">
        <v>1</v>
      </c>
    </row>
    <row r="1063">
      <c r="A1063" t="inlineStr">
        <is>
          <t>2022-2023</t>
        </is>
      </c>
      <c r="B1063" t="inlineStr">
        <is>
          <t>2022-10-22</t>
        </is>
      </c>
      <c r="C1063" t="inlineStr">
        <is>
          <t>20:23</t>
        </is>
      </c>
      <c r="D1063" t="inlineStr">
        <is>
          <t>n° 21 + n° 22</t>
        </is>
      </c>
      <c r="E1063" t="inlineStr">
        <is>
          <t>FONDUE VIN JAUNE</t>
        </is>
      </c>
      <c r="F1063" t="n">
        <v>25.9</v>
      </c>
      <c r="G1063" t="inlineStr">
        <is>
          <t>n° 21 : 1,50 + n° 22 : 1,50</t>
        </is>
      </c>
      <c r="H1063" t="n">
        <v>3</v>
      </c>
    </row>
    <row r="1064">
      <c r="A1064" t="inlineStr">
        <is>
          <t>2022-2023</t>
        </is>
      </c>
      <c r="B1064" t="inlineStr">
        <is>
          <t>2022-10-22</t>
        </is>
      </c>
      <c r="C1064" t="inlineStr">
        <is>
          <t>20:23</t>
        </is>
      </c>
      <c r="D1064" t="inlineStr">
        <is>
          <t>n° 21 + n° 22</t>
        </is>
      </c>
      <c r="E1064" t="inlineStr">
        <is>
          <t>Saucisse de Morteau</t>
        </is>
      </c>
      <c r="F1064" t="n">
        <v>8.9</v>
      </c>
      <c r="G1064" t="inlineStr">
        <is>
          <t>n° 21 : 1,50 + n° 22 : 1,50</t>
        </is>
      </c>
      <c r="H1064" t="n">
        <v>3</v>
      </c>
    </row>
    <row r="1065">
      <c r="A1065" t="inlineStr">
        <is>
          <t>2022-2023</t>
        </is>
      </c>
      <c r="B1065" t="inlineStr">
        <is>
          <t>2022-10-22</t>
        </is>
      </c>
      <c r="C1065" t="inlineStr">
        <is>
          <t>20:23</t>
        </is>
      </c>
      <c r="D1065" t="inlineStr">
        <is>
          <t>n° 21 + n° 22</t>
        </is>
      </c>
      <c r="E1065" t="inlineStr">
        <is>
          <t>Whisky-Coca</t>
        </is>
      </c>
      <c r="F1065" t="n">
        <v>7.5</v>
      </c>
      <c r="G1065" t="inlineStr">
        <is>
          <t>n° 21 : 0,50 + n° 22 : 0,50</t>
        </is>
      </c>
      <c r="H1065" t="n">
        <v>1</v>
      </c>
    </row>
    <row r="1066">
      <c r="A1066" t="inlineStr">
        <is>
          <t>2022-2023</t>
        </is>
      </c>
      <c r="B1066" t="inlineStr">
        <is>
          <t>2022-10-22</t>
        </is>
      </c>
      <c r="C1066" t="inlineStr">
        <is>
          <t>20:23</t>
        </is>
      </c>
      <c r="D1066" t="inlineStr">
        <is>
          <t>n° 21 + n° 22</t>
        </is>
      </c>
      <c r="E1066" t="inlineStr">
        <is>
          <t>Eau de Vie de Poire</t>
        </is>
      </c>
      <c r="F1066" t="n">
        <v>6.5</v>
      </c>
      <c r="G1066" t="inlineStr">
        <is>
          <t>n° 21 : 0,50 + n° 22 : 0,50</t>
        </is>
      </c>
      <c r="H1066" t="n">
        <v>1</v>
      </c>
    </row>
    <row r="1067">
      <c r="A1067" t="inlineStr">
        <is>
          <t>2022-2023</t>
        </is>
      </c>
      <c r="B1067" t="inlineStr">
        <is>
          <t>2022-10-22</t>
        </is>
      </c>
      <c r="C1067" t="inlineStr">
        <is>
          <t>20:23</t>
        </is>
      </c>
      <c r="D1067" t="inlineStr">
        <is>
          <t>n° 21 + n° 22</t>
        </is>
      </c>
      <c r="E1067" t="inlineStr">
        <is>
          <t>Marc du Jura (4cl)</t>
        </is>
      </c>
      <c r="F1067" t="n">
        <v>6</v>
      </c>
      <c r="G1067" t="inlineStr">
        <is>
          <t>n° 21 : 0,50 + n° 22 : 0,50</t>
        </is>
      </c>
      <c r="H1067" t="n">
        <v>1</v>
      </c>
    </row>
    <row r="1068">
      <c r="A1068" t="inlineStr">
        <is>
          <t>2022-2023</t>
        </is>
      </c>
      <c r="B1068" t="inlineStr">
        <is>
          <t>2022-10-22</t>
        </is>
      </c>
      <c r="C1068" t="inlineStr">
        <is>
          <t>20:23</t>
        </is>
      </c>
      <c r="D1068" t="inlineStr">
        <is>
          <t>n° 21 + n° 22</t>
        </is>
      </c>
      <c r="E1068" t="inlineStr">
        <is>
          <t>Chat perché</t>
        </is>
      </c>
      <c r="F1068" t="n">
        <v>5.2</v>
      </c>
      <c r="G1068" t="inlineStr">
        <is>
          <t>n° 21 : 0,50 + n° 22 : 0,50</t>
        </is>
      </c>
      <c r="H1068" t="n">
        <v>1</v>
      </c>
    </row>
    <row r="1069">
      <c r="A1069" t="inlineStr">
        <is>
          <t>2022-2023</t>
        </is>
      </c>
      <c r="B1069" t="inlineStr">
        <is>
          <t>2022-10-22</t>
        </is>
      </c>
      <c r="C1069" t="inlineStr">
        <is>
          <t>20:23</t>
        </is>
      </c>
      <c r="D1069" t="inlineStr">
        <is>
          <t>n° 21 + n° 22</t>
        </is>
      </c>
      <c r="E1069" t="inlineStr">
        <is>
          <t>Perrier 33cl</t>
        </is>
      </c>
      <c r="F1069" t="n">
        <v>4</v>
      </c>
      <c r="G1069" t="inlineStr">
        <is>
          <t>n° 21 : 0,50 + n° 22 : 0,50</t>
        </is>
      </c>
      <c r="H1069" t="n">
        <v>1</v>
      </c>
    </row>
    <row r="1070">
      <c r="A1070" t="inlineStr">
        <is>
          <t>2022-2023</t>
        </is>
      </c>
      <c r="B1070" t="inlineStr">
        <is>
          <t>2022-10-22</t>
        </is>
      </c>
      <c r="C1070" t="inlineStr">
        <is>
          <t>20:23</t>
        </is>
      </c>
      <c r="D1070" t="inlineStr">
        <is>
          <t>n° 21 + n° 22</t>
        </is>
      </c>
      <c r="E1070" t="inlineStr">
        <is>
          <t>Orangina (25cl)</t>
        </is>
      </c>
      <c r="F1070" t="n">
        <v>3.9</v>
      </c>
      <c r="G1070" t="inlineStr">
        <is>
          <t>n° 21 : 0,50 + n° 22 : 0,50</t>
        </is>
      </c>
      <c r="H1070" t="n">
        <v>1</v>
      </c>
    </row>
    <row r="1071">
      <c r="A1071" t="inlineStr">
        <is>
          <t>2022-2023</t>
        </is>
      </c>
      <c r="B1071" t="inlineStr">
        <is>
          <t>2022-10-22</t>
        </is>
      </c>
      <c r="C1071" t="inlineStr">
        <is>
          <t>20:23</t>
        </is>
      </c>
      <c r="D1071" t="inlineStr">
        <is>
          <t>n° 21 + n° 22</t>
        </is>
      </c>
      <c r="E1071" t="inlineStr">
        <is>
          <t>Pommes grenailles</t>
        </is>
      </c>
      <c r="F1071" t="n">
        <v>3.9</v>
      </c>
      <c r="G1071" t="inlineStr">
        <is>
          <t>n° 21 : 0,50 + n° 22 : 0,50</t>
        </is>
      </c>
      <c r="H1071" t="n">
        <v>1</v>
      </c>
    </row>
    <row r="1072">
      <c r="A1072" t="inlineStr">
        <is>
          <t>2022-2023</t>
        </is>
      </c>
      <c r="B1072" t="inlineStr">
        <is>
          <t>2022-10-22</t>
        </is>
      </c>
      <c r="C1072" t="inlineStr">
        <is>
          <t>20:23</t>
        </is>
      </c>
      <c r="D1072" t="inlineStr">
        <is>
          <t>n° 21 + n° 22</t>
        </is>
      </c>
      <c r="E1072" t="inlineStr">
        <is>
          <t>Expresso</t>
        </is>
      </c>
      <c r="F1072" t="n">
        <v>2.2</v>
      </c>
      <c r="G1072" t="inlineStr">
        <is>
          <t>n° 21 : 0,50 + n° 22 : 0,50</t>
        </is>
      </c>
      <c r="H1072" t="n">
        <v>1</v>
      </c>
    </row>
    <row r="1073">
      <c r="A1073" t="inlineStr">
        <is>
          <t>2022-2023</t>
        </is>
      </c>
      <c r="B1073" t="inlineStr">
        <is>
          <t>2022-10-22</t>
        </is>
      </c>
      <c r="C1073" t="inlineStr">
        <is>
          <t>20:23</t>
        </is>
      </c>
      <c r="D1073" t="inlineStr">
        <is>
          <t>n° 21 + n° 22</t>
        </is>
      </c>
      <c r="E1073" t="inlineStr">
        <is>
          <t>GLACE 1 BOULE</t>
        </is>
      </c>
      <c r="F1073" t="n">
        <v>2</v>
      </c>
      <c r="G1073" t="inlineStr">
        <is>
          <t>n° 21 : 0,50 + n° 22 : 0,50</t>
        </is>
      </c>
      <c r="H1073" t="n">
        <v>1</v>
      </c>
    </row>
    <row r="1074">
      <c r="A1074" t="inlineStr">
        <is>
          <t>2022-2023</t>
        </is>
      </c>
      <c r="B1074" t="inlineStr">
        <is>
          <t>2022-10-23</t>
        </is>
      </c>
      <c r="C1074" t="inlineStr">
        <is>
          <t>20:26</t>
        </is>
      </c>
      <c r="D1074" t="inlineStr">
        <is>
          <t>n° 24 + n° 25</t>
        </is>
      </c>
      <c r="E1074" t="inlineStr">
        <is>
          <t>CAMEMBERT ROTI</t>
        </is>
      </c>
      <c r="F1074" t="n">
        <v>18.6</v>
      </c>
      <c r="G1074" t="inlineStr">
        <is>
          <t>n° 24 : 0,50 + n° 25 : 0,50</t>
        </is>
      </c>
      <c r="H1074" t="n">
        <v>1</v>
      </c>
    </row>
    <row r="1075">
      <c r="A1075" t="inlineStr">
        <is>
          <t>2022-2023</t>
        </is>
      </c>
      <c r="B1075" t="inlineStr">
        <is>
          <t>2022-10-23</t>
        </is>
      </c>
      <c r="C1075" t="inlineStr">
        <is>
          <t>20:26</t>
        </is>
      </c>
      <c r="D1075" t="inlineStr">
        <is>
          <t>n° 24 + n° 25</t>
        </is>
      </c>
      <c r="E1075" t="inlineStr">
        <is>
          <t>Menu 'Galette'</t>
        </is>
      </c>
      <c r="F1075" t="n">
        <v>17</v>
      </c>
      <c r="G1075" t="inlineStr">
        <is>
          <t>n° 24 : 1,50 + n° 25 : 1,50</t>
        </is>
      </c>
      <c r="H1075" t="n">
        <v>3</v>
      </c>
    </row>
    <row r="1076">
      <c r="A1076" t="inlineStr">
        <is>
          <t>2022-2023</t>
        </is>
      </c>
      <c r="B1076" t="inlineStr">
        <is>
          <t>2022-10-23</t>
        </is>
      </c>
      <c r="C1076" t="inlineStr">
        <is>
          <t>20:26</t>
        </is>
      </c>
      <c r="D1076" t="inlineStr">
        <is>
          <t>n° 24 + n° 25</t>
        </is>
      </c>
      <c r="E1076" t="inlineStr">
        <is>
          <t>Beaujolais Moulin à</t>
        </is>
      </c>
      <c r="F1076" t="n">
        <v>5.8</v>
      </c>
      <c r="G1076" t="inlineStr">
        <is>
          <t>n° 24 : 0,50 + n° 25 : 0,50</t>
        </is>
      </c>
      <c r="H1076" t="n">
        <v>1</v>
      </c>
    </row>
    <row r="1077">
      <c r="A1077" t="inlineStr">
        <is>
          <t>2022-2023</t>
        </is>
      </c>
      <c r="B1077" t="inlineStr">
        <is>
          <t>2022-10-23</t>
        </is>
      </c>
      <c r="C1077" t="inlineStr">
        <is>
          <t>20:26</t>
        </is>
      </c>
      <c r="D1077" t="inlineStr">
        <is>
          <t>n° 24 + n° 25</t>
        </is>
      </c>
      <c r="E1077" t="inlineStr">
        <is>
          <t>pression</t>
        </is>
      </c>
      <c r="F1077" t="n">
        <v>3.9</v>
      </c>
      <c r="G1077" t="inlineStr">
        <is>
          <t>n° 24 : 0,50 + n° 25 : 0,50</t>
        </is>
      </c>
      <c r="H1077" t="n">
        <v>1</v>
      </c>
    </row>
    <row r="1078">
      <c r="A1078" t="inlineStr">
        <is>
          <t>2022-2023</t>
        </is>
      </c>
      <c r="B1078" t="inlineStr">
        <is>
          <t>2022-10-26</t>
        </is>
      </c>
      <c r="C1078" t="inlineStr">
        <is>
          <t>12:37</t>
        </is>
      </c>
      <c r="D1078" t="inlineStr">
        <is>
          <t>n° 19 + n° 20</t>
        </is>
      </c>
      <c r="E1078" t="inlineStr">
        <is>
          <t>Pinte</t>
        </is>
      </c>
      <c r="F1078" t="n">
        <v>7.8</v>
      </c>
      <c r="G1078" t="inlineStr">
        <is>
          <t>n° 19 : 0,50 + n° 20 : 0,50</t>
        </is>
      </c>
      <c r="H1078" t="n">
        <v>1</v>
      </c>
    </row>
    <row r="1079">
      <c r="A1079" t="inlineStr">
        <is>
          <t>2022-2023</t>
        </is>
      </c>
      <c r="B1079" t="inlineStr">
        <is>
          <t>2022-10-26</t>
        </is>
      </c>
      <c r="C1079" t="inlineStr">
        <is>
          <t>12:37</t>
        </is>
      </c>
      <c r="D1079" t="inlineStr">
        <is>
          <t>n° 19 + n° 20</t>
        </is>
      </c>
      <c r="E1079" t="inlineStr">
        <is>
          <t>pression</t>
        </is>
      </c>
      <c r="F1079" t="n">
        <v>3.9</v>
      </c>
      <c r="G1079" t="inlineStr">
        <is>
          <t>n° 19 : 0,50 + n° 20 : 0,50</t>
        </is>
      </c>
      <c r="H1079" t="n">
        <v>1</v>
      </c>
    </row>
    <row r="1080">
      <c r="A1080" t="inlineStr">
        <is>
          <t>2022-2023</t>
        </is>
      </c>
      <c r="B1080" t="inlineStr">
        <is>
          <t>2022-10-26</t>
        </is>
      </c>
      <c r="C1080" t="inlineStr">
        <is>
          <t>19:48</t>
        </is>
      </c>
      <c r="D1080" t="inlineStr">
        <is>
          <t>n° 30 + n° 31</t>
        </is>
      </c>
      <c r="E1080" t="inlineStr">
        <is>
          <t>Gewurztraminer Le ve</t>
        </is>
      </c>
      <c r="F1080" t="n">
        <v>7</v>
      </c>
      <c r="G1080" t="inlineStr">
        <is>
          <t>n° 30 : 0,50 + n° 31 : 0,50</t>
        </is>
      </c>
      <c r="H1080" t="n">
        <v>1</v>
      </c>
    </row>
    <row r="1081">
      <c r="A1081" t="inlineStr">
        <is>
          <t>2022-2023</t>
        </is>
      </c>
      <c r="B1081" t="inlineStr">
        <is>
          <t>2022-10-26</t>
        </is>
      </c>
      <c r="C1081" t="inlineStr">
        <is>
          <t>19:48</t>
        </is>
      </c>
      <c r="D1081" t="inlineStr">
        <is>
          <t>n° 30 + n° 31</t>
        </is>
      </c>
      <c r="E1081" t="inlineStr">
        <is>
          <t>Diabolo (25cl)</t>
        </is>
      </c>
      <c r="F1081" t="n">
        <v>3.9</v>
      </c>
      <c r="G1081" t="inlineStr">
        <is>
          <t>n° 30 : 0,50 + n° 31 : 0,50</t>
        </is>
      </c>
      <c r="H1081" t="n">
        <v>1</v>
      </c>
    </row>
    <row r="1082">
      <c r="A1082" t="inlineStr">
        <is>
          <t>2022-2023</t>
        </is>
      </c>
      <c r="B1082" t="inlineStr">
        <is>
          <t>2022-10-26</t>
        </is>
      </c>
      <c r="C1082" t="inlineStr">
        <is>
          <t>19:48</t>
        </is>
      </c>
      <c r="D1082" t="inlineStr">
        <is>
          <t>n° 30 + n° 31</t>
        </is>
      </c>
      <c r="E1082" t="inlineStr">
        <is>
          <t>Coca (25cl)</t>
        </is>
      </c>
      <c r="F1082" t="n">
        <v>3.9</v>
      </c>
      <c r="G1082" t="inlineStr">
        <is>
          <t>n° 30 : 0,50 + n° 31 : 0,50</t>
        </is>
      </c>
      <c r="H1082" t="n">
        <v>1</v>
      </c>
    </row>
    <row r="1083">
      <c r="A1083" t="inlineStr">
        <is>
          <t>2022-2023</t>
        </is>
      </c>
      <c r="B1083" t="inlineStr">
        <is>
          <t>2022-10-26</t>
        </is>
      </c>
      <c r="C1083" t="inlineStr">
        <is>
          <t>19:48</t>
        </is>
      </c>
      <c r="D1083" t="inlineStr">
        <is>
          <t>n° 30 + n° 31</t>
        </is>
      </c>
      <c r="E1083" t="inlineStr">
        <is>
          <t>POMMES FRITES</t>
        </is>
      </c>
      <c r="F1083" t="n">
        <v>3.9</v>
      </c>
      <c r="G1083" t="inlineStr">
        <is>
          <t>n° 30 : 0,50 + n° 31 : 0,50</t>
        </is>
      </c>
      <c r="H1083" t="n">
        <v>1</v>
      </c>
    </row>
    <row r="1084">
      <c r="A1084" t="inlineStr">
        <is>
          <t>2022-2023</t>
        </is>
      </c>
      <c r="B1084" t="inlineStr">
        <is>
          <t>2022-10-27</t>
        </is>
      </c>
      <c r="C1084" t="inlineStr">
        <is>
          <t>12:12</t>
        </is>
      </c>
      <c r="D1084" t="inlineStr">
        <is>
          <t>n° 9 + n° 10</t>
        </is>
      </c>
      <c r="E1084" t="inlineStr">
        <is>
          <t>Salade Régionale</t>
        </is>
      </c>
      <c r="F1084" t="n">
        <v>19.9</v>
      </c>
      <c r="G1084" t="inlineStr">
        <is>
          <t>n° 9 : 0,50 + n° 10 : 0,50</t>
        </is>
      </c>
      <c r="H1084" t="n">
        <v>1</v>
      </c>
    </row>
    <row r="1085">
      <c r="A1085" t="inlineStr">
        <is>
          <t>2022-2023</t>
        </is>
      </c>
      <c r="B1085" t="inlineStr">
        <is>
          <t>2022-10-27</t>
        </is>
      </c>
      <c r="C1085" t="inlineStr">
        <is>
          <t>12:12</t>
        </is>
      </c>
      <c r="D1085" t="inlineStr">
        <is>
          <t>n° 9 + n° 10</t>
        </is>
      </c>
      <c r="E1085" t="inlineStr">
        <is>
          <t>BURGER COMTOIS</t>
        </is>
      </c>
      <c r="F1085" t="n">
        <v>19</v>
      </c>
      <c r="G1085" t="inlineStr">
        <is>
          <t>n° 9 : 0,50 + n° 10 : 0,50</t>
        </is>
      </c>
      <c r="H1085" t="n">
        <v>1</v>
      </c>
    </row>
    <row r="1086">
      <c r="A1086" t="inlineStr">
        <is>
          <t>2022-2023</t>
        </is>
      </c>
      <c r="B1086" t="inlineStr">
        <is>
          <t>2022-10-27</t>
        </is>
      </c>
      <c r="C1086" t="inlineStr">
        <is>
          <t>12:12</t>
        </is>
      </c>
      <c r="D1086" t="inlineStr">
        <is>
          <t>n° 9 + n° 10</t>
        </is>
      </c>
      <c r="E1086" t="inlineStr">
        <is>
          <t>Ambrée</t>
        </is>
      </c>
      <c r="F1086" t="n">
        <v>5.9</v>
      </c>
      <c r="G1086" t="inlineStr">
        <is>
          <t>n° 9 : 0,50 + n° 10 : 0,50</t>
        </is>
      </c>
      <c r="H1086" t="n">
        <v>1</v>
      </c>
    </row>
    <row r="1087">
      <c r="A1087" t="inlineStr">
        <is>
          <t>2022-2023</t>
        </is>
      </c>
      <c r="B1087" t="inlineStr">
        <is>
          <t>2022-10-27</t>
        </is>
      </c>
      <c r="C1087" t="inlineStr">
        <is>
          <t>12:12</t>
        </is>
      </c>
      <c r="D1087" t="inlineStr">
        <is>
          <t>n° 9 + n° 10</t>
        </is>
      </c>
      <c r="E1087" t="inlineStr">
        <is>
          <t>pression</t>
        </is>
      </c>
      <c r="F1087" t="n">
        <v>3.9</v>
      </c>
      <c r="G1087" t="inlineStr">
        <is>
          <t>n° 9 : 0,50 + n° 10 : 0,50</t>
        </is>
      </c>
      <c r="H1087" t="n">
        <v>1</v>
      </c>
    </row>
    <row r="1088">
      <c r="A1088" t="inlineStr">
        <is>
          <t>2022-2023</t>
        </is>
      </c>
      <c r="B1088" t="inlineStr">
        <is>
          <t>2022-10-27</t>
        </is>
      </c>
      <c r="C1088" t="inlineStr">
        <is>
          <t>20:11</t>
        </is>
      </c>
      <c r="D1088" t="inlineStr">
        <is>
          <t>n° 27 + n° 28</t>
        </is>
      </c>
      <c r="E1088" t="inlineStr">
        <is>
          <t>POULET JURASSIENNE</t>
        </is>
      </c>
      <c r="F1088" t="n">
        <v>18.6</v>
      </c>
      <c r="G1088" t="inlineStr">
        <is>
          <t>n° 27 : 0,50 + n° 28 : 0,50</t>
        </is>
      </c>
      <c r="H1088" t="n">
        <v>1</v>
      </c>
    </row>
    <row r="1089">
      <c r="A1089" t="inlineStr">
        <is>
          <t>2022-2023</t>
        </is>
      </c>
      <c r="B1089" t="inlineStr">
        <is>
          <t>2022-10-27</t>
        </is>
      </c>
      <c r="C1089" t="inlineStr">
        <is>
          <t>20:11</t>
        </is>
      </c>
      <c r="D1089" t="inlineStr">
        <is>
          <t>n° 27 + n° 28</t>
        </is>
      </c>
      <c r="E1089" t="inlineStr">
        <is>
          <t>ECRESSI</t>
        </is>
      </c>
      <c r="F1089" t="n">
        <v>14.5</v>
      </c>
      <c r="G1089" t="inlineStr">
        <is>
          <t>n° 27 : 0,50 + n° 28 : 0,50</t>
        </is>
      </c>
      <c r="H1089" t="n">
        <v>1</v>
      </c>
    </row>
    <row r="1090">
      <c r="A1090" t="inlineStr">
        <is>
          <t>2022-2023</t>
        </is>
      </c>
      <c r="B1090" t="inlineStr">
        <is>
          <t>2022-10-27</t>
        </is>
      </c>
      <c r="C1090" t="inlineStr">
        <is>
          <t>20:11</t>
        </is>
      </c>
      <c r="D1090" t="inlineStr">
        <is>
          <t>n° 27 + n° 28</t>
        </is>
      </c>
      <c r="E1090" t="inlineStr">
        <is>
          <t>Pichet 50cl vin</t>
        </is>
      </c>
      <c r="F1090" t="n">
        <v>9.800000000000001</v>
      </c>
      <c r="G1090" t="inlineStr">
        <is>
          <t>n° 27 : 0,50 + n° 28 : 0,50</t>
        </is>
      </c>
      <c r="H1090" t="n">
        <v>1</v>
      </c>
    </row>
    <row r="1091">
      <c r="A1091" t="inlineStr">
        <is>
          <t>2022-2023</t>
        </is>
      </c>
      <c r="B1091" t="inlineStr">
        <is>
          <t>2022-10-27</t>
        </is>
      </c>
      <c r="C1091" t="inlineStr">
        <is>
          <t>20:11</t>
        </is>
      </c>
      <c r="D1091" t="inlineStr">
        <is>
          <t>n° 27 + n° 28</t>
        </is>
      </c>
      <c r="E1091" t="inlineStr">
        <is>
          <t>Macvin du Jura</t>
        </is>
      </c>
      <c r="F1091" t="n">
        <v>4.9</v>
      </c>
      <c r="G1091" t="inlineStr">
        <is>
          <t>n° 27 : 0,50 + n° 28 : 0,50</t>
        </is>
      </c>
      <c r="H1091" t="n">
        <v>1</v>
      </c>
    </row>
    <row r="1092">
      <c r="A1092" t="inlineStr">
        <is>
          <t>2022-2023</t>
        </is>
      </c>
      <c r="B1092" t="inlineStr">
        <is>
          <t>2022-10-27</t>
        </is>
      </c>
      <c r="C1092" t="inlineStr">
        <is>
          <t>20:11</t>
        </is>
      </c>
      <c r="D1092" t="inlineStr">
        <is>
          <t>n° 27 + n° 28</t>
        </is>
      </c>
      <c r="E1092" t="inlineStr">
        <is>
          <t>Kir Princier</t>
        </is>
      </c>
      <c r="F1092" t="n">
        <v>4.2</v>
      </c>
      <c r="G1092" t="inlineStr">
        <is>
          <t>n° 27 : 0,50 + n° 28 : 0,50</t>
        </is>
      </c>
      <c r="H1092" t="n">
        <v>1</v>
      </c>
    </row>
    <row r="1093">
      <c r="A1093" t="inlineStr">
        <is>
          <t>2022-2023</t>
        </is>
      </c>
      <c r="B1093" t="inlineStr">
        <is>
          <t>2022-10-27</t>
        </is>
      </c>
      <c r="C1093" t="inlineStr">
        <is>
          <t>20:11</t>
        </is>
      </c>
      <c r="D1093" t="inlineStr">
        <is>
          <t>n° 27 + n° 28</t>
        </is>
      </c>
      <c r="E1093" t="inlineStr">
        <is>
          <t>1 Boule Glace</t>
        </is>
      </c>
      <c r="F1093" t="n">
        <v>2</v>
      </c>
      <c r="G1093" t="inlineStr">
        <is>
          <t>n° 27 : 0,50 + n° 28 : 0,50</t>
        </is>
      </c>
      <c r="H1093" t="n">
        <v>1</v>
      </c>
    </row>
    <row r="1094">
      <c r="A1094" t="inlineStr">
        <is>
          <t>2022-2023</t>
        </is>
      </c>
      <c r="B1094" t="inlineStr">
        <is>
          <t>2022-10-27</t>
        </is>
      </c>
      <c r="C1094" t="inlineStr">
        <is>
          <t>20:11</t>
        </is>
      </c>
      <c r="D1094" t="inlineStr">
        <is>
          <t>n° 27 + n° 28</t>
        </is>
      </c>
      <c r="E1094" t="inlineStr">
        <is>
          <t>Noix de coco rapée</t>
        </is>
      </c>
      <c r="F1094" t="n">
        <v>1.2</v>
      </c>
      <c r="G1094" t="inlineStr">
        <is>
          <t>n° 27 : 0,50 + n° 28 : 0,50</t>
        </is>
      </c>
      <c r="H1094" t="n">
        <v>1</v>
      </c>
    </row>
    <row r="1095">
      <c r="A1095" t="inlineStr">
        <is>
          <t>2022-2023</t>
        </is>
      </c>
      <c r="B1095" t="inlineStr">
        <is>
          <t>2022-10-28</t>
        </is>
      </c>
      <c r="C1095" t="inlineStr">
        <is>
          <t>11:57</t>
        </is>
      </c>
      <c r="D1095" t="inlineStr">
        <is>
          <t>n° 5 + n° 6</t>
        </is>
      </c>
      <c r="E1095" t="inlineStr">
        <is>
          <t>Pichet 50cl vin</t>
        </is>
      </c>
      <c r="F1095" t="n">
        <v>9.800000000000001</v>
      </c>
      <c r="G1095" t="inlineStr">
        <is>
          <t>n° 5 : 0,50 + n° 6 : 0,50</t>
        </is>
      </c>
      <c r="H1095" t="n">
        <v>1</v>
      </c>
    </row>
    <row r="1096">
      <c r="A1096" t="inlineStr">
        <is>
          <t>2022-2023</t>
        </is>
      </c>
      <c r="B1096" t="inlineStr">
        <is>
          <t>2022-10-28</t>
        </is>
      </c>
      <c r="C1096" t="inlineStr">
        <is>
          <t>11:57</t>
        </is>
      </c>
      <c r="D1096" t="inlineStr">
        <is>
          <t>n° 5 + n° 6</t>
        </is>
      </c>
      <c r="E1096" t="inlineStr">
        <is>
          <t>Pommes grenailles</t>
        </is>
      </c>
      <c r="F1096" t="n">
        <v>3.9</v>
      </c>
      <c r="G1096" t="inlineStr">
        <is>
          <t>n° 5 : 0,50 + n° 6 : 0,50</t>
        </is>
      </c>
      <c r="H1096" t="n">
        <v>1</v>
      </c>
    </row>
    <row r="1097">
      <c r="A1097" t="inlineStr">
        <is>
          <t>2022-2023</t>
        </is>
      </c>
      <c r="B1097" t="inlineStr">
        <is>
          <t>2022-10-28</t>
        </is>
      </c>
      <c r="C1097" t="inlineStr">
        <is>
          <t>11:57</t>
        </is>
      </c>
      <c r="D1097" t="inlineStr">
        <is>
          <t>n° 5 + n° 6</t>
        </is>
      </c>
      <c r="E1097" t="inlineStr">
        <is>
          <t>Expresso</t>
        </is>
      </c>
      <c r="F1097" t="n">
        <v>2.2</v>
      </c>
      <c r="G1097" t="inlineStr">
        <is>
          <t>n° 5 : 0,50 + n° 6 : 0,50</t>
        </is>
      </c>
      <c r="H1097" t="n">
        <v>1</v>
      </c>
    </row>
    <row r="1098">
      <c r="A1098" t="inlineStr">
        <is>
          <t>2022-2023</t>
        </is>
      </c>
      <c r="B1098" t="inlineStr">
        <is>
          <t>2022-10-28</t>
        </is>
      </c>
      <c r="C1098" t="inlineStr">
        <is>
          <t>19:10</t>
        </is>
      </c>
      <c r="D1098" t="inlineStr">
        <is>
          <t>n° 17 + n° 18</t>
        </is>
      </c>
      <c r="E1098" t="inlineStr">
        <is>
          <t>ASSIETTE FRANC-COMTO</t>
        </is>
      </c>
      <c r="F1098" t="n">
        <v>18.6</v>
      </c>
      <c r="G1098" t="inlineStr">
        <is>
          <t>n° 17 : 0,50 + n° 18 : 0,50</t>
        </is>
      </c>
      <c r="H1098" t="n">
        <v>1</v>
      </c>
    </row>
    <row r="1099">
      <c r="A1099" t="inlineStr">
        <is>
          <t>2022-2023</t>
        </is>
      </c>
      <c r="B1099" t="inlineStr">
        <is>
          <t>2022-10-28</t>
        </is>
      </c>
      <c r="C1099" t="inlineStr">
        <is>
          <t>19:10</t>
        </is>
      </c>
      <c r="D1099" t="inlineStr">
        <is>
          <t>n° 17 + n° 18</t>
        </is>
      </c>
      <c r="E1099" t="inlineStr">
        <is>
          <t>MORTEAU GRILLEE</t>
        </is>
      </c>
      <c r="F1099" t="n">
        <v>18.6</v>
      </c>
      <c r="G1099" t="inlineStr">
        <is>
          <t>n° 17 : 0,50 + n° 18 : 0,50</t>
        </is>
      </c>
      <c r="H1099" t="n">
        <v>1</v>
      </c>
    </row>
    <row r="1100">
      <c r="A1100" t="inlineStr">
        <is>
          <t>2022-2023</t>
        </is>
      </c>
      <c r="B1100" t="inlineStr">
        <is>
          <t>2022-10-28</t>
        </is>
      </c>
      <c r="C1100" t="inlineStr">
        <is>
          <t>19:10</t>
        </is>
      </c>
      <c r="D1100" t="inlineStr">
        <is>
          <t>n° 17 + n° 18</t>
        </is>
      </c>
      <c r="E1100" t="inlineStr">
        <is>
          <t>Pavlova</t>
        </is>
      </c>
      <c r="F1100" t="n">
        <v>8.699999999999999</v>
      </c>
      <c r="G1100" t="inlineStr">
        <is>
          <t>n° 17 : 0,50 + n° 18 : 0,50</t>
        </is>
      </c>
      <c r="H1100" t="n">
        <v>1</v>
      </c>
    </row>
    <row r="1101">
      <c r="A1101" t="inlineStr">
        <is>
          <t>2022-2023</t>
        </is>
      </c>
      <c r="B1101" t="inlineStr">
        <is>
          <t>2022-10-28</t>
        </is>
      </c>
      <c r="C1101" t="inlineStr">
        <is>
          <t>19:10</t>
        </is>
      </c>
      <c r="D1101" t="inlineStr">
        <is>
          <t>n° 17 + n° 18</t>
        </is>
      </c>
      <c r="E1101" t="inlineStr">
        <is>
          <t>Macvin du Jura</t>
        </is>
      </c>
      <c r="F1101" t="n">
        <v>4.9</v>
      </c>
      <c r="G1101" t="inlineStr">
        <is>
          <t>n° 17 : 0,50 + n° 18 : 0,50</t>
        </is>
      </c>
      <c r="H1101" t="n">
        <v>1</v>
      </c>
    </row>
    <row r="1102">
      <c r="A1102" t="inlineStr">
        <is>
          <t>2022-2023</t>
        </is>
      </c>
      <c r="B1102" t="inlineStr">
        <is>
          <t>2022-10-28</t>
        </is>
      </c>
      <c r="C1102" t="inlineStr">
        <is>
          <t>19:10</t>
        </is>
      </c>
      <c r="D1102" t="inlineStr">
        <is>
          <t>n° 17 + n° 18</t>
        </is>
      </c>
      <c r="E1102" t="inlineStr">
        <is>
          <t>Père Gregoire</t>
        </is>
      </c>
      <c r="F1102" t="n">
        <v>4.9</v>
      </c>
      <c r="G1102" t="inlineStr">
        <is>
          <t>n° 17 : 0,50 + n° 18 : 0,50</t>
        </is>
      </c>
      <c r="H1102" t="n">
        <v>1</v>
      </c>
    </row>
    <row r="1103">
      <c r="A1103" t="inlineStr">
        <is>
          <t>2022-2023</t>
        </is>
      </c>
      <c r="B1103" t="inlineStr">
        <is>
          <t>2022-10-28</t>
        </is>
      </c>
      <c r="C1103" t="inlineStr">
        <is>
          <t>19:10</t>
        </is>
      </c>
      <c r="D1103" t="inlineStr">
        <is>
          <t>n° 17 + n° 18</t>
        </is>
      </c>
      <c r="E1103" t="inlineStr">
        <is>
          <t>Expresso</t>
        </is>
      </c>
      <c r="F1103" t="n">
        <v>2.2</v>
      </c>
      <c r="G1103" t="inlineStr">
        <is>
          <t>n° 17 : 0,50 + n° 18 : 0,50</t>
        </is>
      </c>
      <c r="H1103" t="n">
        <v>1</v>
      </c>
    </row>
    <row r="1104">
      <c r="A1104" t="inlineStr">
        <is>
          <t>2022-2023</t>
        </is>
      </c>
      <c r="B1104" t="inlineStr">
        <is>
          <t>2022-10-28</t>
        </is>
      </c>
      <c r="C1104" t="inlineStr">
        <is>
          <t>19:56</t>
        </is>
      </c>
      <c r="D1104" t="inlineStr">
        <is>
          <t>n° 23 + n° 24 + n° 28 + n° 29</t>
        </is>
      </c>
      <c r="E1104" t="inlineStr">
        <is>
          <t>Entrecôte Forestiére</t>
        </is>
      </c>
      <c r="F1104" t="n">
        <v>27.8</v>
      </c>
      <c r="G1104" t="inlineStr">
        <is>
          <t>n° 23 : 0,50 + n° 24 : 0,50</t>
        </is>
      </c>
      <c r="H1104" t="n">
        <v>1</v>
      </c>
    </row>
    <row r="1105">
      <c r="A1105" t="inlineStr">
        <is>
          <t>2022-2023</t>
        </is>
      </c>
      <c r="B1105" t="inlineStr">
        <is>
          <t>2022-10-28</t>
        </is>
      </c>
      <c r="C1105" t="inlineStr">
        <is>
          <t>19:56</t>
        </is>
      </c>
      <c r="D1105" t="inlineStr">
        <is>
          <t>n° 23 + n° 24 + n° 28 + n° 29</t>
        </is>
      </c>
      <c r="E1105" t="inlineStr">
        <is>
          <t>Crémeux du Jura</t>
        </is>
      </c>
      <c r="F1105" t="n">
        <v>19</v>
      </c>
      <c r="G1105" t="inlineStr">
        <is>
          <t>n° 23 : 0,50 + n° 24 : 0,50</t>
        </is>
      </c>
      <c r="H1105" t="n">
        <v>1</v>
      </c>
    </row>
    <row r="1106">
      <c r="A1106" t="inlineStr">
        <is>
          <t>2022-2023</t>
        </is>
      </c>
      <c r="B1106" t="inlineStr">
        <is>
          <t>2022-10-28</t>
        </is>
      </c>
      <c r="C1106" t="inlineStr">
        <is>
          <t>19:56</t>
        </is>
      </c>
      <c r="D1106" t="inlineStr">
        <is>
          <t>n° 23 + n° 24 + n° 28 + n° 29</t>
        </is>
      </c>
      <c r="E1106" t="inlineStr">
        <is>
          <t>TRUITE JURASSIENNE</t>
        </is>
      </c>
      <c r="F1106" t="n">
        <v>18.6</v>
      </c>
      <c r="G1106" t="inlineStr">
        <is>
          <t>n° 28 : 0,50 + n° 29 : 0,50</t>
        </is>
      </c>
      <c r="H1106" t="n">
        <v>1</v>
      </c>
    </row>
    <row r="1107">
      <c r="A1107" t="inlineStr">
        <is>
          <t>2022-2023</t>
        </is>
      </c>
      <c r="B1107" t="inlineStr">
        <is>
          <t>2022-10-28</t>
        </is>
      </c>
      <c r="C1107" t="inlineStr">
        <is>
          <t>19:56</t>
        </is>
      </c>
      <c r="D1107" t="inlineStr">
        <is>
          <t>n° 23 + n° 24 + n° 28 + n° 29</t>
        </is>
      </c>
      <c r="E1107" t="inlineStr">
        <is>
          <t>Croûtes Morilles</t>
        </is>
      </c>
      <c r="F1107" t="n">
        <v>16.9</v>
      </c>
      <c r="G1107" t="inlineStr">
        <is>
          <t>n° 23 : 0,50 + n° 24 : 0,50</t>
        </is>
      </c>
      <c r="H1107" t="n">
        <v>1</v>
      </c>
    </row>
    <row r="1108">
      <c r="A1108" t="inlineStr">
        <is>
          <t>2022-2023</t>
        </is>
      </c>
      <c r="B1108" t="inlineStr">
        <is>
          <t>2022-10-28</t>
        </is>
      </c>
      <c r="C1108" t="inlineStr">
        <is>
          <t>19:56</t>
        </is>
      </c>
      <c r="D1108" t="inlineStr">
        <is>
          <t>n° 23 + n° 24 + n° 28 + n° 29</t>
        </is>
      </c>
      <c r="E1108" t="inlineStr">
        <is>
          <t>TRUITE PESTO</t>
        </is>
      </c>
      <c r="F1108" t="n">
        <v>16.9</v>
      </c>
      <c r="G1108" t="inlineStr">
        <is>
          <t>n° 28 : 0,50 + n° 29 : 0,50</t>
        </is>
      </c>
      <c r="H1108" t="n">
        <v>1</v>
      </c>
    </row>
    <row r="1109">
      <c r="A1109" t="inlineStr">
        <is>
          <t>2022-2023</t>
        </is>
      </c>
      <c r="B1109" t="inlineStr">
        <is>
          <t>2022-10-28</t>
        </is>
      </c>
      <c r="C1109" t="inlineStr">
        <is>
          <t>19:56</t>
        </is>
      </c>
      <c r="D1109" t="inlineStr">
        <is>
          <t>n° 23 + n° 24 + n° 28 + n° 29</t>
        </is>
      </c>
      <c r="E1109" t="inlineStr">
        <is>
          <t>Mi</t>
        </is>
      </c>
      <c r="F1109" t="n">
        <v>8.5</v>
      </c>
      <c r="G1109" t="inlineStr">
        <is>
          <t>n° 28 : 0,50 + n° 29 : 0,50</t>
        </is>
      </c>
      <c r="H1109" t="n">
        <v>1</v>
      </c>
    </row>
    <row r="1110">
      <c r="A1110" t="inlineStr">
        <is>
          <t>2022-2023</t>
        </is>
      </c>
      <c r="B1110" t="inlineStr">
        <is>
          <t>2022-10-28</t>
        </is>
      </c>
      <c r="C1110" t="inlineStr">
        <is>
          <t>19:56</t>
        </is>
      </c>
      <c r="D1110" t="inlineStr">
        <is>
          <t>n° 23 + n° 24 + n° 28 + n° 29</t>
        </is>
      </c>
      <c r="E1110" t="inlineStr">
        <is>
          <t>Saint Véran Verre</t>
        </is>
      </c>
      <c r="F1110" t="n">
        <v>7.9</v>
      </c>
      <c r="G1110" t="inlineStr">
        <is>
          <t>n° 23 : 0,50 + n° 24 : 0,50</t>
        </is>
      </c>
      <c r="H1110" t="n">
        <v>1</v>
      </c>
    </row>
    <row r="1111">
      <c r="A1111" t="inlineStr">
        <is>
          <t>2022-2023</t>
        </is>
      </c>
      <c r="B1111" t="inlineStr">
        <is>
          <t>2022-10-28</t>
        </is>
      </c>
      <c r="C1111" t="inlineStr">
        <is>
          <t>19:56</t>
        </is>
      </c>
      <c r="D1111" t="inlineStr">
        <is>
          <t>n° 23 + n° 24 + n° 28 + n° 29</t>
        </is>
      </c>
      <c r="E1111" t="inlineStr">
        <is>
          <t>H.C.DE BEAUNE  VERRE</t>
        </is>
      </c>
      <c r="F1111" t="n">
        <v>7.9</v>
      </c>
      <c r="G1111" t="inlineStr">
        <is>
          <t>n° 23 : 0,50 + n° 24 : 0,50</t>
        </is>
      </c>
      <c r="H1111" t="n">
        <v>1</v>
      </c>
    </row>
    <row r="1112">
      <c r="A1112" t="inlineStr">
        <is>
          <t>2022-2023</t>
        </is>
      </c>
      <c r="B1112" t="inlineStr">
        <is>
          <t>2022-10-28</t>
        </is>
      </c>
      <c r="C1112" t="inlineStr">
        <is>
          <t>19:56</t>
        </is>
      </c>
      <c r="D1112" t="inlineStr">
        <is>
          <t>n° 23 + n° 24 + n° 28 + n° 29</t>
        </is>
      </c>
      <c r="E1112" t="inlineStr">
        <is>
          <t>CUPIDON</t>
        </is>
      </c>
      <c r="F1112" t="n">
        <v>7.5</v>
      </c>
      <c r="G1112" t="inlineStr">
        <is>
          <t>n° 28 : 0,50 + n° 29 : 0,50</t>
        </is>
      </c>
      <c r="H1112" t="n">
        <v>1</v>
      </c>
    </row>
    <row r="1113">
      <c r="A1113" t="inlineStr">
        <is>
          <t>2022-2023</t>
        </is>
      </c>
      <c r="B1113" t="inlineStr">
        <is>
          <t>2022-10-28</t>
        </is>
      </c>
      <c r="C1113" t="inlineStr">
        <is>
          <t>19:56</t>
        </is>
      </c>
      <c r="D1113" t="inlineStr">
        <is>
          <t>n° 23 + n° 24 + n° 28 + n° 29</t>
        </is>
      </c>
      <c r="E1113" t="inlineStr">
        <is>
          <t>Crêpe Salidou</t>
        </is>
      </c>
      <c r="F1113" t="n">
        <v>5.6</v>
      </c>
      <c r="G1113" t="inlineStr">
        <is>
          <t>n° 28 : 0,50 + n° 29 : 0,50</t>
        </is>
      </c>
      <c r="H1113" t="n">
        <v>1</v>
      </c>
    </row>
    <row r="1114">
      <c r="A1114" t="inlineStr">
        <is>
          <t>2022-2023</t>
        </is>
      </c>
      <c r="B1114" t="inlineStr">
        <is>
          <t>2022-10-28</t>
        </is>
      </c>
      <c r="C1114" t="inlineStr">
        <is>
          <t>19:56</t>
        </is>
      </c>
      <c r="D1114" t="inlineStr">
        <is>
          <t>n° 23 + n° 24 + n° 28 + n° 29</t>
        </is>
      </c>
      <c r="E1114" t="inlineStr">
        <is>
          <t>Liqueur de Poire</t>
        </is>
      </c>
      <c r="F1114" t="n">
        <v>5.2</v>
      </c>
      <c r="G1114" t="inlineStr">
        <is>
          <t>n° 23 : 0,50 + n° 24 : 0,50</t>
        </is>
      </c>
      <c r="H1114" t="n">
        <v>1</v>
      </c>
    </row>
    <row r="1115">
      <c r="A1115" t="inlineStr">
        <is>
          <t>2022-2023</t>
        </is>
      </c>
      <c r="B1115" t="inlineStr">
        <is>
          <t>2022-10-28</t>
        </is>
      </c>
      <c r="C1115" t="inlineStr">
        <is>
          <t>19:56</t>
        </is>
      </c>
      <c r="D1115" t="inlineStr">
        <is>
          <t>n° 23 + n° 24 + n° 28 + n° 29</t>
        </is>
      </c>
      <c r="E1115" t="inlineStr">
        <is>
          <t>Père Gregoire</t>
        </is>
      </c>
      <c r="F1115" t="n">
        <v>4.9</v>
      </c>
      <c r="G1115" t="inlineStr">
        <is>
          <t>n° 23 : 0,50 + n° 24 : 0,50</t>
        </is>
      </c>
      <c r="H1115" t="n">
        <v>1</v>
      </c>
    </row>
    <row r="1116">
      <c r="A1116" t="inlineStr">
        <is>
          <t>2022-2023</t>
        </is>
      </c>
      <c r="B1116" t="inlineStr">
        <is>
          <t>2022-10-28</t>
        </is>
      </c>
      <c r="C1116" t="inlineStr">
        <is>
          <t>19:56</t>
        </is>
      </c>
      <c r="D1116" t="inlineStr">
        <is>
          <t>n° 23 + n° 24 + n° 28 + n° 29</t>
        </is>
      </c>
      <c r="E1116" t="inlineStr">
        <is>
          <t>GLACE 1 BOULE</t>
        </is>
      </c>
      <c r="F1116" t="n">
        <v>2</v>
      </c>
      <c r="G1116" t="inlineStr">
        <is>
          <t>n° 28 : 0,50 + n° 29 : 0,50</t>
        </is>
      </c>
      <c r="H1116" t="n">
        <v>1</v>
      </c>
    </row>
    <row r="1117">
      <c r="A1117" t="inlineStr">
        <is>
          <t>2022-2023</t>
        </is>
      </c>
      <c r="B1117" t="inlineStr">
        <is>
          <t>2022-10-29</t>
        </is>
      </c>
      <c r="C1117" t="inlineStr">
        <is>
          <t>11:55</t>
        </is>
      </c>
      <c r="D1117" t="inlineStr">
        <is>
          <t>n° 4 + n° 5</t>
        </is>
      </c>
      <c r="E1117" t="inlineStr">
        <is>
          <t>Menu 'Galette'</t>
        </is>
      </c>
      <c r="F1117" t="n">
        <v>17</v>
      </c>
      <c r="G1117" t="inlineStr">
        <is>
          <t>n° 4 : 1,50 + n° 5 : 1,50</t>
        </is>
      </c>
      <c r="H1117" t="n">
        <v>3</v>
      </c>
    </row>
    <row r="1118">
      <c r="A1118" t="inlineStr">
        <is>
          <t>2022-2023</t>
        </is>
      </c>
      <c r="B1118" t="inlineStr">
        <is>
          <t>2022-10-29</t>
        </is>
      </c>
      <c r="C1118" t="inlineStr">
        <is>
          <t>12:21</t>
        </is>
      </c>
      <c r="D1118" t="inlineStr">
        <is>
          <t>n° 9 + n° 10 + n° 11 + n° 12</t>
        </is>
      </c>
      <c r="E1118" t="inlineStr">
        <is>
          <t>Entrecôte grillée</t>
        </is>
      </c>
      <c r="F1118" t="n">
        <v>19.9</v>
      </c>
      <c r="G1118" t="inlineStr">
        <is>
          <t>n° 9 : 0,50 + n° 10 : 0,50</t>
        </is>
      </c>
      <c r="H1118" t="n">
        <v>1</v>
      </c>
    </row>
    <row r="1119">
      <c r="A1119" t="inlineStr">
        <is>
          <t>2022-2023</t>
        </is>
      </c>
      <c r="B1119" t="inlineStr">
        <is>
          <t>2022-10-29</t>
        </is>
      </c>
      <c r="C1119" t="inlineStr">
        <is>
          <t>12:21</t>
        </is>
      </c>
      <c r="D1119" t="inlineStr">
        <is>
          <t>n° 9 + n° 10 + n° 11 + n° 12</t>
        </is>
      </c>
      <c r="E1119" t="inlineStr">
        <is>
          <t>TRUITE PESTO</t>
        </is>
      </c>
      <c r="F1119" t="n">
        <v>16.9</v>
      </c>
      <c r="G1119" t="inlineStr">
        <is>
          <t>n° 9 : 0,50 + n° 10 : 0,50</t>
        </is>
      </c>
      <c r="H1119" t="n">
        <v>1</v>
      </c>
    </row>
    <row r="1120">
      <c r="A1120" t="inlineStr">
        <is>
          <t>2022-2023</t>
        </is>
      </c>
      <c r="B1120" t="inlineStr">
        <is>
          <t>2022-10-29</t>
        </is>
      </c>
      <c r="C1120" t="inlineStr">
        <is>
          <t>12:21</t>
        </is>
      </c>
      <c r="D1120" t="inlineStr">
        <is>
          <t>n° 9 + n° 10 + n° 11 + n° 12</t>
        </is>
      </c>
      <c r="E1120" t="inlineStr">
        <is>
          <t>Formule Express</t>
        </is>
      </c>
      <c r="F1120" t="n">
        <v>16.5</v>
      </c>
      <c r="G1120" t="inlineStr">
        <is>
          <t>n° 11 : 0,50 + n° 12 : 0,50</t>
        </is>
      </c>
      <c r="H1120" t="n">
        <v>1</v>
      </c>
    </row>
    <row r="1121">
      <c r="A1121" t="inlineStr">
        <is>
          <t>2022-2023</t>
        </is>
      </c>
      <c r="B1121" t="inlineStr">
        <is>
          <t>2022-10-29</t>
        </is>
      </c>
      <c r="C1121" t="inlineStr">
        <is>
          <t>12:21</t>
        </is>
      </c>
      <c r="D1121" t="inlineStr">
        <is>
          <t>n° 9 + n° 10 + n° 11 + n° 12</t>
        </is>
      </c>
      <c r="E1121" t="inlineStr">
        <is>
          <t>Menu 'Enfant'</t>
        </is>
      </c>
      <c r="F1121" t="n">
        <v>9.9</v>
      </c>
      <c r="G1121" t="inlineStr">
        <is>
          <t>n° 11 : 0,50 + n° 12 : 0,50</t>
        </is>
      </c>
      <c r="H1121" t="n">
        <v>1</v>
      </c>
    </row>
    <row r="1122">
      <c r="A1122" t="inlineStr">
        <is>
          <t>2022-2023</t>
        </is>
      </c>
      <c r="B1122" t="inlineStr">
        <is>
          <t>2022-10-29</t>
        </is>
      </c>
      <c r="C1122" t="inlineStr">
        <is>
          <t>12:21</t>
        </is>
      </c>
      <c r="D1122" t="inlineStr">
        <is>
          <t>n° 9 + n° 10 + n° 11 + n° 12</t>
        </is>
      </c>
      <c r="E1122" t="inlineStr">
        <is>
          <t>Pinte</t>
        </is>
      </c>
      <c r="F1122" t="n">
        <v>7.8</v>
      </c>
      <c r="G1122" t="inlineStr">
        <is>
          <t>n° 11 : 0,50 + n° 12 : 0,50</t>
        </is>
      </c>
      <c r="H1122" t="n">
        <v>1</v>
      </c>
    </row>
    <row r="1123">
      <c r="A1123" t="inlineStr">
        <is>
          <t>2022-2023</t>
        </is>
      </c>
      <c r="B1123" t="inlineStr">
        <is>
          <t>2022-10-29</t>
        </is>
      </c>
      <c r="C1123" t="inlineStr">
        <is>
          <t>12:21</t>
        </is>
      </c>
      <c r="D1123" t="inlineStr">
        <is>
          <t>n° 9 + n° 10 + n° 11 + n° 12</t>
        </is>
      </c>
      <c r="E1123" t="inlineStr">
        <is>
          <t>Menu Bambin</t>
        </is>
      </c>
      <c r="F1123" t="n">
        <v>6.9</v>
      </c>
      <c r="G1123" t="inlineStr">
        <is>
          <t>n° 11 : 0,50 + n° 12 : 0,50</t>
        </is>
      </c>
      <c r="H1123" t="n">
        <v>1</v>
      </c>
    </row>
    <row r="1124">
      <c r="A1124" t="inlineStr">
        <is>
          <t>2022-2023</t>
        </is>
      </c>
      <c r="B1124" t="inlineStr">
        <is>
          <t>2022-10-29</t>
        </is>
      </c>
      <c r="C1124" t="inlineStr">
        <is>
          <t>12:21</t>
        </is>
      </c>
      <c r="D1124" t="inlineStr">
        <is>
          <t>n° 9 + n° 10 + n° 11 + n° 12</t>
        </is>
      </c>
      <c r="E1124" t="inlineStr">
        <is>
          <t>Vittel litre</t>
        </is>
      </c>
      <c r="F1124" t="n">
        <v>5.9</v>
      </c>
      <c r="G1124" t="inlineStr">
        <is>
          <t>n° 9 : 0,50 + n° 10 : 0,50</t>
        </is>
      </c>
      <c r="H1124" t="n">
        <v>1</v>
      </c>
    </row>
    <row r="1125">
      <c r="A1125" t="inlineStr">
        <is>
          <t>2022-2023</t>
        </is>
      </c>
      <c r="B1125" t="inlineStr">
        <is>
          <t>2022-10-29</t>
        </is>
      </c>
      <c r="C1125" t="inlineStr">
        <is>
          <t>12:21</t>
        </is>
      </c>
      <c r="D1125" t="inlineStr">
        <is>
          <t>n° 9 + n° 10 + n° 11 + n° 12</t>
        </is>
      </c>
      <c r="E1125" t="inlineStr">
        <is>
          <t>Beaujolais Moulin à</t>
        </is>
      </c>
      <c r="F1125" t="n">
        <v>5.8</v>
      </c>
      <c r="G1125" t="inlineStr">
        <is>
          <t>n° 9 : 0,50 + n° 10 : 0,50</t>
        </is>
      </c>
      <c r="H1125" t="n">
        <v>1</v>
      </c>
    </row>
    <row r="1126">
      <c r="A1126" t="inlineStr">
        <is>
          <t>2022-2023</t>
        </is>
      </c>
      <c r="B1126" t="inlineStr">
        <is>
          <t>2022-10-29</t>
        </is>
      </c>
      <c r="C1126" t="inlineStr">
        <is>
          <t>12:21</t>
        </is>
      </c>
      <c r="D1126" t="inlineStr">
        <is>
          <t>n° 9 + n° 10 + n° 11 + n° 12</t>
        </is>
      </c>
      <c r="E1126" t="inlineStr">
        <is>
          <t>Chat perché</t>
        </is>
      </c>
      <c r="F1126" t="n">
        <v>5.2</v>
      </c>
      <c r="G1126" t="inlineStr">
        <is>
          <t>n° 11 : 0,50 + n° 12 : 0,50</t>
        </is>
      </c>
      <c r="H1126" t="n">
        <v>1</v>
      </c>
    </row>
    <row r="1127">
      <c r="A1127" t="inlineStr">
        <is>
          <t>2022-2023</t>
        </is>
      </c>
      <c r="B1127" t="inlineStr">
        <is>
          <t>2022-10-29</t>
        </is>
      </c>
      <c r="C1127" t="inlineStr">
        <is>
          <t>12:21</t>
        </is>
      </c>
      <c r="D1127" t="inlineStr">
        <is>
          <t>n° 9 + n° 10 + n° 11 + n° 12</t>
        </is>
      </c>
      <c r="E1127" t="inlineStr">
        <is>
          <t>Perrier 33cl</t>
        </is>
      </c>
      <c r="F1127" t="n">
        <v>4</v>
      </c>
      <c r="G1127" t="inlineStr">
        <is>
          <t>n° 11 : 0,50 + n° 12 : 0,50</t>
        </is>
      </c>
      <c r="H1127" t="n">
        <v>1</v>
      </c>
    </row>
    <row r="1128">
      <c r="A1128" t="inlineStr">
        <is>
          <t>2022-2023</t>
        </is>
      </c>
      <c r="B1128" t="inlineStr">
        <is>
          <t>2022-10-29</t>
        </is>
      </c>
      <c r="C1128" t="inlineStr">
        <is>
          <t>12:21</t>
        </is>
      </c>
      <c r="D1128" t="inlineStr">
        <is>
          <t>n° 9 + n° 10 + n° 11 + n° 12</t>
        </is>
      </c>
      <c r="E1128" t="inlineStr">
        <is>
          <t>pression</t>
        </is>
      </c>
      <c r="F1128" t="n">
        <v>3.9</v>
      </c>
      <c r="G1128" t="inlineStr">
        <is>
          <t>n° 9 : 0,50 + n° 10 : 0,50</t>
        </is>
      </c>
      <c r="H1128" t="n">
        <v>1</v>
      </c>
    </row>
    <row r="1129">
      <c r="A1129" t="inlineStr">
        <is>
          <t>2022-2023</t>
        </is>
      </c>
      <c r="B1129" t="inlineStr">
        <is>
          <t>2022-10-29</t>
        </is>
      </c>
      <c r="C1129" t="inlineStr">
        <is>
          <t>12:21</t>
        </is>
      </c>
      <c r="D1129" t="inlineStr">
        <is>
          <t>n° 9 + n° 10 + n° 11 + n° 12</t>
        </is>
      </c>
      <c r="E1129" t="inlineStr">
        <is>
          <t>Fuze Tea</t>
        </is>
      </c>
      <c r="F1129" t="n">
        <v>3.9</v>
      </c>
      <c r="G1129" t="inlineStr">
        <is>
          <t>n° 11 : 0,50 + n° 12 : 0,50</t>
        </is>
      </c>
      <c r="H1129" t="n">
        <v>1</v>
      </c>
    </row>
    <row r="1130">
      <c r="A1130" t="inlineStr">
        <is>
          <t>2022-2023</t>
        </is>
      </c>
      <c r="B1130" t="inlineStr">
        <is>
          <t>2022-10-29</t>
        </is>
      </c>
      <c r="C1130" t="inlineStr">
        <is>
          <t>12:21</t>
        </is>
      </c>
      <c r="D1130" t="inlineStr">
        <is>
          <t>n° 9 + n° 10 + n° 11 + n° 12</t>
        </is>
      </c>
      <c r="E1130" t="inlineStr">
        <is>
          <t>Coca (25cl)</t>
        </is>
      </c>
      <c r="F1130" t="n">
        <v>3.9</v>
      </c>
      <c r="G1130" t="inlineStr">
        <is>
          <t>n° 11 : 0,50 + n° 12 : 0,50</t>
        </is>
      </c>
      <c r="H1130" t="n">
        <v>1</v>
      </c>
    </row>
    <row r="1131">
      <c r="A1131" t="inlineStr">
        <is>
          <t>2022-2023</t>
        </is>
      </c>
      <c r="B1131" t="inlineStr">
        <is>
          <t>2022-10-29</t>
        </is>
      </c>
      <c r="C1131" t="inlineStr">
        <is>
          <t>12:21</t>
        </is>
      </c>
      <c r="D1131" t="inlineStr">
        <is>
          <t>n° 9 + n° 10 + n° 11 + n° 12</t>
        </is>
      </c>
      <c r="E1131" t="inlineStr">
        <is>
          <t>Limonade (25cl)</t>
        </is>
      </c>
      <c r="F1131" t="n">
        <v>3.9</v>
      </c>
      <c r="G1131" t="inlineStr">
        <is>
          <t>n° 11 : 0,50 + n° 12 : 0,50</t>
        </is>
      </c>
      <c r="H1131" t="n">
        <v>1</v>
      </c>
    </row>
    <row r="1132">
      <c r="A1132" t="inlineStr">
        <is>
          <t>2022-2023</t>
        </is>
      </c>
      <c r="B1132" t="inlineStr">
        <is>
          <t>2022-10-29</t>
        </is>
      </c>
      <c r="C1132" t="inlineStr">
        <is>
          <t>12:21</t>
        </is>
      </c>
      <c r="D1132" t="inlineStr">
        <is>
          <t>n° 9 + n° 10 + n° 11 + n° 12</t>
        </is>
      </c>
      <c r="E1132" t="inlineStr">
        <is>
          <t>GLACE 1 BOULE</t>
        </is>
      </c>
      <c r="F1132" t="n">
        <v>2</v>
      </c>
      <c r="G1132" t="inlineStr">
        <is>
          <t>n° 9 : 0,50 + n° 10 : 0,50</t>
        </is>
      </c>
      <c r="H1132" t="n">
        <v>1</v>
      </c>
    </row>
    <row r="1133">
      <c r="A1133" t="inlineStr">
        <is>
          <t>2022-2023</t>
        </is>
      </c>
      <c r="B1133" t="inlineStr">
        <is>
          <t>2022-10-29</t>
        </is>
      </c>
      <c r="C1133" t="inlineStr">
        <is>
          <t>19:00</t>
        </is>
      </c>
      <c r="D1133" t="inlineStr">
        <is>
          <t>n° 17 + n° 18</t>
        </is>
      </c>
      <c r="E1133" t="inlineStr">
        <is>
          <t>Pinte</t>
        </is>
      </c>
      <c r="F1133" t="n">
        <v>7.8</v>
      </c>
      <c r="G1133" t="inlineStr">
        <is>
          <t>n° 17 : 0,50 + n° 18 : 0,50</t>
        </is>
      </c>
      <c r="H1133" t="n">
        <v>1</v>
      </c>
    </row>
    <row r="1134">
      <c r="A1134" t="inlineStr">
        <is>
          <t>2022-2023</t>
        </is>
      </c>
      <c r="B1134" t="inlineStr">
        <is>
          <t>2022-10-29</t>
        </is>
      </c>
      <c r="C1134" t="inlineStr">
        <is>
          <t>19:00</t>
        </is>
      </c>
      <c r="D1134" t="inlineStr">
        <is>
          <t>n° 17 + n° 18</t>
        </is>
      </c>
      <c r="E1134" t="inlineStr">
        <is>
          <t>Mambo</t>
        </is>
      </c>
      <c r="F1134" t="n">
        <v>6.5</v>
      </c>
      <c r="G1134" t="inlineStr">
        <is>
          <t>n° 17 : 0,50 + n° 18 : 0,50</t>
        </is>
      </c>
      <c r="H1134" t="n">
        <v>1</v>
      </c>
    </row>
    <row r="1135">
      <c r="A1135" t="inlineStr">
        <is>
          <t>2022-2023</t>
        </is>
      </c>
      <c r="B1135" t="inlineStr">
        <is>
          <t>2022-10-29</t>
        </is>
      </c>
      <c r="C1135" t="inlineStr">
        <is>
          <t>19:00</t>
        </is>
      </c>
      <c r="D1135" t="inlineStr">
        <is>
          <t>n° 17 + n° 18</t>
        </is>
      </c>
      <c r="E1135" t="inlineStr">
        <is>
          <t>Jus de Fruit</t>
        </is>
      </c>
      <c r="F1135" t="n">
        <v>3.9</v>
      </c>
      <c r="G1135" t="inlineStr">
        <is>
          <t>n° 17 : 0,50 + n° 18 : 0,50</t>
        </is>
      </c>
      <c r="H1135" t="n">
        <v>1</v>
      </c>
    </row>
    <row r="1136">
      <c r="A1136" t="inlineStr">
        <is>
          <t>2022-2023</t>
        </is>
      </c>
      <c r="B1136" t="inlineStr">
        <is>
          <t>2022-10-29</t>
        </is>
      </c>
      <c r="C1136" t="inlineStr">
        <is>
          <t>19:00</t>
        </is>
      </c>
      <c r="D1136" t="inlineStr">
        <is>
          <t>n° 17 + n° 18</t>
        </is>
      </c>
      <c r="E1136" t="inlineStr">
        <is>
          <t>POMMES FRITES</t>
        </is>
      </c>
      <c r="F1136" t="n">
        <v>3.9</v>
      </c>
      <c r="G1136" t="inlineStr">
        <is>
          <t>n° 17 : 1,50 + n° 18 : 1,50</t>
        </is>
      </c>
      <c r="H1136" t="n">
        <v>3</v>
      </c>
    </row>
    <row r="1137">
      <c r="A1137" t="inlineStr">
        <is>
          <t>2022-2023</t>
        </is>
      </c>
      <c r="B1137" t="inlineStr">
        <is>
          <t>2022-10-29</t>
        </is>
      </c>
      <c r="C1137" t="inlineStr">
        <is>
          <t>19:00</t>
        </is>
      </c>
      <c r="D1137" t="inlineStr">
        <is>
          <t>n° 17 + n° 18</t>
        </is>
      </c>
      <c r="E1137" t="inlineStr">
        <is>
          <t>Pommes grenailles</t>
        </is>
      </c>
      <c r="F1137" t="n">
        <v>3.9</v>
      </c>
      <c r="G1137" t="inlineStr">
        <is>
          <t>n° 17 : 0,50 + n° 18 : 0,50</t>
        </is>
      </c>
      <c r="H1137" t="n">
        <v>1</v>
      </c>
    </row>
    <row r="1138">
      <c r="A1138" t="inlineStr">
        <is>
          <t>2022-2023</t>
        </is>
      </c>
      <c r="B1138" t="inlineStr">
        <is>
          <t>2022-10-29</t>
        </is>
      </c>
      <c r="C1138" t="inlineStr">
        <is>
          <t>19:00</t>
        </is>
      </c>
      <c r="D1138" t="inlineStr">
        <is>
          <t>n° 17 + n° 18</t>
        </is>
      </c>
      <c r="E1138" t="inlineStr">
        <is>
          <t>Sirop à l'eau</t>
        </is>
      </c>
      <c r="F1138" t="n">
        <v>2.2</v>
      </c>
      <c r="G1138" t="inlineStr">
        <is>
          <t>n° 17 : 0,50 + n° 18 : 0,50</t>
        </is>
      </c>
      <c r="H1138" t="n">
        <v>1</v>
      </c>
    </row>
    <row r="1139">
      <c r="A1139" t="inlineStr">
        <is>
          <t>2022-2023</t>
        </is>
      </c>
      <c r="B1139" t="inlineStr">
        <is>
          <t>2022-10-29</t>
        </is>
      </c>
      <c r="C1139" t="inlineStr">
        <is>
          <t>19:52</t>
        </is>
      </c>
      <c r="D1139" t="inlineStr">
        <is>
          <t>n° 25 + n° 26</t>
        </is>
      </c>
      <c r="E1139" t="inlineStr">
        <is>
          <t>Mambo</t>
        </is>
      </c>
      <c r="F1139" t="n">
        <v>6.5</v>
      </c>
      <c r="G1139" t="inlineStr">
        <is>
          <t>n° 25 : 0,50 + n° 26 : 0,50</t>
        </is>
      </c>
      <c r="H1139" t="n">
        <v>1</v>
      </c>
    </row>
    <row r="1140">
      <c r="A1140" t="inlineStr">
        <is>
          <t>2022-2023</t>
        </is>
      </c>
      <c r="B1140" t="inlineStr">
        <is>
          <t>2022-10-29</t>
        </is>
      </c>
      <c r="C1140" t="inlineStr">
        <is>
          <t>19:52</t>
        </is>
      </c>
      <c r="D1140" t="inlineStr">
        <is>
          <t>n° 25 + n° 26</t>
        </is>
      </c>
      <c r="E1140" t="inlineStr">
        <is>
          <t>Luna</t>
        </is>
      </c>
      <c r="F1140" t="n">
        <v>6</v>
      </c>
      <c r="G1140" t="inlineStr">
        <is>
          <t>n° 25 : 0,50 + n° 26 : 0,50</t>
        </is>
      </c>
      <c r="H1140" t="n">
        <v>1</v>
      </c>
    </row>
    <row r="1141">
      <c r="A1141" t="inlineStr">
        <is>
          <t>2022-2023</t>
        </is>
      </c>
      <c r="B1141" t="inlineStr">
        <is>
          <t>2022-10-29</t>
        </is>
      </c>
      <c r="C1141" t="inlineStr">
        <is>
          <t>20:20</t>
        </is>
      </c>
      <c r="D1141" t="inlineStr">
        <is>
          <t>n° 29 + n° 30</t>
        </is>
      </c>
      <c r="E1141" t="inlineStr">
        <is>
          <t>FOULETOT</t>
        </is>
      </c>
      <c r="F1141" t="n">
        <v>10.5</v>
      </c>
      <c r="G1141" t="inlineStr">
        <is>
          <t>n° 29 : 0,50 + n° 30 : 0,50</t>
        </is>
      </c>
      <c r="H1141" t="n">
        <v>1</v>
      </c>
    </row>
    <row r="1142">
      <c r="A1142" t="inlineStr">
        <is>
          <t>2022-2023</t>
        </is>
      </c>
      <c r="B1142" t="inlineStr">
        <is>
          <t>2022-10-29</t>
        </is>
      </c>
      <c r="C1142" t="inlineStr">
        <is>
          <t>20:20</t>
        </is>
      </c>
      <c r="D1142" t="inlineStr">
        <is>
          <t>n° 29 + n° 30</t>
        </is>
      </c>
      <c r="E1142" t="inlineStr">
        <is>
          <t>TANTE ARIE</t>
        </is>
      </c>
      <c r="F1142" t="n">
        <v>8.5</v>
      </c>
      <c r="G1142" t="inlineStr">
        <is>
          <t>n° 29 : 0,50 + n° 30 : 0,50</t>
        </is>
      </c>
      <c r="H1142" t="n">
        <v>1</v>
      </c>
    </row>
    <row r="1143">
      <c r="A1143" t="inlineStr">
        <is>
          <t>2022-2023</t>
        </is>
      </c>
      <c r="B1143" t="inlineStr">
        <is>
          <t>2022-10-29</t>
        </is>
      </c>
      <c r="C1143" t="inlineStr">
        <is>
          <t>20:20</t>
        </is>
      </c>
      <c r="D1143" t="inlineStr">
        <is>
          <t>n° 29 + n° 30</t>
        </is>
      </c>
      <c r="E1143" t="inlineStr">
        <is>
          <t>Saint Véran Verre</t>
        </is>
      </c>
      <c r="F1143" t="n">
        <v>7.9</v>
      </c>
      <c r="G1143" t="inlineStr">
        <is>
          <t>n° 29 : 0,50 + n° 30 : 0,50</t>
        </is>
      </c>
      <c r="H1143" t="n">
        <v>1</v>
      </c>
    </row>
    <row r="1144">
      <c r="A1144" t="inlineStr">
        <is>
          <t>2022-2023</t>
        </is>
      </c>
      <c r="B1144" t="inlineStr">
        <is>
          <t>2022-10-29</t>
        </is>
      </c>
      <c r="C1144" t="inlineStr">
        <is>
          <t>20:20</t>
        </is>
      </c>
      <c r="D1144" t="inlineStr">
        <is>
          <t>n° 29 + n° 30</t>
        </is>
      </c>
      <c r="E1144" t="inlineStr">
        <is>
          <t>Chablis Le Verre</t>
        </is>
      </c>
      <c r="F1144" t="n">
        <v>7.9</v>
      </c>
      <c r="G1144" t="inlineStr">
        <is>
          <t>n° 29 : 0,50 + n° 30 : 0,50</t>
        </is>
      </c>
      <c r="H1144" t="n">
        <v>1</v>
      </c>
    </row>
    <row r="1145">
      <c r="A1145" t="inlineStr">
        <is>
          <t>2022-2023</t>
        </is>
      </c>
      <c r="B1145" t="inlineStr">
        <is>
          <t>2022-10-29</t>
        </is>
      </c>
      <c r="C1145" t="inlineStr">
        <is>
          <t>20:20</t>
        </is>
      </c>
      <c r="D1145" t="inlineStr">
        <is>
          <t>n° 29 + n° 30</t>
        </is>
      </c>
      <c r="E1145" t="inlineStr">
        <is>
          <t>Salade Verte aux Noi</t>
        </is>
      </c>
      <c r="F1145" t="n">
        <v>5.9</v>
      </c>
      <c r="G1145" t="inlineStr">
        <is>
          <t>n° 29 : 0,50 + n° 30 : 0,50</t>
        </is>
      </c>
      <c r="H1145" t="n">
        <v>1</v>
      </c>
    </row>
    <row r="1146">
      <c r="A1146" t="inlineStr">
        <is>
          <t>2022-2023</t>
        </is>
      </c>
      <c r="B1146" t="inlineStr">
        <is>
          <t>2022-10-29</t>
        </is>
      </c>
      <c r="C1146" t="inlineStr">
        <is>
          <t>20:20</t>
        </is>
      </c>
      <c r="D1146" t="inlineStr">
        <is>
          <t>n° 29 + n° 30</t>
        </is>
      </c>
      <c r="E1146" t="inlineStr">
        <is>
          <t>Jus de Fruit</t>
        </is>
      </c>
      <c r="F1146" t="n">
        <v>3.9</v>
      </c>
      <c r="G1146" t="inlineStr">
        <is>
          <t>n° 29 : 0,50 + n° 30 : 0,50</t>
        </is>
      </c>
      <c r="H1146" t="n">
        <v>1</v>
      </c>
    </row>
    <row r="1147">
      <c r="A1147" t="inlineStr">
        <is>
          <t>2022-2023</t>
        </is>
      </c>
      <c r="B1147" t="inlineStr">
        <is>
          <t>2022-11-02</t>
        </is>
      </c>
      <c r="C1147" t="inlineStr">
        <is>
          <t>12:37</t>
        </is>
      </c>
      <c r="D1147" t="inlineStr">
        <is>
          <t>n° 9 + n° 10</t>
        </is>
      </c>
      <c r="E1147" t="inlineStr">
        <is>
          <t>Arbois Béthanie</t>
        </is>
      </c>
      <c r="F1147" t="n">
        <v>29.9</v>
      </c>
      <c r="G1147" t="inlineStr">
        <is>
          <t>n° 9 : 0,50 + n° 10 : 0,50</t>
        </is>
      </c>
      <c r="H1147" t="n">
        <v>1</v>
      </c>
    </row>
    <row r="1148">
      <c r="A1148" t="inlineStr">
        <is>
          <t>2022-2023</t>
        </is>
      </c>
      <c r="B1148" t="inlineStr">
        <is>
          <t>2022-11-02</t>
        </is>
      </c>
      <c r="C1148" t="inlineStr">
        <is>
          <t>12:37</t>
        </is>
      </c>
      <c r="D1148" t="inlineStr">
        <is>
          <t>n° 9 + n° 10</t>
        </is>
      </c>
      <c r="E1148" t="inlineStr">
        <is>
          <t>Menu Végétarien</t>
        </is>
      </c>
      <c r="F1148" t="n">
        <v>25</v>
      </c>
      <c r="G1148" t="inlineStr">
        <is>
          <t>n° 9 : 0,50 + n° 10 : 0,50</t>
        </is>
      </c>
      <c r="H1148" t="n">
        <v>1</v>
      </c>
    </row>
    <row r="1149">
      <c r="A1149" t="inlineStr">
        <is>
          <t>2022-2023</t>
        </is>
      </c>
      <c r="B1149" t="inlineStr">
        <is>
          <t>2022-11-02</t>
        </is>
      </c>
      <c r="C1149" t="inlineStr">
        <is>
          <t>12:37</t>
        </is>
      </c>
      <c r="D1149" t="inlineStr">
        <is>
          <t>n° 9 + n° 10</t>
        </is>
      </c>
      <c r="E1149" t="inlineStr">
        <is>
          <t>Menu 'Galette'</t>
        </is>
      </c>
      <c r="F1149" t="n">
        <v>17</v>
      </c>
      <c r="G1149" t="inlineStr">
        <is>
          <t>n° 9 : 1,50 + n° 10 : 1,50</t>
        </is>
      </c>
      <c r="H1149" t="n">
        <v>3</v>
      </c>
    </row>
    <row r="1150">
      <c r="A1150" t="inlineStr">
        <is>
          <t>2022-2023</t>
        </is>
      </c>
      <c r="B1150" t="inlineStr">
        <is>
          <t>2022-11-02</t>
        </is>
      </c>
      <c r="C1150" t="inlineStr">
        <is>
          <t>13:28</t>
        </is>
      </c>
      <c r="D1150" t="inlineStr">
        <is>
          <t>n° 15 + n° 16</t>
        </is>
      </c>
      <c r="E1150" t="inlineStr">
        <is>
          <t>Cidre Bouché Doux</t>
        </is>
      </c>
      <c r="F1150" t="n">
        <v>14</v>
      </c>
      <c r="G1150" t="inlineStr">
        <is>
          <t>n° 15 : 0,50 + n° 16 : 0,50</t>
        </is>
      </c>
      <c r="H1150" t="n">
        <v>1</v>
      </c>
    </row>
    <row r="1151">
      <c r="A1151" t="inlineStr">
        <is>
          <t>2022-2023</t>
        </is>
      </c>
      <c r="B1151" t="inlineStr">
        <is>
          <t>2022-11-02</t>
        </is>
      </c>
      <c r="C1151" t="inlineStr">
        <is>
          <t>20:05</t>
        </is>
      </c>
      <c r="D1151" t="inlineStr">
        <is>
          <t>n° 25 + n° 26 + n° 28 + n° 29</t>
        </is>
      </c>
      <c r="E1151" t="inlineStr">
        <is>
          <t>Arbois Savagnin</t>
        </is>
      </c>
      <c r="F1151" t="n">
        <v>36</v>
      </c>
      <c r="G1151" t="inlineStr">
        <is>
          <t>n° 25 : 0,50 + n° 26 : 0,50</t>
        </is>
      </c>
      <c r="H1151" t="n">
        <v>1</v>
      </c>
    </row>
    <row r="1152">
      <c r="A1152" t="inlineStr">
        <is>
          <t>2022-2023</t>
        </is>
      </c>
      <c r="B1152" t="inlineStr">
        <is>
          <t>2022-11-02</t>
        </is>
      </c>
      <c r="C1152" t="inlineStr">
        <is>
          <t>20:05</t>
        </is>
      </c>
      <c r="D1152" t="inlineStr">
        <is>
          <t>n° 25 + n° 26 + n° 28 + n° 29</t>
        </is>
      </c>
      <c r="E1152" t="inlineStr">
        <is>
          <t>1/2 Arbois Béthanie</t>
        </is>
      </c>
      <c r="F1152" t="n">
        <v>19</v>
      </c>
      <c r="G1152" t="inlineStr">
        <is>
          <t>n° 28 : 0,50 + n° 29 : 0,50</t>
        </is>
      </c>
      <c r="H1152" t="n">
        <v>1</v>
      </c>
    </row>
    <row r="1153">
      <c r="A1153" t="inlineStr">
        <is>
          <t>2022-2023</t>
        </is>
      </c>
      <c r="B1153" t="inlineStr">
        <is>
          <t>2022-11-02</t>
        </is>
      </c>
      <c r="C1153" t="inlineStr">
        <is>
          <t>20:05</t>
        </is>
      </c>
      <c r="D1153" t="inlineStr">
        <is>
          <t>n° 25 + n° 26 + n° 28 + n° 29</t>
        </is>
      </c>
      <c r="E1153" t="inlineStr">
        <is>
          <t>Saucisse de Morteau</t>
        </is>
      </c>
      <c r="F1153" t="n">
        <v>8.9</v>
      </c>
      <c r="G1153" t="inlineStr">
        <is>
          <t>n° 25 : 0,50 + n° 26 : 0,50 + n° 28 : 1,00 + n° 29 : 1,00</t>
        </is>
      </c>
      <c r="H1153" t="n">
        <v>3</v>
      </c>
    </row>
    <row r="1154">
      <c r="A1154" t="inlineStr">
        <is>
          <t>2022-2023</t>
        </is>
      </c>
      <c r="B1154" t="inlineStr">
        <is>
          <t>2022-11-02</t>
        </is>
      </c>
      <c r="C1154" t="inlineStr">
        <is>
          <t>20:05</t>
        </is>
      </c>
      <c r="D1154" t="inlineStr">
        <is>
          <t>n° 25 + n° 26 + n° 28 + n° 29</t>
        </is>
      </c>
      <c r="E1154" t="inlineStr">
        <is>
          <t>Assortiment charcute</t>
        </is>
      </c>
      <c r="F1154" t="n">
        <v>8.9</v>
      </c>
      <c r="G1154" t="inlineStr">
        <is>
          <t>n° 25 : 0,50 + n° 26 : 0,50</t>
        </is>
      </c>
      <c r="H1154" t="n">
        <v>1</v>
      </c>
    </row>
    <row r="1155">
      <c r="A1155" t="inlineStr">
        <is>
          <t>2022-2023</t>
        </is>
      </c>
      <c r="B1155" t="inlineStr">
        <is>
          <t>2022-11-02</t>
        </is>
      </c>
      <c r="C1155" t="inlineStr">
        <is>
          <t>20:05</t>
        </is>
      </c>
      <c r="D1155" t="inlineStr">
        <is>
          <t>n° 25 + n° 26 + n° 28 + n° 29</t>
        </is>
      </c>
      <c r="E1155" t="inlineStr">
        <is>
          <t>Normandine</t>
        </is>
      </c>
      <c r="F1155" t="n">
        <v>8.699999999999999</v>
      </c>
      <c r="G1155" t="inlineStr">
        <is>
          <t>n° 25 : 0,50 + n° 26 : 0,50</t>
        </is>
      </c>
      <c r="H1155" t="n">
        <v>1</v>
      </c>
    </row>
    <row r="1156">
      <c r="A1156" t="inlineStr">
        <is>
          <t>2022-2023</t>
        </is>
      </c>
      <c r="B1156" t="inlineStr">
        <is>
          <t>2022-11-02</t>
        </is>
      </c>
      <c r="C1156" t="inlineStr">
        <is>
          <t>20:05</t>
        </is>
      </c>
      <c r="D1156" t="inlineStr">
        <is>
          <t>n° 25 + n° 26 + n° 28 + n° 29</t>
        </is>
      </c>
      <c r="E1156" t="inlineStr">
        <is>
          <t>DAMES VERTES</t>
        </is>
      </c>
      <c r="F1156" t="n">
        <v>8.300000000000001</v>
      </c>
      <c r="G1156" t="inlineStr">
        <is>
          <t>n° 28 : 0,50 + n° 29 : 0,50</t>
        </is>
      </c>
      <c r="H1156" t="n">
        <v>1</v>
      </c>
    </row>
    <row r="1157">
      <c r="A1157" t="inlineStr">
        <is>
          <t>2022-2023</t>
        </is>
      </c>
      <c r="B1157" t="inlineStr">
        <is>
          <t>2022-11-02</t>
        </is>
      </c>
      <c r="C1157" t="inlineStr">
        <is>
          <t>20:05</t>
        </is>
      </c>
      <c r="D1157" t="inlineStr">
        <is>
          <t>n° 25 + n° 26 + n° 28 + n° 29</t>
        </is>
      </c>
      <c r="E1157" t="inlineStr">
        <is>
          <t>Salade Verte</t>
        </is>
      </c>
      <c r="F1157" t="n">
        <v>5.9</v>
      </c>
      <c r="G1157" t="inlineStr">
        <is>
          <t>n° 25 : 0,50 + n° 26 : 0,50</t>
        </is>
      </c>
      <c r="H1157" t="n">
        <v>1</v>
      </c>
    </row>
    <row r="1158">
      <c r="A1158" t="inlineStr">
        <is>
          <t>2022-2023</t>
        </is>
      </c>
      <c r="B1158" t="inlineStr">
        <is>
          <t>2022-11-02</t>
        </is>
      </c>
      <c r="C1158" t="inlineStr">
        <is>
          <t>20:05</t>
        </is>
      </c>
      <c r="D1158" t="inlineStr">
        <is>
          <t>n° 25 + n° 26 + n° 28 + n° 29</t>
        </is>
      </c>
      <c r="E1158" t="inlineStr">
        <is>
          <t>Vittel litre</t>
        </is>
      </c>
      <c r="F1158" t="n">
        <v>5.9</v>
      </c>
      <c r="G1158" t="inlineStr">
        <is>
          <t>n° 25 : 0,50 + n° 26 : 0,50</t>
        </is>
      </c>
      <c r="H1158" t="n">
        <v>1</v>
      </c>
    </row>
    <row r="1159">
      <c r="A1159" t="inlineStr">
        <is>
          <t>2022-2023</t>
        </is>
      </c>
      <c r="B1159" t="inlineStr">
        <is>
          <t>2022-11-02</t>
        </is>
      </c>
      <c r="C1159" t="inlineStr">
        <is>
          <t>20:05</t>
        </is>
      </c>
      <c r="D1159" t="inlineStr">
        <is>
          <t>n° 25 + n° 26 + n° 28 + n° 29</t>
        </is>
      </c>
      <c r="E1159" t="inlineStr">
        <is>
          <t>Ambrée</t>
        </is>
      </c>
      <c r="F1159" t="n">
        <v>5.9</v>
      </c>
      <c r="G1159" t="inlineStr">
        <is>
          <t>n° 25 : 0,50 + n° 26 : 0,50</t>
        </is>
      </c>
      <c r="H1159" t="n">
        <v>1</v>
      </c>
    </row>
    <row r="1160">
      <c r="A1160" t="inlineStr">
        <is>
          <t>2022-2023</t>
        </is>
      </c>
      <c r="B1160" t="inlineStr">
        <is>
          <t>2022-11-02</t>
        </is>
      </c>
      <c r="C1160" t="inlineStr">
        <is>
          <t>20:05</t>
        </is>
      </c>
      <c r="D1160" t="inlineStr">
        <is>
          <t>n° 25 + n° 26 + n° 28 + n° 29</t>
        </is>
      </c>
      <c r="E1160" t="inlineStr">
        <is>
          <t>Macvin du Jura</t>
        </is>
      </c>
      <c r="F1160" t="n">
        <v>4.9</v>
      </c>
      <c r="G1160" t="inlineStr">
        <is>
          <t>n° 25 : 0,50 + n° 26 : 0,50</t>
        </is>
      </c>
      <c r="H1160" t="n">
        <v>1</v>
      </c>
    </row>
    <row r="1161">
      <c r="A1161" t="inlineStr">
        <is>
          <t>2022-2023</t>
        </is>
      </c>
      <c r="B1161" t="inlineStr">
        <is>
          <t>2022-11-02</t>
        </is>
      </c>
      <c r="C1161" t="inlineStr">
        <is>
          <t>20:05</t>
        </is>
      </c>
      <c r="D1161" t="inlineStr">
        <is>
          <t>n° 25 + n° 26 + n° 28 + n° 29</t>
        </is>
      </c>
      <c r="E1161" t="inlineStr">
        <is>
          <t>Crepe Chocolat</t>
        </is>
      </c>
      <c r="F1161" t="n">
        <v>4.7</v>
      </c>
      <c r="G1161" t="inlineStr">
        <is>
          <t>n° 25 : 0,50 + n° 26 : 0,50</t>
        </is>
      </c>
      <c r="H1161" t="n">
        <v>1</v>
      </c>
    </row>
    <row r="1162">
      <c r="A1162" t="inlineStr">
        <is>
          <t>2022-2023</t>
        </is>
      </c>
      <c r="B1162" t="inlineStr">
        <is>
          <t>2022-11-02</t>
        </is>
      </c>
      <c r="C1162" t="inlineStr">
        <is>
          <t>20:05</t>
        </is>
      </c>
      <c r="D1162" t="inlineStr">
        <is>
          <t>n° 25 + n° 26 + n° 28 + n° 29</t>
        </is>
      </c>
      <c r="E1162" t="inlineStr">
        <is>
          <t>GLACE 2 BOULES</t>
        </is>
      </c>
      <c r="F1162" t="n">
        <v>3.9</v>
      </c>
      <c r="G1162" t="inlineStr">
        <is>
          <t>n° 28 : 0,50 + n° 29 : 0,50</t>
        </is>
      </c>
      <c r="H1162" t="n">
        <v>1</v>
      </c>
    </row>
    <row r="1163">
      <c r="A1163" t="inlineStr">
        <is>
          <t>2022-2023</t>
        </is>
      </c>
      <c r="B1163" t="inlineStr">
        <is>
          <t>2022-11-02</t>
        </is>
      </c>
      <c r="C1163" t="inlineStr">
        <is>
          <t>20:05</t>
        </is>
      </c>
      <c r="D1163" t="inlineStr">
        <is>
          <t>n° 25 + n° 26 + n° 28 + n° 29</t>
        </is>
      </c>
      <c r="E1163" t="inlineStr">
        <is>
          <t>Pommes de Terre</t>
        </is>
      </c>
      <c r="F1163" t="n">
        <v>3.2</v>
      </c>
      <c r="G1163" t="inlineStr">
        <is>
          <t>n° 28 : 0,50 + n° 29 : 0,50</t>
        </is>
      </c>
      <c r="H1163" t="n">
        <v>1</v>
      </c>
    </row>
    <row r="1164">
      <c r="A1164" t="inlineStr">
        <is>
          <t>2022-2023</t>
        </is>
      </c>
      <c r="B1164" t="inlineStr">
        <is>
          <t>2022-11-02</t>
        </is>
      </c>
      <c r="C1164" t="inlineStr">
        <is>
          <t>20:05</t>
        </is>
      </c>
      <c r="D1164" t="inlineStr">
        <is>
          <t>n° 25 + n° 26 + n° 28 + n° 29</t>
        </is>
      </c>
      <c r="E1164" t="inlineStr">
        <is>
          <t>Expresso</t>
        </is>
      </c>
      <c r="F1164" t="n">
        <v>2.2</v>
      </c>
      <c r="G1164" t="inlineStr">
        <is>
          <t>n° 25 : 0,50 + n° 26 : 0,50</t>
        </is>
      </c>
      <c r="H1164" t="n">
        <v>1</v>
      </c>
    </row>
    <row r="1165">
      <c r="A1165" t="inlineStr">
        <is>
          <t>2022-2023</t>
        </is>
      </c>
      <c r="B1165" t="inlineStr">
        <is>
          <t>2022-11-03</t>
        </is>
      </c>
      <c r="C1165" t="inlineStr">
        <is>
          <t>12:50</t>
        </is>
      </c>
      <c r="D1165" t="inlineStr">
        <is>
          <t>n° 11 + n° 12</t>
        </is>
      </c>
      <c r="E1165" t="inlineStr">
        <is>
          <t>BURGER COMTOIS</t>
        </is>
      </c>
      <c r="F1165" t="n">
        <v>19</v>
      </c>
      <c r="G1165" t="inlineStr">
        <is>
          <t>n° 11 : 0,50 + n° 12 : 0,50</t>
        </is>
      </c>
      <c r="H1165" t="n">
        <v>1</v>
      </c>
    </row>
    <row r="1166">
      <c r="A1166" t="inlineStr">
        <is>
          <t>2022-2023</t>
        </is>
      </c>
      <c r="B1166" t="inlineStr">
        <is>
          <t>2022-11-03</t>
        </is>
      </c>
      <c r="C1166" t="inlineStr">
        <is>
          <t>12:50</t>
        </is>
      </c>
      <c r="D1166" t="inlineStr">
        <is>
          <t>n° 11 + n° 12</t>
        </is>
      </c>
      <c r="E1166" t="inlineStr">
        <is>
          <t>TRUITE JURASSIENNE</t>
        </is>
      </c>
      <c r="F1166" t="n">
        <v>18.6</v>
      </c>
      <c r="G1166" t="inlineStr">
        <is>
          <t>n° 11 : 0,50 + n° 12 : 0,50</t>
        </is>
      </c>
      <c r="H1166" t="n">
        <v>1</v>
      </c>
    </row>
    <row r="1167">
      <c r="A1167" t="inlineStr">
        <is>
          <t>2022-2023</t>
        </is>
      </c>
      <c r="B1167" t="inlineStr">
        <is>
          <t>2022-11-03</t>
        </is>
      </c>
      <c r="C1167" t="inlineStr">
        <is>
          <t>12:50</t>
        </is>
      </c>
      <c r="D1167" t="inlineStr">
        <is>
          <t>n° 11 + n° 12</t>
        </is>
      </c>
      <c r="E1167" t="inlineStr">
        <is>
          <t>GLACE 2 BOULES</t>
        </is>
      </c>
      <c r="F1167" t="n">
        <v>3.9</v>
      </c>
      <c r="G1167" t="inlineStr">
        <is>
          <t>n° 11 : 0,50 + n° 12 : 0,50</t>
        </is>
      </c>
      <c r="H1167" t="n">
        <v>1</v>
      </c>
    </row>
    <row r="1168">
      <c r="A1168" t="inlineStr">
        <is>
          <t>2022-2023</t>
        </is>
      </c>
      <c r="B1168" t="inlineStr">
        <is>
          <t>2022-11-03</t>
        </is>
      </c>
      <c r="C1168" t="inlineStr">
        <is>
          <t>12:50</t>
        </is>
      </c>
      <c r="D1168" t="inlineStr">
        <is>
          <t>n° 11 + n° 12</t>
        </is>
      </c>
      <c r="E1168" t="inlineStr">
        <is>
          <t>Verre de vin</t>
        </is>
      </c>
      <c r="F1168" t="n">
        <v>3.6</v>
      </c>
      <c r="G1168" t="inlineStr">
        <is>
          <t>n° 11 : 0,50 + n° 12 : 0,50</t>
        </is>
      </c>
      <c r="H1168" t="n">
        <v>1</v>
      </c>
    </row>
    <row r="1169">
      <c r="A1169" t="inlineStr">
        <is>
          <t>2022-2023</t>
        </is>
      </c>
      <c r="B1169" t="inlineStr">
        <is>
          <t>2022-11-03</t>
        </is>
      </c>
      <c r="C1169" t="inlineStr">
        <is>
          <t>12:50</t>
        </is>
      </c>
      <c r="D1169" t="inlineStr">
        <is>
          <t>n° 11 + n° 12</t>
        </is>
      </c>
      <c r="E1169" t="inlineStr">
        <is>
          <t>Crêpe au sucre</t>
        </is>
      </c>
      <c r="F1169" t="n">
        <v>2.9</v>
      </c>
      <c r="G1169" t="inlineStr">
        <is>
          <t>n° 11 : 0,50 + n° 12 : 0,50</t>
        </is>
      </c>
      <c r="H1169" t="n">
        <v>1</v>
      </c>
    </row>
    <row r="1170">
      <c r="A1170" t="inlineStr">
        <is>
          <t>2022-2023</t>
        </is>
      </c>
      <c r="B1170" t="inlineStr">
        <is>
          <t>2022-11-03</t>
        </is>
      </c>
      <c r="C1170" t="inlineStr">
        <is>
          <t>12:50</t>
        </is>
      </c>
      <c r="D1170" t="inlineStr">
        <is>
          <t>n° 11 + n° 12</t>
        </is>
      </c>
      <c r="E1170" t="inlineStr">
        <is>
          <t>1 Boule Glace</t>
        </is>
      </c>
      <c r="F1170" t="n">
        <v>2</v>
      </c>
      <c r="G1170" t="inlineStr">
        <is>
          <t>n° 11 : 0,50 + n° 12 : 0,50</t>
        </is>
      </c>
      <c r="H1170" t="n">
        <v>1</v>
      </c>
    </row>
    <row r="1171">
      <c r="A1171" t="inlineStr">
        <is>
          <t>2022-2023</t>
        </is>
      </c>
      <c r="B1171" t="inlineStr">
        <is>
          <t>2022-11-05</t>
        </is>
      </c>
      <c r="C1171" t="inlineStr">
        <is>
          <t>13:23</t>
        </is>
      </c>
      <c r="D1171" t="inlineStr">
        <is>
          <t>n° 8 + n° 9</t>
        </is>
      </c>
      <c r="E1171" t="inlineStr">
        <is>
          <t>Menu Bourguignon</t>
        </is>
      </c>
      <c r="F1171" t="n">
        <v>34</v>
      </c>
      <c r="G1171" t="inlineStr">
        <is>
          <t>n° 8 : 0,50 + n° 9 : 0,50</t>
        </is>
      </c>
      <c r="H1171" t="n">
        <v>1</v>
      </c>
    </row>
    <row r="1172">
      <c r="A1172" t="inlineStr">
        <is>
          <t>2022-2023</t>
        </is>
      </c>
      <c r="B1172" t="inlineStr">
        <is>
          <t>2022-11-05</t>
        </is>
      </c>
      <c r="C1172" t="inlineStr">
        <is>
          <t>13:23</t>
        </is>
      </c>
      <c r="D1172" t="inlineStr">
        <is>
          <t>n° 8 + n° 9</t>
        </is>
      </c>
      <c r="E1172" t="inlineStr">
        <is>
          <t>Menu Franc-Comtois</t>
        </is>
      </c>
      <c r="F1172" t="n">
        <v>34</v>
      </c>
      <c r="G1172" t="inlineStr">
        <is>
          <t>n° 8 : 1,50 + n° 9 : 1,50</t>
        </is>
      </c>
      <c r="H1172" t="n">
        <v>3</v>
      </c>
    </row>
    <row r="1173">
      <c r="A1173" t="inlineStr">
        <is>
          <t>2022-2023</t>
        </is>
      </c>
      <c r="B1173" t="inlineStr">
        <is>
          <t>2022-11-05</t>
        </is>
      </c>
      <c r="C1173" t="inlineStr">
        <is>
          <t>13:23</t>
        </is>
      </c>
      <c r="D1173" t="inlineStr">
        <is>
          <t>n° 8 + n° 9</t>
        </is>
      </c>
      <c r="E1173" t="inlineStr">
        <is>
          <t>BURGER COMTOIS</t>
        </is>
      </c>
      <c r="F1173" t="n">
        <v>19</v>
      </c>
      <c r="G1173" t="inlineStr">
        <is>
          <t>n° 8 : 0,50 + n° 9 : 0,50</t>
        </is>
      </c>
      <c r="H1173" t="n">
        <v>1</v>
      </c>
    </row>
    <row r="1174">
      <c r="A1174" t="inlineStr">
        <is>
          <t>2022-2023</t>
        </is>
      </c>
      <c r="B1174" t="inlineStr">
        <is>
          <t>2022-11-05</t>
        </is>
      </c>
      <c r="C1174" t="inlineStr">
        <is>
          <t>13:23</t>
        </is>
      </c>
      <c r="D1174" t="inlineStr">
        <is>
          <t>n° 8 + n° 9</t>
        </is>
      </c>
      <c r="E1174" t="inlineStr">
        <is>
          <t>Blanche des plateaux</t>
        </is>
      </c>
      <c r="F1174" t="n">
        <v>5.9</v>
      </c>
      <c r="G1174" t="inlineStr">
        <is>
          <t>n° 8 : 0,50 + n° 9 : 0,50</t>
        </is>
      </c>
      <c r="H1174" t="n">
        <v>1</v>
      </c>
    </row>
    <row r="1175">
      <c r="A1175" t="inlineStr">
        <is>
          <t>2022-2023</t>
        </is>
      </c>
      <c r="B1175" t="inlineStr">
        <is>
          <t>2022-11-05</t>
        </is>
      </c>
      <c r="C1175" t="inlineStr">
        <is>
          <t>13:23</t>
        </is>
      </c>
      <c r="D1175" t="inlineStr">
        <is>
          <t>n° 8 + n° 9</t>
        </is>
      </c>
      <c r="E1175" t="inlineStr">
        <is>
          <t>Chat perché</t>
        </is>
      </c>
      <c r="F1175" t="n">
        <v>5.2</v>
      </c>
      <c r="G1175" t="inlineStr">
        <is>
          <t>n° 8 : 0,50 + n° 9 : 0,50</t>
        </is>
      </c>
      <c r="H1175" t="n">
        <v>1</v>
      </c>
    </row>
    <row r="1176">
      <c r="A1176" t="inlineStr">
        <is>
          <t>2022-2023</t>
        </is>
      </c>
      <c r="B1176" t="inlineStr">
        <is>
          <t>2022-11-05</t>
        </is>
      </c>
      <c r="C1176" t="inlineStr">
        <is>
          <t>13:23</t>
        </is>
      </c>
      <c r="D1176" t="inlineStr">
        <is>
          <t>n° 8 + n° 9</t>
        </is>
      </c>
      <c r="E1176" t="inlineStr">
        <is>
          <t>Café Viennois</t>
        </is>
      </c>
      <c r="F1176" t="n">
        <v>4.9</v>
      </c>
      <c r="G1176" t="inlineStr">
        <is>
          <t>n° 8 : 0,50 + n° 9 : 0,50</t>
        </is>
      </c>
      <c r="H1176" t="n">
        <v>1</v>
      </c>
    </row>
    <row r="1177">
      <c r="A1177" t="inlineStr">
        <is>
          <t>2022-2023</t>
        </is>
      </c>
      <c r="B1177" t="inlineStr">
        <is>
          <t>2022-11-05</t>
        </is>
      </c>
      <c r="C1177" t="inlineStr">
        <is>
          <t>13:23</t>
        </is>
      </c>
      <c r="D1177" t="inlineStr">
        <is>
          <t>n° 8 + n° 9</t>
        </is>
      </c>
      <c r="E1177" t="inlineStr">
        <is>
          <t>Père Gregoire</t>
        </is>
      </c>
      <c r="F1177" t="n">
        <v>4.9</v>
      </c>
      <c r="G1177" t="inlineStr">
        <is>
          <t>n° 8 : 0,50 + n° 9 : 0,50</t>
        </is>
      </c>
      <c r="H1177" t="n">
        <v>1</v>
      </c>
    </row>
    <row r="1178">
      <c r="A1178" t="inlineStr">
        <is>
          <t>2022-2023</t>
        </is>
      </c>
      <c r="B1178" t="inlineStr">
        <is>
          <t>2022-11-05</t>
        </is>
      </c>
      <c r="C1178" t="inlineStr">
        <is>
          <t>13:23</t>
        </is>
      </c>
      <c r="D1178" t="inlineStr">
        <is>
          <t>n° 8 + n° 9</t>
        </is>
      </c>
      <c r="E1178" t="inlineStr">
        <is>
          <t>Comté</t>
        </is>
      </c>
      <c r="F1178" t="n">
        <v>4</v>
      </c>
      <c r="G1178" t="inlineStr">
        <is>
          <t>n° 8 : 1,50 + n° 9 : 1,50</t>
        </is>
      </c>
      <c r="H1178" t="n">
        <v>3</v>
      </c>
    </row>
    <row r="1179">
      <c r="A1179" t="inlineStr">
        <is>
          <t>2022-2023</t>
        </is>
      </c>
      <c r="B1179" t="inlineStr">
        <is>
          <t>2022-11-05</t>
        </is>
      </c>
      <c r="C1179" t="inlineStr">
        <is>
          <t>13:23</t>
        </is>
      </c>
      <c r="D1179" t="inlineStr">
        <is>
          <t>n° 8 + n° 9</t>
        </is>
      </c>
      <c r="E1179" t="inlineStr">
        <is>
          <t>Coca (25cl)</t>
        </is>
      </c>
      <c r="F1179" t="n">
        <v>3.9</v>
      </c>
      <c r="G1179" t="inlineStr">
        <is>
          <t>n° 8 : 1,50 + n° 9 : 1,50</t>
        </is>
      </c>
      <c r="H1179" t="n">
        <v>3</v>
      </c>
    </row>
    <row r="1180">
      <c r="A1180" t="inlineStr">
        <is>
          <t>2022-2023</t>
        </is>
      </c>
      <c r="B1180" t="inlineStr">
        <is>
          <t>2022-11-05</t>
        </is>
      </c>
      <c r="C1180" t="inlineStr">
        <is>
          <t>13:23</t>
        </is>
      </c>
      <c r="D1180" t="inlineStr">
        <is>
          <t>n° 8 + n° 9</t>
        </is>
      </c>
      <c r="E1180" t="inlineStr">
        <is>
          <t>pression</t>
        </is>
      </c>
      <c r="F1180" t="n">
        <v>3.9</v>
      </c>
      <c r="G1180" t="inlineStr">
        <is>
          <t>n° 8 : 0,50 + n° 9 : 0,50</t>
        </is>
      </c>
      <c r="H1180" t="n">
        <v>1</v>
      </c>
    </row>
    <row r="1181">
      <c r="A1181" t="inlineStr">
        <is>
          <t>2022-2023</t>
        </is>
      </c>
      <c r="B1181" t="inlineStr">
        <is>
          <t>2022-11-05</t>
        </is>
      </c>
      <c r="C1181" t="inlineStr">
        <is>
          <t>13:23</t>
        </is>
      </c>
      <c r="D1181" t="inlineStr">
        <is>
          <t>n° 8 + n° 9</t>
        </is>
      </c>
      <c r="E1181" t="inlineStr">
        <is>
          <t>Fuze Tea</t>
        </is>
      </c>
      <c r="F1181" t="n">
        <v>3.9</v>
      </c>
      <c r="G1181" t="inlineStr">
        <is>
          <t>n° 8 : 0,50 + n° 9 : 0,50</t>
        </is>
      </c>
      <c r="H1181" t="n">
        <v>1</v>
      </c>
    </row>
    <row r="1182">
      <c r="A1182" t="inlineStr">
        <is>
          <t>2022-2023</t>
        </is>
      </c>
      <c r="B1182" t="inlineStr">
        <is>
          <t>2022-11-05</t>
        </is>
      </c>
      <c r="C1182" t="inlineStr">
        <is>
          <t>13:23</t>
        </is>
      </c>
      <c r="D1182" t="inlineStr">
        <is>
          <t>n° 8 + n° 9</t>
        </is>
      </c>
      <c r="E1182" t="inlineStr">
        <is>
          <t>Galette nature</t>
        </is>
      </c>
      <c r="F1182" t="n">
        <v>3.9</v>
      </c>
      <c r="G1182" t="inlineStr">
        <is>
          <t>n° 8 : 1,50 + n° 9 : 1,50</t>
        </is>
      </c>
      <c r="H1182" t="n">
        <v>3</v>
      </c>
    </row>
    <row r="1183">
      <c r="A1183" t="inlineStr">
        <is>
          <t>2022-2023</t>
        </is>
      </c>
      <c r="B1183" t="inlineStr">
        <is>
          <t>2022-11-05</t>
        </is>
      </c>
      <c r="C1183" t="inlineStr">
        <is>
          <t>13:23</t>
        </is>
      </c>
      <c r="D1183" t="inlineStr">
        <is>
          <t>n° 8 + n° 9</t>
        </is>
      </c>
      <c r="E1183" t="inlineStr">
        <is>
          <t>Thé</t>
        </is>
      </c>
      <c r="F1183" t="n">
        <v>3.4</v>
      </c>
      <c r="G1183" t="inlineStr">
        <is>
          <t>n° 8 : 0,50 + n° 9 : 0,50</t>
        </is>
      </c>
      <c r="H1183" t="n">
        <v>1</v>
      </c>
    </row>
    <row r="1184">
      <c r="A1184" t="inlineStr">
        <is>
          <t>2022-2023</t>
        </is>
      </c>
      <c r="B1184" t="inlineStr">
        <is>
          <t>2022-11-05</t>
        </is>
      </c>
      <c r="C1184" t="inlineStr">
        <is>
          <t>13:23</t>
        </is>
      </c>
      <c r="D1184" t="inlineStr">
        <is>
          <t>n° 8 + n° 9</t>
        </is>
      </c>
      <c r="E1184" t="inlineStr">
        <is>
          <t>Bacon</t>
        </is>
      </c>
      <c r="F1184" t="n">
        <v>3.3</v>
      </c>
      <c r="G1184" t="inlineStr">
        <is>
          <t>n° 8 : 0,50 + n° 9 : 0,50</t>
        </is>
      </c>
      <c r="H1184" t="n">
        <v>1</v>
      </c>
    </row>
    <row r="1185">
      <c r="A1185" t="inlineStr">
        <is>
          <t>2022-2023</t>
        </is>
      </c>
      <c r="B1185" t="inlineStr">
        <is>
          <t>2022-11-05</t>
        </is>
      </c>
      <c r="C1185" t="inlineStr">
        <is>
          <t>13:23</t>
        </is>
      </c>
      <c r="D1185" t="inlineStr">
        <is>
          <t>n° 8 + n° 9</t>
        </is>
      </c>
      <c r="E1185" t="inlineStr">
        <is>
          <t>Expresso</t>
        </is>
      </c>
      <c r="F1185" t="n">
        <v>2.2</v>
      </c>
      <c r="G1185" t="inlineStr">
        <is>
          <t>n° 8 : 1,50 + n° 9 : 1,50</t>
        </is>
      </c>
      <c r="H1185" t="n">
        <v>3</v>
      </c>
    </row>
    <row r="1186">
      <c r="A1186" t="inlineStr">
        <is>
          <t>2022-2023</t>
        </is>
      </c>
      <c r="B1186" t="inlineStr">
        <is>
          <t>2022-11-05</t>
        </is>
      </c>
      <c r="C1186" t="inlineStr">
        <is>
          <t>13:23</t>
        </is>
      </c>
      <c r="D1186" t="inlineStr">
        <is>
          <t>n° 8 + n° 9</t>
        </is>
      </c>
      <c r="E1186" t="inlineStr">
        <is>
          <t>Crème Fraîche</t>
        </is>
      </c>
      <c r="F1186" t="n">
        <v>1.4</v>
      </c>
      <c r="G1186" t="inlineStr">
        <is>
          <t>n° 8 : 1,50 + n° 9 : 1,50</t>
        </is>
      </c>
      <c r="H1186" t="n">
        <v>3</v>
      </c>
    </row>
    <row r="1187">
      <c r="A1187" t="inlineStr">
        <is>
          <t>2022-2023</t>
        </is>
      </c>
      <c r="B1187" t="inlineStr">
        <is>
          <t>2022-11-05</t>
        </is>
      </c>
      <c r="C1187" t="inlineStr">
        <is>
          <t>13:23</t>
        </is>
      </c>
      <c r="D1187" t="inlineStr">
        <is>
          <t>n° 8 + n° 9</t>
        </is>
      </c>
      <c r="E1187" t="inlineStr">
        <is>
          <t>Noix</t>
        </is>
      </c>
      <c r="F1187" t="n">
        <v>1.4</v>
      </c>
      <c r="G1187" t="inlineStr">
        <is>
          <t>n° 8 : 0,50 + n° 9 : 0,50</t>
        </is>
      </c>
      <c r="H1187" t="n">
        <v>1</v>
      </c>
    </row>
    <row r="1188">
      <c r="A1188" t="inlineStr">
        <is>
          <t>2022-2023</t>
        </is>
      </c>
      <c r="B1188" t="inlineStr">
        <is>
          <t>2022-11-05</t>
        </is>
      </c>
      <c r="C1188" t="inlineStr">
        <is>
          <t>19:34</t>
        </is>
      </c>
      <c r="D1188" t="inlineStr">
        <is>
          <t>n° 15 + n° 16</t>
        </is>
      </c>
      <c r="E1188" t="inlineStr">
        <is>
          <t>MACHON GOURMET</t>
        </is>
      </c>
      <c r="F1188" t="n">
        <v>25</v>
      </c>
      <c r="G1188" t="inlineStr">
        <is>
          <t>n° 15 : 0,50 + n° 16 : 0,50</t>
        </is>
      </c>
      <c r="H1188" t="n">
        <v>1</v>
      </c>
    </row>
    <row r="1189">
      <c r="A1189" t="inlineStr">
        <is>
          <t>2022-2023</t>
        </is>
      </c>
      <c r="B1189" t="inlineStr">
        <is>
          <t>2022-11-05</t>
        </is>
      </c>
      <c r="C1189" t="inlineStr">
        <is>
          <t>19:34</t>
        </is>
      </c>
      <c r="D1189" t="inlineStr">
        <is>
          <t>n° 15 + n° 16</t>
        </is>
      </c>
      <c r="E1189" t="inlineStr">
        <is>
          <t>Arbois Chardonnay Le</t>
        </is>
      </c>
      <c r="F1189" t="n">
        <v>24.9</v>
      </c>
      <c r="G1189" t="inlineStr">
        <is>
          <t>n° 15 : 0,50 + n° 16 : 0,50</t>
        </is>
      </c>
      <c r="H1189" t="n">
        <v>1</v>
      </c>
    </row>
    <row r="1190">
      <c r="A1190" t="inlineStr">
        <is>
          <t>2022-2023</t>
        </is>
      </c>
      <c r="B1190" t="inlineStr">
        <is>
          <t>2022-11-05</t>
        </is>
      </c>
      <c r="C1190" t="inlineStr">
        <is>
          <t>19:34</t>
        </is>
      </c>
      <c r="D1190" t="inlineStr">
        <is>
          <t>n° 15 + n° 16</t>
        </is>
      </c>
      <c r="E1190" t="inlineStr">
        <is>
          <t>CAMEMBERT ROTI</t>
        </is>
      </c>
      <c r="F1190" t="n">
        <v>18.6</v>
      </c>
      <c r="G1190" t="inlineStr">
        <is>
          <t>n° 15 : 0,50 + n° 16 : 0,50</t>
        </is>
      </c>
      <c r="H1190" t="n">
        <v>1</v>
      </c>
    </row>
    <row r="1191">
      <c r="A1191" t="inlineStr">
        <is>
          <t>2022-2023</t>
        </is>
      </c>
      <c r="B1191" t="inlineStr">
        <is>
          <t>2022-11-05</t>
        </is>
      </c>
      <c r="C1191" t="inlineStr">
        <is>
          <t>19:34</t>
        </is>
      </c>
      <c r="D1191" t="inlineStr">
        <is>
          <t>n° 15 + n° 16</t>
        </is>
      </c>
      <c r="E1191" t="inlineStr">
        <is>
          <t>Feuilleté Forestier</t>
        </is>
      </c>
      <c r="F1191" t="n">
        <v>10.9</v>
      </c>
      <c r="G1191" t="inlineStr">
        <is>
          <t>n° 15 : 0,50 + n° 16 : 0,50</t>
        </is>
      </c>
      <c r="H1191" t="n">
        <v>1</v>
      </c>
    </row>
    <row r="1192">
      <c r="A1192" t="inlineStr">
        <is>
          <t>2022-2023</t>
        </is>
      </c>
      <c r="B1192" t="inlineStr">
        <is>
          <t>2022-11-05</t>
        </is>
      </c>
      <c r="C1192" t="inlineStr">
        <is>
          <t>19:34</t>
        </is>
      </c>
      <c r="D1192" t="inlineStr">
        <is>
          <t>n° 15 + n° 16</t>
        </is>
      </c>
      <c r="E1192" t="inlineStr">
        <is>
          <t>Chèvre  chaud</t>
        </is>
      </c>
      <c r="F1192" t="n">
        <v>9.6</v>
      </c>
      <c r="G1192" t="inlineStr">
        <is>
          <t>n° 15 : 0,50 + n° 16 : 0,50</t>
        </is>
      </c>
      <c r="H1192" t="n">
        <v>1</v>
      </c>
    </row>
    <row r="1193">
      <c r="A1193" t="inlineStr">
        <is>
          <t>2022-2023</t>
        </is>
      </c>
      <c r="B1193" t="inlineStr">
        <is>
          <t>2022-11-05</t>
        </is>
      </c>
      <c r="C1193" t="inlineStr">
        <is>
          <t>20:20</t>
        </is>
      </c>
      <c r="D1193" t="inlineStr">
        <is>
          <t>n° 25 + n° 26 + n° 27 + n° 28</t>
        </is>
      </c>
      <c r="E1193" t="inlineStr">
        <is>
          <t>Arbois Savagnin</t>
        </is>
      </c>
      <c r="F1193" t="n">
        <v>36</v>
      </c>
      <c r="G1193" t="inlineStr">
        <is>
          <t>n° 25 : 0,50 + n° 26 : 0,50</t>
        </is>
      </c>
      <c r="H1193" t="n">
        <v>1</v>
      </c>
    </row>
    <row r="1194">
      <c r="A1194" t="inlineStr">
        <is>
          <t>2022-2023</t>
        </is>
      </c>
      <c r="B1194" t="inlineStr">
        <is>
          <t>2022-11-05</t>
        </is>
      </c>
      <c r="C1194" t="inlineStr">
        <is>
          <t>20:20</t>
        </is>
      </c>
      <c r="D1194" t="inlineStr">
        <is>
          <t>n° 25 + n° 26 + n° 27 + n° 28</t>
        </is>
      </c>
      <c r="E1194" t="inlineStr">
        <is>
          <t>C du Rhone St  Josep</t>
        </is>
      </c>
      <c r="F1194" t="n">
        <v>36</v>
      </c>
      <c r="G1194" t="inlineStr">
        <is>
          <t>n° 27 : 0,50 + n° 28 : 0,50</t>
        </is>
      </c>
      <c r="H1194" t="n">
        <v>1</v>
      </c>
    </row>
    <row r="1195">
      <c r="A1195" t="inlineStr">
        <is>
          <t>2022-2023</t>
        </is>
      </c>
      <c r="B1195" t="inlineStr">
        <is>
          <t>2022-11-05</t>
        </is>
      </c>
      <c r="C1195" t="inlineStr">
        <is>
          <t>20:20</t>
        </is>
      </c>
      <c r="D1195" t="inlineStr">
        <is>
          <t>n° 25 + n° 26 + n° 27 + n° 28</t>
        </is>
      </c>
      <c r="E1195" t="inlineStr">
        <is>
          <t>Entrecôte Forestiére</t>
        </is>
      </c>
      <c r="F1195" t="n">
        <v>27.8</v>
      </c>
      <c r="G1195" t="inlineStr">
        <is>
          <t>n° 27 : 0,50 + n° 28 : 0,50</t>
        </is>
      </c>
      <c r="H1195" t="n">
        <v>1</v>
      </c>
    </row>
    <row r="1196">
      <c r="A1196" t="inlineStr">
        <is>
          <t>2022-2023</t>
        </is>
      </c>
      <c r="B1196" t="inlineStr">
        <is>
          <t>2022-11-05</t>
        </is>
      </c>
      <c r="C1196" t="inlineStr">
        <is>
          <t>20:20</t>
        </is>
      </c>
      <c r="D1196" t="inlineStr">
        <is>
          <t>n° 25 + n° 26 + n° 27 + n° 28</t>
        </is>
      </c>
      <c r="E1196" t="inlineStr">
        <is>
          <t>ASSIETTE FRANC-COMTO</t>
        </is>
      </c>
      <c r="F1196" t="n">
        <v>18.6</v>
      </c>
      <c r="G1196" t="inlineStr">
        <is>
          <t>n° 25 : 0,50 + n° 26 : 0,50</t>
        </is>
      </c>
      <c r="H1196" t="n">
        <v>1</v>
      </c>
    </row>
    <row r="1197">
      <c r="A1197" t="inlineStr">
        <is>
          <t>2022-2023</t>
        </is>
      </c>
      <c r="B1197" t="inlineStr">
        <is>
          <t>2022-11-05</t>
        </is>
      </c>
      <c r="C1197" t="inlineStr">
        <is>
          <t>20:20</t>
        </is>
      </c>
      <c r="D1197" t="inlineStr">
        <is>
          <t>n° 25 + n° 26 + n° 27 + n° 28</t>
        </is>
      </c>
      <c r="E1197" t="inlineStr">
        <is>
          <t>ASSIETTE PERE GREGOI</t>
        </is>
      </c>
      <c r="F1197" t="n">
        <v>18.6</v>
      </c>
      <c r="G1197" t="inlineStr">
        <is>
          <t>n° 25 : 0,50 + n° 26 : 0,50</t>
        </is>
      </c>
      <c r="H1197" t="n">
        <v>1</v>
      </c>
    </row>
    <row r="1198">
      <c r="A1198" t="inlineStr">
        <is>
          <t>2022-2023</t>
        </is>
      </c>
      <c r="B1198" t="inlineStr">
        <is>
          <t>2022-11-05</t>
        </is>
      </c>
      <c r="C1198" t="inlineStr">
        <is>
          <t>20:20</t>
        </is>
      </c>
      <c r="D1198" t="inlineStr">
        <is>
          <t>n° 25 + n° 26 + n° 27 + n° 28</t>
        </is>
      </c>
      <c r="E1198" t="inlineStr">
        <is>
          <t>TRUITE PESTO</t>
        </is>
      </c>
      <c r="F1198" t="n">
        <v>16.9</v>
      </c>
      <c r="G1198" t="inlineStr">
        <is>
          <t>n° 27 : 0,50 + n° 28 : 0,50</t>
        </is>
      </c>
      <c r="H1198" t="n">
        <v>1</v>
      </c>
    </row>
    <row r="1199">
      <c r="A1199" t="inlineStr">
        <is>
          <t>2022-2023</t>
        </is>
      </c>
      <c r="B1199" t="inlineStr">
        <is>
          <t>2022-11-05</t>
        </is>
      </c>
      <c r="C1199" t="inlineStr">
        <is>
          <t>20:20</t>
        </is>
      </c>
      <c r="D1199" t="inlineStr">
        <is>
          <t>n° 25 + n° 26 + n° 27 + n° 28</t>
        </is>
      </c>
      <c r="E1199" t="inlineStr">
        <is>
          <t>CALIN</t>
        </is>
      </c>
      <c r="F1199" t="n">
        <v>10.5</v>
      </c>
      <c r="G1199" t="inlineStr">
        <is>
          <t>n° 27 : 0,50 + n° 28 : 0,50</t>
        </is>
      </c>
      <c r="H1199" t="n">
        <v>1</v>
      </c>
    </row>
    <row r="1200">
      <c r="A1200" t="inlineStr">
        <is>
          <t>2022-2023</t>
        </is>
      </c>
      <c r="B1200" t="inlineStr">
        <is>
          <t>2022-11-05</t>
        </is>
      </c>
      <c r="C1200" t="inlineStr">
        <is>
          <t>20:20</t>
        </is>
      </c>
      <c r="D1200" t="inlineStr">
        <is>
          <t>n° 25 + n° 26 + n° 27 + n° 28</t>
        </is>
      </c>
      <c r="E1200" t="inlineStr">
        <is>
          <t>Pinte</t>
        </is>
      </c>
      <c r="F1200" t="n">
        <v>7.8</v>
      </c>
      <c r="G1200" t="inlineStr">
        <is>
          <t>n° 27 : 0,50 + n° 28 : 0,50</t>
        </is>
      </c>
      <c r="H1200" t="n">
        <v>1</v>
      </c>
    </row>
    <row r="1201">
      <c r="A1201" t="inlineStr">
        <is>
          <t>2022-2023</t>
        </is>
      </c>
      <c r="B1201" t="inlineStr">
        <is>
          <t>2022-11-05</t>
        </is>
      </c>
      <c r="C1201" t="inlineStr">
        <is>
          <t>20:20</t>
        </is>
      </c>
      <c r="D1201" t="inlineStr">
        <is>
          <t>n° 25 + n° 26 + n° 27 + n° 28</t>
        </is>
      </c>
      <c r="E1201" t="inlineStr">
        <is>
          <t>CREME BRULEE</t>
        </is>
      </c>
      <c r="F1201" t="n">
        <v>6.9</v>
      </c>
      <c r="G1201" t="inlineStr">
        <is>
          <t>n° 25 : 0,50 + n° 26 : 0,50</t>
        </is>
      </c>
      <c r="H1201" t="n">
        <v>1</v>
      </c>
    </row>
    <row r="1202">
      <c r="A1202" t="inlineStr">
        <is>
          <t>2022-2023</t>
        </is>
      </c>
      <c r="B1202" t="inlineStr">
        <is>
          <t>2022-11-05</t>
        </is>
      </c>
      <c r="C1202" t="inlineStr">
        <is>
          <t>20:20</t>
        </is>
      </c>
      <c r="D1202" t="inlineStr">
        <is>
          <t>n° 25 + n° 26 + n° 27 + n° 28</t>
        </is>
      </c>
      <c r="E1202" t="inlineStr">
        <is>
          <t>Ambrée</t>
        </is>
      </c>
      <c r="F1202" t="n">
        <v>5.9</v>
      </c>
      <c r="G1202" t="inlineStr">
        <is>
          <t>n° 27 : 0,50 + n° 28 : 0,50</t>
        </is>
      </c>
      <c r="H1202" t="n">
        <v>1</v>
      </c>
    </row>
    <row r="1203">
      <c r="A1203" t="inlineStr">
        <is>
          <t>2022-2023</t>
        </is>
      </c>
      <c r="B1203" t="inlineStr">
        <is>
          <t>2022-11-05</t>
        </is>
      </c>
      <c r="C1203" t="inlineStr">
        <is>
          <t>20:20</t>
        </is>
      </c>
      <c r="D1203" t="inlineStr">
        <is>
          <t>n° 25 + n° 26 + n° 27 + n° 28</t>
        </is>
      </c>
      <c r="E1203" t="inlineStr">
        <is>
          <t>La Vouivre</t>
        </is>
      </c>
      <c r="F1203" t="n">
        <v>5.2</v>
      </c>
      <c r="G1203" t="inlineStr">
        <is>
          <t>n° 25 : 0,50 + n° 26 : 0,50</t>
        </is>
      </c>
      <c r="H1203" t="n">
        <v>1</v>
      </c>
    </row>
    <row r="1204">
      <c r="A1204" t="inlineStr">
        <is>
          <t>2022-2023</t>
        </is>
      </c>
      <c r="B1204" t="inlineStr">
        <is>
          <t>2022-11-05</t>
        </is>
      </c>
      <c r="C1204" t="inlineStr">
        <is>
          <t>20:20</t>
        </is>
      </c>
      <c r="D1204" t="inlineStr">
        <is>
          <t>n° 25 + n° 26 + n° 27 + n° 28</t>
        </is>
      </c>
      <c r="E1204" t="inlineStr">
        <is>
          <t>Macvin du Jura</t>
        </is>
      </c>
      <c r="F1204" t="n">
        <v>4.9</v>
      </c>
      <c r="G1204" t="inlineStr">
        <is>
          <t>n° 27 : 0,50 + n° 28 : 0,50</t>
        </is>
      </c>
      <c r="H1204" t="n">
        <v>1</v>
      </c>
    </row>
    <row r="1205">
      <c r="A1205" t="inlineStr">
        <is>
          <t>2022-2023</t>
        </is>
      </c>
      <c r="B1205" t="inlineStr">
        <is>
          <t>2022-11-05</t>
        </is>
      </c>
      <c r="C1205" t="inlineStr">
        <is>
          <t>20:20</t>
        </is>
      </c>
      <c r="D1205" t="inlineStr">
        <is>
          <t>n° 25 + n° 26 + n° 27 + n° 28</t>
        </is>
      </c>
      <c r="E1205" t="inlineStr">
        <is>
          <t>Picon bière</t>
        </is>
      </c>
      <c r="F1205" t="n">
        <v>4.5</v>
      </c>
      <c r="G1205" t="inlineStr">
        <is>
          <t>n° 25 : 0,50 + n° 26 : 0,50</t>
        </is>
      </c>
      <c r="H1205" t="n">
        <v>1</v>
      </c>
    </row>
    <row r="1206">
      <c r="A1206" t="inlineStr">
        <is>
          <t>2022-2023</t>
        </is>
      </c>
      <c r="B1206" t="inlineStr">
        <is>
          <t>2022-11-05</t>
        </is>
      </c>
      <c r="C1206" t="inlineStr">
        <is>
          <t>20:20</t>
        </is>
      </c>
      <c r="D1206" t="inlineStr">
        <is>
          <t>n° 25 + n° 26 + n° 27 + n° 28</t>
        </is>
      </c>
      <c r="E1206" t="inlineStr">
        <is>
          <t>Limonade (25cl)</t>
        </is>
      </c>
      <c r="F1206" t="n">
        <v>3.9</v>
      </c>
      <c r="G1206" t="inlineStr">
        <is>
          <t>n° 25 : 0,50 + n° 26 : 0,50</t>
        </is>
      </c>
      <c r="H1206" t="n">
        <v>1</v>
      </c>
    </row>
    <row r="1207">
      <c r="A1207" t="inlineStr">
        <is>
          <t>2022-2023</t>
        </is>
      </c>
      <c r="B1207" t="inlineStr">
        <is>
          <t>2022-11-05</t>
        </is>
      </c>
      <c r="C1207" t="inlineStr">
        <is>
          <t>20:20</t>
        </is>
      </c>
      <c r="D1207" t="inlineStr">
        <is>
          <t>n° 25 + n° 26 + n° 27 + n° 28</t>
        </is>
      </c>
      <c r="E1207" t="inlineStr">
        <is>
          <t>pression</t>
        </is>
      </c>
      <c r="F1207" t="n">
        <v>3.9</v>
      </c>
      <c r="G1207" t="inlineStr">
        <is>
          <t>n° 25 : 0,50 + n° 26 : 0,50</t>
        </is>
      </c>
      <c r="H1207" t="n">
        <v>1</v>
      </c>
    </row>
    <row r="1208">
      <c r="A1208" t="inlineStr">
        <is>
          <t>2022-2023</t>
        </is>
      </c>
      <c r="B1208" t="inlineStr">
        <is>
          <t>2022-11-05</t>
        </is>
      </c>
      <c r="C1208" t="inlineStr">
        <is>
          <t>20:20</t>
        </is>
      </c>
      <c r="D1208" t="inlineStr">
        <is>
          <t>n° 25 + n° 26 + n° 27 + n° 28</t>
        </is>
      </c>
      <c r="E1208" t="inlineStr">
        <is>
          <t>Crémant</t>
        </is>
      </c>
      <c r="F1208" t="n">
        <v>3.9</v>
      </c>
      <c r="G1208" t="inlineStr">
        <is>
          <t>n° 27 : 0,50 + n° 28 : 0,50</t>
        </is>
      </c>
      <c r="H1208" t="n">
        <v>1</v>
      </c>
    </row>
    <row r="1209">
      <c r="A1209" t="inlineStr">
        <is>
          <t>2022-2023</t>
        </is>
      </c>
      <c r="B1209" t="inlineStr">
        <is>
          <t>2022-11-05</t>
        </is>
      </c>
      <c r="C1209" t="inlineStr">
        <is>
          <t>20:20</t>
        </is>
      </c>
      <c r="D1209" t="inlineStr">
        <is>
          <t>n° 25 + n° 26 + n° 27 + n° 28</t>
        </is>
      </c>
      <c r="E1209" t="inlineStr">
        <is>
          <t>GLACE 2 BOULES</t>
        </is>
      </c>
      <c r="F1209" t="n">
        <v>3.9</v>
      </c>
      <c r="G1209" t="inlineStr">
        <is>
          <t>n° 27 : 0,50 + n° 28 : 0,50</t>
        </is>
      </c>
      <c r="H1209" t="n">
        <v>1</v>
      </c>
    </row>
    <row r="1210">
      <c r="A1210" t="inlineStr">
        <is>
          <t>2022-2023</t>
        </is>
      </c>
      <c r="B1210" t="inlineStr">
        <is>
          <t>2022-11-10</t>
        </is>
      </c>
      <c r="C1210" t="inlineStr">
        <is>
          <t>20:24</t>
        </is>
      </c>
      <c r="D1210" t="inlineStr">
        <is>
          <t>n° 8 + n° 9</t>
        </is>
      </c>
      <c r="E1210" t="inlineStr">
        <is>
          <t>Poulet aux Morilles</t>
        </is>
      </c>
      <c r="F1210" t="n">
        <v>28.6</v>
      </c>
      <c r="G1210" t="inlineStr">
        <is>
          <t>n° 8 : 0,50 + n° 9 : 0,50</t>
        </is>
      </c>
      <c r="H1210" t="n">
        <v>1</v>
      </c>
    </row>
    <row r="1211">
      <c r="A1211" t="inlineStr">
        <is>
          <t>2022-2023</t>
        </is>
      </c>
      <c r="B1211" t="inlineStr">
        <is>
          <t>2022-11-10</t>
        </is>
      </c>
      <c r="C1211" t="inlineStr">
        <is>
          <t>20:24</t>
        </is>
      </c>
      <c r="D1211" t="inlineStr">
        <is>
          <t>n° 8 + n° 9</t>
        </is>
      </c>
      <c r="E1211" t="inlineStr">
        <is>
          <t>MACHON GOURMET</t>
        </is>
      </c>
      <c r="F1211" t="n">
        <v>25</v>
      </c>
      <c r="G1211" t="inlineStr">
        <is>
          <t>n° 8 : 0,50 + n° 9 : 0,50</t>
        </is>
      </c>
      <c r="H1211" t="n">
        <v>1</v>
      </c>
    </row>
    <row r="1212">
      <c r="A1212" t="inlineStr">
        <is>
          <t>2022-2023</t>
        </is>
      </c>
      <c r="B1212" t="inlineStr">
        <is>
          <t>2022-11-10</t>
        </is>
      </c>
      <c r="C1212" t="inlineStr">
        <is>
          <t>20:24</t>
        </is>
      </c>
      <c r="D1212" t="inlineStr">
        <is>
          <t>n° 8 + n° 9</t>
        </is>
      </c>
      <c r="E1212" t="inlineStr">
        <is>
          <t>VOGEOTTE</t>
        </is>
      </c>
      <c r="F1212" t="n">
        <v>10.9</v>
      </c>
      <c r="G1212" t="inlineStr">
        <is>
          <t>n° 8 : 0,50 + n° 9 : 0,50</t>
        </is>
      </c>
      <c r="H1212" t="n">
        <v>1</v>
      </c>
    </row>
    <row r="1213">
      <c r="A1213" t="inlineStr">
        <is>
          <t>2022-2023</t>
        </is>
      </c>
      <c r="B1213" t="inlineStr">
        <is>
          <t>2022-11-12</t>
        </is>
      </c>
      <c r="C1213" t="inlineStr">
        <is>
          <t>12:26</t>
        </is>
      </c>
      <c r="D1213" t="inlineStr">
        <is>
          <t>n° 4 + n° 5</t>
        </is>
      </c>
      <c r="E1213" t="inlineStr">
        <is>
          <t>Menu Franc-Comtois</t>
        </is>
      </c>
      <c r="F1213" t="n">
        <v>34</v>
      </c>
      <c r="G1213" t="inlineStr">
        <is>
          <t>n° 4 : 0,50 + n° 5 : 0,50</t>
        </is>
      </c>
      <c r="H1213" t="n">
        <v>1</v>
      </c>
    </row>
    <row r="1214">
      <c r="A1214" t="inlineStr">
        <is>
          <t>2022-2023</t>
        </is>
      </c>
      <c r="B1214" t="inlineStr">
        <is>
          <t>2022-11-12</t>
        </is>
      </c>
      <c r="C1214" t="inlineStr">
        <is>
          <t>12:26</t>
        </is>
      </c>
      <c r="D1214" t="inlineStr">
        <is>
          <t>n° 4 + n° 5</t>
        </is>
      </c>
      <c r="E1214" t="inlineStr">
        <is>
          <t>Menu Végétarien</t>
        </is>
      </c>
      <c r="F1214" t="n">
        <v>25</v>
      </c>
      <c r="G1214" t="inlineStr">
        <is>
          <t>n° 4 : 0,50 + n° 5 : 0,50</t>
        </is>
      </c>
      <c r="H1214" t="n">
        <v>1</v>
      </c>
    </row>
    <row r="1215">
      <c r="A1215" t="inlineStr">
        <is>
          <t>2022-2023</t>
        </is>
      </c>
      <c r="B1215" t="inlineStr">
        <is>
          <t>2022-11-12</t>
        </is>
      </c>
      <c r="C1215" t="inlineStr">
        <is>
          <t>12:26</t>
        </is>
      </c>
      <c r="D1215" t="inlineStr">
        <is>
          <t>n° 4 + n° 5</t>
        </is>
      </c>
      <c r="E1215" t="inlineStr">
        <is>
          <t>Menu 'Galette'</t>
        </is>
      </c>
      <c r="F1215" t="n">
        <v>17</v>
      </c>
      <c r="G1215" t="inlineStr">
        <is>
          <t>n° 4 : 0,50 + n° 5 : 0,50</t>
        </is>
      </c>
      <c r="H1215" t="n">
        <v>1</v>
      </c>
    </row>
    <row r="1216">
      <c r="A1216" t="inlineStr">
        <is>
          <t>2022-2023</t>
        </is>
      </c>
      <c r="B1216" t="inlineStr">
        <is>
          <t>2022-11-12</t>
        </is>
      </c>
      <c r="C1216" t="inlineStr">
        <is>
          <t>12:26</t>
        </is>
      </c>
      <c r="D1216" t="inlineStr">
        <is>
          <t>n° 4 + n° 5</t>
        </is>
      </c>
      <c r="E1216" t="inlineStr">
        <is>
          <t>Menu Bambin</t>
        </is>
      </c>
      <c r="F1216" t="n">
        <v>6.9</v>
      </c>
      <c r="G1216" t="inlineStr">
        <is>
          <t>n° 4 : 0,50 + n° 5 : 0,50</t>
        </is>
      </c>
      <c r="H1216" t="n">
        <v>1</v>
      </c>
    </row>
    <row r="1217">
      <c r="A1217" t="inlineStr">
        <is>
          <t>2022-2023</t>
        </is>
      </c>
      <c r="B1217" t="inlineStr">
        <is>
          <t>2022-11-12</t>
        </is>
      </c>
      <c r="C1217" t="inlineStr">
        <is>
          <t>12:26</t>
        </is>
      </c>
      <c r="D1217" t="inlineStr">
        <is>
          <t>n° 4 + n° 5</t>
        </is>
      </c>
      <c r="E1217" t="inlineStr">
        <is>
          <t>KITTYKIR</t>
        </is>
      </c>
      <c r="F1217" t="n">
        <v>5.2</v>
      </c>
      <c r="G1217" t="inlineStr">
        <is>
          <t>n° 4 : 0,50 + n° 5 : 0,50</t>
        </is>
      </c>
      <c r="H1217" t="n">
        <v>1</v>
      </c>
    </row>
    <row r="1218">
      <c r="A1218" t="inlineStr">
        <is>
          <t>2022-2023</t>
        </is>
      </c>
      <c r="B1218" t="inlineStr">
        <is>
          <t>2022-11-12</t>
        </is>
      </c>
      <c r="C1218" t="inlineStr">
        <is>
          <t>12:26</t>
        </is>
      </c>
      <c r="D1218" t="inlineStr">
        <is>
          <t>n° 4 + n° 5</t>
        </is>
      </c>
      <c r="E1218" t="inlineStr">
        <is>
          <t>Sirop à l'eau</t>
        </is>
      </c>
      <c r="F1218" t="n">
        <v>2.2</v>
      </c>
      <c r="G1218" t="inlineStr">
        <is>
          <t>n° 4 : 0,50 + n° 5 : 0,50</t>
        </is>
      </c>
      <c r="H1218" t="n">
        <v>1</v>
      </c>
    </row>
    <row r="1219">
      <c r="A1219" t="inlineStr">
        <is>
          <t>2022-2023</t>
        </is>
      </c>
      <c r="B1219" t="inlineStr">
        <is>
          <t>2022-11-12</t>
        </is>
      </c>
      <c r="C1219" t="inlineStr">
        <is>
          <t>12:50</t>
        </is>
      </c>
      <c r="D1219" t="inlineStr">
        <is>
          <t>n° 9 + n° 10</t>
        </is>
      </c>
      <c r="E1219" t="inlineStr">
        <is>
          <t>POULET JURASSIENNE</t>
        </is>
      </c>
      <c r="F1219" t="n">
        <v>18.6</v>
      </c>
      <c r="G1219" t="inlineStr">
        <is>
          <t>n° 9 : 0,50 + n° 10 : 0,50</t>
        </is>
      </c>
      <c r="H1219" t="n">
        <v>1</v>
      </c>
    </row>
    <row r="1220">
      <c r="A1220" t="inlineStr">
        <is>
          <t>2022-2023</t>
        </is>
      </c>
      <c r="B1220" t="inlineStr">
        <is>
          <t>2022-11-12</t>
        </is>
      </c>
      <c r="C1220" t="inlineStr">
        <is>
          <t>12:50</t>
        </is>
      </c>
      <c r="D1220" t="inlineStr">
        <is>
          <t>n° 9 + n° 10</t>
        </is>
      </c>
      <c r="E1220" t="inlineStr">
        <is>
          <t>TRUITE PESTO</t>
        </is>
      </c>
      <c r="F1220" t="n">
        <v>16.9</v>
      </c>
      <c r="G1220" t="inlineStr">
        <is>
          <t>n° 9 : 0,50 + n° 10 : 0,50</t>
        </is>
      </c>
      <c r="H1220" t="n">
        <v>1</v>
      </c>
    </row>
    <row r="1221">
      <c r="A1221" t="inlineStr">
        <is>
          <t>2022-2023</t>
        </is>
      </c>
      <c r="B1221" t="inlineStr">
        <is>
          <t>2022-11-12</t>
        </is>
      </c>
      <c r="C1221" t="inlineStr">
        <is>
          <t>12:50</t>
        </is>
      </c>
      <c r="D1221" t="inlineStr">
        <is>
          <t>n° 9 + n° 10</t>
        </is>
      </c>
      <c r="E1221" t="inlineStr">
        <is>
          <t>Pichet 50cl vin</t>
        </is>
      </c>
      <c r="F1221" t="n">
        <v>9.800000000000001</v>
      </c>
      <c r="G1221" t="inlineStr">
        <is>
          <t>n° 9 : 0,50 + n° 10 : 0,50</t>
        </is>
      </c>
      <c r="H1221" t="n">
        <v>1</v>
      </c>
    </row>
    <row r="1222">
      <c r="A1222" t="inlineStr">
        <is>
          <t>2022-2023</t>
        </is>
      </c>
      <c r="B1222" t="inlineStr">
        <is>
          <t>2022-11-12</t>
        </is>
      </c>
      <c r="C1222" t="inlineStr">
        <is>
          <t>12:50</t>
        </is>
      </c>
      <c r="D1222" t="inlineStr">
        <is>
          <t>n° 9 + n° 10</t>
        </is>
      </c>
      <c r="E1222" t="inlineStr">
        <is>
          <t>Chat perché</t>
        </is>
      </c>
      <c r="F1222" t="n">
        <v>5.2</v>
      </c>
      <c r="G1222" t="inlineStr">
        <is>
          <t>n° 9 : 0,50 + n° 10 : 0,50</t>
        </is>
      </c>
      <c r="H1222" t="n">
        <v>1</v>
      </c>
    </row>
    <row r="1223">
      <c r="A1223" t="inlineStr">
        <is>
          <t>2022-2023</t>
        </is>
      </c>
      <c r="B1223" t="inlineStr">
        <is>
          <t>2022-11-12</t>
        </is>
      </c>
      <c r="C1223" t="inlineStr">
        <is>
          <t>12:50</t>
        </is>
      </c>
      <c r="D1223" t="inlineStr">
        <is>
          <t>n° 9 + n° 10</t>
        </is>
      </c>
      <c r="E1223" t="inlineStr">
        <is>
          <t>Père Gregoire</t>
        </is>
      </c>
      <c r="F1223" t="n">
        <v>4.9</v>
      </c>
      <c r="G1223" t="inlineStr">
        <is>
          <t>n° 9 : 0,50 + n° 10 : 0,50</t>
        </is>
      </c>
      <c r="H1223" t="n">
        <v>1</v>
      </c>
    </row>
    <row r="1224">
      <c r="A1224" t="inlineStr">
        <is>
          <t>2022-2023</t>
        </is>
      </c>
      <c r="B1224" t="inlineStr">
        <is>
          <t>2022-11-12</t>
        </is>
      </c>
      <c r="C1224" t="inlineStr">
        <is>
          <t>13:27</t>
        </is>
      </c>
      <c r="D1224" t="inlineStr">
        <is>
          <t>n° 15 + n° 16</t>
        </is>
      </c>
      <c r="E1224" t="inlineStr">
        <is>
          <t>POULET JURASSIENNE</t>
        </is>
      </c>
      <c r="F1224" t="n">
        <v>18.6</v>
      </c>
      <c r="G1224" t="inlineStr">
        <is>
          <t>n° 15 : 0,50 + n° 16 : 0,50</t>
        </is>
      </c>
      <c r="H1224" t="n">
        <v>1</v>
      </c>
    </row>
    <row r="1225">
      <c r="A1225" t="inlineStr">
        <is>
          <t>2022-2023</t>
        </is>
      </c>
      <c r="B1225" t="inlineStr">
        <is>
          <t>2022-11-12</t>
        </is>
      </c>
      <c r="C1225" t="inlineStr">
        <is>
          <t>13:27</t>
        </is>
      </c>
      <c r="D1225" t="inlineStr">
        <is>
          <t>n° 15 + n° 16</t>
        </is>
      </c>
      <c r="E1225" t="inlineStr">
        <is>
          <t>DAMES VERTES</t>
        </is>
      </c>
      <c r="F1225" t="n">
        <v>8.300000000000001</v>
      </c>
      <c r="G1225" t="inlineStr">
        <is>
          <t>n° 15 : 0,50 + n° 16 : 0,50</t>
        </is>
      </c>
      <c r="H1225" t="n">
        <v>1</v>
      </c>
    </row>
    <row r="1226">
      <c r="A1226" t="inlineStr">
        <is>
          <t>2022-2023</t>
        </is>
      </c>
      <c r="B1226" t="inlineStr">
        <is>
          <t>2022-11-12</t>
        </is>
      </c>
      <c r="C1226" t="inlineStr">
        <is>
          <t>13:27</t>
        </is>
      </c>
      <c r="D1226" t="inlineStr">
        <is>
          <t>n° 15 + n° 16</t>
        </is>
      </c>
      <c r="E1226" t="inlineStr">
        <is>
          <t>CREPE NUTELLA CHANTI</t>
        </is>
      </c>
      <c r="F1226" t="n">
        <v>6.5</v>
      </c>
      <c r="G1226" t="inlineStr">
        <is>
          <t>n° 15 : 0,50 + n° 16 : 0,50</t>
        </is>
      </c>
      <c r="H1226" t="n">
        <v>1</v>
      </c>
    </row>
    <row r="1227">
      <c r="A1227" t="inlineStr">
        <is>
          <t>2022-2023</t>
        </is>
      </c>
      <c r="B1227" t="inlineStr">
        <is>
          <t>2022-11-12</t>
        </is>
      </c>
      <c r="C1227" t="inlineStr">
        <is>
          <t>13:27</t>
        </is>
      </c>
      <c r="D1227" t="inlineStr">
        <is>
          <t>n° 15 + n° 16</t>
        </is>
      </c>
      <c r="E1227" t="inlineStr">
        <is>
          <t>San Pelegrino 50cl</t>
        </is>
      </c>
      <c r="F1227" t="n">
        <v>4</v>
      </c>
      <c r="G1227" t="inlineStr">
        <is>
          <t>n° 15 : 0,50 + n° 16 : 0,50</t>
        </is>
      </c>
      <c r="H1227" t="n">
        <v>1</v>
      </c>
    </row>
    <row r="1228">
      <c r="A1228" t="inlineStr">
        <is>
          <t>2022-2023</t>
        </is>
      </c>
      <c r="B1228" t="inlineStr">
        <is>
          <t>2022-11-12</t>
        </is>
      </c>
      <c r="C1228" t="inlineStr">
        <is>
          <t>13:27</t>
        </is>
      </c>
      <c r="D1228" t="inlineStr">
        <is>
          <t>n° 15 + n° 16</t>
        </is>
      </c>
      <c r="E1228" t="inlineStr">
        <is>
          <t>Coca (25cl)</t>
        </is>
      </c>
      <c r="F1228" t="n">
        <v>3.9</v>
      </c>
      <c r="G1228" t="inlineStr">
        <is>
          <t>n° 15 : 0,50 + n° 16 : 0,50</t>
        </is>
      </c>
      <c r="H1228" t="n">
        <v>1</v>
      </c>
    </row>
    <row r="1229">
      <c r="A1229" t="inlineStr">
        <is>
          <t>2022-2023</t>
        </is>
      </c>
      <c r="B1229" t="inlineStr">
        <is>
          <t>2022-11-12</t>
        </is>
      </c>
      <c r="C1229" t="inlineStr">
        <is>
          <t>13:27</t>
        </is>
      </c>
      <c r="D1229" t="inlineStr">
        <is>
          <t>n° 15 + n° 16</t>
        </is>
      </c>
      <c r="E1229" t="inlineStr">
        <is>
          <t>GLACE 2 BOULES</t>
        </is>
      </c>
      <c r="F1229" t="n">
        <v>3.9</v>
      </c>
      <c r="G1229" t="inlineStr">
        <is>
          <t>n° 15 : 0,50 + n° 16 : 0,50</t>
        </is>
      </c>
      <c r="H1229" t="n">
        <v>1</v>
      </c>
    </row>
    <row r="1230">
      <c r="A1230" t="inlineStr">
        <is>
          <t>2022-2023</t>
        </is>
      </c>
      <c r="B1230" t="inlineStr">
        <is>
          <t>2022-11-12</t>
        </is>
      </c>
      <c r="C1230" t="inlineStr">
        <is>
          <t>13:27</t>
        </is>
      </c>
      <c r="D1230" t="inlineStr">
        <is>
          <t>n° 15 + n° 16</t>
        </is>
      </c>
      <c r="E1230" t="inlineStr">
        <is>
          <t>Expresso</t>
        </is>
      </c>
      <c r="F1230" t="n">
        <v>2.2</v>
      </c>
      <c r="G1230" t="inlineStr">
        <is>
          <t>n° 15 : 0,50 + n° 16 : 0,50</t>
        </is>
      </c>
      <c r="H1230" t="n">
        <v>1</v>
      </c>
    </row>
    <row r="1231">
      <c r="A1231" t="inlineStr">
        <is>
          <t>2022-2023</t>
        </is>
      </c>
      <c r="B1231" t="inlineStr">
        <is>
          <t>2022-11-12</t>
        </is>
      </c>
      <c r="C1231" t="inlineStr">
        <is>
          <t>18:50</t>
        </is>
      </c>
      <c r="D1231" t="inlineStr">
        <is>
          <t>n° 19 + n° 20</t>
        </is>
      </c>
      <c r="E1231" t="inlineStr">
        <is>
          <t>Saint Véran Verre</t>
        </is>
      </c>
      <c r="F1231" t="n">
        <v>7.9</v>
      </c>
      <c r="G1231" t="inlineStr">
        <is>
          <t>n° 19 : 0,50 + n° 20 : 0,50</t>
        </is>
      </c>
      <c r="H1231" t="n">
        <v>1</v>
      </c>
    </row>
    <row r="1232">
      <c r="A1232" t="inlineStr">
        <is>
          <t>2022-2023</t>
        </is>
      </c>
      <c r="B1232" t="inlineStr">
        <is>
          <t>2022-11-12</t>
        </is>
      </c>
      <c r="C1232" t="inlineStr">
        <is>
          <t>18:50</t>
        </is>
      </c>
      <c r="D1232" t="inlineStr">
        <is>
          <t>n° 19 + n° 20</t>
        </is>
      </c>
      <c r="E1232" t="inlineStr">
        <is>
          <t>H.C.DE BEAUNE  VERRE</t>
        </is>
      </c>
      <c r="F1232" t="n">
        <v>7.9</v>
      </c>
      <c r="G1232" t="inlineStr">
        <is>
          <t>n° 19 : 0,50 + n° 20 : 0,50</t>
        </is>
      </c>
      <c r="H1232" t="n">
        <v>1</v>
      </c>
    </row>
    <row r="1233">
      <c r="A1233" t="inlineStr">
        <is>
          <t>2022-2023</t>
        </is>
      </c>
      <c r="B1233" t="inlineStr">
        <is>
          <t>2022-11-12</t>
        </is>
      </c>
      <c r="C1233" t="inlineStr">
        <is>
          <t>20:10</t>
        </is>
      </c>
      <c r="D1233" t="inlineStr">
        <is>
          <t>n° 29 + n° 30 + n° 31 + n° 32</t>
        </is>
      </c>
      <c r="E1233" t="inlineStr">
        <is>
          <t>PICHET SAINT VERAN</t>
        </is>
      </c>
      <c r="F1233" t="n">
        <v>30</v>
      </c>
      <c r="G1233" t="inlineStr">
        <is>
          <t>n° 31 : 0,50 + n° 32 : 0,50</t>
        </is>
      </c>
      <c r="H1233" t="n">
        <v>1</v>
      </c>
    </row>
    <row r="1234">
      <c r="A1234" t="inlineStr">
        <is>
          <t>2022-2023</t>
        </is>
      </c>
      <c r="B1234" t="inlineStr">
        <is>
          <t>2022-11-12</t>
        </is>
      </c>
      <c r="C1234" t="inlineStr">
        <is>
          <t>20:10</t>
        </is>
      </c>
      <c r="D1234" t="inlineStr">
        <is>
          <t>n° 29 + n° 30 + n° 31 + n° 32</t>
        </is>
      </c>
      <c r="E1234" t="inlineStr">
        <is>
          <t>Crémeux du Jura</t>
        </is>
      </c>
      <c r="F1234" t="n">
        <v>19</v>
      </c>
      <c r="G1234" t="inlineStr">
        <is>
          <t>n° 31 : 0,50 + n° 32 : 0,50</t>
        </is>
      </c>
      <c r="H1234" t="n">
        <v>1</v>
      </c>
    </row>
    <row r="1235">
      <c r="A1235" t="inlineStr">
        <is>
          <t>2022-2023</t>
        </is>
      </c>
      <c r="B1235" t="inlineStr">
        <is>
          <t>2022-11-12</t>
        </is>
      </c>
      <c r="C1235" t="inlineStr">
        <is>
          <t>20:10</t>
        </is>
      </c>
      <c r="D1235" t="inlineStr">
        <is>
          <t>n° 29 + n° 30 + n° 31 + n° 32</t>
        </is>
      </c>
      <c r="E1235" t="inlineStr">
        <is>
          <t>ASSIETTE FRANC-COMTO</t>
        </is>
      </c>
      <c r="F1235" t="n">
        <v>18.6</v>
      </c>
      <c r="G1235" t="inlineStr">
        <is>
          <t>n° 31 : 0,50 + n° 32 : 0,50</t>
        </is>
      </c>
      <c r="H1235" t="n">
        <v>1</v>
      </c>
    </row>
    <row r="1236">
      <c r="A1236" t="inlineStr">
        <is>
          <t>2022-2023</t>
        </is>
      </c>
      <c r="B1236" t="inlineStr">
        <is>
          <t>2022-11-12</t>
        </is>
      </c>
      <c r="C1236" t="inlineStr">
        <is>
          <t>20:10</t>
        </is>
      </c>
      <c r="D1236" t="inlineStr">
        <is>
          <t>n° 29 + n° 30 + n° 31 + n° 32</t>
        </is>
      </c>
      <c r="E1236" t="inlineStr">
        <is>
          <t>ECRESSI</t>
        </is>
      </c>
      <c r="F1236" t="n">
        <v>14.5</v>
      </c>
      <c r="G1236" t="inlineStr">
        <is>
          <t>n° 29 : 0,50 + n° 30 : 0,50</t>
        </is>
      </c>
      <c r="H1236" t="n">
        <v>1</v>
      </c>
    </row>
    <row r="1237">
      <c r="A1237" t="inlineStr">
        <is>
          <t>2022-2023</t>
        </is>
      </c>
      <c r="B1237" t="inlineStr">
        <is>
          <t>2022-11-12</t>
        </is>
      </c>
      <c r="C1237" t="inlineStr">
        <is>
          <t>20:10</t>
        </is>
      </c>
      <c r="D1237" t="inlineStr">
        <is>
          <t>n° 29 + n° 30 + n° 31 + n° 32</t>
        </is>
      </c>
      <c r="E1237" t="inlineStr">
        <is>
          <t>SAUCE JURASSIENNE</t>
        </is>
      </c>
      <c r="F1237" t="n">
        <v>6.1</v>
      </c>
      <c r="G1237" t="inlineStr">
        <is>
          <t>n° 29 : 0,50 + n° 30 : 0,50</t>
        </is>
      </c>
      <c r="H1237" t="n">
        <v>1</v>
      </c>
    </row>
    <row r="1238">
      <c r="A1238" t="inlineStr">
        <is>
          <t>2022-2023</t>
        </is>
      </c>
      <c r="B1238" t="inlineStr">
        <is>
          <t>2022-11-12</t>
        </is>
      </c>
      <c r="C1238" t="inlineStr">
        <is>
          <t>20:10</t>
        </is>
      </c>
      <c r="D1238" t="inlineStr">
        <is>
          <t>n° 29 + n° 30 + n° 31 + n° 32</t>
        </is>
      </c>
      <c r="E1238" t="inlineStr">
        <is>
          <t>Galette nature</t>
        </is>
      </c>
      <c r="F1238" t="n">
        <v>3.9</v>
      </c>
      <c r="G1238" t="inlineStr">
        <is>
          <t>n° 29 : 0,50 + n° 30 : 0,50</t>
        </is>
      </c>
      <c r="H1238" t="n">
        <v>1</v>
      </c>
    </row>
    <row r="1239">
      <c r="A1239" t="inlineStr">
        <is>
          <t>2022-2023</t>
        </is>
      </c>
      <c r="B1239" t="inlineStr">
        <is>
          <t>2022-11-12</t>
        </is>
      </c>
      <c r="C1239" t="inlineStr">
        <is>
          <t>20:10</t>
        </is>
      </c>
      <c r="D1239" t="inlineStr">
        <is>
          <t>n° 29 + n° 30 + n° 31 + n° 32</t>
        </is>
      </c>
      <c r="E1239" t="inlineStr">
        <is>
          <t>pression</t>
        </is>
      </c>
      <c r="F1239" t="n">
        <v>3.9</v>
      </c>
      <c r="G1239" t="inlineStr">
        <is>
          <t>n° 29 : 0,50 + n° 30 : 0,50</t>
        </is>
      </c>
      <c r="H1239" t="n">
        <v>1</v>
      </c>
    </row>
    <row r="1240">
      <c r="A1240" t="inlineStr">
        <is>
          <t>2022-2023</t>
        </is>
      </c>
      <c r="B1240" t="inlineStr">
        <is>
          <t>2022-11-12</t>
        </is>
      </c>
      <c r="C1240" t="inlineStr">
        <is>
          <t>20:10</t>
        </is>
      </c>
      <c r="D1240" t="inlineStr">
        <is>
          <t>n° 29 + n° 30 + n° 31 + n° 32</t>
        </is>
      </c>
      <c r="E1240" t="inlineStr">
        <is>
          <t>Jambon Blanc</t>
        </is>
      </c>
      <c r="F1240" t="n">
        <v>3.8</v>
      </c>
      <c r="G1240" t="inlineStr">
        <is>
          <t>n° 29 : 0,50 + n° 30 : 0,50</t>
        </is>
      </c>
      <c r="H1240" t="n">
        <v>1</v>
      </c>
    </row>
    <row r="1241">
      <c r="A1241" t="inlineStr">
        <is>
          <t>2022-2023</t>
        </is>
      </c>
      <c r="B1241" t="inlineStr">
        <is>
          <t>2022-11-12</t>
        </is>
      </c>
      <c r="C1241" t="inlineStr">
        <is>
          <t>20:10</t>
        </is>
      </c>
      <c r="D1241" t="inlineStr">
        <is>
          <t>n° 29 + n° 30 + n° 31 + n° 32</t>
        </is>
      </c>
      <c r="E1241" t="inlineStr">
        <is>
          <t>Morbier</t>
        </is>
      </c>
      <c r="F1241" t="n">
        <v>3.5</v>
      </c>
      <c r="G1241" t="inlineStr">
        <is>
          <t>n° 29 : 0,50 + n° 30 : 0,50</t>
        </is>
      </c>
      <c r="H1241" t="n">
        <v>1</v>
      </c>
    </row>
    <row r="1242">
      <c r="A1242" t="inlineStr">
        <is>
          <t>2022-2023</t>
        </is>
      </c>
      <c r="B1242" t="inlineStr">
        <is>
          <t>2022-11-12</t>
        </is>
      </c>
      <c r="C1242" t="inlineStr">
        <is>
          <t>20:10</t>
        </is>
      </c>
      <c r="D1242" t="inlineStr">
        <is>
          <t>n° 29 + n° 30 + n° 31 + n° 32</t>
        </is>
      </c>
      <c r="E1242" t="inlineStr">
        <is>
          <t>GLACE 1 BOULE</t>
        </is>
      </c>
      <c r="F1242" t="n">
        <v>2</v>
      </c>
      <c r="G1242" t="inlineStr">
        <is>
          <t>n° 31 : 0,50 + n° 32 : 0,50</t>
        </is>
      </c>
      <c r="H1242" t="n">
        <v>1</v>
      </c>
    </row>
    <row r="1243">
      <c r="A1243" t="inlineStr">
        <is>
          <t>2022-2023</t>
        </is>
      </c>
      <c r="B1243" t="inlineStr">
        <is>
          <t>2022-11-12</t>
        </is>
      </c>
      <c r="C1243" t="inlineStr">
        <is>
          <t>20:10</t>
        </is>
      </c>
      <c r="D1243" t="inlineStr">
        <is>
          <t>n° 29 + n° 30 + n° 31 + n° 32</t>
        </is>
      </c>
      <c r="E1243" t="inlineStr">
        <is>
          <t>SAUCE CHOCO/CAFE/CAR</t>
        </is>
      </c>
      <c r="F1243" t="n">
        <v>1.8</v>
      </c>
      <c r="G1243" t="inlineStr">
        <is>
          <t>n° 29 : 0,50 + n° 30 : 0,50</t>
        </is>
      </c>
      <c r="H1243" t="n">
        <v>1</v>
      </c>
    </row>
    <row r="1244">
      <c r="A1244" t="inlineStr">
        <is>
          <t>2022-2023</t>
        </is>
      </c>
      <c r="B1244" t="inlineStr">
        <is>
          <t>2022-11-12</t>
        </is>
      </c>
      <c r="C1244" t="inlineStr">
        <is>
          <t>20:10</t>
        </is>
      </c>
      <c r="D1244" t="inlineStr">
        <is>
          <t>n° 29 + n° 30 + n° 31 + n° 32</t>
        </is>
      </c>
      <c r="E1244" t="inlineStr">
        <is>
          <t>Chantilly</t>
        </is>
      </c>
      <c r="F1244" t="n">
        <v>1.8</v>
      </c>
      <c r="G1244" t="inlineStr">
        <is>
          <t>n° 29 : 0,50 + n° 30 : 0,50</t>
        </is>
      </c>
      <c r="H1244" t="n">
        <v>1</v>
      </c>
    </row>
    <row r="1245">
      <c r="A1245" t="inlineStr">
        <is>
          <t>2022-2023</t>
        </is>
      </c>
      <c r="B1245" t="inlineStr">
        <is>
          <t>2022-11-12</t>
        </is>
      </c>
      <c r="C1245" t="inlineStr">
        <is>
          <t>20:10</t>
        </is>
      </c>
      <c r="D1245" t="inlineStr">
        <is>
          <t>n° 29 + n° 30 + n° 31 + n° 32</t>
        </is>
      </c>
      <c r="E1245" t="inlineStr">
        <is>
          <t>Noix</t>
        </is>
      </c>
      <c r="F1245" t="n">
        <v>1.4</v>
      </c>
      <c r="G1245" t="inlineStr">
        <is>
          <t>n° 29 : 0,50 + n° 30 : 0,50</t>
        </is>
      </c>
      <c r="H1245" t="n">
        <v>1</v>
      </c>
    </row>
    <row r="1246">
      <c r="A1246" t="inlineStr">
        <is>
          <t>2022-2023</t>
        </is>
      </c>
      <c r="B1246" t="inlineStr">
        <is>
          <t>2022-11-13</t>
        </is>
      </c>
      <c r="C1246" t="inlineStr">
        <is>
          <t>12:32</t>
        </is>
      </c>
      <c r="D1246" t="inlineStr">
        <is>
          <t>n° 10 + n° 11</t>
        </is>
      </c>
      <c r="E1246" t="inlineStr">
        <is>
          <t>Entrecôte grillée</t>
        </is>
      </c>
      <c r="F1246" t="n">
        <v>19.9</v>
      </c>
      <c r="G1246" t="inlineStr">
        <is>
          <t>n° 10 : 1,50 + n° 11 : 1,50</t>
        </is>
      </c>
      <c r="H1246" t="n">
        <v>3</v>
      </c>
    </row>
    <row r="1247">
      <c r="A1247" t="inlineStr">
        <is>
          <t>2022-2023</t>
        </is>
      </c>
      <c r="B1247" t="inlineStr">
        <is>
          <t>2022-11-13</t>
        </is>
      </c>
      <c r="C1247" t="inlineStr">
        <is>
          <t>12:32</t>
        </is>
      </c>
      <c r="D1247" t="inlineStr">
        <is>
          <t>n° 10 + n° 11</t>
        </is>
      </c>
      <c r="E1247" t="inlineStr">
        <is>
          <t>BURGER COMTOIS</t>
        </is>
      </c>
      <c r="F1247" t="n">
        <v>19</v>
      </c>
      <c r="G1247" t="inlineStr">
        <is>
          <t>n° 10 : 0,50 + n° 11 : 0,50</t>
        </is>
      </c>
      <c r="H1247" t="n">
        <v>1</v>
      </c>
    </row>
    <row r="1248">
      <c r="A1248" t="inlineStr">
        <is>
          <t>2022-2023</t>
        </is>
      </c>
      <c r="B1248" t="inlineStr">
        <is>
          <t>2022-11-13</t>
        </is>
      </c>
      <c r="C1248" t="inlineStr">
        <is>
          <t>12:32</t>
        </is>
      </c>
      <c r="D1248" t="inlineStr">
        <is>
          <t>n° 10 + n° 11</t>
        </is>
      </c>
      <c r="E1248" t="inlineStr">
        <is>
          <t>Mambo</t>
        </is>
      </c>
      <c r="F1248" t="n">
        <v>6.5</v>
      </c>
      <c r="G1248" t="inlineStr">
        <is>
          <t>n° 10 : 0,50 + n° 11 : 0,50</t>
        </is>
      </c>
      <c r="H1248" t="n">
        <v>1</v>
      </c>
    </row>
    <row r="1249">
      <c r="A1249" t="inlineStr">
        <is>
          <t>2022-2023</t>
        </is>
      </c>
      <c r="B1249" t="inlineStr">
        <is>
          <t>2022-11-13</t>
        </is>
      </c>
      <c r="C1249" t="inlineStr">
        <is>
          <t>12:32</t>
        </is>
      </c>
      <c r="D1249" t="inlineStr">
        <is>
          <t>n° 10 + n° 11</t>
        </is>
      </c>
      <c r="E1249" t="inlineStr">
        <is>
          <t>Luna</t>
        </is>
      </c>
      <c r="F1249" t="n">
        <v>6</v>
      </c>
      <c r="G1249" t="inlineStr">
        <is>
          <t>n° 10 : 0,50 + n° 11 : 0,50</t>
        </is>
      </c>
      <c r="H1249" t="n">
        <v>1</v>
      </c>
    </row>
    <row r="1250">
      <c r="A1250" t="inlineStr">
        <is>
          <t>2022-2023</t>
        </is>
      </c>
      <c r="B1250" t="inlineStr">
        <is>
          <t>2022-11-13</t>
        </is>
      </c>
      <c r="C1250" t="inlineStr">
        <is>
          <t>12:32</t>
        </is>
      </c>
      <c r="D1250" t="inlineStr">
        <is>
          <t>n° 10 + n° 11</t>
        </is>
      </c>
      <c r="E1250" t="inlineStr">
        <is>
          <t>Picon bière</t>
        </is>
      </c>
      <c r="F1250" t="n">
        <v>4.5</v>
      </c>
      <c r="G1250" t="inlineStr">
        <is>
          <t>n° 10 : 0,50 + n° 11 : 0,50</t>
        </is>
      </c>
      <c r="H1250" t="n">
        <v>1</v>
      </c>
    </row>
    <row r="1251">
      <c r="A1251" t="inlineStr">
        <is>
          <t>2022-2023</t>
        </is>
      </c>
      <c r="B1251" t="inlineStr">
        <is>
          <t>2022-11-13</t>
        </is>
      </c>
      <c r="C1251" t="inlineStr">
        <is>
          <t>12:32</t>
        </is>
      </c>
      <c r="D1251" t="inlineStr">
        <is>
          <t>n° 10 + n° 11</t>
        </is>
      </c>
      <c r="E1251" t="inlineStr">
        <is>
          <t>pression</t>
        </is>
      </c>
      <c r="F1251" t="n">
        <v>3.9</v>
      </c>
      <c r="G1251" t="inlineStr">
        <is>
          <t>n° 10 : 0,50 + n° 11 : 0,50</t>
        </is>
      </c>
      <c r="H1251" t="n">
        <v>1</v>
      </c>
    </row>
    <row r="1252">
      <c r="A1252" t="inlineStr">
        <is>
          <t>2022-2023</t>
        </is>
      </c>
      <c r="B1252" t="inlineStr">
        <is>
          <t>2022-11-13</t>
        </is>
      </c>
      <c r="C1252" t="inlineStr">
        <is>
          <t>12:32</t>
        </is>
      </c>
      <c r="D1252" t="inlineStr">
        <is>
          <t>n° 10 + n° 11</t>
        </is>
      </c>
      <c r="E1252" t="inlineStr">
        <is>
          <t>GLACE 2 BOULES</t>
        </is>
      </c>
      <c r="F1252" t="n">
        <v>3.9</v>
      </c>
      <c r="G1252" t="inlineStr">
        <is>
          <t>n° 10 : 0,50 + n° 11 : 0,50</t>
        </is>
      </c>
      <c r="H1252" t="n">
        <v>1</v>
      </c>
    </row>
    <row r="1253">
      <c r="A1253" t="inlineStr">
        <is>
          <t>2022-2023</t>
        </is>
      </c>
      <c r="B1253" t="inlineStr">
        <is>
          <t>2022-11-13</t>
        </is>
      </c>
      <c r="C1253" t="inlineStr">
        <is>
          <t>12:32</t>
        </is>
      </c>
      <c r="D1253" t="inlineStr">
        <is>
          <t>n° 10 + n° 11</t>
        </is>
      </c>
      <c r="E1253" t="inlineStr">
        <is>
          <t>Expresso</t>
        </is>
      </c>
      <c r="F1253" t="n">
        <v>2.2</v>
      </c>
      <c r="G1253" t="inlineStr">
        <is>
          <t>n° 10 : 0,50 + n° 11 : 0,50</t>
        </is>
      </c>
      <c r="H1253" t="n">
        <v>1</v>
      </c>
    </row>
    <row r="1254">
      <c r="A1254" t="inlineStr">
        <is>
          <t>2022-2023</t>
        </is>
      </c>
      <c r="B1254" t="inlineStr">
        <is>
          <t>2022-11-16</t>
        </is>
      </c>
      <c r="C1254" t="inlineStr">
        <is>
          <t>12:55</t>
        </is>
      </c>
      <c r="D1254" t="inlineStr">
        <is>
          <t>n° 10 + n° 11</t>
        </is>
      </c>
      <c r="E1254" t="inlineStr">
        <is>
          <t>TRUITE JURASSIENNE</t>
        </is>
      </c>
      <c r="F1254" t="n">
        <v>18.6</v>
      </c>
      <c r="G1254" t="inlineStr">
        <is>
          <t>n° 10 : 0,50 + n° 11 : 0,50</t>
        </is>
      </c>
      <c r="H1254" t="n">
        <v>1</v>
      </c>
    </row>
    <row r="1255">
      <c r="A1255" t="inlineStr">
        <is>
          <t>2022-2023</t>
        </is>
      </c>
      <c r="B1255" t="inlineStr">
        <is>
          <t>2022-11-16</t>
        </is>
      </c>
      <c r="C1255" t="inlineStr">
        <is>
          <t>12:55</t>
        </is>
      </c>
      <c r="D1255" t="inlineStr">
        <is>
          <t>n° 10 + n° 11</t>
        </is>
      </c>
      <c r="E1255" t="inlineStr">
        <is>
          <t>TRUITE PESTO</t>
        </is>
      </c>
      <c r="F1255" t="n">
        <v>16.9</v>
      </c>
      <c r="G1255" t="inlineStr">
        <is>
          <t>n° 10 : 0,50 + n° 11 : 0,50</t>
        </is>
      </c>
      <c r="H1255" t="n">
        <v>1</v>
      </c>
    </row>
    <row r="1256">
      <c r="A1256" t="inlineStr">
        <is>
          <t>2022-2023</t>
        </is>
      </c>
      <c r="B1256" t="inlineStr">
        <is>
          <t>2022-11-16</t>
        </is>
      </c>
      <c r="C1256" t="inlineStr">
        <is>
          <t>12:55</t>
        </is>
      </c>
      <c r="D1256" t="inlineStr">
        <is>
          <t>n° 10 + n° 11</t>
        </is>
      </c>
      <c r="E1256" t="inlineStr">
        <is>
          <t>Pavlova</t>
        </is>
      </c>
      <c r="F1256" t="n">
        <v>8.699999999999999</v>
      </c>
      <c r="G1256" t="inlineStr">
        <is>
          <t>n° 10 : 0,50 + n° 11 : 0,50</t>
        </is>
      </c>
      <c r="H1256" t="n">
        <v>1</v>
      </c>
    </row>
    <row r="1257">
      <c r="A1257" t="inlineStr">
        <is>
          <t>2022-2023</t>
        </is>
      </c>
      <c r="B1257" t="inlineStr">
        <is>
          <t>2022-11-16</t>
        </is>
      </c>
      <c r="C1257" t="inlineStr">
        <is>
          <t>12:55</t>
        </is>
      </c>
      <c r="D1257" t="inlineStr">
        <is>
          <t>n° 10 + n° 11</t>
        </is>
      </c>
      <c r="E1257" t="inlineStr">
        <is>
          <t>Savagnin verre</t>
        </is>
      </c>
      <c r="F1257" t="n">
        <v>7.2</v>
      </c>
      <c r="G1257" t="inlineStr">
        <is>
          <t>n° 10 : 0,50 + n° 11 : 0,50</t>
        </is>
      </c>
      <c r="H1257" t="n">
        <v>1</v>
      </c>
    </row>
    <row r="1258">
      <c r="A1258" t="inlineStr">
        <is>
          <t>2022-2023</t>
        </is>
      </c>
      <c r="B1258" t="inlineStr">
        <is>
          <t>2022-11-16</t>
        </is>
      </c>
      <c r="C1258" t="inlineStr">
        <is>
          <t>12:55</t>
        </is>
      </c>
      <c r="D1258" t="inlineStr">
        <is>
          <t>n° 10 + n° 11</t>
        </is>
      </c>
      <c r="E1258" t="inlineStr">
        <is>
          <t>Baba au Macvin</t>
        </is>
      </c>
      <c r="F1258" t="n">
        <v>6.9</v>
      </c>
      <c r="G1258" t="inlineStr">
        <is>
          <t>n° 10 : 0,50 + n° 11 : 0,50</t>
        </is>
      </c>
      <c r="H1258" t="n">
        <v>1</v>
      </c>
    </row>
    <row r="1259">
      <c r="A1259" t="inlineStr">
        <is>
          <t>2022-2023</t>
        </is>
      </c>
      <c r="B1259" t="inlineStr">
        <is>
          <t>2022-11-16</t>
        </is>
      </c>
      <c r="C1259" t="inlineStr">
        <is>
          <t>12:55</t>
        </is>
      </c>
      <c r="D1259" t="inlineStr">
        <is>
          <t>n° 10 + n° 11</t>
        </is>
      </c>
      <c r="E1259" t="inlineStr">
        <is>
          <t>Arbois Trousseau Le</t>
        </is>
      </c>
      <c r="F1259" t="n">
        <v>6.4</v>
      </c>
      <c r="G1259" t="inlineStr">
        <is>
          <t>n° 10 : 0,50 + n° 11 : 0,50</t>
        </is>
      </c>
      <c r="H1259" t="n">
        <v>1</v>
      </c>
    </row>
    <row r="1260">
      <c r="A1260" t="inlineStr">
        <is>
          <t>2022-2023</t>
        </is>
      </c>
      <c r="B1260" t="inlineStr">
        <is>
          <t>2022-11-16</t>
        </is>
      </c>
      <c r="C1260" t="inlineStr">
        <is>
          <t>12:55</t>
        </is>
      </c>
      <c r="D1260" t="inlineStr">
        <is>
          <t>n° 10 + n° 11</t>
        </is>
      </c>
      <c r="E1260" t="inlineStr">
        <is>
          <t>Porto</t>
        </is>
      </c>
      <c r="F1260" t="n">
        <v>4.2</v>
      </c>
      <c r="G1260" t="inlineStr">
        <is>
          <t>n° 10 : 0,50 + n° 11 : 0,50</t>
        </is>
      </c>
      <c r="H1260" t="n">
        <v>1</v>
      </c>
    </row>
    <row r="1261">
      <c r="A1261" t="inlineStr">
        <is>
          <t>2022-2023</t>
        </is>
      </c>
      <c r="B1261" t="inlineStr">
        <is>
          <t>2022-11-16</t>
        </is>
      </c>
      <c r="C1261" t="inlineStr">
        <is>
          <t>12:55</t>
        </is>
      </c>
      <c r="D1261" t="inlineStr">
        <is>
          <t>n° 10 + n° 11</t>
        </is>
      </c>
      <c r="E1261" t="inlineStr">
        <is>
          <t>pression</t>
        </is>
      </c>
      <c r="F1261" t="n">
        <v>3.9</v>
      </c>
      <c r="G1261" t="inlineStr">
        <is>
          <t>n° 10 : 0,50 + n° 11 : 0,50</t>
        </is>
      </c>
      <c r="H1261" t="n">
        <v>1</v>
      </c>
    </row>
    <row r="1262">
      <c r="A1262" t="inlineStr">
        <is>
          <t>2022-2023</t>
        </is>
      </c>
      <c r="B1262" t="inlineStr">
        <is>
          <t>2022-11-16</t>
        </is>
      </c>
      <c r="C1262" t="inlineStr">
        <is>
          <t>12:55</t>
        </is>
      </c>
      <c r="D1262" t="inlineStr">
        <is>
          <t>n° 10 + n° 11</t>
        </is>
      </c>
      <c r="E1262" t="inlineStr">
        <is>
          <t>Chantilly</t>
        </is>
      </c>
      <c r="F1262" t="n">
        <v>1.8</v>
      </c>
      <c r="G1262" t="inlineStr">
        <is>
          <t>n° 10 : 0,50 + n° 11 : 0,50</t>
        </is>
      </c>
      <c r="H1262" t="n">
        <v>1</v>
      </c>
    </row>
    <row r="1263">
      <c r="A1263" t="inlineStr">
        <is>
          <t>2022-2023</t>
        </is>
      </c>
      <c r="B1263" t="inlineStr">
        <is>
          <t>2022-11-16</t>
        </is>
      </c>
      <c r="C1263" t="inlineStr">
        <is>
          <t>19:42</t>
        </is>
      </c>
      <c r="D1263" t="inlineStr">
        <is>
          <t>n° 17 + n° 18</t>
        </is>
      </c>
      <c r="E1263" t="inlineStr">
        <is>
          <t>Entrecôte grillée</t>
        </is>
      </c>
      <c r="F1263" t="n">
        <v>19.9</v>
      </c>
      <c r="G1263" t="inlineStr">
        <is>
          <t>n° 17 : 0,50 + n° 18 : 0,50</t>
        </is>
      </c>
      <c r="H1263" t="n">
        <v>1</v>
      </c>
    </row>
    <row r="1264">
      <c r="A1264" t="inlineStr">
        <is>
          <t>2022-2023</t>
        </is>
      </c>
      <c r="B1264" t="inlineStr">
        <is>
          <t>2022-11-16</t>
        </is>
      </c>
      <c r="C1264" t="inlineStr">
        <is>
          <t>19:42</t>
        </is>
      </c>
      <c r="D1264" t="inlineStr">
        <is>
          <t>n° 17 + n° 18</t>
        </is>
      </c>
      <c r="E1264" t="inlineStr">
        <is>
          <t>BURGER COMTOIS</t>
        </is>
      </c>
      <c r="F1264" t="n">
        <v>19</v>
      </c>
      <c r="G1264" t="inlineStr">
        <is>
          <t>n° 17 : 0,50 + n° 18 : 0,50</t>
        </is>
      </c>
      <c r="H1264" t="n">
        <v>1</v>
      </c>
    </row>
    <row r="1265">
      <c r="A1265" t="inlineStr">
        <is>
          <t>2022-2023</t>
        </is>
      </c>
      <c r="B1265" t="inlineStr">
        <is>
          <t>2022-11-16</t>
        </is>
      </c>
      <c r="C1265" t="inlineStr">
        <is>
          <t>19:42</t>
        </is>
      </c>
      <c r="D1265" t="inlineStr">
        <is>
          <t>n° 17 + n° 18</t>
        </is>
      </c>
      <c r="E1265" t="inlineStr">
        <is>
          <t>Pinte Picon</t>
        </is>
      </c>
      <c r="F1265" t="n">
        <v>8.9</v>
      </c>
      <c r="G1265" t="inlineStr">
        <is>
          <t>n° 17 : 0,50 + n° 18 : 0,50</t>
        </is>
      </c>
      <c r="H1265" t="n">
        <v>1</v>
      </c>
    </row>
    <row r="1266">
      <c r="A1266" t="inlineStr">
        <is>
          <t>2022-2023</t>
        </is>
      </c>
      <c r="B1266" t="inlineStr">
        <is>
          <t>2022-11-16</t>
        </is>
      </c>
      <c r="C1266" t="inlineStr">
        <is>
          <t>19:42</t>
        </is>
      </c>
      <c r="D1266" t="inlineStr">
        <is>
          <t>n° 17 + n° 18</t>
        </is>
      </c>
      <c r="E1266" t="inlineStr">
        <is>
          <t>pression</t>
        </is>
      </c>
      <c r="F1266" t="n">
        <v>3.9</v>
      </c>
      <c r="G1266" t="inlineStr">
        <is>
          <t>n° 17 : 0,50 + n° 18 : 0,50</t>
        </is>
      </c>
      <c r="H1266" t="n">
        <v>1</v>
      </c>
    </row>
    <row r="1267">
      <c r="A1267" t="inlineStr">
        <is>
          <t>2022-2023</t>
        </is>
      </c>
      <c r="B1267" t="inlineStr">
        <is>
          <t>2022-11-17</t>
        </is>
      </c>
      <c r="C1267" t="inlineStr">
        <is>
          <t>20:23</t>
        </is>
      </c>
      <c r="D1267" t="inlineStr">
        <is>
          <t>n° 11 + n° 12</t>
        </is>
      </c>
      <c r="E1267" t="inlineStr">
        <is>
          <t>Crémeux du Jura</t>
        </is>
      </c>
      <c r="F1267" t="n">
        <v>19</v>
      </c>
      <c r="G1267" t="inlineStr">
        <is>
          <t>n° 11 : 0,50 + n° 12 : 0,50</t>
        </is>
      </c>
      <c r="H1267" t="n">
        <v>1</v>
      </c>
    </row>
    <row r="1268">
      <c r="A1268" t="inlineStr">
        <is>
          <t>2022-2023</t>
        </is>
      </c>
      <c r="B1268" t="inlineStr">
        <is>
          <t>2022-11-17</t>
        </is>
      </c>
      <c r="C1268" t="inlineStr">
        <is>
          <t>20:23</t>
        </is>
      </c>
      <c r="D1268" t="inlineStr">
        <is>
          <t>n° 11 + n° 12</t>
        </is>
      </c>
      <c r="E1268" t="inlineStr">
        <is>
          <t>ASSIETTE PERE GREGOI</t>
        </is>
      </c>
      <c r="F1268" t="n">
        <v>18.6</v>
      </c>
      <c r="G1268" t="inlineStr">
        <is>
          <t>n° 11 : 0,50 + n° 12 : 0,50</t>
        </is>
      </c>
      <c r="H1268" t="n">
        <v>1</v>
      </c>
    </row>
    <row r="1269">
      <c r="A1269" t="inlineStr">
        <is>
          <t>2022-2023</t>
        </is>
      </c>
      <c r="B1269" t="inlineStr">
        <is>
          <t>2022-11-17</t>
        </is>
      </c>
      <c r="C1269" t="inlineStr">
        <is>
          <t>20:23</t>
        </is>
      </c>
      <c r="D1269" t="inlineStr">
        <is>
          <t>n° 11 + n° 12</t>
        </is>
      </c>
      <c r="E1269" t="inlineStr">
        <is>
          <t>Crêpe Salidou</t>
        </is>
      </c>
      <c r="F1269" t="n">
        <v>5.6</v>
      </c>
      <c r="G1269" t="inlineStr">
        <is>
          <t>n° 11 : 0,50 + n° 12 : 0,50</t>
        </is>
      </c>
      <c r="H1269" t="n">
        <v>1</v>
      </c>
    </row>
    <row r="1270">
      <c r="A1270" t="inlineStr">
        <is>
          <t>2022-2023</t>
        </is>
      </c>
      <c r="B1270" t="inlineStr">
        <is>
          <t>2022-11-17</t>
        </is>
      </c>
      <c r="C1270" t="inlineStr">
        <is>
          <t>20:23</t>
        </is>
      </c>
      <c r="D1270" t="inlineStr">
        <is>
          <t>n° 11 + n° 12</t>
        </is>
      </c>
      <c r="E1270" t="inlineStr">
        <is>
          <t>Chat perché</t>
        </is>
      </c>
      <c r="F1270" t="n">
        <v>5.2</v>
      </c>
      <c r="G1270" t="inlineStr">
        <is>
          <t>n° 11 : 0,50 + n° 12 : 0,50</t>
        </is>
      </c>
      <c r="H1270" t="n">
        <v>1</v>
      </c>
    </row>
    <row r="1271">
      <c r="A1271" t="inlineStr">
        <is>
          <t>2022-2023</t>
        </is>
      </c>
      <c r="B1271" t="inlineStr">
        <is>
          <t>2022-11-17</t>
        </is>
      </c>
      <c r="C1271" t="inlineStr">
        <is>
          <t>20:23</t>
        </is>
      </c>
      <c r="D1271" t="inlineStr">
        <is>
          <t>n° 11 + n° 12</t>
        </is>
      </c>
      <c r="E1271" t="inlineStr">
        <is>
          <t>KITTYKIR</t>
        </is>
      </c>
      <c r="F1271" t="n">
        <v>5.2</v>
      </c>
      <c r="G1271" t="inlineStr">
        <is>
          <t>n° 11 : 0,50 + n° 12 : 0,50</t>
        </is>
      </c>
      <c r="H1271" t="n">
        <v>1</v>
      </c>
    </row>
    <row r="1272">
      <c r="A1272" t="inlineStr">
        <is>
          <t>2022-2023</t>
        </is>
      </c>
      <c r="B1272" t="inlineStr">
        <is>
          <t>2022-11-17</t>
        </is>
      </c>
      <c r="C1272" t="inlineStr">
        <is>
          <t>20:23</t>
        </is>
      </c>
      <c r="D1272" t="inlineStr">
        <is>
          <t>n° 11 + n° 12</t>
        </is>
      </c>
      <c r="E1272" t="inlineStr">
        <is>
          <t>Crêpe Nutella</t>
        </is>
      </c>
      <c r="F1272" t="n">
        <v>4.7</v>
      </c>
      <c r="G1272" t="inlineStr">
        <is>
          <t>n° 11 : 0,50 + n° 12 : 0,50</t>
        </is>
      </c>
      <c r="H1272" t="n">
        <v>1</v>
      </c>
    </row>
    <row r="1273">
      <c r="A1273" t="inlineStr">
        <is>
          <t>2022-2023</t>
        </is>
      </c>
      <c r="B1273" t="inlineStr">
        <is>
          <t>2022-11-18</t>
        </is>
      </c>
      <c r="C1273" t="inlineStr">
        <is>
          <t>12:56</t>
        </is>
      </c>
      <c r="D1273" t="inlineStr">
        <is>
          <t>n° 2 + n° 3</t>
        </is>
      </c>
      <c r="E1273" t="inlineStr">
        <is>
          <t>C du Rhone St  Josep</t>
        </is>
      </c>
      <c r="F1273" t="n">
        <v>36</v>
      </c>
      <c r="G1273" t="inlineStr">
        <is>
          <t>n° 2 : 0,50 + n° 3 : 0,50</t>
        </is>
      </c>
      <c r="H1273" t="n">
        <v>1</v>
      </c>
    </row>
    <row r="1274">
      <c r="A1274" t="inlineStr">
        <is>
          <t>2022-2023</t>
        </is>
      </c>
      <c r="B1274" t="inlineStr">
        <is>
          <t>2022-11-18</t>
        </is>
      </c>
      <c r="C1274" t="inlineStr">
        <is>
          <t>12:56</t>
        </is>
      </c>
      <c r="D1274" t="inlineStr">
        <is>
          <t>n° 2 + n° 3</t>
        </is>
      </c>
      <c r="E1274" t="inlineStr">
        <is>
          <t>POULET JURASSIENNE</t>
        </is>
      </c>
      <c r="F1274" t="n">
        <v>18.6</v>
      </c>
      <c r="G1274" t="inlineStr">
        <is>
          <t>n° 2 : 0,50 + n° 3 : 0,50</t>
        </is>
      </c>
      <c r="H1274" t="n">
        <v>1</v>
      </c>
    </row>
    <row r="1275">
      <c r="A1275" t="inlineStr">
        <is>
          <t>2022-2023</t>
        </is>
      </c>
      <c r="B1275" t="inlineStr">
        <is>
          <t>2022-11-18</t>
        </is>
      </c>
      <c r="C1275" t="inlineStr">
        <is>
          <t>12:56</t>
        </is>
      </c>
      <c r="D1275" t="inlineStr">
        <is>
          <t>n° 2 + n° 3</t>
        </is>
      </c>
      <c r="E1275" t="inlineStr">
        <is>
          <t>MORTEAU GRILLEE</t>
        </is>
      </c>
      <c r="F1275" t="n">
        <v>18.6</v>
      </c>
      <c r="G1275" t="inlineStr">
        <is>
          <t>n° 2 : 0,50 + n° 3 : 0,50</t>
        </is>
      </c>
      <c r="H1275" t="n">
        <v>1</v>
      </c>
    </row>
    <row r="1276">
      <c r="A1276" t="inlineStr">
        <is>
          <t>2022-2023</t>
        </is>
      </c>
      <c r="B1276" t="inlineStr">
        <is>
          <t>2022-11-23</t>
        </is>
      </c>
      <c r="C1276" t="inlineStr">
        <is>
          <t>20:12</t>
        </is>
      </c>
      <c r="D1276" t="inlineStr">
        <is>
          <t>n° 13 + n° 14</t>
        </is>
      </c>
      <c r="E1276" t="inlineStr">
        <is>
          <t>Arbois Béthanie</t>
        </is>
      </c>
      <c r="F1276" t="n">
        <v>29.9</v>
      </c>
      <c r="G1276" t="inlineStr">
        <is>
          <t>n° 13 : 0,50 + n° 14 : 0,50</t>
        </is>
      </c>
      <c r="H1276" t="n">
        <v>1</v>
      </c>
    </row>
    <row r="1277">
      <c r="A1277" t="inlineStr">
        <is>
          <t>2022-2023</t>
        </is>
      </c>
      <c r="B1277" t="inlineStr">
        <is>
          <t>2022-11-23</t>
        </is>
      </c>
      <c r="C1277" t="inlineStr">
        <is>
          <t>20:12</t>
        </is>
      </c>
      <c r="D1277" t="inlineStr">
        <is>
          <t>n° 13 + n° 14</t>
        </is>
      </c>
      <c r="E1277" t="inlineStr">
        <is>
          <t>MACHON GOURMET</t>
        </is>
      </c>
      <c r="F1277" t="n">
        <v>25</v>
      </c>
      <c r="G1277" t="inlineStr">
        <is>
          <t>n° 13 : 0,50 + n° 14 : 0,50</t>
        </is>
      </c>
      <c r="H1277" t="n">
        <v>1</v>
      </c>
    </row>
    <row r="1278">
      <c r="A1278" t="inlineStr">
        <is>
          <t>2022-2023</t>
        </is>
      </c>
      <c r="B1278" t="inlineStr">
        <is>
          <t>2022-11-23</t>
        </is>
      </c>
      <c r="C1278" t="inlineStr">
        <is>
          <t>20:12</t>
        </is>
      </c>
      <c r="D1278" t="inlineStr">
        <is>
          <t>n° 13 + n° 14</t>
        </is>
      </c>
      <c r="E1278" t="inlineStr">
        <is>
          <t>TRUITE JURASSIENNE</t>
        </is>
      </c>
      <c r="F1278" t="n">
        <v>18.6</v>
      </c>
      <c r="G1278" t="inlineStr">
        <is>
          <t>n° 13 : 0,50 + n° 14 : 0,50</t>
        </is>
      </c>
      <c r="H1278" t="n">
        <v>1</v>
      </c>
    </row>
    <row r="1279">
      <c r="A1279" t="inlineStr">
        <is>
          <t>2022-2023</t>
        </is>
      </c>
      <c r="B1279" t="inlineStr">
        <is>
          <t>2022-11-23</t>
        </is>
      </c>
      <c r="C1279" t="inlineStr">
        <is>
          <t>20:12</t>
        </is>
      </c>
      <c r="D1279" t="inlineStr">
        <is>
          <t>n° 13 + n° 14</t>
        </is>
      </c>
      <c r="E1279" t="inlineStr">
        <is>
          <t>ASSIETTE FRANC-COMTO</t>
        </is>
      </c>
      <c r="F1279" t="n">
        <v>18.6</v>
      </c>
      <c r="G1279" t="inlineStr">
        <is>
          <t>n° 13 : 0,50 + n° 14 : 0,50</t>
        </is>
      </c>
      <c r="H1279" t="n">
        <v>1</v>
      </c>
    </row>
    <row r="1280">
      <c r="A1280" t="inlineStr">
        <is>
          <t>2022-2023</t>
        </is>
      </c>
      <c r="B1280" t="inlineStr">
        <is>
          <t>2022-11-23</t>
        </is>
      </c>
      <c r="C1280" t="inlineStr">
        <is>
          <t>20:12</t>
        </is>
      </c>
      <c r="D1280" t="inlineStr">
        <is>
          <t>n° 13 + n° 14</t>
        </is>
      </c>
      <c r="E1280" t="inlineStr">
        <is>
          <t>CREME BRULEE</t>
        </is>
      </c>
      <c r="F1280" t="n">
        <v>6.9</v>
      </c>
      <c r="G1280" t="inlineStr">
        <is>
          <t>n° 13 : 0,50 + n° 14 : 0,50</t>
        </is>
      </c>
      <c r="H1280" t="n">
        <v>1</v>
      </c>
    </row>
    <row r="1281">
      <c r="A1281" t="inlineStr">
        <is>
          <t>2022-2023</t>
        </is>
      </c>
      <c r="B1281" t="inlineStr">
        <is>
          <t>2022-11-26</t>
        </is>
      </c>
      <c r="C1281" t="inlineStr">
        <is>
          <t>20:12</t>
        </is>
      </c>
      <c r="D1281" t="inlineStr">
        <is>
          <t>n° 18 + n° 19 + n° 20 + n° 21</t>
        </is>
      </c>
      <c r="E1281" t="inlineStr">
        <is>
          <t>ASSIETTE FRANC-COMTO</t>
        </is>
      </c>
      <c r="F1281" t="n">
        <v>18.6</v>
      </c>
      <c r="G1281" t="inlineStr">
        <is>
          <t>n° 19 : 1,00 + n° 20 : 0,50 + n° 21 : 0,50</t>
        </is>
      </c>
      <c r="H1281" t="n">
        <v>2</v>
      </c>
    </row>
    <row r="1282">
      <c r="A1282" t="inlineStr">
        <is>
          <t>2022-2023</t>
        </is>
      </c>
      <c r="B1282" t="inlineStr">
        <is>
          <t>2022-11-26</t>
        </is>
      </c>
      <c r="C1282" t="inlineStr">
        <is>
          <t>20:12</t>
        </is>
      </c>
      <c r="D1282" t="inlineStr">
        <is>
          <t>n° 18 + n° 19 + n° 20 + n° 21</t>
        </is>
      </c>
      <c r="E1282" t="inlineStr">
        <is>
          <t>TRUITE JURASSIENNE</t>
        </is>
      </c>
      <c r="F1282" t="n">
        <v>18.6</v>
      </c>
      <c r="G1282" t="inlineStr">
        <is>
          <t>n° 20 : 0,50 + n° 21 : 0,50</t>
        </is>
      </c>
      <c r="H1282" t="n">
        <v>1</v>
      </c>
    </row>
    <row r="1283">
      <c r="A1283" t="inlineStr">
        <is>
          <t>2022-2023</t>
        </is>
      </c>
      <c r="B1283" t="inlineStr">
        <is>
          <t>2022-11-26</t>
        </is>
      </c>
      <c r="C1283" t="inlineStr">
        <is>
          <t>20:12</t>
        </is>
      </c>
      <c r="D1283" t="inlineStr">
        <is>
          <t>n° 18 + n° 19 + n° 20 + n° 21</t>
        </is>
      </c>
      <c r="E1283" t="inlineStr">
        <is>
          <t>Croûtes Morilles</t>
        </is>
      </c>
      <c r="F1283" t="n">
        <v>16.9</v>
      </c>
      <c r="G1283" t="inlineStr">
        <is>
          <t>n° 18 : 0,50 + n° 19 : 0,50</t>
        </is>
      </c>
      <c r="H1283" t="n">
        <v>1</v>
      </c>
    </row>
    <row r="1284">
      <c r="A1284" t="inlineStr">
        <is>
          <t>2022-2023</t>
        </is>
      </c>
      <c r="B1284" t="inlineStr">
        <is>
          <t>2022-11-26</t>
        </is>
      </c>
      <c r="C1284" t="inlineStr">
        <is>
          <t>20:12</t>
        </is>
      </c>
      <c r="D1284" t="inlineStr">
        <is>
          <t>n° 18 + n° 19 + n° 20 + n° 21</t>
        </is>
      </c>
      <c r="E1284" t="inlineStr">
        <is>
          <t>Crêpe Pommes</t>
        </is>
      </c>
      <c r="F1284" t="n">
        <v>6.6</v>
      </c>
      <c r="G1284" t="inlineStr">
        <is>
          <t>n° 20 : 0,50 + n° 21 : 0,50</t>
        </is>
      </c>
      <c r="H1284" t="n">
        <v>1</v>
      </c>
    </row>
    <row r="1285">
      <c r="A1285" t="inlineStr">
        <is>
          <t>2022-2023</t>
        </is>
      </c>
      <c r="B1285" t="inlineStr">
        <is>
          <t>2022-11-26</t>
        </is>
      </c>
      <c r="C1285" t="inlineStr">
        <is>
          <t>20:12</t>
        </is>
      </c>
      <c r="D1285" t="inlineStr">
        <is>
          <t>n° 18 + n° 19 + n° 20 + n° 21</t>
        </is>
      </c>
      <c r="E1285" t="inlineStr">
        <is>
          <t>Mambo</t>
        </is>
      </c>
      <c r="F1285" t="n">
        <v>6.5</v>
      </c>
      <c r="G1285" t="inlineStr">
        <is>
          <t>n° 20 : 0,50 + n° 21 : 0,50</t>
        </is>
      </c>
      <c r="H1285" t="n">
        <v>1</v>
      </c>
    </row>
    <row r="1286">
      <c r="A1286" t="inlineStr">
        <is>
          <t>2022-2023</t>
        </is>
      </c>
      <c r="B1286" t="inlineStr">
        <is>
          <t>2022-11-26</t>
        </is>
      </c>
      <c r="C1286" t="inlineStr">
        <is>
          <t>20:12</t>
        </is>
      </c>
      <c r="D1286" t="inlineStr">
        <is>
          <t>n° 18 + n° 19 + n° 20 + n° 21</t>
        </is>
      </c>
      <c r="E1286" t="inlineStr">
        <is>
          <t>Crêpe Nutella</t>
        </is>
      </c>
      <c r="F1286" t="n">
        <v>4.7</v>
      </c>
      <c r="G1286" t="inlineStr">
        <is>
          <t>n° 20 : 0,50 + n° 21 : 0,50</t>
        </is>
      </c>
      <c r="H1286" t="n">
        <v>1</v>
      </c>
    </row>
    <row r="1287">
      <c r="A1287" t="inlineStr">
        <is>
          <t>2022-2023</t>
        </is>
      </c>
      <c r="B1287" t="inlineStr">
        <is>
          <t>2022-11-26</t>
        </is>
      </c>
      <c r="C1287" t="inlineStr">
        <is>
          <t>20:12</t>
        </is>
      </c>
      <c r="D1287" t="inlineStr">
        <is>
          <t>n° 18 + n° 19 + n° 20 + n° 21</t>
        </is>
      </c>
      <c r="E1287" t="inlineStr">
        <is>
          <t>Kir Bourgogne</t>
        </is>
      </c>
      <c r="F1287" t="n">
        <v>4.2</v>
      </c>
      <c r="G1287" t="inlineStr">
        <is>
          <t>n° 20 : 0,50 + n° 21 : 0,50</t>
        </is>
      </c>
      <c r="H1287" t="n">
        <v>1</v>
      </c>
    </row>
    <row r="1288">
      <c r="A1288" t="inlineStr">
        <is>
          <t>2022-2023</t>
        </is>
      </c>
      <c r="B1288" t="inlineStr">
        <is>
          <t>2022-11-26</t>
        </is>
      </c>
      <c r="C1288" t="inlineStr">
        <is>
          <t>20:12</t>
        </is>
      </c>
      <c r="D1288" t="inlineStr">
        <is>
          <t>n° 18 + n° 19 + n° 20 + n° 21</t>
        </is>
      </c>
      <c r="E1288" t="inlineStr">
        <is>
          <t>Chocolat fondu</t>
        </is>
      </c>
      <c r="F1288" t="n">
        <v>1.8</v>
      </c>
      <c r="G1288" t="inlineStr">
        <is>
          <t>n° 20 : 0,50 + n° 21 : 0,50</t>
        </is>
      </c>
      <c r="H1288" t="n">
        <v>1</v>
      </c>
    </row>
    <row r="1289">
      <c r="A1289" t="inlineStr">
        <is>
          <t>2022-2023</t>
        </is>
      </c>
      <c r="B1289" t="inlineStr">
        <is>
          <t>2022-11-26</t>
        </is>
      </c>
      <c r="C1289" t="inlineStr">
        <is>
          <t>20:39</t>
        </is>
      </c>
      <c r="D1289" t="inlineStr">
        <is>
          <t>n° 24 + n° 25</t>
        </is>
      </c>
      <c r="E1289" t="inlineStr">
        <is>
          <t>Poulet aux Morilles</t>
        </is>
      </c>
      <c r="F1289" t="n">
        <v>28.6</v>
      </c>
      <c r="G1289" t="inlineStr">
        <is>
          <t>n° 24 : 0,50 + n° 25 : 0,50</t>
        </is>
      </c>
      <c r="H1289" t="n">
        <v>1</v>
      </c>
    </row>
    <row r="1290">
      <c r="A1290" t="inlineStr">
        <is>
          <t>2022-2023</t>
        </is>
      </c>
      <c r="B1290" t="inlineStr">
        <is>
          <t>2022-11-26</t>
        </is>
      </c>
      <c r="C1290" t="inlineStr">
        <is>
          <t>20:39</t>
        </is>
      </c>
      <c r="D1290" t="inlineStr">
        <is>
          <t>n° 24 + n° 25</t>
        </is>
      </c>
      <c r="E1290" t="inlineStr">
        <is>
          <t>MACHON GOURMET</t>
        </is>
      </c>
      <c r="F1290" t="n">
        <v>25</v>
      </c>
      <c r="G1290" t="inlineStr">
        <is>
          <t>n° 24 : 0,50 + n° 25 : 0,50</t>
        </is>
      </c>
      <c r="H1290" t="n">
        <v>1</v>
      </c>
    </row>
    <row r="1291">
      <c r="A1291" t="inlineStr">
        <is>
          <t>2022-2023</t>
        </is>
      </c>
      <c r="B1291" t="inlineStr">
        <is>
          <t>2022-11-26</t>
        </is>
      </c>
      <c r="C1291" t="inlineStr">
        <is>
          <t>20:39</t>
        </is>
      </c>
      <c r="D1291" t="inlineStr">
        <is>
          <t>n° 24 + n° 25</t>
        </is>
      </c>
      <c r="E1291" t="inlineStr">
        <is>
          <t>FLIRT</t>
        </is>
      </c>
      <c r="F1291" t="n">
        <v>8.1</v>
      </c>
      <c r="G1291" t="inlineStr">
        <is>
          <t>n° 24 : 0,50 + n° 25 : 0,50</t>
        </is>
      </c>
      <c r="H1291" t="n">
        <v>1</v>
      </c>
    </row>
    <row r="1292">
      <c r="A1292" t="inlineStr">
        <is>
          <t>2022-2023</t>
        </is>
      </c>
      <c r="B1292" t="inlineStr">
        <is>
          <t>2022-11-26</t>
        </is>
      </c>
      <c r="C1292" t="inlineStr">
        <is>
          <t>20:39</t>
        </is>
      </c>
      <c r="D1292" t="inlineStr">
        <is>
          <t>n° 24 + n° 25</t>
        </is>
      </c>
      <c r="E1292" t="inlineStr">
        <is>
          <t>Crepe Chocolat</t>
        </is>
      </c>
      <c r="F1292" t="n">
        <v>4.7</v>
      </c>
      <c r="G1292" t="inlineStr">
        <is>
          <t>n° 24 : 0,50 + n° 25 : 0,50</t>
        </is>
      </c>
      <c r="H1292" t="n">
        <v>1</v>
      </c>
    </row>
    <row r="1293">
      <c r="A1293" t="inlineStr">
        <is>
          <t>2022-2023</t>
        </is>
      </c>
      <c r="B1293" t="inlineStr">
        <is>
          <t>2022-12-07</t>
        </is>
      </c>
      <c r="C1293" t="inlineStr">
        <is>
          <t>20:16</t>
        </is>
      </c>
      <c r="D1293" t="inlineStr">
        <is>
          <t>n° 18 + n° 19</t>
        </is>
      </c>
      <c r="E1293" t="inlineStr">
        <is>
          <t>TRUITE PESTO</t>
        </is>
      </c>
      <c r="F1293" t="n">
        <v>16.9</v>
      </c>
      <c r="G1293" t="inlineStr">
        <is>
          <t>n° 18 : 0,50 + n° 19 : 0,50</t>
        </is>
      </c>
      <c r="H1293" t="n">
        <v>1</v>
      </c>
    </row>
    <row r="1294">
      <c r="A1294" t="inlineStr">
        <is>
          <t>2022-2023</t>
        </is>
      </c>
      <c r="B1294" t="inlineStr">
        <is>
          <t>2022-12-07</t>
        </is>
      </c>
      <c r="C1294" t="inlineStr">
        <is>
          <t>20:16</t>
        </is>
      </c>
      <c r="D1294" t="inlineStr">
        <is>
          <t>n° 18 + n° 19</t>
        </is>
      </c>
      <c r="E1294" t="inlineStr">
        <is>
          <t>NIOLERIES</t>
        </is>
      </c>
      <c r="F1294" t="n">
        <v>13</v>
      </c>
      <c r="G1294" t="inlineStr">
        <is>
          <t>n° 18 : 0,50 + n° 19 : 0,50</t>
        </is>
      </c>
      <c r="H1294" t="n">
        <v>1</v>
      </c>
    </row>
    <row r="1295">
      <c r="A1295" t="inlineStr">
        <is>
          <t>2022-2023</t>
        </is>
      </c>
      <c r="B1295" t="inlineStr">
        <is>
          <t>2022-12-08</t>
        </is>
      </c>
      <c r="C1295" t="inlineStr">
        <is>
          <t>20:14</t>
        </is>
      </c>
      <c r="D1295" t="inlineStr">
        <is>
          <t>n° 5 + n° 6 + n° 7 + n° 8</t>
        </is>
      </c>
      <c r="E1295" t="inlineStr">
        <is>
          <t>Alsace Gewurztramine</t>
        </is>
      </c>
      <c r="F1295" t="n">
        <v>35</v>
      </c>
      <c r="G1295" t="inlineStr">
        <is>
          <t>n° 5 : 0,33 + n° 6 : 0,34 + n° 7 : 0,33</t>
        </is>
      </c>
      <c r="H1295" t="n">
        <v>1</v>
      </c>
    </row>
    <row r="1296">
      <c r="A1296" t="inlineStr">
        <is>
          <t>2022-2023</t>
        </is>
      </c>
      <c r="B1296" t="inlineStr">
        <is>
          <t>2022-12-08</t>
        </is>
      </c>
      <c r="C1296" t="inlineStr">
        <is>
          <t>20:14</t>
        </is>
      </c>
      <c r="D1296" t="inlineStr">
        <is>
          <t>n° 5 + n° 6 + n° 7 + n° 8</t>
        </is>
      </c>
      <c r="E1296" t="inlineStr">
        <is>
          <t>DADOULET</t>
        </is>
      </c>
      <c r="F1296" t="n">
        <v>20.9</v>
      </c>
      <c r="G1296" t="inlineStr">
        <is>
          <t>n° 5 : 0,33 + n° 6 : 0,34 + n° 7 : 0,33</t>
        </is>
      </c>
      <c r="H1296" t="n">
        <v>1</v>
      </c>
    </row>
    <row r="1297">
      <c r="A1297" t="inlineStr">
        <is>
          <t>2022-2023</t>
        </is>
      </c>
      <c r="B1297" t="inlineStr">
        <is>
          <t>2022-12-08</t>
        </is>
      </c>
      <c r="C1297" t="inlineStr">
        <is>
          <t>20:14</t>
        </is>
      </c>
      <c r="D1297" t="inlineStr">
        <is>
          <t>n° 5 + n° 6 + n° 7 + n° 8</t>
        </is>
      </c>
      <c r="E1297" t="inlineStr">
        <is>
          <t>Entrecôte grillée</t>
        </is>
      </c>
      <c r="F1297" t="n">
        <v>19.9</v>
      </c>
      <c r="G1297" t="inlineStr">
        <is>
          <t>n° 5 : 0,33 + n° 6 : 0,34 + n° 7 : 0,33</t>
        </is>
      </c>
      <c r="H1297" t="n">
        <v>1</v>
      </c>
    </row>
    <row r="1298">
      <c r="A1298" t="inlineStr">
        <is>
          <t>2022-2023</t>
        </is>
      </c>
      <c r="B1298" t="inlineStr">
        <is>
          <t>2022-12-08</t>
        </is>
      </c>
      <c r="C1298" t="inlineStr">
        <is>
          <t>20:14</t>
        </is>
      </c>
      <c r="D1298" t="inlineStr">
        <is>
          <t>n° 5 + n° 6 + n° 7 + n° 8</t>
        </is>
      </c>
      <c r="E1298" t="inlineStr">
        <is>
          <t>LOURNETTE</t>
        </is>
      </c>
      <c r="F1298" t="n">
        <v>16.9</v>
      </c>
      <c r="G1298" t="inlineStr">
        <is>
          <t>n° 8 : 0,50</t>
        </is>
      </c>
      <c r="H1298" t="n">
        <v>0.5</v>
      </c>
    </row>
    <row r="1299">
      <c r="A1299" t="inlineStr">
        <is>
          <t>2022-2023</t>
        </is>
      </c>
      <c r="B1299" t="inlineStr">
        <is>
          <t>2022-12-08</t>
        </is>
      </c>
      <c r="C1299" t="inlineStr">
        <is>
          <t>20:14</t>
        </is>
      </c>
      <c r="D1299" t="inlineStr">
        <is>
          <t>n° 5 + n° 6 + n° 7 + n° 8</t>
        </is>
      </c>
      <c r="E1299" t="inlineStr">
        <is>
          <t>TANTELIN</t>
        </is>
      </c>
      <c r="F1299" t="n">
        <v>16.4</v>
      </c>
      <c r="G1299" t="inlineStr">
        <is>
          <t>n° 5 : 0,33 + n° 6 : 0,34 + n° 7 : 0,33</t>
        </is>
      </c>
      <c r="H1299" t="n">
        <v>1</v>
      </c>
    </row>
    <row r="1300">
      <c r="A1300" t="inlineStr">
        <is>
          <t>2022-2023</t>
        </is>
      </c>
      <c r="B1300" t="inlineStr">
        <is>
          <t>2022-12-08</t>
        </is>
      </c>
      <c r="C1300" t="inlineStr">
        <is>
          <t>20:14</t>
        </is>
      </c>
      <c r="D1300" t="inlineStr">
        <is>
          <t>n° 5 + n° 6 + n° 7 + n° 8</t>
        </is>
      </c>
      <c r="E1300" t="inlineStr">
        <is>
          <t>LIGOUSE</t>
        </is>
      </c>
      <c r="F1300" t="n">
        <v>15.6</v>
      </c>
      <c r="G1300" t="inlineStr">
        <is>
          <t>n° 8 : 0,50</t>
        </is>
      </c>
      <c r="H1300" t="n">
        <v>0.5</v>
      </c>
    </row>
    <row r="1301">
      <c r="A1301" t="inlineStr">
        <is>
          <t>2022-2023</t>
        </is>
      </c>
      <c r="B1301" t="inlineStr">
        <is>
          <t>2022-12-08</t>
        </is>
      </c>
      <c r="C1301" t="inlineStr">
        <is>
          <t>20:14</t>
        </is>
      </c>
      <c r="D1301" t="inlineStr">
        <is>
          <t>n° 5 + n° 6 + n° 7 + n° 8</t>
        </is>
      </c>
      <c r="E1301" t="inlineStr">
        <is>
          <t>TANTE ARIE</t>
        </is>
      </c>
      <c r="F1301" t="n">
        <v>8.5</v>
      </c>
      <c r="G1301" t="inlineStr">
        <is>
          <t>n° 8 : 0,50</t>
        </is>
      </c>
      <c r="H1301" t="n">
        <v>0.5</v>
      </c>
    </row>
    <row r="1302">
      <c r="A1302" t="inlineStr">
        <is>
          <t>2022-2023</t>
        </is>
      </c>
      <c r="B1302" t="inlineStr">
        <is>
          <t>2022-12-08</t>
        </is>
      </c>
      <c r="C1302" t="inlineStr">
        <is>
          <t>20:14</t>
        </is>
      </c>
      <c r="D1302" t="inlineStr">
        <is>
          <t>n° 5 + n° 6 + n° 7 + n° 8</t>
        </is>
      </c>
      <c r="E1302" t="inlineStr">
        <is>
          <t>Chablis Le Verre</t>
        </is>
      </c>
      <c r="F1302" t="n">
        <v>7.9</v>
      </c>
      <c r="G1302" t="inlineStr">
        <is>
          <t>n° 8 : 0,50</t>
        </is>
      </c>
      <c r="H1302" t="n">
        <v>0.5</v>
      </c>
    </row>
    <row r="1303">
      <c r="A1303" t="inlineStr">
        <is>
          <t>2022-2023</t>
        </is>
      </c>
      <c r="B1303" t="inlineStr">
        <is>
          <t>2022-12-08</t>
        </is>
      </c>
      <c r="C1303" t="inlineStr">
        <is>
          <t>20:14</t>
        </is>
      </c>
      <c r="D1303" t="inlineStr">
        <is>
          <t>n° 5 + n° 6 + n° 7 + n° 8</t>
        </is>
      </c>
      <c r="E1303" t="inlineStr">
        <is>
          <t>Crêpe Pommes</t>
        </is>
      </c>
      <c r="F1303" t="n">
        <v>6.6</v>
      </c>
      <c r="G1303" t="inlineStr">
        <is>
          <t>n° 8 : 0,50</t>
        </is>
      </c>
      <c r="H1303" t="n">
        <v>0.5</v>
      </c>
    </row>
    <row r="1304">
      <c r="A1304" t="inlineStr">
        <is>
          <t>2022-2023</t>
        </is>
      </c>
      <c r="B1304" t="inlineStr">
        <is>
          <t>2022-12-08</t>
        </is>
      </c>
      <c r="C1304" t="inlineStr">
        <is>
          <t>20:14</t>
        </is>
      </c>
      <c r="D1304" t="inlineStr">
        <is>
          <t>n° 5 + n° 6 + n° 7 + n° 8</t>
        </is>
      </c>
      <c r="E1304" t="inlineStr">
        <is>
          <t>Vin de Paille</t>
        </is>
      </c>
      <c r="F1304" t="n">
        <v>6</v>
      </c>
      <c r="G1304" t="inlineStr">
        <is>
          <t>n° 8 : 0,50</t>
        </is>
      </c>
      <c r="H1304" t="n">
        <v>0.5</v>
      </c>
    </row>
    <row r="1305">
      <c r="A1305" t="inlineStr">
        <is>
          <t>2022-2023</t>
        </is>
      </c>
      <c r="B1305" t="inlineStr">
        <is>
          <t>2022-12-08</t>
        </is>
      </c>
      <c r="C1305" t="inlineStr">
        <is>
          <t>20:14</t>
        </is>
      </c>
      <c r="D1305" t="inlineStr">
        <is>
          <t>n° 5 + n° 6 + n° 7 + n° 8</t>
        </is>
      </c>
      <c r="E1305" t="inlineStr">
        <is>
          <t>Crepe Chocolat</t>
        </is>
      </c>
      <c r="F1305" t="n">
        <v>4.7</v>
      </c>
      <c r="G1305" t="inlineStr">
        <is>
          <t>n° 5 : 0,33 + n° 6 : 0,34 + n° 7 : 0,33</t>
        </is>
      </c>
      <c r="H1305" t="n">
        <v>1</v>
      </c>
    </row>
    <row r="1306">
      <c r="A1306" t="inlineStr">
        <is>
          <t>2022-2023</t>
        </is>
      </c>
      <c r="B1306" t="inlineStr">
        <is>
          <t>2022-12-08</t>
        </is>
      </c>
      <c r="C1306" t="inlineStr">
        <is>
          <t>20:14</t>
        </is>
      </c>
      <c r="D1306" t="inlineStr">
        <is>
          <t>n° 5 + n° 6 + n° 7 + n° 8</t>
        </is>
      </c>
      <c r="E1306" t="inlineStr">
        <is>
          <t>GLACE 2 BOULES</t>
        </is>
      </c>
      <c r="F1306" t="n">
        <v>3.9</v>
      </c>
      <c r="G1306" t="inlineStr">
        <is>
          <t>n° 5 : 0,33 + n° 6 : 0,34 + n° 7 : 0,33</t>
        </is>
      </c>
      <c r="H1306" t="n">
        <v>1</v>
      </c>
    </row>
    <row r="1307">
      <c r="A1307" t="inlineStr">
        <is>
          <t>2022-2023</t>
        </is>
      </c>
      <c r="B1307" t="inlineStr">
        <is>
          <t>2022-12-08</t>
        </is>
      </c>
      <c r="C1307" t="inlineStr">
        <is>
          <t>20:14</t>
        </is>
      </c>
      <c r="D1307" t="inlineStr">
        <is>
          <t>n° 5 + n° 6 + n° 7 + n° 8</t>
        </is>
      </c>
      <c r="E1307" t="inlineStr">
        <is>
          <t>Salidou</t>
        </is>
      </c>
      <c r="F1307" t="n">
        <v>2.7</v>
      </c>
      <c r="G1307" t="inlineStr">
        <is>
          <t>n° 8 : 0,50</t>
        </is>
      </c>
      <c r="H1307" t="n">
        <v>0.5</v>
      </c>
    </row>
    <row r="1308">
      <c r="A1308" t="inlineStr">
        <is>
          <t>2022-2023</t>
        </is>
      </c>
      <c r="B1308" t="inlineStr">
        <is>
          <t>2022-12-08</t>
        </is>
      </c>
      <c r="C1308" t="inlineStr">
        <is>
          <t>20:14</t>
        </is>
      </c>
      <c r="D1308" t="inlineStr">
        <is>
          <t>n° 5 + n° 6 + n° 7 + n° 8</t>
        </is>
      </c>
      <c r="E1308" t="inlineStr">
        <is>
          <t>Déca</t>
        </is>
      </c>
      <c r="F1308" t="n">
        <v>2.2</v>
      </c>
      <c r="G1308" t="inlineStr">
        <is>
          <t>n° 5 : 0,33 + n° 6 : 0,34 + n° 7 : 0,33</t>
        </is>
      </c>
      <c r="H1308" t="n">
        <v>1</v>
      </c>
    </row>
    <row r="1309">
      <c r="A1309" t="inlineStr">
        <is>
          <t>2022-2023</t>
        </is>
      </c>
      <c r="B1309" t="inlineStr">
        <is>
          <t>2022-12-08</t>
        </is>
      </c>
      <c r="C1309" t="inlineStr">
        <is>
          <t>20:14</t>
        </is>
      </c>
      <c r="D1309" t="inlineStr">
        <is>
          <t>n° 5 + n° 6 + n° 7 + n° 8</t>
        </is>
      </c>
      <c r="E1309" t="inlineStr">
        <is>
          <t>Expresso</t>
        </is>
      </c>
      <c r="F1309" t="n">
        <v>2.2</v>
      </c>
      <c r="G1309" t="inlineStr">
        <is>
          <t>n° 8 : 0,50</t>
        </is>
      </c>
      <c r="H1309" t="n">
        <v>0.5</v>
      </c>
    </row>
    <row r="1310">
      <c r="A1310" t="inlineStr">
        <is>
          <t>2022-2023</t>
        </is>
      </c>
      <c r="B1310" t="inlineStr">
        <is>
          <t>2022-12-08</t>
        </is>
      </c>
      <c r="C1310" t="inlineStr">
        <is>
          <t>20:14</t>
        </is>
      </c>
      <c r="D1310" t="inlineStr">
        <is>
          <t>n° 5 + n° 6 + n° 7 + n° 8</t>
        </is>
      </c>
      <c r="E1310" t="inlineStr">
        <is>
          <t>Amandes grillées</t>
        </is>
      </c>
      <c r="F1310" t="n">
        <v>1.2</v>
      </c>
      <c r="G1310" t="inlineStr">
        <is>
          <t>n° 8 : 0,50</t>
        </is>
      </c>
      <c r="H1310" t="n">
        <v>0.5</v>
      </c>
    </row>
    <row r="1311">
      <c r="A1311" t="inlineStr">
        <is>
          <t>2022-2023</t>
        </is>
      </c>
      <c r="B1311" t="inlineStr">
        <is>
          <t>2022-12-09</t>
        </is>
      </c>
      <c r="C1311" t="inlineStr">
        <is>
          <t>20:48</t>
        </is>
      </c>
      <c r="D1311" t="inlineStr">
        <is>
          <t>n° 9 + n° 10</t>
        </is>
      </c>
      <c r="E1311" t="inlineStr">
        <is>
          <t>1/2 Arbois Béthanie</t>
        </is>
      </c>
      <c r="F1311" t="n">
        <v>19</v>
      </c>
      <c r="G1311" t="inlineStr">
        <is>
          <t>n° 9 : 0,50 + n° 10 : 0,50</t>
        </is>
      </c>
      <c r="H1311" t="n">
        <v>1</v>
      </c>
    </row>
    <row r="1312">
      <c r="A1312" t="inlineStr">
        <is>
          <t>2022-2023</t>
        </is>
      </c>
      <c r="B1312" t="inlineStr">
        <is>
          <t>2022-12-09</t>
        </is>
      </c>
      <c r="C1312" t="inlineStr">
        <is>
          <t>20:48</t>
        </is>
      </c>
      <c r="D1312" t="inlineStr">
        <is>
          <t>n° 9 + n° 10</t>
        </is>
      </c>
      <c r="E1312" t="inlineStr">
        <is>
          <t>BURGER COMTOIS</t>
        </is>
      </c>
      <c r="F1312" t="n">
        <v>19</v>
      </c>
      <c r="G1312" t="inlineStr">
        <is>
          <t>n° 9 : 0,50 + n° 10 : 0,50</t>
        </is>
      </c>
      <c r="H1312" t="n">
        <v>1</v>
      </c>
    </row>
    <row r="1313">
      <c r="A1313" t="inlineStr">
        <is>
          <t>2022-2023</t>
        </is>
      </c>
      <c r="B1313" t="inlineStr">
        <is>
          <t>2022-12-09</t>
        </is>
      </c>
      <c r="C1313" t="inlineStr">
        <is>
          <t>20:48</t>
        </is>
      </c>
      <c r="D1313" t="inlineStr">
        <is>
          <t>n° 9 + n° 10</t>
        </is>
      </c>
      <c r="E1313" t="inlineStr">
        <is>
          <t>ASSIETTE FRANC-COMTO</t>
        </is>
      </c>
      <c r="F1313" t="n">
        <v>18.6</v>
      </c>
      <c r="G1313" t="inlineStr">
        <is>
          <t>n° 9 : 0,50 + n° 10 : 0,50</t>
        </is>
      </c>
      <c r="H1313" t="n">
        <v>1</v>
      </c>
    </row>
    <row r="1314">
      <c r="A1314" t="inlineStr">
        <is>
          <t>2022-2023</t>
        </is>
      </c>
      <c r="B1314" t="inlineStr">
        <is>
          <t>2022-12-09</t>
        </is>
      </c>
      <c r="C1314" t="inlineStr">
        <is>
          <t>20:48</t>
        </is>
      </c>
      <c r="D1314" t="inlineStr">
        <is>
          <t>n° 9 + n° 10</t>
        </is>
      </c>
      <c r="E1314" t="inlineStr">
        <is>
          <t>CAPRICE</t>
        </is>
      </c>
      <c r="F1314" t="n">
        <v>9.9</v>
      </c>
      <c r="G1314" t="inlineStr">
        <is>
          <t>n° 9 : 0,50 + n° 10 : 0,50</t>
        </is>
      </c>
      <c r="H1314" t="n">
        <v>1</v>
      </c>
    </row>
    <row r="1315">
      <c r="A1315" t="inlineStr">
        <is>
          <t>2022-2023</t>
        </is>
      </c>
      <c r="B1315" t="inlineStr">
        <is>
          <t>2022-12-09</t>
        </is>
      </c>
      <c r="C1315" t="inlineStr">
        <is>
          <t>20:48</t>
        </is>
      </c>
      <c r="D1315" t="inlineStr">
        <is>
          <t>n° 9 + n° 10</t>
        </is>
      </c>
      <c r="E1315" t="inlineStr">
        <is>
          <t>DAMES VERTES</t>
        </is>
      </c>
      <c r="F1315" t="n">
        <v>8.300000000000001</v>
      </c>
      <c r="G1315" t="inlineStr">
        <is>
          <t>n° 9 : 0,50 + n° 10 : 0,50</t>
        </is>
      </c>
      <c r="H1315" t="n">
        <v>1</v>
      </c>
    </row>
    <row r="1316">
      <c r="A1316" t="inlineStr">
        <is>
          <t>2022-2023</t>
        </is>
      </c>
      <c r="B1316" t="inlineStr">
        <is>
          <t>2022-12-10</t>
        </is>
      </c>
      <c r="C1316" t="inlineStr">
        <is>
          <t>13:02</t>
        </is>
      </c>
      <c r="D1316" t="inlineStr">
        <is>
          <t>n° 6 + n° 7</t>
        </is>
      </c>
      <c r="E1316" t="inlineStr">
        <is>
          <t>Saint Véran Verre</t>
        </is>
      </c>
      <c r="F1316" t="n">
        <v>7.9</v>
      </c>
      <c r="G1316" t="inlineStr">
        <is>
          <t>n° 6 : 0,50 + n° 7 : 0,50</t>
        </is>
      </c>
      <c r="H1316" t="n">
        <v>1</v>
      </c>
    </row>
    <row r="1317">
      <c r="A1317" t="inlineStr">
        <is>
          <t>2022-2023</t>
        </is>
      </c>
      <c r="B1317" t="inlineStr">
        <is>
          <t>2022-12-10</t>
        </is>
      </c>
      <c r="C1317" t="inlineStr">
        <is>
          <t>13:02</t>
        </is>
      </c>
      <c r="D1317" t="inlineStr">
        <is>
          <t>n° 6 + n° 7</t>
        </is>
      </c>
      <c r="E1317" t="inlineStr">
        <is>
          <t>Jus de Fruit</t>
        </is>
      </c>
      <c r="F1317" t="n">
        <v>3.9</v>
      </c>
      <c r="G1317" t="inlineStr">
        <is>
          <t>n° 6 : 0,50 + n° 7 : 0,50</t>
        </is>
      </c>
      <c r="H1317" t="n">
        <v>1</v>
      </c>
    </row>
    <row r="1318">
      <c r="A1318" t="inlineStr">
        <is>
          <t>2022-2023</t>
        </is>
      </c>
      <c r="B1318" t="inlineStr">
        <is>
          <t>2022-12-10</t>
        </is>
      </c>
      <c r="C1318" t="inlineStr">
        <is>
          <t>13:02</t>
        </is>
      </c>
      <c r="D1318" t="inlineStr">
        <is>
          <t>n° 6 + n° 7</t>
        </is>
      </c>
      <c r="E1318" t="inlineStr">
        <is>
          <t>Thé</t>
        </is>
      </c>
      <c r="F1318" t="n">
        <v>3.4</v>
      </c>
      <c r="G1318" t="inlineStr">
        <is>
          <t>n° 6 : 0,50 + n° 7 : 0,50</t>
        </is>
      </c>
      <c r="H1318" t="n">
        <v>1</v>
      </c>
    </row>
    <row r="1319">
      <c r="A1319" t="inlineStr">
        <is>
          <t>2022-2023</t>
        </is>
      </c>
      <c r="B1319" t="inlineStr">
        <is>
          <t>2022-12-10</t>
        </is>
      </c>
      <c r="C1319" t="inlineStr">
        <is>
          <t>13:02</t>
        </is>
      </c>
      <c r="D1319" t="inlineStr">
        <is>
          <t>n° 6 + n° 7</t>
        </is>
      </c>
      <c r="E1319" t="inlineStr">
        <is>
          <t>Expresso</t>
        </is>
      </c>
      <c r="F1319" t="n">
        <v>2.2</v>
      </c>
      <c r="G1319" t="inlineStr">
        <is>
          <t>n° 6 : 0,50 + n° 7 : 0,50</t>
        </is>
      </c>
      <c r="H1319" t="n">
        <v>1</v>
      </c>
    </row>
    <row r="1320">
      <c r="A1320" t="inlineStr">
        <is>
          <t>2022-2023</t>
        </is>
      </c>
      <c r="B1320" t="inlineStr">
        <is>
          <t>2022-12-10</t>
        </is>
      </c>
      <c r="C1320" t="inlineStr">
        <is>
          <t>20:20</t>
        </is>
      </c>
      <c r="D1320" t="inlineStr">
        <is>
          <t>n° 18 + n° 19</t>
        </is>
      </c>
      <c r="E1320" t="inlineStr">
        <is>
          <t>Entrecôte grillée</t>
        </is>
      </c>
      <c r="F1320" t="n">
        <v>19.9</v>
      </c>
      <c r="G1320" t="inlineStr">
        <is>
          <t>n° 18 : 0,50 + n° 19 : 0,50</t>
        </is>
      </c>
      <c r="H1320" t="n">
        <v>1</v>
      </c>
    </row>
    <row r="1321">
      <c r="A1321" t="inlineStr">
        <is>
          <t>2022-2023</t>
        </is>
      </c>
      <c r="B1321" t="inlineStr">
        <is>
          <t>2022-12-10</t>
        </is>
      </c>
      <c r="C1321" t="inlineStr">
        <is>
          <t>20:20</t>
        </is>
      </c>
      <c r="D1321" t="inlineStr">
        <is>
          <t>n° 18 + n° 19</t>
        </is>
      </c>
      <c r="E1321" t="inlineStr">
        <is>
          <t>MORTEAU GRILLEE</t>
        </is>
      </c>
      <c r="F1321" t="n">
        <v>18.6</v>
      </c>
      <c r="G1321" t="inlineStr">
        <is>
          <t>n° 18 : 0,50 + n° 19 : 0,50</t>
        </is>
      </c>
      <c r="H1321" t="n">
        <v>1</v>
      </c>
    </row>
    <row r="1322">
      <c r="A1322" t="inlineStr">
        <is>
          <t>2022-2023</t>
        </is>
      </c>
      <c r="B1322" t="inlineStr">
        <is>
          <t>2022-12-10</t>
        </is>
      </c>
      <c r="C1322" t="inlineStr">
        <is>
          <t>20:20</t>
        </is>
      </c>
      <c r="D1322" t="inlineStr">
        <is>
          <t>n° 18 + n° 19</t>
        </is>
      </c>
      <c r="E1322" t="inlineStr">
        <is>
          <t>FOULETOT</t>
        </is>
      </c>
      <c r="F1322" t="n">
        <v>10.5</v>
      </c>
      <c r="G1322" t="inlineStr">
        <is>
          <t>n° 18 : 0,50 + n° 19 : 0,50</t>
        </is>
      </c>
      <c r="H1322" t="n">
        <v>1</v>
      </c>
    </row>
    <row r="1323">
      <c r="A1323" t="inlineStr">
        <is>
          <t>2022-2023</t>
        </is>
      </c>
      <c r="B1323" t="inlineStr">
        <is>
          <t>2022-12-10</t>
        </is>
      </c>
      <c r="C1323" t="inlineStr">
        <is>
          <t>20:20</t>
        </is>
      </c>
      <c r="D1323" t="inlineStr">
        <is>
          <t>n° 18 + n° 19</t>
        </is>
      </c>
      <c r="E1323" t="inlineStr">
        <is>
          <t>CREME BRULEE</t>
        </is>
      </c>
      <c r="F1323" t="n">
        <v>6.9</v>
      </c>
      <c r="G1323" t="inlineStr">
        <is>
          <t>n° 18 : 0,50 + n° 19 : 0,50</t>
        </is>
      </c>
      <c r="H1323" t="n">
        <v>1</v>
      </c>
    </row>
    <row r="1324">
      <c r="A1324" t="inlineStr">
        <is>
          <t>2022-2023</t>
        </is>
      </c>
      <c r="B1324" t="inlineStr">
        <is>
          <t>2022-12-10</t>
        </is>
      </c>
      <c r="C1324" t="inlineStr">
        <is>
          <t>20:20</t>
        </is>
      </c>
      <c r="D1324" t="inlineStr">
        <is>
          <t>n° 18 + n° 19</t>
        </is>
      </c>
      <c r="E1324" t="inlineStr">
        <is>
          <t>La Vouivre</t>
        </is>
      </c>
      <c r="F1324" t="n">
        <v>5.2</v>
      </c>
      <c r="G1324" t="inlineStr">
        <is>
          <t>n° 18 : 0,50 + n° 19 : 0,50</t>
        </is>
      </c>
      <c r="H1324" t="n">
        <v>1</v>
      </c>
    </row>
    <row r="1325">
      <c r="A1325" t="inlineStr">
        <is>
          <t>2022-2023</t>
        </is>
      </c>
      <c r="B1325" t="inlineStr">
        <is>
          <t>2022-12-10</t>
        </is>
      </c>
      <c r="C1325" t="inlineStr">
        <is>
          <t>20:20</t>
        </is>
      </c>
      <c r="D1325" t="inlineStr">
        <is>
          <t>n° 18 + n° 19</t>
        </is>
      </c>
      <c r="E1325" t="inlineStr">
        <is>
          <t>Chat perché</t>
        </is>
      </c>
      <c r="F1325" t="n">
        <v>5.2</v>
      </c>
      <c r="G1325" t="inlineStr">
        <is>
          <t>n° 18 : 0,50 + n° 19 : 0,50</t>
        </is>
      </c>
      <c r="H1325" t="n">
        <v>1</v>
      </c>
    </row>
    <row r="1326">
      <c r="A1326" t="inlineStr">
        <is>
          <t>2022-2023</t>
        </is>
      </c>
      <c r="B1326" t="inlineStr">
        <is>
          <t>2022-12-17</t>
        </is>
      </c>
      <c r="C1326" t="inlineStr">
        <is>
          <t>12:03</t>
        </is>
      </c>
      <c r="D1326" t="inlineStr">
        <is>
          <t>n° 3 + n° 4</t>
        </is>
      </c>
      <c r="E1326" t="inlineStr">
        <is>
          <t>Mambo</t>
        </is>
      </c>
      <c r="F1326" t="n">
        <v>6.5</v>
      </c>
      <c r="G1326" t="inlineStr">
        <is>
          <t>n° 3 : 0,50 + n° 4 : 0,50</t>
        </is>
      </c>
      <c r="H1326" t="n">
        <v>1</v>
      </c>
    </row>
    <row r="1327">
      <c r="A1327" t="inlineStr">
        <is>
          <t>2022-2023</t>
        </is>
      </c>
      <c r="B1327" t="inlineStr">
        <is>
          <t>2022-12-17</t>
        </is>
      </c>
      <c r="C1327" t="inlineStr">
        <is>
          <t>12:03</t>
        </is>
      </c>
      <c r="D1327" t="inlineStr">
        <is>
          <t>n° 3 + n° 4</t>
        </is>
      </c>
      <c r="E1327" t="inlineStr">
        <is>
          <t>KITTYKIR</t>
        </is>
      </c>
      <c r="F1327" t="n">
        <v>5.2</v>
      </c>
      <c r="G1327" t="inlineStr">
        <is>
          <t>n° 3 : 0,50 + n° 4 : 0,50</t>
        </is>
      </c>
      <c r="H1327" t="n">
        <v>1</v>
      </c>
    </row>
    <row r="1328">
      <c r="A1328" t="inlineStr">
        <is>
          <t>2022-2023</t>
        </is>
      </c>
      <c r="B1328" t="inlineStr">
        <is>
          <t>2022-12-17</t>
        </is>
      </c>
      <c r="C1328" t="inlineStr">
        <is>
          <t>12:03</t>
        </is>
      </c>
      <c r="D1328" t="inlineStr">
        <is>
          <t>n° 3 + n° 4</t>
        </is>
      </c>
      <c r="E1328" t="inlineStr">
        <is>
          <t>Macvin du Jura</t>
        </is>
      </c>
      <c r="F1328" t="n">
        <v>4.9</v>
      </c>
      <c r="G1328" t="inlineStr">
        <is>
          <t>n° 3 : 0,50 + n° 4 : 0,50</t>
        </is>
      </c>
      <c r="H1328" t="n">
        <v>1</v>
      </c>
    </row>
    <row r="1329">
      <c r="A1329" t="inlineStr">
        <is>
          <t>2022-2023</t>
        </is>
      </c>
      <c r="B1329" t="inlineStr">
        <is>
          <t>2022-12-17</t>
        </is>
      </c>
      <c r="C1329" t="inlineStr">
        <is>
          <t>12:20</t>
        </is>
      </c>
      <c r="D1329" t="inlineStr">
        <is>
          <t>n° 6 + n° 7</t>
        </is>
      </c>
      <c r="E1329" t="inlineStr">
        <is>
          <t>ASSIETTE FRANC-COMTO</t>
        </is>
      </c>
      <c r="F1329" t="n">
        <v>18.6</v>
      </c>
      <c r="G1329" t="inlineStr">
        <is>
          <t>n° 6 : 0,50 + n° 7 : 0,50</t>
        </is>
      </c>
      <c r="H1329" t="n">
        <v>1</v>
      </c>
    </row>
    <row r="1330">
      <c r="A1330" t="inlineStr">
        <is>
          <t>2022-2023</t>
        </is>
      </c>
      <c r="B1330" t="inlineStr">
        <is>
          <t>2022-12-17</t>
        </is>
      </c>
      <c r="C1330" t="inlineStr">
        <is>
          <t>12:20</t>
        </is>
      </c>
      <c r="D1330" t="inlineStr">
        <is>
          <t>n° 6 + n° 7</t>
        </is>
      </c>
      <c r="E1330" t="inlineStr">
        <is>
          <t>TRUITE JURASSIENNE</t>
        </is>
      </c>
      <c r="F1330" t="n">
        <v>18.6</v>
      </c>
      <c r="G1330" t="inlineStr">
        <is>
          <t>n° 6 : 0,50 + n° 7 : 0,50</t>
        </is>
      </c>
      <c r="H1330" t="n">
        <v>1</v>
      </c>
    </row>
    <row r="1331">
      <c r="A1331" t="inlineStr">
        <is>
          <t>2022-2023</t>
        </is>
      </c>
      <c r="B1331" t="inlineStr">
        <is>
          <t>2022-12-17</t>
        </is>
      </c>
      <c r="C1331" t="inlineStr">
        <is>
          <t>20:15</t>
        </is>
      </c>
      <c r="D1331" t="inlineStr">
        <is>
          <t>n° 17 + n° 18 + n° 20 + n° 21</t>
        </is>
      </c>
      <c r="E1331" t="inlineStr">
        <is>
          <t>Menu Franc-Comtois</t>
        </is>
      </c>
      <c r="F1331" t="n">
        <v>34</v>
      </c>
      <c r="G1331" t="inlineStr">
        <is>
          <t>n° 17 : 0,50 + n° 18 : 0,50</t>
        </is>
      </c>
      <c r="H1331" t="n">
        <v>1</v>
      </c>
    </row>
    <row r="1332">
      <c r="A1332" t="inlineStr">
        <is>
          <t>2022-2023</t>
        </is>
      </c>
      <c r="B1332" t="inlineStr">
        <is>
          <t>2022-12-17</t>
        </is>
      </c>
      <c r="C1332" t="inlineStr">
        <is>
          <t>20:15</t>
        </is>
      </c>
      <c r="D1332" t="inlineStr">
        <is>
          <t>n° 17 + n° 18 + n° 20 + n° 21</t>
        </is>
      </c>
      <c r="E1332" t="inlineStr">
        <is>
          <t>Menu Bourguignon</t>
        </is>
      </c>
      <c r="F1332" t="n">
        <v>34</v>
      </c>
      <c r="G1332" t="inlineStr">
        <is>
          <t>n° 17 : 0,50 + n° 18 : 0,50</t>
        </is>
      </c>
      <c r="H1332" t="n">
        <v>1</v>
      </c>
    </row>
    <row r="1333">
      <c r="A1333" t="inlineStr">
        <is>
          <t>2022-2023</t>
        </is>
      </c>
      <c r="B1333" t="inlineStr">
        <is>
          <t>2022-12-17</t>
        </is>
      </c>
      <c r="C1333" t="inlineStr">
        <is>
          <t>20:15</t>
        </is>
      </c>
      <c r="D1333" t="inlineStr">
        <is>
          <t>n° 17 + n° 18 + n° 20 + n° 21</t>
        </is>
      </c>
      <c r="E1333" t="inlineStr">
        <is>
          <t>Arbois Béthanie</t>
        </is>
      </c>
      <c r="F1333" t="n">
        <v>29.9</v>
      </c>
      <c r="G1333" t="inlineStr">
        <is>
          <t>n° 17 : 0,50 + n° 18 : 0,50</t>
        </is>
      </c>
      <c r="H1333" t="n">
        <v>1</v>
      </c>
    </row>
    <row r="1334">
      <c r="A1334" t="inlineStr">
        <is>
          <t>2022-2023</t>
        </is>
      </c>
      <c r="B1334" t="inlineStr">
        <is>
          <t>2022-12-17</t>
        </is>
      </c>
      <c r="C1334" t="inlineStr">
        <is>
          <t>20:15</t>
        </is>
      </c>
      <c r="D1334" t="inlineStr">
        <is>
          <t>n° 17 + n° 18 + n° 20 + n° 21</t>
        </is>
      </c>
      <c r="E1334" t="inlineStr">
        <is>
          <t>BURGER COMTOIS</t>
        </is>
      </c>
      <c r="F1334" t="n">
        <v>19</v>
      </c>
      <c r="G1334" t="inlineStr">
        <is>
          <t>n° 20 : 0,50 + n° 21 : 0,50</t>
        </is>
      </c>
      <c r="H1334" t="n">
        <v>1</v>
      </c>
    </row>
    <row r="1335">
      <c r="A1335" t="inlineStr">
        <is>
          <t>2022-2023</t>
        </is>
      </c>
      <c r="B1335" t="inlineStr">
        <is>
          <t>2022-12-17</t>
        </is>
      </c>
      <c r="C1335" t="inlineStr">
        <is>
          <t>20:15</t>
        </is>
      </c>
      <c r="D1335" t="inlineStr">
        <is>
          <t>n° 17 + n° 18 + n° 20 + n° 21</t>
        </is>
      </c>
      <c r="E1335" t="inlineStr">
        <is>
          <t>TRUITE JURASSIENNE</t>
        </is>
      </c>
      <c r="F1335" t="n">
        <v>18.6</v>
      </c>
      <c r="G1335" t="inlineStr">
        <is>
          <t>n° 17 : 0,50 + n° 18 : 0,50</t>
        </is>
      </c>
      <c r="H1335" t="n">
        <v>1</v>
      </c>
    </row>
    <row r="1336">
      <c r="A1336" t="inlineStr">
        <is>
          <t>2022-2023</t>
        </is>
      </c>
      <c r="B1336" t="inlineStr">
        <is>
          <t>2022-12-17</t>
        </is>
      </c>
      <c r="C1336" t="inlineStr">
        <is>
          <t>20:15</t>
        </is>
      </c>
      <c r="D1336" t="inlineStr">
        <is>
          <t>n° 17 + n° 18 + n° 20 + n° 21</t>
        </is>
      </c>
      <c r="E1336" t="inlineStr">
        <is>
          <t>POULET JURASSIENNE</t>
        </is>
      </c>
      <c r="F1336" t="n">
        <v>18.6</v>
      </c>
      <c r="G1336" t="inlineStr">
        <is>
          <t>n° 20 : 0,50 + n° 21 : 0,50</t>
        </is>
      </c>
      <c r="H1336" t="n">
        <v>1</v>
      </c>
    </row>
    <row r="1337">
      <c r="A1337" t="inlineStr">
        <is>
          <t>2022-2023</t>
        </is>
      </c>
      <c r="B1337" t="inlineStr">
        <is>
          <t>2022-12-17</t>
        </is>
      </c>
      <c r="C1337" t="inlineStr">
        <is>
          <t>20:15</t>
        </is>
      </c>
      <c r="D1337" t="inlineStr">
        <is>
          <t>n° 17 + n° 18 + n° 20 + n° 21</t>
        </is>
      </c>
      <c r="E1337" t="inlineStr">
        <is>
          <t>LIGOUSE</t>
        </is>
      </c>
      <c r="F1337" t="n">
        <v>15.6</v>
      </c>
      <c r="G1337" t="inlineStr">
        <is>
          <t>n° 17 : 0,50 + n° 18 : 0,50</t>
        </is>
      </c>
      <c r="H1337" t="n">
        <v>1</v>
      </c>
    </row>
    <row r="1338">
      <c r="A1338" t="inlineStr">
        <is>
          <t>2022-2023</t>
        </is>
      </c>
      <c r="B1338" t="inlineStr">
        <is>
          <t>2022-12-17</t>
        </is>
      </c>
      <c r="C1338" t="inlineStr">
        <is>
          <t>20:15</t>
        </is>
      </c>
      <c r="D1338" t="inlineStr">
        <is>
          <t>n° 17 + n° 18 + n° 20 + n° 21</t>
        </is>
      </c>
      <c r="E1338" t="inlineStr">
        <is>
          <t>Feuilleté Forestier</t>
        </is>
      </c>
      <c r="F1338" t="n">
        <v>10.9</v>
      </c>
      <c r="G1338" t="inlineStr">
        <is>
          <t>n° 17 : 0,50 + n° 18 : 0,50</t>
        </is>
      </c>
      <c r="H1338" t="n">
        <v>1</v>
      </c>
    </row>
    <row r="1339">
      <c r="A1339" t="inlineStr">
        <is>
          <t>2022-2023</t>
        </is>
      </c>
      <c r="B1339" t="inlineStr">
        <is>
          <t>2022-12-17</t>
        </is>
      </c>
      <c r="C1339" t="inlineStr">
        <is>
          <t>20:15</t>
        </is>
      </c>
      <c r="D1339" t="inlineStr">
        <is>
          <t>n° 17 + n° 18 + n° 20 + n° 21</t>
        </is>
      </c>
      <c r="E1339" t="inlineStr">
        <is>
          <t>Pavlova</t>
        </is>
      </c>
      <c r="F1339" t="n">
        <v>8.699999999999999</v>
      </c>
      <c r="G1339" t="inlineStr">
        <is>
          <t>n° 17 : 0,50 + n° 18 : 0,50</t>
        </is>
      </c>
      <c r="H1339" t="n">
        <v>1</v>
      </c>
    </row>
    <row r="1340">
      <c r="A1340" t="inlineStr">
        <is>
          <t>2022-2023</t>
        </is>
      </c>
      <c r="B1340" t="inlineStr">
        <is>
          <t>2022-12-17</t>
        </is>
      </c>
      <c r="C1340" t="inlineStr">
        <is>
          <t>20:15</t>
        </is>
      </c>
      <c r="D1340" t="inlineStr">
        <is>
          <t>n° 17 + n° 18 + n° 20 + n° 21</t>
        </is>
      </c>
      <c r="E1340" t="inlineStr">
        <is>
          <t>Arbois Trousseau Le</t>
        </is>
      </c>
      <c r="F1340" t="n">
        <v>6.4</v>
      </c>
      <c r="G1340" t="inlineStr">
        <is>
          <t>n° 20 : 0,50 + n° 21 : 0,50</t>
        </is>
      </c>
      <c r="H1340" t="n">
        <v>1</v>
      </c>
    </row>
    <row r="1341">
      <c r="A1341" t="inlineStr">
        <is>
          <t>2022-2023</t>
        </is>
      </c>
      <c r="B1341" t="inlineStr">
        <is>
          <t>2022-12-17</t>
        </is>
      </c>
      <c r="C1341" t="inlineStr">
        <is>
          <t>20:15</t>
        </is>
      </c>
      <c r="D1341" t="inlineStr">
        <is>
          <t>n° 17 + n° 18 + n° 20 + n° 21</t>
        </is>
      </c>
      <c r="E1341" t="inlineStr">
        <is>
          <t>San Pelegrino</t>
        </is>
      </c>
      <c r="F1341" t="n">
        <v>5.9</v>
      </c>
      <c r="G1341" t="inlineStr">
        <is>
          <t>n° 17 : 0,50 + n° 18 : 0,50</t>
        </is>
      </c>
      <c r="H1341" t="n">
        <v>1</v>
      </c>
    </row>
    <row r="1342">
      <c r="A1342" t="inlineStr">
        <is>
          <t>2022-2023</t>
        </is>
      </c>
      <c r="B1342" t="inlineStr">
        <is>
          <t>2022-12-17</t>
        </is>
      </c>
      <c r="C1342" t="inlineStr">
        <is>
          <t>20:15</t>
        </is>
      </c>
      <c r="D1342" t="inlineStr">
        <is>
          <t>n° 17 + n° 18 + n° 20 + n° 21</t>
        </is>
      </c>
      <c r="E1342" t="inlineStr">
        <is>
          <t>Kir Bourgogne</t>
        </is>
      </c>
      <c r="F1342" t="n">
        <v>4.2</v>
      </c>
      <c r="G1342" t="inlineStr">
        <is>
          <t>n° 17 : 1,50 + n° 18 : 1,50</t>
        </is>
      </c>
      <c r="H1342" t="n">
        <v>3</v>
      </c>
    </row>
    <row r="1343">
      <c r="A1343" t="inlineStr">
        <is>
          <t>2022-2023</t>
        </is>
      </c>
      <c r="B1343" t="inlineStr">
        <is>
          <t>2022-12-17</t>
        </is>
      </c>
      <c r="C1343" t="inlineStr">
        <is>
          <t>20:15</t>
        </is>
      </c>
      <c r="D1343" t="inlineStr">
        <is>
          <t>n° 17 + n° 18 + n° 20 + n° 21</t>
        </is>
      </c>
      <c r="E1343" t="inlineStr">
        <is>
          <t>Jus de Fruit</t>
        </is>
      </c>
      <c r="F1343" t="n">
        <v>3.9</v>
      </c>
      <c r="G1343" t="inlineStr">
        <is>
          <t>n° 17 : 0,50 + n° 18 : 0,50</t>
        </is>
      </c>
      <c r="H1343" t="n">
        <v>1</v>
      </c>
    </row>
    <row r="1344">
      <c r="A1344" t="inlineStr">
        <is>
          <t>2022-2023</t>
        </is>
      </c>
      <c r="B1344" t="inlineStr">
        <is>
          <t>2022-12-17</t>
        </is>
      </c>
      <c r="C1344" t="inlineStr">
        <is>
          <t>20:15</t>
        </is>
      </c>
      <c r="D1344" t="inlineStr">
        <is>
          <t>n° 17 + n° 18 + n° 20 + n° 21</t>
        </is>
      </c>
      <c r="E1344" t="inlineStr">
        <is>
          <t>Pommes cuites</t>
        </is>
      </c>
      <c r="F1344" t="n">
        <v>3.7</v>
      </c>
      <c r="G1344" t="inlineStr">
        <is>
          <t>n° 20 : 0,50 + n° 21 : 0,50</t>
        </is>
      </c>
      <c r="H1344" t="n">
        <v>1</v>
      </c>
    </row>
    <row r="1345">
      <c r="A1345" t="inlineStr">
        <is>
          <t>2022-2023</t>
        </is>
      </c>
      <c r="B1345" t="inlineStr">
        <is>
          <t>2022-12-17</t>
        </is>
      </c>
      <c r="C1345" t="inlineStr">
        <is>
          <t>20:15</t>
        </is>
      </c>
      <c r="D1345" t="inlineStr">
        <is>
          <t>n° 17 + n° 18 + n° 20 + n° 21</t>
        </is>
      </c>
      <c r="E1345" t="inlineStr">
        <is>
          <t>Crêpe nature</t>
        </is>
      </c>
      <c r="F1345" t="n">
        <v>2.9</v>
      </c>
      <c r="G1345" t="inlineStr">
        <is>
          <t>n° 20 : 0,50 + n° 21 : 0,50</t>
        </is>
      </c>
      <c r="H1345" t="n">
        <v>1</v>
      </c>
    </row>
    <row r="1346">
      <c r="A1346" t="inlineStr">
        <is>
          <t>2022-2023</t>
        </is>
      </c>
      <c r="B1346" t="inlineStr">
        <is>
          <t>2022-12-17</t>
        </is>
      </c>
      <c r="C1346" t="inlineStr">
        <is>
          <t>20:15</t>
        </is>
      </c>
      <c r="D1346" t="inlineStr">
        <is>
          <t>n° 17 + n° 18 + n° 20 + n° 21</t>
        </is>
      </c>
      <c r="E1346" t="inlineStr">
        <is>
          <t>Salidou</t>
        </is>
      </c>
      <c r="F1346" t="n">
        <v>2.7</v>
      </c>
      <c r="G1346" t="inlineStr">
        <is>
          <t>n° 20 : 0,50 + n° 21 : 0,50</t>
        </is>
      </c>
      <c r="H1346" t="n">
        <v>1</v>
      </c>
    </row>
    <row r="1347">
      <c r="A1347" t="inlineStr">
        <is>
          <t>2022-2023</t>
        </is>
      </c>
      <c r="B1347" t="inlineStr">
        <is>
          <t>2022-12-18</t>
        </is>
      </c>
      <c r="C1347" t="inlineStr">
        <is>
          <t>12:50</t>
        </is>
      </c>
      <c r="D1347" t="inlineStr">
        <is>
          <t>n° 5 + n° 6</t>
        </is>
      </c>
      <c r="E1347" t="inlineStr">
        <is>
          <t>Entrecôte grillée</t>
        </is>
      </c>
      <c r="F1347" t="n">
        <v>19.9</v>
      </c>
      <c r="G1347" t="inlineStr">
        <is>
          <t>n° 5 : 0,50 + n° 6 : 0,50</t>
        </is>
      </c>
      <c r="H1347" t="n">
        <v>1</v>
      </c>
    </row>
    <row r="1348">
      <c r="A1348" t="inlineStr">
        <is>
          <t>2022-2023</t>
        </is>
      </c>
      <c r="B1348" t="inlineStr">
        <is>
          <t>2022-12-18</t>
        </is>
      </c>
      <c r="C1348" t="inlineStr">
        <is>
          <t>12:50</t>
        </is>
      </c>
      <c r="D1348" t="inlineStr">
        <is>
          <t>n° 5 + n° 6</t>
        </is>
      </c>
      <c r="E1348" t="inlineStr">
        <is>
          <t>Crémeux du Jura</t>
        </is>
      </c>
      <c r="F1348" t="n">
        <v>19</v>
      </c>
      <c r="G1348" t="inlineStr">
        <is>
          <t>n° 5 : 0,50 + n° 6 : 0,50</t>
        </is>
      </c>
      <c r="H1348" t="n">
        <v>1</v>
      </c>
    </row>
    <row r="1349">
      <c r="A1349" t="inlineStr">
        <is>
          <t>2022-2023</t>
        </is>
      </c>
      <c r="B1349" t="inlineStr">
        <is>
          <t>2022-12-18</t>
        </is>
      </c>
      <c r="C1349" t="inlineStr">
        <is>
          <t>12:50</t>
        </is>
      </c>
      <c r="D1349" t="inlineStr">
        <is>
          <t>n° 5 + n° 6</t>
        </is>
      </c>
      <c r="E1349" t="inlineStr">
        <is>
          <t>CREME BRULEE</t>
        </is>
      </c>
      <c r="F1349" t="n">
        <v>6.9</v>
      </c>
      <c r="G1349" t="inlineStr">
        <is>
          <t>n° 5 : 0,50 + n° 6 : 0,50</t>
        </is>
      </c>
      <c r="H1349" t="n">
        <v>1</v>
      </c>
    </row>
    <row r="1350">
      <c r="A1350" t="inlineStr">
        <is>
          <t>2022-2023</t>
        </is>
      </c>
      <c r="B1350" t="inlineStr">
        <is>
          <t>2022-12-18</t>
        </is>
      </c>
      <c r="C1350" t="inlineStr">
        <is>
          <t>12:50</t>
        </is>
      </c>
      <c r="D1350" t="inlineStr">
        <is>
          <t>n° 5 + n° 6</t>
        </is>
      </c>
      <c r="E1350" t="inlineStr">
        <is>
          <t>Crêpe Salidou</t>
        </is>
      </c>
      <c r="F1350" t="n">
        <v>5.6</v>
      </c>
      <c r="G1350" t="inlineStr">
        <is>
          <t>n° 5 : 0,50 + n° 6 : 0,50</t>
        </is>
      </c>
      <c r="H1350" t="n">
        <v>1</v>
      </c>
    </row>
    <row r="1351">
      <c r="A1351" t="inlineStr">
        <is>
          <t>2022-2023</t>
        </is>
      </c>
      <c r="B1351" t="inlineStr">
        <is>
          <t>2022-12-18</t>
        </is>
      </c>
      <c r="C1351" t="inlineStr">
        <is>
          <t>12:50</t>
        </is>
      </c>
      <c r="D1351" t="inlineStr">
        <is>
          <t>n° 5 + n° 6</t>
        </is>
      </c>
      <c r="E1351" t="inlineStr">
        <is>
          <t>CHANTILLY</t>
        </is>
      </c>
      <c r="F1351" t="n">
        <v>1.8</v>
      </c>
      <c r="G1351" t="inlineStr">
        <is>
          <t>n° 5 : 0,50 + n° 6 : 0,50</t>
        </is>
      </c>
      <c r="H1351" t="n">
        <v>1</v>
      </c>
    </row>
    <row r="1352">
      <c r="A1352" t="inlineStr">
        <is>
          <t>2022-2023</t>
        </is>
      </c>
      <c r="B1352" t="inlineStr">
        <is>
          <t>2022-12-21</t>
        </is>
      </c>
      <c r="C1352" t="inlineStr">
        <is>
          <t>19:54</t>
        </is>
      </c>
      <c r="D1352" t="inlineStr">
        <is>
          <t>n° 8 + n° 9</t>
        </is>
      </c>
      <c r="E1352" t="inlineStr">
        <is>
          <t>Crémeux du Jura</t>
        </is>
      </c>
      <c r="F1352" t="n">
        <v>19</v>
      </c>
      <c r="G1352" t="inlineStr">
        <is>
          <t>n° 8 : 0,50 + n° 9 : 0,50</t>
        </is>
      </c>
      <c r="H1352" t="n">
        <v>1</v>
      </c>
    </row>
    <row r="1353">
      <c r="A1353" t="inlineStr">
        <is>
          <t>2022-2023</t>
        </is>
      </c>
      <c r="B1353" t="inlineStr">
        <is>
          <t>2022-12-21</t>
        </is>
      </c>
      <c r="C1353" t="inlineStr">
        <is>
          <t>19:54</t>
        </is>
      </c>
      <c r="D1353" t="inlineStr">
        <is>
          <t>n° 8 + n° 9</t>
        </is>
      </c>
      <c r="E1353" t="inlineStr">
        <is>
          <t>CAMEMBERT ROTI</t>
        </is>
      </c>
      <c r="F1353" t="n">
        <v>18.6</v>
      </c>
      <c r="G1353" t="inlineStr">
        <is>
          <t>n° 8 : 0,50 + n° 9 : 0,50</t>
        </is>
      </c>
      <c r="H1353" t="n">
        <v>1</v>
      </c>
    </row>
    <row r="1354">
      <c r="A1354" t="inlineStr">
        <is>
          <t>2022-2023</t>
        </is>
      </c>
      <c r="B1354" t="inlineStr">
        <is>
          <t>2022-12-21</t>
        </is>
      </c>
      <c r="C1354" t="inlineStr">
        <is>
          <t>19:54</t>
        </is>
      </c>
      <c r="D1354" t="inlineStr">
        <is>
          <t>n° 8 + n° 9</t>
        </is>
      </c>
      <c r="E1354" t="inlineStr">
        <is>
          <t>Normandine</t>
        </is>
      </c>
      <c r="F1354" t="n">
        <v>8.699999999999999</v>
      </c>
      <c r="G1354" t="inlineStr">
        <is>
          <t>n° 8 : 0,50 + n° 9 : 0,50</t>
        </is>
      </c>
      <c r="H1354" t="n">
        <v>1</v>
      </c>
    </row>
    <row r="1355">
      <c r="A1355" t="inlineStr">
        <is>
          <t>2022-2023</t>
        </is>
      </c>
      <c r="B1355" t="inlineStr">
        <is>
          <t>2022-12-21</t>
        </is>
      </c>
      <c r="C1355" t="inlineStr">
        <is>
          <t>19:54</t>
        </is>
      </c>
      <c r="D1355" t="inlineStr">
        <is>
          <t>n° 8 + n° 9</t>
        </is>
      </c>
      <c r="E1355" t="inlineStr">
        <is>
          <t>Chablis Le Verre</t>
        </is>
      </c>
      <c r="F1355" t="n">
        <v>7.9</v>
      </c>
      <c r="G1355" t="inlineStr">
        <is>
          <t>n° 8 : 0,50 + n° 9 : 0,50</t>
        </is>
      </c>
      <c r="H1355" t="n">
        <v>1</v>
      </c>
    </row>
    <row r="1356">
      <c r="A1356" t="inlineStr">
        <is>
          <t>2022-2023</t>
        </is>
      </c>
      <c r="B1356" t="inlineStr">
        <is>
          <t>2022-12-21</t>
        </is>
      </c>
      <c r="C1356" t="inlineStr">
        <is>
          <t>19:54</t>
        </is>
      </c>
      <c r="D1356" t="inlineStr">
        <is>
          <t>n° 8 + n° 9</t>
        </is>
      </c>
      <c r="E1356" t="inlineStr">
        <is>
          <t>Saint Véran Verre</t>
        </is>
      </c>
      <c r="F1356" t="n">
        <v>7.9</v>
      </c>
      <c r="G1356" t="inlineStr">
        <is>
          <t>n° 8 : 0,50 + n° 9 : 0,50</t>
        </is>
      </c>
      <c r="H1356" t="n">
        <v>1</v>
      </c>
    </row>
    <row r="1357">
      <c r="A1357" t="inlineStr">
        <is>
          <t>2022-2023</t>
        </is>
      </c>
      <c r="B1357" t="inlineStr">
        <is>
          <t>2022-12-21</t>
        </is>
      </c>
      <c r="C1357" t="inlineStr">
        <is>
          <t>19:54</t>
        </is>
      </c>
      <c r="D1357" t="inlineStr">
        <is>
          <t>n° 8 + n° 9</t>
        </is>
      </c>
      <c r="E1357" t="inlineStr">
        <is>
          <t>San Pelegrino</t>
        </is>
      </c>
      <c r="F1357" t="n">
        <v>5.9</v>
      </c>
      <c r="G1357" t="inlineStr">
        <is>
          <t>n° 8 : 0,50 + n° 9 : 0,50</t>
        </is>
      </c>
      <c r="H1357" t="n">
        <v>1</v>
      </c>
    </row>
    <row r="1358">
      <c r="A1358" t="inlineStr">
        <is>
          <t>2022-2023</t>
        </is>
      </c>
      <c r="B1358" t="inlineStr">
        <is>
          <t>2022-12-21</t>
        </is>
      </c>
      <c r="C1358" t="inlineStr">
        <is>
          <t>19:54</t>
        </is>
      </c>
      <c r="D1358" t="inlineStr">
        <is>
          <t>n° 8 + n° 9</t>
        </is>
      </c>
      <c r="E1358" t="inlineStr">
        <is>
          <t>Crêpe Nutella</t>
        </is>
      </c>
      <c r="F1358" t="n">
        <v>4.7</v>
      </c>
      <c r="G1358" t="inlineStr">
        <is>
          <t>n° 8 : 0,50 + n° 9 : 0,50</t>
        </is>
      </c>
      <c r="H1358" t="n">
        <v>1</v>
      </c>
    </row>
    <row r="1359">
      <c r="A1359" t="inlineStr">
        <is>
          <t>2022-2023</t>
        </is>
      </c>
      <c r="B1359" t="inlineStr">
        <is>
          <t>2022-12-22</t>
        </is>
      </c>
      <c r="C1359" t="inlineStr">
        <is>
          <t>12:33</t>
        </is>
      </c>
      <c r="D1359" t="inlineStr">
        <is>
          <t>n° 10 + n° 11</t>
        </is>
      </c>
      <c r="E1359" t="inlineStr">
        <is>
          <t>Assortiment charcute</t>
        </is>
      </c>
      <c r="F1359" t="n">
        <v>8.9</v>
      </c>
      <c r="G1359" t="inlineStr">
        <is>
          <t>n° 10 : 0,50 + n° 11 : 0,50</t>
        </is>
      </c>
      <c r="H1359" t="n">
        <v>1</v>
      </c>
    </row>
    <row r="1360">
      <c r="A1360" t="inlineStr">
        <is>
          <t>2022-2023</t>
        </is>
      </c>
      <c r="B1360" t="inlineStr">
        <is>
          <t>2022-12-22</t>
        </is>
      </c>
      <c r="C1360" t="inlineStr">
        <is>
          <t>12:33</t>
        </is>
      </c>
      <c r="D1360" t="inlineStr">
        <is>
          <t>n° 10 + n° 11</t>
        </is>
      </c>
      <c r="E1360" t="inlineStr">
        <is>
          <t>Pommes grenailles</t>
        </is>
      </c>
      <c r="F1360" t="n">
        <v>3.9</v>
      </c>
      <c r="G1360" t="inlineStr">
        <is>
          <t>n° 10 : 0,50 + n° 11 : 0,50</t>
        </is>
      </c>
      <c r="H1360" t="n">
        <v>1</v>
      </c>
    </row>
    <row r="1361">
      <c r="A1361" t="inlineStr">
        <is>
          <t>2022-2023</t>
        </is>
      </c>
      <c r="B1361" t="inlineStr">
        <is>
          <t>2022-12-22</t>
        </is>
      </c>
      <c r="C1361" t="inlineStr">
        <is>
          <t>12:33</t>
        </is>
      </c>
      <c r="D1361" t="inlineStr">
        <is>
          <t>n° 10 + n° 11</t>
        </is>
      </c>
      <c r="E1361" t="inlineStr">
        <is>
          <t>Expresso</t>
        </is>
      </c>
      <c r="F1361" t="n">
        <v>2.2</v>
      </c>
      <c r="G1361" t="inlineStr">
        <is>
          <t>n° 10 : 0,50 + n° 11 : 0,50</t>
        </is>
      </c>
      <c r="H1361" t="n">
        <v>1</v>
      </c>
    </row>
    <row r="1362">
      <c r="A1362" t="inlineStr">
        <is>
          <t>2022-2023</t>
        </is>
      </c>
      <c r="B1362" t="inlineStr">
        <is>
          <t>2022-12-22</t>
        </is>
      </c>
      <c r="C1362" t="inlineStr">
        <is>
          <t>18:29</t>
        </is>
      </c>
      <c r="D1362" t="inlineStr">
        <is>
          <t>n° 13 + n° 14</t>
        </is>
      </c>
      <c r="E1362" t="inlineStr">
        <is>
          <t>POULET JURASSIENNE</t>
        </is>
      </c>
      <c r="F1362" t="n">
        <v>18.6</v>
      </c>
      <c r="G1362" t="inlineStr">
        <is>
          <t>n° 13 : 0,50 + n° 14 : 0,50</t>
        </is>
      </c>
      <c r="H1362" t="n">
        <v>1</v>
      </c>
    </row>
    <row r="1363">
      <c r="A1363" t="inlineStr">
        <is>
          <t>2022-2023</t>
        </is>
      </c>
      <c r="B1363" t="inlineStr">
        <is>
          <t>2022-12-22</t>
        </is>
      </c>
      <c r="C1363" t="inlineStr">
        <is>
          <t>18:29</t>
        </is>
      </c>
      <c r="D1363" t="inlineStr">
        <is>
          <t>n° 13 + n° 14</t>
        </is>
      </c>
      <c r="E1363" t="inlineStr">
        <is>
          <t>ASSIETTE FRANC-COMTO</t>
        </is>
      </c>
      <c r="F1363" t="n">
        <v>18.6</v>
      </c>
      <c r="G1363" t="inlineStr">
        <is>
          <t>n° 13 : 0,50 + n° 14 : 0,50</t>
        </is>
      </c>
      <c r="H1363" t="n">
        <v>1</v>
      </c>
    </row>
    <row r="1364">
      <c r="A1364" t="inlineStr">
        <is>
          <t>2022-2023</t>
        </is>
      </c>
      <c r="B1364" t="inlineStr">
        <is>
          <t>2022-12-22</t>
        </is>
      </c>
      <c r="C1364" t="inlineStr">
        <is>
          <t>18:29</t>
        </is>
      </c>
      <c r="D1364" t="inlineStr">
        <is>
          <t>n° 13 + n° 14</t>
        </is>
      </c>
      <c r="E1364" t="inlineStr">
        <is>
          <t>CREME BRULEE</t>
        </is>
      </c>
      <c r="F1364" t="n">
        <v>6.9</v>
      </c>
      <c r="G1364" t="inlineStr">
        <is>
          <t>n° 13 : 0,50 + n° 14 : 0,50</t>
        </is>
      </c>
      <c r="H1364" t="n">
        <v>1</v>
      </c>
    </row>
    <row r="1365">
      <c r="A1365" t="inlineStr">
        <is>
          <t>2022-2023</t>
        </is>
      </c>
      <c r="B1365" t="inlineStr">
        <is>
          <t>2022-12-22</t>
        </is>
      </c>
      <c r="C1365" t="inlineStr">
        <is>
          <t>18:29</t>
        </is>
      </c>
      <c r="D1365" t="inlineStr">
        <is>
          <t>n° 13 + n° 14</t>
        </is>
      </c>
      <c r="E1365" t="inlineStr">
        <is>
          <t>Luna</t>
        </is>
      </c>
      <c r="F1365" t="n">
        <v>6</v>
      </c>
      <c r="G1365" t="inlineStr">
        <is>
          <t>n° 13 : 0,50 + n° 14 : 0,50</t>
        </is>
      </c>
      <c r="H1365" t="n">
        <v>1</v>
      </c>
    </row>
    <row r="1366">
      <c r="A1366" t="inlineStr">
        <is>
          <t>2022-2023</t>
        </is>
      </c>
      <c r="B1366" t="inlineStr">
        <is>
          <t>2022-12-22</t>
        </is>
      </c>
      <c r="C1366" t="inlineStr">
        <is>
          <t>18:29</t>
        </is>
      </c>
      <c r="D1366" t="inlineStr">
        <is>
          <t>n° 13 + n° 14</t>
        </is>
      </c>
      <c r="E1366" t="inlineStr">
        <is>
          <t>Père Gregoire</t>
        </is>
      </c>
      <c r="F1366" t="n">
        <v>4.9</v>
      </c>
      <c r="G1366" t="inlineStr">
        <is>
          <t>n° 13 : 0,50 + n° 14 : 0,50</t>
        </is>
      </c>
      <c r="H1366" t="n">
        <v>1</v>
      </c>
    </row>
    <row r="1367">
      <c r="A1367" t="inlineStr">
        <is>
          <t>2022-2023</t>
        </is>
      </c>
      <c r="B1367" t="inlineStr">
        <is>
          <t>2022-12-22</t>
        </is>
      </c>
      <c r="C1367" t="inlineStr">
        <is>
          <t>18:29</t>
        </is>
      </c>
      <c r="D1367" t="inlineStr">
        <is>
          <t>n° 13 + n° 14</t>
        </is>
      </c>
      <c r="E1367" t="inlineStr">
        <is>
          <t>Crêpe Nutella</t>
        </is>
      </c>
      <c r="F1367" t="n">
        <v>4.7</v>
      </c>
      <c r="G1367" t="inlineStr">
        <is>
          <t>n° 13 : 0,50 + n° 14 : 0,50</t>
        </is>
      </c>
      <c r="H1367" t="n">
        <v>1</v>
      </c>
    </row>
    <row r="1368">
      <c r="A1368" t="inlineStr">
        <is>
          <t>2022-2023</t>
        </is>
      </c>
      <c r="B1368" t="inlineStr">
        <is>
          <t>2022-12-23</t>
        </is>
      </c>
      <c r="C1368" t="inlineStr">
        <is>
          <t>19:20</t>
        </is>
      </c>
      <c r="D1368" t="inlineStr">
        <is>
          <t>n° 11 + n° 12</t>
        </is>
      </c>
      <c r="E1368" t="inlineStr">
        <is>
          <t>Saint Véran Verre</t>
        </is>
      </c>
      <c r="F1368" t="n">
        <v>7.9</v>
      </c>
      <c r="G1368" t="inlineStr">
        <is>
          <t>n° 11 : 0,50 + n° 12 : 0,50</t>
        </is>
      </c>
      <c r="H1368" t="n">
        <v>1</v>
      </c>
    </row>
    <row r="1369">
      <c r="A1369" t="inlineStr">
        <is>
          <t>2022-2023</t>
        </is>
      </c>
      <c r="B1369" t="inlineStr">
        <is>
          <t>2022-12-23</t>
        </is>
      </c>
      <c r="C1369" t="inlineStr">
        <is>
          <t>19:20</t>
        </is>
      </c>
      <c r="D1369" t="inlineStr">
        <is>
          <t>n° 11 + n° 12</t>
        </is>
      </c>
      <c r="E1369" t="inlineStr">
        <is>
          <t>Beaujolais Moulin à</t>
        </is>
      </c>
      <c r="F1369" t="n">
        <v>5.8</v>
      </c>
      <c r="G1369" t="inlineStr">
        <is>
          <t>n° 11 : 0,50 + n° 12 : 0,50</t>
        </is>
      </c>
      <c r="H1369" t="n">
        <v>1</v>
      </c>
    </row>
    <row r="1370">
      <c r="A1370" t="inlineStr">
        <is>
          <t>2022-2023</t>
        </is>
      </c>
      <c r="B1370" t="inlineStr">
        <is>
          <t>2022-12-28</t>
        </is>
      </c>
      <c r="C1370" t="inlineStr">
        <is>
          <t>12:01</t>
        </is>
      </c>
      <c r="D1370" t="inlineStr">
        <is>
          <t>n° 2 + n° 3</t>
        </is>
      </c>
      <c r="E1370" t="inlineStr">
        <is>
          <t>POULET JURASSIENNE</t>
        </is>
      </c>
      <c r="F1370" t="n">
        <v>18.6</v>
      </c>
      <c r="G1370" t="inlineStr">
        <is>
          <t>n° 2 : 0,50 + n° 3 : 0,50</t>
        </is>
      </c>
      <c r="H1370" t="n">
        <v>1</v>
      </c>
    </row>
    <row r="1371">
      <c r="A1371" t="inlineStr">
        <is>
          <t>2022-2023</t>
        </is>
      </c>
      <c r="B1371" t="inlineStr">
        <is>
          <t>2022-12-28</t>
        </is>
      </c>
      <c r="C1371" t="inlineStr">
        <is>
          <t>12:01</t>
        </is>
      </c>
      <c r="D1371" t="inlineStr">
        <is>
          <t>n° 2 + n° 3</t>
        </is>
      </c>
      <c r="E1371" t="inlineStr">
        <is>
          <t>TRUITE PESTO</t>
        </is>
      </c>
      <c r="F1371" t="n">
        <v>16.9</v>
      </c>
      <c r="G1371" t="inlineStr">
        <is>
          <t>n° 2 : 0,50 + n° 3 : 0,50</t>
        </is>
      </c>
      <c r="H1371" t="n">
        <v>1</v>
      </c>
    </row>
    <row r="1372">
      <c r="A1372" t="inlineStr">
        <is>
          <t>2022-2023</t>
        </is>
      </c>
      <c r="B1372" t="inlineStr">
        <is>
          <t>2022-12-28</t>
        </is>
      </c>
      <c r="C1372" t="inlineStr">
        <is>
          <t>12:01</t>
        </is>
      </c>
      <c r="D1372" t="inlineStr">
        <is>
          <t>n° 2 + n° 3</t>
        </is>
      </c>
      <c r="E1372" t="inlineStr">
        <is>
          <t>Saint Véran Verre</t>
        </is>
      </c>
      <c r="F1372" t="n">
        <v>7.9</v>
      </c>
      <c r="G1372" t="inlineStr">
        <is>
          <t>n° 2 : 0,50 + n° 3 : 0,50</t>
        </is>
      </c>
      <c r="H1372" t="n">
        <v>1</v>
      </c>
    </row>
    <row r="1373">
      <c r="A1373" t="inlineStr">
        <is>
          <t>2022-2023</t>
        </is>
      </c>
      <c r="B1373" t="inlineStr">
        <is>
          <t>2022-12-28</t>
        </is>
      </c>
      <c r="C1373" t="inlineStr">
        <is>
          <t>12:01</t>
        </is>
      </c>
      <c r="D1373" t="inlineStr">
        <is>
          <t>n° 2 + n° 3</t>
        </is>
      </c>
      <c r="E1373" t="inlineStr">
        <is>
          <t>Fa</t>
        </is>
      </c>
      <c r="F1373" t="n">
        <v>7</v>
      </c>
      <c r="G1373" t="inlineStr">
        <is>
          <t>n° 2 : 0,50 + n° 3 : 0,50</t>
        </is>
      </c>
      <c r="H1373" t="n">
        <v>1</v>
      </c>
    </row>
    <row r="1374">
      <c r="A1374" t="inlineStr">
        <is>
          <t>2022-2023</t>
        </is>
      </c>
      <c r="B1374" t="inlineStr">
        <is>
          <t>2022-12-28</t>
        </is>
      </c>
      <c r="C1374" t="inlineStr">
        <is>
          <t>12:01</t>
        </is>
      </c>
      <c r="D1374" t="inlineStr">
        <is>
          <t>n° 2 + n° 3</t>
        </is>
      </c>
      <c r="E1374" t="inlineStr">
        <is>
          <t>Martini Blanc</t>
        </is>
      </c>
      <c r="F1374" t="n">
        <v>4.2</v>
      </c>
      <c r="G1374" t="inlineStr">
        <is>
          <t>n° 2 : 0,50 + n° 3 : 0,50</t>
        </is>
      </c>
      <c r="H1374" t="n">
        <v>1</v>
      </c>
    </row>
    <row r="1375">
      <c r="A1375" t="inlineStr">
        <is>
          <t>2022-2023</t>
        </is>
      </c>
      <c r="B1375" t="inlineStr">
        <is>
          <t>2022-12-28</t>
        </is>
      </c>
      <c r="C1375" t="inlineStr">
        <is>
          <t>12:01</t>
        </is>
      </c>
      <c r="D1375" t="inlineStr">
        <is>
          <t>n° 2 + n° 3</t>
        </is>
      </c>
      <c r="E1375" t="inlineStr">
        <is>
          <t>Expresso Crème</t>
        </is>
      </c>
      <c r="F1375" t="n">
        <v>2.4</v>
      </c>
      <c r="G1375" t="inlineStr">
        <is>
          <t>n° 2 : 0,50 + n° 3 : 0,50</t>
        </is>
      </c>
      <c r="H1375" t="n">
        <v>1</v>
      </c>
    </row>
    <row r="1376">
      <c r="A1376" t="inlineStr">
        <is>
          <t>2022-2023</t>
        </is>
      </c>
      <c r="B1376" t="inlineStr">
        <is>
          <t>2022-12-28</t>
        </is>
      </c>
      <c r="C1376" t="inlineStr">
        <is>
          <t>12:01</t>
        </is>
      </c>
      <c r="D1376" t="inlineStr">
        <is>
          <t>n° 2 + n° 3</t>
        </is>
      </c>
      <c r="E1376" t="inlineStr">
        <is>
          <t>Expresso</t>
        </is>
      </c>
      <c r="F1376" t="n">
        <v>2.2</v>
      </c>
      <c r="G1376" t="inlineStr">
        <is>
          <t>n° 2 : 0,50 + n° 3 : 0,50</t>
        </is>
      </c>
      <c r="H1376" t="n">
        <v>1</v>
      </c>
    </row>
    <row r="1377">
      <c r="A1377" t="inlineStr">
        <is>
          <t>2022-2023</t>
        </is>
      </c>
      <c r="B1377" t="inlineStr">
        <is>
          <t>2022-12-28</t>
        </is>
      </c>
      <c r="C1377" t="inlineStr">
        <is>
          <t>12:01</t>
        </is>
      </c>
      <c r="D1377" t="inlineStr">
        <is>
          <t>n° 2 + n° 3</t>
        </is>
      </c>
      <c r="E1377" t="inlineStr">
        <is>
          <t>GLACE 1 BOULE</t>
        </is>
      </c>
      <c r="F1377" t="n">
        <v>2</v>
      </c>
      <c r="G1377" t="inlineStr">
        <is>
          <t>n° 2 : 0,50 + n° 3 : 0,50</t>
        </is>
      </c>
      <c r="H1377" t="n">
        <v>1</v>
      </c>
    </row>
    <row r="1378">
      <c r="A1378" t="inlineStr">
        <is>
          <t>2022-2023</t>
        </is>
      </c>
      <c r="B1378" t="inlineStr">
        <is>
          <t>2022-12-28</t>
        </is>
      </c>
      <c r="C1378" t="inlineStr">
        <is>
          <t>19:27</t>
        </is>
      </c>
      <c r="D1378" t="inlineStr">
        <is>
          <t>n° 13 + n° 14</t>
        </is>
      </c>
      <c r="E1378" t="inlineStr">
        <is>
          <t>Assortiment charcute</t>
        </is>
      </c>
      <c r="F1378" t="n">
        <v>8.9</v>
      </c>
      <c r="G1378" t="inlineStr">
        <is>
          <t>n° 13 : 0,50 + n° 14 : 0,50</t>
        </is>
      </c>
      <c r="H1378" t="n">
        <v>1</v>
      </c>
    </row>
    <row r="1379">
      <c r="A1379" t="inlineStr">
        <is>
          <t>2022-2023</t>
        </is>
      </c>
      <c r="B1379" t="inlineStr">
        <is>
          <t>2022-12-28</t>
        </is>
      </c>
      <c r="C1379" t="inlineStr">
        <is>
          <t>19:27</t>
        </is>
      </c>
      <c r="D1379" t="inlineStr">
        <is>
          <t>n° 13 + n° 14</t>
        </is>
      </c>
      <c r="E1379" t="inlineStr">
        <is>
          <t>POMMES FRITES</t>
        </is>
      </c>
      <c r="F1379" t="n">
        <v>3.9</v>
      </c>
      <c r="G1379" t="inlineStr">
        <is>
          <t>n° 13 : 0,50 + n° 14 : 0,50</t>
        </is>
      </c>
      <c r="H1379" t="n">
        <v>1</v>
      </c>
    </row>
    <row r="1380">
      <c r="A1380" t="inlineStr">
        <is>
          <t>2022-2023</t>
        </is>
      </c>
      <c r="B1380" t="inlineStr">
        <is>
          <t>2022-12-28</t>
        </is>
      </c>
      <c r="C1380" t="inlineStr">
        <is>
          <t>19:27</t>
        </is>
      </c>
      <c r="D1380" t="inlineStr">
        <is>
          <t>n° 13 + n° 14</t>
        </is>
      </c>
      <c r="E1380" t="inlineStr">
        <is>
          <t>Coca (25cl)</t>
        </is>
      </c>
      <c r="F1380" t="n">
        <v>3.9</v>
      </c>
      <c r="G1380" t="inlineStr">
        <is>
          <t>n° 13 : 0,50 + n° 14 : 0,50</t>
        </is>
      </c>
      <c r="H1380" t="n">
        <v>1</v>
      </c>
    </row>
    <row r="1381">
      <c r="A1381" t="inlineStr">
        <is>
          <t>2022-2023</t>
        </is>
      </c>
      <c r="B1381" t="inlineStr">
        <is>
          <t>2022-12-30</t>
        </is>
      </c>
      <c r="C1381" t="inlineStr">
        <is>
          <t>19:45</t>
        </is>
      </c>
      <c r="D1381" t="inlineStr">
        <is>
          <t>n° 13 + n° 14</t>
        </is>
      </c>
      <c r="E1381" t="inlineStr">
        <is>
          <t>Crémeux du Jura</t>
        </is>
      </c>
      <c r="F1381" t="n">
        <v>19</v>
      </c>
      <c r="G1381" t="inlineStr">
        <is>
          <t>n° 13 : 0,50 + n° 14 : 0,50</t>
        </is>
      </c>
      <c r="H1381" t="n">
        <v>1</v>
      </c>
    </row>
    <row r="1382">
      <c r="A1382" t="inlineStr">
        <is>
          <t>2022-2023</t>
        </is>
      </c>
      <c r="B1382" t="inlineStr">
        <is>
          <t>2022-12-30</t>
        </is>
      </c>
      <c r="C1382" t="inlineStr">
        <is>
          <t>19:45</t>
        </is>
      </c>
      <c r="D1382" t="inlineStr">
        <is>
          <t>n° 13 + n° 14</t>
        </is>
      </c>
      <c r="E1382" t="inlineStr">
        <is>
          <t>ASSIETTE VEGAN</t>
        </is>
      </c>
      <c r="F1382" t="n">
        <v>14</v>
      </c>
      <c r="G1382" t="inlineStr">
        <is>
          <t>n° 13 : 0,50 + n° 14 : 0,50</t>
        </is>
      </c>
      <c r="H1382" t="n">
        <v>1</v>
      </c>
    </row>
    <row r="1383">
      <c r="A1383" t="inlineStr">
        <is>
          <t>2022-2023</t>
        </is>
      </c>
      <c r="B1383" t="inlineStr">
        <is>
          <t>2022-12-30</t>
        </is>
      </c>
      <c r="C1383" t="inlineStr">
        <is>
          <t>19:45</t>
        </is>
      </c>
      <c r="D1383" t="inlineStr">
        <is>
          <t>n° 13 + n° 14</t>
        </is>
      </c>
      <c r="E1383" t="inlineStr">
        <is>
          <t>Salade Verte aux Noi</t>
        </is>
      </c>
      <c r="F1383" t="n">
        <v>5.9</v>
      </c>
      <c r="G1383" t="inlineStr">
        <is>
          <t>n° 13 : 0,50 + n° 14 : 0,50</t>
        </is>
      </c>
      <c r="H1383" t="n">
        <v>1</v>
      </c>
    </row>
    <row r="1384">
      <c r="A1384" t="inlineStr">
        <is>
          <t>2022-2023</t>
        </is>
      </c>
      <c r="B1384" t="inlineStr">
        <is>
          <t>2022-12-30</t>
        </is>
      </c>
      <c r="C1384" t="inlineStr">
        <is>
          <t>19:45</t>
        </is>
      </c>
      <c r="D1384" t="inlineStr">
        <is>
          <t>n° 13 + n° 14</t>
        </is>
      </c>
      <c r="E1384" t="inlineStr">
        <is>
          <t>Chat perché</t>
        </is>
      </c>
      <c r="F1384" t="n">
        <v>5.2</v>
      </c>
      <c r="G1384" t="inlineStr">
        <is>
          <t>n° 13 : 0,50 + n° 14 : 0,50</t>
        </is>
      </c>
      <c r="H1384" t="n">
        <v>1</v>
      </c>
    </row>
    <row r="1385">
      <c r="A1385" t="inlineStr">
        <is>
          <t>2022-2023</t>
        </is>
      </c>
      <c r="B1385" t="inlineStr">
        <is>
          <t>2022-12-30</t>
        </is>
      </c>
      <c r="C1385" t="inlineStr">
        <is>
          <t>19:45</t>
        </is>
      </c>
      <c r="D1385" t="inlineStr">
        <is>
          <t>n° 13 + n° 14</t>
        </is>
      </c>
      <c r="E1385" t="inlineStr">
        <is>
          <t>Père Gregoire</t>
        </is>
      </c>
      <c r="F1385" t="n">
        <v>4.9</v>
      </c>
      <c r="G1385" t="inlineStr">
        <is>
          <t>n° 13 : 0,50 + n° 14 : 0,50</t>
        </is>
      </c>
      <c r="H1385" t="n">
        <v>1</v>
      </c>
    </row>
    <row r="1386">
      <c r="A1386" t="inlineStr">
        <is>
          <t>2022-2023</t>
        </is>
      </c>
      <c r="B1386" t="inlineStr">
        <is>
          <t>2022-12-30</t>
        </is>
      </c>
      <c r="C1386" t="inlineStr">
        <is>
          <t>19:45</t>
        </is>
      </c>
      <c r="D1386" t="inlineStr">
        <is>
          <t>n° 13 + n° 14</t>
        </is>
      </c>
      <c r="E1386" t="inlineStr">
        <is>
          <t>GLACE 1 BOULE</t>
        </is>
      </c>
      <c r="F1386" t="n">
        <v>2</v>
      </c>
      <c r="G1386" t="inlineStr">
        <is>
          <t>n° 13 : 0,50 + n° 14 : 0,50</t>
        </is>
      </c>
      <c r="H1386" t="n">
        <v>1</v>
      </c>
    </row>
    <row r="1387">
      <c r="A1387" t="inlineStr">
        <is>
          <t>2022-2023</t>
        </is>
      </c>
      <c r="B1387" t="inlineStr">
        <is>
          <t>2022-12-31</t>
        </is>
      </c>
      <c r="C1387" t="inlineStr">
        <is>
          <t>21:22</t>
        </is>
      </c>
      <c r="D1387" t="inlineStr">
        <is>
          <t>n° 13 + n° 14</t>
        </is>
      </c>
      <c r="E1387" t="inlineStr">
        <is>
          <t>C du Rhone St  Josep</t>
        </is>
      </c>
      <c r="F1387" t="n">
        <v>36</v>
      </c>
      <c r="G1387" t="inlineStr">
        <is>
          <t>n° 13 : 0,50 + n° 14 : 0,50</t>
        </is>
      </c>
      <c r="H1387" t="n">
        <v>1</v>
      </c>
    </row>
    <row r="1388">
      <c r="A1388" t="inlineStr">
        <is>
          <t>2022-2023</t>
        </is>
      </c>
      <c r="B1388" t="inlineStr">
        <is>
          <t>2022-12-31</t>
        </is>
      </c>
      <c r="C1388" t="inlineStr">
        <is>
          <t>21:22</t>
        </is>
      </c>
      <c r="D1388" t="inlineStr">
        <is>
          <t>n° 13 + n° 14</t>
        </is>
      </c>
      <c r="E1388" t="inlineStr">
        <is>
          <t>Crémeux du Jura</t>
        </is>
      </c>
      <c r="F1388" t="n">
        <v>19</v>
      </c>
      <c r="G1388" t="inlineStr">
        <is>
          <t>n° 13 : 0,50 + n° 14 : 0,50</t>
        </is>
      </c>
      <c r="H1388" t="n">
        <v>1</v>
      </c>
    </row>
    <row r="1389">
      <c r="A1389" t="inlineStr">
        <is>
          <t>2022-2023</t>
        </is>
      </c>
      <c r="B1389" t="inlineStr">
        <is>
          <t>2022-12-31</t>
        </is>
      </c>
      <c r="C1389" t="inlineStr">
        <is>
          <t>21:22</t>
        </is>
      </c>
      <c r="D1389" t="inlineStr">
        <is>
          <t>n° 13 + n° 14</t>
        </is>
      </c>
      <c r="E1389" t="inlineStr">
        <is>
          <t>Eau de vie Framboise</t>
        </is>
      </c>
      <c r="F1389" t="n">
        <v>6.5</v>
      </c>
      <c r="G1389" t="inlineStr">
        <is>
          <t>n° 13 : 0,50 + n° 14 : 0,50</t>
        </is>
      </c>
      <c r="H1389" t="n">
        <v>1</v>
      </c>
    </row>
    <row r="1390">
      <c r="A1390" t="inlineStr">
        <is>
          <t>2022-2023</t>
        </is>
      </c>
      <c r="B1390" t="inlineStr">
        <is>
          <t>2022-12-31</t>
        </is>
      </c>
      <c r="C1390" t="inlineStr">
        <is>
          <t>21:22</t>
        </is>
      </c>
      <c r="D1390" t="inlineStr">
        <is>
          <t>n° 13 + n° 14</t>
        </is>
      </c>
      <c r="E1390" t="inlineStr">
        <is>
          <t>Get 31</t>
        </is>
      </c>
      <c r="F1390" t="n">
        <v>5.2</v>
      </c>
      <c r="G1390" t="inlineStr">
        <is>
          <t>n° 13 : 0,50 + n° 14 : 0,50</t>
        </is>
      </c>
      <c r="H1390" t="n">
        <v>1</v>
      </c>
    </row>
    <row r="1391">
      <c r="A1391" t="inlineStr">
        <is>
          <t>2022-2023</t>
        </is>
      </c>
      <c r="B1391" t="inlineStr">
        <is>
          <t>2022-12-31</t>
        </is>
      </c>
      <c r="C1391" t="inlineStr">
        <is>
          <t>21:48</t>
        </is>
      </c>
      <c r="D1391" t="inlineStr">
        <is>
          <t>n° 17 + n° 18</t>
        </is>
      </c>
      <c r="E1391" t="inlineStr">
        <is>
          <t>MACHON GOURMET</t>
        </is>
      </c>
      <c r="F1391" t="n">
        <v>25</v>
      </c>
      <c r="G1391" t="inlineStr">
        <is>
          <t>n° 17 : 0,50 + n° 18 : 0,50</t>
        </is>
      </c>
      <c r="H1391" t="n">
        <v>1</v>
      </c>
    </row>
    <row r="1392">
      <c r="A1392" t="inlineStr">
        <is>
          <t>2022-2023</t>
        </is>
      </c>
      <c r="B1392" t="inlineStr">
        <is>
          <t>2022-12-31</t>
        </is>
      </c>
      <c r="C1392" t="inlineStr">
        <is>
          <t>21:48</t>
        </is>
      </c>
      <c r="D1392" t="inlineStr">
        <is>
          <t>n° 17 + n° 18</t>
        </is>
      </c>
      <c r="E1392" t="inlineStr">
        <is>
          <t>TRUITE JURASSIENNE</t>
        </is>
      </c>
      <c r="F1392" t="n">
        <v>18.6</v>
      </c>
      <c r="G1392" t="inlineStr">
        <is>
          <t>n° 17 : 0,50 + n° 18 : 0,50</t>
        </is>
      </c>
      <c r="H1392" t="n">
        <v>1</v>
      </c>
    </row>
    <row r="1393">
      <c r="A1393" t="inlineStr">
        <is>
          <t>2022-2023</t>
        </is>
      </c>
      <c r="B1393" t="inlineStr">
        <is>
          <t>2022-12-31</t>
        </is>
      </c>
      <c r="C1393" t="inlineStr">
        <is>
          <t>21:48</t>
        </is>
      </c>
      <c r="D1393" t="inlineStr">
        <is>
          <t>n° 17 + n° 18</t>
        </is>
      </c>
      <c r="E1393" t="inlineStr">
        <is>
          <t>Escargots de Bourgog</t>
        </is>
      </c>
      <c r="F1393" t="n">
        <v>16</v>
      </c>
      <c r="G1393" t="inlineStr">
        <is>
          <t>n° 17 : 0,50 + n° 18 : 0,50</t>
        </is>
      </c>
      <c r="H1393" t="n">
        <v>1</v>
      </c>
    </row>
    <row r="1394">
      <c r="A1394" t="inlineStr">
        <is>
          <t>2022-2023</t>
        </is>
      </c>
      <c r="B1394" t="inlineStr">
        <is>
          <t>2022-12-31</t>
        </is>
      </c>
      <c r="C1394" t="inlineStr">
        <is>
          <t>21:48</t>
        </is>
      </c>
      <c r="D1394" t="inlineStr">
        <is>
          <t>n° 17 + n° 18</t>
        </is>
      </c>
      <c r="E1394" t="inlineStr">
        <is>
          <t>Feuilleté Forestier</t>
        </is>
      </c>
      <c r="F1394" t="n">
        <v>10.9</v>
      </c>
      <c r="G1394" t="inlineStr">
        <is>
          <t>n° 17 : 0,50 + n° 18 : 0,50</t>
        </is>
      </c>
      <c r="H1394" t="n">
        <v>1</v>
      </c>
    </row>
    <row r="1395">
      <c r="A1395" t="inlineStr">
        <is>
          <t>2022-2023</t>
        </is>
      </c>
      <c r="B1395" t="inlineStr">
        <is>
          <t>2022-12-31</t>
        </is>
      </c>
      <c r="C1395" t="inlineStr">
        <is>
          <t>21:48</t>
        </is>
      </c>
      <c r="D1395" t="inlineStr">
        <is>
          <t>n° 17 + n° 18</t>
        </is>
      </c>
      <c r="E1395" t="inlineStr">
        <is>
          <t>Pichet 50cl vin</t>
        </is>
      </c>
      <c r="F1395" t="n">
        <v>9.800000000000001</v>
      </c>
      <c r="G1395" t="inlineStr">
        <is>
          <t>n° 17 : 0,50 + n° 18 : 0,50</t>
        </is>
      </c>
      <c r="H1395" t="n">
        <v>1</v>
      </c>
    </row>
    <row r="1396">
      <c r="A1396" t="inlineStr">
        <is>
          <t>2022-2023</t>
        </is>
      </c>
      <c r="B1396" t="inlineStr">
        <is>
          <t>2023-01-05</t>
        </is>
      </c>
      <c r="C1396" t="inlineStr">
        <is>
          <t>19:16</t>
        </is>
      </c>
      <c r="D1396" t="inlineStr">
        <is>
          <t>n° 10 + n° 11</t>
        </is>
      </c>
      <c r="E1396" t="inlineStr">
        <is>
          <t>Pommes grenailles</t>
        </is>
      </c>
      <c r="F1396" t="n">
        <v>3.9</v>
      </c>
      <c r="G1396" t="inlineStr">
        <is>
          <t>n° 10 : 0,50 + n° 11 : 0,50</t>
        </is>
      </c>
      <c r="H1396" t="n">
        <v>1</v>
      </c>
    </row>
    <row r="1397">
      <c r="A1397" t="inlineStr">
        <is>
          <t>2022-2023</t>
        </is>
      </c>
      <c r="B1397" t="inlineStr">
        <is>
          <t>2023-01-05</t>
        </is>
      </c>
      <c r="C1397" t="inlineStr">
        <is>
          <t>20:33</t>
        </is>
      </c>
      <c r="D1397" t="inlineStr">
        <is>
          <t>n° 14 + n° 15</t>
        </is>
      </c>
      <c r="E1397" t="inlineStr">
        <is>
          <t>Entrecôte Forestiére</t>
        </is>
      </c>
      <c r="F1397" t="n">
        <v>27.8</v>
      </c>
      <c r="G1397" t="inlineStr">
        <is>
          <t>n° 14 : 0,50 + n° 15 : 0,50</t>
        </is>
      </c>
      <c r="H1397" t="n">
        <v>1</v>
      </c>
    </row>
    <row r="1398">
      <c r="A1398" t="inlineStr">
        <is>
          <t>2022-2023</t>
        </is>
      </c>
      <c r="B1398" t="inlineStr">
        <is>
          <t>2023-01-05</t>
        </is>
      </c>
      <c r="C1398" t="inlineStr">
        <is>
          <t>20:33</t>
        </is>
      </c>
      <c r="D1398" t="inlineStr">
        <is>
          <t>n° 14 + n° 15</t>
        </is>
      </c>
      <c r="E1398" t="inlineStr">
        <is>
          <t>CANCOINE</t>
        </is>
      </c>
      <c r="F1398" t="n">
        <v>21.6</v>
      </c>
      <c r="G1398" t="inlineStr">
        <is>
          <t>n° 14 : 0,50 + n° 15 : 0,50</t>
        </is>
      </c>
      <c r="H1398" t="n">
        <v>1</v>
      </c>
    </row>
    <row r="1399">
      <c r="A1399" t="inlineStr">
        <is>
          <t>2022-2023</t>
        </is>
      </c>
      <c r="B1399" t="inlineStr">
        <is>
          <t>2023-01-05</t>
        </is>
      </c>
      <c r="C1399" t="inlineStr">
        <is>
          <t>20:33</t>
        </is>
      </c>
      <c r="D1399" t="inlineStr">
        <is>
          <t>n° 14 + n° 15</t>
        </is>
      </c>
      <c r="E1399" t="inlineStr">
        <is>
          <t>Coca (25cl)</t>
        </is>
      </c>
      <c r="F1399" t="n">
        <v>3.9</v>
      </c>
      <c r="G1399" t="inlineStr">
        <is>
          <t>n° 14 : 0,50 + n° 15 : 0,50</t>
        </is>
      </c>
      <c r="H1399" t="n">
        <v>1</v>
      </c>
    </row>
    <row r="1400">
      <c r="A1400" t="inlineStr">
        <is>
          <t>2022-2023</t>
        </is>
      </c>
      <c r="B1400" t="inlineStr">
        <is>
          <t>2023-01-05</t>
        </is>
      </c>
      <c r="C1400" t="inlineStr">
        <is>
          <t>20:33</t>
        </is>
      </c>
      <c r="D1400" t="inlineStr">
        <is>
          <t>n° 14 + n° 15</t>
        </is>
      </c>
      <c r="E1400" t="inlineStr">
        <is>
          <t>Jus de Fruit</t>
        </is>
      </c>
      <c r="F1400" t="n">
        <v>3.9</v>
      </c>
      <c r="G1400" t="inlineStr">
        <is>
          <t>n° 14 : 0,50 + n° 15 : 0,50</t>
        </is>
      </c>
      <c r="H1400" t="n">
        <v>1</v>
      </c>
    </row>
    <row r="1401">
      <c r="A1401" t="inlineStr">
        <is>
          <t>2022-2023</t>
        </is>
      </c>
      <c r="B1401" t="inlineStr">
        <is>
          <t>2023-01-07</t>
        </is>
      </c>
      <c r="C1401" t="inlineStr">
        <is>
          <t>19:12</t>
        </is>
      </c>
      <c r="D1401" t="inlineStr">
        <is>
          <t>n° 8 + n° 9 + n° 11 + n° 12 + n° 13</t>
        </is>
      </c>
      <c r="E1401" t="inlineStr">
        <is>
          <t>Feuilleté Forestier</t>
        </is>
      </c>
      <c r="F1401" t="n">
        <v>10.9</v>
      </c>
      <c r="G1401" t="inlineStr">
        <is>
          <t>n° 8 : 0,50 + n° 9 : 0,50</t>
        </is>
      </c>
      <c r="H1401" t="n">
        <v>1</v>
      </c>
    </row>
    <row r="1402">
      <c r="A1402" t="inlineStr">
        <is>
          <t>2022-2023</t>
        </is>
      </c>
      <c r="B1402" t="inlineStr">
        <is>
          <t>2023-01-07</t>
        </is>
      </c>
      <c r="C1402" t="inlineStr">
        <is>
          <t>19:12</t>
        </is>
      </c>
      <c r="D1402" t="inlineStr">
        <is>
          <t>n° 8 + n° 9 + n° 11 + n° 12 + n° 13</t>
        </is>
      </c>
      <c r="E1402" t="inlineStr">
        <is>
          <t>Pichet 50cl vin</t>
        </is>
      </c>
      <c r="F1402" t="n">
        <v>9.800000000000001</v>
      </c>
      <c r="G1402" t="inlineStr">
        <is>
          <t>n° 13 : 0,50</t>
        </is>
      </c>
      <c r="H1402" t="n">
        <v>0.5</v>
      </c>
    </row>
    <row r="1403">
      <c r="A1403" t="inlineStr">
        <is>
          <t>2022-2023</t>
        </is>
      </c>
      <c r="B1403" t="inlineStr">
        <is>
          <t>2023-01-07</t>
        </is>
      </c>
      <c r="C1403" t="inlineStr">
        <is>
          <t>19:12</t>
        </is>
      </c>
      <c r="D1403" t="inlineStr">
        <is>
          <t>n° 8 + n° 9 + n° 11 + n° 12 + n° 13</t>
        </is>
      </c>
      <c r="E1403" t="inlineStr">
        <is>
          <t>H.C.DE BEAUNE  VERRE</t>
        </is>
      </c>
      <c r="F1403" t="n">
        <v>7.9</v>
      </c>
      <c r="G1403" t="inlineStr">
        <is>
          <t>n° 11 : 0,50 + n° 12 : 0,50</t>
        </is>
      </c>
      <c r="H1403" t="n">
        <v>1</v>
      </c>
    </row>
    <row r="1404">
      <c r="A1404" t="inlineStr">
        <is>
          <t>2022-2023</t>
        </is>
      </c>
      <c r="B1404" t="inlineStr">
        <is>
          <t>2023-01-07</t>
        </is>
      </c>
      <c r="C1404" t="inlineStr">
        <is>
          <t>19:12</t>
        </is>
      </c>
      <c r="D1404" t="inlineStr">
        <is>
          <t>n° 8 + n° 9 + n° 11 + n° 12 + n° 13</t>
        </is>
      </c>
      <c r="E1404" t="inlineStr">
        <is>
          <t>Jamhon Persillé</t>
        </is>
      </c>
      <c r="F1404" t="n">
        <v>7.2</v>
      </c>
      <c r="G1404" t="inlineStr">
        <is>
          <t>n° 8 : 0,50 + n° 9 : 0,50</t>
        </is>
      </c>
      <c r="H1404" t="n">
        <v>1</v>
      </c>
    </row>
    <row r="1405">
      <c r="A1405" t="inlineStr">
        <is>
          <t>2022-2023</t>
        </is>
      </c>
      <c r="B1405" t="inlineStr">
        <is>
          <t>2023-01-07</t>
        </is>
      </c>
      <c r="C1405" t="inlineStr">
        <is>
          <t>19:12</t>
        </is>
      </c>
      <c r="D1405" t="inlineStr">
        <is>
          <t>n° 8 + n° 9 + n° 11 + n° 12 + n° 13</t>
        </is>
      </c>
      <c r="E1405" t="inlineStr">
        <is>
          <t>Savagnin verre</t>
        </is>
      </c>
      <c r="F1405" t="n">
        <v>7.2</v>
      </c>
      <c r="G1405" t="inlineStr">
        <is>
          <t>n° 11 : 0,50 + n° 12 : 0,50</t>
        </is>
      </c>
      <c r="H1405" t="n">
        <v>1</v>
      </c>
    </row>
    <row r="1406">
      <c r="A1406" t="inlineStr">
        <is>
          <t>2022-2023</t>
        </is>
      </c>
      <c r="B1406" t="inlineStr">
        <is>
          <t>2023-01-07</t>
        </is>
      </c>
      <c r="C1406" t="inlineStr">
        <is>
          <t>19:12</t>
        </is>
      </c>
      <c r="D1406" t="inlineStr">
        <is>
          <t>n° 8 + n° 9 + n° 11 + n° 12 + n° 13</t>
        </is>
      </c>
      <c r="E1406" t="inlineStr">
        <is>
          <t>CREME BRULEE</t>
        </is>
      </c>
      <c r="F1406" t="n">
        <v>6.9</v>
      </c>
      <c r="G1406" t="inlineStr">
        <is>
          <t>n° 8 : 0,50 + n° 9 : 0,50</t>
        </is>
      </c>
      <c r="H1406" t="n">
        <v>1</v>
      </c>
    </row>
    <row r="1407">
      <c r="A1407" t="inlineStr">
        <is>
          <t>2022-2023</t>
        </is>
      </c>
      <c r="B1407" t="inlineStr">
        <is>
          <t>2023-01-07</t>
        </is>
      </c>
      <c r="C1407" t="inlineStr">
        <is>
          <t>19:12</t>
        </is>
      </c>
      <c r="D1407" t="inlineStr">
        <is>
          <t>n° 8 + n° 9 + n° 11 + n° 12 + n° 13</t>
        </is>
      </c>
      <c r="E1407" t="inlineStr">
        <is>
          <t>San Pelegrino 50cl</t>
        </is>
      </c>
      <c r="F1407" t="n">
        <v>4</v>
      </c>
      <c r="G1407" t="inlineStr">
        <is>
          <t>n° 11 : 0,50 + n° 12 : 0,50</t>
        </is>
      </c>
      <c r="H1407" t="n">
        <v>1</v>
      </c>
    </row>
    <row r="1408">
      <c r="A1408" t="inlineStr">
        <is>
          <t>2022-2023</t>
        </is>
      </c>
      <c r="B1408" t="inlineStr">
        <is>
          <t>2023-01-07</t>
        </is>
      </c>
      <c r="C1408" t="inlineStr">
        <is>
          <t>19:12</t>
        </is>
      </c>
      <c r="D1408" t="inlineStr">
        <is>
          <t>n° 8 + n° 9 + n° 11 + n° 12 + n° 13</t>
        </is>
      </c>
      <c r="E1408" t="inlineStr">
        <is>
          <t>GLACE 2 BOULES</t>
        </is>
      </c>
      <c r="F1408" t="n">
        <v>3.9</v>
      </c>
      <c r="G1408" t="inlineStr">
        <is>
          <t>n° 8 : 0,50 + n° 9 : 0,50 + n° 13 : 1,00</t>
        </is>
      </c>
      <c r="H1408" t="n">
        <v>2</v>
      </c>
    </row>
    <row r="1409">
      <c r="A1409" t="inlineStr">
        <is>
          <t>2022-2023</t>
        </is>
      </c>
      <c r="B1409" t="inlineStr">
        <is>
          <t>2023-01-07</t>
        </is>
      </c>
      <c r="C1409" t="inlineStr">
        <is>
          <t>19:50</t>
        </is>
      </c>
      <c r="D1409" t="inlineStr">
        <is>
          <t>n° 15 + n° 16</t>
        </is>
      </c>
      <c r="E1409" t="inlineStr">
        <is>
          <t>Vin de Paille</t>
        </is>
      </c>
      <c r="F1409" t="n">
        <v>6</v>
      </c>
      <c r="G1409" t="inlineStr">
        <is>
          <t>n° 15 : 0,50 + n° 16 : 0,50</t>
        </is>
      </c>
      <c r="H1409" t="n">
        <v>1</v>
      </c>
    </row>
    <row r="1410">
      <c r="A1410" t="inlineStr">
        <is>
          <t>2022-2023</t>
        </is>
      </c>
      <c r="B1410" t="inlineStr">
        <is>
          <t>2023-01-07</t>
        </is>
      </c>
      <c r="C1410" t="inlineStr">
        <is>
          <t>19:50</t>
        </is>
      </c>
      <c r="D1410" t="inlineStr">
        <is>
          <t>n° 15 + n° 16</t>
        </is>
      </c>
      <c r="E1410" t="inlineStr">
        <is>
          <t>Salade Verte</t>
        </is>
      </c>
      <c r="F1410" t="n">
        <v>5.9</v>
      </c>
      <c r="G1410" t="inlineStr">
        <is>
          <t>n° 15 : 0,50 + n° 16 : 0,50</t>
        </is>
      </c>
      <c r="H1410" t="n">
        <v>1</v>
      </c>
    </row>
    <row r="1411">
      <c r="A1411" t="inlineStr">
        <is>
          <t>2022-2023</t>
        </is>
      </c>
      <c r="B1411" t="inlineStr">
        <is>
          <t>2023-01-07</t>
        </is>
      </c>
      <c r="C1411" t="inlineStr">
        <is>
          <t>19:50</t>
        </is>
      </c>
      <c r="D1411" t="inlineStr">
        <is>
          <t>n° 15 + n° 16</t>
        </is>
      </c>
      <c r="E1411" t="inlineStr">
        <is>
          <t>Père Gregoire</t>
        </is>
      </c>
      <c r="F1411" t="n">
        <v>4.9</v>
      </c>
      <c r="G1411" t="inlineStr">
        <is>
          <t>n° 15 : 0,50 + n° 16 : 0,50</t>
        </is>
      </c>
      <c r="H1411" t="n">
        <v>1</v>
      </c>
    </row>
    <row r="1412">
      <c r="A1412" t="inlineStr">
        <is>
          <t>2022-2023</t>
        </is>
      </c>
      <c r="B1412" t="inlineStr">
        <is>
          <t>2023-01-07</t>
        </is>
      </c>
      <c r="C1412" t="inlineStr">
        <is>
          <t>19:50</t>
        </is>
      </c>
      <c r="D1412" t="inlineStr">
        <is>
          <t>n° 15 + n° 16</t>
        </is>
      </c>
      <c r="E1412" t="inlineStr">
        <is>
          <t>Crepe Chocolat</t>
        </is>
      </c>
      <c r="F1412" t="n">
        <v>4.7</v>
      </c>
      <c r="G1412" t="inlineStr">
        <is>
          <t>n° 15 : 0,50 + n° 16 : 0,50</t>
        </is>
      </c>
      <c r="H1412" t="n">
        <v>1</v>
      </c>
    </row>
    <row r="1413">
      <c r="A1413" t="inlineStr">
        <is>
          <t>2022-2023</t>
        </is>
      </c>
      <c r="B1413" t="inlineStr">
        <is>
          <t>2023-01-07</t>
        </is>
      </c>
      <c r="C1413" t="inlineStr">
        <is>
          <t>19:50</t>
        </is>
      </c>
      <c r="D1413" t="inlineStr">
        <is>
          <t>n° 15 + n° 16</t>
        </is>
      </c>
      <c r="E1413" t="inlineStr">
        <is>
          <t>Pommes grenailles</t>
        </is>
      </c>
      <c r="F1413" t="n">
        <v>3.9</v>
      </c>
      <c r="G1413" t="inlineStr">
        <is>
          <t>n° 15 : 0,50 + n° 16 : 0,50</t>
        </is>
      </c>
      <c r="H1413" t="n">
        <v>1</v>
      </c>
    </row>
    <row r="1414">
      <c r="A1414" t="inlineStr">
        <is>
          <t>2022-2023</t>
        </is>
      </c>
      <c r="B1414" t="inlineStr">
        <is>
          <t>2023-01-07</t>
        </is>
      </c>
      <c r="C1414" t="inlineStr">
        <is>
          <t>19:50</t>
        </is>
      </c>
      <c r="D1414" t="inlineStr">
        <is>
          <t>n° 15 + n° 16</t>
        </is>
      </c>
      <c r="E1414" t="inlineStr">
        <is>
          <t>GLACE 2 BOULES</t>
        </is>
      </c>
      <c r="F1414" t="n">
        <v>3.9</v>
      </c>
      <c r="G1414" t="inlineStr">
        <is>
          <t>n° 15 : 0,50 + n° 16 : 0,50</t>
        </is>
      </c>
      <c r="H1414" t="n">
        <v>1</v>
      </c>
    </row>
    <row r="1415">
      <c r="A1415" t="inlineStr">
        <is>
          <t>2022-2023</t>
        </is>
      </c>
      <c r="B1415" t="inlineStr">
        <is>
          <t>2023-01-07</t>
        </is>
      </c>
      <c r="C1415" t="inlineStr">
        <is>
          <t>19:50</t>
        </is>
      </c>
      <c r="D1415" t="inlineStr">
        <is>
          <t>n° 15 + n° 16</t>
        </is>
      </c>
      <c r="E1415" t="inlineStr">
        <is>
          <t>SAUCE CHOCO/CAFE/CAR</t>
        </is>
      </c>
      <c r="F1415" t="n">
        <v>1.8</v>
      </c>
      <c r="G1415" t="inlineStr">
        <is>
          <t>n° 15 : 0,50 + n° 16 : 0,50</t>
        </is>
      </c>
      <c r="H1415" t="n">
        <v>1</v>
      </c>
    </row>
    <row r="1416">
      <c r="A1416" t="inlineStr">
        <is>
          <t>2022-2023</t>
        </is>
      </c>
      <c r="B1416" t="inlineStr">
        <is>
          <t>2023-02-23</t>
        </is>
      </c>
      <c r="C1416" t="inlineStr">
        <is>
          <t>19:30</t>
        </is>
      </c>
      <c r="D1416" t="inlineStr">
        <is>
          <t>n° 7 + n° 8</t>
        </is>
      </c>
      <c r="E1416" t="inlineStr">
        <is>
          <t>LIGOUSE</t>
        </is>
      </c>
      <c r="F1416" t="n">
        <v>15.6</v>
      </c>
      <c r="G1416" t="inlineStr">
        <is>
          <t>n° 7 : 0,50 + n° 8 : 0,50</t>
        </is>
      </c>
      <c r="H1416" t="n">
        <v>1</v>
      </c>
    </row>
    <row r="1417">
      <c r="A1417" t="inlineStr">
        <is>
          <t>2022-2023</t>
        </is>
      </c>
      <c r="B1417" t="inlineStr">
        <is>
          <t>2023-02-23</t>
        </is>
      </c>
      <c r="C1417" t="inlineStr">
        <is>
          <t>19:30</t>
        </is>
      </c>
      <c r="D1417" t="inlineStr">
        <is>
          <t>n° 7 + n° 8</t>
        </is>
      </c>
      <c r="E1417" t="inlineStr">
        <is>
          <t>Gewurztraminer Le ve</t>
        </is>
      </c>
      <c r="F1417" t="n">
        <v>7</v>
      </c>
      <c r="G1417" t="inlineStr">
        <is>
          <t>n° 7 : 0,50 + n° 8 : 0,50</t>
        </is>
      </c>
      <c r="H1417" t="n">
        <v>1</v>
      </c>
    </row>
    <row r="1418">
      <c r="A1418" t="inlineStr">
        <is>
          <t>2022-2023</t>
        </is>
      </c>
      <c r="B1418" t="inlineStr">
        <is>
          <t>2023-02-23</t>
        </is>
      </c>
      <c r="C1418" t="inlineStr">
        <is>
          <t>19:30</t>
        </is>
      </c>
      <c r="D1418" t="inlineStr">
        <is>
          <t>n° 7 + n° 8</t>
        </is>
      </c>
      <c r="E1418" t="inlineStr">
        <is>
          <t>Comté</t>
        </is>
      </c>
      <c r="F1418" t="n">
        <v>4</v>
      </c>
      <c r="G1418" t="inlineStr">
        <is>
          <t>n° 7 : 0,50 + n° 8 : 0,50</t>
        </is>
      </c>
      <c r="H1418" t="n">
        <v>1</v>
      </c>
    </row>
    <row r="1419">
      <c r="A1419" t="inlineStr">
        <is>
          <t>2022-2023</t>
        </is>
      </c>
      <c r="B1419" t="inlineStr">
        <is>
          <t>2023-02-23</t>
        </is>
      </c>
      <c r="C1419" t="inlineStr">
        <is>
          <t>19:30</t>
        </is>
      </c>
      <c r="D1419" t="inlineStr">
        <is>
          <t>n° 7 + n° 8</t>
        </is>
      </c>
      <c r="E1419" t="inlineStr">
        <is>
          <t>Galette nature</t>
        </is>
      </c>
      <c r="F1419" t="n">
        <v>3.9</v>
      </c>
      <c r="G1419" t="inlineStr">
        <is>
          <t>n° 7 : 0,50 + n° 8 : 0,50</t>
        </is>
      </c>
      <c r="H1419" t="n">
        <v>1</v>
      </c>
    </row>
    <row r="1420">
      <c r="A1420" t="inlineStr">
        <is>
          <t>2022-2023</t>
        </is>
      </c>
      <c r="B1420" t="inlineStr">
        <is>
          <t>2023-02-23</t>
        </is>
      </c>
      <c r="C1420" t="inlineStr">
        <is>
          <t>19:30</t>
        </is>
      </c>
      <c r="D1420" t="inlineStr">
        <is>
          <t>n° 7 + n° 8</t>
        </is>
      </c>
      <c r="E1420" t="inlineStr">
        <is>
          <t>Verre de vin</t>
        </is>
      </c>
      <c r="F1420" t="n">
        <v>3.6</v>
      </c>
      <c r="G1420" t="inlineStr">
        <is>
          <t>n° 7 : 0,50 + n° 8 : 0,50</t>
        </is>
      </c>
      <c r="H1420" t="n">
        <v>1</v>
      </c>
    </row>
    <row r="1421">
      <c r="A1421" t="inlineStr">
        <is>
          <t>2022-2023</t>
        </is>
      </c>
      <c r="B1421" t="inlineStr">
        <is>
          <t>2023-02-23</t>
        </is>
      </c>
      <c r="C1421" t="inlineStr">
        <is>
          <t>19:30</t>
        </is>
      </c>
      <c r="D1421" t="inlineStr">
        <is>
          <t>n° 7 + n° 8</t>
        </is>
      </c>
      <c r="E1421" t="inlineStr">
        <is>
          <t>Morbier</t>
        </is>
      </c>
      <c r="F1421" t="n">
        <v>3.5</v>
      </c>
      <c r="G1421" t="inlineStr">
        <is>
          <t>n° 7 : 0,50 + n° 8 : 0,50</t>
        </is>
      </c>
      <c r="H1421" t="n">
        <v>1</v>
      </c>
    </row>
    <row r="1422">
      <c r="A1422" t="inlineStr">
        <is>
          <t>2022-2023</t>
        </is>
      </c>
      <c r="B1422" t="inlineStr">
        <is>
          <t>2023-02-23</t>
        </is>
      </c>
      <c r="C1422" t="inlineStr">
        <is>
          <t>20:16</t>
        </is>
      </c>
      <c r="D1422" t="inlineStr">
        <is>
          <t>n° 14 + n° 15</t>
        </is>
      </c>
      <c r="E1422" t="inlineStr">
        <is>
          <t>BURGER COMTOIS</t>
        </is>
      </c>
      <c r="F1422" t="n">
        <v>19</v>
      </c>
      <c r="G1422" t="inlineStr">
        <is>
          <t>n° 14 : 0,50 + n° 15 : 0,50</t>
        </is>
      </c>
      <c r="H1422" t="n">
        <v>1</v>
      </c>
    </row>
    <row r="1423">
      <c r="A1423" t="inlineStr">
        <is>
          <t>2022-2023</t>
        </is>
      </c>
      <c r="B1423" t="inlineStr">
        <is>
          <t>2023-02-23</t>
        </is>
      </c>
      <c r="C1423" t="inlineStr">
        <is>
          <t>20:16</t>
        </is>
      </c>
      <c r="D1423" t="inlineStr">
        <is>
          <t>n° 14 + n° 15</t>
        </is>
      </c>
      <c r="E1423" t="inlineStr">
        <is>
          <t>POULET JURASSIENNE</t>
        </is>
      </c>
      <c r="F1423" t="n">
        <v>18.6</v>
      </c>
      <c r="G1423" t="inlineStr">
        <is>
          <t>n° 14 : 0,50 + n° 15 : 0,50</t>
        </is>
      </c>
      <c r="H1423" t="n">
        <v>1</v>
      </c>
    </row>
    <row r="1424">
      <c r="A1424" t="inlineStr">
        <is>
          <t>2022-2023</t>
        </is>
      </c>
      <c r="B1424" t="inlineStr">
        <is>
          <t>2023-02-24</t>
        </is>
      </c>
      <c r="C1424" t="inlineStr">
        <is>
          <t>20:05</t>
        </is>
      </c>
      <c r="D1424" t="inlineStr">
        <is>
          <t>n° 9 + n° 10</t>
        </is>
      </c>
      <c r="E1424" t="inlineStr">
        <is>
          <t>BURGER COMTOIS</t>
        </is>
      </c>
      <c r="F1424" t="n">
        <v>19</v>
      </c>
      <c r="G1424" t="inlineStr">
        <is>
          <t>n° 9 : 1,50 + n° 10 : 1,50</t>
        </is>
      </c>
      <c r="H1424" t="n">
        <v>3</v>
      </c>
    </row>
    <row r="1425">
      <c r="A1425" t="inlineStr">
        <is>
          <t>2022-2023</t>
        </is>
      </c>
      <c r="B1425" t="inlineStr">
        <is>
          <t>2023-02-24</t>
        </is>
      </c>
      <c r="C1425" t="inlineStr">
        <is>
          <t>20:05</t>
        </is>
      </c>
      <c r="D1425" t="inlineStr">
        <is>
          <t>n° 9 + n° 10</t>
        </is>
      </c>
      <c r="E1425" t="inlineStr">
        <is>
          <t>POULET JURASSIENNE</t>
        </is>
      </c>
      <c r="F1425" t="n">
        <v>18.6</v>
      </c>
      <c r="G1425" t="inlineStr">
        <is>
          <t>n° 9 : 0,50 + n° 10 : 0,50</t>
        </is>
      </c>
      <c r="H1425" t="n">
        <v>1</v>
      </c>
    </row>
    <row r="1426">
      <c r="A1426" t="inlineStr">
        <is>
          <t>2022-2023</t>
        </is>
      </c>
      <c r="B1426" t="inlineStr">
        <is>
          <t>2023-02-24</t>
        </is>
      </c>
      <c r="C1426" t="inlineStr">
        <is>
          <t>20:05</t>
        </is>
      </c>
      <c r="D1426" t="inlineStr">
        <is>
          <t>n° 9 + n° 10</t>
        </is>
      </c>
      <c r="E1426" t="inlineStr">
        <is>
          <t>Pichet 75cl vin</t>
        </is>
      </c>
      <c r="F1426" t="n">
        <v>13.4</v>
      </c>
      <c r="G1426" t="inlineStr">
        <is>
          <t>n° 9 : 0,50 + n° 10 : 0,50</t>
        </is>
      </c>
      <c r="H1426" t="n">
        <v>1</v>
      </c>
    </row>
    <row r="1427">
      <c r="A1427" t="inlineStr">
        <is>
          <t>2022-2023</t>
        </is>
      </c>
      <c r="B1427" t="inlineStr">
        <is>
          <t>2023-02-24</t>
        </is>
      </c>
      <c r="C1427" t="inlineStr">
        <is>
          <t>20:05</t>
        </is>
      </c>
      <c r="D1427" t="inlineStr">
        <is>
          <t>n° 9 + n° 10</t>
        </is>
      </c>
      <c r="E1427" t="inlineStr">
        <is>
          <t>DOUCEUR</t>
        </is>
      </c>
      <c r="F1427" t="n">
        <v>8.699999999999999</v>
      </c>
      <c r="G1427" t="inlineStr">
        <is>
          <t>n° 9 : 0,50 + n° 10 : 0,50</t>
        </is>
      </c>
      <c r="H1427" t="n">
        <v>1</v>
      </c>
    </row>
    <row r="1428">
      <c r="A1428" t="inlineStr">
        <is>
          <t>2022-2023</t>
        </is>
      </c>
      <c r="B1428" t="inlineStr">
        <is>
          <t>2023-02-24</t>
        </is>
      </c>
      <c r="C1428" t="inlineStr">
        <is>
          <t>20:05</t>
        </is>
      </c>
      <c r="D1428" t="inlineStr">
        <is>
          <t>n° 9 + n° 10</t>
        </is>
      </c>
      <c r="E1428" t="inlineStr">
        <is>
          <t>Whisky-Coca</t>
        </is>
      </c>
      <c r="F1428" t="n">
        <v>7.5</v>
      </c>
      <c r="G1428" t="inlineStr">
        <is>
          <t>n° 9 : 0,50 + n° 10 : 0,50</t>
        </is>
      </c>
      <c r="H1428" t="n">
        <v>1</v>
      </c>
    </row>
    <row r="1429">
      <c r="A1429" t="inlineStr">
        <is>
          <t>2022-2023</t>
        </is>
      </c>
      <c r="B1429" t="inlineStr">
        <is>
          <t>2023-02-24</t>
        </is>
      </c>
      <c r="C1429" t="inlineStr">
        <is>
          <t>20:05</t>
        </is>
      </c>
      <c r="D1429" t="inlineStr">
        <is>
          <t>n° 9 + n° 10</t>
        </is>
      </c>
      <c r="E1429" t="inlineStr">
        <is>
          <t>Get 27 (4cl)</t>
        </is>
      </c>
      <c r="F1429" t="n">
        <v>5.2</v>
      </c>
      <c r="G1429" t="inlineStr">
        <is>
          <t>n° 9 : 0,50 + n° 10 : 0,50</t>
        </is>
      </c>
      <c r="H1429" t="n">
        <v>1</v>
      </c>
    </row>
    <row r="1430">
      <c r="A1430" t="inlineStr">
        <is>
          <t>2022-2023</t>
        </is>
      </c>
      <c r="B1430" t="inlineStr">
        <is>
          <t>2023-02-24</t>
        </is>
      </c>
      <c r="C1430" t="inlineStr">
        <is>
          <t>20:05</t>
        </is>
      </c>
      <c r="D1430" t="inlineStr">
        <is>
          <t>n° 9 + n° 10</t>
        </is>
      </c>
      <c r="E1430" t="inlineStr">
        <is>
          <t>Père Gregoire</t>
        </is>
      </c>
      <c r="F1430" t="n">
        <v>4.9</v>
      </c>
      <c r="G1430" t="inlineStr">
        <is>
          <t>n° 9 : 1,50 + n° 10 : 1,50</t>
        </is>
      </c>
      <c r="H1430" t="n">
        <v>3</v>
      </c>
    </row>
    <row r="1431">
      <c r="A1431" t="inlineStr">
        <is>
          <t>2022-2023</t>
        </is>
      </c>
      <c r="B1431" t="inlineStr">
        <is>
          <t>2023-02-24</t>
        </is>
      </c>
      <c r="C1431" t="inlineStr">
        <is>
          <t>20:05</t>
        </is>
      </c>
      <c r="D1431" t="inlineStr">
        <is>
          <t>n° 9 + n° 10</t>
        </is>
      </c>
      <c r="E1431" t="inlineStr">
        <is>
          <t>Expresso</t>
        </is>
      </c>
      <c r="F1431" t="n">
        <v>2.2</v>
      </c>
      <c r="G1431" t="inlineStr">
        <is>
          <t>n° 9 : 0,50 + n° 10 : 0,50</t>
        </is>
      </c>
      <c r="H1431" t="n">
        <v>1</v>
      </c>
    </row>
    <row r="1432">
      <c r="A1432" t="inlineStr">
        <is>
          <t>2022-2023</t>
        </is>
      </c>
      <c r="B1432" t="inlineStr">
        <is>
          <t>2023-02-25</t>
        </is>
      </c>
      <c r="C1432" t="inlineStr">
        <is>
          <t>12:18</t>
        </is>
      </c>
      <c r="D1432" t="inlineStr">
        <is>
          <t>n° 4 + n° 6</t>
        </is>
      </c>
      <c r="E1432" t="inlineStr">
        <is>
          <t>PAYSANNE</t>
        </is>
      </c>
      <c r="F1432" t="n">
        <v>19.9</v>
      </c>
      <c r="G1432" t="inlineStr">
        <is>
          <t>n° 4 : 0,50 + n° 6 : 0,50</t>
        </is>
      </c>
      <c r="H1432" t="n">
        <v>1</v>
      </c>
    </row>
    <row r="1433">
      <c r="A1433" t="inlineStr">
        <is>
          <t>2022-2023</t>
        </is>
      </c>
      <c r="B1433" t="inlineStr">
        <is>
          <t>2023-02-25</t>
        </is>
      </c>
      <c r="C1433" t="inlineStr">
        <is>
          <t>12:18</t>
        </is>
      </c>
      <c r="D1433" t="inlineStr">
        <is>
          <t>n° 4 + n° 6</t>
        </is>
      </c>
      <c r="E1433" t="inlineStr">
        <is>
          <t>BURGER COMTOIS</t>
        </is>
      </c>
      <c r="F1433" t="n">
        <v>19</v>
      </c>
      <c r="G1433" t="inlineStr">
        <is>
          <t>n° 4 : 0,50 + n° 6 : 0,50</t>
        </is>
      </c>
      <c r="H1433" t="n">
        <v>1</v>
      </c>
    </row>
    <row r="1434">
      <c r="A1434" t="inlineStr">
        <is>
          <t>2022-2023</t>
        </is>
      </c>
      <c r="B1434" t="inlineStr">
        <is>
          <t>2023-02-25</t>
        </is>
      </c>
      <c r="C1434" t="inlineStr">
        <is>
          <t>12:18</t>
        </is>
      </c>
      <c r="D1434" t="inlineStr">
        <is>
          <t>n° 4 + n° 6</t>
        </is>
      </c>
      <c r="E1434" t="inlineStr">
        <is>
          <t>BALIDOU</t>
        </is>
      </c>
      <c r="F1434" t="n">
        <v>9</v>
      </c>
      <c r="G1434" t="inlineStr">
        <is>
          <t>n° 4 : 0,50 + n° 6 : 0,50</t>
        </is>
      </c>
      <c r="H1434" t="n">
        <v>1</v>
      </c>
    </row>
    <row r="1435">
      <c r="A1435" t="inlineStr">
        <is>
          <t>2022-2023</t>
        </is>
      </c>
      <c r="B1435" t="inlineStr">
        <is>
          <t>2023-02-25</t>
        </is>
      </c>
      <c r="C1435" t="inlineStr">
        <is>
          <t>12:18</t>
        </is>
      </c>
      <c r="D1435" t="inlineStr">
        <is>
          <t>n° 4 + n° 6</t>
        </is>
      </c>
      <c r="E1435" t="inlineStr">
        <is>
          <t>Assortiment charcute</t>
        </is>
      </c>
      <c r="F1435" t="n">
        <v>8.9</v>
      </c>
      <c r="G1435" t="inlineStr">
        <is>
          <t>n° 4 : 0,50 + n° 6 : 0,50</t>
        </is>
      </c>
      <c r="H1435" t="n">
        <v>1</v>
      </c>
    </row>
    <row r="1436">
      <c r="A1436" t="inlineStr">
        <is>
          <t>2022-2023</t>
        </is>
      </c>
      <c r="B1436" t="inlineStr">
        <is>
          <t>2023-02-25</t>
        </is>
      </c>
      <c r="C1436" t="inlineStr">
        <is>
          <t>12:18</t>
        </is>
      </c>
      <c r="D1436" t="inlineStr">
        <is>
          <t>n° 4 + n° 6</t>
        </is>
      </c>
      <c r="E1436" t="inlineStr">
        <is>
          <t>C du  Rhone St Josep</t>
        </is>
      </c>
      <c r="F1436" t="n">
        <v>7.2</v>
      </c>
      <c r="G1436" t="inlineStr">
        <is>
          <t>n° 4 : 0,50 + n° 6 : 0,50</t>
        </is>
      </c>
      <c r="H1436" t="n">
        <v>1</v>
      </c>
    </row>
    <row r="1437">
      <c r="A1437" t="inlineStr">
        <is>
          <t>2022-2023</t>
        </is>
      </c>
      <c r="B1437" t="inlineStr">
        <is>
          <t>2023-02-25</t>
        </is>
      </c>
      <c r="C1437" t="inlineStr">
        <is>
          <t>12:18</t>
        </is>
      </c>
      <c r="D1437" t="inlineStr">
        <is>
          <t>n° 4 + n° 6</t>
        </is>
      </c>
      <c r="E1437" t="inlineStr">
        <is>
          <t>Baba au Macvin</t>
        </is>
      </c>
      <c r="F1437" t="n">
        <v>6.9</v>
      </c>
      <c r="G1437" t="inlineStr">
        <is>
          <t>n° 4 : 0,50 + n° 6 : 0,50</t>
        </is>
      </c>
      <c r="H1437" t="n">
        <v>1</v>
      </c>
    </row>
    <row r="1438">
      <c r="A1438" t="inlineStr">
        <is>
          <t>2022-2023</t>
        </is>
      </c>
      <c r="B1438" t="inlineStr">
        <is>
          <t>2023-02-25</t>
        </is>
      </c>
      <c r="C1438" t="inlineStr">
        <is>
          <t>12:18</t>
        </is>
      </c>
      <c r="D1438" t="inlineStr">
        <is>
          <t>n° 4 + n° 6</t>
        </is>
      </c>
      <c r="E1438" t="inlineStr">
        <is>
          <t>GLACE 3 BOULES</t>
        </is>
      </c>
      <c r="F1438" t="n">
        <v>5.8</v>
      </c>
      <c r="G1438" t="inlineStr">
        <is>
          <t>n° 4 : 0,50 + n° 6 : 0,50</t>
        </is>
      </c>
      <c r="H1438" t="n">
        <v>1</v>
      </c>
    </row>
    <row r="1439">
      <c r="A1439" t="inlineStr">
        <is>
          <t>2022-2023</t>
        </is>
      </c>
      <c r="B1439" t="inlineStr">
        <is>
          <t>2023-02-25</t>
        </is>
      </c>
      <c r="C1439" t="inlineStr">
        <is>
          <t>12:18</t>
        </is>
      </c>
      <c r="D1439" t="inlineStr">
        <is>
          <t>n° 4 + n° 6</t>
        </is>
      </c>
      <c r="E1439" t="inlineStr">
        <is>
          <t>Macvin du Jura</t>
        </is>
      </c>
      <c r="F1439" t="n">
        <v>4.9</v>
      </c>
      <c r="G1439" t="inlineStr">
        <is>
          <t>n° 4 : 0,50 + n° 6 : 0,50</t>
        </is>
      </c>
      <c r="H1439" t="n">
        <v>1</v>
      </c>
    </row>
    <row r="1440">
      <c r="A1440" t="inlineStr">
        <is>
          <t>2022-2023</t>
        </is>
      </c>
      <c r="B1440" t="inlineStr">
        <is>
          <t>2023-02-25</t>
        </is>
      </c>
      <c r="C1440" t="inlineStr">
        <is>
          <t>12:18</t>
        </is>
      </c>
      <c r="D1440" t="inlineStr">
        <is>
          <t>n° 4 + n° 6</t>
        </is>
      </c>
      <c r="E1440" t="inlineStr">
        <is>
          <t>Crepe Chocolat</t>
        </is>
      </c>
      <c r="F1440" t="n">
        <v>4.7</v>
      </c>
      <c r="G1440" t="inlineStr">
        <is>
          <t>n° 4 : 0,50 + n° 6 : 0,50</t>
        </is>
      </c>
      <c r="H1440" t="n">
        <v>1</v>
      </c>
    </row>
    <row r="1441">
      <c r="A1441" t="inlineStr">
        <is>
          <t>2022-2023</t>
        </is>
      </c>
      <c r="B1441" t="inlineStr">
        <is>
          <t>2023-02-25</t>
        </is>
      </c>
      <c r="C1441" t="inlineStr">
        <is>
          <t>12:18</t>
        </is>
      </c>
      <c r="D1441" t="inlineStr">
        <is>
          <t>n° 4 + n° 6</t>
        </is>
      </c>
      <c r="E1441" t="inlineStr">
        <is>
          <t>Expresso</t>
        </is>
      </c>
      <c r="F1441" t="n">
        <v>2.2</v>
      </c>
      <c r="G1441" t="inlineStr">
        <is>
          <t>n° 4 : 0,50 + n° 6 : 0,50</t>
        </is>
      </c>
      <c r="H1441" t="n">
        <v>1</v>
      </c>
    </row>
    <row r="1442">
      <c r="A1442" t="inlineStr">
        <is>
          <t>2022-2023</t>
        </is>
      </c>
      <c r="B1442" t="inlineStr">
        <is>
          <t>2023-02-25</t>
        </is>
      </c>
      <c r="C1442" t="inlineStr">
        <is>
          <t>12:18</t>
        </is>
      </c>
      <c r="D1442" t="inlineStr">
        <is>
          <t>n° 4 + n° 6</t>
        </is>
      </c>
      <c r="E1442" t="inlineStr">
        <is>
          <t>SAUCE CHOCO/CAFE/CAR</t>
        </is>
      </c>
      <c r="F1442" t="n">
        <v>1.8</v>
      </c>
      <c r="G1442" t="inlineStr">
        <is>
          <t>n° 4 : 0,50 + n° 6 : 0,50</t>
        </is>
      </c>
      <c r="H1442" t="n">
        <v>1</v>
      </c>
    </row>
    <row r="1443">
      <c r="A1443" t="inlineStr">
        <is>
          <t>2022-2023</t>
        </is>
      </c>
      <c r="B1443" t="inlineStr">
        <is>
          <t>2023-02-25</t>
        </is>
      </c>
      <c r="C1443" t="inlineStr">
        <is>
          <t>19:41</t>
        </is>
      </c>
      <c r="D1443" t="inlineStr">
        <is>
          <t>n° 11 + n° 12</t>
        </is>
      </c>
      <c r="E1443" t="inlineStr">
        <is>
          <t>C du Rhone St  Josep</t>
        </is>
      </c>
      <c r="F1443" t="n">
        <v>36</v>
      </c>
      <c r="G1443" t="inlineStr">
        <is>
          <t>n° 11 : 0,50 + n° 12 : 0,50</t>
        </is>
      </c>
      <c r="H1443" t="n">
        <v>1</v>
      </c>
    </row>
    <row r="1444">
      <c r="A1444" t="inlineStr">
        <is>
          <t>2022-2023</t>
        </is>
      </c>
      <c r="B1444" t="inlineStr">
        <is>
          <t>2023-02-25</t>
        </is>
      </c>
      <c r="C1444" t="inlineStr">
        <is>
          <t>19:41</t>
        </is>
      </c>
      <c r="D1444" t="inlineStr">
        <is>
          <t>n° 11 + n° 12</t>
        </is>
      </c>
      <c r="E1444" t="inlineStr">
        <is>
          <t>CAMEMBERT ROTI</t>
        </is>
      </c>
      <c r="F1444" t="n">
        <v>18.6</v>
      </c>
      <c r="G1444" t="inlineStr">
        <is>
          <t>n° 11 : 0,50 + n° 12 : 0,50</t>
        </is>
      </c>
      <c r="H1444" t="n">
        <v>1</v>
      </c>
    </row>
    <row r="1445">
      <c r="A1445" t="inlineStr">
        <is>
          <t>2022-2023</t>
        </is>
      </c>
      <c r="B1445" t="inlineStr">
        <is>
          <t>2023-02-25</t>
        </is>
      </c>
      <c r="C1445" t="inlineStr">
        <is>
          <t>19:41</t>
        </is>
      </c>
      <c r="D1445" t="inlineStr">
        <is>
          <t>n° 11 + n° 12</t>
        </is>
      </c>
      <c r="E1445" t="inlineStr">
        <is>
          <t>CABRICHOU</t>
        </is>
      </c>
      <c r="F1445" t="n">
        <v>16.9</v>
      </c>
      <c r="G1445" t="inlineStr">
        <is>
          <t>n° 11 : 0,50 + n° 12 : 0,50</t>
        </is>
      </c>
      <c r="H1445" t="n">
        <v>1</v>
      </c>
    </row>
    <row r="1446">
      <c r="A1446" t="inlineStr">
        <is>
          <t>2022-2023</t>
        </is>
      </c>
      <c r="B1446" t="inlineStr">
        <is>
          <t>2023-02-25</t>
        </is>
      </c>
      <c r="C1446" t="inlineStr">
        <is>
          <t>19:41</t>
        </is>
      </c>
      <c r="D1446" t="inlineStr">
        <is>
          <t>n° 11 + n° 12</t>
        </is>
      </c>
      <c r="E1446" t="inlineStr">
        <is>
          <t>Pommes grenailles</t>
        </is>
      </c>
      <c r="F1446" t="n">
        <v>3.9</v>
      </c>
      <c r="G1446" t="inlineStr">
        <is>
          <t>n° 11 : 0,50 + n° 12 : 0,50</t>
        </is>
      </c>
      <c r="H1446" t="n">
        <v>1</v>
      </c>
    </row>
    <row r="1447">
      <c r="A1447" t="inlineStr">
        <is>
          <t>2022-2023</t>
        </is>
      </c>
      <c r="B1447" t="inlineStr">
        <is>
          <t>2023-02-25</t>
        </is>
      </c>
      <c r="C1447" t="inlineStr">
        <is>
          <t>19:41</t>
        </is>
      </c>
      <c r="D1447" t="inlineStr">
        <is>
          <t>n° 11 + n° 12</t>
        </is>
      </c>
      <c r="E1447" t="inlineStr">
        <is>
          <t>POMMES FRITES</t>
        </is>
      </c>
      <c r="F1447" t="n">
        <v>3.9</v>
      </c>
      <c r="G1447" t="inlineStr">
        <is>
          <t>n° 11 : 0,50 + n° 12 : 0,50</t>
        </is>
      </c>
      <c r="H1447" t="n">
        <v>1</v>
      </c>
    </row>
    <row r="1448">
      <c r="A1448" t="inlineStr">
        <is>
          <t>2022-2023</t>
        </is>
      </c>
      <c r="B1448" t="inlineStr">
        <is>
          <t>2023-02-25</t>
        </is>
      </c>
      <c r="C1448" t="inlineStr">
        <is>
          <t>19:41</t>
        </is>
      </c>
      <c r="D1448" t="inlineStr">
        <is>
          <t>n° 11 + n° 12</t>
        </is>
      </c>
      <c r="E1448" t="inlineStr">
        <is>
          <t>Double Expresso</t>
        </is>
      </c>
      <c r="F1448" t="n">
        <v>3.8</v>
      </c>
      <c r="G1448" t="inlineStr">
        <is>
          <t>n° 11 : 0,50 + n° 12 : 0,50</t>
        </is>
      </c>
      <c r="H1448" t="n">
        <v>1</v>
      </c>
    </row>
    <row r="1449">
      <c r="A1449" t="inlineStr">
        <is>
          <t>2022-2023</t>
        </is>
      </c>
      <c r="B1449" t="inlineStr">
        <is>
          <t>2023-03-01</t>
        </is>
      </c>
      <c r="C1449" t="inlineStr">
        <is>
          <t>12:05</t>
        </is>
      </c>
      <c r="D1449" t="inlineStr">
        <is>
          <t>n° 3 + n° 4</t>
        </is>
      </c>
      <c r="E1449" t="inlineStr">
        <is>
          <t>Salade Végétarienne</t>
        </is>
      </c>
      <c r="F1449" t="n">
        <v>19.9</v>
      </c>
      <c r="G1449" t="inlineStr">
        <is>
          <t>n° 3 : 0,50 + n° 4 : 0,50</t>
        </is>
      </c>
      <c r="H1449" t="n">
        <v>1</v>
      </c>
    </row>
    <row r="1450">
      <c r="A1450" t="inlineStr">
        <is>
          <t>2022-2023</t>
        </is>
      </c>
      <c r="B1450" t="inlineStr">
        <is>
          <t>2023-03-01</t>
        </is>
      </c>
      <c r="C1450" t="inlineStr">
        <is>
          <t>12:05</t>
        </is>
      </c>
      <c r="D1450" t="inlineStr">
        <is>
          <t>n° 3 + n° 4</t>
        </is>
      </c>
      <c r="E1450" t="inlineStr">
        <is>
          <t>ASSIETTE FRANC-COMTO</t>
        </is>
      </c>
      <c r="F1450" t="n">
        <v>18.6</v>
      </c>
      <c r="G1450" t="inlineStr">
        <is>
          <t>n° 3 : 0,50 + n° 4 : 0,50</t>
        </is>
      </c>
      <c r="H1450" t="n">
        <v>1</v>
      </c>
    </row>
    <row r="1451">
      <c r="A1451" t="inlineStr">
        <is>
          <t>2022-2023</t>
        </is>
      </c>
      <c r="B1451" t="inlineStr">
        <is>
          <t>2023-03-01</t>
        </is>
      </c>
      <c r="C1451" t="inlineStr">
        <is>
          <t>12:05</t>
        </is>
      </c>
      <c r="D1451" t="inlineStr">
        <is>
          <t>n° 3 + n° 4</t>
        </is>
      </c>
      <c r="E1451" t="inlineStr">
        <is>
          <t>Menu 'Galette'</t>
        </is>
      </c>
      <c r="F1451" t="n">
        <v>17</v>
      </c>
      <c r="G1451" t="inlineStr">
        <is>
          <t>n° 3 : 0,50 + n° 4 : 0,50</t>
        </is>
      </c>
      <c r="H1451" t="n">
        <v>1</v>
      </c>
    </row>
    <row r="1452">
      <c r="A1452" t="inlineStr">
        <is>
          <t>2022-2023</t>
        </is>
      </c>
      <c r="B1452" t="inlineStr">
        <is>
          <t>2023-03-01</t>
        </is>
      </c>
      <c r="C1452" t="inlineStr">
        <is>
          <t>12:05</t>
        </is>
      </c>
      <c r="D1452" t="inlineStr">
        <is>
          <t>n° 3 + n° 4</t>
        </is>
      </c>
      <c r="E1452" t="inlineStr">
        <is>
          <t>San Pelegrino 50cl</t>
        </is>
      </c>
      <c r="F1452" t="n">
        <v>4</v>
      </c>
      <c r="G1452" t="inlineStr">
        <is>
          <t>n° 3 : 0,50 + n° 4 : 0,50</t>
        </is>
      </c>
      <c r="H1452" t="n">
        <v>1</v>
      </c>
    </row>
    <row r="1453">
      <c r="A1453" t="inlineStr">
        <is>
          <t>2022-2023</t>
        </is>
      </c>
      <c r="B1453" t="inlineStr">
        <is>
          <t>2023-03-01</t>
        </is>
      </c>
      <c r="C1453" t="inlineStr">
        <is>
          <t>12:05</t>
        </is>
      </c>
      <c r="D1453" t="inlineStr">
        <is>
          <t>n° 3 + n° 4</t>
        </is>
      </c>
      <c r="E1453" t="inlineStr">
        <is>
          <t>Crêpe Cassonade</t>
        </is>
      </c>
      <c r="F1453" t="n">
        <v>2.9</v>
      </c>
      <c r="G1453" t="inlineStr">
        <is>
          <t>n° 3 : 0,50 + n° 4 : 0,50</t>
        </is>
      </c>
      <c r="H1453" t="n">
        <v>1</v>
      </c>
    </row>
    <row r="1454">
      <c r="A1454" t="inlineStr">
        <is>
          <t>2022-2023</t>
        </is>
      </c>
      <c r="B1454" t="inlineStr">
        <is>
          <t>2023-03-04</t>
        </is>
      </c>
      <c r="C1454" t="inlineStr">
        <is>
          <t>11:55</t>
        </is>
      </c>
      <c r="D1454" t="inlineStr">
        <is>
          <t>n° 3 + n° 4</t>
        </is>
      </c>
      <c r="E1454" t="inlineStr">
        <is>
          <t>CAMEMBERT ROTI</t>
        </is>
      </c>
      <c r="F1454" t="n">
        <v>18.6</v>
      </c>
      <c r="G1454" t="inlineStr">
        <is>
          <t>n° 3 : 0,50 + n° 4 : 0,50</t>
        </is>
      </c>
      <c r="H1454" t="n">
        <v>1</v>
      </c>
    </row>
    <row r="1455">
      <c r="A1455" t="inlineStr">
        <is>
          <t>2022-2023</t>
        </is>
      </c>
      <c r="B1455" t="inlineStr">
        <is>
          <t>2023-03-04</t>
        </is>
      </c>
      <c r="C1455" t="inlineStr">
        <is>
          <t>11:55</t>
        </is>
      </c>
      <c r="D1455" t="inlineStr">
        <is>
          <t>n° 3 + n° 4</t>
        </is>
      </c>
      <c r="E1455" t="inlineStr">
        <is>
          <t>ASSIETTE PERE GREGOI</t>
        </is>
      </c>
      <c r="F1455" t="n">
        <v>18.6</v>
      </c>
      <c r="G1455" t="inlineStr">
        <is>
          <t>n° 3 : 0,50 + n° 4 : 0,50</t>
        </is>
      </c>
      <c r="H1455" t="n">
        <v>1</v>
      </c>
    </row>
    <row r="1456">
      <c r="A1456" t="inlineStr">
        <is>
          <t>2022-2023</t>
        </is>
      </c>
      <c r="B1456" t="inlineStr">
        <is>
          <t>2023-03-04</t>
        </is>
      </c>
      <c r="C1456" t="inlineStr">
        <is>
          <t>11:55</t>
        </is>
      </c>
      <c r="D1456" t="inlineStr">
        <is>
          <t>n° 3 + n° 4</t>
        </is>
      </c>
      <c r="E1456" t="inlineStr">
        <is>
          <t>Pichet 50cl vin</t>
        </is>
      </c>
      <c r="F1456" t="n">
        <v>9.800000000000001</v>
      </c>
      <c r="G1456" t="inlineStr">
        <is>
          <t>n° 3 : 0,50 + n° 4 : 0,50</t>
        </is>
      </c>
      <c r="H1456" t="n">
        <v>1</v>
      </c>
    </row>
    <row r="1457">
      <c r="A1457" t="inlineStr">
        <is>
          <t>2022-2023</t>
        </is>
      </c>
      <c r="B1457" t="inlineStr">
        <is>
          <t>2023-03-04</t>
        </is>
      </c>
      <c r="C1457" t="inlineStr">
        <is>
          <t>11:55</t>
        </is>
      </c>
      <c r="D1457" t="inlineStr">
        <is>
          <t>n° 3 + n° 4</t>
        </is>
      </c>
      <c r="E1457" t="inlineStr">
        <is>
          <t>CUPIDON</t>
        </is>
      </c>
      <c r="F1457" t="n">
        <v>7.5</v>
      </c>
      <c r="G1457" t="inlineStr">
        <is>
          <t>n° 3 : 0,50 + n° 4 : 0,50</t>
        </is>
      </c>
      <c r="H1457" t="n">
        <v>1</v>
      </c>
    </row>
    <row r="1458">
      <c r="A1458" t="inlineStr">
        <is>
          <t>2022-2023</t>
        </is>
      </c>
      <c r="B1458" t="inlineStr">
        <is>
          <t>2023-03-04</t>
        </is>
      </c>
      <c r="C1458" t="inlineStr">
        <is>
          <t>11:55</t>
        </is>
      </c>
      <c r="D1458" t="inlineStr">
        <is>
          <t>n° 3 + n° 4</t>
        </is>
      </c>
      <c r="E1458" t="inlineStr">
        <is>
          <t>Crêpe Salidou</t>
        </is>
      </c>
      <c r="F1458" t="n">
        <v>5.6</v>
      </c>
      <c r="G1458" t="inlineStr">
        <is>
          <t>n° 3 : 0,50 + n° 4 : 0,50</t>
        </is>
      </c>
      <c r="H1458" t="n">
        <v>1</v>
      </c>
    </row>
    <row r="1459">
      <c r="A1459" t="inlineStr">
        <is>
          <t>2022-2023</t>
        </is>
      </c>
      <c r="B1459" t="inlineStr">
        <is>
          <t>2023-03-04</t>
        </is>
      </c>
      <c r="C1459" t="inlineStr">
        <is>
          <t>11:55</t>
        </is>
      </c>
      <c r="D1459" t="inlineStr">
        <is>
          <t>n° 3 + n° 4</t>
        </is>
      </c>
      <c r="E1459" t="inlineStr">
        <is>
          <t>Crepe Chocolat</t>
        </is>
      </c>
      <c r="F1459" t="n">
        <v>4.7</v>
      </c>
      <c r="G1459" t="inlineStr">
        <is>
          <t>n° 3 : 0,50 + n° 4 : 0,50</t>
        </is>
      </c>
      <c r="H1459" t="n">
        <v>1</v>
      </c>
    </row>
    <row r="1460">
      <c r="A1460" t="inlineStr">
        <is>
          <t>2022-2023</t>
        </is>
      </c>
      <c r="B1460" t="inlineStr">
        <is>
          <t>2023-03-04</t>
        </is>
      </c>
      <c r="C1460" t="inlineStr">
        <is>
          <t>11:55</t>
        </is>
      </c>
      <c r="D1460" t="inlineStr">
        <is>
          <t>n° 3 + n° 4</t>
        </is>
      </c>
      <c r="E1460" t="inlineStr">
        <is>
          <t>Crêpe Cassonade</t>
        </is>
      </c>
      <c r="F1460" t="n">
        <v>2.9</v>
      </c>
      <c r="G1460" t="inlineStr">
        <is>
          <t>n° 3 : 0,50 + n° 4 : 0,50</t>
        </is>
      </c>
      <c r="H1460" t="n">
        <v>1</v>
      </c>
    </row>
    <row r="1461">
      <c r="A1461" t="inlineStr">
        <is>
          <t>2022-2023</t>
        </is>
      </c>
      <c r="B1461" t="inlineStr">
        <is>
          <t>2023-03-04</t>
        </is>
      </c>
      <c r="C1461" t="inlineStr">
        <is>
          <t>13:05</t>
        </is>
      </c>
      <c r="D1461" t="inlineStr">
        <is>
          <t>n° 14 + n° 15</t>
        </is>
      </c>
      <c r="E1461" t="inlineStr">
        <is>
          <t>MACHON GOURMET</t>
        </is>
      </c>
      <c r="F1461" t="n">
        <v>25</v>
      </c>
      <c r="G1461" t="inlineStr">
        <is>
          <t>n° 14 : 0,50 + n° 15 : 0,50</t>
        </is>
      </c>
      <c r="H1461" t="n">
        <v>1</v>
      </c>
    </row>
    <row r="1462">
      <c r="A1462" t="inlineStr">
        <is>
          <t>2022-2023</t>
        </is>
      </c>
      <c r="B1462" t="inlineStr">
        <is>
          <t>2023-03-04</t>
        </is>
      </c>
      <c r="C1462" t="inlineStr">
        <is>
          <t>13:05</t>
        </is>
      </c>
      <c r="D1462" t="inlineStr">
        <is>
          <t>n° 14 + n° 15</t>
        </is>
      </c>
      <c r="E1462" t="inlineStr">
        <is>
          <t>TRUITE JURASSIENNE</t>
        </is>
      </c>
      <c r="F1462" t="n">
        <v>18.6</v>
      </c>
      <c r="G1462" t="inlineStr">
        <is>
          <t>n° 14 : 0,50 + n° 15 : 0,50</t>
        </is>
      </c>
      <c r="H1462" t="n">
        <v>1</v>
      </c>
    </row>
    <row r="1463">
      <c r="A1463" t="inlineStr">
        <is>
          <t>2022-2023</t>
        </is>
      </c>
      <c r="B1463" t="inlineStr">
        <is>
          <t>2023-03-04</t>
        </is>
      </c>
      <c r="C1463" t="inlineStr">
        <is>
          <t>13:05</t>
        </is>
      </c>
      <c r="D1463" t="inlineStr">
        <is>
          <t>n° 14 + n° 15</t>
        </is>
      </c>
      <c r="E1463" t="inlineStr">
        <is>
          <t>Ré</t>
        </is>
      </c>
      <c r="F1463" t="n">
        <v>7</v>
      </c>
      <c r="G1463" t="inlineStr">
        <is>
          <t>n° 14 : 0,50 + n° 15 : 0,50</t>
        </is>
      </c>
      <c r="H1463" t="n">
        <v>1</v>
      </c>
    </row>
    <row r="1464">
      <c r="A1464" t="inlineStr">
        <is>
          <t>2022-2023</t>
        </is>
      </c>
      <c r="B1464" t="inlineStr">
        <is>
          <t>2023-03-04</t>
        </is>
      </c>
      <c r="C1464" t="inlineStr">
        <is>
          <t>13:05</t>
        </is>
      </c>
      <c r="D1464" t="inlineStr">
        <is>
          <t>n° 14 + n° 15</t>
        </is>
      </c>
      <c r="E1464" t="inlineStr">
        <is>
          <t>GLACE 2 BOULES</t>
        </is>
      </c>
      <c r="F1464" t="n">
        <v>3.9</v>
      </c>
      <c r="G1464" t="inlineStr">
        <is>
          <t>n° 14 : 0,50 + n° 15 : 0,50</t>
        </is>
      </c>
      <c r="H1464" t="n">
        <v>1</v>
      </c>
    </row>
    <row r="1465">
      <c r="A1465" t="inlineStr">
        <is>
          <t>2022-2023</t>
        </is>
      </c>
      <c r="B1465" t="inlineStr">
        <is>
          <t>2023-03-04</t>
        </is>
      </c>
      <c r="C1465" t="inlineStr">
        <is>
          <t>13:05</t>
        </is>
      </c>
      <c r="D1465" t="inlineStr">
        <is>
          <t>n° 14 + n° 15</t>
        </is>
      </c>
      <c r="E1465" t="inlineStr">
        <is>
          <t>SAUCE CHOCO/CAFE/CAR</t>
        </is>
      </c>
      <c r="F1465" t="n">
        <v>1.8</v>
      </c>
      <c r="G1465" t="inlineStr">
        <is>
          <t>n° 14 : 0,50 + n° 15 : 0,50</t>
        </is>
      </c>
      <c r="H1465" t="n">
        <v>1</v>
      </c>
    </row>
    <row r="1466">
      <c r="A1466" t="inlineStr">
        <is>
          <t>2022-2023</t>
        </is>
      </c>
      <c r="B1466" t="inlineStr">
        <is>
          <t>2023-03-04</t>
        </is>
      </c>
      <c r="C1466" t="inlineStr">
        <is>
          <t>20:08</t>
        </is>
      </c>
      <c r="D1466" t="inlineStr">
        <is>
          <t>n° 25 + n° 26 + n° 27 + n° 28</t>
        </is>
      </c>
      <c r="E1466" t="inlineStr">
        <is>
          <t>MACHON GOURMET</t>
        </is>
      </c>
      <c r="F1466" t="n">
        <v>25</v>
      </c>
      <c r="G1466" t="inlineStr">
        <is>
          <t>n° 25 : 0,80 + n° 26 : 0,40 + n° 27 : 0,40 + n° 28 : 0,40</t>
        </is>
      </c>
      <c r="H1466" t="n">
        <v>2</v>
      </c>
    </row>
    <row r="1467">
      <c r="A1467" t="inlineStr">
        <is>
          <t>2022-2023</t>
        </is>
      </c>
      <c r="B1467" t="inlineStr">
        <is>
          <t>2023-03-04</t>
        </is>
      </c>
      <c r="C1467" t="inlineStr">
        <is>
          <t>20:08</t>
        </is>
      </c>
      <c r="D1467" t="inlineStr">
        <is>
          <t>n° 25 + n° 26 + n° 27 + n° 28</t>
        </is>
      </c>
      <c r="E1467" t="inlineStr">
        <is>
          <t>POULET JURASSIENNE</t>
        </is>
      </c>
      <c r="F1467" t="n">
        <v>18.6</v>
      </c>
      <c r="G1467" t="inlineStr">
        <is>
          <t>n° 25 : 0,40 + n° 26 : 0,20 + n° 27 : 0,20 + n° 28 : 0,20</t>
        </is>
      </c>
      <c r="H1467" t="n">
        <v>1</v>
      </c>
    </row>
    <row r="1468">
      <c r="A1468" t="inlineStr">
        <is>
          <t>2022-2023</t>
        </is>
      </c>
      <c r="B1468" t="inlineStr">
        <is>
          <t>2023-03-04</t>
        </is>
      </c>
      <c r="C1468" t="inlineStr">
        <is>
          <t>20:08</t>
        </is>
      </c>
      <c r="D1468" t="inlineStr">
        <is>
          <t>n° 25 + n° 26 + n° 27 + n° 28</t>
        </is>
      </c>
      <c r="E1468" t="inlineStr">
        <is>
          <t>Fondue Jurassienne</t>
        </is>
      </c>
      <c r="F1468" t="n">
        <v>16.9</v>
      </c>
      <c r="G1468" t="inlineStr">
        <is>
          <t>n° 25 : 0,80 + n° 26 : 0,40 + n° 27 : 0,40 + n° 28 : 0,40</t>
        </is>
      </c>
      <c r="H1468" t="n">
        <v>2</v>
      </c>
    </row>
    <row r="1469">
      <c r="A1469" t="inlineStr">
        <is>
          <t>2022-2023</t>
        </is>
      </c>
      <c r="B1469" t="inlineStr">
        <is>
          <t>2023-03-04</t>
        </is>
      </c>
      <c r="C1469" t="inlineStr">
        <is>
          <t>20:08</t>
        </is>
      </c>
      <c r="D1469" t="inlineStr">
        <is>
          <t>n° 25 + n° 26 + n° 27 + n° 28</t>
        </is>
      </c>
      <c r="E1469" t="inlineStr">
        <is>
          <t>Pichet 50cl vin</t>
        </is>
      </c>
      <c r="F1469" t="n">
        <v>9.800000000000001</v>
      </c>
      <c r="G1469" t="inlineStr">
        <is>
          <t>n° 25 : 0,40 + n° 26 : 0,20 + n° 27 : 0,20 + n° 28 : 0,20</t>
        </is>
      </c>
      <c r="H1469" t="n">
        <v>1</v>
      </c>
    </row>
    <row r="1470">
      <c r="A1470" t="inlineStr">
        <is>
          <t>2022-2023</t>
        </is>
      </c>
      <c r="B1470" t="inlineStr">
        <is>
          <t>2023-03-04</t>
        </is>
      </c>
      <c r="C1470" t="inlineStr">
        <is>
          <t>20:08</t>
        </is>
      </c>
      <c r="D1470" t="inlineStr">
        <is>
          <t>n° 25 + n° 26 + n° 27 + n° 28</t>
        </is>
      </c>
      <c r="E1470" t="inlineStr">
        <is>
          <t>Assortiment charcute</t>
        </is>
      </c>
      <c r="F1470" t="n">
        <v>8.9</v>
      </c>
      <c r="G1470" t="inlineStr">
        <is>
          <t>n° 25 : 0,40 + n° 26 : 0,20 + n° 27 : 0,20 + n° 28 : 0,20</t>
        </is>
      </c>
      <c r="H1470" t="n">
        <v>1</v>
      </c>
    </row>
    <row r="1471">
      <c r="A1471" t="inlineStr">
        <is>
          <t>2022-2023</t>
        </is>
      </c>
      <c r="B1471" t="inlineStr">
        <is>
          <t>2023-03-04</t>
        </is>
      </c>
      <c r="C1471" t="inlineStr">
        <is>
          <t>20:08</t>
        </is>
      </c>
      <c r="D1471" t="inlineStr">
        <is>
          <t>n° 25 + n° 26 + n° 27 + n° 28</t>
        </is>
      </c>
      <c r="E1471" t="inlineStr">
        <is>
          <t>La</t>
        </is>
      </c>
      <c r="F1471" t="n">
        <v>8.5</v>
      </c>
      <c r="G1471" t="inlineStr">
        <is>
          <t>n° 25 : 0,40 + n° 26 : 0,20 + n° 27 : 0,20 + n° 28 : 0,20</t>
        </is>
      </c>
      <c r="H1471" t="n">
        <v>1</v>
      </c>
    </row>
    <row r="1472">
      <c r="A1472" t="inlineStr">
        <is>
          <t>2022-2023</t>
        </is>
      </c>
      <c r="B1472" t="inlineStr">
        <is>
          <t>2023-03-04</t>
        </is>
      </c>
      <c r="C1472" t="inlineStr">
        <is>
          <t>20:08</t>
        </is>
      </c>
      <c r="D1472" t="inlineStr">
        <is>
          <t>n° 25 + n° 26 + n° 27 + n° 28</t>
        </is>
      </c>
      <c r="E1472" t="inlineStr">
        <is>
          <t>Pinte</t>
        </is>
      </c>
      <c r="F1472" t="n">
        <v>7.8</v>
      </c>
      <c r="G1472" t="inlineStr">
        <is>
          <t>n° 25 : 0,40 + n° 26 : 0,20 + n° 27 : 0,20 + n° 28 : 0,20</t>
        </is>
      </c>
      <c r="H1472" t="n">
        <v>1</v>
      </c>
    </row>
    <row r="1473">
      <c r="A1473" t="inlineStr">
        <is>
          <t>2022-2023</t>
        </is>
      </c>
      <c r="B1473" t="inlineStr">
        <is>
          <t>2023-03-04</t>
        </is>
      </c>
      <c r="C1473" t="inlineStr">
        <is>
          <t>20:08</t>
        </is>
      </c>
      <c r="D1473" t="inlineStr">
        <is>
          <t>n° 25 + n° 26 + n° 27 + n° 28</t>
        </is>
      </c>
      <c r="E1473" t="inlineStr">
        <is>
          <t>Gewurztraminer Le ve</t>
        </is>
      </c>
      <c r="F1473" t="n">
        <v>7</v>
      </c>
      <c r="G1473" t="inlineStr">
        <is>
          <t>n° 25 : 0,80 + n° 26 : 0,40 + n° 27 : 0,40 + n° 28 : 0,40</t>
        </is>
      </c>
      <c r="H1473" t="n">
        <v>2</v>
      </c>
    </row>
    <row r="1474">
      <c r="A1474" t="inlineStr">
        <is>
          <t>2022-2023</t>
        </is>
      </c>
      <c r="B1474" t="inlineStr">
        <is>
          <t>2023-03-04</t>
        </is>
      </c>
      <c r="C1474" t="inlineStr">
        <is>
          <t>20:08</t>
        </is>
      </c>
      <c r="D1474" t="inlineStr">
        <is>
          <t>n° 25 + n° 26 + n° 27 + n° 28</t>
        </is>
      </c>
      <c r="E1474" t="inlineStr">
        <is>
          <t>Ré</t>
        </is>
      </c>
      <c r="F1474" t="n">
        <v>7</v>
      </c>
      <c r="G1474" t="inlineStr">
        <is>
          <t>n° 25 : 0,40 + n° 26 : 0,20 + n° 27 : 0,20 + n° 28 : 0,20</t>
        </is>
      </c>
      <c r="H1474" t="n">
        <v>1</v>
      </c>
    </row>
    <row r="1475">
      <c r="A1475" t="inlineStr">
        <is>
          <t>2022-2023</t>
        </is>
      </c>
      <c r="B1475" t="inlineStr">
        <is>
          <t>2023-03-04</t>
        </is>
      </c>
      <c r="C1475" t="inlineStr">
        <is>
          <t>20:08</t>
        </is>
      </c>
      <c r="D1475" t="inlineStr">
        <is>
          <t>n° 25 + n° 26 + n° 27 + n° 28</t>
        </is>
      </c>
      <c r="E1475" t="inlineStr">
        <is>
          <t>Whisky L.J (4cl)</t>
        </is>
      </c>
      <c r="F1475" t="n">
        <v>5.8</v>
      </c>
      <c r="G1475" t="inlineStr">
        <is>
          <t>n° 25 : 0,40 + n° 26 : 0,20 + n° 27 : 0,20 + n° 28 : 0,20</t>
        </is>
      </c>
      <c r="H1475" t="n">
        <v>1</v>
      </c>
    </row>
    <row r="1476">
      <c r="A1476" t="inlineStr">
        <is>
          <t>2022-2023</t>
        </is>
      </c>
      <c r="B1476" t="inlineStr">
        <is>
          <t>2023-03-04</t>
        </is>
      </c>
      <c r="C1476" t="inlineStr">
        <is>
          <t>20:08</t>
        </is>
      </c>
      <c r="D1476" t="inlineStr">
        <is>
          <t>n° 25 + n° 26 + n° 27 + n° 28</t>
        </is>
      </c>
      <c r="E1476" t="inlineStr">
        <is>
          <t>POMMES FRITES</t>
        </is>
      </c>
      <c r="F1476" t="n">
        <v>3.9</v>
      </c>
      <c r="G1476" t="inlineStr">
        <is>
          <t>n° 25 : 0,80 + n° 26 : 0,40 + n° 27 : 0,40 + n° 28 : 0,40</t>
        </is>
      </c>
      <c r="H1476" t="n">
        <v>2</v>
      </c>
    </row>
    <row r="1477">
      <c r="A1477" t="inlineStr">
        <is>
          <t>2022-2023</t>
        </is>
      </c>
      <c r="B1477" t="inlineStr">
        <is>
          <t>2023-03-04</t>
        </is>
      </c>
      <c r="C1477" t="inlineStr">
        <is>
          <t>20:08</t>
        </is>
      </c>
      <c r="D1477" t="inlineStr">
        <is>
          <t>n° 25 + n° 26 + n° 27 + n° 28</t>
        </is>
      </c>
      <c r="E1477" t="inlineStr">
        <is>
          <t>TENDRESSE</t>
        </is>
      </c>
      <c r="F1477" t="n">
        <v>3.9</v>
      </c>
      <c r="G1477" t="inlineStr">
        <is>
          <t>n° 25 : 0,40 + n° 26 : 0,20 + n° 27 : 0,20 + n° 28 : 0,20</t>
        </is>
      </c>
      <c r="H1477" t="n">
        <v>1</v>
      </c>
    </row>
    <row r="1478">
      <c r="A1478" t="inlineStr">
        <is>
          <t>2022-2023</t>
        </is>
      </c>
      <c r="B1478" t="inlineStr">
        <is>
          <t>2023-03-04</t>
        </is>
      </c>
      <c r="C1478" t="inlineStr">
        <is>
          <t>20:08</t>
        </is>
      </c>
      <c r="D1478" t="inlineStr">
        <is>
          <t>n° 25 + n° 26 + n° 27 + n° 28</t>
        </is>
      </c>
      <c r="E1478" t="inlineStr">
        <is>
          <t>Crêpe sucrée</t>
        </is>
      </c>
      <c r="F1478" t="n">
        <v>2.9</v>
      </c>
      <c r="G1478" t="inlineStr">
        <is>
          <t>n° 25 : 0,80 + n° 26 : 0,40 + n° 27 : 0,40 + n° 28 : 0,40</t>
        </is>
      </c>
      <c r="H1478" t="n">
        <v>2</v>
      </c>
    </row>
    <row r="1479">
      <c r="A1479" t="inlineStr">
        <is>
          <t>2022-2023</t>
        </is>
      </c>
      <c r="B1479" t="inlineStr">
        <is>
          <t>2023-03-04</t>
        </is>
      </c>
      <c r="C1479" t="inlineStr">
        <is>
          <t>20:08</t>
        </is>
      </c>
      <c r="D1479" t="inlineStr">
        <is>
          <t>n° 25 + n° 26 + n° 27 + n° 28</t>
        </is>
      </c>
      <c r="E1479" t="inlineStr">
        <is>
          <t>Sirop à l'eau</t>
        </is>
      </c>
      <c r="F1479" t="n">
        <v>2.2</v>
      </c>
      <c r="G1479" t="inlineStr">
        <is>
          <t>n° 25 : 0,40 + n° 26 : 0,20 + n° 27 : 0,20 + n° 28 : 0,20</t>
        </is>
      </c>
      <c r="H1479" t="n">
        <v>1</v>
      </c>
    </row>
    <row r="1480">
      <c r="A1480" t="inlineStr">
        <is>
          <t>2022-2023</t>
        </is>
      </c>
      <c r="B1480" t="inlineStr">
        <is>
          <t>2023-03-04</t>
        </is>
      </c>
      <c r="C1480" t="inlineStr">
        <is>
          <t>20:08</t>
        </is>
      </c>
      <c r="D1480" t="inlineStr">
        <is>
          <t>n° 25 + n° 26 + n° 27 + n° 28</t>
        </is>
      </c>
      <c r="E1480" t="inlineStr">
        <is>
          <t>Expresso</t>
        </is>
      </c>
      <c r="F1480" t="n">
        <v>2.2</v>
      </c>
      <c r="G1480" t="inlineStr">
        <is>
          <t>n° 25 : 1,60 + n° 26 : 0,80 + n° 27 : 0,80 + n° 28 : 0,80</t>
        </is>
      </c>
      <c r="H1480" t="n">
        <v>4</v>
      </c>
    </row>
    <row r="1481">
      <c r="A1481" t="inlineStr">
        <is>
          <t>2022-2023</t>
        </is>
      </c>
      <c r="B1481" t="inlineStr">
        <is>
          <t>2023-03-05</t>
        </is>
      </c>
      <c r="C1481" t="inlineStr">
        <is>
          <t>12:24</t>
        </is>
      </c>
      <c r="D1481" t="inlineStr">
        <is>
          <t>n° 5 + n° 7</t>
        </is>
      </c>
      <c r="E1481" t="inlineStr">
        <is>
          <t>TRUITE JURASSIENNE</t>
        </is>
      </c>
      <c r="F1481" t="n">
        <v>18.6</v>
      </c>
      <c r="G1481" t="inlineStr">
        <is>
          <t>n° 5 : 0,50 + n° 7 : 0,50</t>
        </is>
      </c>
      <c r="H1481" t="n">
        <v>1</v>
      </c>
    </row>
    <row r="1482">
      <c r="A1482" t="inlineStr">
        <is>
          <t>2022-2023</t>
        </is>
      </c>
      <c r="B1482" t="inlineStr">
        <is>
          <t>2023-03-05</t>
        </is>
      </c>
      <c r="C1482" t="inlineStr">
        <is>
          <t>12:24</t>
        </is>
      </c>
      <c r="D1482" t="inlineStr">
        <is>
          <t>n° 5 + n° 7</t>
        </is>
      </c>
      <c r="E1482" t="inlineStr">
        <is>
          <t>ASSIETTE FRANC-COMTO</t>
        </is>
      </c>
      <c r="F1482" t="n">
        <v>18.6</v>
      </c>
      <c r="G1482" t="inlineStr">
        <is>
          <t>n° 5 : 0,50 + n° 7 : 0,50</t>
        </is>
      </c>
      <c r="H1482" t="n">
        <v>1</v>
      </c>
    </row>
    <row r="1483">
      <c r="A1483" t="inlineStr">
        <is>
          <t>2022-2023</t>
        </is>
      </c>
      <c r="B1483" t="inlineStr">
        <is>
          <t>2023-03-05</t>
        </is>
      </c>
      <c r="C1483" t="inlineStr">
        <is>
          <t>12:24</t>
        </is>
      </c>
      <c r="D1483" t="inlineStr">
        <is>
          <t>n° 5 + n° 7</t>
        </is>
      </c>
      <c r="E1483" t="inlineStr">
        <is>
          <t>Saucisse de Morteau</t>
        </is>
      </c>
      <c r="F1483" t="n">
        <v>8.9</v>
      </c>
      <c r="G1483" t="inlineStr">
        <is>
          <t>n° 5 : 0,50 + n° 7 : 0,50</t>
        </is>
      </c>
      <c r="H1483" t="n">
        <v>1</v>
      </c>
    </row>
    <row r="1484">
      <c r="A1484" t="inlineStr">
        <is>
          <t>2022-2023</t>
        </is>
      </c>
      <c r="B1484" t="inlineStr">
        <is>
          <t>2023-03-05</t>
        </is>
      </c>
      <c r="C1484" t="inlineStr">
        <is>
          <t>12:24</t>
        </is>
      </c>
      <c r="D1484" t="inlineStr">
        <is>
          <t>n° 5 + n° 7</t>
        </is>
      </c>
      <c r="E1484" t="inlineStr">
        <is>
          <t>Savagnin verre</t>
        </is>
      </c>
      <c r="F1484" t="n">
        <v>7.2</v>
      </c>
      <c r="G1484" t="inlineStr">
        <is>
          <t>n° 5 : 1,50 + n° 7 : 1,50</t>
        </is>
      </c>
      <c r="H1484" t="n">
        <v>3</v>
      </c>
    </row>
    <row r="1485">
      <c r="A1485" t="inlineStr">
        <is>
          <t>2022-2023</t>
        </is>
      </c>
      <c r="B1485" t="inlineStr">
        <is>
          <t>2023-03-05</t>
        </is>
      </c>
      <c r="C1485" t="inlineStr">
        <is>
          <t>12:24</t>
        </is>
      </c>
      <c r="D1485" t="inlineStr">
        <is>
          <t>n° 5 + n° 7</t>
        </is>
      </c>
      <c r="E1485" t="inlineStr">
        <is>
          <t>SAUCE JURASSIENNE</t>
        </is>
      </c>
      <c r="F1485" t="n">
        <v>6.1</v>
      </c>
      <c r="G1485" t="inlineStr">
        <is>
          <t>n° 5 : 0,50 + n° 7 : 0,50</t>
        </is>
      </c>
      <c r="H1485" t="n">
        <v>1</v>
      </c>
    </row>
    <row r="1486">
      <c r="A1486" t="inlineStr">
        <is>
          <t>2022-2023</t>
        </is>
      </c>
      <c r="B1486" t="inlineStr">
        <is>
          <t>2023-03-05</t>
        </is>
      </c>
      <c r="C1486" t="inlineStr">
        <is>
          <t>12:24</t>
        </is>
      </c>
      <c r="D1486" t="inlineStr">
        <is>
          <t>n° 5 + n° 7</t>
        </is>
      </c>
      <c r="E1486" t="inlineStr">
        <is>
          <t>Galette nature</t>
        </is>
      </c>
      <c r="F1486" t="n">
        <v>3.9</v>
      </c>
      <c r="G1486" t="inlineStr">
        <is>
          <t>n° 5 : 0,50 + n° 7 : 0,50</t>
        </is>
      </c>
      <c r="H1486" t="n">
        <v>1</v>
      </c>
    </row>
    <row r="1487">
      <c r="A1487" t="inlineStr">
        <is>
          <t>2022-2023</t>
        </is>
      </c>
      <c r="B1487" t="inlineStr">
        <is>
          <t>2023-03-05</t>
        </is>
      </c>
      <c r="C1487" t="inlineStr">
        <is>
          <t>12:24</t>
        </is>
      </c>
      <c r="D1487" t="inlineStr">
        <is>
          <t>n° 5 + n° 7</t>
        </is>
      </c>
      <c r="E1487" t="inlineStr">
        <is>
          <t>Pommes de Terre</t>
        </is>
      </c>
      <c r="F1487" t="n">
        <v>3.2</v>
      </c>
      <c r="G1487" t="inlineStr">
        <is>
          <t>n° 5 : 0,50 + n° 7 : 0,50</t>
        </is>
      </c>
      <c r="H1487" t="n">
        <v>1</v>
      </c>
    </row>
    <row r="1488">
      <c r="A1488" t="inlineStr">
        <is>
          <t>2022-2023</t>
        </is>
      </c>
      <c r="B1488" t="inlineStr">
        <is>
          <t>2023-03-05</t>
        </is>
      </c>
      <c r="C1488" t="inlineStr">
        <is>
          <t>12:24</t>
        </is>
      </c>
      <c r="D1488" t="inlineStr">
        <is>
          <t>n° 5 + n° 7</t>
        </is>
      </c>
      <c r="E1488" t="inlineStr">
        <is>
          <t>Crêpe Cassonade</t>
        </is>
      </c>
      <c r="F1488" t="n">
        <v>2.9</v>
      </c>
      <c r="G1488" t="inlineStr">
        <is>
          <t>n° 5 : 0,50 + n° 7 : 0,50</t>
        </is>
      </c>
      <c r="H1488" t="n">
        <v>1</v>
      </c>
    </row>
    <row r="1489">
      <c r="A1489" t="inlineStr">
        <is>
          <t>2022-2023</t>
        </is>
      </c>
      <c r="B1489" t="inlineStr">
        <is>
          <t>2023-03-05</t>
        </is>
      </c>
      <c r="C1489" t="inlineStr">
        <is>
          <t>13:08</t>
        </is>
      </c>
      <c r="D1489" t="inlineStr">
        <is>
          <t>n° 11 + n° 12</t>
        </is>
      </c>
      <c r="E1489" t="inlineStr">
        <is>
          <t>Crémeux du Jura</t>
        </is>
      </c>
      <c r="F1489" t="n">
        <v>19</v>
      </c>
      <c r="G1489" t="inlineStr">
        <is>
          <t>n° 11 : 0,50 + n° 12 : 0,50</t>
        </is>
      </c>
      <c r="H1489" t="n">
        <v>1</v>
      </c>
    </row>
    <row r="1490">
      <c r="A1490" t="inlineStr">
        <is>
          <t>2022-2023</t>
        </is>
      </c>
      <c r="B1490" t="inlineStr">
        <is>
          <t>2023-03-05</t>
        </is>
      </c>
      <c r="C1490" t="inlineStr">
        <is>
          <t>13:08</t>
        </is>
      </c>
      <c r="D1490" t="inlineStr">
        <is>
          <t>n° 11 + n° 12</t>
        </is>
      </c>
      <c r="E1490" t="inlineStr">
        <is>
          <t>POULET JURASSIENNE</t>
        </is>
      </c>
      <c r="F1490" t="n">
        <v>18.6</v>
      </c>
      <c r="G1490" t="inlineStr">
        <is>
          <t>n° 11 : 1,50 + n° 12 : 1,50</t>
        </is>
      </c>
      <c r="H1490" t="n">
        <v>3</v>
      </c>
    </row>
    <row r="1491">
      <c r="A1491" t="inlineStr">
        <is>
          <t>2022-2023</t>
        </is>
      </c>
      <c r="B1491" t="inlineStr">
        <is>
          <t>2023-03-05</t>
        </is>
      </c>
      <c r="C1491" t="inlineStr">
        <is>
          <t>13:08</t>
        </is>
      </c>
      <c r="D1491" t="inlineStr">
        <is>
          <t>n° 11 + n° 12</t>
        </is>
      </c>
      <c r="E1491" t="inlineStr">
        <is>
          <t>Croûtes Morilles</t>
        </is>
      </c>
      <c r="F1491" t="n">
        <v>16.9</v>
      </c>
      <c r="G1491" t="inlineStr">
        <is>
          <t>n° 11 : 1,50 + n° 12 : 1,50</t>
        </is>
      </c>
      <c r="H1491" t="n">
        <v>3</v>
      </c>
    </row>
    <row r="1492">
      <c r="A1492" t="inlineStr">
        <is>
          <t>2022-2023</t>
        </is>
      </c>
      <c r="B1492" t="inlineStr">
        <is>
          <t>2023-03-05</t>
        </is>
      </c>
      <c r="C1492" t="inlineStr">
        <is>
          <t>13:08</t>
        </is>
      </c>
      <c r="D1492" t="inlineStr">
        <is>
          <t>n° 11 + n° 12</t>
        </is>
      </c>
      <c r="E1492" t="inlineStr">
        <is>
          <t>TANTELIN</t>
        </is>
      </c>
      <c r="F1492" t="n">
        <v>16.4</v>
      </c>
      <c r="G1492" t="inlineStr">
        <is>
          <t>n° 11 : 0,50 + n° 12 : 0,50</t>
        </is>
      </c>
      <c r="H1492" t="n">
        <v>1</v>
      </c>
    </row>
    <row r="1493">
      <c r="A1493" t="inlineStr">
        <is>
          <t>2022-2023</t>
        </is>
      </c>
      <c r="B1493" t="inlineStr">
        <is>
          <t>2023-03-05</t>
        </is>
      </c>
      <c r="C1493" t="inlineStr">
        <is>
          <t>13:08</t>
        </is>
      </c>
      <c r="D1493" t="inlineStr">
        <is>
          <t>n° 11 + n° 12</t>
        </is>
      </c>
      <c r="E1493" t="inlineStr">
        <is>
          <t>Pichet 75cl vin</t>
        </is>
      </c>
      <c r="F1493" t="n">
        <v>13.4</v>
      </c>
      <c r="G1493" t="inlineStr">
        <is>
          <t>n° 11 : 0,50 + n° 12 : 0,50</t>
        </is>
      </c>
      <c r="H1493" t="n">
        <v>1</v>
      </c>
    </row>
    <row r="1494">
      <c r="A1494" t="inlineStr">
        <is>
          <t>2022-2023</t>
        </is>
      </c>
      <c r="B1494" t="inlineStr">
        <is>
          <t>2023-03-05</t>
        </is>
      </c>
      <c r="C1494" t="inlineStr">
        <is>
          <t>13:08</t>
        </is>
      </c>
      <c r="D1494" t="inlineStr">
        <is>
          <t>n° 11 + n° 12</t>
        </is>
      </c>
      <c r="E1494" t="inlineStr">
        <is>
          <t>Feuilleté Forestier</t>
        </is>
      </c>
      <c r="F1494" t="n">
        <v>10.9</v>
      </c>
      <c r="G1494" t="inlineStr">
        <is>
          <t>n° 11 : 0,50 + n° 12 : 0,50</t>
        </is>
      </c>
      <c r="H1494" t="n">
        <v>1</v>
      </c>
    </row>
    <row r="1495">
      <c r="A1495" t="inlineStr">
        <is>
          <t>2022-2023</t>
        </is>
      </c>
      <c r="B1495" t="inlineStr">
        <is>
          <t>2023-03-05</t>
        </is>
      </c>
      <c r="C1495" t="inlineStr">
        <is>
          <t>13:08</t>
        </is>
      </c>
      <c r="D1495" t="inlineStr">
        <is>
          <t>n° 11 + n° 12</t>
        </is>
      </c>
      <c r="E1495" t="inlineStr">
        <is>
          <t>Salade Verte aux Noi</t>
        </is>
      </c>
      <c r="F1495" t="n">
        <v>5.9</v>
      </c>
      <c r="G1495" t="inlineStr">
        <is>
          <t>n° 11 : 0,50 + n° 12 : 0,50</t>
        </is>
      </c>
      <c r="H1495" t="n">
        <v>1</v>
      </c>
    </row>
    <row r="1496">
      <c r="A1496" t="inlineStr">
        <is>
          <t>2022-2023</t>
        </is>
      </c>
      <c r="B1496" t="inlineStr">
        <is>
          <t>2023-03-05</t>
        </is>
      </c>
      <c r="C1496" t="inlineStr">
        <is>
          <t>13:08</t>
        </is>
      </c>
      <c r="D1496" t="inlineStr">
        <is>
          <t>n° 11 + n° 12</t>
        </is>
      </c>
      <c r="E1496" t="inlineStr">
        <is>
          <t>Coca (25cl)</t>
        </is>
      </c>
      <c r="F1496" t="n">
        <v>3.9</v>
      </c>
      <c r="G1496" t="inlineStr">
        <is>
          <t>n° 11 : 0,50 + n° 12 : 0,50</t>
        </is>
      </c>
      <c r="H1496" t="n">
        <v>1</v>
      </c>
    </row>
    <row r="1497">
      <c r="A1497" t="inlineStr">
        <is>
          <t>2022-2023</t>
        </is>
      </c>
      <c r="B1497" t="inlineStr">
        <is>
          <t>2023-03-05</t>
        </is>
      </c>
      <c r="C1497" t="inlineStr">
        <is>
          <t>13:08</t>
        </is>
      </c>
      <c r="D1497" t="inlineStr">
        <is>
          <t>n° 11 + n° 12</t>
        </is>
      </c>
      <c r="E1497" t="inlineStr">
        <is>
          <t>Double Expresso</t>
        </is>
      </c>
      <c r="F1497" t="n">
        <v>3.8</v>
      </c>
      <c r="G1497" t="inlineStr">
        <is>
          <t>n° 11 : 1,50 + n° 12 : 1,50</t>
        </is>
      </c>
      <c r="H1497" t="n">
        <v>3</v>
      </c>
    </row>
    <row r="1498">
      <c r="A1498" t="inlineStr">
        <is>
          <t>2022-2023</t>
        </is>
      </c>
      <c r="B1498" t="inlineStr">
        <is>
          <t>2023-03-05</t>
        </is>
      </c>
      <c r="C1498" t="inlineStr">
        <is>
          <t>13:08</t>
        </is>
      </c>
      <c r="D1498" t="inlineStr">
        <is>
          <t>n° 11 + n° 12</t>
        </is>
      </c>
      <c r="E1498" t="inlineStr">
        <is>
          <t>Expresso Crème</t>
        </is>
      </c>
      <c r="F1498" t="n">
        <v>2.4</v>
      </c>
      <c r="G1498" t="inlineStr">
        <is>
          <t>n° 11 : 0,50 + n° 12 : 0,50</t>
        </is>
      </c>
      <c r="H1498" t="n">
        <v>1</v>
      </c>
    </row>
    <row r="1499">
      <c r="A1499" t="inlineStr">
        <is>
          <t>2022-2023</t>
        </is>
      </c>
      <c r="B1499" t="inlineStr">
        <is>
          <t>2023-03-05</t>
        </is>
      </c>
      <c r="C1499" t="inlineStr">
        <is>
          <t>13:08</t>
        </is>
      </c>
      <c r="D1499" t="inlineStr">
        <is>
          <t>n° 11 + n° 12</t>
        </is>
      </c>
      <c r="E1499" t="inlineStr">
        <is>
          <t>Expresso</t>
        </is>
      </c>
      <c r="F1499" t="n">
        <v>2.2</v>
      </c>
      <c r="G1499" t="inlineStr">
        <is>
          <t>n° 11 : 1,50 + n° 12 : 1,50</t>
        </is>
      </c>
      <c r="H1499" t="n">
        <v>3</v>
      </c>
    </row>
    <row r="1500">
      <c r="A1500" t="inlineStr">
        <is>
          <t>2022-2023</t>
        </is>
      </c>
      <c r="B1500" t="inlineStr">
        <is>
          <t>2023-03-08</t>
        </is>
      </c>
      <c r="C1500" t="inlineStr">
        <is>
          <t>18:36</t>
        </is>
      </c>
      <c r="D1500" t="inlineStr">
        <is>
          <t>n° 11 + n° 12</t>
        </is>
      </c>
      <c r="E1500" t="inlineStr">
        <is>
          <t>PICHET C.DE BEAUNE R</t>
        </is>
      </c>
      <c r="F1500" t="n">
        <v>30</v>
      </c>
      <c r="G1500" t="inlineStr">
        <is>
          <t>n° 11 : 0,50 + n° 12 : 0,50</t>
        </is>
      </c>
      <c r="H1500" t="n">
        <v>1</v>
      </c>
    </row>
    <row r="1501">
      <c r="A1501" t="inlineStr">
        <is>
          <t>2022-2023</t>
        </is>
      </c>
      <c r="B1501" t="inlineStr">
        <is>
          <t>2023-03-08</t>
        </is>
      </c>
      <c r="C1501" t="inlineStr">
        <is>
          <t>18:36</t>
        </is>
      </c>
      <c r="D1501" t="inlineStr">
        <is>
          <t>n° 11 + n° 12</t>
        </is>
      </c>
      <c r="E1501" t="inlineStr">
        <is>
          <t>Salade Végétarienne</t>
        </is>
      </c>
      <c r="F1501" t="n">
        <v>19.9</v>
      </c>
      <c r="G1501" t="inlineStr">
        <is>
          <t>n° 11 : 0,50 + n° 12 : 0,50</t>
        </is>
      </c>
      <c r="H1501" t="n">
        <v>1</v>
      </c>
    </row>
    <row r="1502">
      <c r="A1502" t="inlineStr">
        <is>
          <t>2022-2023</t>
        </is>
      </c>
      <c r="B1502" t="inlineStr">
        <is>
          <t>2023-03-08</t>
        </is>
      </c>
      <c r="C1502" t="inlineStr">
        <is>
          <t>18:36</t>
        </is>
      </c>
      <c r="D1502" t="inlineStr">
        <is>
          <t>n° 11 + n° 12</t>
        </is>
      </c>
      <c r="E1502" t="inlineStr">
        <is>
          <t>LIGOUSE</t>
        </is>
      </c>
      <c r="F1502" t="n">
        <v>15.6</v>
      </c>
      <c r="G1502" t="inlineStr">
        <is>
          <t>n° 11 : 0,50 + n° 12 : 0,50</t>
        </is>
      </c>
      <c r="H1502" t="n">
        <v>1</v>
      </c>
    </row>
    <row r="1503">
      <c r="A1503" t="inlineStr">
        <is>
          <t>2022-2023</t>
        </is>
      </c>
      <c r="B1503" t="inlineStr">
        <is>
          <t>2023-03-08</t>
        </is>
      </c>
      <c r="C1503" t="inlineStr">
        <is>
          <t>18:36</t>
        </is>
      </c>
      <c r="D1503" t="inlineStr">
        <is>
          <t>n° 11 + n° 12</t>
        </is>
      </c>
      <c r="E1503" t="inlineStr">
        <is>
          <t>Crêpe Nutella</t>
        </is>
      </c>
      <c r="F1503" t="n">
        <v>4.7</v>
      </c>
      <c r="G1503" t="inlineStr">
        <is>
          <t>n° 11 : 0,50 + n° 12 : 0,50</t>
        </is>
      </c>
      <c r="H1503" t="n">
        <v>1</v>
      </c>
    </row>
    <row r="1504">
      <c r="A1504" t="inlineStr">
        <is>
          <t>2022-2023</t>
        </is>
      </c>
      <c r="B1504" t="inlineStr">
        <is>
          <t>2023-03-08</t>
        </is>
      </c>
      <c r="C1504" t="inlineStr">
        <is>
          <t>18:36</t>
        </is>
      </c>
      <c r="D1504" t="inlineStr">
        <is>
          <t>n° 11 + n° 12</t>
        </is>
      </c>
      <c r="E1504" t="inlineStr">
        <is>
          <t>Crêpe sucrée</t>
        </is>
      </c>
      <c r="F1504" t="n">
        <v>2.9</v>
      </c>
      <c r="G1504" t="inlineStr">
        <is>
          <t>n° 11 : 0,50 + n° 12 : 0,50</t>
        </is>
      </c>
      <c r="H1504" t="n">
        <v>1</v>
      </c>
    </row>
    <row r="1505">
      <c r="A1505" t="inlineStr">
        <is>
          <t>2022-2023</t>
        </is>
      </c>
      <c r="B1505" t="inlineStr">
        <is>
          <t>2023-03-08</t>
        </is>
      </c>
      <c r="C1505" t="inlineStr">
        <is>
          <t>19:08</t>
        </is>
      </c>
      <c r="D1505" t="inlineStr">
        <is>
          <t>n° 13 + n° 14 + n° 15 + n° 16 + n° 17</t>
        </is>
      </c>
      <c r="E1505" t="inlineStr">
        <is>
          <t>MACHON GOURMET</t>
        </is>
      </c>
      <c r="F1505" t="n">
        <v>25</v>
      </c>
      <c r="G1505" t="inlineStr">
        <is>
          <t>n° 13 : 0,40 + n° 14 : 0,40 + n° 15 : 0,40 + n° 16 : 0,40 + n° 17 : 0,40</t>
        </is>
      </c>
      <c r="H1505" t="n">
        <v>2</v>
      </c>
    </row>
    <row r="1506">
      <c r="A1506" t="inlineStr">
        <is>
          <t>2022-2023</t>
        </is>
      </c>
      <c r="B1506" t="inlineStr">
        <is>
          <t>2023-03-08</t>
        </is>
      </c>
      <c r="C1506" t="inlineStr">
        <is>
          <t>19:08</t>
        </is>
      </c>
      <c r="D1506" t="inlineStr">
        <is>
          <t>n° 13 + n° 14 + n° 15 + n° 16 + n° 17</t>
        </is>
      </c>
      <c r="E1506" t="inlineStr">
        <is>
          <t>Entrecôte grillée</t>
        </is>
      </c>
      <c r="F1506" t="n">
        <v>19.9</v>
      </c>
      <c r="G1506" t="inlineStr">
        <is>
          <t>n° 13 : 0,20 + n° 14 : 0,20 + n° 15 : 0,20 + n° 16 : 0,20 + n° 17 : 0,20</t>
        </is>
      </c>
      <c r="H1506" t="n">
        <v>1</v>
      </c>
    </row>
    <row r="1507">
      <c r="A1507" t="inlineStr">
        <is>
          <t>2022-2023</t>
        </is>
      </c>
      <c r="B1507" t="inlineStr">
        <is>
          <t>2023-03-08</t>
        </is>
      </c>
      <c r="C1507" t="inlineStr">
        <is>
          <t>19:08</t>
        </is>
      </c>
      <c r="D1507" t="inlineStr">
        <is>
          <t>n° 13 + n° 14 + n° 15 + n° 16 + n° 17</t>
        </is>
      </c>
      <c r="E1507" t="inlineStr">
        <is>
          <t>POULET JURASSIENNE</t>
        </is>
      </c>
      <c r="F1507" t="n">
        <v>18.6</v>
      </c>
      <c r="G1507" t="inlineStr">
        <is>
          <t>n° 13 : 0,40 + n° 14 : 0,40 + n° 15 : 0,40 + n° 16 : 0,40 + n° 17 : 0,40</t>
        </is>
      </c>
      <c r="H1507" t="n">
        <v>2</v>
      </c>
    </row>
    <row r="1508">
      <c r="A1508" t="inlineStr">
        <is>
          <t>2022-2023</t>
        </is>
      </c>
      <c r="B1508" t="inlineStr">
        <is>
          <t>2023-03-08</t>
        </is>
      </c>
      <c r="C1508" t="inlineStr">
        <is>
          <t>19:08</t>
        </is>
      </c>
      <c r="D1508" t="inlineStr">
        <is>
          <t>n° 13 + n° 14 + n° 15 + n° 16 + n° 17</t>
        </is>
      </c>
      <c r="E1508" t="inlineStr">
        <is>
          <t>Pavlova</t>
        </is>
      </c>
      <c r="F1508" t="n">
        <v>8.699999999999999</v>
      </c>
      <c r="G1508" t="inlineStr">
        <is>
          <t>n° 13 : 0,20 + n° 14 : 0,20 + n° 15 : 0,20 + n° 16 : 0,20 + n° 17 : 0,20</t>
        </is>
      </c>
      <c r="H1508" t="n">
        <v>1</v>
      </c>
    </row>
    <row r="1509">
      <c r="A1509" t="inlineStr">
        <is>
          <t>2022-2023</t>
        </is>
      </c>
      <c r="B1509" t="inlineStr">
        <is>
          <t>2023-03-08</t>
        </is>
      </c>
      <c r="C1509" t="inlineStr">
        <is>
          <t>19:08</t>
        </is>
      </c>
      <c r="D1509" t="inlineStr">
        <is>
          <t>n° 13 + n° 14 + n° 15 + n° 16 + n° 17</t>
        </is>
      </c>
      <c r="E1509" t="inlineStr">
        <is>
          <t>CREME BRULEE</t>
        </is>
      </c>
      <c r="F1509" t="n">
        <v>6.9</v>
      </c>
      <c r="G1509" t="inlineStr">
        <is>
          <t>n° 13 : 0,20 + n° 14 : 0,20 + n° 15 : 0,20 + n° 16 : 0,20 + n° 17 : 0,20</t>
        </is>
      </c>
      <c r="H1509" t="n">
        <v>1</v>
      </c>
    </row>
    <row r="1510">
      <c r="A1510" t="inlineStr">
        <is>
          <t>2022-2023</t>
        </is>
      </c>
      <c r="B1510" t="inlineStr">
        <is>
          <t>2023-03-08</t>
        </is>
      </c>
      <c r="C1510" t="inlineStr">
        <is>
          <t>19:08</t>
        </is>
      </c>
      <c r="D1510" t="inlineStr">
        <is>
          <t>n° 13 + n° 14 + n° 15 + n° 16 + n° 17</t>
        </is>
      </c>
      <c r="E1510" t="inlineStr">
        <is>
          <t>BEGUIN</t>
        </is>
      </c>
      <c r="F1510" t="n">
        <v>6.9</v>
      </c>
      <c r="G1510" t="inlineStr">
        <is>
          <t>n° 13 : 0,20 + n° 14 : 0,20 + n° 15 : 0,20 + n° 16 : 0,20 + n° 17 : 0,20</t>
        </is>
      </c>
      <c r="H1510" t="n">
        <v>1</v>
      </c>
    </row>
    <row r="1511">
      <c r="A1511" t="inlineStr">
        <is>
          <t>2022-2023</t>
        </is>
      </c>
      <c r="B1511" t="inlineStr">
        <is>
          <t>2023-03-08</t>
        </is>
      </c>
      <c r="C1511" t="inlineStr">
        <is>
          <t>19:08</t>
        </is>
      </c>
      <c r="D1511" t="inlineStr">
        <is>
          <t>n° 13 + n° 14 + n° 15 + n° 16 + n° 17</t>
        </is>
      </c>
      <c r="E1511" t="inlineStr">
        <is>
          <t>GLACE 3 BOULES</t>
        </is>
      </c>
      <c r="F1511" t="n">
        <v>5.8</v>
      </c>
      <c r="G1511" t="inlineStr">
        <is>
          <t>n° 13 : 0,20 + n° 14 : 0,20 + n° 15 : 0,20 + n° 16 : 0,20 + n° 17 : 0,20</t>
        </is>
      </c>
      <c r="H1511" t="n">
        <v>1</v>
      </c>
    </row>
    <row r="1512">
      <c r="A1512" t="inlineStr">
        <is>
          <t>2022-2023</t>
        </is>
      </c>
      <c r="B1512" t="inlineStr">
        <is>
          <t>2023-03-08</t>
        </is>
      </c>
      <c r="C1512" t="inlineStr">
        <is>
          <t>19:08</t>
        </is>
      </c>
      <c r="D1512" t="inlineStr">
        <is>
          <t>n° 13 + n° 14 + n° 15 + n° 16 + n° 17</t>
        </is>
      </c>
      <c r="E1512" t="inlineStr">
        <is>
          <t>PASSION</t>
        </is>
      </c>
      <c r="F1512" t="n">
        <v>5.8</v>
      </c>
      <c r="G1512" t="inlineStr">
        <is>
          <t>n° 13 : 0,20 + n° 14 : 0,20 + n° 15 : 0,20 + n° 16 : 0,20 + n° 17 : 0,20</t>
        </is>
      </c>
      <c r="H1512" t="n">
        <v>1</v>
      </c>
    </row>
    <row r="1513">
      <c r="A1513" t="inlineStr">
        <is>
          <t>2022-2023</t>
        </is>
      </c>
      <c r="B1513" t="inlineStr">
        <is>
          <t>2023-03-08</t>
        </is>
      </c>
      <c r="C1513" t="inlineStr">
        <is>
          <t>19:08</t>
        </is>
      </c>
      <c r="D1513" t="inlineStr">
        <is>
          <t>n° 13 + n° 14 + n° 15 + n° 16 + n° 17</t>
        </is>
      </c>
      <c r="E1513" t="inlineStr">
        <is>
          <t>Chat perché</t>
        </is>
      </c>
      <c r="F1513" t="n">
        <v>5.2</v>
      </c>
      <c r="G1513" t="inlineStr">
        <is>
          <t>n° 13 : 0,20 + n° 14 : 0,20 + n° 15 : 0,20 + n° 16 : 0,20 + n° 17 : 0,20</t>
        </is>
      </c>
      <c r="H1513" t="n">
        <v>1</v>
      </c>
    </row>
    <row r="1514">
      <c r="A1514" t="inlineStr">
        <is>
          <t>2022-2023</t>
        </is>
      </c>
      <c r="B1514" t="inlineStr">
        <is>
          <t>2023-03-08</t>
        </is>
      </c>
      <c r="C1514" t="inlineStr">
        <is>
          <t>19:08</t>
        </is>
      </c>
      <c r="D1514" t="inlineStr">
        <is>
          <t>n° 13 + n° 14 + n° 15 + n° 16 + n° 17</t>
        </is>
      </c>
      <c r="E1514" t="inlineStr">
        <is>
          <t>Macvin du Jura</t>
        </is>
      </c>
      <c r="F1514" t="n">
        <v>4.9</v>
      </c>
      <c r="G1514" t="inlineStr">
        <is>
          <t>n° 13 : 0,20 + n° 14 : 0,20 + n° 15 : 0,20 + n° 16 : 0,20 + n° 17 : 0,20</t>
        </is>
      </c>
      <c r="H1514" t="n">
        <v>1</v>
      </c>
    </row>
    <row r="1515">
      <c r="A1515" t="inlineStr">
        <is>
          <t>2022-2023</t>
        </is>
      </c>
      <c r="B1515" t="inlineStr">
        <is>
          <t>2023-03-08</t>
        </is>
      </c>
      <c r="C1515" t="inlineStr">
        <is>
          <t>19:08</t>
        </is>
      </c>
      <c r="D1515" t="inlineStr">
        <is>
          <t>n° 13 + n° 14 + n° 15 + n° 16 + n° 17</t>
        </is>
      </c>
      <c r="E1515" t="inlineStr">
        <is>
          <t>Père Gregoire</t>
        </is>
      </c>
      <c r="F1515" t="n">
        <v>4.9</v>
      </c>
      <c r="G1515" t="inlineStr">
        <is>
          <t>n° 13 : 0,20 + n° 14 : 0,20 + n° 15 : 0,20 + n° 16 : 0,20 + n° 17 : 0,20</t>
        </is>
      </c>
      <c r="H1515" t="n">
        <v>1</v>
      </c>
    </row>
    <row r="1516">
      <c r="A1516" t="inlineStr">
        <is>
          <t>2022-2023</t>
        </is>
      </c>
      <c r="B1516" t="inlineStr">
        <is>
          <t>2023-03-08</t>
        </is>
      </c>
      <c r="C1516" t="inlineStr">
        <is>
          <t>19:08</t>
        </is>
      </c>
      <c r="D1516" t="inlineStr">
        <is>
          <t>n° 13 + n° 14 + n° 15 + n° 16 + n° 17</t>
        </is>
      </c>
      <c r="E1516" t="inlineStr">
        <is>
          <t>Crêpe Nutella</t>
        </is>
      </c>
      <c r="F1516" t="n">
        <v>4.7</v>
      </c>
      <c r="G1516" t="inlineStr">
        <is>
          <t>n° 13 : 0,20 + n° 14 : 0,20 + n° 15 : 0,20 + n° 16 : 0,20 + n° 17 : 0,20</t>
        </is>
      </c>
      <c r="H1516" t="n">
        <v>1</v>
      </c>
    </row>
    <row r="1517">
      <c r="A1517" t="inlineStr">
        <is>
          <t>2022-2023</t>
        </is>
      </c>
      <c r="B1517" t="inlineStr">
        <is>
          <t>2023-03-08</t>
        </is>
      </c>
      <c r="C1517" t="inlineStr">
        <is>
          <t>19:08</t>
        </is>
      </c>
      <c r="D1517" t="inlineStr">
        <is>
          <t>n° 13 + n° 14 + n° 15 + n° 16 + n° 17</t>
        </is>
      </c>
      <c r="E1517" t="inlineStr">
        <is>
          <t>Kir Bourgogne</t>
        </is>
      </c>
      <c r="F1517" t="n">
        <v>4.2</v>
      </c>
      <c r="G1517" t="inlineStr">
        <is>
          <t>n° 13 : 0,20 + n° 14 : 0,20 + n° 15 : 0,20 + n° 16 : 0,20 + n° 17 : 0,20</t>
        </is>
      </c>
      <c r="H1517" t="n">
        <v>1</v>
      </c>
    </row>
    <row r="1518">
      <c r="A1518" t="inlineStr">
        <is>
          <t>2022-2023</t>
        </is>
      </c>
      <c r="B1518" t="inlineStr">
        <is>
          <t>2023-03-08</t>
        </is>
      </c>
      <c r="C1518" t="inlineStr">
        <is>
          <t>19:08</t>
        </is>
      </c>
      <c r="D1518" t="inlineStr">
        <is>
          <t>n° 13 + n° 14 + n° 15 + n° 16 + n° 17</t>
        </is>
      </c>
      <c r="E1518" t="inlineStr">
        <is>
          <t>Jus de Fruit</t>
        </is>
      </c>
      <c r="F1518" t="n">
        <v>3.9</v>
      </c>
      <c r="G1518" t="inlineStr">
        <is>
          <t>n° 13 : 0,20 + n° 14 : 0,20 + n° 15 : 0,20 + n° 16 : 0,20 + n° 17 : 0,20</t>
        </is>
      </c>
      <c r="H1518" t="n">
        <v>1</v>
      </c>
    </row>
    <row r="1519">
      <c r="A1519" t="inlineStr">
        <is>
          <t>2022-2023</t>
        </is>
      </c>
      <c r="B1519" t="inlineStr">
        <is>
          <t>2023-03-08</t>
        </is>
      </c>
      <c r="C1519" t="inlineStr">
        <is>
          <t>19:08</t>
        </is>
      </c>
      <c r="D1519" t="inlineStr">
        <is>
          <t>n° 13 + n° 14 + n° 15 + n° 16 + n° 17</t>
        </is>
      </c>
      <c r="E1519" t="inlineStr">
        <is>
          <t>GLACE 2 BOULES</t>
        </is>
      </c>
      <c r="F1519" t="n">
        <v>3.9</v>
      </c>
      <c r="G1519" t="inlineStr">
        <is>
          <t>n° 13 : 0,40 + n° 14 : 0,40 + n° 15 : 0,40 + n° 16 : 0,40 + n° 17 : 0,40</t>
        </is>
      </c>
      <c r="H1519" t="n">
        <v>2</v>
      </c>
    </row>
    <row r="1520">
      <c r="A1520" t="inlineStr">
        <is>
          <t>2022-2023</t>
        </is>
      </c>
      <c r="B1520" t="inlineStr">
        <is>
          <t>2023-03-08</t>
        </is>
      </c>
      <c r="C1520" t="inlineStr">
        <is>
          <t>19:08</t>
        </is>
      </c>
      <c r="D1520" t="inlineStr">
        <is>
          <t>n° 13 + n° 14 + n° 15 + n° 16 + n° 17</t>
        </is>
      </c>
      <c r="E1520" t="inlineStr">
        <is>
          <t>Chantilly</t>
        </is>
      </c>
      <c r="F1520" t="n">
        <v>1.8</v>
      </c>
      <c r="G1520" t="inlineStr">
        <is>
          <t>n° 13 : 0,60 + n° 14 : 0,60 + n° 15 : 0,60 + n° 16 : 0,60 + n° 17 : 0,60</t>
        </is>
      </c>
      <c r="H1520" t="n">
        <v>3</v>
      </c>
    </row>
    <row r="1521">
      <c r="A1521" t="inlineStr">
        <is>
          <t>2022-2023</t>
        </is>
      </c>
      <c r="B1521" t="inlineStr">
        <is>
          <t>2023-03-08</t>
        </is>
      </c>
      <c r="C1521" t="inlineStr">
        <is>
          <t>19:46</t>
        </is>
      </c>
      <c r="D1521" t="inlineStr">
        <is>
          <t>n° 21 + n° 22</t>
        </is>
      </c>
      <c r="E1521" t="inlineStr">
        <is>
          <t>Salade Régionale</t>
        </is>
      </c>
      <c r="F1521" t="n">
        <v>19.9</v>
      </c>
      <c r="G1521" t="inlineStr">
        <is>
          <t>n° 21 : 0,50 + n° 22 : 0,50</t>
        </is>
      </c>
      <c r="H1521" t="n">
        <v>1</v>
      </c>
    </row>
    <row r="1522">
      <c r="A1522" t="inlineStr">
        <is>
          <t>2022-2023</t>
        </is>
      </c>
      <c r="B1522" t="inlineStr">
        <is>
          <t>2023-03-08</t>
        </is>
      </c>
      <c r="C1522" t="inlineStr">
        <is>
          <t>19:46</t>
        </is>
      </c>
      <c r="D1522" t="inlineStr">
        <is>
          <t>n° 21 + n° 22</t>
        </is>
      </c>
      <c r="E1522" t="inlineStr">
        <is>
          <t>BURGER COMTOIS</t>
        </is>
      </c>
      <c r="F1522" t="n">
        <v>19</v>
      </c>
      <c r="G1522" t="inlineStr">
        <is>
          <t>n° 21 : 0,50 + n° 22 : 0,50</t>
        </is>
      </c>
      <c r="H1522" t="n">
        <v>1</v>
      </c>
    </row>
    <row r="1523">
      <c r="A1523" t="inlineStr">
        <is>
          <t>2022-2023</t>
        </is>
      </c>
      <c r="B1523" t="inlineStr">
        <is>
          <t>2023-03-08</t>
        </is>
      </c>
      <c r="C1523" t="inlineStr">
        <is>
          <t>19:46</t>
        </is>
      </c>
      <c r="D1523" t="inlineStr">
        <is>
          <t>n° 21 + n° 22</t>
        </is>
      </c>
      <c r="E1523" t="inlineStr">
        <is>
          <t>La Vouivre</t>
        </is>
      </c>
      <c r="F1523" t="n">
        <v>5.2</v>
      </c>
      <c r="G1523" t="inlineStr">
        <is>
          <t>n° 21 : 0,50 + n° 22 : 0,50</t>
        </is>
      </c>
      <c r="H1523" t="n">
        <v>1</v>
      </c>
    </row>
    <row r="1524">
      <c r="A1524" t="inlineStr">
        <is>
          <t>2022-2023</t>
        </is>
      </c>
      <c r="B1524" t="inlineStr">
        <is>
          <t>2023-03-08</t>
        </is>
      </c>
      <c r="C1524" t="inlineStr">
        <is>
          <t>19:46</t>
        </is>
      </c>
      <c r="D1524" t="inlineStr">
        <is>
          <t>n° 21 + n° 22</t>
        </is>
      </c>
      <c r="E1524" t="inlineStr">
        <is>
          <t>Coca (25cl)</t>
        </is>
      </c>
      <c r="F1524" t="n">
        <v>3.9</v>
      </c>
      <c r="G1524" t="inlineStr">
        <is>
          <t>n° 21 : 0,50 + n° 22 : 0,50</t>
        </is>
      </c>
      <c r="H1524" t="n">
        <v>1</v>
      </c>
    </row>
    <row r="1525">
      <c r="A1525" t="inlineStr">
        <is>
          <t>2022-2023</t>
        </is>
      </c>
      <c r="B1525" t="inlineStr">
        <is>
          <t>2023-03-08</t>
        </is>
      </c>
      <c r="C1525" t="inlineStr">
        <is>
          <t>19:46</t>
        </is>
      </c>
      <c r="D1525" t="inlineStr">
        <is>
          <t>n° 21 + n° 22</t>
        </is>
      </c>
      <c r="E1525" t="inlineStr">
        <is>
          <t>Crêpe Cassonade</t>
        </is>
      </c>
      <c r="F1525" t="n">
        <v>2.9</v>
      </c>
      <c r="G1525" t="inlineStr">
        <is>
          <t>n° 21 : 0,50 + n° 22 : 0,50</t>
        </is>
      </c>
      <c r="H1525" t="n">
        <v>1</v>
      </c>
    </row>
    <row r="1526">
      <c r="A1526" t="inlineStr">
        <is>
          <t>2022-2023</t>
        </is>
      </c>
      <c r="B1526" t="inlineStr">
        <is>
          <t>2023-03-08</t>
        </is>
      </c>
      <c r="C1526" t="inlineStr">
        <is>
          <t>19:46</t>
        </is>
      </c>
      <c r="D1526" t="inlineStr">
        <is>
          <t>n° 21 + n° 22</t>
        </is>
      </c>
      <c r="E1526" t="inlineStr">
        <is>
          <t>GLACE 1 BOULE</t>
        </is>
      </c>
      <c r="F1526" t="n">
        <v>2</v>
      </c>
      <c r="G1526" t="inlineStr">
        <is>
          <t>n° 21 : 0,50 + n° 22 : 0,50</t>
        </is>
      </c>
      <c r="H1526" t="n">
        <v>1</v>
      </c>
    </row>
    <row r="1527">
      <c r="A1527" t="inlineStr">
        <is>
          <t>2022-2023</t>
        </is>
      </c>
      <c r="B1527" t="inlineStr">
        <is>
          <t>2023-03-08</t>
        </is>
      </c>
      <c r="C1527" t="inlineStr">
        <is>
          <t>19:46</t>
        </is>
      </c>
      <c r="D1527" t="inlineStr">
        <is>
          <t>n° 21 + n° 22</t>
        </is>
      </c>
      <c r="E1527" t="inlineStr">
        <is>
          <t>Chantilly</t>
        </is>
      </c>
      <c r="F1527" t="n">
        <v>1.8</v>
      </c>
      <c r="G1527" t="inlineStr">
        <is>
          <t>n° 21 : 0,50 + n° 22 : 0,50</t>
        </is>
      </c>
      <c r="H1527" t="n">
        <v>1</v>
      </c>
    </row>
    <row r="1528">
      <c r="A1528" t="inlineStr">
        <is>
          <t>2022-2023</t>
        </is>
      </c>
      <c r="B1528" t="inlineStr">
        <is>
          <t>2023-03-10</t>
        </is>
      </c>
      <c r="C1528" t="inlineStr">
        <is>
          <t>20:18</t>
        </is>
      </c>
      <c r="D1528" t="inlineStr">
        <is>
          <t>n° 9 + n° 10 + n° 11 + n° 12 + n° 13 + n° 14 + n° 15 + n° 16 + n° 17 + n° 18 + n° 19 + n° 22 + n° 23 + n° 24 + n° 25 + n° 27 + n° 28 + n° 29 + n° 30</t>
        </is>
      </c>
      <c r="E1528" t="inlineStr">
        <is>
          <t>Poulet aux Morilles</t>
        </is>
      </c>
      <c r="F1528" t="n">
        <v>28.6</v>
      </c>
      <c r="G1528" t="inlineStr">
        <is>
          <t>n° 16 : 0,25 + n° 17 : 0,25 + n° 18 : 0,25 + n° 19 : 0,25</t>
        </is>
      </c>
      <c r="H1528" t="n">
        <v>1</v>
      </c>
    </row>
    <row r="1529">
      <c r="A1529" t="inlineStr">
        <is>
          <t>2022-2023</t>
        </is>
      </c>
      <c r="B1529" t="inlineStr">
        <is>
          <t>2023-03-10</t>
        </is>
      </c>
      <c r="C1529" t="inlineStr">
        <is>
          <t>20:18</t>
        </is>
      </c>
      <c r="D1529" t="inlineStr">
        <is>
          <t>n° 9 + n° 10 + n° 11 + n° 12 + n° 13 + n° 14 + n° 15 + n° 16 + n° 17 + n° 18 + n° 19 + n° 22 + n° 23 + n° 24 + n° 25 + n° 27 + n° 28 + n° 29 + n° 30</t>
        </is>
      </c>
      <c r="E1529" t="inlineStr">
        <is>
          <t>MACHON GOURMET</t>
        </is>
      </c>
      <c r="F1529" t="n">
        <v>25</v>
      </c>
      <c r="G1529" t="inlineStr">
        <is>
          <t>n° 22 : 0,50 + n° 23 : 0,50 + n° 24 : 0,50 + n° 25 : 0,50 + n° 27 : 0,75 + n° 28 : 0,75 + n° 29 : 0,75 + n° 30 : 0,75</t>
        </is>
      </c>
      <c r="H1529" t="n">
        <v>5</v>
      </c>
    </row>
    <row r="1530">
      <c r="A1530" t="inlineStr">
        <is>
          <t>2022-2023</t>
        </is>
      </c>
      <c r="B1530" t="inlineStr">
        <is>
          <t>2023-03-10</t>
        </is>
      </c>
      <c r="C1530" t="inlineStr">
        <is>
          <t>20:18</t>
        </is>
      </c>
      <c r="D1530" t="inlineStr">
        <is>
          <t>n° 9 + n° 10 + n° 11 + n° 12 + n° 13 + n° 14 + n° 15 + n° 16 + n° 17 + n° 18 + n° 19 + n° 22 + n° 23 + n° 24 + n° 25 + n° 27 + n° 28 + n° 29 + n° 30</t>
        </is>
      </c>
      <c r="E1530" t="inlineStr">
        <is>
          <t>BURGER COMTOIS</t>
        </is>
      </c>
      <c r="F1530" t="n">
        <v>19</v>
      </c>
      <c r="G1530" t="inlineStr">
        <is>
          <t>n° 9 : 0,14 + n° 10 : 0,14 + n° 11 : 0,14 + n° 12 : 0,15 + n° 13 : 0,14 + n° 14 : 0,15 + n° 15 : 0,14 + n° 16 : 0,25 + n° 17 : 0,25 + n° 18 : 0,25 + n° 19 : 0,25</t>
        </is>
      </c>
      <c r="H1530" t="n">
        <v>2</v>
      </c>
    </row>
    <row r="1531">
      <c r="A1531" t="inlineStr">
        <is>
          <t>2022-2023</t>
        </is>
      </c>
      <c r="B1531" t="inlineStr">
        <is>
          <t>2023-03-10</t>
        </is>
      </c>
      <c r="C1531" t="inlineStr">
        <is>
          <t>20:18</t>
        </is>
      </c>
      <c r="D1531" t="inlineStr">
        <is>
          <t>n° 9 + n° 10 + n° 11 + n° 12 + n° 13 + n° 14 + n° 15 + n° 16 + n° 17 + n° 18 + n° 19 + n° 22 + n° 23 + n° 24 + n° 25 + n° 27 + n° 28 + n° 29 + n° 30</t>
        </is>
      </c>
      <c r="E1531" t="inlineStr">
        <is>
          <t>MORTEAU GRILLEE</t>
        </is>
      </c>
      <c r="F1531" t="n">
        <v>18.6</v>
      </c>
      <c r="G1531" t="inlineStr">
        <is>
          <t>n° 16 : 0,50 + n° 17 : 0,50 + n° 18 : 0,50 + n° 19 : 0,50 + n° 27 : 0,25 + n° 28 : 0,25 + n° 29 : 0,25 + n° 30 : 0,25</t>
        </is>
      </c>
      <c r="H1531" t="n">
        <v>3</v>
      </c>
    </row>
    <row r="1532">
      <c r="A1532" t="inlineStr">
        <is>
          <t>2022-2023</t>
        </is>
      </c>
      <c r="B1532" t="inlineStr">
        <is>
          <t>2023-03-10</t>
        </is>
      </c>
      <c r="C1532" t="inlineStr">
        <is>
          <t>20:18</t>
        </is>
      </c>
      <c r="D1532" t="inlineStr">
        <is>
          <t>n° 9 + n° 10 + n° 11 + n° 12 + n° 13 + n° 14 + n° 15 + n° 16 + n° 17 + n° 18 + n° 19 + n° 22 + n° 23 + n° 24 + n° 25 + n° 27 + n° 28 + n° 29 + n° 30</t>
        </is>
      </c>
      <c r="E1532" t="inlineStr">
        <is>
          <t>TRUITE PESTO</t>
        </is>
      </c>
      <c r="F1532" t="n">
        <v>16.9</v>
      </c>
      <c r="G1532" t="inlineStr">
        <is>
          <t>n° 9 : 0,14 + n° 10 : 0,14 + n° 11 : 0,14 + n° 12 : 0,15 + n° 13 : 0,14 + n° 14 : 0,15 + n° 15 : 0,14</t>
        </is>
      </c>
      <c r="H1532" t="n">
        <v>1</v>
      </c>
    </row>
    <row r="1533">
      <c r="A1533" t="inlineStr">
        <is>
          <t>2022-2023</t>
        </is>
      </c>
      <c r="B1533" t="inlineStr">
        <is>
          <t>2023-03-10</t>
        </is>
      </c>
      <c r="C1533" t="inlineStr">
        <is>
          <t>20:18</t>
        </is>
      </c>
      <c r="D1533" t="inlineStr">
        <is>
          <t>n° 9 + n° 10 + n° 11 + n° 12 + n° 13 + n° 14 + n° 15 + n° 16 + n° 17 + n° 18 + n° 19 + n° 22 + n° 23 + n° 24 + n° 25 + n° 27 + n° 28 + n° 29 + n° 30</t>
        </is>
      </c>
      <c r="E1533" t="inlineStr">
        <is>
          <t>PEUTE</t>
        </is>
      </c>
      <c r="F1533" t="n">
        <v>16.8</v>
      </c>
      <c r="G1533" t="inlineStr">
        <is>
          <t>n° 22 : 0,25 + n° 23 : 0,25 + n° 24 : 0,25 + n° 25 : 0,25</t>
        </is>
      </c>
      <c r="H1533" t="n">
        <v>1</v>
      </c>
    </row>
    <row r="1534">
      <c r="A1534" t="inlineStr">
        <is>
          <t>2022-2023</t>
        </is>
      </c>
      <c r="B1534" t="inlineStr">
        <is>
          <t>2023-03-10</t>
        </is>
      </c>
      <c r="C1534" t="inlineStr">
        <is>
          <t>20:18</t>
        </is>
      </c>
      <c r="D1534" t="inlineStr">
        <is>
          <t>n° 9 + n° 10 + n° 11 + n° 12 + n° 13 + n° 14 + n° 15 + n° 16 + n° 17 + n° 18 + n° 19 + n° 22 + n° 23 + n° 24 + n° 25 + n° 27 + n° 28 + n° 29 + n° 30</t>
        </is>
      </c>
      <c r="E1534" t="inlineStr">
        <is>
          <t>TANTELIN</t>
        </is>
      </c>
      <c r="F1534" t="n">
        <v>16.4</v>
      </c>
      <c r="G1534" t="inlineStr">
        <is>
          <t>n° 9 : 0,14 + n° 10 : 0,14 + n° 11 : 0,14 + n° 12 : 0,15 + n° 13 : 0,14 + n° 14 : 0,15 + n° 15 : 0,14</t>
        </is>
      </c>
      <c r="H1534" t="n">
        <v>1</v>
      </c>
    </row>
    <row r="1535">
      <c r="A1535" t="inlineStr">
        <is>
          <t>2022-2023</t>
        </is>
      </c>
      <c r="B1535" t="inlineStr">
        <is>
          <t>2023-03-10</t>
        </is>
      </c>
      <c r="C1535" t="inlineStr">
        <is>
          <t>20:18</t>
        </is>
      </c>
      <c r="D1535" t="inlineStr">
        <is>
          <t>n° 9 + n° 10 + n° 11 + n° 12 + n° 13 + n° 14 + n° 15 + n° 16 + n° 17 + n° 18 + n° 19 + n° 22 + n° 23 + n° 24 + n° 25 + n° 27 + n° 28 + n° 29 + n° 30</t>
        </is>
      </c>
      <c r="E1535" t="inlineStr">
        <is>
          <t>LIGOUSE</t>
        </is>
      </c>
      <c r="F1535" t="n">
        <v>15.6</v>
      </c>
      <c r="G1535" t="inlineStr">
        <is>
          <t>n° 22 : 0,25 + n° 23 : 0,25 + n° 24 : 0,25 + n° 25 : 0,25</t>
        </is>
      </c>
      <c r="H1535" t="n">
        <v>1</v>
      </c>
    </row>
    <row r="1536">
      <c r="A1536" t="inlineStr">
        <is>
          <t>2022-2023</t>
        </is>
      </c>
      <c r="B1536" t="inlineStr">
        <is>
          <t>2023-03-10</t>
        </is>
      </c>
      <c r="C1536" t="inlineStr">
        <is>
          <t>20:18</t>
        </is>
      </c>
      <c r="D1536" t="inlineStr">
        <is>
          <t>n° 9 + n° 10 + n° 11 + n° 12 + n° 13 + n° 14 + n° 15 + n° 16 + n° 17 + n° 18 + n° 19 + n° 22 + n° 23 + n° 24 + n° 25 + n° 27 + n° 28 + n° 29 + n° 30</t>
        </is>
      </c>
      <c r="E1536" t="inlineStr">
        <is>
          <t>Sauce Morilles</t>
        </is>
      </c>
      <c r="F1536" t="n">
        <v>14.9</v>
      </c>
      <c r="G1536" t="inlineStr">
        <is>
          <t>n° 9 : 0,14 + n° 10 : 0,14 + n° 11 : 0,14 + n° 12 : 0,15 + n° 13 : 0,14 + n° 14 : 0,15 + n° 15 : 0,14</t>
        </is>
      </c>
      <c r="H1536" t="n">
        <v>1</v>
      </c>
    </row>
    <row r="1537">
      <c r="A1537" t="inlineStr">
        <is>
          <t>2022-2023</t>
        </is>
      </c>
      <c r="B1537" t="inlineStr">
        <is>
          <t>2023-03-10</t>
        </is>
      </c>
      <c r="C1537" t="inlineStr">
        <is>
          <t>20:18</t>
        </is>
      </c>
      <c r="D1537" t="inlineStr">
        <is>
          <t>n° 9 + n° 10 + n° 11 + n° 12 + n° 13 + n° 14 + n° 15 + n° 16 + n° 17 + n° 18 + n° 19 + n° 22 + n° 23 + n° 24 + n° 25 + n° 27 + n° 28 + n° 29 + n° 30</t>
        </is>
      </c>
      <c r="E1537" t="inlineStr">
        <is>
          <t>Cidre Bouché Brut</t>
        </is>
      </c>
      <c r="F1537" t="n">
        <v>14</v>
      </c>
      <c r="G1537" t="inlineStr">
        <is>
          <t>n° 9 : 0,14 + n° 10 : 0,14 + n° 11 : 0,14 + n° 12 : 0,15 + n° 13 : 0,14 + n° 14 : 0,15 + n° 15 : 0,14</t>
        </is>
      </c>
      <c r="H1537" t="n">
        <v>1</v>
      </c>
    </row>
    <row r="1538">
      <c r="A1538" t="inlineStr">
        <is>
          <t>2022-2023</t>
        </is>
      </c>
      <c r="B1538" t="inlineStr">
        <is>
          <t>2023-03-10</t>
        </is>
      </c>
      <c r="C1538" t="inlineStr">
        <is>
          <t>20:18</t>
        </is>
      </c>
      <c r="D1538" t="inlineStr">
        <is>
          <t>n° 9 + n° 10 + n° 11 + n° 12 + n° 13 + n° 14 + n° 15 + n° 16 + n° 17 + n° 18 + n° 19 + n° 22 + n° 23 + n° 24 + n° 25 + n° 27 + n° 28 + n° 29 + n° 30</t>
        </is>
      </c>
      <c r="E1538" t="inlineStr">
        <is>
          <t>BARBEULENET</t>
        </is>
      </c>
      <c r="F1538" t="n">
        <v>13.9</v>
      </c>
      <c r="G1538" t="inlineStr">
        <is>
          <t>n° 9 : 0,14 + n° 10 : 0,14 + n° 11 : 0,14 + n° 12 : 0,15 + n° 13 : 0,14 + n° 14 : 0,15 + n° 15 : 0,14</t>
        </is>
      </c>
      <c r="H1538" t="n">
        <v>1</v>
      </c>
    </row>
    <row r="1539">
      <c r="A1539" t="inlineStr">
        <is>
          <t>2022-2023</t>
        </is>
      </c>
      <c r="B1539" t="inlineStr">
        <is>
          <t>2023-03-10</t>
        </is>
      </c>
      <c r="C1539" t="inlineStr">
        <is>
          <t>20:18</t>
        </is>
      </c>
      <c r="D1539" t="inlineStr">
        <is>
          <t>n° 9 + n° 10 + n° 11 + n° 12 + n° 13 + n° 14 + n° 15 + n° 16 + n° 17 + n° 18 + n° 19 + n° 22 + n° 23 + n° 24 + n° 25 + n° 27 + n° 28 + n° 29 + n° 30</t>
        </is>
      </c>
      <c r="E1539" t="inlineStr">
        <is>
          <t>DOUCEUR</t>
        </is>
      </c>
      <c r="F1539" t="n">
        <v>8.699999999999999</v>
      </c>
      <c r="G1539" t="inlineStr">
        <is>
          <t>n° 9 : 0,14 + n° 10 : 0,14 + n° 11 : 0,14 + n° 12 : 0,15 + n° 13 : 0,14 + n° 14 : 0,15 + n° 15 : 0,14</t>
        </is>
      </c>
      <c r="H1539" t="n">
        <v>1</v>
      </c>
    </row>
    <row r="1540">
      <c r="A1540" t="inlineStr">
        <is>
          <t>2022-2023</t>
        </is>
      </c>
      <c r="B1540" t="inlineStr">
        <is>
          <t>2023-03-10</t>
        </is>
      </c>
      <c r="C1540" t="inlineStr">
        <is>
          <t>20:18</t>
        </is>
      </c>
      <c r="D1540" t="inlineStr">
        <is>
          <t>n° 9 + n° 10 + n° 11 + n° 12 + n° 13 + n° 14 + n° 15 + n° 16 + n° 17 + n° 18 + n° 19 + n° 22 + n° 23 + n° 24 + n° 25 + n° 27 + n° 28 + n° 29 + n° 30</t>
        </is>
      </c>
      <c r="E1540" t="inlineStr">
        <is>
          <t>FLIRT</t>
        </is>
      </c>
      <c r="F1540" t="n">
        <v>8.1</v>
      </c>
      <c r="G1540" t="inlineStr">
        <is>
          <t>n° 9 : 0,14 + n° 10 : 0,14 + n° 11 : 0,14 + n° 12 : 0,15 + n° 13 : 0,14 + n° 14 : 0,15 + n° 15 : 0,14</t>
        </is>
      </c>
      <c r="H1540" t="n">
        <v>1</v>
      </c>
    </row>
    <row r="1541">
      <c r="A1541" t="inlineStr">
        <is>
          <t>2022-2023</t>
        </is>
      </c>
      <c r="B1541" t="inlineStr">
        <is>
          <t>2023-03-10</t>
        </is>
      </c>
      <c r="C1541" t="inlineStr">
        <is>
          <t>20:18</t>
        </is>
      </c>
      <c r="D1541" t="inlineStr">
        <is>
          <t>n° 9 + n° 10 + n° 11 + n° 12 + n° 13 + n° 14 + n° 15 + n° 16 + n° 17 + n° 18 + n° 19 + n° 22 + n° 23 + n° 24 + n° 25 + n° 27 + n° 28 + n° 29 + n° 30</t>
        </is>
      </c>
      <c r="E1541" t="inlineStr">
        <is>
          <t>Pinte</t>
        </is>
      </c>
      <c r="F1541" t="n">
        <v>7.8</v>
      </c>
      <c r="G1541" t="inlineStr">
        <is>
          <t>n° 27 : 0,25 + n° 28 : 0,25 + n° 29 : 0,25 + n° 30 : 0,25</t>
        </is>
      </c>
      <c r="H1541" t="n">
        <v>1</v>
      </c>
    </row>
    <row r="1542">
      <c r="A1542" t="inlineStr">
        <is>
          <t>2022-2023</t>
        </is>
      </c>
      <c r="B1542" t="inlineStr">
        <is>
          <t>2023-03-10</t>
        </is>
      </c>
      <c r="C1542" t="inlineStr">
        <is>
          <t>20:18</t>
        </is>
      </c>
      <c r="D1542" t="inlineStr">
        <is>
          <t>n° 9 + n° 10 + n° 11 + n° 12 + n° 13 + n° 14 + n° 15 + n° 16 + n° 17 + n° 18 + n° 19 + n° 22 + n° 23 + n° 24 + n° 25 + n° 27 + n° 28 + n° 29 + n° 30</t>
        </is>
      </c>
      <c r="E1542" t="inlineStr">
        <is>
          <t>CUPIDON</t>
        </is>
      </c>
      <c r="F1542" t="n">
        <v>7.5</v>
      </c>
      <c r="G1542" t="inlineStr">
        <is>
          <t>n° 9 : 0,14 + n° 10 : 0,14 + n° 11 : 0,14 + n° 12 : 0,15 + n° 13 : 0,14 + n° 14 : 0,15 + n° 15 : 0,14</t>
        </is>
      </c>
      <c r="H1542" t="n">
        <v>1</v>
      </c>
    </row>
    <row r="1543">
      <c r="A1543" t="inlineStr">
        <is>
          <t>2022-2023</t>
        </is>
      </c>
      <c r="B1543" t="inlineStr">
        <is>
          <t>2023-03-10</t>
        </is>
      </c>
      <c r="C1543" t="inlineStr">
        <is>
          <t>20:18</t>
        </is>
      </c>
      <c r="D1543" t="inlineStr">
        <is>
          <t>n° 9 + n° 10 + n° 11 + n° 12 + n° 13 + n° 14 + n° 15 + n° 16 + n° 17 + n° 18 + n° 19 + n° 22 + n° 23 + n° 24 + n° 25 + n° 27 + n° 28 + n° 29 + n° 30</t>
        </is>
      </c>
      <c r="E1543" t="inlineStr">
        <is>
          <t>La Vouivre</t>
        </is>
      </c>
      <c r="F1543" t="n">
        <v>5.2</v>
      </c>
      <c r="G1543" t="inlineStr">
        <is>
          <t>n° 9 : 0,14 + n° 10 : 0,14 + n° 11 : 0,14 + n° 12 : 0,15 + n° 13 : 0,14 + n° 14 : 0,15 + n° 15 : 0,14</t>
        </is>
      </c>
      <c r="H1543" t="n">
        <v>1</v>
      </c>
    </row>
    <row r="1544">
      <c r="A1544" t="inlineStr">
        <is>
          <t>2022-2023</t>
        </is>
      </c>
      <c r="B1544" t="inlineStr">
        <is>
          <t>2023-03-10</t>
        </is>
      </c>
      <c r="C1544" t="inlineStr">
        <is>
          <t>20:18</t>
        </is>
      </c>
      <c r="D1544" t="inlineStr">
        <is>
          <t>n° 9 + n° 10 + n° 11 + n° 12 + n° 13 + n° 14 + n° 15 + n° 16 + n° 17 + n° 18 + n° 19 + n° 22 + n° 23 + n° 24 + n° 25 + n° 27 + n° 28 + n° 29 + n° 30</t>
        </is>
      </c>
      <c r="E1544" t="inlineStr">
        <is>
          <t>Chat perché</t>
        </is>
      </c>
      <c r="F1544" t="n">
        <v>5.2</v>
      </c>
      <c r="G1544" t="inlineStr">
        <is>
          <t>n° 27 : 0,25 + n° 28 : 0,25 + n° 29 : 0,25 + n° 30 : 0,25</t>
        </is>
      </c>
      <c r="H1544" t="n">
        <v>1</v>
      </c>
    </row>
    <row r="1545">
      <c r="A1545" t="inlineStr">
        <is>
          <t>2022-2023</t>
        </is>
      </c>
      <c r="B1545" t="inlineStr">
        <is>
          <t>2023-03-10</t>
        </is>
      </c>
      <c r="C1545" t="inlineStr">
        <is>
          <t>20:18</t>
        </is>
      </c>
      <c r="D1545" t="inlineStr">
        <is>
          <t>n° 9 + n° 10 + n° 11 + n° 12 + n° 13 + n° 14 + n° 15 + n° 16 + n° 17 + n° 18 + n° 19 + n° 22 + n° 23 + n° 24 + n° 25 + n° 27 + n° 28 + n° 29 + n° 30</t>
        </is>
      </c>
      <c r="E1545" t="inlineStr">
        <is>
          <t>Crepe Chocolat</t>
        </is>
      </c>
      <c r="F1545" t="n">
        <v>4.7</v>
      </c>
      <c r="G1545" t="inlineStr">
        <is>
          <t>n° 9 : 0,14 + n° 10 : 0,14 + n° 11 : 0,14 + n° 12 : 0,15 + n° 13 : 0,14 + n° 14 : 0,15 + n° 15 : 0,14 + n° 27 : 0,25 + n° 28 : 0,25 + n° 29 : 0,25 + n° 30 : 0,25</t>
        </is>
      </c>
      <c r="H1545" t="n">
        <v>2</v>
      </c>
    </row>
    <row r="1546">
      <c r="A1546" t="inlineStr">
        <is>
          <t>2022-2023</t>
        </is>
      </c>
      <c r="B1546" t="inlineStr">
        <is>
          <t>2023-03-10</t>
        </is>
      </c>
      <c r="C1546" t="inlineStr">
        <is>
          <t>20:18</t>
        </is>
      </c>
      <c r="D1546" t="inlineStr">
        <is>
          <t>n° 9 + n° 10 + n° 11 + n° 12 + n° 13 + n° 14 + n° 15 + n° 16 + n° 17 + n° 18 + n° 19 + n° 22 + n° 23 + n° 24 + n° 25 + n° 27 + n° 28 + n° 29 + n° 30</t>
        </is>
      </c>
      <c r="E1546" t="inlineStr">
        <is>
          <t>Crêpe Marrons</t>
        </is>
      </c>
      <c r="F1546" t="n">
        <v>4.7</v>
      </c>
      <c r="G1546" t="inlineStr">
        <is>
          <t>n° 27 : 0,25 + n° 28 : 0,25 + n° 29 : 0,25 + n° 30 : 0,25</t>
        </is>
      </c>
      <c r="H1546" t="n">
        <v>1</v>
      </c>
    </row>
    <row r="1547">
      <c r="A1547" t="inlineStr">
        <is>
          <t>2022-2023</t>
        </is>
      </c>
      <c r="B1547" t="inlineStr">
        <is>
          <t>2023-03-10</t>
        </is>
      </c>
      <c r="C1547" t="inlineStr">
        <is>
          <t>20:18</t>
        </is>
      </c>
      <c r="D1547" t="inlineStr">
        <is>
          <t>n° 9 + n° 10 + n° 11 + n° 12 + n° 13 + n° 14 + n° 15 + n° 16 + n° 17 + n° 18 + n° 19 + n° 22 + n° 23 + n° 24 + n° 25 + n° 27 + n° 28 + n° 29 + n° 30</t>
        </is>
      </c>
      <c r="E1547" t="inlineStr">
        <is>
          <t>Picon bière</t>
        </is>
      </c>
      <c r="F1547" t="n">
        <v>4.5</v>
      </c>
      <c r="G1547" t="inlineStr">
        <is>
          <t>n° 9 : 0,29 + n° 10 : 0,29 + n° 11 : 0,28 + n° 12 : 0,29 + n° 13 : 0,28 + n° 14 : 0,29 + n° 15 : 0,28</t>
        </is>
      </c>
      <c r="H1547" t="n">
        <v>2</v>
      </c>
    </row>
    <row r="1548">
      <c r="A1548" t="inlineStr">
        <is>
          <t>2022-2023</t>
        </is>
      </c>
      <c r="B1548" t="inlineStr">
        <is>
          <t>2023-03-10</t>
        </is>
      </c>
      <c r="C1548" t="inlineStr">
        <is>
          <t>20:18</t>
        </is>
      </c>
      <c r="D1548" t="inlineStr">
        <is>
          <t>n° 9 + n° 10 + n° 11 + n° 12 + n° 13 + n° 14 + n° 15 + n° 16 + n° 17 + n° 18 + n° 19 + n° 22 + n° 23 + n° 24 + n° 25 + n° 27 + n° 28 + n° 29 + n° 30</t>
        </is>
      </c>
      <c r="E1548" t="inlineStr">
        <is>
          <t>Kir Bourgogne</t>
        </is>
      </c>
      <c r="F1548" t="n">
        <v>4.2</v>
      </c>
      <c r="G1548" t="inlineStr">
        <is>
          <t>n° 9 : 0,43 + n° 10 : 0,43 + n° 11 : 0,43 + n° 12 : 0,43 + n° 13 : 0,43 + n° 14 : 0,43 + n° 15 : 0,42</t>
        </is>
      </c>
      <c r="H1548" t="n">
        <v>3</v>
      </c>
    </row>
    <row r="1549">
      <c r="A1549" t="inlineStr">
        <is>
          <t>2022-2023</t>
        </is>
      </c>
      <c r="B1549" t="inlineStr">
        <is>
          <t>2023-03-10</t>
        </is>
      </c>
      <c r="C1549" t="inlineStr">
        <is>
          <t>20:18</t>
        </is>
      </c>
      <c r="D1549" t="inlineStr">
        <is>
          <t>n° 9 + n° 10 + n° 11 + n° 12 + n° 13 + n° 14 + n° 15 + n° 16 + n° 17 + n° 18 + n° 19 + n° 22 + n° 23 + n° 24 + n° 25 + n° 27 + n° 28 + n° 29 + n° 30</t>
        </is>
      </c>
      <c r="E1549" t="inlineStr">
        <is>
          <t>Martini Blanc</t>
        </is>
      </c>
      <c r="F1549" t="n">
        <v>4.2</v>
      </c>
      <c r="G1549" t="inlineStr">
        <is>
          <t>n° 27 : 0,50 + n° 28 : 0,50 + n° 29 : 0,50 + n° 30 : 0,50</t>
        </is>
      </c>
      <c r="H1549" t="n">
        <v>2</v>
      </c>
    </row>
    <row r="1550">
      <c r="A1550" t="inlineStr">
        <is>
          <t>2022-2023</t>
        </is>
      </c>
      <c r="B1550" t="inlineStr">
        <is>
          <t>2023-03-10</t>
        </is>
      </c>
      <c r="C1550" t="inlineStr">
        <is>
          <t>20:18</t>
        </is>
      </c>
      <c r="D1550" t="inlineStr">
        <is>
          <t>n° 9 + n° 10 + n° 11 + n° 12 + n° 13 + n° 14 + n° 15 + n° 16 + n° 17 + n° 18 + n° 19 + n° 22 + n° 23 + n° 24 + n° 25 + n° 27 + n° 28 + n° 29 + n° 30</t>
        </is>
      </c>
      <c r="E1550" t="inlineStr">
        <is>
          <t>Comté</t>
        </is>
      </c>
      <c r="F1550" t="n">
        <v>4</v>
      </c>
      <c r="G1550" t="inlineStr">
        <is>
          <t>n° 9 : 0,14 + n° 10 : 0,14 + n° 11 : 0,14 + n° 12 : 0,15 + n° 13 : 0,14 + n° 14 : 0,15 + n° 15 : 0,14</t>
        </is>
      </c>
      <c r="H1550" t="n">
        <v>1</v>
      </c>
    </row>
    <row r="1551">
      <c r="A1551" t="inlineStr">
        <is>
          <t>2022-2023</t>
        </is>
      </c>
      <c r="B1551" t="inlineStr">
        <is>
          <t>2023-03-10</t>
        </is>
      </c>
      <c r="C1551" t="inlineStr">
        <is>
          <t>20:18</t>
        </is>
      </c>
      <c r="D1551" t="inlineStr">
        <is>
          <t>n° 9 + n° 10 + n° 11 + n° 12 + n° 13 + n° 14 + n° 15 + n° 16 + n° 17 + n° 18 + n° 19 + n° 22 + n° 23 + n° 24 + n° 25 + n° 27 + n° 28 + n° 29 + n° 30</t>
        </is>
      </c>
      <c r="E1551" t="inlineStr">
        <is>
          <t>Jus de Fruit</t>
        </is>
      </c>
      <c r="F1551" t="n">
        <v>3.9</v>
      </c>
      <c r="G1551" t="inlineStr">
        <is>
          <t>n° 9 : 0,14 + n° 10 : 0,14 + n° 11 : 0,14 + n° 12 : 0,15 + n° 13 : 0,14 + n° 14 : 0,15 + n° 15 : 0,14</t>
        </is>
      </c>
      <c r="H1551" t="n">
        <v>1</v>
      </c>
    </row>
    <row r="1552">
      <c r="A1552" t="inlineStr">
        <is>
          <t>2022-2023</t>
        </is>
      </c>
      <c r="B1552" t="inlineStr">
        <is>
          <t>2023-03-10</t>
        </is>
      </c>
      <c r="C1552" t="inlineStr">
        <is>
          <t>20:18</t>
        </is>
      </c>
      <c r="D1552" t="inlineStr">
        <is>
          <t>n° 9 + n° 10 + n° 11 + n° 12 + n° 13 + n° 14 + n° 15 + n° 16 + n° 17 + n° 18 + n° 19 + n° 22 + n° 23 + n° 24 + n° 25 + n° 27 + n° 28 + n° 29 + n° 30</t>
        </is>
      </c>
      <c r="E1552" t="inlineStr">
        <is>
          <t>Galette nature</t>
        </is>
      </c>
      <c r="F1552" t="n">
        <v>3.9</v>
      </c>
      <c r="G1552" t="inlineStr">
        <is>
          <t>n° 9 : 0,43 + n° 10 : 0,43 + n° 11 : 0,43 + n° 12 : 0,43 + n° 13 : 0,43 + n° 14 : 0,43 + n° 15 : 0,42</t>
        </is>
      </c>
      <c r="H1552" t="n">
        <v>3</v>
      </c>
    </row>
    <row r="1553">
      <c r="A1553" t="inlineStr">
        <is>
          <t>2022-2023</t>
        </is>
      </c>
      <c r="B1553" t="inlineStr">
        <is>
          <t>2023-03-10</t>
        </is>
      </c>
      <c r="C1553" t="inlineStr">
        <is>
          <t>20:18</t>
        </is>
      </c>
      <c r="D1553" t="inlineStr">
        <is>
          <t>n° 9 + n° 10 + n° 11 + n° 12 + n° 13 + n° 14 + n° 15 + n° 16 + n° 17 + n° 18 + n° 19 + n° 22 + n° 23 + n° 24 + n° 25 + n° 27 + n° 28 + n° 29 + n° 30</t>
        </is>
      </c>
      <c r="E1553" t="inlineStr">
        <is>
          <t>Cancoillotte</t>
        </is>
      </c>
      <c r="F1553" t="n">
        <v>3.9</v>
      </c>
      <c r="G1553" t="inlineStr">
        <is>
          <t>n° 9 : 0,14 + n° 10 : 0,14 + n° 11 : 0,14 + n° 12 : 0,15 + n° 13 : 0,14 + n° 14 : 0,15 + n° 15 : 0,14</t>
        </is>
      </c>
      <c r="H1553" t="n">
        <v>1</v>
      </c>
    </row>
    <row r="1554">
      <c r="A1554" t="inlineStr">
        <is>
          <t>2022-2023</t>
        </is>
      </c>
      <c r="B1554" t="inlineStr">
        <is>
          <t>2023-03-10</t>
        </is>
      </c>
      <c r="C1554" t="inlineStr">
        <is>
          <t>20:18</t>
        </is>
      </c>
      <c r="D1554" t="inlineStr">
        <is>
          <t>n° 9 + n° 10 + n° 11 + n° 12 + n° 13 + n° 14 + n° 15 + n° 16 + n° 17 + n° 18 + n° 19 + n° 22 + n° 23 + n° 24 + n° 25 + n° 27 + n° 28 + n° 29 + n° 30</t>
        </is>
      </c>
      <c r="E1554" t="inlineStr">
        <is>
          <t>GLACE 2 BOULES</t>
        </is>
      </c>
      <c r="F1554" t="n">
        <v>3.9</v>
      </c>
      <c r="G1554" t="inlineStr">
        <is>
          <t>n° 9 : 0,29 + n° 10 : 0,29 + n° 11 : 0,28 + n° 12 : 0,29 + n° 13 : 0,28 + n° 14 : 0,29 + n° 15 : 0,28 + n° 22 : 0,50 + n° 23 : 0,50 + n° 24 : 0,50 + n° 25 : 0,50</t>
        </is>
      </c>
      <c r="H1554" t="n">
        <v>4</v>
      </c>
    </row>
    <row r="1555">
      <c r="A1555" t="inlineStr">
        <is>
          <t>2022-2023</t>
        </is>
      </c>
      <c r="B1555" t="inlineStr">
        <is>
          <t>2023-03-10</t>
        </is>
      </c>
      <c r="C1555" t="inlineStr">
        <is>
          <t>20:18</t>
        </is>
      </c>
      <c r="D1555" t="inlineStr">
        <is>
          <t>n° 9 + n° 10 + n° 11 + n° 12 + n° 13 + n° 14 + n° 15 + n° 16 + n° 17 + n° 18 + n° 19 + n° 22 + n° 23 + n° 24 + n° 25 + n° 27 + n° 28 + n° 29 + n° 30</t>
        </is>
      </c>
      <c r="E1555" t="inlineStr">
        <is>
          <t>pression</t>
        </is>
      </c>
      <c r="F1555" t="n">
        <v>3.9</v>
      </c>
      <c r="G1555" t="inlineStr">
        <is>
          <t>n° 16 : 0,25 + n° 17 : 0,25 + n° 18 : 0,25 + n° 19 : 0,25</t>
        </is>
      </c>
      <c r="H1555" t="n">
        <v>1</v>
      </c>
    </row>
    <row r="1556">
      <c r="A1556" t="inlineStr">
        <is>
          <t>2022-2023</t>
        </is>
      </c>
      <c r="B1556" t="inlineStr">
        <is>
          <t>2023-03-10</t>
        </is>
      </c>
      <c r="C1556" t="inlineStr">
        <is>
          <t>20:18</t>
        </is>
      </c>
      <c r="D1556" t="inlineStr">
        <is>
          <t>n° 9 + n° 10 + n° 11 + n° 12 + n° 13 + n° 14 + n° 15 + n° 16 + n° 17 + n° 18 + n° 19 + n° 22 + n° 23 + n° 24 + n° 25 + n° 27 + n° 28 + n° 29 + n° 30</t>
        </is>
      </c>
      <c r="E1556" t="inlineStr">
        <is>
          <t>Pommes de Terre</t>
        </is>
      </c>
      <c r="F1556" t="n">
        <v>3.2</v>
      </c>
      <c r="G1556" t="inlineStr">
        <is>
          <t>n° 9 : 0,29 + n° 10 : 0,29 + n° 11 : 0,28 + n° 12 : 0,29 + n° 13 : 0,28 + n° 14 : 0,29 + n° 15 : 0,28</t>
        </is>
      </c>
      <c r="H1556" t="n">
        <v>2</v>
      </c>
    </row>
    <row r="1557">
      <c r="A1557" t="inlineStr">
        <is>
          <t>2022-2023</t>
        </is>
      </c>
      <c r="B1557" t="inlineStr">
        <is>
          <t>2023-03-10</t>
        </is>
      </c>
      <c r="C1557" t="inlineStr">
        <is>
          <t>20:18</t>
        </is>
      </c>
      <c r="D1557" t="inlineStr">
        <is>
          <t>n° 9 + n° 10 + n° 11 + n° 12 + n° 13 + n° 14 + n° 15 + n° 16 + n° 17 + n° 18 + n° 19 + n° 22 + n° 23 + n° 24 + n° 25 + n° 27 + n° 28 + n° 29 + n° 30</t>
        </is>
      </c>
      <c r="E1557" t="inlineStr">
        <is>
          <t>Champignons frais</t>
        </is>
      </c>
      <c r="F1557" t="n">
        <v>3.2</v>
      </c>
      <c r="G1557" t="inlineStr">
        <is>
          <t>n° 9 : 0,14 + n° 10 : 0,14 + n° 11 : 0,14 + n° 12 : 0,15 + n° 13 : 0,14 + n° 14 : 0,15 + n° 15 : 0,14</t>
        </is>
      </c>
      <c r="H1557" t="n">
        <v>1</v>
      </c>
    </row>
    <row r="1558">
      <c r="A1558" t="inlineStr">
        <is>
          <t>2022-2023</t>
        </is>
      </c>
      <c r="B1558" t="inlineStr">
        <is>
          <t>2023-03-10</t>
        </is>
      </c>
      <c r="C1558" t="inlineStr">
        <is>
          <t>20:18</t>
        </is>
      </c>
      <c r="D1558" t="inlineStr">
        <is>
          <t>n° 9 + n° 10 + n° 11 + n° 12 + n° 13 + n° 14 + n° 15 + n° 16 + n° 17 + n° 18 + n° 19 + n° 22 + n° 23 + n° 24 + n° 25 + n° 27 + n° 28 + n° 29 + n° 30</t>
        </is>
      </c>
      <c r="E1558" t="inlineStr">
        <is>
          <t>Crêpe sucrée</t>
        </is>
      </c>
      <c r="F1558" t="n">
        <v>2.9</v>
      </c>
      <c r="G1558" t="inlineStr">
        <is>
          <t>n° 16 : 0,25 + n° 17 : 0,25 + n° 18 : 0,25 + n° 19 : 0,25</t>
        </is>
      </c>
      <c r="H1558" t="n">
        <v>1</v>
      </c>
    </row>
    <row r="1559">
      <c r="A1559" t="inlineStr">
        <is>
          <t>2022-2023</t>
        </is>
      </c>
      <c r="B1559" t="inlineStr">
        <is>
          <t>2023-03-10</t>
        </is>
      </c>
      <c r="C1559" t="inlineStr">
        <is>
          <t>20:18</t>
        </is>
      </c>
      <c r="D1559" t="inlineStr">
        <is>
          <t>n° 9 + n° 10 + n° 11 + n° 12 + n° 13 + n° 14 + n° 15 + n° 16 + n° 17 + n° 18 + n° 19 + n° 22 + n° 23 + n° 24 + n° 25 + n° 27 + n° 28 + n° 29 + n° 30</t>
        </is>
      </c>
      <c r="E1559" t="inlineStr">
        <is>
          <t>Crêpe nature</t>
        </is>
      </c>
      <c r="F1559" t="n">
        <v>2.9</v>
      </c>
      <c r="G1559" t="inlineStr">
        <is>
          <t>n° 16 : 0,25 + n° 17 : 0,25 + n° 18 : 0,25 + n° 19 : 0,25 + n° 27 : 0,25 + n° 28 : 0,25 + n° 29 : 0,25 + n° 30 : 0,25</t>
        </is>
      </c>
      <c r="H1559" t="n">
        <v>2</v>
      </c>
    </row>
    <row r="1560">
      <c r="A1560" t="inlineStr">
        <is>
          <t>2022-2023</t>
        </is>
      </c>
      <c r="B1560" t="inlineStr">
        <is>
          <t>2023-03-10</t>
        </is>
      </c>
      <c r="C1560" t="inlineStr">
        <is>
          <t>20:18</t>
        </is>
      </c>
      <c r="D1560" t="inlineStr">
        <is>
          <t>n° 9 + n° 10 + n° 11 + n° 12 + n° 13 + n° 14 + n° 15 + n° 16 + n° 17 + n° 18 + n° 19 + n° 22 + n° 23 + n° 24 + n° 25 + n° 27 + n° 28 + n° 29 + n° 30</t>
        </is>
      </c>
      <c r="E1560" t="inlineStr">
        <is>
          <t>Expresso</t>
        </is>
      </c>
      <c r="F1560" t="n">
        <v>2.2</v>
      </c>
      <c r="G1560" t="inlineStr">
        <is>
          <t>n° 9 : 0,29 + n° 10 : 0,29 + n° 11 : 0,28 + n° 12 : 0,29 + n° 13 : 0,28 + n° 14 : 0,29 + n° 15 : 0,28 + n° 16 : 0,25 + n° 17 : 0,25 + n° 18 : 0,25 + n° 19 : 0,25 + n° 22 : 0,50 + n° 23 : 0,50 + n° 24 : 0,50 + n° 25 : 0,50</t>
        </is>
      </c>
      <c r="H1560" t="n">
        <v>5</v>
      </c>
    </row>
    <row r="1561">
      <c r="A1561" t="inlineStr">
        <is>
          <t>2022-2023</t>
        </is>
      </c>
      <c r="B1561" t="inlineStr">
        <is>
          <t>2023-03-10</t>
        </is>
      </c>
      <c r="C1561" t="inlineStr">
        <is>
          <t>20:18</t>
        </is>
      </c>
      <c r="D1561" t="inlineStr">
        <is>
          <t>n° 9 + n° 10 + n° 11 + n° 12 + n° 13 + n° 14 + n° 15 + n° 16 + n° 17 + n° 18 + n° 19 + n° 22 + n° 23 + n° 24 + n° 25 + n° 27 + n° 28 + n° 29 + n° 30</t>
        </is>
      </c>
      <c r="E1561" t="inlineStr">
        <is>
          <t>Sirop à l'eau</t>
        </is>
      </c>
      <c r="F1561" t="n">
        <v>2.2</v>
      </c>
      <c r="G1561" t="inlineStr">
        <is>
          <t>n° 16 : 0,75 + n° 17 : 0,75 + n° 18 : 0,75 + n° 19 : 0,75</t>
        </is>
      </c>
      <c r="H1561" t="n">
        <v>3</v>
      </c>
    </row>
    <row r="1562">
      <c r="A1562" t="inlineStr">
        <is>
          <t>2022-2023</t>
        </is>
      </c>
      <c r="B1562" t="inlineStr">
        <is>
          <t>2023-03-10</t>
        </is>
      </c>
      <c r="C1562" t="inlineStr">
        <is>
          <t>20:18</t>
        </is>
      </c>
      <c r="D1562" t="inlineStr">
        <is>
          <t>n° 9 + n° 10 + n° 11 + n° 12 + n° 13 + n° 14 + n° 15 + n° 16 + n° 17 + n° 18 + n° 19 + n° 22 + n° 23 + n° 24 + n° 25 + n° 27 + n° 28 + n° 29 + n° 30</t>
        </is>
      </c>
      <c r="E1562" t="inlineStr">
        <is>
          <t>GLACE 1 BOULE</t>
        </is>
      </c>
      <c r="F1562" t="n">
        <v>2</v>
      </c>
      <c r="G1562" t="inlineStr">
        <is>
          <t>n° 22 : 0,25 + n° 23 : 0,25 + n° 24 : 0,25 + n° 25 : 0,25 + n° 27 : 0,25 + n° 28 : 0,25 + n° 29 : 0,25 + n° 30 : 0,25</t>
        </is>
      </c>
      <c r="H1562" t="n">
        <v>2</v>
      </c>
    </row>
    <row r="1563">
      <c r="A1563" t="inlineStr">
        <is>
          <t>2022-2023</t>
        </is>
      </c>
      <c r="B1563" t="inlineStr">
        <is>
          <t>2023-03-10</t>
        </is>
      </c>
      <c r="C1563" t="inlineStr">
        <is>
          <t>20:18</t>
        </is>
      </c>
      <c r="D1563" t="inlineStr">
        <is>
          <t>n° 9 + n° 10 + n° 11 + n° 12 + n° 13 + n° 14 + n° 15 + n° 16 + n° 17 + n° 18 + n° 19 + n° 22 + n° 23 + n° 24 + n° 25 + n° 27 + n° 28 + n° 29 + n° 30</t>
        </is>
      </c>
      <c r="E1563" t="inlineStr">
        <is>
          <t>Chantilly</t>
        </is>
      </c>
      <c r="F1563" t="n">
        <v>1.8</v>
      </c>
      <c r="G1563" t="inlineStr">
        <is>
          <t>n° 9 : 0,14 + n° 10 : 0,14 + n° 11 : 0,14 + n° 12 : 0,15 + n° 13 : 0,14 + n° 14 : 0,15 + n° 15 : 0,14</t>
        </is>
      </c>
      <c r="H1563" t="n">
        <v>1</v>
      </c>
    </row>
    <row r="1564">
      <c r="A1564" t="inlineStr">
        <is>
          <t>2022-2023</t>
        </is>
      </c>
      <c r="B1564" t="inlineStr">
        <is>
          <t>2023-03-10</t>
        </is>
      </c>
      <c r="C1564" t="inlineStr">
        <is>
          <t>20:18</t>
        </is>
      </c>
      <c r="D1564" t="inlineStr">
        <is>
          <t>n° 9 + n° 10 + n° 11 + n° 12 + n° 13 + n° 14 + n° 15 + n° 16 + n° 17 + n° 18 + n° 19 + n° 22 + n° 23 + n° 24 + n° 25 + n° 27 + n° 28 + n° 29 + n° 30</t>
        </is>
      </c>
      <c r="E1564" t="inlineStr">
        <is>
          <t>Jus de citron</t>
        </is>
      </c>
      <c r="F1564" t="n">
        <v>1.2</v>
      </c>
      <c r="G1564" t="inlineStr">
        <is>
          <t>n° 16 : 0,25 + n° 17 : 0,25 + n° 18 : 0,25 + n° 19 : 0,25 + n° 27 : 0,25 + n° 28 : 0,25 + n° 29 : 0,25 + n° 30 : 0,25</t>
        </is>
      </c>
      <c r="H1564" t="n">
        <v>2</v>
      </c>
    </row>
    <row r="1565">
      <c r="A1565" t="inlineStr">
        <is>
          <t>2022-2023</t>
        </is>
      </c>
      <c r="B1565" t="inlineStr">
        <is>
          <t>2023-03-10</t>
        </is>
      </c>
      <c r="C1565" t="inlineStr">
        <is>
          <t>20:18</t>
        </is>
      </c>
      <c r="D1565" t="inlineStr">
        <is>
          <t>n° 9 + n° 10 + n° 11 + n° 12 + n° 13 + n° 14 + n° 15 + n° 16 + n° 17 + n° 18 + n° 19 + n° 22 + n° 23 + n° 24 + n° 25 + n° 27 + n° 28 + n° 29 + n° 30</t>
        </is>
      </c>
      <c r="E1565" t="inlineStr">
        <is>
          <t>Œuf</t>
        </is>
      </c>
      <c r="F1565" t="n">
        <v>0.9</v>
      </c>
      <c r="G1565" t="inlineStr">
        <is>
          <t>n° 9 : 0,14 + n° 10 : 0,14 + n° 11 : 0,14 + n° 12 : 0,15 + n° 13 : 0,14 + n° 14 : 0,15 + n° 15 : 0,14</t>
        </is>
      </c>
      <c r="H1565" t="n">
        <v>1</v>
      </c>
    </row>
    <row r="1566">
      <c r="A1566" t="inlineStr">
        <is>
          <t>2022-2023</t>
        </is>
      </c>
      <c r="B1566" t="inlineStr">
        <is>
          <t>2023-03-11</t>
        </is>
      </c>
      <c r="C1566" t="inlineStr">
        <is>
          <t>13:07</t>
        </is>
      </c>
      <c r="D1566" t="inlineStr">
        <is>
          <t>n° 5 + n° 6</t>
        </is>
      </c>
      <c r="E1566" t="inlineStr">
        <is>
          <t>PiCHET TROUSSEAU</t>
        </is>
      </c>
      <c r="F1566" t="n">
        <v>24</v>
      </c>
      <c r="G1566" t="inlineStr">
        <is>
          <t>n° 5 : 0,50 + n° 6 : 0,50</t>
        </is>
      </c>
      <c r="H1566" t="n">
        <v>1</v>
      </c>
    </row>
    <row r="1567">
      <c r="A1567" t="inlineStr">
        <is>
          <t>2022-2023</t>
        </is>
      </c>
      <c r="B1567" t="inlineStr">
        <is>
          <t>2023-03-11</t>
        </is>
      </c>
      <c r="C1567" t="inlineStr">
        <is>
          <t>13:07</t>
        </is>
      </c>
      <c r="D1567" t="inlineStr">
        <is>
          <t>n° 5 + n° 6</t>
        </is>
      </c>
      <c r="E1567" t="inlineStr">
        <is>
          <t>POULET JURASSIENNE</t>
        </is>
      </c>
      <c r="F1567" t="n">
        <v>18.6</v>
      </c>
      <c r="G1567" t="inlineStr">
        <is>
          <t>n° 5 : 0,50 + n° 6 : 0,50</t>
        </is>
      </c>
      <c r="H1567" t="n">
        <v>1</v>
      </c>
    </row>
    <row r="1568">
      <c r="A1568" t="inlineStr">
        <is>
          <t>2022-2023</t>
        </is>
      </c>
      <c r="B1568" t="inlineStr">
        <is>
          <t>2023-03-11</t>
        </is>
      </c>
      <c r="C1568" t="inlineStr">
        <is>
          <t>13:07</t>
        </is>
      </c>
      <c r="D1568" t="inlineStr">
        <is>
          <t>n° 5 + n° 6</t>
        </is>
      </c>
      <c r="E1568" t="inlineStr">
        <is>
          <t>Croûtes Morilles</t>
        </is>
      </c>
      <c r="F1568" t="n">
        <v>16.9</v>
      </c>
      <c r="G1568" t="inlineStr">
        <is>
          <t>n° 5 : 1,50 + n° 6 : 1,50</t>
        </is>
      </c>
      <c r="H1568" t="n">
        <v>3</v>
      </c>
    </row>
    <row r="1569">
      <c r="A1569" t="inlineStr">
        <is>
          <t>2022-2023</t>
        </is>
      </c>
      <c r="B1569" t="inlineStr">
        <is>
          <t>2023-03-11</t>
        </is>
      </c>
      <c r="C1569" t="inlineStr">
        <is>
          <t>13:07</t>
        </is>
      </c>
      <c r="D1569" t="inlineStr">
        <is>
          <t>n° 5 + n° 6</t>
        </is>
      </c>
      <c r="E1569" t="inlineStr">
        <is>
          <t>Salade Franc-Comptoi</t>
        </is>
      </c>
      <c r="F1569" t="n">
        <v>8.9</v>
      </c>
      <c r="G1569" t="inlineStr">
        <is>
          <t>n° 5 : 0,50 + n° 6 : 0,50</t>
        </is>
      </c>
      <c r="H1569" t="n">
        <v>1</v>
      </c>
    </row>
    <row r="1570">
      <c r="A1570" t="inlineStr">
        <is>
          <t>2022-2023</t>
        </is>
      </c>
      <c r="B1570" t="inlineStr">
        <is>
          <t>2023-03-11</t>
        </is>
      </c>
      <c r="C1570" t="inlineStr">
        <is>
          <t>13:07</t>
        </is>
      </c>
      <c r="D1570" t="inlineStr">
        <is>
          <t>n° 5 + n° 6</t>
        </is>
      </c>
      <c r="E1570" t="inlineStr">
        <is>
          <t>Pavlova</t>
        </is>
      </c>
      <c r="F1570" t="n">
        <v>8.699999999999999</v>
      </c>
      <c r="G1570" t="inlineStr">
        <is>
          <t>n° 5 : 0,50 + n° 6 : 0,50</t>
        </is>
      </c>
      <c r="H1570" t="n">
        <v>1</v>
      </c>
    </row>
    <row r="1571">
      <c r="A1571" t="inlineStr">
        <is>
          <t>2022-2023</t>
        </is>
      </c>
      <c r="B1571" t="inlineStr">
        <is>
          <t>2023-03-11</t>
        </is>
      </c>
      <c r="C1571" t="inlineStr">
        <is>
          <t>13:07</t>
        </is>
      </c>
      <c r="D1571" t="inlineStr">
        <is>
          <t>n° 5 + n° 6</t>
        </is>
      </c>
      <c r="E1571" t="inlineStr">
        <is>
          <t>Jamhon Persillé</t>
        </is>
      </c>
      <c r="F1571" t="n">
        <v>7.2</v>
      </c>
      <c r="G1571" t="inlineStr">
        <is>
          <t>n° 5 : 0,50 + n° 6 : 0,50</t>
        </is>
      </c>
      <c r="H1571" t="n">
        <v>1</v>
      </c>
    </row>
    <row r="1572">
      <c r="A1572" t="inlineStr">
        <is>
          <t>2022-2023</t>
        </is>
      </c>
      <c r="B1572" t="inlineStr">
        <is>
          <t>2023-03-11</t>
        </is>
      </c>
      <c r="C1572" t="inlineStr">
        <is>
          <t>13:07</t>
        </is>
      </c>
      <c r="D1572" t="inlineStr">
        <is>
          <t>n° 5 + n° 6</t>
        </is>
      </c>
      <c r="E1572" t="inlineStr">
        <is>
          <t>CREME BRULEE</t>
        </is>
      </c>
      <c r="F1572" t="n">
        <v>6.9</v>
      </c>
      <c r="G1572" t="inlineStr">
        <is>
          <t>n° 5 : 0,50 + n° 6 : 0,50</t>
        </is>
      </c>
      <c r="H1572" t="n">
        <v>1</v>
      </c>
    </row>
    <row r="1573">
      <c r="A1573" t="inlineStr">
        <is>
          <t>2022-2023</t>
        </is>
      </c>
      <c r="B1573" t="inlineStr">
        <is>
          <t>2023-03-11</t>
        </is>
      </c>
      <c r="C1573" t="inlineStr">
        <is>
          <t>13:07</t>
        </is>
      </c>
      <c r="D1573" t="inlineStr">
        <is>
          <t>n° 5 + n° 6</t>
        </is>
      </c>
      <c r="E1573" t="inlineStr">
        <is>
          <t>La Vouivre</t>
        </is>
      </c>
      <c r="F1573" t="n">
        <v>5.2</v>
      </c>
      <c r="G1573" t="inlineStr">
        <is>
          <t>n° 5 : 0,50 + n° 6 : 0,50</t>
        </is>
      </c>
      <c r="H1573" t="n">
        <v>1</v>
      </c>
    </row>
    <row r="1574">
      <c r="A1574" t="inlineStr">
        <is>
          <t>2022-2023</t>
        </is>
      </c>
      <c r="B1574" t="inlineStr">
        <is>
          <t>2023-03-11</t>
        </is>
      </c>
      <c r="C1574" t="inlineStr">
        <is>
          <t>13:07</t>
        </is>
      </c>
      <c r="D1574" t="inlineStr">
        <is>
          <t>n° 5 + n° 6</t>
        </is>
      </c>
      <c r="E1574" t="inlineStr">
        <is>
          <t>Chat perché</t>
        </is>
      </c>
      <c r="F1574" t="n">
        <v>5.2</v>
      </c>
      <c r="G1574" t="inlineStr">
        <is>
          <t>n° 5 : 0,50 + n° 6 : 0,50</t>
        </is>
      </c>
      <c r="H1574" t="n">
        <v>1</v>
      </c>
    </row>
    <row r="1575">
      <c r="A1575" t="inlineStr">
        <is>
          <t>2022-2023</t>
        </is>
      </c>
      <c r="B1575" t="inlineStr">
        <is>
          <t>2023-03-11</t>
        </is>
      </c>
      <c r="C1575" t="inlineStr">
        <is>
          <t>19:27</t>
        </is>
      </c>
      <c r="D1575" t="inlineStr">
        <is>
          <t>n° 12 + n° 13</t>
        </is>
      </c>
      <c r="E1575" t="inlineStr">
        <is>
          <t>Croûtes Morilles</t>
        </is>
      </c>
      <c r="F1575" t="n">
        <v>16.9</v>
      </c>
      <c r="G1575" t="inlineStr">
        <is>
          <t>n° 12 : 0,50 + n° 13 : 0,50</t>
        </is>
      </c>
      <c r="H1575" t="n">
        <v>1</v>
      </c>
    </row>
    <row r="1576">
      <c r="A1576" t="inlineStr">
        <is>
          <t>2022-2023</t>
        </is>
      </c>
      <c r="B1576" t="inlineStr">
        <is>
          <t>2023-03-11</t>
        </is>
      </c>
      <c r="C1576" t="inlineStr">
        <is>
          <t>19:27</t>
        </is>
      </c>
      <c r="D1576" t="inlineStr">
        <is>
          <t>n° 12 + n° 13</t>
        </is>
      </c>
      <c r="E1576" t="inlineStr">
        <is>
          <t>PEUTE</t>
        </is>
      </c>
      <c r="F1576" t="n">
        <v>16.8</v>
      </c>
      <c r="G1576" t="inlineStr">
        <is>
          <t>n° 12 : 0,50 + n° 13 : 0,50</t>
        </is>
      </c>
      <c r="H1576" t="n">
        <v>1</v>
      </c>
    </row>
    <row r="1577">
      <c r="A1577" t="inlineStr">
        <is>
          <t>2022-2023</t>
        </is>
      </c>
      <c r="B1577" t="inlineStr">
        <is>
          <t>2023-03-11</t>
        </is>
      </c>
      <c r="C1577" t="inlineStr">
        <is>
          <t>19:27</t>
        </is>
      </c>
      <c r="D1577" t="inlineStr">
        <is>
          <t>n° 12 + n° 13</t>
        </is>
      </c>
      <c r="E1577" t="inlineStr">
        <is>
          <t>Cidre Bouché Doux</t>
        </is>
      </c>
      <c r="F1577" t="n">
        <v>14</v>
      </c>
      <c r="G1577" t="inlineStr">
        <is>
          <t>n° 12 : 0,50 + n° 13 : 0,50</t>
        </is>
      </c>
      <c r="H1577" t="n">
        <v>1</v>
      </c>
    </row>
    <row r="1578">
      <c r="A1578" t="inlineStr">
        <is>
          <t>2022-2023</t>
        </is>
      </c>
      <c r="B1578" t="inlineStr">
        <is>
          <t>2023-03-11</t>
        </is>
      </c>
      <c r="C1578" t="inlineStr">
        <is>
          <t>19:27</t>
        </is>
      </c>
      <c r="D1578" t="inlineStr">
        <is>
          <t>n° 12 + n° 13</t>
        </is>
      </c>
      <c r="E1578" t="inlineStr">
        <is>
          <t>Crêpe Confiture</t>
        </is>
      </c>
      <c r="F1578" t="n">
        <v>4.6</v>
      </c>
      <c r="G1578" t="inlineStr">
        <is>
          <t>n° 12 : 0,50 + n° 13 : 0,50</t>
        </is>
      </c>
      <c r="H1578" t="n">
        <v>1</v>
      </c>
    </row>
    <row r="1579">
      <c r="A1579" t="inlineStr">
        <is>
          <t>2022-2023</t>
        </is>
      </c>
      <c r="B1579" t="inlineStr">
        <is>
          <t>2023-03-11</t>
        </is>
      </c>
      <c r="C1579" t="inlineStr">
        <is>
          <t>19:27</t>
        </is>
      </c>
      <c r="D1579" t="inlineStr">
        <is>
          <t>n° 12 + n° 13</t>
        </is>
      </c>
      <c r="E1579" t="inlineStr">
        <is>
          <t>Kir Bourgogne</t>
        </is>
      </c>
      <c r="F1579" t="n">
        <v>4.2</v>
      </c>
      <c r="G1579" t="inlineStr">
        <is>
          <t>n° 12 : 0,50 + n° 13 : 0,50</t>
        </is>
      </c>
      <c r="H1579" t="n">
        <v>1</v>
      </c>
    </row>
    <row r="1580">
      <c r="A1580" t="inlineStr">
        <is>
          <t>2022-2023</t>
        </is>
      </c>
      <c r="B1580" t="inlineStr">
        <is>
          <t>2023-03-11</t>
        </is>
      </c>
      <c r="C1580" t="inlineStr">
        <is>
          <t>19:27</t>
        </is>
      </c>
      <c r="D1580" t="inlineStr">
        <is>
          <t>n° 12 + n° 13</t>
        </is>
      </c>
      <c r="E1580" t="inlineStr">
        <is>
          <t>Martini Blanc</t>
        </is>
      </c>
      <c r="F1580" t="n">
        <v>4.2</v>
      </c>
      <c r="G1580" t="inlineStr">
        <is>
          <t>n° 12 : 0,50 + n° 13 : 0,50</t>
        </is>
      </c>
      <c r="H1580" t="n">
        <v>1</v>
      </c>
    </row>
    <row r="1581">
      <c r="A1581" t="inlineStr">
        <is>
          <t>2022-2023</t>
        </is>
      </c>
      <c r="B1581" t="inlineStr">
        <is>
          <t>2023-03-11</t>
        </is>
      </c>
      <c r="C1581" t="inlineStr">
        <is>
          <t>19:27</t>
        </is>
      </c>
      <c r="D1581" t="inlineStr">
        <is>
          <t>n° 12 + n° 13</t>
        </is>
      </c>
      <c r="E1581" t="inlineStr">
        <is>
          <t>Galette nature</t>
        </is>
      </c>
      <c r="F1581" t="n">
        <v>3.9</v>
      </c>
      <c r="G1581" t="inlineStr">
        <is>
          <t>n° 12 : 0,50 + n° 13 : 0,50</t>
        </is>
      </c>
      <c r="H1581" t="n">
        <v>1</v>
      </c>
    </row>
    <row r="1582">
      <c r="A1582" t="inlineStr">
        <is>
          <t>2022-2023</t>
        </is>
      </c>
      <c r="B1582" t="inlineStr">
        <is>
          <t>2023-03-11</t>
        </is>
      </c>
      <c r="C1582" t="inlineStr">
        <is>
          <t>19:27</t>
        </is>
      </c>
      <c r="D1582" t="inlineStr">
        <is>
          <t>n° 12 + n° 13</t>
        </is>
      </c>
      <c r="E1582" t="inlineStr">
        <is>
          <t>Morbier</t>
        </is>
      </c>
      <c r="F1582" t="n">
        <v>3.5</v>
      </c>
      <c r="G1582" t="inlineStr">
        <is>
          <t>n° 12 : 0,50 + n° 13 : 0,50</t>
        </is>
      </c>
      <c r="H1582" t="n">
        <v>1</v>
      </c>
    </row>
    <row r="1583">
      <c r="A1583" t="inlineStr">
        <is>
          <t>2022-2023</t>
        </is>
      </c>
      <c r="B1583" t="inlineStr">
        <is>
          <t>2023-03-11</t>
        </is>
      </c>
      <c r="C1583" t="inlineStr">
        <is>
          <t>19:47</t>
        </is>
      </c>
      <c r="D1583" t="inlineStr">
        <is>
          <t>n° 16 + n° 17 + n° 21 + n° 22</t>
        </is>
      </c>
      <c r="E1583" t="inlineStr">
        <is>
          <t>Salade Végétarienne</t>
        </is>
      </c>
      <c r="F1583" t="n">
        <v>19.9</v>
      </c>
      <c r="G1583" t="inlineStr">
        <is>
          <t>n° 21 : 0,33 + n° 22 : 0,34</t>
        </is>
      </c>
      <c r="H1583" t="n">
        <v>0.67</v>
      </c>
    </row>
    <row r="1584">
      <c r="A1584" t="inlineStr">
        <is>
          <t>2022-2023</t>
        </is>
      </c>
      <c r="B1584" t="inlineStr">
        <is>
          <t>2023-03-11</t>
        </is>
      </c>
      <c r="C1584" t="inlineStr">
        <is>
          <t>19:47</t>
        </is>
      </c>
      <c r="D1584" t="inlineStr">
        <is>
          <t>n° 16 + n° 17 + n° 21 + n° 22</t>
        </is>
      </c>
      <c r="E1584" t="inlineStr">
        <is>
          <t>MORTEAU GRILLEE</t>
        </is>
      </c>
      <c r="F1584" t="n">
        <v>18.6</v>
      </c>
      <c r="G1584" t="inlineStr">
        <is>
          <t>n° 21 : 0,33 + n° 22 : 0,34</t>
        </is>
      </c>
      <c r="H1584" t="n">
        <v>0.67</v>
      </c>
    </row>
    <row r="1585">
      <c r="A1585" t="inlineStr">
        <is>
          <t>2022-2023</t>
        </is>
      </c>
      <c r="B1585" t="inlineStr">
        <is>
          <t>2023-03-11</t>
        </is>
      </c>
      <c r="C1585" t="inlineStr">
        <is>
          <t>19:47</t>
        </is>
      </c>
      <c r="D1585" t="inlineStr">
        <is>
          <t>n° 16 + n° 17 + n° 21 + n° 22</t>
        </is>
      </c>
      <c r="E1585" t="inlineStr">
        <is>
          <t>POULET JURASSIENNE</t>
        </is>
      </c>
      <c r="F1585" t="n">
        <v>18.6</v>
      </c>
      <c r="G1585" t="inlineStr">
        <is>
          <t>n° 21 : 0,33 + n° 22 : 0,34</t>
        </is>
      </c>
      <c r="H1585" t="n">
        <v>0.67</v>
      </c>
    </row>
    <row r="1586">
      <c r="A1586" t="inlineStr">
        <is>
          <t>2022-2023</t>
        </is>
      </c>
      <c r="B1586" t="inlineStr">
        <is>
          <t>2023-03-11</t>
        </is>
      </c>
      <c r="C1586" t="inlineStr">
        <is>
          <t>19:47</t>
        </is>
      </c>
      <c r="D1586" t="inlineStr">
        <is>
          <t>n° 16 + n° 17 + n° 21 + n° 22</t>
        </is>
      </c>
      <c r="E1586" t="inlineStr">
        <is>
          <t>TEQUILA SUNRISE</t>
        </is>
      </c>
      <c r="F1586" t="n">
        <v>9</v>
      </c>
      <c r="G1586" t="inlineStr">
        <is>
          <t>n° 21 : 0,33 + n° 22 : 0,34</t>
        </is>
      </c>
      <c r="H1586" t="n">
        <v>0.67</v>
      </c>
    </row>
    <row r="1587">
      <c r="A1587" t="inlineStr">
        <is>
          <t>2022-2023</t>
        </is>
      </c>
      <c r="B1587" t="inlineStr">
        <is>
          <t>2023-03-11</t>
        </is>
      </c>
      <c r="C1587" t="inlineStr">
        <is>
          <t>19:47</t>
        </is>
      </c>
      <c r="D1587" t="inlineStr">
        <is>
          <t>n° 16 + n° 17 + n° 21 + n° 22</t>
        </is>
      </c>
      <c r="E1587" t="inlineStr">
        <is>
          <t>Rêve Bleu</t>
        </is>
      </c>
      <c r="F1587" t="n">
        <v>9</v>
      </c>
      <c r="G1587" t="inlineStr">
        <is>
          <t>n° 21 : 0,33 + n° 22 : 0,34</t>
        </is>
      </c>
      <c r="H1587" t="n">
        <v>0.67</v>
      </c>
    </row>
    <row r="1588">
      <c r="A1588" t="inlineStr">
        <is>
          <t>2022-2023</t>
        </is>
      </c>
      <c r="B1588" t="inlineStr">
        <is>
          <t>2023-03-11</t>
        </is>
      </c>
      <c r="C1588" t="inlineStr">
        <is>
          <t>19:47</t>
        </is>
      </c>
      <c r="D1588" t="inlineStr">
        <is>
          <t>n° 16 + n° 17 + n° 21 + n° 22</t>
        </is>
      </c>
      <c r="E1588" t="inlineStr">
        <is>
          <t>Saucisse de Morteau</t>
        </is>
      </c>
      <c r="F1588" t="n">
        <v>8.9</v>
      </c>
      <c r="G1588" t="inlineStr">
        <is>
          <t>n° 16 : 0,33 + n° 17 : 0,34</t>
        </is>
      </c>
      <c r="H1588" t="n">
        <v>0.67</v>
      </c>
    </row>
    <row r="1589">
      <c r="A1589" t="inlineStr">
        <is>
          <t>2022-2023</t>
        </is>
      </c>
      <c r="B1589" t="inlineStr">
        <is>
          <t>2023-03-11</t>
        </is>
      </c>
      <c r="C1589" t="inlineStr">
        <is>
          <t>19:47</t>
        </is>
      </c>
      <c r="D1589" t="inlineStr">
        <is>
          <t>n° 16 + n° 17 + n° 21 + n° 22</t>
        </is>
      </c>
      <c r="E1589" t="inlineStr">
        <is>
          <t>Assortiment charcute</t>
        </is>
      </c>
      <c r="F1589" t="n">
        <v>8.9</v>
      </c>
      <c r="G1589" t="inlineStr">
        <is>
          <t>n° 16 : 0,33 + n° 17 : 0,34</t>
        </is>
      </c>
      <c r="H1589" t="n">
        <v>0.67</v>
      </c>
    </row>
    <row r="1590">
      <c r="A1590" t="inlineStr">
        <is>
          <t>2022-2023</t>
        </is>
      </c>
      <c r="B1590" t="inlineStr">
        <is>
          <t>2023-03-11</t>
        </is>
      </c>
      <c r="C1590" t="inlineStr">
        <is>
          <t>19:47</t>
        </is>
      </c>
      <c r="D1590" t="inlineStr">
        <is>
          <t>n° 16 + n° 17 + n° 21 + n° 22</t>
        </is>
      </c>
      <c r="E1590" t="inlineStr">
        <is>
          <t>Pavlova</t>
        </is>
      </c>
      <c r="F1590" t="n">
        <v>8.699999999999999</v>
      </c>
      <c r="G1590" t="inlineStr">
        <is>
          <t>n° 21 : 0,67 + n° 22 : 0,67</t>
        </is>
      </c>
      <c r="H1590" t="n">
        <v>1.34</v>
      </c>
    </row>
    <row r="1591">
      <c r="A1591" t="inlineStr">
        <is>
          <t>2022-2023</t>
        </is>
      </c>
      <c r="B1591" t="inlineStr">
        <is>
          <t>2023-03-11</t>
        </is>
      </c>
      <c r="C1591" t="inlineStr">
        <is>
          <t>19:47</t>
        </is>
      </c>
      <c r="D1591" t="inlineStr">
        <is>
          <t>n° 16 + n° 17 + n° 21 + n° 22</t>
        </is>
      </c>
      <c r="E1591" t="inlineStr">
        <is>
          <t>Sol</t>
        </is>
      </c>
      <c r="F1591" t="n">
        <v>8.5</v>
      </c>
      <c r="G1591" t="inlineStr">
        <is>
          <t>n° 16 : 0,33 + n° 17 : 0,34</t>
        </is>
      </c>
      <c r="H1591" t="n">
        <v>0.67</v>
      </c>
    </row>
    <row r="1592">
      <c r="A1592" t="inlineStr">
        <is>
          <t>2022-2023</t>
        </is>
      </c>
      <c r="B1592" t="inlineStr">
        <is>
          <t>2023-03-11</t>
        </is>
      </c>
      <c r="C1592" t="inlineStr">
        <is>
          <t>19:47</t>
        </is>
      </c>
      <c r="D1592" t="inlineStr">
        <is>
          <t>n° 16 + n° 17 + n° 21 + n° 22</t>
        </is>
      </c>
      <c r="E1592" t="inlineStr">
        <is>
          <t>Salade Verte</t>
        </is>
      </c>
      <c r="F1592" t="n">
        <v>5.9</v>
      </c>
      <c r="G1592" t="inlineStr">
        <is>
          <t>n° 16 : 0,33 + n° 17 : 0,34</t>
        </is>
      </c>
      <c r="H1592" t="n">
        <v>0.67</v>
      </c>
    </row>
    <row r="1593">
      <c r="A1593" t="inlineStr">
        <is>
          <t>2022-2023</t>
        </is>
      </c>
      <c r="B1593" t="inlineStr">
        <is>
          <t>2023-03-11</t>
        </is>
      </c>
      <c r="C1593" t="inlineStr">
        <is>
          <t>19:47</t>
        </is>
      </c>
      <c r="D1593" t="inlineStr">
        <is>
          <t>n° 16 + n° 17 + n° 21 + n° 22</t>
        </is>
      </c>
      <c r="E1593" t="inlineStr">
        <is>
          <t>Crêpe Salidou</t>
        </is>
      </c>
      <c r="F1593" t="n">
        <v>5.6</v>
      </c>
      <c r="G1593" t="inlineStr">
        <is>
          <t>n° 21 : 0,33 + n° 22 : 0,34</t>
        </is>
      </c>
      <c r="H1593" t="n">
        <v>0.67</v>
      </c>
    </row>
    <row r="1594">
      <c r="A1594" t="inlineStr">
        <is>
          <t>2022-2023</t>
        </is>
      </c>
      <c r="B1594" t="inlineStr">
        <is>
          <t>2023-03-11</t>
        </is>
      </c>
      <c r="C1594" t="inlineStr">
        <is>
          <t>19:47</t>
        </is>
      </c>
      <c r="D1594" t="inlineStr">
        <is>
          <t>n° 16 + n° 17 + n° 21 + n° 22</t>
        </is>
      </c>
      <c r="E1594" t="inlineStr">
        <is>
          <t>GLACE 2 BOULES</t>
        </is>
      </c>
      <c r="F1594" t="n">
        <v>3.9</v>
      </c>
      <c r="G1594" t="inlineStr">
        <is>
          <t>n° 16 : 0,33 + n° 17 : 0,34</t>
        </is>
      </c>
      <c r="H1594" t="n">
        <v>0.67</v>
      </c>
    </row>
    <row r="1595">
      <c r="A1595" t="inlineStr">
        <is>
          <t>2022-2023</t>
        </is>
      </c>
      <c r="B1595" t="inlineStr">
        <is>
          <t>2023-03-11</t>
        </is>
      </c>
      <c r="C1595" t="inlineStr">
        <is>
          <t>19:47</t>
        </is>
      </c>
      <c r="D1595" t="inlineStr">
        <is>
          <t>n° 16 + n° 17 + n° 21 + n° 22</t>
        </is>
      </c>
      <c r="E1595" t="inlineStr">
        <is>
          <t>Coca (25cl)</t>
        </is>
      </c>
      <c r="F1595" t="n">
        <v>3.9</v>
      </c>
      <c r="G1595" t="inlineStr">
        <is>
          <t>n° 21 : 0,33 + n° 22 : 0,34</t>
        </is>
      </c>
      <c r="H1595" t="n">
        <v>0.67</v>
      </c>
    </row>
    <row r="1596">
      <c r="A1596" t="inlineStr">
        <is>
          <t>2022-2023</t>
        </is>
      </c>
      <c r="B1596" t="inlineStr">
        <is>
          <t>2023-03-11</t>
        </is>
      </c>
      <c r="C1596" t="inlineStr">
        <is>
          <t>19:47</t>
        </is>
      </c>
      <c r="D1596" t="inlineStr">
        <is>
          <t>n° 16 + n° 17 + n° 21 + n° 22</t>
        </is>
      </c>
      <c r="E1596" t="inlineStr">
        <is>
          <t>Chantilly</t>
        </is>
      </c>
      <c r="F1596" t="n">
        <v>1.8</v>
      </c>
      <c r="G1596" t="inlineStr">
        <is>
          <t>n° 16 : 0,33 + n° 17 : 0,34</t>
        </is>
      </c>
      <c r="H1596" t="n">
        <v>0.67</v>
      </c>
    </row>
    <row r="1597">
      <c r="A1597" t="inlineStr">
        <is>
          <t>2022-2023</t>
        </is>
      </c>
      <c r="B1597" t="inlineStr">
        <is>
          <t>2023-03-16</t>
        </is>
      </c>
      <c r="C1597" t="inlineStr">
        <is>
          <t>20:25</t>
        </is>
      </c>
      <c r="D1597" t="inlineStr">
        <is>
          <t>n° 11 + n° 12</t>
        </is>
      </c>
      <c r="E1597" t="inlineStr">
        <is>
          <t>Cidre Bouché Doux</t>
        </is>
      </c>
      <c r="F1597" t="n">
        <v>14</v>
      </c>
      <c r="G1597" t="inlineStr">
        <is>
          <t>n° 11 : 0,50 + n° 12 : 0,50</t>
        </is>
      </c>
      <c r="H1597" t="n">
        <v>1</v>
      </c>
    </row>
    <row r="1598">
      <c r="A1598" t="inlineStr">
        <is>
          <t>2022-2023</t>
        </is>
      </c>
      <c r="B1598" t="inlineStr">
        <is>
          <t>2023-03-16</t>
        </is>
      </c>
      <c r="C1598" t="inlineStr">
        <is>
          <t>20:25</t>
        </is>
      </c>
      <c r="D1598" t="inlineStr">
        <is>
          <t>n° 11 + n° 12</t>
        </is>
      </c>
      <c r="E1598" t="inlineStr">
        <is>
          <t>Crêpe Nutella</t>
        </is>
      </c>
      <c r="F1598" t="n">
        <v>4.7</v>
      </c>
      <c r="G1598" t="inlineStr">
        <is>
          <t>n° 11 : 0,50 + n° 12 : 0,50</t>
        </is>
      </c>
      <c r="H1598" t="n">
        <v>1</v>
      </c>
    </row>
    <row r="1599">
      <c r="A1599" t="inlineStr">
        <is>
          <t>2022-2023</t>
        </is>
      </c>
      <c r="B1599" t="inlineStr">
        <is>
          <t>2023-03-16</t>
        </is>
      </c>
      <c r="C1599" t="inlineStr">
        <is>
          <t>20:25</t>
        </is>
      </c>
      <c r="D1599" t="inlineStr">
        <is>
          <t>n° 11 + n° 12</t>
        </is>
      </c>
      <c r="E1599" t="inlineStr">
        <is>
          <t>Crêpe au sucre</t>
        </is>
      </c>
      <c r="F1599" t="n">
        <v>2.9</v>
      </c>
      <c r="G1599" t="inlineStr">
        <is>
          <t>n° 11 : 0,50 + n° 12 : 0,50</t>
        </is>
      </c>
      <c r="H1599" t="n">
        <v>1</v>
      </c>
    </row>
    <row r="1600">
      <c r="A1600" t="inlineStr">
        <is>
          <t>2022-2023</t>
        </is>
      </c>
      <c r="B1600" t="inlineStr">
        <is>
          <t>2023-03-16</t>
        </is>
      </c>
      <c r="C1600" t="inlineStr">
        <is>
          <t>20:25</t>
        </is>
      </c>
      <c r="D1600" t="inlineStr">
        <is>
          <t>n° 11 + n° 12</t>
        </is>
      </c>
      <c r="E1600" t="inlineStr">
        <is>
          <t>Jus de citron</t>
        </is>
      </c>
      <c r="F1600" t="n">
        <v>1.2</v>
      </c>
      <c r="G1600" t="inlineStr">
        <is>
          <t>n° 11 : 0,50 + n° 12 : 0,50</t>
        </is>
      </c>
      <c r="H1600" t="n">
        <v>1</v>
      </c>
    </row>
    <row r="1601">
      <c r="A1601" t="inlineStr">
        <is>
          <t>2022-2023</t>
        </is>
      </c>
      <c r="B1601" t="inlineStr">
        <is>
          <t>2023-03-17</t>
        </is>
      </c>
      <c r="C1601" t="inlineStr">
        <is>
          <t>19:57</t>
        </is>
      </c>
      <c r="D1601" t="inlineStr">
        <is>
          <t>n° 10 + n° 11</t>
        </is>
      </c>
      <c r="E1601" t="inlineStr">
        <is>
          <t>Poulet aux Morilles</t>
        </is>
      </c>
      <c r="F1601" t="n">
        <v>28.6</v>
      </c>
      <c r="G1601" t="inlineStr">
        <is>
          <t>n° 10 : 0,50 + n° 11 : 0,50</t>
        </is>
      </c>
      <c r="H1601" t="n">
        <v>1</v>
      </c>
    </row>
    <row r="1602">
      <c r="A1602" t="inlineStr">
        <is>
          <t>2022-2023</t>
        </is>
      </c>
      <c r="B1602" t="inlineStr">
        <is>
          <t>2023-03-17</t>
        </is>
      </c>
      <c r="C1602" t="inlineStr">
        <is>
          <t>19:57</t>
        </is>
      </c>
      <c r="D1602" t="inlineStr">
        <is>
          <t>n° 10 + n° 11</t>
        </is>
      </c>
      <c r="E1602" t="inlineStr">
        <is>
          <t>ECRESSI</t>
        </is>
      </c>
      <c r="F1602" t="n">
        <v>14.5</v>
      </c>
      <c r="G1602" t="inlineStr">
        <is>
          <t>n° 10 : 0,50 + n° 11 : 0,50</t>
        </is>
      </c>
      <c r="H1602" t="n">
        <v>1</v>
      </c>
    </row>
    <row r="1603">
      <c r="A1603" t="inlineStr">
        <is>
          <t>2022-2023</t>
        </is>
      </c>
      <c r="B1603" t="inlineStr">
        <is>
          <t>2023-03-17</t>
        </is>
      </c>
      <c r="C1603" t="inlineStr">
        <is>
          <t>19:57</t>
        </is>
      </c>
      <c r="D1603" t="inlineStr">
        <is>
          <t>n° 10 + n° 11</t>
        </is>
      </c>
      <c r="E1603" t="inlineStr">
        <is>
          <t>Dessert</t>
        </is>
      </c>
      <c r="F1603" t="n">
        <v>6.9</v>
      </c>
      <c r="G1603" t="inlineStr">
        <is>
          <t>n° 10 : 0,50 + n° 11 : 0,50</t>
        </is>
      </c>
      <c r="H1603" t="n">
        <v>1</v>
      </c>
    </row>
    <row r="1604">
      <c r="A1604" t="inlineStr">
        <is>
          <t>2022-2023</t>
        </is>
      </c>
      <c r="B1604" t="inlineStr">
        <is>
          <t>2023-03-17</t>
        </is>
      </c>
      <c r="C1604" t="inlineStr">
        <is>
          <t>19:57</t>
        </is>
      </c>
      <c r="D1604" t="inlineStr">
        <is>
          <t>n° 10 + n° 11</t>
        </is>
      </c>
      <c r="E1604" t="inlineStr">
        <is>
          <t>Crêpe nature</t>
        </is>
      </c>
      <c r="F1604" t="n">
        <v>2.9</v>
      </c>
      <c r="G1604" t="inlineStr">
        <is>
          <t>n° 10 : 0,50 + n° 11 : 0,50</t>
        </is>
      </c>
      <c r="H1604" t="n">
        <v>1</v>
      </c>
    </row>
    <row r="1605">
      <c r="A1605" t="inlineStr">
        <is>
          <t>2022-2023</t>
        </is>
      </c>
      <c r="B1605" t="inlineStr">
        <is>
          <t>2023-03-17</t>
        </is>
      </c>
      <c r="C1605" t="inlineStr">
        <is>
          <t>19:57</t>
        </is>
      </c>
      <c r="D1605" t="inlineStr">
        <is>
          <t>n° 10 + n° 11</t>
        </is>
      </c>
      <c r="E1605" t="inlineStr">
        <is>
          <t>1 Boule Glace</t>
        </is>
      </c>
      <c r="F1605" t="n">
        <v>2</v>
      </c>
      <c r="G1605" t="inlineStr">
        <is>
          <t>n° 10 : 0,50 + n° 11 : 0,50</t>
        </is>
      </c>
      <c r="H1605" t="n">
        <v>1</v>
      </c>
    </row>
    <row r="1606">
      <c r="A1606" t="inlineStr">
        <is>
          <t>2022-2023</t>
        </is>
      </c>
      <c r="B1606" t="inlineStr">
        <is>
          <t>2023-03-18</t>
        </is>
      </c>
      <c r="C1606" t="inlineStr">
        <is>
          <t>19:42</t>
        </is>
      </c>
      <c r="D1606" t="inlineStr">
        <is>
          <t>n° 10 + n° 11</t>
        </is>
      </c>
      <c r="E1606" t="inlineStr">
        <is>
          <t>Poulet aux Morilles</t>
        </is>
      </c>
      <c r="F1606" t="n">
        <v>28.6</v>
      </c>
      <c r="G1606" t="inlineStr">
        <is>
          <t>n° 10 : 0,50 + n° 11 : 0,50</t>
        </is>
      </c>
      <c r="H1606" t="n">
        <v>1</v>
      </c>
    </row>
    <row r="1607">
      <c r="A1607" t="inlineStr">
        <is>
          <t>2022-2023</t>
        </is>
      </c>
      <c r="B1607" t="inlineStr">
        <is>
          <t>2023-03-18</t>
        </is>
      </c>
      <c r="C1607" t="inlineStr">
        <is>
          <t>19:42</t>
        </is>
      </c>
      <c r="D1607" t="inlineStr">
        <is>
          <t>n° 10 + n° 11</t>
        </is>
      </c>
      <c r="E1607" t="inlineStr">
        <is>
          <t>pichet Saint Joseph</t>
        </is>
      </c>
      <c r="F1607" t="n">
        <v>28</v>
      </c>
      <c r="G1607" t="inlineStr">
        <is>
          <t>n° 10 : 0,50 + n° 11 : 0,50</t>
        </is>
      </c>
      <c r="H1607" t="n">
        <v>1</v>
      </c>
    </row>
    <row r="1608">
      <c r="A1608" t="inlineStr">
        <is>
          <t>2022-2023</t>
        </is>
      </c>
      <c r="B1608" t="inlineStr">
        <is>
          <t>2023-03-18</t>
        </is>
      </c>
      <c r="C1608" t="inlineStr">
        <is>
          <t>19:42</t>
        </is>
      </c>
      <c r="D1608" t="inlineStr">
        <is>
          <t>n° 10 + n° 11</t>
        </is>
      </c>
      <c r="E1608" t="inlineStr">
        <is>
          <t>Entrecôte grillée</t>
        </is>
      </c>
      <c r="F1608" t="n">
        <v>19.9</v>
      </c>
      <c r="G1608" t="inlineStr">
        <is>
          <t>n° 10 : 0,50 + n° 11 : 0,50</t>
        </is>
      </c>
      <c r="H1608" t="n">
        <v>1</v>
      </c>
    </row>
    <row r="1609">
      <c r="A1609" t="inlineStr">
        <is>
          <t>2022-2023</t>
        </is>
      </c>
      <c r="B1609" t="inlineStr">
        <is>
          <t>2023-03-18</t>
        </is>
      </c>
      <c r="C1609" t="inlineStr">
        <is>
          <t>19:42</t>
        </is>
      </c>
      <c r="D1609" t="inlineStr">
        <is>
          <t>n° 10 + n° 11</t>
        </is>
      </c>
      <c r="E1609" t="inlineStr">
        <is>
          <t>CAMEMBERT ROTI</t>
        </is>
      </c>
      <c r="F1609" t="n">
        <v>18.6</v>
      </c>
      <c r="G1609" t="inlineStr">
        <is>
          <t>n° 10 : 0,50 + n° 11 : 0,50</t>
        </is>
      </c>
      <c r="H1609" t="n">
        <v>1</v>
      </c>
    </row>
    <row r="1610">
      <c r="A1610" t="inlineStr">
        <is>
          <t>2022-2023</t>
        </is>
      </c>
      <c r="B1610" t="inlineStr">
        <is>
          <t>2023-03-18</t>
        </is>
      </c>
      <c r="C1610" t="inlineStr">
        <is>
          <t>19:42</t>
        </is>
      </c>
      <c r="D1610" t="inlineStr">
        <is>
          <t>n° 10 + n° 11</t>
        </is>
      </c>
      <c r="E1610" t="inlineStr">
        <is>
          <t>Complète</t>
        </is>
      </c>
      <c r="F1610" t="n">
        <v>11.6</v>
      </c>
      <c r="G1610" t="inlineStr">
        <is>
          <t>n° 10 : 0,50 + n° 11 : 0,50</t>
        </is>
      </c>
      <c r="H1610" t="n">
        <v>1</v>
      </c>
    </row>
    <row r="1611">
      <c r="A1611" t="inlineStr">
        <is>
          <t>2022-2023</t>
        </is>
      </c>
      <c r="B1611" t="inlineStr">
        <is>
          <t>2023-03-18</t>
        </is>
      </c>
      <c r="C1611" t="inlineStr">
        <is>
          <t>19:42</t>
        </is>
      </c>
      <c r="D1611" t="inlineStr">
        <is>
          <t>n° 10 + n° 11</t>
        </is>
      </c>
      <c r="E1611" t="inlineStr">
        <is>
          <t>NOIRAUD</t>
        </is>
      </c>
      <c r="F1611" t="n">
        <v>8.4</v>
      </c>
      <c r="G1611" t="inlineStr">
        <is>
          <t>n° 10 : 0,50 + n° 11 : 0,50</t>
        </is>
      </c>
      <c r="H1611" t="n">
        <v>1</v>
      </c>
    </row>
    <row r="1612">
      <c r="A1612" t="inlineStr">
        <is>
          <t>2022-2023</t>
        </is>
      </c>
      <c r="B1612" t="inlineStr">
        <is>
          <t>2023-03-18</t>
        </is>
      </c>
      <c r="C1612" t="inlineStr">
        <is>
          <t>19:42</t>
        </is>
      </c>
      <c r="D1612" t="inlineStr">
        <is>
          <t>n° 10 + n° 11</t>
        </is>
      </c>
      <c r="E1612" t="inlineStr">
        <is>
          <t>Jack Daniel's</t>
        </is>
      </c>
      <c r="F1612" t="n">
        <v>7.5</v>
      </c>
      <c r="G1612" t="inlineStr">
        <is>
          <t>n° 10 : 0,50 + n° 11 : 0,50</t>
        </is>
      </c>
      <c r="H1612" t="n">
        <v>1</v>
      </c>
    </row>
    <row r="1613">
      <c r="A1613" t="inlineStr">
        <is>
          <t>2022-2023</t>
        </is>
      </c>
      <c r="B1613" t="inlineStr">
        <is>
          <t>2023-03-18</t>
        </is>
      </c>
      <c r="C1613" t="inlineStr">
        <is>
          <t>19:42</t>
        </is>
      </c>
      <c r="D1613" t="inlineStr">
        <is>
          <t>n° 10 + n° 11</t>
        </is>
      </c>
      <c r="E1613" t="inlineStr">
        <is>
          <t>Mambo</t>
        </is>
      </c>
      <c r="F1613" t="n">
        <v>6.5</v>
      </c>
      <c r="G1613" t="inlineStr">
        <is>
          <t>n° 10 : 0,50 + n° 11 : 0,50</t>
        </is>
      </c>
      <c r="H1613" t="n">
        <v>1</v>
      </c>
    </row>
    <row r="1614">
      <c r="A1614" t="inlineStr">
        <is>
          <t>2022-2023</t>
        </is>
      </c>
      <c r="B1614" t="inlineStr">
        <is>
          <t>2023-03-18</t>
        </is>
      </c>
      <c r="C1614" t="inlineStr">
        <is>
          <t>19:42</t>
        </is>
      </c>
      <c r="D1614" t="inlineStr">
        <is>
          <t>n° 10 + n° 11</t>
        </is>
      </c>
      <c r="E1614" t="inlineStr">
        <is>
          <t>Luna</t>
        </is>
      </c>
      <c r="F1614" t="n">
        <v>6</v>
      </c>
      <c r="G1614" t="inlineStr">
        <is>
          <t>n° 10 : 0,50 + n° 11 : 0,50</t>
        </is>
      </c>
      <c r="H1614" t="n">
        <v>1</v>
      </c>
    </row>
    <row r="1615">
      <c r="A1615" t="inlineStr">
        <is>
          <t>2022-2023</t>
        </is>
      </c>
      <c r="B1615" t="inlineStr">
        <is>
          <t>2023-03-18</t>
        </is>
      </c>
      <c r="C1615" t="inlineStr">
        <is>
          <t>19:42</t>
        </is>
      </c>
      <c r="D1615" t="inlineStr">
        <is>
          <t>n° 10 + n° 11</t>
        </is>
      </c>
      <c r="E1615" t="inlineStr">
        <is>
          <t>La Vouivre</t>
        </is>
      </c>
      <c r="F1615" t="n">
        <v>5.2</v>
      </c>
      <c r="G1615" t="inlineStr">
        <is>
          <t>n° 10 : 0,50 + n° 11 : 0,50</t>
        </is>
      </c>
      <c r="H1615" t="n">
        <v>1</v>
      </c>
    </row>
    <row r="1616">
      <c r="A1616" t="inlineStr">
        <is>
          <t>2022-2023</t>
        </is>
      </c>
      <c r="B1616" t="inlineStr">
        <is>
          <t>2023-03-18</t>
        </is>
      </c>
      <c r="C1616" t="inlineStr">
        <is>
          <t>19:42</t>
        </is>
      </c>
      <c r="D1616" t="inlineStr">
        <is>
          <t>n° 10 + n° 11</t>
        </is>
      </c>
      <c r="E1616" t="inlineStr">
        <is>
          <t>Get 27 (4cl)</t>
        </is>
      </c>
      <c r="F1616" t="n">
        <v>5.2</v>
      </c>
      <c r="G1616" t="inlineStr">
        <is>
          <t>n° 10 : 0,50 + n° 11 : 0,50</t>
        </is>
      </c>
      <c r="H1616" t="n">
        <v>1</v>
      </c>
    </row>
    <row r="1617">
      <c r="A1617" t="inlineStr">
        <is>
          <t>2022-2023</t>
        </is>
      </c>
      <c r="B1617" t="inlineStr">
        <is>
          <t>2023-03-18</t>
        </is>
      </c>
      <c r="C1617" t="inlineStr">
        <is>
          <t>19:42</t>
        </is>
      </c>
      <c r="D1617" t="inlineStr">
        <is>
          <t>n° 10 + n° 11</t>
        </is>
      </c>
      <c r="E1617" t="inlineStr">
        <is>
          <t>Crêpe nature</t>
        </is>
      </c>
      <c r="F1617" t="n">
        <v>2.9</v>
      </c>
      <c r="G1617" t="inlineStr">
        <is>
          <t>n° 10 : 0,50 + n° 11 : 0,50</t>
        </is>
      </c>
      <c r="H1617" t="n">
        <v>1</v>
      </c>
    </row>
    <row r="1618">
      <c r="A1618" t="inlineStr">
        <is>
          <t>2022-2023</t>
        </is>
      </c>
      <c r="B1618" t="inlineStr">
        <is>
          <t>2023-03-18</t>
        </is>
      </c>
      <c r="C1618" t="inlineStr">
        <is>
          <t>19:42</t>
        </is>
      </c>
      <c r="D1618" t="inlineStr">
        <is>
          <t>n° 10 + n° 11</t>
        </is>
      </c>
      <c r="E1618" t="inlineStr">
        <is>
          <t>Sirop à l'eau</t>
        </is>
      </c>
      <c r="F1618" t="n">
        <v>2.2</v>
      </c>
      <c r="G1618" t="inlineStr">
        <is>
          <t>n° 10 : 0,50 + n° 11 : 0,50</t>
        </is>
      </c>
      <c r="H1618" t="n">
        <v>1</v>
      </c>
    </row>
    <row r="1619">
      <c r="A1619" t="inlineStr">
        <is>
          <t>2022-2023</t>
        </is>
      </c>
      <c r="B1619" t="inlineStr">
        <is>
          <t>2023-03-18</t>
        </is>
      </c>
      <c r="C1619" t="inlineStr">
        <is>
          <t>19:42</t>
        </is>
      </c>
      <c r="D1619" t="inlineStr">
        <is>
          <t>n° 10 + n° 11</t>
        </is>
      </c>
      <c r="E1619" t="inlineStr">
        <is>
          <t>Miel</t>
        </is>
      </c>
      <c r="F1619" t="n">
        <v>1.8</v>
      </c>
      <c r="G1619" t="inlineStr">
        <is>
          <t>n° 10 : 0,50 + n° 11 : 0,50</t>
        </is>
      </c>
      <c r="H1619" t="n">
        <v>1</v>
      </c>
    </row>
    <row r="1620">
      <c r="A1620" t="inlineStr">
        <is>
          <t>2022-2023</t>
        </is>
      </c>
      <c r="B1620" t="inlineStr">
        <is>
          <t>2023-03-18</t>
        </is>
      </c>
      <c r="C1620" t="inlineStr">
        <is>
          <t>20:36</t>
        </is>
      </c>
      <c r="D1620" t="inlineStr">
        <is>
          <t>n° 16 + n° 17</t>
        </is>
      </c>
      <c r="E1620" t="inlineStr">
        <is>
          <t>BURGER COMTOIS</t>
        </is>
      </c>
      <c r="F1620" t="n">
        <v>19</v>
      </c>
      <c r="G1620" t="inlineStr">
        <is>
          <t>n° 16 : 0,50 + n° 17 : 0,50</t>
        </is>
      </c>
      <c r="H1620" t="n">
        <v>1</v>
      </c>
    </row>
    <row r="1621">
      <c r="A1621" t="inlineStr">
        <is>
          <t>2022-2023</t>
        </is>
      </c>
      <c r="B1621" t="inlineStr">
        <is>
          <t>2023-03-18</t>
        </is>
      </c>
      <c r="C1621" t="inlineStr">
        <is>
          <t>20:36</t>
        </is>
      </c>
      <c r="D1621" t="inlineStr">
        <is>
          <t>n° 16 + n° 17</t>
        </is>
      </c>
      <c r="E1621" t="inlineStr">
        <is>
          <t>MORTEAU GRILLEE</t>
        </is>
      </c>
      <c r="F1621" t="n">
        <v>18.6</v>
      </c>
      <c r="G1621" t="inlineStr">
        <is>
          <t>n° 16 : 0,50 + n° 17 : 0,50</t>
        </is>
      </c>
      <c r="H1621" t="n">
        <v>1</v>
      </c>
    </row>
    <row r="1622">
      <c r="A1622" t="inlineStr">
        <is>
          <t>2022-2023</t>
        </is>
      </c>
      <c r="B1622" t="inlineStr">
        <is>
          <t>2023-03-18</t>
        </is>
      </c>
      <c r="C1622" t="inlineStr">
        <is>
          <t>20:36</t>
        </is>
      </c>
      <c r="D1622" t="inlineStr">
        <is>
          <t>n° 16 + n° 17</t>
        </is>
      </c>
      <c r="E1622" t="inlineStr">
        <is>
          <t>Beaujolais Moulin à</t>
        </is>
      </c>
      <c r="F1622" t="n">
        <v>5.8</v>
      </c>
      <c r="G1622" t="inlineStr">
        <is>
          <t>n° 16 : 0,50 + n° 17 : 0,50</t>
        </is>
      </c>
      <c r="H1622" t="n">
        <v>1</v>
      </c>
    </row>
    <row r="1623">
      <c r="A1623" t="inlineStr">
        <is>
          <t>2022-2023</t>
        </is>
      </c>
      <c r="B1623" t="inlineStr">
        <is>
          <t>2023-03-18</t>
        </is>
      </c>
      <c r="C1623" t="inlineStr">
        <is>
          <t>20:36</t>
        </is>
      </c>
      <c r="D1623" t="inlineStr">
        <is>
          <t>n° 16 + n° 17</t>
        </is>
      </c>
      <c r="E1623" t="inlineStr">
        <is>
          <t>Porto</t>
        </is>
      </c>
      <c r="F1623" t="n">
        <v>4.2</v>
      </c>
      <c r="G1623" t="inlineStr">
        <is>
          <t>n° 16 : 0,50 + n° 17 : 0,50</t>
        </is>
      </c>
      <c r="H1623" t="n">
        <v>1</v>
      </c>
    </row>
    <row r="1624">
      <c r="A1624" t="inlineStr">
        <is>
          <t>2022-2023</t>
        </is>
      </c>
      <c r="B1624" t="inlineStr">
        <is>
          <t>2023-03-18</t>
        </is>
      </c>
      <c r="C1624" t="inlineStr">
        <is>
          <t>20:36</t>
        </is>
      </c>
      <c r="D1624" t="inlineStr">
        <is>
          <t>n° 16 + n° 17</t>
        </is>
      </c>
      <c r="E1624" t="inlineStr">
        <is>
          <t>Chantilly</t>
        </is>
      </c>
      <c r="F1624" t="n">
        <v>1.8</v>
      </c>
      <c r="G1624" t="inlineStr">
        <is>
          <t>n° 16 : 0,50 + n° 17 : 0,50</t>
        </is>
      </c>
      <c r="H1624" t="n">
        <v>1</v>
      </c>
    </row>
    <row r="1625">
      <c r="A1625" t="inlineStr">
        <is>
          <t>2022-2023</t>
        </is>
      </c>
      <c r="B1625" t="inlineStr">
        <is>
          <t>2023-03-19</t>
        </is>
      </c>
      <c r="C1625" t="inlineStr">
        <is>
          <t>12:32</t>
        </is>
      </c>
      <c r="D1625" t="inlineStr">
        <is>
          <t>n° 4 + n° 5</t>
        </is>
      </c>
      <c r="E1625" t="inlineStr">
        <is>
          <t>Arbois Béthanie</t>
        </is>
      </c>
      <c r="F1625" t="n">
        <v>29.9</v>
      </c>
      <c r="G1625" t="inlineStr">
        <is>
          <t>n° 4 : 0,50 + n° 5 : 0,50</t>
        </is>
      </c>
      <c r="H1625" t="n">
        <v>1</v>
      </c>
    </row>
    <row r="1626">
      <c r="A1626" t="inlineStr">
        <is>
          <t>2022-2023</t>
        </is>
      </c>
      <c r="B1626" t="inlineStr">
        <is>
          <t>2023-03-19</t>
        </is>
      </c>
      <c r="C1626" t="inlineStr">
        <is>
          <t>12:32</t>
        </is>
      </c>
      <c r="D1626" t="inlineStr">
        <is>
          <t>n° 4 + n° 5</t>
        </is>
      </c>
      <c r="E1626" t="inlineStr">
        <is>
          <t>Croûtes Morilles</t>
        </is>
      </c>
      <c r="F1626" t="n">
        <v>16.9</v>
      </c>
      <c r="G1626" t="inlineStr">
        <is>
          <t>n° 4 : 0,50 + n° 5 : 0,50</t>
        </is>
      </c>
      <c r="H1626" t="n">
        <v>1</v>
      </c>
    </row>
    <row r="1627">
      <c r="A1627" t="inlineStr">
        <is>
          <t>2022-2023</t>
        </is>
      </c>
      <c r="B1627" t="inlineStr">
        <is>
          <t>2023-03-19</t>
        </is>
      </c>
      <c r="C1627" t="inlineStr">
        <is>
          <t>12:32</t>
        </is>
      </c>
      <c r="D1627" t="inlineStr">
        <is>
          <t>n° 4 + n° 5</t>
        </is>
      </c>
      <c r="E1627" t="inlineStr">
        <is>
          <t>VOGEOTTE</t>
        </is>
      </c>
      <c r="F1627" t="n">
        <v>10.9</v>
      </c>
      <c r="G1627" t="inlineStr">
        <is>
          <t>n° 4 : 0,50 + n° 5 : 0,50</t>
        </is>
      </c>
      <c r="H1627" t="n">
        <v>1</v>
      </c>
    </row>
    <row r="1628">
      <c r="A1628" t="inlineStr">
        <is>
          <t>2022-2023</t>
        </is>
      </c>
      <c r="B1628" t="inlineStr">
        <is>
          <t>2023-03-19</t>
        </is>
      </c>
      <c r="C1628" t="inlineStr">
        <is>
          <t>12:32</t>
        </is>
      </c>
      <c r="D1628" t="inlineStr">
        <is>
          <t>n° 4 + n° 5</t>
        </is>
      </c>
      <c r="E1628" t="inlineStr">
        <is>
          <t>Pavlova</t>
        </is>
      </c>
      <c r="F1628" t="n">
        <v>8.699999999999999</v>
      </c>
      <c r="G1628" t="inlineStr">
        <is>
          <t>n° 4 : 0,50 + n° 5 : 0,50</t>
        </is>
      </c>
      <c r="H1628" t="n">
        <v>1</v>
      </c>
    </row>
    <row r="1629">
      <c r="A1629" t="inlineStr">
        <is>
          <t>2022-2023</t>
        </is>
      </c>
      <c r="B1629" t="inlineStr">
        <is>
          <t>2023-03-19</t>
        </is>
      </c>
      <c r="C1629" t="inlineStr">
        <is>
          <t>12:32</t>
        </is>
      </c>
      <c r="D1629" t="inlineStr">
        <is>
          <t>n° 4 + n° 5</t>
        </is>
      </c>
      <c r="E1629" t="inlineStr">
        <is>
          <t>CREME BRULEE</t>
        </is>
      </c>
      <c r="F1629" t="n">
        <v>6.9</v>
      </c>
      <c r="G1629" t="inlineStr">
        <is>
          <t>n° 4 : 0,50 + n° 5 : 0,50</t>
        </is>
      </c>
      <c r="H1629" t="n">
        <v>1</v>
      </c>
    </row>
    <row r="1630">
      <c r="A1630" t="inlineStr">
        <is>
          <t>2022-2023</t>
        </is>
      </c>
      <c r="B1630" t="inlineStr">
        <is>
          <t>2023-03-19</t>
        </is>
      </c>
      <c r="C1630" t="inlineStr">
        <is>
          <t>12:32</t>
        </is>
      </c>
      <c r="D1630" t="inlineStr">
        <is>
          <t>n° 4 + n° 5</t>
        </is>
      </c>
      <c r="E1630" t="inlineStr">
        <is>
          <t>Dessert</t>
        </is>
      </c>
      <c r="F1630" t="n">
        <v>6.9</v>
      </c>
      <c r="G1630" t="inlineStr">
        <is>
          <t>n° 4 : 0,50 + n° 5 : 0,50</t>
        </is>
      </c>
      <c r="H1630" t="n">
        <v>1</v>
      </c>
    </row>
    <row r="1631">
      <c r="A1631" t="inlineStr">
        <is>
          <t>2022-2023</t>
        </is>
      </c>
      <c r="B1631" t="inlineStr">
        <is>
          <t>2023-03-19</t>
        </is>
      </c>
      <c r="C1631" t="inlineStr">
        <is>
          <t>12:32</t>
        </is>
      </c>
      <c r="D1631" t="inlineStr">
        <is>
          <t>n° 4 + n° 5</t>
        </is>
      </c>
      <c r="E1631" t="inlineStr">
        <is>
          <t>Crêpe sucrée</t>
        </is>
      </c>
      <c r="F1631" t="n">
        <v>2.9</v>
      </c>
      <c r="G1631" t="inlineStr">
        <is>
          <t>n° 4 : 0,50 + n° 5 : 0,50</t>
        </is>
      </c>
      <c r="H1631" t="n">
        <v>1</v>
      </c>
    </row>
    <row r="1632">
      <c r="A1632" t="inlineStr">
        <is>
          <t>2022-2023</t>
        </is>
      </c>
      <c r="B1632" t="inlineStr">
        <is>
          <t>2023-03-19</t>
        </is>
      </c>
      <c r="C1632" t="inlineStr">
        <is>
          <t>12:32</t>
        </is>
      </c>
      <c r="D1632" t="inlineStr">
        <is>
          <t>n° 4 + n° 5</t>
        </is>
      </c>
      <c r="E1632" t="inlineStr">
        <is>
          <t>GLACE 1 BOULE</t>
        </is>
      </c>
      <c r="F1632" t="n">
        <v>2</v>
      </c>
      <c r="G1632" t="inlineStr">
        <is>
          <t>n° 4 : 0,50 + n° 5 : 0,50</t>
        </is>
      </c>
      <c r="H1632" t="n">
        <v>1</v>
      </c>
    </row>
    <row r="1633">
      <c r="A1633" t="inlineStr">
        <is>
          <t>2022-2023</t>
        </is>
      </c>
      <c r="B1633" t="inlineStr">
        <is>
          <t>2023-03-19</t>
        </is>
      </c>
      <c r="C1633" t="inlineStr">
        <is>
          <t>12:32</t>
        </is>
      </c>
      <c r="D1633" t="inlineStr">
        <is>
          <t>n° 4 + n° 5</t>
        </is>
      </c>
      <c r="E1633" t="inlineStr">
        <is>
          <t>Jus de citron</t>
        </is>
      </c>
      <c r="F1633" t="n">
        <v>1.2</v>
      </c>
      <c r="G1633" t="inlineStr">
        <is>
          <t>n° 4 : 0,50 + n° 5 : 0,50</t>
        </is>
      </c>
      <c r="H1633" t="n">
        <v>1</v>
      </c>
    </row>
    <row r="1634">
      <c r="A1634" t="inlineStr">
        <is>
          <t>2022-2023</t>
        </is>
      </c>
      <c r="B1634" t="inlineStr">
        <is>
          <t>2023-03-22</t>
        </is>
      </c>
      <c r="C1634" t="inlineStr">
        <is>
          <t>19:09</t>
        </is>
      </c>
      <c r="D1634" t="inlineStr">
        <is>
          <t>n° 5 + n° 6</t>
        </is>
      </c>
      <c r="E1634" t="inlineStr">
        <is>
          <t>CAMEMBERT ROTI</t>
        </is>
      </c>
      <c r="F1634" t="n">
        <v>18.6</v>
      </c>
      <c r="G1634" t="inlineStr">
        <is>
          <t>n° 5 : 0,50 + n° 6 : 0,50</t>
        </is>
      </c>
      <c r="H1634" t="n">
        <v>1</v>
      </c>
    </row>
    <row r="1635">
      <c r="A1635" t="inlineStr">
        <is>
          <t>2022-2023</t>
        </is>
      </c>
      <c r="B1635" t="inlineStr">
        <is>
          <t>2023-03-22</t>
        </is>
      </c>
      <c r="C1635" t="inlineStr">
        <is>
          <t>19:09</t>
        </is>
      </c>
      <c r="D1635" t="inlineStr">
        <is>
          <t>n° 5 + n° 6</t>
        </is>
      </c>
      <c r="E1635" t="inlineStr">
        <is>
          <t>MORTEAU GRILLEE</t>
        </is>
      </c>
      <c r="F1635" t="n">
        <v>18.6</v>
      </c>
      <c r="G1635" t="inlineStr">
        <is>
          <t>n° 5 : 0,50 + n° 6 : 0,50</t>
        </is>
      </c>
      <c r="H1635" t="n">
        <v>1</v>
      </c>
    </row>
    <row r="1636">
      <c r="A1636" t="inlineStr">
        <is>
          <t>2022-2023</t>
        </is>
      </c>
      <c r="B1636" t="inlineStr">
        <is>
          <t>2023-03-22</t>
        </is>
      </c>
      <c r="C1636" t="inlineStr">
        <is>
          <t>19:09</t>
        </is>
      </c>
      <c r="D1636" t="inlineStr">
        <is>
          <t>n° 5 + n° 6</t>
        </is>
      </c>
      <c r="E1636" t="inlineStr">
        <is>
          <t>San Pelegrino</t>
        </is>
      </c>
      <c r="F1636" t="n">
        <v>5.9</v>
      </c>
      <c r="G1636" t="inlineStr">
        <is>
          <t>n° 5 : 0,50 + n° 6 : 0,50</t>
        </is>
      </c>
      <c r="H1636" t="n">
        <v>1</v>
      </c>
    </row>
    <row r="1637">
      <c r="A1637" t="inlineStr">
        <is>
          <t>2022-2023</t>
        </is>
      </c>
      <c r="B1637" t="inlineStr">
        <is>
          <t>2023-03-22</t>
        </is>
      </c>
      <c r="C1637" t="inlineStr">
        <is>
          <t>19:09</t>
        </is>
      </c>
      <c r="D1637" t="inlineStr">
        <is>
          <t>n° 5 + n° 6</t>
        </is>
      </c>
      <c r="E1637" t="inlineStr">
        <is>
          <t>Expresso</t>
        </is>
      </c>
      <c r="F1637" t="n">
        <v>2.2</v>
      </c>
      <c r="G1637" t="inlineStr">
        <is>
          <t>n° 5 : 0,50 + n° 6 : 0,50</t>
        </is>
      </c>
      <c r="H1637" t="n">
        <v>1</v>
      </c>
    </row>
    <row r="1638">
      <c r="A1638" t="inlineStr">
        <is>
          <t>2022-2023</t>
        </is>
      </c>
      <c r="B1638" t="inlineStr">
        <is>
          <t>2023-03-22</t>
        </is>
      </c>
      <c r="C1638" t="inlineStr">
        <is>
          <t>20:43</t>
        </is>
      </c>
      <c r="D1638" t="inlineStr">
        <is>
          <t>n° 14 + n° 15</t>
        </is>
      </c>
      <c r="E1638" t="inlineStr">
        <is>
          <t>Bohème</t>
        </is>
      </c>
      <c r="F1638" t="n">
        <v>29</v>
      </c>
      <c r="G1638" t="inlineStr">
        <is>
          <t>n° 14 : 0,25 + n° 15 : 0,75</t>
        </is>
      </c>
      <c r="H1638" t="n">
        <v>1</v>
      </c>
    </row>
    <row r="1639">
      <c r="A1639" t="inlineStr">
        <is>
          <t>2022-2023</t>
        </is>
      </c>
      <c r="B1639" t="inlineStr">
        <is>
          <t>2023-03-25</t>
        </is>
      </c>
      <c r="C1639" t="inlineStr">
        <is>
          <t>12:26</t>
        </is>
      </c>
      <c r="D1639" t="inlineStr">
        <is>
          <t>n° 4 + n° 5</t>
        </is>
      </c>
      <c r="E1639" t="inlineStr">
        <is>
          <t>Entrecôte grillée</t>
        </is>
      </c>
      <c r="F1639" t="n">
        <v>19.9</v>
      </c>
      <c r="G1639" t="inlineStr">
        <is>
          <t>n° 4 : 0,50 + n° 5 : 0,50</t>
        </is>
      </c>
      <c r="H1639" t="n">
        <v>1</v>
      </c>
    </row>
    <row r="1640">
      <c r="A1640" t="inlineStr">
        <is>
          <t>2022-2023</t>
        </is>
      </c>
      <c r="B1640" t="inlineStr">
        <is>
          <t>2023-03-25</t>
        </is>
      </c>
      <c r="C1640" t="inlineStr">
        <is>
          <t>12:26</t>
        </is>
      </c>
      <c r="D1640" t="inlineStr">
        <is>
          <t>n° 4 + n° 5</t>
        </is>
      </c>
      <c r="E1640" t="inlineStr">
        <is>
          <t>PEUTE</t>
        </is>
      </c>
      <c r="F1640" t="n">
        <v>16.8</v>
      </c>
      <c r="G1640" t="inlineStr">
        <is>
          <t>n° 4 : 0,50 + n° 5 : 0,50</t>
        </is>
      </c>
      <c r="H1640" t="n">
        <v>1</v>
      </c>
    </row>
    <row r="1641">
      <c r="A1641" t="inlineStr">
        <is>
          <t>2022-2023</t>
        </is>
      </c>
      <c r="B1641" t="inlineStr">
        <is>
          <t>2023-03-25</t>
        </is>
      </c>
      <c r="C1641" t="inlineStr">
        <is>
          <t>12:26</t>
        </is>
      </c>
      <c r="D1641" t="inlineStr">
        <is>
          <t>n° 4 + n° 5</t>
        </is>
      </c>
      <c r="E1641" t="inlineStr">
        <is>
          <t>Pichet 50cl vin</t>
        </is>
      </c>
      <c r="F1641" t="n">
        <v>9.800000000000001</v>
      </c>
      <c r="G1641" t="inlineStr">
        <is>
          <t>n° 4 : 0,50 + n° 5 : 0,50</t>
        </is>
      </c>
      <c r="H1641" t="n">
        <v>1</v>
      </c>
    </row>
    <row r="1642">
      <c r="A1642" t="inlineStr">
        <is>
          <t>2022-2023</t>
        </is>
      </c>
      <c r="B1642" t="inlineStr">
        <is>
          <t>2023-03-25</t>
        </is>
      </c>
      <c r="C1642" t="inlineStr">
        <is>
          <t>12:26</t>
        </is>
      </c>
      <c r="D1642" t="inlineStr">
        <is>
          <t>n° 4 + n° 5</t>
        </is>
      </c>
      <c r="E1642" t="inlineStr">
        <is>
          <t>Salade Franc-Comptoi</t>
        </is>
      </c>
      <c r="F1642" t="n">
        <v>8.9</v>
      </c>
      <c r="G1642" t="inlineStr">
        <is>
          <t>n° 4 : 0,50 + n° 5 : 0,50</t>
        </is>
      </c>
      <c r="H1642" t="n">
        <v>1</v>
      </c>
    </row>
    <row r="1643">
      <c r="A1643" t="inlineStr">
        <is>
          <t>2022-2023</t>
        </is>
      </c>
      <c r="B1643" t="inlineStr">
        <is>
          <t>2023-03-25</t>
        </is>
      </c>
      <c r="C1643" t="inlineStr">
        <is>
          <t>12:26</t>
        </is>
      </c>
      <c r="D1643" t="inlineStr">
        <is>
          <t>n° 4 + n° 5</t>
        </is>
      </c>
      <c r="E1643" t="inlineStr">
        <is>
          <t>Escargots de Bourgog</t>
        </is>
      </c>
      <c r="F1643" t="n">
        <v>8</v>
      </c>
      <c r="G1643" t="inlineStr">
        <is>
          <t>n° 4 : 0,50 + n° 5 : 0,50</t>
        </is>
      </c>
      <c r="H1643" t="n">
        <v>1</v>
      </c>
    </row>
    <row r="1644">
      <c r="A1644" t="inlineStr">
        <is>
          <t>2022-2023</t>
        </is>
      </c>
      <c r="B1644" t="inlineStr">
        <is>
          <t>2023-03-25</t>
        </is>
      </c>
      <c r="C1644" t="inlineStr">
        <is>
          <t>20:52</t>
        </is>
      </c>
      <c r="D1644" t="inlineStr">
        <is>
          <t>n° 16 + n° 17 + n° 18 + n° 19</t>
        </is>
      </c>
      <c r="E1644" t="inlineStr">
        <is>
          <t>H.C.B BEAUNE BTL</t>
        </is>
      </c>
      <c r="F1644" t="n">
        <v>39.5</v>
      </c>
      <c r="G1644" t="inlineStr">
        <is>
          <t>n° 18 : 0,50 + n° 19 : 0,50</t>
        </is>
      </c>
      <c r="H1644" t="n">
        <v>1</v>
      </c>
    </row>
    <row r="1645">
      <c r="A1645" t="inlineStr">
        <is>
          <t>2022-2023</t>
        </is>
      </c>
      <c r="B1645" t="inlineStr">
        <is>
          <t>2023-03-25</t>
        </is>
      </c>
      <c r="C1645" t="inlineStr">
        <is>
          <t>20:52</t>
        </is>
      </c>
      <c r="D1645" t="inlineStr">
        <is>
          <t>n° 16 + n° 17 + n° 18 + n° 19</t>
        </is>
      </c>
      <c r="E1645" t="inlineStr">
        <is>
          <t>PICHET SAINT VERAN</t>
        </is>
      </c>
      <c r="F1645" t="n">
        <v>30</v>
      </c>
      <c r="G1645" t="inlineStr">
        <is>
          <t>n° 16 : 0,50 + n° 17 : 0,50</t>
        </is>
      </c>
      <c r="H1645" t="n">
        <v>1</v>
      </c>
    </row>
    <row r="1646">
      <c r="A1646" t="inlineStr">
        <is>
          <t>2022-2023</t>
        </is>
      </c>
      <c r="B1646" t="inlineStr">
        <is>
          <t>2023-03-25</t>
        </is>
      </c>
      <c r="C1646" t="inlineStr">
        <is>
          <t>20:52</t>
        </is>
      </c>
      <c r="D1646" t="inlineStr">
        <is>
          <t>n° 16 + n° 17 + n° 18 + n° 19</t>
        </is>
      </c>
      <c r="E1646" t="inlineStr">
        <is>
          <t>TRUITE PESTO</t>
        </is>
      </c>
      <c r="F1646" t="n">
        <v>16.9</v>
      </c>
      <c r="G1646" t="inlineStr">
        <is>
          <t>n° 18 : 0,50 + n° 19 : 0,50</t>
        </is>
      </c>
      <c r="H1646" t="n">
        <v>1</v>
      </c>
    </row>
    <row r="1647">
      <c r="A1647" t="inlineStr">
        <is>
          <t>2022-2023</t>
        </is>
      </c>
      <c r="B1647" t="inlineStr">
        <is>
          <t>2023-03-25</t>
        </is>
      </c>
      <c r="C1647" t="inlineStr">
        <is>
          <t>20:52</t>
        </is>
      </c>
      <c r="D1647" t="inlineStr">
        <is>
          <t>n° 16 + n° 17 + n° 18 + n° 19</t>
        </is>
      </c>
      <c r="E1647" t="inlineStr">
        <is>
          <t>TANTELIN</t>
        </is>
      </c>
      <c r="F1647" t="n">
        <v>16.4</v>
      </c>
      <c r="G1647" t="inlineStr">
        <is>
          <t>n° 16 : 0,50 + n° 17 : 0,50 + n° 18 : 0,50 + n° 19 : 0,50</t>
        </is>
      </c>
      <c r="H1647" t="n">
        <v>2</v>
      </c>
    </row>
    <row r="1648">
      <c r="A1648" t="inlineStr">
        <is>
          <t>2022-2023</t>
        </is>
      </c>
      <c r="B1648" t="inlineStr">
        <is>
          <t>2023-03-25</t>
        </is>
      </c>
      <c r="C1648" t="inlineStr">
        <is>
          <t>20:52</t>
        </is>
      </c>
      <c r="D1648" t="inlineStr">
        <is>
          <t>n° 16 + n° 17 + n° 18 + n° 19</t>
        </is>
      </c>
      <c r="E1648" t="inlineStr">
        <is>
          <t>LIGOUSE</t>
        </is>
      </c>
      <c r="F1648" t="n">
        <v>15.6</v>
      </c>
      <c r="G1648" t="inlineStr">
        <is>
          <t>n° 18 : 0,50 + n° 19 : 0,50</t>
        </is>
      </c>
      <c r="H1648" t="n">
        <v>1</v>
      </c>
    </row>
    <row r="1649">
      <c r="A1649" t="inlineStr">
        <is>
          <t>2022-2023</t>
        </is>
      </c>
      <c r="B1649" t="inlineStr">
        <is>
          <t>2023-03-25</t>
        </is>
      </c>
      <c r="C1649" t="inlineStr">
        <is>
          <t>20:52</t>
        </is>
      </c>
      <c r="D1649" t="inlineStr">
        <is>
          <t>n° 16 + n° 17 + n° 18 + n° 19</t>
        </is>
      </c>
      <c r="E1649" t="inlineStr">
        <is>
          <t>BARBEULENET</t>
        </is>
      </c>
      <c r="F1649" t="n">
        <v>13.9</v>
      </c>
      <c r="G1649" t="inlineStr">
        <is>
          <t>n° 16 : 0,50 + n° 17 : 0,50</t>
        </is>
      </c>
      <c r="H1649" t="n">
        <v>1</v>
      </c>
    </row>
    <row r="1650">
      <c r="A1650" t="inlineStr">
        <is>
          <t>2022-2023</t>
        </is>
      </c>
      <c r="B1650" t="inlineStr">
        <is>
          <t>2023-03-25</t>
        </is>
      </c>
      <c r="C1650" t="inlineStr">
        <is>
          <t>20:52</t>
        </is>
      </c>
      <c r="D1650" t="inlineStr">
        <is>
          <t>n° 16 + n° 17 + n° 18 + n° 19</t>
        </is>
      </c>
      <c r="E1650" t="inlineStr">
        <is>
          <t>Menu 'Enfant'</t>
        </is>
      </c>
      <c r="F1650" t="n">
        <v>9.9</v>
      </c>
      <c r="G1650" t="inlineStr">
        <is>
          <t>n° 18 : 1,50 + n° 19 : 1,50</t>
        </is>
      </c>
      <c r="H1650" t="n">
        <v>3</v>
      </c>
    </row>
    <row r="1651">
      <c r="A1651" t="inlineStr">
        <is>
          <t>2022-2023</t>
        </is>
      </c>
      <c r="B1651" t="inlineStr">
        <is>
          <t>2023-03-25</t>
        </is>
      </c>
      <c r="C1651" t="inlineStr">
        <is>
          <t>20:52</t>
        </is>
      </c>
      <c r="D1651" t="inlineStr">
        <is>
          <t>n° 16 + n° 17 + n° 18 + n° 19</t>
        </is>
      </c>
      <c r="E1651" t="inlineStr">
        <is>
          <t>TANTE ARIE</t>
        </is>
      </c>
      <c r="F1651" t="n">
        <v>8.5</v>
      </c>
      <c r="G1651" t="inlineStr">
        <is>
          <t>n° 16 : 0,50 + n° 17 : 0,50</t>
        </is>
      </c>
      <c r="H1651" t="n">
        <v>1</v>
      </c>
    </row>
    <row r="1652">
      <c r="A1652" t="inlineStr">
        <is>
          <t>2022-2023</t>
        </is>
      </c>
      <c r="B1652" t="inlineStr">
        <is>
          <t>2023-03-25</t>
        </is>
      </c>
      <c r="C1652" t="inlineStr">
        <is>
          <t>20:52</t>
        </is>
      </c>
      <c r="D1652" t="inlineStr">
        <is>
          <t>n° 16 + n° 17 + n° 18 + n° 19</t>
        </is>
      </c>
      <c r="E1652" t="inlineStr">
        <is>
          <t>Gewurztraminer Le ve</t>
        </is>
      </c>
      <c r="F1652" t="n">
        <v>7</v>
      </c>
      <c r="G1652" t="inlineStr">
        <is>
          <t>n° 18 : 0,50 + n° 19 : 0,50</t>
        </is>
      </c>
      <c r="H1652" t="n">
        <v>1</v>
      </c>
    </row>
    <row r="1653">
      <c r="A1653" t="inlineStr">
        <is>
          <t>2022-2023</t>
        </is>
      </c>
      <c r="B1653" t="inlineStr">
        <is>
          <t>2023-03-25</t>
        </is>
      </c>
      <c r="C1653" t="inlineStr">
        <is>
          <t>20:52</t>
        </is>
      </c>
      <c r="D1653" t="inlineStr">
        <is>
          <t>n° 16 + n° 17 + n° 18 + n° 19</t>
        </is>
      </c>
      <c r="E1653" t="inlineStr">
        <is>
          <t>CREME BRULEE</t>
        </is>
      </c>
      <c r="F1653" t="n">
        <v>6.9</v>
      </c>
      <c r="G1653" t="inlineStr">
        <is>
          <t>n° 16 : 0,50 + n° 17 : 0,50</t>
        </is>
      </c>
      <c r="H1653" t="n">
        <v>1</v>
      </c>
    </row>
    <row r="1654">
      <c r="A1654" t="inlineStr">
        <is>
          <t>2022-2023</t>
        </is>
      </c>
      <c r="B1654" t="inlineStr">
        <is>
          <t>2023-03-25</t>
        </is>
      </c>
      <c r="C1654" t="inlineStr">
        <is>
          <t>20:52</t>
        </is>
      </c>
      <c r="D1654" t="inlineStr">
        <is>
          <t>n° 16 + n° 17 + n° 18 + n° 19</t>
        </is>
      </c>
      <c r="E1654" t="inlineStr">
        <is>
          <t>Arbois Trousseau Le</t>
        </is>
      </c>
      <c r="F1654" t="n">
        <v>6.4</v>
      </c>
      <c r="G1654" t="inlineStr">
        <is>
          <t>n° 18 : 0,50 + n° 19 : 0,50</t>
        </is>
      </c>
      <c r="H1654" t="n">
        <v>1</v>
      </c>
    </row>
    <row r="1655">
      <c r="A1655" t="inlineStr">
        <is>
          <t>2022-2023</t>
        </is>
      </c>
      <c r="B1655" t="inlineStr">
        <is>
          <t>2023-03-25</t>
        </is>
      </c>
      <c r="C1655" t="inlineStr">
        <is>
          <t>20:52</t>
        </is>
      </c>
      <c r="D1655" t="inlineStr">
        <is>
          <t>n° 16 + n° 17 + n° 18 + n° 19</t>
        </is>
      </c>
      <c r="E1655" t="inlineStr">
        <is>
          <t>Père Gregoire</t>
        </is>
      </c>
      <c r="F1655" t="n">
        <v>4.9</v>
      </c>
      <c r="G1655" t="inlineStr">
        <is>
          <t>n° 18 : 0,50 + n° 19 : 0,50</t>
        </is>
      </c>
      <c r="H1655" t="n">
        <v>1</v>
      </c>
    </row>
    <row r="1656">
      <c r="A1656" t="inlineStr">
        <is>
          <t>2022-2023</t>
        </is>
      </c>
      <c r="B1656" t="inlineStr">
        <is>
          <t>2023-03-25</t>
        </is>
      </c>
      <c r="C1656" t="inlineStr">
        <is>
          <t>20:52</t>
        </is>
      </c>
      <c r="D1656" t="inlineStr">
        <is>
          <t>n° 16 + n° 17 + n° 18 + n° 19</t>
        </is>
      </c>
      <c r="E1656" t="inlineStr">
        <is>
          <t>Macvin du Jura</t>
        </is>
      </c>
      <c r="F1656" t="n">
        <v>4.9</v>
      </c>
      <c r="G1656" t="inlineStr">
        <is>
          <t>n° 18 : 0,50 + n° 19 : 0,50</t>
        </is>
      </c>
      <c r="H1656" t="n">
        <v>1</v>
      </c>
    </row>
    <row r="1657">
      <c r="A1657" t="inlineStr">
        <is>
          <t>2022-2023</t>
        </is>
      </c>
      <c r="B1657" t="inlineStr">
        <is>
          <t>2023-03-25</t>
        </is>
      </c>
      <c r="C1657" t="inlineStr">
        <is>
          <t>20:52</t>
        </is>
      </c>
      <c r="D1657" t="inlineStr">
        <is>
          <t>n° 16 + n° 17 + n° 18 + n° 19</t>
        </is>
      </c>
      <c r="E1657" t="inlineStr">
        <is>
          <t>Crêpe Nutella</t>
        </is>
      </c>
      <c r="F1657" t="n">
        <v>4.7</v>
      </c>
      <c r="G1657" t="inlineStr">
        <is>
          <t>n° 18 : 0,50 + n° 19 : 0,50</t>
        </is>
      </c>
      <c r="H1657" t="n">
        <v>1</v>
      </c>
    </row>
    <row r="1658">
      <c r="A1658" t="inlineStr">
        <is>
          <t>2022-2023</t>
        </is>
      </c>
      <c r="B1658" t="inlineStr">
        <is>
          <t>2023-03-25</t>
        </is>
      </c>
      <c r="C1658" t="inlineStr">
        <is>
          <t>20:52</t>
        </is>
      </c>
      <c r="D1658" t="inlineStr">
        <is>
          <t>n° 16 + n° 17 + n° 18 + n° 19</t>
        </is>
      </c>
      <c r="E1658" t="inlineStr">
        <is>
          <t>Fuze Tea</t>
        </is>
      </c>
      <c r="F1658" t="n">
        <v>3.9</v>
      </c>
      <c r="G1658" t="inlineStr">
        <is>
          <t>n° 18 : 0,50 + n° 19 : 0,50</t>
        </is>
      </c>
      <c r="H1658" t="n">
        <v>1</v>
      </c>
    </row>
    <row r="1659">
      <c r="A1659" t="inlineStr">
        <is>
          <t>2022-2023</t>
        </is>
      </c>
      <c r="B1659" t="inlineStr">
        <is>
          <t>2023-03-25</t>
        </is>
      </c>
      <c r="C1659" t="inlineStr">
        <is>
          <t>20:52</t>
        </is>
      </c>
      <c r="D1659" t="inlineStr">
        <is>
          <t>n° 16 + n° 17 + n° 18 + n° 19</t>
        </is>
      </c>
      <c r="E1659" t="inlineStr">
        <is>
          <t>Jus de Fruit</t>
        </is>
      </c>
      <c r="F1659" t="n">
        <v>3.9</v>
      </c>
      <c r="G1659" t="inlineStr">
        <is>
          <t>n° 18 : 0,50 + n° 19 : 0,50</t>
        </is>
      </c>
      <c r="H1659" t="n">
        <v>1</v>
      </c>
    </row>
    <row r="1660">
      <c r="A1660" t="inlineStr">
        <is>
          <t>2022-2023</t>
        </is>
      </c>
      <c r="B1660" t="inlineStr">
        <is>
          <t>2023-03-25</t>
        </is>
      </c>
      <c r="C1660" t="inlineStr">
        <is>
          <t>20:52</t>
        </is>
      </c>
      <c r="D1660" t="inlineStr">
        <is>
          <t>n° 16 + n° 17 + n° 18 + n° 19</t>
        </is>
      </c>
      <c r="E1660" t="inlineStr">
        <is>
          <t>Expresso</t>
        </is>
      </c>
      <c r="F1660" t="n">
        <v>2.2</v>
      </c>
      <c r="G1660" t="inlineStr">
        <is>
          <t>n° 16 : 0,50 + n° 17 : 0,50 + n° 18 : 1,00 + n° 19 : 1,00</t>
        </is>
      </c>
      <c r="H1660" t="n">
        <v>3</v>
      </c>
    </row>
    <row r="1661">
      <c r="A1661" t="inlineStr">
        <is>
          <t>2022-2023</t>
        </is>
      </c>
      <c r="B1661" t="inlineStr">
        <is>
          <t>2023-03-25</t>
        </is>
      </c>
      <c r="C1661" t="inlineStr">
        <is>
          <t>20:52</t>
        </is>
      </c>
      <c r="D1661" t="inlineStr">
        <is>
          <t>n° 16 + n° 17 + n° 18 + n° 19</t>
        </is>
      </c>
      <c r="E1661" t="inlineStr">
        <is>
          <t>GLACE 1 BOULE</t>
        </is>
      </c>
      <c r="F1661" t="n">
        <v>2</v>
      </c>
      <c r="G1661" t="inlineStr">
        <is>
          <t>n° 16 : 0,50 + n° 17 : 0,50</t>
        </is>
      </c>
      <c r="H1661" t="n">
        <v>1</v>
      </c>
    </row>
    <row r="1662">
      <c r="A1662" t="inlineStr">
        <is>
          <t>2022-2023</t>
        </is>
      </c>
      <c r="B1662" t="inlineStr">
        <is>
          <t>2023-03-25</t>
        </is>
      </c>
      <c r="C1662" t="inlineStr">
        <is>
          <t>20:52</t>
        </is>
      </c>
      <c r="D1662" t="inlineStr">
        <is>
          <t>n° 16 + n° 17 + n° 18 + n° 19</t>
        </is>
      </c>
      <c r="E1662" t="inlineStr">
        <is>
          <t>Miel</t>
        </is>
      </c>
      <c r="F1662" t="n">
        <v>1.8</v>
      </c>
      <c r="G1662" t="inlineStr">
        <is>
          <t>n° 18 : 0,50 + n° 19 : 0,50</t>
        </is>
      </c>
      <c r="H1662" t="n">
        <v>1</v>
      </c>
    </row>
    <row r="1663">
      <c r="A1663" t="inlineStr">
        <is>
          <t>2022-2023</t>
        </is>
      </c>
      <c r="B1663" t="inlineStr">
        <is>
          <t>2023-03-26</t>
        </is>
      </c>
      <c r="C1663" t="inlineStr">
        <is>
          <t>12:43</t>
        </is>
      </c>
      <c r="D1663" t="inlineStr">
        <is>
          <t>n° 8 + n° 9</t>
        </is>
      </c>
      <c r="E1663" t="inlineStr">
        <is>
          <t>Expresso</t>
        </is>
      </c>
      <c r="F1663" t="n">
        <v>2.2</v>
      </c>
      <c r="G1663" t="inlineStr">
        <is>
          <t>n° 8 : 0,50 + n° 9 : 0,50</t>
        </is>
      </c>
      <c r="H1663" t="n">
        <v>1</v>
      </c>
    </row>
    <row r="1664">
      <c r="A1664" t="inlineStr">
        <is>
          <t>2022-2023</t>
        </is>
      </c>
      <c r="B1664" t="inlineStr">
        <is>
          <t>2023-03-29</t>
        </is>
      </c>
      <c r="C1664" t="inlineStr">
        <is>
          <t>20:19</t>
        </is>
      </c>
      <c r="D1664" t="inlineStr">
        <is>
          <t>n° 9 + n° 10 + n° 11 + n° 12</t>
        </is>
      </c>
      <c r="E1664" t="inlineStr">
        <is>
          <t>PAYSANNE</t>
        </is>
      </c>
      <c r="F1664" t="n">
        <v>19.9</v>
      </c>
      <c r="G1664" t="inlineStr">
        <is>
          <t>n° 9 : 0,75 + n° 10 : 0,75 + n° 11 : 0,75 + n° 12 : 0,75</t>
        </is>
      </c>
      <c r="H1664" t="n">
        <v>3</v>
      </c>
    </row>
    <row r="1665">
      <c r="A1665" t="inlineStr">
        <is>
          <t>2022-2023</t>
        </is>
      </c>
      <c r="B1665" t="inlineStr">
        <is>
          <t>2023-03-29</t>
        </is>
      </c>
      <c r="C1665" t="inlineStr">
        <is>
          <t>20:19</t>
        </is>
      </c>
      <c r="D1665" t="inlineStr">
        <is>
          <t>n° 9 + n° 10 + n° 11 + n° 12</t>
        </is>
      </c>
      <c r="E1665" t="inlineStr">
        <is>
          <t>Salade Régionale</t>
        </is>
      </c>
      <c r="F1665" t="n">
        <v>19.9</v>
      </c>
      <c r="G1665" t="inlineStr">
        <is>
          <t>n° 9 : 0,25 + n° 10 : 0,25 + n° 11 : 0,25 + n° 12 : 0,25</t>
        </is>
      </c>
      <c r="H1665" t="n">
        <v>1</v>
      </c>
    </row>
    <row r="1666">
      <c r="A1666" t="inlineStr">
        <is>
          <t>2022-2023</t>
        </is>
      </c>
      <c r="B1666" t="inlineStr">
        <is>
          <t>2023-03-29</t>
        </is>
      </c>
      <c r="C1666" t="inlineStr">
        <is>
          <t>20:19</t>
        </is>
      </c>
      <c r="D1666" t="inlineStr">
        <is>
          <t>n° 9 + n° 10 + n° 11 + n° 12</t>
        </is>
      </c>
      <c r="E1666" t="inlineStr">
        <is>
          <t>Pinte</t>
        </is>
      </c>
      <c r="F1666" t="n">
        <v>7.8</v>
      </c>
      <c r="G1666" t="inlineStr">
        <is>
          <t>n° 9 : 0,50 + n° 10 : 0,50 + n° 11 : 0,50 + n° 12 : 0,50</t>
        </is>
      </c>
      <c r="H1666" t="n">
        <v>2</v>
      </c>
    </row>
    <row r="1667">
      <c r="A1667" t="inlineStr">
        <is>
          <t>2022-2023</t>
        </is>
      </c>
      <c r="B1667" t="inlineStr">
        <is>
          <t>2023-03-29</t>
        </is>
      </c>
      <c r="C1667" t="inlineStr">
        <is>
          <t>20:19</t>
        </is>
      </c>
      <c r="D1667" t="inlineStr">
        <is>
          <t>n° 9 + n° 10 + n° 11 + n° 12</t>
        </is>
      </c>
      <c r="E1667" t="inlineStr">
        <is>
          <t>C du  Rhone St Josep</t>
        </is>
      </c>
      <c r="F1667" t="n">
        <v>7.2</v>
      </c>
      <c r="G1667" t="inlineStr">
        <is>
          <t>n° 9 : 0,50 + n° 10 : 0,50 + n° 11 : 0,50 + n° 12 : 0,50</t>
        </is>
      </c>
      <c r="H1667" t="n">
        <v>2</v>
      </c>
    </row>
    <row r="1668">
      <c r="A1668" t="inlineStr">
        <is>
          <t>2022-2023</t>
        </is>
      </c>
      <c r="B1668" t="inlineStr">
        <is>
          <t>2023-03-29</t>
        </is>
      </c>
      <c r="C1668" t="inlineStr">
        <is>
          <t>20:19</t>
        </is>
      </c>
      <c r="D1668" t="inlineStr">
        <is>
          <t>n° 9 + n° 10 + n° 11 + n° 12</t>
        </is>
      </c>
      <c r="E1668" t="inlineStr">
        <is>
          <t>Dessert</t>
        </is>
      </c>
      <c r="F1668" t="n">
        <v>6.9</v>
      </c>
      <c r="G1668" t="inlineStr">
        <is>
          <t>n° 9 : 0,25 + n° 10 : 0,25 + n° 11 : 0,25 + n° 12 : 0,25</t>
        </is>
      </c>
      <c r="H1668" t="n">
        <v>1</v>
      </c>
    </row>
    <row r="1669">
      <c r="A1669" t="inlineStr">
        <is>
          <t>2022-2023</t>
        </is>
      </c>
      <c r="B1669" t="inlineStr">
        <is>
          <t>2023-03-29</t>
        </is>
      </c>
      <c r="C1669" t="inlineStr">
        <is>
          <t>20:19</t>
        </is>
      </c>
      <c r="D1669" t="inlineStr">
        <is>
          <t>n° 9 + n° 10 + n° 11 + n° 12</t>
        </is>
      </c>
      <c r="E1669" t="inlineStr">
        <is>
          <t>Génépi</t>
        </is>
      </c>
      <c r="F1669" t="n">
        <v>6.5</v>
      </c>
      <c r="G1669" t="inlineStr">
        <is>
          <t>n° 9 : 0,25 + n° 10 : 0,25 + n° 11 : 0,25 + n° 12 : 0,25</t>
        </is>
      </c>
      <c r="H1669" t="n">
        <v>1</v>
      </c>
    </row>
    <row r="1670">
      <c r="A1670" t="inlineStr">
        <is>
          <t>2022-2023</t>
        </is>
      </c>
      <c r="B1670" t="inlineStr">
        <is>
          <t>2023-03-29</t>
        </is>
      </c>
      <c r="C1670" t="inlineStr">
        <is>
          <t>20:19</t>
        </is>
      </c>
      <c r="D1670" t="inlineStr">
        <is>
          <t>n° 9 + n° 10 + n° 11 + n° 12</t>
        </is>
      </c>
      <c r="E1670" t="inlineStr">
        <is>
          <t>Vittel litre</t>
        </is>
      </c>
      <c r="F1670" t="n">
        <v>5.9</v>
      </c>
      <c r="G1670" t="inlineStr">
        <is>
          <t>n° 9 : 0,25 + n° 10 : 0,25 + n° 11 : 0,25 + n° 12 : 0,25</t>
        </is>
      </c>
      <c r="H1670" t="n">
        <v>1</v>
      </c>
    </row>
    <row r="1671">
      <c r="A1671" t="inlineStr">
        <is>
          <t>2022-2023</t>
        </is>
      </c>
      <c r="B1671" t="inlineStr">
        <is>
          <t>2023-03-29</t>
        </is>
      </c>
      <c r="C1671" t="inlineStr">
        <is>
          <t>20:19</t>
        </is>
      </c>
      <c r="D1671" t="inlineStr">
        <is>
          <t>n° 9 + n° 10 + n° 11 + n° 12</t>
        </is>
      </c>
      <c r="E1671" t="inlineStr">
        <is>
          <t>Vittel 50cl</t>
        </is>
      </c>
      <c r="F1671" t="n">
        <v>4</v>
      </c>
      <c r="G1671" t="inlineStr">
        <is>
          <t>n° 9 : 0,50 + n° 10 : 0,50 + n° 11 : 0,50 + n° 12 : 0,50</t>
        </is>
      </c>
      <c r="H1671" t="n">
        <v>2</v>
      </c>
    </row>
    <row r="1672">
      <c r="A1672" t="inlineStr">
        <is>
          <t>2022-2023</t>
        </is>
      </c>
      <c r="B1672" t="inlineStr">
        <is>
          <t>2023-03-29</t>
        </is>
      </c>
      <c r="C1672" t="inlineStr">
        <is>
          <t>20:19</t>
        </is>
      </c>
      <c r="D1672" t="inlineStr">
        <is>
          <t>n° 9 + n° 10 + n° 11 + n° 12</t>
        </is>
      </c>
      <c r="E1672" t="inlineStr">
        <is>
          <t>GLACE 2 BOULES</t>
        </is>
      </c>
      <c r="F1672" t="n">
        <v>3.9</v>
      </c>
      <c r="G1672" t="inlineStr">
        <is>
          <t>n° 9 : 0,25 + n° 10 : 0,25 + n° 11 : 0,25 + n° 12 : 0,25</t>
        </is>
      </c>
      <c r="H1672" t="n">
        <v>1</v>
      </c>
    </row>
    <row r="1673">
      <c r="A1673" t="inlineStr">
        <is>
          <t>2022-2023</t>
        </is>
      </c>
      <c r="B1673" t="inlineStr">
        <is>
          <t>2023-03-29</t>
        </is>
      </c>
      <c r="C1673" t="inlineStr">
        <is>
          <t>20:19</t>
        </is>
      </c>
      <c r="D1673" t="inlineStr">
        <is>
          <t>n° 9 + n° 10 + n° 11 + n° 12</t>
        </is>
      </c>
      <c r="E1673" t="inlineStr">
        <is>
          <t>GLACE 1 BOULE</t>
        </is>
      </c>
      <c r="F1673" t="n">
        <v>2</v>
      </c>
      <c r="G1673" t="inlineStr">
        <is>
          <t>n° 9 : 0,25 + n° 10 : 0,25 + n° 11 : 0,25 + n° 12 : 0,25</t>
        </is>
      </c>
      <c r="H1673" t="n">
        <v>1</v>
      </c>
    </row>
    <row r="1674">
      <c r="A1674" t="inlineStr">
        <is>
          <t>2022-2023</t>
        </is>
      </c>
      <c r="B1674" t="inlineStr">
        <is>
          <t>2023-03-29</t>
        </is>
      </c>
      <c r="C1674" t="inlineStr">
        <is>
          <t>20:44</t>
        </is>
      </c>
      <c r="D1674" t="inlineStr">
        <is>
          <t>n° 13 + n° 14 + n° 15 + n° 16</t>
        </is>
      </c>
      <c r="E1674" t="inlineStr">
        <is>
          <t>Plat du jour</t>
        </is>
      </c>
      <c r="F1674" t="n">
        <v>27.8</v>
      </c>
      <c r="G1674" t="inlineStr">
        <is>
          <t>n° 13 : 0,40 + n° 14 : 0,40 + n° 15 : 0,40 + n° 16 : 0,40</t>
        </is>
      </c>
      <c r="H1674" t="n">
        <v>1.6</v>
      </c>
    </row>
    <row r="1675">
      <c r="A1675" t="inlineStr">
        <is>
          <t>2022-2023</t>
        </is>
      </c>
      <c r="B1675" t="inlineStr">
        <is>
          <t>2023-03-29</t>
        </is>
      </c>
      <c r="C1675" t="inlineStr">
        <is>
          <t>20:44</t>
        </is>
      </c>
      <c r="D1675" t="inlineStr">
        <is>
          <t>n° 13 + n° 14 + n° 15 + n° 16</t>
        </is>
      </c>
      <c r="E1675" t="inlineStr">
        <is>
          <t>BURGER COMTOIS</t>
        </is>
      </c>
      <c r="F1675" t="n">
        <v>19</v>
      </c>
      <c r="G1675" t="inlineStr">
        <is>
          <t>n° 13 : 0,20 + n° 14 : 0,20 + n° 15 : 0,20 + n° 16 : 0,20</t>
        </is>
      </c>
      <c r="H1675" t="n">
        <v>0.8</v>
      </c>
    </row>
    <row r="1676">
      <c r="A1676" t="inlineStr">
        <is>
          <t>2022-2023</t>
        </is>
      </c>
      <c r="B1676" t="inlineStr">
        <is>
          <t>2023-03-29</t>
        </is>
      </c>
      <c r="C1676" t="inlineStr">
        <is>
          <t>20:44</t>
        </is>
      </c>
      <c r="D1676" t="inlineStr">
        <is>
          <t>n° 13 + n° 14 + n° 15 + n° 16</t>
        </is>
      </c>
      <c r="E1676" t="inlineStr">
        <is>
          <t>CAMEMBERT ROTI</t>
        </is>
      </c>
      <c r="F1676" t="n">
        <v>18.6</v>
      </c>
      <c r="G1676" t="inlineStr">
        <is>
          <t>n° 13 : 0,40 + n° 14 : 0,40 + n° 15 : 0,40 + n° 16 : 0,40</t>
        </is>
      </c>
      <c r="H1676" t="n">
        <v>1.6</v>
      </c>
    </row>
    <row r="1677">
      <c r="A1677" t="inlineStr">
        <is>
          <t>2022-2023</t>
        </is>
      </c>
      <c r="B1677" t="inlineStr">
        <is>
          <t>2023-03-29</t>
        </is>
      </c>
      <c r="C1677" t="inlineStr">
        <is>
          <t>20:44</t>
        </is>
      </c>
      <c r="D1677" t="inlineStr">
        <is>
          <t>n° 13 + n° 14 + n° 15 + n° 16</t>
        </is>
      </c>
      <c r="E1677" t="inlineStr">
        <is>
          <t>DOUCEUR</t>
        </is>
      </c>
      <c r="F1677" t="n">
        <v>8.699999999999999</v>
      </c>
      <c r="G1677" t="inlineStr">
        <is>
          <t>n° 13 : 0,20 + n° 14 : 0,20 + n° 15 : 0,20 + n° 16 : 0,20</t>
        </is>
      </c>
      <c r="H1677" t="n">
        <v>0.8</v>
      </c>
    </row>
    <row r="1678">
      <c r="A1678" t="inlineStr">
        <is>
          <t>2022-2023</t>
        </is>
      </c>
      <c r="B1678" t="inlineStr">
        <is>
          <t>2023-03-29</t>
        </is>
      </c>
      <c r="C1678" t="inlineStr">
        <is>
          <t>20:44</t>
        </is>
      </c>
      <c r="D1678" t="inlineStr">
        <is>
          <t>n° 13 + n° 14 + n° 15 + n° 16</t>
        </is>
      </c>
      <c r="E1678" t="inlineStr">
        <is>
          <t>Ré</t>
        </is>
      </c>
      <c r="F1678" t="n">
        <v>7</v>
      </c>
      <c r="G1678" t="inlineStr">
        <is>
          <t>n° 13 : 0,20 + n° 14 : 0,20 + n° 15 : 0,20 + n° 16 : 0,20</t>
        </is>
      </c>
      <c r="H1678" t="n">
        <v>0.8</v>
      </c>
    </row>
    <row r="1679">
      <c r="A1679" t="inlineStr">
        <is>
          <t>2022-2023</t>
        </is>
      </c>
      <c r="B1679" t="inlineStr">
        <is>
          <t>2023-03-29</t>
        </is>
      </c>
      <c r="C1679" t="inlineStr">
        <is>
          <t>20:44</t>
        </is>
      </c>
      <c r="D1679" t="inlineStr">
        <is>
          <t>n° 13 + n° 14 + n° 15 + n° 16</t>
        </is>
      </c>
      <c r="E1679" t="inlineStr">
        <is>
          <t>KITTYKIR</t>
        </is>
      </c>
      <c r="F1679" t="n">
        <v>5.2</v>
      </c>
      <c r="G1679" t="inlineStr">
        <is>
          <t>n° 13 : 0,20 + n° 14 : 0,20 + n° 15 : 0,20 + n° 16 : 0,20</t>
        </is>
      </c>
      <c r="H1679" t="n">
        <v>0.8</v>
      </c>
    </row>
    <row r="1680">
      <c r="A1680" t="inlineStr">
        <is>
          <t>2022-2023</t>
        </is>
      </c>
      <c r="B1680" t="inlineStr">
        <is>
          <t>2023-03-29</t>
        </is>
      </c>
      <c r="C1680" t="inlineStr">
        <is>
          <t>20:44</t>
        </is>
      </c>
      <c r="D1680" t="inlineStr">
        <is>
          <t>n° 13 + n° 14 + n° 15 + n° 16</t>
        </is>
      </c>
      <c r="E1680" t="inlineStr">
        <is>
          <t>Kir Bourgogne</t>
        </is>
      </c>
      <c r="F1680" t="n">
        <v>4.2</v>
      </c>
      <c r="G1680" t="inlineStr">
        <is>
          <t>n° 13 : 0,60 + n° 14 : 0,60 + n° 15 : 0,60 + n° 16 : 0,60</t>
        </is>
      </c>
      <c r="H1680" t="n">
        <v>2.4</v>
      </c>
    </row>
    <row r="1681">
      <c r="A1681" t="inlineStr">
        <is>
          <t>2022-2023</t>
        </is>
      </c>
      <c r="B1681" t="inlineStr">
        <is>
          <t>2023-03-29</t>
        </is>
      </c>
      <c r="C1681" t="inlineStr">
        <is>
          <t>20:44</t>
        </is>
      </c>
      <c r="D1681" t="inlineStr">
        <is>
          <t>n° 13 + n° 14 + n° 15 + n° 16</t>
        </is>
      </c>
      <c r="E1681" t="inlineStr">
        <is>
          <t>Schweppes</t>
        </is>
      </c>
      <c r="F1681" t="n">
        <v>3.9</v>
      </c>
      <c r="G1681" t="inlineStr">
        <is>
          <t>n° 13 : 0,20 + n° 14 : 0,20 + n° 15 : 0,20 + n° 16 : 0,20</t>
        </is>
      </c>
      <c r="H1681" t="n">
        <v>0.8</v>
      </c>
    </row>
    <row r="1682">
      <c r="A1682" t="inlineStr">
        <is>
          <t>2022-2023</t>
        </is>
      </c>
      <c r="B1682" t="inlineStr">
        <is>
          <t>2023-03-29</t>
        </is>
      </c>
      <c r="C1682" t="inlineStr">
        <is>
          <t>20:44</t>
        </is>
      </c>
      <c r="D1682" t="inlineStr">
        <is>
          <t>n° 13 + n° 14 + n° 15 + n° 16</t>
        </is>
      </c>
      <c r="E1682" t="inlineStr">
        <is>
          <t>GLACE 2 BOULES</t>
        </is>
      </c>
      <c r="F1682" t="n">
        <v>3.9</v>
      </c>
      <c r="G1682" t="inlineStr">
        <is>
          <t>n° 13 : 0,40 + n° 14 : 0,40 + n° 15 : 0,40 + n° 16 : 0,40</t>
        </is>
      </c>
      <c r="H1682" t="n">
        <v>1.6</v>
      </c>
    </row>
    <row r="1683">
      <c r="A1683" t="inlineStr">
        <is>
          <t>2022-2023</t>
        </is>
      </c>
      <c r="B1683" t="inlineStr">
        <is>
          <t>2023-03-29</t>
        </is>
      </c>
      <c r="C1683" t="inlineStr">
        <is>
          <t>20:44</t>
        </is>
      </c>
      <c r="D1683" t="inlineStr">
        <is>
          <t>n° 13 + n° 14 + n° 15 + n° 16</t>
        </is>
      </c>
      <c r="E1683" t="inlineStr">
        <is>
          <t>GLACE 1 BOULE</t>
        </is>
      </c>
      <c r="F1683" t="n">
        <v>2</v>
      </c>
      <c r="G1683" t="inlineStr">
        <is>
          <t>n° 13 : 0,20 + n° 14 : 0,20 + n° 15 : 0,20 + n° 16 : 0,20</t>
        </is>
      </c>
      <c r="H1683" t="n">
        <v>0.8</v>
      </c>
    </row>
    <row r="1684">
      <c r="A1684" t="inlineStr">
        <is>
          <t>2022-2023</t>
        </is>
      </c>
      <c r="B1684" t="inlineStr">
        <is>
          <t>2023-03-29</t>
        </is>
      </c>
      <c r="C1684" t="inlineStr">
        <is>
          <t>20:44</t>
        </is>
      </c>
      <c r="D1684" t="inlineStr">
        <is>
          <t>n° 13 + n° 14 + n° 15 + n° 16</t>
        </is>
      </c>
      <c r="E1684" t="inlineStr">
        <is>
          <t>SAUCE CHOCO/CAFE/CAR</t>
        </is>
      </c>
      <c r="F1684" t="n">
        <v>1.8</v>
      </c>
      <c r="G1684" t="inlineStr">
        <is>
          <t>n° 13 : 0,20 + n° 14 : 0,20 + n° 15 : 0,20 + n° 16 : 0,20</t>
        </is>
      </c>
      <c r="H1684" t="n">
        <v>0.8</v>
      </c>
    </row>
    <row r="1685">
      <c r="A1685" t="inlineStr">
        <is>
          <t>2023-2024</t>
        </is>
      </c>
      <c r="B1685" t="inlineStr">
        <is>
          <t>2023-04-01</t>
        </is>
      </c>
      <c r="C1685" t="inlineStr">
        <is>
          <t>12:52</t>
        </is>
      </c>
      <c r="D1685" t="inlineStr">
        <is>
          <t>n° 11 + n° 12 + n° 13</t>
        </is>
      </c>
      <c r="E1685" t="inlineStr">
        <is>
          <t>TRUITE JURASSIENNE</t>
        </is>
      </c>
      <c r="F1685" t="n">
        <v>18.6</v>
      </c>
      <c r="G1685" t="inlineStr">
        <is>
          <t>n° 11 : 0,67 + n° 12 : 0,67 + n° 13 : 0,66</t>
        </is>
      </c>
      <c r="H1685" t="n">
        <v>2</v>
      </c>
    </row>
    <row r="1686">
      <c r="A1686" t="inlineStr">
        <is>
          <t>2023-2024</t>
        </is>
      </c>
      <c r="B1686" t="inlineStr">
        <is>
          <t>2023-04-01</t>
        </is>
      </c>
      <c r="C1686" t="inlineStr">
        <is>
          <t>12:52</t>
        </is>
      </c>
      <c r="D1686" t="inlineStr">
        <is>
          <t>n° 11 + n° 12 + n° 13</t>
        </is>
      </c>
      <c r="E1686" t="inlineStr">
        <is>
          <t>FRELEE</t>
        </is>
      </c>
      <c r="F1686" t="n">
        <v>18.6</v>
      </c>
      <c r="G1686" t="inlineStr">
        <is>
          <t>n° 11 : 0,33 + n° 12 : 0,34 + n° 13 : 0,33</t>
        </is>
      </c>
      <c r="H1686" t="n">
        <v>1</v>
      </c>
    </row>
    <row r="1687">
      <c r="A1687" t="inlineStr">
        <is>
          <t>2023-2024</t>
        </is>
      </c>
      <c r="B1687" t="inlineStr">
        <is>
          <t>2023-04-01</t>
        </is>
      </c>
      <c r="C1687" t="inlineStr">
        <is>
          <t>12:52</t>
        </is>
      </c>
      <c r="D1687" t="inlineStr">
        <is>
          <t>n° 11 + n° 12 + n° 13</t>
        </is>
      </c>
      <c r="E1687" t="inlineStr">
        <is>
          <t>FOULETOT</t>
        </is>
      </c>
      <c r="F1687" t="n">
        <v>10.5</v>
      </c>
      <c r="G1687" t="inlineStr">
        <is>
          <t>n° 11 : 0,33 + n° 12 : 0,34 + n° 13 : 0,33</t>
        </is>
      </c>
      <c r="H1687" t="n">
        <v>1</v>
      </c>
    </row>
    <row r="1688">
      <c r="A1688" t="inlineStr">
        <is>
          <t>2023-2024</t>
        </is>
      </c>
      <c r="B1688" t="inlineStr">
        <is>
          <t>2023-04-01</t>
        </is>
      </c>
      <c r="C1688" t="inlineStr">
        <is>
          <t>12:52</t>
        </is>
      </c>
      <c r="D1688" t="inlineStr">
        <is>
          <t>n° 11 + n° 12 + n° 13</t>
        </is>
      </c>
      <c r="E1688" t="inlineStr">
        <is>
          <t>Crêpe Nutella</t>
        </is>
      </c>
      <c r="F1688" t="n">
        <v>4.7</v>
      </c>
      <c r="G1688" t="inlineStr">
        <is>
          <t>n° 11 : 0,33 + n° 12 : 0,34 + n° 13 : 0,33</t>
        </is>
      </c>
      <c r="H1688" t="n">
        <v>1</v>
      </c>
    </row>
    <row r="1689">
      <c r="A1689" t="inlineStr">
        <is>
          <t>2023-2024</t>
        </is>
      </c>
      <c r="B1689" t="inlineStr">
        <is>
          <t>2023-04-01</t>
        </is>
      </c>
      <c r="C1689" t="inlineStr">
        <is>
          <t>12:52</t>
        </is>
      </c>
      <c r="D1689" t="inlineStr">
        <is>
          <t>n° 11 + n° 12 + n° 13</t>
        </is>
      </c>
      <c r="E1689" t="inlineStr">
        <is>
          <t>Crêpe Confiture</t>
        </is>
      </c>
      <c r="F1689" t="n">
        <v>4.6</v>
      </c>
      <c r="G1689" t="inlineStr">
        <is>
          <t>n° 11 : 0,33 + n° 12 : 0,34 + n° 13 : 0,33</t>
        </is>
      </c>
      <c r="H1689" t="n">
        <v>1</v>
      </c>
    </row>
    <row r="1690">
      <c r="A1690" t="inlineStr">
        <is>
          <t>2023-2024</t>
        </is>
      </c>
      <c r="B1690" t="inlineStr">
        <is>
          <t>2023-04-01</t>
        </is>
      </c>
      <c r="C1690" t="inlineStr">
        <is>
          <t>12:52</t>
        </is>
      </c>
      <c r="D1690" t="inlineStr">
        <is>
          <t>n° 11 + n° 12 + n° 13</t>
        </is>
      </c>
      <c r="E1690" t="inlineStr">
        <is>
          <t>Kir Bourgogne</t>
        </is>
      </c>
      <c r="F1690" t="n">
        <v>4.2</v>
      </c>
      <c r="G1690" t="inlineStr">
        <is>
          <t>n° 11 : 0,67 + n° 12 : 0,67 + n° 13 : 0,66</t>
        </is>
      </c>
      <c r="H1690" t="n">
        <v>2</v>
      </c>
    </row>
    <row r="1691">
      <c r="A1691" t="inlineStr">
        <is>
          <t>2023-2024</t>
        </is>
      </c>
      <c r="B1691" t="inlineStr">
        <is>
          <t>2023-04-01</t>
        </is>
      </c>
      <c r="C1691" t="inlineStr">
        <is>
          <t>12:52</t>
        </is>
      </c>
      <c r="D1691" t="inlineStr">
        <is>
          <t>n° 11 + n° 12 + n° 13</t>
        </is>
      </c>
      <c r="E1691" t="inlineStr">
        <is>
          <t>cidre la Mordue</t>
        </is>
      </c>
      <c r="F1691" t="n">
        <v>4</v>
      </c>
      <c r="G1691" t="inlineStr">
        <is>
          <t>n° 11 : 0,33 + n° 12 : 0,34 + n° 13 : 0,33</t>
        </is>
      </c>
      <c r="H1691" t="n">
        <v>1</v>
      </c>
    </row>
    <row r="1692">
      <c r="A1692" t="inlineStr">
        <is>
          <t>2023-2024</t>
        </is>
      </c>
      <c r="B1692" t="inlineStr">
        <is>
          <t>2023-04-01</t>
        </is>
      </c>
      <c r="C1692" t="inlineStr">
        <is>
          <t>12:52</t>
        </is>
      </c>
      <c r="D1692" t="inlineStr">
        <is>
          <t>n° 11 + n° 12 + n° 13</t>
        </is>
      </c>
      <c r="E1692" t="inlineStr">
        <is>
          <t>Verre de vin</t>
        </is>
      </c>
      <c r="F1692" t="n">
        <v>3.6</v>
      </c>
      <c r="G1692" t="inlineStr">
        <is>
          <t>n° 11 : 0,33 + n° 12 : 0,34 + n° 13 : 0,33</t>
        </is>
      </c>
      <c r="H1692" t="n">
        <v>1</v>
      </c>
    </row>
    <row r="1693">
      <c r="A1693" t="inlineStr">
        <is>
          <t>2023-2024</t>
        </is>
      </c>
      <c r="B1693" t="inlineStr">
        <is>
          <t>2023-04-01</t>
        </is>
      </c>
      <c r="C1693" t="inlineStr">
        <is>
          <t>12:52</t>
        </is>
      </c>
      <c r="D1693" t="inlineStr">
        <is>
          <t>n° 11 + n° 12 + n° 13</t>
        </is>
      </c>
      <c r="E1693" t="inlineStr">
        <is>
          <t>Expresso</t>
        </is>
      </c>
      <c r="F1693" t="n">
        <v>2.2</v>
      </c>
      <c r="G1693" t="inlineStr">
        <is>
          <t>n° 11 : 0,33 + n° 12 : 0,34 + n° 13 : 0,33</t>
        </is>
      </c>
      <c r="H1693" t="n">
        <v>1</v>
      </c>
    </row>
    <row r="1694">
      <c r="A1694" t="inlineStr">
        <is>
          <t>2023-2024</t>
        </is>
      </c>
      <c r="B1694" t="inlineStr">
        <is>
          <t>2023-04-01</t>
        </is>
      </c>
      <c r="C1694" t="inlineStr">
        <is>
          <t>20:09</t>
        </is>
      </c>
      <c r="D1694" t="inlineStr">
        <is>
          <t>n° 24 + n° 25</t>
        </is>
      </c>
      <c r="E1694" t="inlineStr">
        <is>
          <t>1/2 Arbois Béthanie</t>
        </is>
      </c>
      <c r="F1694" t="n">
        <v>19</v>
      </c>
      <c r="G1694" t="inlineStr">
        <is>
          <t>n° 24 : 0,50 + n° 25 : 0,50</t>
        </is>
      </c>
      <c r="H1694" t="n">
        <v>1</v>
      </c>
    </row>
    <row r="1695">
      <c r="A1695" t="inlineStr">
        <is>
          <t>2023-2024</t>
        </is>
      </c>
      <c r="B1695" t="inlineStr">
        <is>
          <t>2023-04-01</t>
        </is>
      </c>
      <c r="C1695" t="inlineStr">
        <is>
          <t>20:09</t>
        </is>
      </c>
      <c r="D1695" t="inlineStr">
        <is>
          <t>n° 24 + n° 25</t>
        </is>
      </c>
      <c r="E1695" t="inlineStr">
        <is>
          <t>MORTEAU GRILLEE</t>
        </is>
      </c>
      <c r="F1695" t="n">
        <v>18.6</v>
      </c>
      <c r="G1695" t="inlineStr">
        <is>
          <t>n° 24 : 0,50 + n° 25 : 0,50</t>
        </is>
      </c>
      <c r="H1695" t="n">
        <v>1</v>
      </c>
    </row>
    <row r="1696">
      <c r="A1696" t="inlineStr">
        <is>
          <t>2023-2024</t>
        </is>
      </c>
      <c r="B1696" t="inlineStr">
        <is>
          <t>2023-04-01</t>
        </is>
      </c>
      <c r="C1696" t="inlineStr">
        <is>
          <t>20:09</t>
        </is>
      </c>
      <c r="D1696" t="inlineStr">
        <is>
          <t>n° 24 + n° 25</t>
        </is>
      </c>
      <c r="E1696" t="inlineStr">
        <is>
          <t>TRUITE JURASSIENNE</t>
        </is>
      </c>
      <c r="F1696" t="n">
        <v>18.6</v>
      </c>
      <c r="G1696" t="inlineStr">
        <is>
          <t>n° 24 : 0,50 + n° 25 : 0,50</t>
        </is>
      </c>
      <c r="H1696" t="n">
        <v>1</v>
      </c>
    </row>
    <row r="1697">
      <c r="A1697" t="inlineStr">
        <is>
          <t>2023-2024</t>
        </is>
      </c>
      <c r="B1697" t="inlineStr">
        <is>
          <t>2023-04-01</t>
        </is>
      </c>
      <c r="C1697" t="inlineStr">
        <is>
          <t>20:09</t>
        </is>
      </c>
      <c r="D1697" t="inlineStr">
        <is>
          <t>n° 24 + n° 25</t>
        </is>
      </c>
      <c r="E1697" t="inlineStr">
        <is>
          <t>Pichet 50cl vin</t>
        </is>
      </c>
      <c r="F1697" t="n">
        <v>9.800000000000001</v>
      </c>
      <c r="G1697" t="inlineStr">
        <is>
          <t>n° 24 : 0,50 + n° 25 : 0,50</t>
        </is>
      </c>
      <c r="H1697" t="n">
        <v>1</v>
      </c>
    </row>
    <row r="1698">
      <c r="A1698" t="inlineStr">
        <is>
          <t>2023-2024</t>
        </is>
      </c>
      <c r="B1698" t="inlineStr">
        <is>
          <t>2023-04-01</t>
        </is>
      </c>
      <c r="C1698" t="inlineStr">
        <is>
          <t>20:09</t>
        </is>
      </c>
      <c r="D1698" t="inlineStr">
        <is>
          <t>n° 24 + n° 25</t>
        </is>
      </c>
      <c r="E1698" t="inlineStr">
        <is>
          <t>Crémant</t>
        </is>
      </c>
      <c r="F1698" t="n">
        <v>3.9</v>
      </c>
      <c r="G1698" t="inlineStr">
        <is>
          <t>n° 24 : 0,50 + n° 25 : 0,50</t>
        </is>
      </c>
      <c r="H1698" t="n">
        <v>1</v>
      </c>
    </row>
    <row r="1699">
      <c r="A1699" t="inlineStr">
        <is>
          <t>2023-2024</t>
        </is>
      </c>
      <c r="B1699" t="inlineStr">
        <is>
          <t>2023-04-01</t>
        </is>
      </c>
      <c r="C1699" t="inlineStr">
        <is>
          <t>20:09</t>
        </is>
      </c>
      <c r="D1699" t="inlineStr">
        <is>
          <t>n° 24 + n° 25</t>
        </is>
      </c>
      <c r="E1699" t="inlineStr">
        <is>
          <t>Pontarlier</t>
        </is>
      </c>
      <c r="F1699" t="n">
        <v>3.8</v>
      </c>
      <c r="G1699" t="inlineStr">
        <is>
          <t>n° 24 : 0,50 + n° 25 : 0,50</t>
        </is>
      </c>
      <c r="H1699" t="n">
        <v>1</v>
      </c>
    </row>
    <row r="1700">
      <c r="A1700" t="inlineStr">
        <is>
          <t>2023-2024</t>
        </is>
      </c>
      <c r="B1700" t="inlineStr">
        <is>
          <t>2023-04-05</t>
        </is>
      </c>
      <c r="C1700" t="inlineStr">
        <is>
          <t>20:06</t>
        </is>
      </c>
      <c r="D1700" t="inlineStr">
        <is>
          <t>n° 11 + n° 12 + n° 13 + n° 14</t>
        </is>
      </c>
      <c r="E1700" t="inlineStr">
        <is>
          <t>POULET JURASSIENNE</t>
        </is>
      </c>
      <c r="F1700" t="n">
        <v>18.6</v>
      </c>
      <c r="G1700" t="inlineStr">
        <is>
          <t>n° 13 : 0,50 + n° 14 : 0,50</t>
        </is>
      </c>
      <c r="H1700" t="n">
        <v>1</v>
      </c>
    </row>
    <row r="1701">
      <c r="A1701" t="inlineStr">
        <is>
          <t>2023-2024</t>
        </is>
      </c>
      <c r="B1701" t="inlineStr">
        <is>
          <t>2023-04-05</t>
        </is>
      </c>
      <c r="C1701" t="inlineStr">
        <is>
          <t>20:06</t>
        </is>
      </c>
      <c r="D1701" t="inlineStr">
        <is>
          <t>n° 11 + n° 12 + n° 13 + n° 14</t>
        </is>
      </c>
      <c r="E1701" t="inlineStr">
        <is>
          <t>BARBEULENET</t>
        </is>
      </c>
      <c r="F1701" t="n">
        <v>17.4</v>
      </c>
      <c r="G1701" t="inlineStr">
        <is>
          <t>n° 11 : 0,50 + n° 12 : 0,50</t>
        </is>
      </c>
      <c r="H1701" t="n">
        <v>1</v>
      </c>
    </row>
    <row r="1702">
      <c r="A1702" t="inlineStr">
        <is>
          <t>2023-2024</t>
        </is>
      </c>
      <c r="B1702" t="inlineStr">
        <is>
          <t>2023-04-05</t>
        </is>
      </c>
      <c r="C1702" t="inlineStr">
        <is>
          <t>20:06</t>
        </is>
      </c>
      <c r="D1702" t="inlineStr">
        <is>
          <t>n° 11 + n° 12 + n° 13 + n° 14</t>
        </is>
      </c>
      <c r="E1702" t="inlineStr">
        <is>
          <t>Croûtes Morilles</t>
        </is>
      </c>
      <c r="F1702" t="n">
        <v>16.9</v>
      </c>
      <c r="G1702" t="inlineStr">
        <is>
          <t>n° 13 : 0,50 + n° 14 : 0,50</t>
        </is>
      </c>
      <c r="H1702" t="n">
        <v>1</v>
      </c>
    </row>
    <row r="1703">
      <c r="A1703" t="inlineStr">
        <is>
          <t>2023-2024</t>
        </is>
      </c>
      <c r="B1703" t="inlineStr">
        <is>
          <t>2023-04-05</t>
        </is>
      </c>
      <c r="C1703" t="inlineStr">
        <is>
          <t>20:06</t>
        </is>
      </c>
      <c r="D1703" t="inlineStr">
        <is>
          <t>n° 11 + n° 12 + n° 13 + n° 14</t>
        </is>
      </c>
      <c r="E1703" t="inlineStr">
        <is>
          <t>LOURNETTE</t>
        </is>
      </c>
      <c r="F1703" t="n">
        <v>16.9</v>
      </c>
      <c r="G1703" t="inlineStr">
        <is>
          <t>n° 13 : 0,50 + n° 14 : 0,50</t>
        </is>
      </c>
      <c r="H1703" t="n">
        <v>1</v>
      </c>
    </row>
    <row r="1704">
      <c r="A1704" t="inlineStr">
        <is>
          <t>2023-2024</t>
        </is>
      </c>
      <c r="B1704" t="inlineStr">
        <is>
          <t>2023-04-05</t>
        </is>
      </c>
      <c r="C1704" t="inlineStr">
        <is>
          <t>20:06</t>
        </is>
      </c>
      <c r="D1704" t="inlineStr">
        <is>
          <t>n° 11 + n° 12 + n° 13 + n° 14</t>
        </is>
      </c>
      <c r="E1704" t="inlineStr">
        <is>
          <t>Rêve Bleu</t>
        </is>
      </c>
      <c r="F1704" t="n">
        <v>9</v>
      </c>
      <c r="G1704" t="inlineStr">
        <is>
          <t>n° 11 : 0,50 + n° 12 : 0,50</t>
        </is>
      </c>
      <c r="H1704" t="n">
        <v>1</v>
      </c>
    </row>
    <row r="1705">
      <c r="A1705" t="inlineStr">
        <is>
          <t>2023-2024</t>
        </is>
      </c>
      <c r="B1705" t="inlineStr">
        <is>
          <t>2023-04-05</t>
        </is>
      </c>
      <c r="C1705" t="inlineStr">
        <is>
          <t>20:06</t>
        </is>
      </c>
      <c r="D1705" t="inlineStr">
        <is>
          <t>n° 11 + n° 12 + n° 13 + n° 14</t>
        </is>
      </c>
      <c r="E1705" t="inlineStr">
        <is>
          <t>Jambon sec</t>
        </is>
      </c>
      <c r="F1705" t="n">
        <v>8.9</v>
      </c>
      <c r="G1705" t="inlineStr">
        <is>
          <t>n° 11 : 0,50 + n° 12 : 0,50</t>
        </is>
      </c>
      <c r="H1705" t="n">
        <v>1</v>
      </c>
    </row>
    <row r="1706">
      <c r="A1706" t="inlineStr">
        <is>
          <t>2023-2024</t>
        </is>
      </c>
      <c r="B1706" t="inlineStr">
        <is>
          <t>2023-04-05</t>
        </is>
      </c>
      <c r="C1706" t="inlineStr">
        <is>
          <t>20:06</t>
        </is>
      </c>
      <c r="D1706" t="inlineStr">
        <is>
          <t>n° 11 + n° 12 + n° 13 + n° 14</t>
        </is>
      </c>
      <c r="E1706" t="inlineStr">
        <is>
          <t>Saucisse de Morteau</t>
        </is>
      </c>
      <c r="F1706" t="n">
        <v>8.9</v>
      </c>
      <c r="G1706" t="inlineStr">
        <is>
          <t>n° 11 : 0,50 + n° 12 : 0,50</t>
        </is>
      </c>
      <c r="H1706" t="n">
        <v>1</v>
      </c>
    </row>
    <row r="1707">
      <c r="A1707" t="inlineStr">
        <is>
          <t>2023-2024</t>
        </is>
      </c>
      <c r="B1707" t="inlineStr">
        <is>
          <t>2023-04-05</t>
        </is>
      </c>
      <c r="C1707" t="inlineStr">
        <is>
          <t>20:06</t>
        </is>
      </c>
      <c r="D1707" t="inlineStr">
        <is>
          <t>n° 11 + n° 12 + n° 13 + n° 14</t>
        </is>
      </c>
      <c r="E1707" t="inlineStr">
        <is>
          <t>Sauce Forestière</t>
        </is>
      </c>
      <c r="F1707" t="n">
        <v>7.9</v>
      </c>
      <c r="G1707" t="inlineStr">
        <is>
          <t>n° 11 : 0,50 + n° 12 : 0,50</t>
        </is>
      </c>
      <c r="H1707" t="n">
        <v>1</v>
      </c>
    </row>
    <row r="1708">
      <c r="A1708" t="inlineStr">
        <is>
          <t>2023-2024</t>
        </is>
      </c>
      <c r="B1708" t="inlineStr">
        <is>
          <t>2023-04-05</t>
        </is>
      </c>
      <c r="C1708" t="inlineStr">
        <is>
          <t>20:06</t>
        </is>
      </c>
      <c r="D1708" t="inlineStr">
        <is>
          <t>n° 11 + n° 12 + n° 13 + n° 14</t>
        </is>
      </c>
      <c r="E1708" t="inlineStr">
        <is>
          <t>Crêpe Salidou</t>
        </is>
      </c>
      <c r="F1708" t="n">
        <v>5.6</v>
      </c>
      <c r="G1708" t="inlineStr">
        <is>
          <t>n° 11 : 0,50 + n° 12 : 0,50</t>
        </is>
      </c>
      <c r="H1708" t="n">
        <v>1</v>
      </c>
    </row>
    <row r="1709">
      <c r="A1709" t="inlineStr">
        <is>
          <t>2023-2024</t>
        </is>
      </c>
      <c r="B1709" t="inlineStr">
        <is>
          <t>2023-04-05</t>
        </is>
      </c>
      <c r="C1709" t="inlineStr">
        <is>
          <t>20:06</t>
        </is>
      </c>
      <c r="D1709" t="inlineStr">
        <is>
          <t>n° 11 + n° 12 + n° 13 + n° 14</t>
        </is>
      </c>
      <c r="E1709" t="inlineStr">
        <is>
          <t>Kir Bourgogne</t>
        </is>
      </c>
      <c r="F1709" t="n">
        <v>4.2</v>
      </c>
      <c r="G1709" t="inlineStr">
        <is>
          <t>n° 11 : 0,50 + n° 12 : 0,50</t>
        </is>
      </c>
      <c r="H1709" t="n">
        <v>1</v>
      </c>
    </row>
    <row r="1710">
      <c r="A1710" t="inlineStr">
        <is>
          <t>2023-2024</t>
        </is>
      </c>
      <c r="B1710" t="inlineStr">
        <is>
          <t>2023-04-05</t>
        </is>
      </c>
      <c r="C1710" t="inlineStr">
        <is>
          <t>20:06</t>
        </is>
      </c>
      <c r="D1710" t="inlineStr">
        <is>
          <t>n° 11 + n° 12 + n° 13 + n° 14</t>
        </is>
      </c>
      <c r="E1710" t="inlineStr">
        <is>
          <t>Comté</t>
        </is>
      </c>
      <c r="F1710" t="n">
        <v>4</v>
      </c>
      <c r="G1710" t="inlineStr">
        <is>
          <t>n° 11 : 0,50 + n° 12 : 0,50</t>
        </is>
      </c>
      <c r="H1710" t="n">
        <v>1</v>
      </c>
    </row>
    <row r="1711">
      <c r="A1711" t="inlineStr">
        <is>
          <t>2023-2024</t>
        </is>
      </c>
      <c r="B1711" t="inlineStr">
        <is>
          <t>2023-04-05</t>
        </is>
      </c>
      <c r="C1711" t="inlineStr">
        <is>
          <t>20:06</t>
        </is>
      </c>
      <c r="D1711" t="inlineStr">
        <is>
          <t>n° 11 + n° 12 + n° 13 + n° 14</t>
        </is>
      </c>
      <c r="E1711" t="inlineStr">
        <is>
          <t>Galette nature</t>
        </is>
      </c>
      <c r="F1711" t="n">
        <v>3.9</v>
      </c>
      <c r="G1711" t="inlineStr">
        <is>
          <t>n° 11 : 0,50 + n° 12 : 0,50</t>
        </is>
      </c>
      <c r="H1711" t="n">
        <v>1</v>
      </c>
    </row>
    <row r="1712">
      <c r="A1712" t="inlineStr">
        <is>
          <t>2023-2024</t>
        </is>
      </c>
      <c r="B1712" t="inlineStr">
        <is>
          <t>2023-04-05</t>
        </is>
      </c>
      <c r="C1712" t="inlineStr">
        <is>
          <t>20:06</t>
        </is>
      </c>
      <c r="D1712" t="inlineStr">
        <is>
          <t>n° 11 + n° 12 + n° 13 + n° 14</t>
        </is>
      </c>
      <c r="E1712" t="inlineStr">
        <is>
          <t>GLACE 2 BOULES</t>
        </is>
      </c>
      <c r="F1712" t="n">
        <v>3.9</v>
      </c>
      <c r="G1712" t="inlineStr">
        <is>
          <t>n° 11 : 0,50 + n° 12 : 0,50</t>
        </is>
      </c>
      <c r="H1712" t="n">
        <v>1</v>
      </c>
    </row>
    <row r="1713">
      <c r="A1713" t="inlineStr">
        <is>
          <t>2023-2024</t>
        </is>
      </c>
      <c r="B1713" t="inlineStr">
        <is>
          <t>2023-04-05</t>
        </is>
      </c>
      <c r="C1713" t="inlineStr">
        <is>
          <t>20:06</t>
        </is>
      </c>
      <c r="D1713" t="inlineStr">
        <is>
          <t>n° 11 + n° 12 + n° 13 + n° 14</t>
        </is>
      </c>
      <c r="E1713" t="inlineStr">
        <is>
          <t>Chantilly</t>
        </is>
      </c>
      <c r="F1713" t="n">
        <v>1.8</v>
      </c>
      <c r="G1713" t="inlineStr">
        <is>
          <t>n° 11 : 0,50 + n° 12 : 0,50</t>
        </is>
      </c>
      <c r="H1713" t="n">
        <v>1</v>
      </c>
    </row>
    <row r="1714">
      <c r="A1714" t="inlineStr">
        <is>
          <t>2023-2024</t>
        </is>
      </c>
      <c r="B1714" t="inlineStr">
        <is>
          <t>2023-04-05</t>
        </is>
      </c>
      <c r="C1714" t="inlineStr">
        <is>
          <t>20:06</t>
        </is>
      </c>
      <c r="D1714" t="inlineStr">
        <is>
          <t>n° 11 + n° 12 + n° 13 + n° 14</t>
        </is>
      </c>
      <c r="E1714" t="inlineStr">
        <is>
          <t>Amandes grillées</t>
        </is>
      </c>
      <c r="F1714" t="n">
        <v>1.2</v>
      </c>
      <c r="G1714" t="inlineStr">
        <is>
          <t>n° 11 : 0,50 + n° 12 : 0,50</t>
        </is>
      </c>
      <c r="H1714" t="n">
        <v>1</v>
      </c>
    </row>
    <row r="1715">
      <c r="A1715" t="inlineStr">
        <is>
          <t>2023-2024</t>
        </is>
      </c>
      <c r="B1715" t="inlineStr">
        <is>
          <t>2023-04-06</t>
        </is>
      </c>
      <c r="C1715" t="inlineStr">
        <is>
          <t>20:26</t>
        </is>
      </c>
      <c r="D1715" t="inlineStr">
        <is>
          <t>n° 16 + n° 17</t>
        </is>
      </c>
      <c r="E1715" t="inlineStr">
        <is>
          <t>H.C.B BEAUNE BTL</t>
        </is>
      </c>
      <c r="F1715" t="n">
        <v>39.5</v>
      </c>
      <c r="G1715" t="inlineStr">
        <is>
          <t>n° 16 : 0,50 + n° 17 : 0,50</t>
        </is>
      </c>
      <c r="H1715" t="n">
        <v>1</v>
      </c>
    </row>
    <row r="1716">
      <c r="A1716" t="inlineStr">
        <is>
          <t>2023-2024</t>
        </is>
      </c>
      <c r="B1716" t="inlineStr">
        <is>
          <t>2023-04-06</t>
        </is>
      </c>
      <c r="C1716" t="inlineStr">
        <is>
          <t>20:26</t>
        </is>
      </c>
      <c r="D1716" t="inlineStr">
        <is>
          <t>n° 16 + n° 17</t>
        </is>
      </c>
      <c r="E1716" t="inlineStr">
        <is>
          <t>Entrecôte Forestiére</t>
        </is>
      </c>
      <c r="F1716" t="n">
        <v>27.8</v>
      </c>
      <c r="G1716" t="inlineStr">
        <is>
          <t>n° 16 : 0,50 + n° 17 : 0,50</t>
        </is>
      </c>
      <c r="H1716" t="n">
        <v>1</v>
      </c>
    </row>
    <row r="1717">
      <c r="A1717" t="inlineStr">
        <is>
          <t>2023-2024</t>
        </is>
      </c>
      <c r="B1717" t="inlineStr">
        <is>
          <t>2023-04-06</t>
        </is>
      </c>
      <c r="C1717" t="inlineStr">
        <is>
          <t>20:26</t>
        </is>
      </c>
      <c r="D1717" t="inlineStr">
        <is>
          <t>n° 16 + n° 17</t>
        </is>
      </c>
      <c r="E1717" t="inlineStr">
        <is>
          <t>Entrecôte grillée</t>
        </is>
      </c>
      <c r="F1717" t="n">
        <v>19.9</v>
      </c>
      <c r="G1717" t="inlineStr">
        <is>
          <t>n° 16 : 0,50 + n° 17 : 0,50</t>
        </is>
      </c>
      <c r="H1717" t="n">
        <v>1</v>
      </c>
    </row>
    <row r="1718">
      <c r="A1718" t="inlineStr">
        <is>
          <t>2023-2024</t>
        </is>
      </c>
      <c r="B1718" t="inlineStr">
        <is>
          <t>2023-04-06</t>
        </is>
      </c>
      <c r="C1718" t="inlineStr">
        <is>
          <t>20:26</t>
        </is>
      </c>
      <c r="D1718" t="inlineStr">
        <is>
          <t>n° 16 + n° 17</t>
        </is>
      </c>
      <c r="E1718" t="inlineStr">
        <is>
          <t>FRELEE</t>
        </is>
      </c>
      <c r="F1718" t="n">
        <v>19.6</v>
      </c>
      <c r="G1718" t="inlineStr">
        <is>
          <t>n° 16 : 0,50 + n° 17 : 0,50</t>
        </is>
      </c>
      <c r="H1718" t="n">
        <v>1</v>
      </c>
    </row>
    <row r="1719">
      <c r="A1719" t="inlineStr">
        <is>
          <t>2023-2024</t>
        </is>
      </c>
      <c r="B1719" t="inlineStr">
        <is>
          <t>2023-04-06</t>
        </is>
      </c>
      <c r="C1719" t="inlineStr">
        <is>
          <t>20:26</t>
        </is>
      </c>
      <c r="D1719" t="inlineStr">
        <is>
          <t>n° 16 + n° 17</t>
        </is>
      </c>
      <c r="E1719" t="inlineStr">
        <is>
          <t>Croûtes Morilles</t>
        </is>
      </c>
      <c r="F1719" t="n">
        <v>16.9</v>
      </c>
      <c r="G1719" t="inlineStr">
        <is>
          <t>n° 16 : 0,50 + n° 17 : 0,50</t>
        </is>
      </c>
      <c r="H1719" t="n">
        <v>1</v>
      </c>
    </row>
    <row r="1720">
      <c r="A1720" t="inlineStr">
        <is>
          <t>2023-2024</t>
        </is>
      </c>
      <c r="B1720" t="inlineStr">
        <is>
          <t>2023-04-06</t>
        </is>
      </c>
      <c r="C1720" t="inlineStr">
        <is>
          <t>20:26</t>
        </is>
      </c>
      <c r="D1720" t="inlineStr">
        <is>
          <t>n° 16 + n° 17</t>
        </is>
      </c>
      <c r="E1720" t="inlineStr">
        <is>
          <t>Chèvre  chaud</t>
        </is>
      </c>
      <c r="F1720" t="n">
        <v>9.6</v>
      </c>
      <c r="G1720" t="inlineStr">
        <is>
          <t>n° 16 : 0,50 + n° 17 : 0,50</t>
        </is>
      </c>
      <c r="H1720" t="n">
        <v>1</v>
      </c>
    </row>
    <row r="1721">
      <c r="A1721" t="inlineStr">
        <is>
          <t>2023-2024</t>
        </is>
      </c>
      <c r="B1721" t="inlineStr">
        <is>
          <t>2023-04-06</t>
        </is>
      </c>
      <c r="C1721" t="inlineStr">
        <is>
          <t>20:26</t>
        </is>
      </c>
      <c r="D1721" t="inlineStr">
        <is>
          <t>n° 16 + n° 17</t>
        </is>
      </c>
      <c r="E1721" t="inlineStr">
        <is>
          <t>Baba au Macvin</t>
        </is>
      </c>
      <c r="F1721" t="n">
        <v>6.9</v>
      </c>
      <c r="G1721" t="inlineStr">
        <is>
          <t>n° 16 : 0,50 + n° 17 : 0,50</t>
        </is>
      </c>
      <c r="H1721" t="n">
        <v>1</v>
      </c>
    </row>
    <row r="1722">
      <c r="A1722" t="inlineStr">
        <is>
          <t>2023-2024</t>
        </is>
      </c>
      <c r="B1722" t="inlineStr">
        <is>
          <t>2023-04-06</t>
        </is>
      </c>
      <c r="C1722" t="inlineStr">
        <is>
          <t>20:26</t>
        </is>
      </c>
      <c r="D1722" t="inlineStr">
        <is>
          <t>n° 16 + n° 17</t>
        </is>
      </c>
      <c r="E1722" t="inlineStr">
        <is>
          <t>Salade Verte aux Noi</t>
        </is>
      </c>
      <c r="F1722" t="n">
        <v>5.9</v>
      </c>
      <c r="G1722" t="inlineStr">
        <is>
          <t>n° 16 : 0,50 + n° 17 : 0,50</t>
        </is>
      </c>
      <c r="H1722" t="n">
        <v>1</v>
      </c>
    </row>
    <row r="1723">
      <c r="A1723" t="inlineStr">
        <is>
          <t>2023-2024</t>
        </is>
      </c>
      <c r="B1723" t="inlineStr">
        <is>
          <t>2023-04-06</t>
        </is>
      </c>
      <c r="C1723" t="inlineStr">
        <is>
          <t>20:26</t>
        </is>
      </c>
      <c r="D1723" t="inlineStr">
        <is>
          <t>n° 16 + n° 17</t>
        </is>
      </c>
      <c r="E1723" t="inlineStr">
        <is>
          <t>San Pelegrino 50cl</t>
        </is>
      </c>
      <c r="F1723" t="n">
        <v>4</v>
      </c>
      <c r="G1723" t="inlineStr">
        <is>
          <t>n° 16 : 0,50 + n° 17 : 0,50</t>
        </is>
      </c>
      <c r="H1723" t="n">
        <v>1</v>
      </c>
    </row>
    <row r="1724">
      <c r="A1724" t="inlineStr">
        <is>
          <t>2023-2024</t>
        </is>
      </c>
      <c r="B1724" t="inlineStr">
        <is>
          <t>2023-04-06</t>
        </is>
      </c>
      <c r="C1724" t="inlineStr">
        <is>
          <t>20:26</t>
        </is>
      </c>
      <c r="D1724" t="inlineStr">
        <is>
          <t>n° 16 + n° 17</t>
        </is>
      </c>
      <c r="E1724" t="inlineStr">
        <is>
          <t>pression</t>
        </is>
      </c>
      <c r="F1724" t="n">
        <v>3.9</v>
      </c>
      <c r="G1724" t="inlineStr">
        <is>
          <t>n° 16 : 0,50 + n° 17 : 0,50</t>
        </is>
      </c>
      <c r="H1724" t="n">
        <v>1</v>
      </c>
    </row>
    <row r="1725">
      <c r="A1725" t="inlineStr">
        <is>
          <t>2023-2024</t>
        </is>
      </c>
      <c r="B1725" t="inlineStr">
        <is>
          <t>2023-04-06</t>
        </is>
      </c>
      <c r="C1725" t="inlineStr">
        <is>
          <t>20:26</t>
        </is>
      </c>
      <c r="D1725" t="inlineStr">
        <is>
          <t>n° 16 + n° 17</t>
        </is>
      </c>
      <c r="E1725" t="inlineStr">
        <is>
          <t>Pontarlier</t>
        </is>
      </c>
      <c r="F1725" t="n">
        <v>3.8</v>
      </c>
      <c r="G1725" t="inlineStr">
        <is>
          <t>n° 16 : 0,50 + n° 17 : 0,50</t>
        </is>
      </c>
      <c r="H1725" t="n">
        <v>1</v>
      </c>
    </row>
    <row r="1726">
      <c r="A1726" t="inlineStr">
        <is>
          <t>2023-2024</t>
        </is>
      </c>
      <c r="B1726" t="inlineStr">
        <is>
          <t>2023-04-06</t>
        </is>
      </c>
      <c r="C1726" t="inlineStr">
        <is>
          <t>20:26</t>
        </is>
      </c>
      <c r="D1726" t="inlineStr">
        <is>
          <t>n° 16 + n° 17</t>
        </is>
      </c>
      <c r="E1726" t="inlineStr">
        <is>
          <t>Expresso</t>
        </is>
      </c>
      <c r="F1726" t="n">
        <v>2.2</v>
      </c>
      <c r="G1726" t="inlineStr">
        <is>
          <t>n° 16 : 0,50 + n° 17 : 0,50</t>
        </is>
      </c>
      <c r="H1726" t="n">
        <v>1</v>
      </c>
    </row>
    <row r="1727">
      <c r="A1727" t="inlineStr">
        <is>
          <t>2023-2024</t>
        </is>
      </c>
      <c r="B1727" t="inlineStr">
        <is>
          <t>2023-04-07</t>
        </is>
      </c>
      <c r="C1727" t="inlineStr">
        <is>
          <t>21:09</t>
        </is>
      </c>
      <c r="D1727" t="inlineStr">
        <is>
          <t>n° 13 + n° 14</t>
        </is>
      </c>
      <c r="E1727" t="inlineStr">
        <is>
          <t>Pavlova</t>
        </is>
      </c>
      <c r="F1727" t="n">
        <v>8.699999999999999</v>
      </c>
      <c r="G1727" t="inlineStr">
        <is>
          <t>n° 13 : 0,50 + n° 14 : 0,50</t>
        </is>
      </c>
      <c r="H1727" t="n">
        <v>1</v>
      </c>
    </row>
    <row r="1728">
      <c r="A1728" t="inlineStr">
        <is>
          <t>2023-2024</t>
        </is>
      </c>
      <c r="B1728" t="inlineStr">
        <is>
          <t>2023-04-07</t>
        </is>
      </c>
      <c r="C1728" t="inlineStr">
        <is>
          <t>21:09</t>
        </is>
      </c>
      <c r="D1728" t="inlineStr">
        <is>
          <t>n° 13 + n° 14</t>
        </is>
      </c>
      <c r="E1728" t="inlineStr">
        <is>
          <t>DAMES VERTES</t>
        </is>
      </c>
      <c r="F1728" t="n">
        <v>8.300000000000001</v>
      </c>
      <c r="G1728" t="inlineStr">
        <is>
          <t>n° 13 : 0,50 + n° 14 : 0,50</t>
        </is>
      </c>
      <c r="H1728" t="n">
        <v>1</v>
      </c>
    </row>
    <row r="1729">
      <c r="A1729" t="inlineStr">
        <is>
          <t>2023-2024</t>
        </is>
      </c>
      <c r="B1729" t="inlineStr">
        <is>
          <t>2023-04-07</t>
        </is>
      </c>
      <c r="C1729" t="inlineStr">
        <is>
          <t>21:09</t>
        </is>
      </c>
      <c r="D1729" t="inlineStr">
        <is>
          <t>n° 13 + n° 14</t>
        </is>
      </c>
      <c r="E1729" t="inlineStr">
        <is>
          <t>Saint Véran Verre</t>
        </is>
      </c>
      <c r="F1729" t="n">
        <v>7.9</v>
      </c>
      <c r="G1729" t="inlineStr">
        <is>
          <t>n° 13 : 0,50 + n° 14 : 0,50</t>
        </is>
      </c>
      <c r="H1729" t="n">
        <v>1</v>
      </c>
    </row>
    <row r="1730">
      <c r="A1730" t="inlineStr">
        <is>
          <t>2023-2024</t>
        </is>
      </c>
      <c r="B1730" t="inlineStr">
        <is>
          <t>2023-04-07</t>
        </is>
      </c>
      <c r="C1730" t="inlineStr">
        <is>
          <t>21:09</t>
        </is>
      </c>
      <c r="D1730" t="inlineStr">
        <is>
          <t>n° 13 + n° 14</t>
        </is>
      </c>
      <c r="E1730" t="inlineStr">
        <is>
          <t>Pinte</t>
        </is>
      </c>
      <c r="F1730" t="n">
        <v>7.8</v>
      </c>
      <c r="G1730" t="inlineStr">
        <is>
          <t>n° 13 : 0,50 + n° 14 : 0,50</t>
        </is>
      </c>
      <c r="H1730" t="n">
        <v>1</v>
      </c>
    </row>
    <row r="1731">
      <c r="A1731" t="inlineStr">
        <is>
          <t>2023-2024</t>
        </is>
      </c>
      <c r="B1731" t="inlineStr">
        <is>
          <t>2023-04-07</t>
        </is>
      </c>
      <c r="C1731" t="inlineStr">
        <is>
          <t>21:09</t>
        </is>
      </c>
      <c r="D1731" t="inlineStr">
        <is>
          <t>n° 13 + n° 14</t>
        </is>
      </c>
      <c r="E1731" t="inlineStr">
        <is>
          <t>Luna</t>
        </is>
      </c>
      <c r="F1731" t="n">
        <v>6</v>
      </c>
      <c r="G1731" t="inlineStr">
        <is>
          <t>n° 13 : 0,50 + n° 14 : 0,50</t>
        </is>
      </c>
      <c r="H1731" t="n">
        <v>1</v>
      </c>
    </row>
    <row r="1732">
      <c r="A1732" t="inlineStr">
        <is>
          <t>2023-2024</t>
        </is>
      </c>
      <c r="B1732" t="inlineStr">
        <is>
          <t>2023-04-07</t>
        </is>
      </c>
      <c r="C1732" t="inlineStr">
        <is>
          <t>21:09</t>
        </is>
      </c>
      <c r="D1732" t="inlineStr">
        <is>
          <t>n° 13 + n° 14</t>
        </is>
      </c>
      <c r="E1732" t="inlineStr">
        <is>
          <t>PASSION</t>
        </is>
      </c>
      <c r="F1732" t="n">
        <v>5.8</v>
      </c>
      <c r="G1732" t="inlineStr">
        <is>
          <t>n° 13 : 0,50 + n° 14 : 0,50</t>
        </is>
      </c>
      <c r="H1732" t="n">
        <v>1</v>
      </c>
    </row>
    <row r="1733">
      <c r="A1733" t="inlineStr">
        <is>
          <t>2023-2024</t>
        </is>
      </c>
      <c r="B1733" t="inlineStr">
        <is>
          <t>2023-04-07</t>
        </is>
      </c>
      <c r="C1733" t="inlineStr">
        <is>
          <t>21:09</t>
        </is>
      </c>
      <c r="D1733" t="inlineStr">
        <is>
          <t>n° 13 + n° 14</t>
        </is>
      </c>
      <c r="E1733" t="inlineStr">
        <is>
          <t>GLACE 3 BOULES</t>
        </is>
      </c>
      <c r="F1733" t="n">
        <v>5.8</v>
      </c>
      <c r="G1733" t="inlineStr">
        <is>
          <t>n° 13 : 0,50 + n° 14 : 0,50</t>
        </is>
      </c>
      <c r="H1733" t="n">
        <v>1</v>
      </c>
    </row>
    <row r="1734">
      <c r="A1734" t="inlineStr">
        <is>
          <t>2023-2024</t>
        </is>
      </c>
      <c r="B1734" t="inlineStr">
        <is>
          <t>2023-04-07</t>
        </is>
      </c>
      <c r="C1734" t="inlineStr">
        <is>
          <t>21:09</t>
        </is>
      </c>
      <c r="D1734" t="inlineStr">
        <is>
          <t>n° 13 + n° 14</t>
        </is>
      </c>
      <c r="E1734" t="inlineStr">
        <is>
          <t>Macvin du Jura</t>
        </is>
      </c>
      <c r="F1734" t="n">
        <v>4.9</v>
      </c>
      <c r="G1734" t="inlineStr">
        <is>
          <t>n° 13 : 0,50 + n° 14 : 0,50</t>
        </is>
      </c>
      <c r="H1734" t="n">
        <v>1</v>
      </c>
    </row>
    <row r="1735">
      <c r="A1735" t="inlineStr">
        <is>
          <t>2023-2024</t>
        </is>
      </c>
      <c r="B1735" t="inlineStr">
        <is>
          <t>2023-04-07</t>
        </is>
      </c>
      <c r="C1735" t="inlineStr">
        <is>
          <t>21:09</t>
        </is>
      </c>
      <c r="D1735" t="inlineStr">
        <is>
          <t>n° 13 + n° 14</t>
        </is>
      </c>
      <c r="E1735" t="inlineStr">
        <is>
          <t>Coca (25cl)</t>
        </is>
      </c>
      <c r="F1735" t="n">
        <v>3.9</v>
      </c>
      <c r="G1735" t="inlineStr">
        <is>
          <t>n° 13 : 0,50 + n° 14 : 0,50</t>
        </is>
      </c>
      <c r="H1735" t="n">
        <v>1</v>
      </c>
    </row>
    <row r="1736">
      <c r="A1736" t="inlineStr">
        <is>
          <t>2023-2024</t>
        </is>
      </c>
      <c r="B1736" t="inlineStr">
        <is>
          <t>2023-04-07</t>
        </is>
      </c>
      <c r="C1736" t="inlineStr">
        <is>
          <t>21:09</t>
        </is>
      </c>
      <c r="D1736" t="inlineStr">
        <is>
          <t>n° 13 + n° 14</t>
        </is>
      </c>
      <c r="E1736" t="inlineStr">
        <is>
          <t>Pommes grenailles</t>
        </is>
      </c>
      <c r="F1736" t="n">
        <v>3.9</v>
      </c>
      <c r="G1736" t="inlineStr">
        <is>
          <t>n° 13 : 0,50 + n° 14 : 0,50</t>
        </is>
      </c>
      <c r="H1736" t="n">
        <v>1</v>
      </c>
    </row>
    <row r="1737">
      <c r="A1737" t="inlineStr">
        <is>
          <t>2023-2024</t>
        </is>
      </c>
      <c r="B1737" t="inlineStr">
        <is>
          <t>2023-04-07</t>
        </is>
      </c>
      <c r="C1737" t="inlineStr">
        <is>
          <t>21:09</t>
        </is>
      </c>
      <c r="D1737" t="inlineStr">
        <is>
          <t>n° 13 + n° 14</t>
        </is>
      </c>
      <c r="E1737" t="inlineStr">
        <is>
          <t>Chantilly</t>
        </is>
      </c>
      <c r="F1737" t="n">
        <v>1.8</v>
      </c>
      <c r="G1737" t="inlineStr">
        <is>
          <t>n° 13 : 0,50 + n° 14 : 0,50</t>
        </is>
      </c>
      <c r="H1737" t="n">
        <v>1</v>
      </c>
    </row>
    <row r="1738">
      <c r="A1738" t="inlineStr">
        <is>
          <t>2023-2024</t>
        </is>
      </c>
      <c r="B1738" t="inlineStr">
        <is>
          <t>2023-04-08</t>
        </is>
      </c>
      <c r="C1738" t="inlineStr">
        <is>
          <t>12:57</t>
        </is>
      </c>
      <c r="D1738" t="inlineStr">
        <is>
          <t>n° 6 + n° 7 + n° 8</t>
        </is>
      </c>
      <c r="E1738" t="inlineStr">
        <is>
          <t>BARBEULENET</t>
        </is>
      </c>
      <c r="F1738" t="n">
        <v>17.4</v>
      </c>
      <c r="G1738" t="inlineStr">
        <is>
          <t>n° 6 : 0,33 + n° 7 : 0,34 + n° 8 : 0,33</t>
        </is>
      </c>
      <c r="H1738" t="n">
        <v>1</v>
      </c>
    </row>
    <row r="1739">
      <c r="A1739" t="inlineStr">
        <is>
          <t>2023-2024</t>
        </is>
      </c>
      <c r="B1739" t="inlineStr">
        <is>
          <t>2023-04-08</t>
        </is>
      </c>
      <c r="C1739" t="inlineStr">
        <is>
          <t>12:57</t>
        </is>
      </c>
      <c r="D1739" t="inlineStr">
        <is>
          <t>n° 6 + n° 7 + n° 8</t>
        </is>
      </c>
      <c r="E1739" t="inlineStr">
        <is>
          <t>TANTELIN</t>
        </is>
      </c>
      <c r="F1739" t="n">
        <v>17.4</v>
      </c>
      <c r="G1739" t="inlineStr">
        <is>
          <t>n° 6 : 0,33 + n° 7 : 0,34 + n° 8 : 0,33</t>
        </is>
      </c>
      <c r="H1739" t="n">
        <v>1</v>
      </c>
    </row>
    <row r="1740">
      <c r="A1740" t="inlineStr">
        <is>
          <t>2023-2024</t>
        </is>
      </c>
      <c r="B1740" t="inlineStr">
        <is>
          <t>2023-04-08</t>
        </is>
      </c>
      <c r="C1740" t="inlineStr">
        <is>
          <t>12:57</t>
        </is>
      </c>
      <c r="D1740" t="inlineStr">
        <is>
          <t>n° 6 + n° 7 + n° 8</t>
        </is>
      </c>
      <c r="E1740" t="inlineStr">
        <is>
          <t>GRAPPINS</t>
        </is>
      </c>
      <c r="F1740" t="n">
        <v>10.9</v>
      </c>
      <c r="G1740" t="inlineStr">
        <is>
          <t>n° 6 : 0,33 + n° 7 : 0,34 + n° 8 : 0,33</t>
        </is>
      </c>
      <c r="H1740" t="n">
        <v>1</v>
      </c>
    </row>
    <row r="1741">
      <c r="A1741" t="inlineStr">
        <is>
          <t>2023-2024</t>
        </is>
      </c>
      <c r="B1741" t="inlineStr">
        <is>
          <t>2023-04-08</t>
        </is>
      </c>
      <c r="C1741" t="inlineStr">
        <is>
          <t>12:57</t>
        </is>
      </c>
      <c r="D1741" t="inlineStr">
        <is>
          <t>n° 6 + n° 7 + n° 8</t>
        </is>
      </c>
      <c r="E1741" t="inlineStr">
        <is>
          <t>FOULETOT</t>
        </is>
      </c>
      <c r="F1741" t="n">
        <v>10.5</v>
      </c>
      <c r="G1741" t="inlineStr">
        <is>
          <t>n° 6 : 0,33 + n° 7 : 0,34 + n° 8 : 0,33</t>
        </is>
      </c>
      <c r="H1741" t="n">
        <v>1</v>
      </c>
    </row>
    <row r="1742">
      <c r="A1742" t="inlineStr">
        <is>
          <t>2023-2024</t>
        </is>
      </c>
      <c r="B1742" t="inlineStr">
        <is>
          <t>2023-04-08</t>
        </is>
      </c>
      <c r="C1742" t="inlineStr">
        <is>
          <t>12:57</t>
        </is>
      </c>
      <c r="D1742" t="inlineStr">
        <is>
          <t>n° 6 + n° 7 + n° 8</t>
        </is>
      </c>
      <c r="E1742" t="inlineStr">
        <is>
          <t>Pavlova</t>
        </is>
      </c>
      <c r="F1742" t="n">
        <v>8.699999999999999</v>
      </c>
      <c r="G1742" t="inlineStr">
        <is>
          <t>n° 6 : 0,33 + n° 7 : 0,34 + n° 8 : 0,33</t>
        </is>
      </c>
      <c r="H1742" t="n">
        <v>1</v>
      </c>
    </row>
    <row r="1743">
      <c r="A1743" t="inlineStr">
        <is>
          <t>2023-2024</t>
        </is>
      </c>
      <c r="B1743" t="inlineStr">
        <is>
          <t>2023-04-08</t>
        </is>
      </c>
      <c r="C1743" t="inlineStr">
        <is>
          <t>12:57</t>
        </is>
      </c>
      <c r="D1743" t="inlineStr">
        <is>
          <t>n° 6 + n° 7 + n° 8</t>
        </is>
      </c>
      <c r="E1743" t="inlineStr">
        <is>
          <t>Comté</t>
        </is>
      </c>
      <c r="F1743" t="n">
        <v>4</v>
      </c>
      <c r="G1743" t="inlineStr">
        <is>
          <t>n° 6 : 0,33 + n° 7 : 0,34 + n° 8 : 0,33</t>
        </is>
      </c>
      <c r="H1743" t="n">
        <v>1</v>
      </c>
    </row>
    <row r="1744">
      <c r="A1744" t="inlineStr">
        <is>
          <t>2023-2024</t>
        </is>
      </c>
      <c r="B1744" t="inlineStr">
        <is>
          <t>2023-04-08</t>
        </is>
      </c>
      <c r="C1744" t="inlineStr">
        <is>
          <t>12:57</t>
        </is>
      </c>
      <c r="D1744" t="inlineStr">
        <is>
          <t>n° 6 + n° 7 + n° 8</t>
        </is>
      </c>
      <c r="E1744" t="inlineStr">
        <is>
          <t>Galette nature</t>
        </is>
      </c>
      <c r="F1744" t="n">
        <v>3.9</v>
      </c>
      <c r="G1744" t="inlineStr">
        <is>
          <t>n° 6 : 0,33 + n° 7 : 0,34 + n° 8 : 0,33</t>
        </is>
      </c>
      <c r="H1744" t="n">
        <v>1</v>
      </c>
    </row>
    <row r="1745">
      <c r="A1745" t="inlineStr">
        <is>
          <t>2023-2024</t>
        </is>
      </c>
      <c r="B1745" t="inlineStr">
        <is>
          <t>2023-04-08</t>
        </is>
      </c>
      <c r="C1745" t="inlineStr">
        <is>
          <t>12:57</t>
        </is>
      </c>
      <c r="D1745" t="inlineStr">
        <is>
          <t>n° 6 + n° 7 + n° 8</t>
        </is>
      </c>
      <c r="E1745" t="inlineStr">
        <is>
          <t>Ratatouille</t>
        </is>
      </c>
      <c r="F1745" t="n">
        <v>3.2</v>
      </c>
      <c r="G1745" t="inlineStr">
        <is>
          <t>n° 6 : 0,33 + n° 7 : 0,34 + n° 8 : 0,33</t>
        </is>
      </c>
      <c r="H1745" t="n">
        <v>1</v>
      </c>
    </row>
    <row r="1746">
      <c r="A1746" t="inlineStr">
        <is>
          <t>2023-2024</t>
        </is>
      </c>
      <c r="B1746" t="inlineStr">
        <is>
          <t>2023-04-12</t>
        </is>
      </c>
      <c r="C1746" t="inlineStr">
        <is>
          <t>12:20</t>
        </is>
      </c>
      <c r="D1746" t="inlineStr">
        <is>
          <t>n° 5 + n° 6</t>
        </is>
      </c>
      <c r="E1746" t="inlineStr">
        <is>
          <t>MACHON GOURMET</t>
        </is>
      </c>
      <c r="F1746" t="n">
        <v>25</v>
      </c>
      <c r="G1746" t="inlineStr">
        <is>
          <t>n° 5 : 0,50 + n° 6 : 0,50</t>
        </is>
      </c>
      <c r="H1746" t="n">
        <v>1</v>
      </c>
    </row>
    <row r="1747">
      <c r="A1747" t="inlineStr">
        <is>
          <t>2023-2024</t>
        </is>
      </c>
      <c r="B1747" t="inlineStr">
        <is>
          <t>2023-04-12</t>
        </is>
      </c>
      <c r="C1747" t="inlineStr">
        <is>
          <t>12:20</t>
        </is>
      </c>
      <c r="D1747" t="inlineStr">
        <is>
          <t>n° 5 + n° 6</t>
        </is>
      </c>
      <c r="E1747" t="inlineStr">
        <is>
          <t>ASSIETTE FRANC-COMTO</t>
        </is>
      </c>
      <c r="F1747" t="n">
        <v>18.6</v>
      </c>
      <c r="G1747" t="inlineStr">
        <is>
          <t>n° 5 : 0,50 + n° 6 : 0,50</t>
        </is>
      </c>
      <c r="H1747" t="n">
        <v>1</v>
      </c>
    </row>
    <row r="1748">
      <c r="A1748" t="inlineStr">
        <is>
          <t>2023-2024</t>
        </is>
      </c>
      <c r="B1748" t="inlineStr">
        <is>
          <t>2023-04-12</t>
        </is>
      </c>
      <c r="C1748" t="inlineStr">
        <is>
          <t>12:20</t>
        </is>
      </c>
      <c r="D1748" t="inlineStr">
        <is>
          <t>n° 5 + n° 6</t>
        </is>
      </c>
      <c r="E1748" t="inlineStr">
        <is>
          <t>CONQUÊTE</t>
        </is>
      </c>
      <c r="F1748" t="n">
        <v>10.7</v>
      </c>
      <c r="G1748" t="inlineStr">
        <is>
          <t>n° 5 : 0,50 + n° 6 : 0,50</t>
        </is>
      </c>
      <c r="H1748" t="n">
        <v>1</v>
      </c>
    </row>
    <row r="1749">
      <c r="A1749" t="inlineStr">
        <is>
          <t>2023-2024</t>
        </is>
      </c>
      <c r="B1749" t="inlineStr">
        <is>
          <t>2023-04-12</t>
        </is>
      </c>
      <c r="C1749" t="inlineStr">
        <is>
          <t>12:20</t>
        </is>
      </c>
      <c r="D1749" t="inlineStr">
        <is>
          <t>n° 5 + n° 6</t>
        </is>
      </c>
      <c r="E1749" t="inlineStr">
        <is>
          <t>Mi</t>
        </is>
      </c>
      <c r="F1749" t="n">
        <v>8.5</v>
      </c>
      <c r="G1749" t="inlineStr">
        <is>
          <t>n° 5 : 0,50 + n° 6 : 0,50</t>
        </is>
      </c>
      <c r="H1749" t="n">
        <v>1</v>
      </c>
    </row>
    <row r="1750">
      <c r="A1750" t="inlineStr">
        <is>
          <t>2023-2024</t>
        </is>
      </c>
      <c r="B1750" t="inlineStr">
        <is>
          <t>2023-04-12</t>
        </is>
      </c>
      <c r="C1750" t="inlineStr">
        <is>
          <t>12:20</t>
        </is>
      </c>
      <c r="D1750" t="inlineStr">
        <is>
          <t>n° 5 + n° 6</t>
        </is>
      </c>
      <c r="E1750" t="inlineStr">
        <is>
          <t>Saint Véran Verre</t>
        </is>
      </c>
      <c r="F1750" t="n">
        <v>7.9</v>
      </c>
      <c r="G1750" t="inlineStr">
        <is>
          <t>n° 5 : 0,50 + n° 6 : 0,50</t>
        </is>
      </c>
      <c r="H1750" t="n">
        <v>1</v>
      </c>
    </row>
    <row r="1751">
      <c r="A1751" t="inlineStr">
        <is>
          <t>2023-2024</t>
        </is>
      </c>
      <c r="B1751" t="inlineStr">
        <is>
          <t>2023-04-12</t>
        </is>
      </c>
      <c r="C1751" t="inlineStr">
        <is>
          <t>12:20</t>
        </is>
      </c>
      <c r="D1751" t="inlineStr">
        <is>
          <t>n° 5 + n° 6</t>
        </is>
      </c>
      <c r="E1751" t="inlineStr">
        <is>
          <t>CUPIDON</t>
        </is>
      </c>
      <c r="F1751" t="n">
        <v>7.5</v>
      </c>
      <c r="G1751" t="inlineStr">
        <is>
          <t>n° 5 : 0,50 + n° 6 : 0,50</t>
        </is>
      </c>
      <c r="H1751" t="n">
        <v>1</v>
      </c>
    </row>
    <row r="1752">
      <c r="A1752" t="inlineStr">
        <is>
          <t>2023-2024</t>
        </is>
      </c>
      <c r="B1752" t="inlineStr">
        <is>
          <t>2023-04-12</t>
        </is>
      </c>
      <c r="C1752" t="inlineStr">
        <is>
          <t>12:20</t>
        </is>
      </c>
      <c r="D1752" t="inlineStr">
        <is>
          <t>n° 5 + n° 6</t>
        </is>
      </c>
      <c r="E1752" t="inlineStr">
        <is>
          <t>Savagnin verre</t>
        </is>
      </c>
      <c r="F1752" t="n">
        <v>7.2</v>
      </c>
      <c r="G1752" t="inlineStr">
        <is>
          <t>n° 5 : 0,50 + n° 6 : 0,50</t>
        </is>
      </c>
      <c r="H1752" t="n">
        <v>1</v>
      </c>
    </row>
    <row r="1753">
      <c r="A1753" t="inlineStr">
        <is>
          <t>2023-2024</t>
        </is>
      </c>
      <c r="B1753" t="inlineStr">
        <is>
          <t>2023-04-12</t>
        </is>
      </c>
      <c r="C1753" t="inlineStr">
        <is>
          <t>12:20</t>
        </is>
      </c>
      <c r="D1753" t="inlineStr">
        <is>
          <t>n° 5 + n° 6</t>
        </is>
      </c>
      <c r="E1753" t="inlineStr">
        <is>
          <t>TOQUADE</t>
        </is>
      </c>
      <c r="F1753" t="n">
        <v>6.9</v>
      </c>
      <c r="G1753" t="inlineStr">
        <is>
          <t>n° 5 : 0,50 + n° 6 : 0,50</t>
        </is>
      </c>
      <c r="H1753" t="n">
        <v>1</v>
      </c>
    </row>
    <row r="1754">
      <c r="A1754" t="inlineStr">
        <is>
          <t>2023-2024</t>
        </is>
      </c>
      <c r="B1754" t="inlineStr">
        <is>
          <t>2023-04-12</t>
        </is>
      </c>
      <c r="C1754" t="inlineStr">
        <is>
          <t>12:20</t>
        </is>
      </c>
      <c r="D1754" t="inlineStr">
        <is>
          <t>n° 5 + n° 6</t>
        </is>
      </c>
      <c r="E1754" t="inlineStr">
        <is>
          <t>Beaujolais Moulin à</t>
        </is>
      </c>
      <c r="F1754" t="n">
        <v>5.8</v>
      </c>
      <c r="G1754" t="inlineStr">
        <is>
          <t>n° 5 : 0,50 + n° 6 : 0,50</t>
        </is>
      </c>
      <c r="H1754" t="n">
        <v>1</v>
      </c>
    </row>
    <row r="1755">
      <c r="A1755" t="inlineStr">
        <is>
          <t>2023-2024</t>
        </is>
      </c>
      <c r="B1755" t="inlineStr">
        <is>
          <t>2023-04-12</t>
        </is>
      </c>
      <c r="C1755" t="inlineStr">
        <is>
          <t>12:20</t>
        </is>
      </c>
      <c r="D1755" t="inlineStr">
        <is>
          <t>n° 5 + n° 6</t>
        </is>
      </c>
      <c r="E1755" t="inlineStr">
        <is>
          <t>Chat perché</t>
        </is>
      </c>
      <c r="F1755" t="n">
        <v>5.2</v>
      </c>
      <c r="G1755" t="inlineStr">
        <is>
          <t>n° 5 : 0,50 + n° 6 : 0,50</t>
        </is>
      </c>
      <c r="H1755" t="n">
        <v>1</v>
      </c>
    </row>
    <row r="1756">
      <c r="A1756" t="inlineStr">
        <is>
          <t>2023-2024</t>
        </is>
      </c>
      <c r="B1756" t="inlineStr">
        <is>
          <t>2023-04-12</t>
        </is>
      </c>
      <c r="C1756" t="inlineStr">
        <is>
          <t>12:20</t>
        </is>
      </c>
      <c r="D1756" t="inlineStr">
        <is>
          <t>n° 5 + n° 6</t>
        </is>
      </c>
      <c r="E1756" t="inlineStr">
        <is>
          <t>Macvin du Jura</t>
        </is>
      </c>
      <c r="F1756" t="n">
        <v>4.9</v>
      </c>
      <c r="G1756" t="inlineStr">
        <is>
          <t>n° 5 : 0,50 + n° 6 : 0,50</t>
        </is>
      </c>
      <c r="H1756" t="n">
        <v>1</v>
      </c>
    </row>
    <row r="1757">
      <c r="A1757" t="inlineStr">
        <is>
          <t>2023-2024</t>
        </is>
      </c>
      <c r="B1757" t="inlineStr">
        <is>
          <t>2023-04-12</t>
        </is>
      </c>
      <c r="C1757" t="inlineStr">
        <is>
          <t>12:20</t>
        </is>
      </c>
      <c r="D1757" t="inlineStr">
        <is>
          <t>n° 5 + n° 6</t>
        </is>
      </c>
      <c r="E1757" t="inlineStr">
        <is>
          <t>Crémant</t>
        </is>
      </c>
      <c r="F1757" t="n">
        <v>3.9</v>
      </c>
      <c r="G1757" t="inlineStr">
        <is>
          <t>n° 5 : 1,50 + n° 6 : 1,50</t>
        </is>
      </c>
      <c r="H1757" t="n">
        <v>3</v>
      </c>
    </row>
    <row r="1758">
      <c r="A1758" t="inlineStr">
        <is>
          <t>2023-2024</t>
        </is>
      </c>
      <c r="B1758" t="inlineStr">
        <is>
          <t>2023-04-12</t>
        </is>
      </c>
      <c r="C1758" t="inlineStr">
        <is>
          <t>12:20</t>
        </is>
      </c>
      <c r="D1758" t="inlineStr">
        <is>
          <t>n° 5 + n° 6</t>
        </is>
      </c>
      <c r="E1758" t="inlineStr">
        <is>
          <t>Expresso</t>
        </is>
      </c>
      <c r="F1758" t="n">
        <v>0</v>
      </c>
      <c r="G1758" t="inlineStr">
        <is>
          <t>n° 5 : 1,50 + n° 6 : 1,50</t>
        </is>
      </c>
      <c r="H1758" t="n">
        <v>3</v>
      </c>
    </row>
    <row r="1759">
      <c r="A1759" t="inlineStr">
        <is>
          <t>2023-2024</t>
        </is>
      </c>
      <c r="B1759" t="inlineStr">
        <is>
          <t>2023-04-12</t>
        </is>
      </c>
      <c r="C1759" t="inlineStr">
        <is>
          <t>12:39</t>
        </is>
      </c>
      <c r="D1759" t="inlineStr">
        <is>
          <t>n° 10 + n° 11 + n° 14</t>
        </is>
      </c>
      <c r="E1759" t="inlineStr">
        <is>
          <t>ENTRECOTE MORILLES</t>
        </is>
      </c>
      <c r="F1759" t="n">
        <v>34.8</v>
      </c>
      <c r="G1759" t="inlineStr">
        <is>
          <t>n° 10 : 0,50 + n° 11 : 0,50</t>
        </is>
      </c>
      <c r="H1759" t="n">
        <v>1</v>
      </c>
    </row>
    <row r="1760">
      <c r="A1760" t="inlineStr">
        <is>
          <t>2023-2024</t>
        </is>
      </c>
      <c r="B1760" t="inlineStr">
        <is>
          <t>2023-04-12</t>
        </is>
      </c>
      <c r="C1760" t="inlineStr">
        <is>
          <t>12:39</t>
        </is>
      </c>
      <c r="D1760" t="inlineStr">
        <is>
          <t>n° 10 + n° 11 + n° 14</t>
        </is>
      </c>
      <c r="E1760" t="inlineStr">
        <is>
          <t>CAMEMBERT ROTI</t>
        </is>
      </c>
      <c r="F1760" t="n">
        <v>18.6</v>
      </c>
      <c r="G1760" t="inlineStr">
        <is>
          <t>n° 10 : 0,50 + n° 11 : 0,50</t>
        </is>
      </c>
      <c r="H1760" t="n">
        <v>1</v>
      </c>
    </row>
    <row r="1761">
      <c r="A1761" t="inlineStr">
        <is>
          <t>2023-2024</t>
        </is>
      </c>
      <c r="B1761" t="inlineStr">
        <is>
          <t>2023-04-12</t>
        </is>
      </c>
      <c r="C1761" t="inlineStr">
        <is>
          <t>12:39</t>
        </is>
      </c>
      <c r="D1761" t="inlineStr">
        <is>
          <t>n° 10 + n° 11 + n° 14</t>
        </is>
      </c>
      <c r="E1761" t="inlineStr">
        <is>
          <t>DADOULET</t>
        </is>
      </c>
      <c r="F1761" t="n">
        <v>18.1</v>
      </c>
      <c r="G1761" t="inlineStr">
        <is>
          <t>n° 10 : 0,50 + n° 11 : 0,50</t>
        </is>
      </c>
      <c r="H1761" t="n">
        <v>1</v>
      </c>
    </row>
    <row r="1762">
      <c r="A1762" t="inlineStr">
        <is>
          <t>2023-2024</t>
        </is>
      </c>
      <c r="B1762" t="inlineStr">
        <is>
          <t>2023-04-12</t>
        </is>
      </c>
      <c r="C1762" t="inlineStr">
        <is>
          <t>12:39</t>
        </is>
      </c>
      <c r="D1762" t="inlineStr">
        <is>
          <t>n° 10 + n° 11 + n° 14</t>
        </is>
      </c>
      <c r="E1762" t="inlineStr">
        <is>
          <t>Menu 'Galette'</t>
        </is>
      </c>
      <c r="F1762" t="n">
        <v>17</v>
      </c>
      <c r="G1762" t="inlineStr">
        <is>
          <t>n° 14 : 0,33</t>
        </is>
      </c>
      <c r="H1762" t="n">
        <v>0.33</v>
      </c>
    </row>
    <row r="1763">
      <c r="A1763" t="inlineStr">
        <is>
          <t>2023-2024</t>
        </is>
      </c>
      <c r="B1763" t="inlineStr">
        <is>
          <t>2023-04-12</t>
        </is>
      </c>
      <c r="C1763" t="inlineStr">
        <is>
          <t>12:39</t>
        </is>
      </c>
      <c r="D1763" t="inlineStr">
        <is>
          <t>n° 10 + n° 11 + n° 14</t>
        </is>
      </c>
      <c r="E1763" t="inlineStr">
        <is>
          <t>Formule Express</t>
        </is>
      </c>
      <c r="F1763" t="n">
        <v>16.5</v>
      </c>
      <c r="G1763" t="inlineStr">
        <is>
          <t>n° 14 : 0,67</t>
        </is>
      </c>
      <c r="H1763" t="n">
        <v>0.67</v>
      </c>
    </row>
    <row r="1764">
      <c r="A1764" t="inlineStr">
        <is>
          <t>2023-2024</t>
        </is>
      </c>
      <c r="B1764" t="inlineStr">
        <is>
          <t>2023-04-12</t>
        </is>
      </c>
      <c r="C1764" t="inlineStr">
        <is>
          <t>12:39</t>
        </is>
      </c>
      <c r="D1764" t="inlineStr">
        <is>
          <t>n° 10 + n° 11 + n° 14</t>
        </is>
      </c>
      <c r="E1764" t="inlineStr">
        <is>
          <t>FOULETOT</t>
        </is>
      </c>
      <c r="F1764" t="n">
        <v>10.5</v>
      </c>
      <c r="G1764" t="inlineStr">
        <is>
          <t>n° 10 : 0,50 + n° 11 : 0,50</t>
        </is>
      </c>
      <c r="H1764" t="n">
        <v>1</v>
      </c>
    </row>
    <row r="1765">
      <c r="A1765" t="inlineStr">
        <is>
          <t>2023-2024</t>
        </is>
      </c>
      <c r="B1765" t="inlineStr">
        <is>
          <t>2023-04-12</t>
        </is>
      </c>
      <c r="C1765" t="inlineStr">
        <is>
          <t>12:39</t>
        </is>
      </c>
      <c r="D1765" t="inlineStr">
        <is>
          <t>n° 10 + n° 11 + n° 14</t>
        </is>
      </c>
      <c r="E1765" t="inlineStr">
        <is>
          <t>Menu 'Enfant'</t>
        </is>
      </c>
      <c r="F1765" t="n">
        <v>9.9</v>
      </c>
      <c r="G1765" t="inlineStr">
        <is>
          <t>n° 10 : 0,50 + n° 11 : 0,50</t>
        </is>
      </c>
      <c r="H1765" t="n">
        <v>1</v>
      </c>
    </row>
    <row r="1766">
      <c r="A1766" t="inlineStr">
        <is>
          <t>2023-2024</t>
        </is>
      </c>
      <c r="B1766" t="inlineStr">
        <is>
          <t>2023-04-12</t>
        </is>
      </c>
      <c r="C1766" t="inlineStr">
        <is>
          <t>12:39</t>
        </is>
      </c>
      <c r="D1766" t="inlineStr">
        <is>
          <t>n° 10 + n° 11 + n° 14</t>
        </is>
      </c>
      <c r="E1766" t="inlineStr">
        <is>
          <t>Pichet 50cl vin</t>
        </is>
      </c>
      <c r="F1766" t="n">
        <v>9.800000000000001</v>
      </c>
      <c r="G1766" t="inlineStr">
        <is>
          <t>n° 14 : 0,33</t>
        </is>
      </c>
      <c r="H1766" t="n">
        <v>0.33</v>
      </c>
    </row>
    <row r="1767">
      <c r="A1767" t="inlineStr">
        <is>
          <t>2023-2024</t>
        </is>
      </c>
      <c r="B1767" t="inlineStr">
        <is>
          <t>2023-04-12</t>
        </is>
      </c>
      <c r="C1767" t="inlineStr">
        <is>
          <t>12:39</t>
        </is>
      </c>
      <c r="D1767" t="inlineStr">
        <is>
          <t>n° 10 + n° 11 + n° 14</t>
        </is>
      </c>
      <c r="E1767" t="inlineStr">
        <is>
          <t>MAEVA</t>
        </is>
      </c>
      <c r="F1767" t="n">
        <v>9</v>
      </c>
      <c r="G1767" t="inlineStr">
        <is>
          <t>n° 10 : 0,50 + n° 11 : 0,50</t>
        </is>
      </c>
      <c r="H1767" t="n">
        <v>1</v>
      </c>
    </row>
    <row r="1768">
      <c r="A1768" t="inlineStr">
        <is>
          <t>2023-2024</t>
        </is>
      </c>
      <c r="B1768" t="inlineStr">
        <is>
          <t>2023-04-12</t>
        </is>
      </c>
      <c r="C1768" t="inlineStr">
        <is>
          <t>12:39</t>
        </is>
      </c>
      <c r="D1768" t="inlineStr">
        <is>
          <t>n° 10 + n° 11 + n° 14</t>
        </is>
      </c>
      <c r="E1768" t="inlineStr">
        <is>
          <t>Père Gregoire</t>
        </is>
      </c>
      <c r="F1768" t="n">
        <v>4.9</v>
      </c>
      <c r="G1768" t="inlineStr">
        <is>
          <t>n° 10 : 0,50 + n° 11 : 0,50</t>
        </is>
      </c>
      <c r="H1768" t="n">
        <v>1</v>
      </c>
    </row>
    <row r="1769">
      <c r="A1769" t="inlineStr">
        <is>
          <t>2023-2024</t>
        </is>
      </c>
      <c r="B1769" t="inlineStr">
        <is>
          <t>2023-04-12</t>
        </is>
      </c>
      <c r="C1769" t="inlineStr">
        <is>
          <t>12:39</t>
        </is>
      </c>
      <c r="D1769" t="inlineStr">
        <is>
          <t>n° 10 + n° 11 + n° 14</t>
        </is>
      </c>
      <c r="E1769" t="inlineStr">
        <is>
          <t>Crêpe Nutella</t>
        </is>
      </c>
      <c r="F1769" t="n">
        <v>4.7</v>
      </c>
      <c r="G1769" t="inlineStr">
        <is>
          <t>n° 10 : 0,50 + n° 11 : 0,50</t>
        </is>
      </c>
      <c r="H1769" t="n">
        <v>1</v>
      </c>
    </row>
    <row r="1770">
      <c r="A1770" t="inlineStr">
        <is>
          <t>2023-2024</t>
        </is>
      </c>
      <c r="B1770" t="inlineStr">
        <is>
          <t>2023-04-12</t>
        </is>
      </c>
      <c r="C1770" t="inlineStr">
        <is>
          <t>12:39</t>
        </is>
      </c>
      <c r="D1770" t="inlineStr">
        <is>
          <t>n° 10 + n° 11 + n° 14</t>
        </is>
      </c>
      <c r="E1770" t="inlineStr">
        <is>
          <t>Comté</t>
        </is>
      </c>
      <c r="F1770" t="n">
        <v>4</v>
      </c>
      <c r="G1770" t="inlineStr">
        <is>
          <t>n° 10 : 0,50 + n° 11 : 0,50</t>
        </is>
      </c>
      <c r="H1770" t="n">
        <v>1</v>
      </c>
    </row>
    <row r="1771">
      <c r="A1771" t="inlineStr">
        <is>
          <t>2023-2024</t>
        </is>
      </c>
      <c r="B1771" t="inlineStr">
        <is>
          <t>2023-04-12</t>
        </is>
      </c>
      <c r="C1771" t="inlineStr">
        <is>
          <t>12:39</t>
        </is>
      </c>
      <c r="D1771" t="inlineStr">
        <is>
          <t>n° 10 + n° 11 + n° 14</t>
        </is>
      </c>
      <c r="E1771" t="inlineStr">
        <is>
          <t>Limonade (25cl)</t>
        </is>
      </c>
      <c r="F1771" t="n">
        <v>3.9</v>
      </c>
      <c r="G1771" t="inlineStr">
        <is>
          <t>n° 10 : 0,50 + n° 11 : 0,50</t>
        </is>
      </c>
      <c r="H1771" t="n">
        <v>1</v>
      </c>
    </row>
    <row r="1772">
      <c r="A1772" t="inlineStr">
        <is>
          <t>2023-2024</t>
        </is>
      </c>
      <c r="B1772" t="inlineStr">
        <is>
          <t>2023-04-12</t>
        </is>
      </c>
      <c r="C1772" t="inlineStr">
        <is>
          <t>12:39</t>
        </is>
      </c>
      <c r="D1772" t="inlineStr">
        <is>
          <t>n° 10 + n° 11 + n° 14</t>
        </is>
      </c>
      <c r="E1772" t="inlineStr">
        <is>
          <t>Galette nature</t>
        </is>
      </c>
      <c r="F1772" t="n">
        <v>3.9</v>
      </c>
      <c r="G1772" t="inlineStr">
        <is>
          <t>n° 10 : 0,50 + n° 11 : 0,50</t>
        </is>
      </c>
      <c r="H1772" t="n">
        <v>1</v>
      </c>
    </row>
    <row r="1773">
      <c r="A1773" t="inlineStr">
        <is>
          <t>2023-2024</t>
        </is>
      </c>
      <c r="B1773" t="inlineStr">
        <is>
          <t>2023-04-12</t>
        </is>
      </c>
      <c r="C1773" t="inlineStr">
        <is>
          <t>12:39</t>
        </is>
      </c>
      <c r="D1773" t="inlineStr">
        <is>
          <t>n° 10 + n° 11 + n° 14</t>
        </is>
      </c>
      <c r="E1773" t="inlineStr">
        <is>
          <t>GLACE 2 BOULES</t>
        </is>
      </c>
      <c r="F1773" t="n">
        <v>3.9</v>
      </c>
      <c r="G1773" t="inlineStr">
        <is>
          <t>n° 10 : 0,50 + n° 11 : 0,50</t>
        </is>
      </c>
      <c r="H1773" t="n">
        <v>1</v>
      </c>
    </row>
    <row r="1774">
      <c r="A1774" t="inlineStr">
        <is>
          <t>2023-2024</t>
        </is>
      </c>
      <c r="B1774" t="inlineStr">
        <is>
          <t>2023-04-12</t>
        </is>
      </c>
      <c r="C1774" t="inlineStr">
        <is>
          <t>12:39</t>
        </is>
      </c>
      <c r="D1774" t="inlineStr">
        <is>
          <t>n° 10 + n° 11 + n° 14</t>
        </is>
      </c>
      <c r="E1774" t="inlineStr">
        <is>
          <t>Bacon</t>
        </is>
      </c>
      <c r="F1774" t="n">
        <v>3.3</v>
      </c>
      <c r="G1774" t="inlineStr">
        <is>
          <t>n° 10 : 0,50 + n° 11 : 0,50</t>
        </is>
      </c>
      <c r="H1774" t="n">
        <v>1</v>
      </c>
    </row>
    <row r="1775">
      <c r="A1775" t="inlineStr">
        <is>
          <t>2023-2024</t>
        </is>
      </c>
      <c r="B1775" t="inlineStr">
        <is>
          <t>2023-04-12</t>
        </is>
      </c>
      <c r="C1775" t="inlineStr">
        <is>
          <t>12:39</t>
        </is>
      </c>
      <c r="D1775" t="inlineStr">
        <is>
          <t>n° 10 + n° 11 + n° 14</t>
        </is>
      </c>
      <c r="E1775" t="inlineStr">
        <is>
          <t>Champignons frais</t>
        </is>
      </c>
      <c r="F1775" t="n">
        <v>3.2</v>
      </c>
      <c r="G1775" t="inlineStr">
        <is>
          <t>n° 10 : 0,50 + n° 11 : 0,50</t>
        </is>
      </c>
      <c r="H1775" t="n">
        <v>1</v>
      </c>
    </row>
    <row r="1776">
      <c r="A1776" t="inlineStr">
        <is>
          <t>2023-2024</t>
        </is>
      </c>
      <c r="B1776" t="inlineStr">
        <is>
          <t>2023-04-12</t>
        </is>
      </c>
      <c r="C1776" t="inlineStr">
        <is>
          <t>12:39</t>
        </is>
      </c>
      <c r="D1776" t="inlineStr">
        <is>
          <t>n° 10 + n° 11 + n° 14</t>
        </is>
      </c>
      <c r="E1776" t="inlineStr">
        <is>
          <t>Crêpe nature</t>
        </is>
      </c>
      <c r="F1776" t="n">
        <v>2.9</v>
      </c>
      <c r="G1776" t="inlineStr">
        <is>
          <t>n° 10 : 0,50 + n° 11 : 0,50</t>
        </is>
      </c>
      <c r="H1776" t="n">
        <v>1</v>
      </c>
    </row>
    <row r="1777">
      <c r="A1777" t="inlineStr">
        <is>
          <t>2023-2024</t>
        </is>
      </c>
      <c r="B1777" t="inlineStr">
        <is>
          <t>2023-04-12</t>
        </is>
      </c>
      <c r="C1777" t="inlineStr">
        <is>
          <t>12:39</t>
        </is>
      </c>
      <c r="D1777" t="inlineStr">
        <is>
          <t>n° 10 + n° 11 + n° 14</t>
        </is>
      </c>
      <c r="E1777" t="inlineStr">
        <is>
          <t>Caramel</t>
        </is>
      </c>
      <c r="F1777" t="n">
        <v>1.8</v>
      </c>
      <c r="G1777" t="inlineStr">
        <is>
          <t>n° 10 : 0,50 + n° 11 : 0,50</t>
        </is>
      </c>
      <c r="H1777" t="n">
        <v>1</v>
      </c>
    </row>
    <row r="1778">
      <c r="A1778" t="inlineStr">
        <is>
          <t>2023-2024</t>
        </is>
      </c>
      <c r="B1778" t="inlineStr">
        <is>
          <t>2023-04-12</t>
        </is>
      </c>
      <c r="C1778" t="inlineStr">
        <is>
          <t>12:39</t>
        </is>
      </c>
      <c r="D1778" t="inlineStr">
        <is>
          <t>n° 10 + n° 11 + n° 14</t>
        </is>
      </c>
      <c r="E1778" t="inlineStr">
        <is>
          <t>CHANTILLY</t>
        </is>
      </c>
      <c r="F1778" t="n">
        <v>1.8</v>
      </c>
      <c r="G1778" t="inlineStr">
        <is>
          <t>n° 10 : 0,50 + n° 11 : 0,50</t>
        </is>
      </c>
      <c r="H1778" t="n">
        <v>1</v>
      </c>
    </row>
    <row r="1779">
      <c r="A1779" t="inlineStr">
        <is>
          <t>2023-2024</t>
        </is>
      </c>
      <c r="B1779" t="inlineStr">
        <is>
          <t>2023-04-12</t>
        </is>
      </c>
      <c r="C1779" t="inlineStr">
        <is>
          <t>12:39</t>
        </is>
      </c>
      <c r="D1779" t="inlineStr">
        <is>
          <t>n° 10 + n° 11 + n° 14</t>
        </is>
      </c>
      <c r="E1779" t="inlineStr">
        <is>
          <t>Amandes grillées</t>
        </is>
      </c>
      <c r="F1779" t="n">
        <v>1.2</v>
      </c>
      <c r="G1779" t="inlineStr">
        <is>
          <t>n° 10 : 0,50 + n° 11 : 0,50</t>
        </is>
      </c>
      <c r="H1779" t="n">
        <v>1</v>
      </c>
    </row>
    <row r="1780">
      <c r="A1780" t="inlineStr">
        <is>
          <t>2023-2024</t>
        </is>
      </c>
      <c r="B1780" t="inlineStr">
        <is>
          <t>2023-04-12</t>
        </is>
      </c>
      <c r="C1780" t="inlineStr">
        <is>
          <t>12:39</t>
        </is>
      </c>
      <c r="D1780" t="inlineStr">
        <is>
          <t>n° 10 + n° 11 + n° 14</t>
        </is>
      </c>
      <c r="E1780" t="inlineStr">
        <is>
          <t>Œuf</t>
        </is>
      </c>
      <c r="F1780" t="n">
        <v>0.9</v>
      </c>
      <c r="G1780" t="inlineStr">
        <is>
          <t>n° 10 : 0,50 + n° 11 : 0,50</t>
        </is>
      </c>
      <c r="H1780" t="n">
        <v>1</v>
      </c>
    </row>
    <row r="1781">
      <c r="A1781" t="inlineStr">
        <is>
          <t>2023-2024</t>
        </is>
      </c>
      <c r="B1781" t="inlineStr">
        <is>
          <t>2023-04-14</t>
        </is>
      </c>
      <c r="C1781" t="inlineStr">
        <is>
          <t>19:45</t>
        </is>
      </c>
      <c r="D1781" t="inlineStr">
        <is>
          <t>n° 11 + n° 12</t>
        </is>
      </c>
      <c r="E1781" t="inlineStr">
        <is>
          <t>DADOULET</t>
        </is>
      </c>
      <c r="F1781" t="n">
        <v>18.1</v>
      </c>
      <c r="G1781" t="inlineStr">
        <is>
          <t>n° 11 : 0,50 + n° 12 : 0,50</t>
        </is>
      </c>
      <c r="H1781" t="n">
        <v>1</v>
      </c>
    </row>
    <row r="1782">
      <c r="A1782" t="inlineStr">
        <is>
          <t>2023-2024</t>
        </is>
      </c>
      <c r="B1782" t="inlineStr">
        <is>
          <t>2023-04-14</t>
        </is>
      </c>
      <c r="C1782" t="inlineStr">
        <is>
          <t>19:45</t>
        </is>
      </c>
      <c r="D1782" t="inlineStr">
        <is>
          <t>n° 11 + n° 12</t>
        </is>
      </c>
      <c r="E1782" t="inlineStr">
        <is>
          <t>LIGOUSE</t>
        </is>
      </c>
      <c r="F1782" t="n">
        <v>16.6</v>
      </c>
      <c r="G1782" t="inlineStr">
        <is>
          <t>n° 11 : 0,50 + n° 12 : 0,50</t>
        </is>
      </c>
      <c r="H1782" t="n">
        <v>1</v>
      </c>
    </row>
    <row r="1783">
      <c r="A1783" t="inlineStr">
        <is>
          <t>2023-2024</t>
        </is>
      </c>
      <c r="B1783" t="inlineStr">
        <is>
          <t>2023-04-14</t>
        </is>
      </c>
      <c r="C1783" t="inlineStr">
        <is>
          <t>19:45</t>
        </is>
      </c>
      <c r="D1783" t="inlineStr">
        <is>
          <t>n° 11 + n° 12</t>
        </is>
      </c>
      <c r="E1783" t="inlineStr">
        <is>
          <t>H.C.DE BEAUNE  VERRE</t>
        </is>
      </c>
      <c r="F1783" t="n">
        <v>7.9</v>
      </c>
      <c r="G1783" t="inlineStr">
        <is>
          <t>n° 11 : 0,50 + n° 12 : 0,50</t>
        </is>
      </c>
      <c r="H1783" t="n">
        <v>1</v>
      </c>
    </row>
    <row r="1784">
      <c r="A1784" t="inlineStr">
        <is>
          <t>2023-2024</t>
        </is>
      </c>
      <c r="B1784" t="inlineStr">
        <is>
          <t>2023-04-14</t>
        </is>
      </c>
      <c r="C1784" t="inlineStr">
        <is>
          <t>19:45</t>
        </is>
      </c>
      <c r="D1784" t="inlineStr">
        <is>
          <t>n° 11 + n° 12</t>
        </is>
      </c>
      <c r="E1784" t="inlineStr">
        <is>
          <t>C du  Rhone St Josep</t>
        </is>
      </c>
      <c r="F1784" t="n">
        <v>7.2</v>
      </c>
      <c r="G1784" t="inlineStr">
        <is>
          <t>n° 11 : 0,50 + n° 12 : 0,50</t>
        </is>
      </c>
      <c r="H1784" t="n">
        <v>1</v>
      </c>
    </row>
    <row r="1785">
      <c r="A1785" t="inlineStr">
        <is>
          <t>2023-2024</t>
        </is>
      </c>
      <c r="B1785" t="inlineStr">
        <is>
          <t>2023-04-14</t>
        </is>
      </c>
      <c r="C1785" t="inlineStr">
        <is>
          <t>19:45</t>
        </is>
      </c>
      <c r="D1785" t="inlineStr">
        <is>
          <t>n° 11 + n° 12</t>
        </is>
      </c>
      <c r="E1785" t="inlineStr">
        <is>
          <t>Macvin du Jura</t>
        </is>
      </c>
      <c r="F1785" t="n">
        <v>4.9</v>
      </c>
      <c r="G1785" t="inlineStr">
        <is>
          <t>n° 11 : 0,50 + n° 12 : 0,50</t>
        </is>
      </c>
      <c r="H1785" t="n">
        <v>1</v>
      </c>
    </row>
    <row r="1786">
      <c r="A1786" t="inlineStr">
        <is>
          <t>2023-2024</t>
        </is>
      </c>
      <c r="B1786" t="inlineStr">
        <is>
          <t>2023-04-14</t>
        </is>
      </c>
      <c r="C1786" t="inlineStr">
        <is>
          <t>19:45</t>
        </is>
      </c>
      <c r="D1786" t="inlineStr">
        <is>
          <t>n° 11 + n° 12</t>
        </is>
      </c>
      <c r="E1786" t="inlineStr">
        <is>
          <t>Crepe Chocolat</t>
        </is>
      </c>
      <c r="F1786" t="n">
        <v>4.7</v>
      </c>
      <c r="G1786" t="inlineStr">
        <is>
          <t>n° 11 : 0,50 + n° 12 : 0,50</t>
        </is>
      </c>
      <c r="H1786" t="n">
        <v>1</v>
      </c>
    </row>
    <row r="1787">
      <c r="A1787" t="inlineStr">
        <is>
          <t>2023-2024</t>
        </is>
      </c>
      <c r="B1787" t="inlineStr">
        <is>
          <t>2023-04-14</t>
        </is>
      </c>
      <c r="C1787" t="inlineStr">
        <is>
          <t>19:45</t>
        </is>
      </c>
      <c r="D1787" t="inlineStr">
        <is>
          <t>n° 11 + n° 12</t>
        </is>
      </c>
      <c r="E1787" t="inlineStr">
        <is>
          <t>Kir Bourgogne</t>
        </is>
      </c>
      <c r="F1787" t="n">
        <v>4.2</v>
      </c>
      <c r="G1787" t="inlineStr">
        <is>
          <t>n° 11 : 0,50 + n° 12 : 0,50</t>
        </is>
      </c>
      <c r="H1787" t="n">
        <v>1</v>
      </c>
    </row>
    <row r="1788">
      <c r="A1788" t="inlineStr">
        <is>
          <t>2023-2024</t>
        </is>
      </c>
      <c r="B1788" t="inlineStr">
        <is>
          <t>2023-04-14</t>
        </is>
      </c>
      <c r="C1788" t="inlineStr">
        <is>
          <t>19:45</t>
        </is>
      </c>
      <c r="D1788" t="inlineStr">
        <is>
          <t>n° 11 + n° 12</t>
        </is>
      </c>
      <c r="E1788" t="inlineStr">
        <is>
          <t>GLACE 1 BOULE</t>
        </is>
      </c>
      <c r="F1788" t="n">
        <v>2</v>
      </c>
      <c r="G1788" t="inlineStr">
        <is>
          <t>n° 11 : 0,50 + n° 12 : 0,50</t>
        </is>
      </c>
      <c r="H1788" t="n">
        <v>1</v>
      </c>
    </row>
    <row r="1789">
      <c r="A1789" t="inlineStr">
        <is>
          <t>2023-2024</t>
        </is>
      </c>
      <c r="B1789" t="inlineStr">
        <is>
          <t>2023-04-15</t>
        </is>
      </c>
      <c r="C1789" t="inlineStr">
        <is>
          <t>12:26</t>
        </is>
      </c>
      <c r="D1789" t="inlineStr">
        <is>
          <t>n° 2 + n° 3</t>
        </is>
      </c>
      <c r="E1789" t="inlineStr">
        <is>
          <t>MACHON GOURMET</t>
        </is>
      </c>
      <c r="F1789" t="n">
        <v>25</v>
      </c>
      <c r="G1789" t="inlineStr">
        <is>
          <t>n° 2 : 0,50 + n° 3 : 0,50</t>
        </is>
      </c>
      <c r="H1789" t="n">
        <v>1</v>
      </c>
    </row>
    <row r="1790">
      <c r="A1790" t="inlineStr">
        <is>
          <t>2023-2024</t>
        </is>
      </c>
      <c r="B1790" t="inlineStr">
        <is>
          <t>2023-04-15</t>
        </is>
      </c>
      <c r="C1790" t="inlineStr">
        <is>
          <t>12:26</t>
        </is>
      </c>
      <c r="D1790" t="inlineStr">
        <is>
          <t>n° 2 + n° 3</t>
        </is>
      </c>
      <c r="E1790" t="inlineStr">
        <is>
          <t>PAYSANNE</t>
        </is>
      </c>
      <c r="F1790" t="n">
        <v>19.9</v>
      </c>
      <c r="G1790" t="inlineStr">
        <is>
          <t>n° 2 : 0,50 + n° 3 : 0,50</t>
        </is>
      </c>
      <c r="H1790" t="n">
        <v>1</v>
      </c>
    </row>
    <row r="1791">
      <c r="A1791" t="inlineStr">
        <is>
          <t>2023-2024</t>
        </is>
      </c>
      <c r="B1791" t="inlineStr">
        <is>
          <t>2023-04-15</t>
        </is>
      </c>
      <c r="C1791" t="inlineStr">
        <is>
          <t>12:26</t>
        </is>
      </c>
      <c r="D1791" t="inlineStr">
        <is>
          <t>n° 2 + n° 3</t>
        </is>
      </c>
      <c r="E1791" t="inlineStr">
        <is>
          <t>FOULETOT</t>
        </is>
      </c>
      <c r="F1791" t="n">
        <v>10.5</v>
      </c>
      <c r="G1791" t="inlineStr">
        <is>
          <t>n° 2 : 0,50 + n° 3 : 0,50</t>
        </is>
      </c>
      <c r="H1791" t="n">
        <v>1</v>
      </c>
    </row>
    <row r="1792">
      <c r="A1792" t="inlineStr">
        <is>
          <t>2023-2024</t>
        </is>
      </c>
      <c r="B1792" t="inlineStr">
        <is>
          <t>2023-04-15</t>
        </is>
      </c>
      <c r="C1792" t="inlineStr">
        <is>
          <t>12:26</t>
        </is>
      </c>
      <c r="D1792" t="inlineStr">
        <is>
          <t>n° 2 + n° 3</t>
        </is>
      </c>
      <c r="E1792" t="inlineStr">
        <is>
          <t>Rêve Bleu</t>
        </is>
      </c>
      <c r="F1792" t="n">
        <v>9</v>
      </c>
      <c r="G1792" t="inlineStr">
        <is>
          <t>n° 2 : 0,50 + n° 3 : 0,50</t>
        </is>
      </c>
      <c r="H1792" t="n">
        <v>1</v>
      </c>
    </row>
    <row r="1793">
      <c r="A1793" t="inlineStr">
        <is>
          <t>2023-2024</t>
        </is>
      </c>
      <c r="B1793" t="inlineStr">
        <is>
          <t>2023-04-15</t>
        </is>
      </c>
      <c r="C1793" t="inlineStr">
        <is>
          <t>12:26</t>
        </is>
      </c>
      <c r="D1793" t="inlineStr">
        <is>
          <t>n° 2 + n° 3</t>
        </is>
      </c>
      <c r="E1793" t="inlineStr">
        <is>
          <t>Normandine</t>
        </is>
      </c>
      <c r="F1793" t="n">
        <v>8.699999999999999</v>
      </c>
      <c r="G1793" t="inlineStr">
        <is>
          <t>n° 2 : 0,50 + n° 3 : 0,50</t>
        </is>
      </c>
      <c r="H1793" t="n">
        <v>1</v>
      </c>
    </row>
    <row r="1794">
      <c r="A1794" t="inlineStr">
        <is>
          <t>2023-2024</t>
        </is>
      </c>
      <c r="B1794" t="inlineStr">
        <is>
          <t>2023-04-15</t>
        </is>
      </c>
      <c r="C1794" t="inlineStr">
        <is>
          <t>12:26</t>
        </is>
      </c>
      <c r="D1794" t="inlineStr">
        <is>
          <t>n° 2 + n° 3</t>
        </is>
      </c>
      <c r="E1794" t="inlineStr">
        <is>
          <t>GLACE 3 BOULES</t>
        </is>
      </c>
      <c r="F1794" t="n">
        <v>5.8</v>
      </c>
      <c r="G1794" t="inlineStr">
        <is>
          <t>n° 2 : 0,50 + n° 3 : 0,50</t>
        </is>
      </c>
      <c r="H1794" t="n">
        <v>1</v>
      </c>
    </row>
    <row r="1795">
      <c r="A1795" t="inlineStr">
        <is>
          <t>2023-2024</t>
        </is>
      </c>
      <c r="B1795" t="inlineStr">
        <is>
          <t>2023-04-15</t>
        </is>
      </c>
      <c r="C1795" t="inlineStr">
        <is>
          <t>12:26</t>
        </is>
      </c>
      <c r="D1795" t="inlineStr">
        <is>
          <t>n° 2 + n° 3</t>
        </is>
      </c>
      <c r="E1795" t="inlineStr">
        <is>
          <t>La Vouivre</t>
        </is>
      </c>
      <c r="F1795" t="n">
        <v>5.2</v>
      </c>
      <c r="G1795" t="inlineStr">
        <is>
          <t>n° 2 : 0,50 + n° 3 : 0,50</t>
        </is>
      </c>
      <c r="H1795" t="n">
        <v>1</v>
      </c>
    </row>
    <row r="1796">
      <c r="A1796" t="inlineStr">
        <is>
          <t>2023-2024</t>
        </is>
      </c>
      <c r="B1796" t="inlineStr">
        <is>
          <t>2023-04-15</t>
        </is>
      </c>
      <c r="C1796" t="inlineStr">
        <is>
          <t>12:26</t>
        </is>
      </c>
      <c r="D1796" t="inlineStr">
        <is>
          <t>n° 2 + n° 3</t>
        </is>
      </c>
      <c r="E1796" t="inlineStr">
        <is>
          <t>Crepe Chocolat</t>
        </is>
      </c>
      <c r="F1796" t="n">
        <v>4.7</v>
      </c>
      <c r="G1796" t="inlineStr">
        <is>
          <t>n° 2 : 0,50 + n° 3 : 0,50</t>
        </is>
      </c>
      <c r="H1796" t="n">
        <v>1</v>
      </c>
    </row>
    <row r="1797">
      <c r="A1797" t="inlineStr">
        <is>
          <t>2023-2024</t>
        </is>
      </c>
      <c r="B1797" t="inlineStr">
        <is>
          <t>2023-04-15</t>
        </is>
      </c>
      <c r="C1797" t="inlineStr">
        <is>
          <t>12:26</t>
        </is>
      </c>
      <c r="D1797" t="inlineStr">
        <is>
          <t>n° 2 + n° 3</t>
        </is>
      </c>
      <c r="E1797" t="inlineStr">
        <is>
          <t>1 Boule Glace</t>
        </is>
      </c>
      <c r="F1797" t="n">
        <v>2</v>
      </c>
      <c r="G1797" t="inlineStr">
        <is>
          <t>n° 2 : 0,50 + n° 3 : 0,50</t>
        </is>
      </c>
      <c r="H1797" t="n">
        <v>1</v>
      </c>
    </row>
    <row r="1798">
      <c r="A1798" t="inlineStr">
        <is>
          <t>2023-2024</t>
        </is>
      </c>
      <c r="B1798" t="inlineStr">
        <is>
          <t>2023-04-15</t>
        </is>
      </c>
      <c r="C1798" t="inlineStr">
        <is>
          <t>12:26</t>
        </is>
      </c>
      <c r="D1798" t="inlineStr">
        <is>
          <t>n° 2 + n° 3</t>
        </is>
      </c>
      <c r="E1798" t="inlineStr">
        <is>
          <t>SAUCE CHOCO/CAFE/CAR</t>
        </is>
      </c>
      <c r="F1798" t="n">
        <v>1.8</v>
      </c>
      <c r="G1798" t="inlineStr">
        <is>
          <t>n° 2 : 0,50 + n° 3 : 0,50</t>
        </is>
      </c>
      <c r="H1798" t="n">
        <v>1</v>
      </c>
    </row>
    <row r="1799">
      <c r="A1799" t="inlineStr">
        <is>
          <t>2023-2024</t>
        </is>
      </c>
      <c r="B1799" t="inlineStr">
        <is>
          <t>2023-04-19</t>
        </is>
      </c>
      <c r="C1799" t="inlineStr">
        <is>
          <t>11:26</t>
        </is>
      </c>
      <c r="D1799" t="inlineStr">
        <is>
          <t>n° 1 + n° 2</t>
        </is>
      </c>
      <c r="E1799" t="inlineStr">
        <is>
          <t>MACHON GOURMET</t>
        </is>
      </c>
      <c r="F1799" t="n">
        <v>25</v>
      </c>
      <c r="G1799" t="inlineStr">
        <is>
          <t>n° 1 : 0,50 + n° 2 : 0,50</t>
        </is>
      </c>
      <c r="H1799" t="n">
        <v>1</v>
      </c>
    </row>
    <row r="1800">
      <c r="A1800" t="inlineStr">
        <is>
          <t>2023-2024</t>
        </is>
      </c>
      <c r="B1800" t="inlineStr">
        <is>
          <t>2023-04-19</t>
        </is>
      </c>
      <c r="C1800" t="inlineStr">
        <is>
          <t>11:26</t>
        </is>
      </c>
      <c r="D1800" t="inlineStr">
        <is>
          <t>n° 1 + n° 2</t>
        </is>
      </c>
      <c r="E1800" t="inlineStr">
        <is>
          <t>POULET JURASSIENNE</t>
        </is>
      </c>
      <c r="F1800" t="n">
        <v>18.6</v>
      </c>
      <c r="G1800" t="inlineStr">
        <is>
          <t>n° 1 : 0,50 + n° 2 : 0,50</t>
        </is>
      </c>
      <c r="H1800" t="n">
        <v>1</v>
      </c>
    </row>
    <row r="1801">
      <c r="A1801" t="inlineStr">
        <is>
          <t>2023-2024</t>
        </is>
      </c>
      <c r="B1801" t="inlineStr">
        <is>
          <t>2023-04-19</t>
        </is>
      </c>
      <c r="C1801" t="inlineStr">
        <is>
          <t>11:26</t>
        </is>
      </c>
      <c r="D1801" t="inlineStr">
        <is>
          <t>n° 1 + n° 2</t>
        </is>
      </c>
      <c r="E1801" t="inlineStr">
        <is>
          <t>Rosé Pamplemousse</t>
        </is>
      </c>
      <c r="F1801" t="n">
        <v>4.2</v>
      </c>
      <c r="G1801" t="inlineStr">
        <is>
          <t>n° 1 : 0,50 + n° 2 : 0,50</t>
        </is>
      </c>
      <c r="H1801" t="n">
        <v>1</v>
      </c>
    </row>
    <row r="1802">
      <c r="A1802" t="inlineStr">
        <is>
          <t>2023-2024</t>
        </is>
      </c>
      <c r="B1802" t="inlineStr">
        <is>
          <t>2023-04-19</t>
        </is>
      </c>
      <c r="C1802" t="inlineStr">
        <is>
          <t>11:26</t>
        </is>
      </c>
      <c r="D1802" t="inlineStr">
        <is>
          <t>n° 1 + n° 2</t>
        </is>
      </c>
      <c r="E1802" t="inlineStr">
        <is>
          <t>Jus de Fruit</t>
        </is>
      </c>
      <c r="F1802" t="n">
        <v>3.9</v>
      </c>
      <c r="G1802" t="inlineStr">
        <is>
          <t>n° 1 : 0,50 + n° 2 : 0,50</t>
        </is>
      </c>
      <c r="H1802" t="n">
        <v>1</v>
      </c>
    </row>
    <row r="1803">
      <c r="A1803" t="inlineStr">
        <is>
          <t>2023-2024</t>
        </is>
      </c>
      <c r="B1803" t="inlineStr">
        <is>
          <t>2023-04-19</t>
        </is>
      </c>
      <c r="C1803" t="inlineStr">
        <is>
          <t>19:46</t>
        </is>
      </c>
      <c r="D1803" t="inlineStr">
        <is>
          <t>n° 18 + n° 19</t>
        </is>
      </c>
      <c r="E1803" t="inlineStr">
        <is>
          <t>DADOULET</t>
        </is>
      </c>
      <c r="F1803" t="n">
        <v>18.1</v>
      </c>
      <c r="G1803" t="inlineStr">
        <is>
          <t>n° 18 : 0,50 + n° 19 : 0,50</t>
        </is>
      </c>
      <c r="H1803" t="n">
        <v>1</v>
      </c>
    </row>
    <row r="1804">
      <c r="A1804" t="inlineStr">
        <is>
          <t>2023-2024</t>
        </is>
      </c>
      <c r="B1804" t="inlineStr">
        <is>
          <t>2023-04-19</t>
        </is>
      </c>
      <c r="C1804" t="inlineStr">
        <is>
          <t>19:46</t>
        </is>
      </c>
      <c r="D1804" t="inlineStr">
        <is>
          <t>n° 18 + n° 19</t>
        </is>
      </c>
      <c r="E1804" t="inlineStr">
        <is>
          <t>TRUITE PESTO</t>
        </is>
      </c>
      <c r="F1804" t="n">
        <v>16.9</v>
      </c>
      <c r="G1804" t="inlineStr">
        <is>
          <t>n° 18 : 0,50 + n° 19 : 0,50</t>
        </is>
      </c>
      <c r="H1804" t="n">
        <v>1</v>
      </c>
    </row>
    <row r="1805">
      <c r="A1805" t="inlineStr">
        <is>
          <t>2023-2024</t>
        </is>
      </c>
      <c r="B1805" t="inlineStr">
        <is>
          <t>2023-04-19</t>
        </is>
      </c>
      <c r="C1805" t="inlineStr">
        <is>
          <t>19:46</t>
        </is>
      </c>
      <c r="D1805" t="inlineStr">
        <is>
          <t>n° 18 + n° 19</t>
        </is>
      </c>
      <c r="E1805" t="inlineStr">
        <is>
          <t>Pavlova</t>
        </is>
      </c>
      <c r="F1805" t="n">
        <v>8.699999999999999</v>
      </c>
      <c r="G1805" t="inlineStr">
        <is>
          <t>n° 18 : 0,50 + n° 19 : 0,50</t>
        </is>
      </c>
      <c r="H1805" t="n">
        <v>1</v>
      </c>
    </row>
    <row r="1806">
      <c r="A1806" t="inlineStr">
        <is>
          <t>2023-2024</t>
        </is>
      </c>
      <c r="B1806" t="inlineStr">
        <is>
          <t>2023-04-19</t>
        </is>
      </c>
      <c r="C1806" t="inlineStr">
        <is>
          <t>19:46</t>
        </is>
      </c>
      <c r="D1806" t="inlineStr">
        <is>
          <t>n° 18 + n° 19</t>
        </is>
      </c>
      <c r="E1806" t="inlineStr">
        <is>
          <t>Crêpe nature</t>
        </is>
      </c>
      <c r="F1806" t="n">
        <v>2.9</v>
      </c>
      <c r="G1806" t="inlineStr">
        <is>
          <t>n° 18 : 0,50 + n° 19 : 0,50</t>
        </is>
      </c>
      <c r="H1806" t="n">
        <v>1</v>
      </c>
    </row>
    <row r="1807">
      <c r="A1807" t="inlineStr">
        <is>
          <t>2023-2024</t>
        </is>
      </c>
      <c r="B1807" t="inlineStr">
        <is>
          <t>2023-04-19</t>
        </is>
      </c>
      <c r="C1807" t="inlineStr">
        <is>
          <t>19:46</t>
        </is>
      </c>
      <c r="D1807" t="inlineStr">
        <is>
          <t>n° 18 + n° 19</t>
        </is>
      </c>
      <c r="E1807" t="inlineStr">
        <is>
          <t>1 Boule Glace</t>
        </is>
      </c>
      <c r="F1807" t="n">
        <v>2</v>
      </c>
      <c r="G1807" t="inlineStr">
        <is>
          <t>n° 18 : 0,50 + n° 19 : 0,50</t>
        </is>
      </c>
      <c r="H1807" t="n">
        <v>1</v>
      </c>
    </row>
    <row r="1808">
      <c r="A1808" t="inlineStr">
        <is>
          <t>2023-2024</t>
        </is>
      </c>
      <c r="B1808" t="inlineStr">
        <is>
          <t>2023-04-19</t>
        </is>
      </c>
      <c r="C1808" t="inlineStr">
        <is>
          <t>19:46</t>
        </is>
      </c>
      <c r="D1808" t="inlineStr">
        <is>
          <t>n° 18 + n° 19</t>
        </is>
      </c>
      <c r="E1808" t="inlineStr">
        <is>
          <t>Chocolat fondu</t>
        </is>
      </c>
      <c r="F1808" t="n">
        <v>1.8</v>
      </c>
      <c r="G1808" t="inlineStr">
        <is>
          <t>n° 18 : 0,50 + n° 19 : 0,50</t>
        </is>
      </c>
      <c r="H1808" t="n">
        <v>1</v>
      </c>
    </row>
    <row r="1809">
      <c r="A1809" t="inlineStr">
        <is>
          <t>2023-2024</t>
        </is>
      </c>
      <c r="B1809" t="inlineStr">
        <is>
          <t>2023-04-19</t>
        </is>
      </c>
      <c r="C1809" t="inlineStr">
        <is>
          <t>19:46</t>
        </is>
      </c>
      <c r="D1809" t="inlineStr">
        <is>
          <t>n° 18 + n° 19</t>
        </is>
      </c>
      <c r="E1809" t="inlineStr">
        <is>
          <t>Nutella</t>
        </is>
      </c>
      <c r="F1809" t="n">
        <v>1.8</v>
      </c>
      <c r="G1809" t="inlineStr">
        <is>
          <t>n° 18 : 0,50 + n° 19 : 0,50</t>
        </is>
      </c>
      <c r="H1809" t="n">
        <v>1</v>
      </c>
    </row>
    <row r="1810">
      <c r="A1810" t="inlineStr">
        <is>
          <t>2023-2024</t>
        </is>
      </c>
      <c r="B1810" t="inlineStr">
        <is>
          <t>2023-04-19</t>
        </is>
      </c>
      <c r="C1810" t="inlineStr">
        <is>
          <t>20:35</t>
        </is>
      </c>
      <c r="D1810" t="inlineStr">
        <is>
          <t>n° 20 + n° 21</t>
        </is>
      </c>
      <c r="E1810" t="inlineStr">
        <is>
          <t>Entrecôte grillée</t>
        </is>
      </c>
      <c r="F1810" t="n">
        <v>19.9</v>
      </c>
      <c r="G1810" t="inlineStr">
        <is>
          <t>n° 20 : 0,50 + n° 21 : 0,50</t>
        </is>
      </c>
      <c r="H1810" t="n">
        <v>1</v>
      </c>
    </row>
    <row r="1811">
      <c r="A1811" t="inlineStr">
        <is>
          <t>2023-2024</t>
        </is>
      </c>
      <c r="B1811" t="inlineStr">
        <is>
          <t>2023-04-19</t>
        </is>
      </c>
      <c r="C1811" t="inlineStr">
        <is>
          <t>20:35</t>
        </is>
      </c>
      <c r="D1811" t="inlineStr">
        <is>
          <t>n° 20 + n° 21</t>
        </is>
      </c>
      <c r="E1811" t="inlineStr">
        <is>
          <t>Formule Express</t>
        </is>
      </c>
      <c r="F1811" t="n">
        <v>16.5</v>
      </c>
      <c r="G1811" t="inlineStr">
        <is>
          <t>n° 20 : 0,50 + n° 21 : 0,50</t>
        </is>
      </c>
      <c r="H1811" t="n">
        <v>1</v>
      </c>
    </row>
    <row r="1812">
      <c r="A1812" t="inlineStr">
        <is>
          <t>2023-2024</t>
        </is>
      </c>
      <c r="B1812" t="inlineStr">
        <is>
          <t>2023-04-19</t>
        </is>
      </c>
      <c r="C1812" t="inlineStr">
        <is>
          <t>20:35</t>
        </is>
      </c>
      <c r="D1812" t="inlineStr">
        <is>
          <t>n° 20 + n° 21</t>
        </is>
      </c>
      <c r="E1812" t="inlineStr">
        <is>
          <t>CONQUÊTE</t>
        </is>
      </c>
      <c r="F1812" t="n">
        <v>10.7</v>
      </c>
      <c r="G1812" t="inlineStr">
        <is>
          <t>n° 20 : 0,50 + n° 21 : 0,50</t>
        </is>
      </c>
      <c r="H1812" t="n">
        <v>1</v>
      </c>
    </row>
    <row r="1813">
      <c r="A1813" t="inlineStr">
        <is>
          <t>2023-2024</t>
        </is>
      </c>
      <c r="B1813" t="inlineStr">
        <is>
          <t>2023-04-19</t>
        </is>
      </c>
      <c r="C1813" t="inlineStr">
        <is>
          <t>20:35</t>
        </is>
      </c>
      <c r="D1813" t="inlineStr">
        <is>
          <t>n° 20 + n° 21</t>
        </is>
      </c>
      <c r="E1813" t="inlineStr">
        <is>
          <t>Pinte</t>
        </is>
      </c>
      <c r="F1813" t="n">
        <v>7.8</v>
      </c>
      <c r="G1813" t="inlineStr">
        <is>
          <t>n° 20 : 0,50 + n° 21 : 0,50</t>
        </is>
      </c>
      <c r="H1813" t="n">
        <v>1</v>
      </c>
    </row>
    <row r="1814">
      <c r="A1814" t="inlineStr">
        <is>
          <t>2023-2024</t>
        </is>
      </c>
      <c r="B1814" t="inlineStr">
        <is>
          <t>2023-04-19</t>
        </is>
      </c>
      <c r="C1814" t="inlineStr">
        <is>
          <t>20:35</t>
        </is>
      </c>
      <c r="D1814" t="inlineStr">
        <is>
          <t>n° 20 + n° 21</t>
        </is>
      </c>
      <c r="E1814" t="inlineStr">
        <is>
          <t>Mambo</t>
        </is>
      </c>
      <c r="F1814" t="n">
        <v>6.5</v>
      </c>
      <c r="G1814" t="inlineStr">
        <is>
          <t>n° 20 : 0,50 + n° 21 : 0,50</t>
        </is>
      </c>
      <c r="H1814" t="n">
        <v>1</v>
      </c>
    </row>
    <row r="1815">
      <c r="A1815" t="inlineStr">
        <is>
          <t>2023-2024</t>
        </is>
      </c>
      <c r="B1815" t="inlineStr">
        <is>
          <t>2023-04-19</t>
        </is>
      </c>
      <c r="C1815" t="inlineStr">
        <is>
          <t>20:35</t>
        </is>
      </c>
      <c r="D1815" t="inlineStr">
        <is>
          <t>n° 20 + n° 21</t>
        </is>
      </c>
      <c r="E1815" t="inlineStr">
        <is>
          <t>Luna</t>
        </is>
      </c>
      <c r="F1815" t="n">
        <v>6</v>
      </c>
      <c r="G1815" t="inlineStr">
        <is>
          <t>n° 20 : 0,50 + n° 21 : 0,50</t>
        </is>
      </c>
      <c r="H1815" t="n">
        <v>1</v>
      </c>
    </row>
    <row r="1816">
      <c r="A1816" t="inlineStr">
        <is>
          <t>2023-2024</t>
        </is>
      </c>
      <c r="B1816" t="inlineStr">
        <is>
          <t>2023-04-19</t>
        </is>
      </c>
      <c r="C1816" t="inlineStr">
        <is>
          <t>20:35</t>
        </is>
      </c>
      <c r="D1816" t="inlineStr">
        <is>
          <t>n° 20 + n° 21</t>
        </is>
      </c>
      <c r="E1816" t="inlineStr">
        <is>
          <t>Perrier 33cl</t>
        </is>
      </c>
      <c r="F1816" t="n">
        <v>4</v>
      </c>
      <c r="G1816" t="inlineStr">
        <is>
          <t>n° 20 : 0,50 + n° 21 : 0,50</t>
        </is>
      </c>
      <c r="H1816" t="n">
        <v>1</v>
      </c>
    </row>
    <row r="1817">
      <c r="A1817" t="inlineStr">
        <is>
          <t>2023-2024</t>
        </is>
      </c>
      <c r="B1817" t="inlineStr">
        <is>
          <t>2023-04-19</t>
        </is>
      </c>
      <c r="C1817" t="inlineStr">
        <is>
          <t>21:06</t>
        </is>
      </c>
      <c r="D1817" t="inlineStr">
        <is>
          <t>n° 22 + n° 23</t>
        </is>
      </c>
      <c r="E1817" t="inlineStr">
        <is>
          <t>Champagne</t>
        </is>
      </c>
      <c r="F1817" t="n">
        <v>48</v>
      </c>
      <c r="G1817" t="inlineStr">
        <is>
          <t>n° 22 : 0,50 + n° 23 : 0,50</t>
        </is>
      </c>
      <c r="H1817" t="n">
        <v>1</v>
      </c>
    </row>
    <row r="1818">
      <c r="A1818" t="inlineStr">
        <is>
          <t>2023-2024</t>
        </is>
      </c>
      <c r="B1818" t="inlineStr">
        <is>
          <t>2023-04-19</t>
        </is>
      </c>
      <c r="C1818" t="inlineStr">
        <is>
          <t>21:06</t>
        </is>
      </c>
      <c r="D1818" t="inlineStr">
        <is>
          <t>n° 22 + n° 23</t>
        </is>
      </c>
      <c r="E1818" t="inlineStr">
        <is>
          <t>Arbois Trousseau Bou</t>
        </is>
      </c>
      <c r="F1818" t="n">
        <v>32</v>
      </c>
      <c r="G1818" t="inlineStr">
        <is>
          <t>n° 22 : 0,50 + n° 23 : 0,50</t>
        </is>
      </c>
      <c r="H1818" t="n">
        <v>1</v>
      </c>
    </row>
    <row r="1819">
      <c r="A1819" t="inlineStr">
        <is>
          <t>2023-2024</t>
        </is>
      </c>
      <c r="B1819" t="inlineStr">
        <is>
          <t>2023-04-19</t>
        </is>
      </c>
      <c r="C1819" t="inlineStr">
        <is>
          <t>21:06</t>
        </is>
      </c>
      <c r="D1819" t="inlineStr">
        <is>
          <t>n° 22 + n° 23</t>
        </is>
      </c>
      <c r="E1819" t="inlineStr">
        <is>
          <t>POULET JURASSIENNE</t>
        </is>
      </c>
      <c r="F1819" t="n">
        <v>18.6</v>
      </c>
      <c r="G1819" t="inlineStr">
        <is>
          <t>n° 22 : 0,50 + n° 23 : 0,50</t>
        </is>
      </c>
      <c r="H1819" t="n">
        <v>1</v>
      </c>
    </row>
    <row r="1820">
      <c r="A1820" t="inlineStr">
        <is>
          <t>2023-2024</t>
        </is>
      </c>
      <c r="B1820" t="inlineStr">
        <is>
          <t>2023-04-20</t>
        </is>
      </c>
      <c r="C1820" t="inlineStr">
        <is>
          <t>12:53</t>
        </is>
      </c>
      <c r="D1820" t="inlineStr">
        <is>
          <t>n° 8 + n° 10 + n° 12 + n° 13</t>
        </is>
      </c>
      <c r="E1820" t="inlineStr">
        <is>
          <t>POULET JURASSIENNE</t>
        </is>
      </c>
      <c r="F1820" t="n">
        <v>18.6</v>
      </c>
      <c r="G1820" t="inlineStr">
        <is>
          <t>n° 8 : 0,50 + n° 10 : 0,50</t>
        </is>
      </c>
      <c r="H1820" t="n">
        <v>1</v>
      </c>
    </row>
    <row r="1821">
      <c r="A1821" t="inlineStr">
        <is>
          <t>2023-2024</t>
        </is>
      </c>
      <c r="B1821" t="inlineStr">
        <is>
          <t>2023-04-20</t>
        </is>
      </c>
      <c r="C1821" t="inlineStr">
        <is>
          <t>12:53</t>
        </is>
      </c>
      <c r="D1821" t="inlineStr">
        <is>
          <t>n° 8 + n° 10 + n° 12 + n° 13</t>
        </is>
      </c>
      <c r="E1821" t="inlineStr">
        <is>
          <t>CABRICHOU</t>
        </is>
      </c>
      <c r="F1821" t="n">
        <v>16.9</v>
      </c>
      <c r="G1821" t="inlineStr">
        <is>
          <t>n° 8 : 0,50 + n° 10 : 0,50</t>
        </is>
      </c>
      <c r="H1821" t="n">
        <v>1</v>
      </c>
    </row>
    <row r="1822">
      <c r="A1822" t="inlineStr">
        <is>
          <t>2023-2024</t>
        </is>
      </c>
      <c r="B1822" t="inlineStr">
        <is>
          <t>2023-04-20</t>
        </is>
      </c>
      <c r="C1822" t="inlineStr">
        <is>
          <t>12:53</t>
        </is>
      </c>
      <c r="D1822" t="inlineStr">
        <is>
          <t>n° 8 + n° 10 + n° 12 + n° 13</t>
        </is>
      </c>
      <c r="E1822" t="inlineStr">
        <is>
          <t>Normandine</t>
        </is>
      </c>
      <c r="F1822" t="n">
        <v>8.699999999999999</v>
      </c>
      <c r="G1822" t="inlineStr">
        <is>
          <t>n° 8 : 0,50 + n° 10 : 0,50</t>
        </is>
      </c>
      <c r="H1822" t="n">
        <v>1</v>
      </c>
    </row>
    <row r="1823">
      <c r="A1823" t="inlineStr">
        <is>
          <t>2023-2024</t>
        </is>
      </c>
      <c r="B1823" t="inlineStr">
        <is>
          <t>2023-04-20</t>
        </is>
      </c>
      <c r="C1823" t="inlineStr">
        <is>
          <t>12:53</t>
        </is>
      </c>
      <c r="D1823" t="inlineStr">
        <is>
          <t>n° 8 + n° 10 + n° 12 + n° 13</t>
        </is>
      </c>
      <c r="E1823" t="inlineStr">
        <is>
          <t>Père Gregoire</t>
        </is>
      </c>
      <c r="F1823" t="n">
        <v>4.9</v>
      </c>
      <c r="G1823" t="inlineStr">
        <is>
          <t>n° 12 : 1,50 + n° 13 : 1,50</t>
        </is>
      </c>
      <c r="H1823" t="n">
        <v>3</v>
      </c>
    </row>
    <row r="1824">
      <c r="A1824" t="inlineStr">
        <is>
          <t>2023-2024</t>
        </is>
      </c>
      <c r="B1824" t="inlineStr">
        <is>
          <t>2023-04-20</t>
        </is>
      </c>
      <c r="C1824" t="inlineStr">
        <is>
          <t>12:53</t>
        </is>
      </c>
      <c r="D1824" t="inlineStr">
        <is>
          <t>n° 8 + n° 10 + n° 12 + n° 13</t>
        </is>
      </c>
      <c r="E1824" t="inlineStr">
        <is>
          <t>Macvin du Jura</t>
        </is>
      </c>
      <c r="F1824" t="n">
        <v>4.9</v>
      </c>
      <c r="G1824" t="inlineStr">
        <is>
          <t>n° 12 : 0,50 + n° 13 : 0,50</t>
        </is>
      </c>
      <c r="H1824" t="n">
        <v>1</v>
      </c>
    </row>
    <row r="1825">
      <c r="A1825" t="inlineStr">
        <is>
          <t>2023-2024</t>
        </is>
      </c>
      <c r="B1825" t="inlineStr">
        <is>
          <t>2023-04-20</t>
        </is>
      </c>
      <c r="C1825" t="inlineStr">
        <is>
          <t>12:53</t>
        </is>
      </c>
      <c r="D1825" t="inlineStr">
        <is>
          <t>n° 8 + n° 10 + n° 12 + n° 13</t>
        </is>
      </c>
      <c r="E1825" t="inlineStr">
        <is>
          <t>Crêpe nature</t>
        </is>
      </c>
      <c r="F1825" t="n">
        <v>2.9</v>
      </c>
      <c r="G1825" t="inlineStr">
        <is>
          <t>n° 8 : 0,50 + n° 10 : 0,50</t>
        </is>
      </c>
      <c r="H1825" t="n">
        <v>1</v>
      </c>
    </row>
    <row r="1826">
      <c r="A1826" t="inlineStr">
        <is>
          <t>2023-2024</t>
        </is>
      </c>
      <c r="B1826" t="inlineStr">
        <is>
          <t>2023-04-20</t>
        </is>
      </c>
      <c r="C1826" t="inlineStr">
        <is>
          <t>12:53</t>
        </is>
      </c>
      <c r="D1826" t="inlineStr">
        <is>
          <t>n° 8 + n° 10 + n° 12 + n° 13</t>
        </is>
      </c>
      <c r="E1826" t="inlineStr">
        <is>
          <t>CHANTILLY</t>
        </is>
      </c>
      <c r="F1826" t="n">
        <v>1.8</v>
      </c>
      <c r="G1826" t="inlineStr">
        <is>
          <t>n° 8 : 0,50 + n° 10 : 0,50</t>
        </is>
      </c>
      <c r="H1826" t="n">
        <v>1</v>
      </c>
    </row>
    <row r="1827">
      <c r="A1827" t="inlineStr">
        <is>
          <t>2023-2024</t>
        </is>
      </c>
      <c r="B1827" t="inlineStr">
        <is>
          <t>2023-04-20</t>
        </is>
      </c>
      <c r="C1827" t="inlineStr">
        <is>
          <t>19:46</t>
        </is>
      </c>
      <c r="D1827" t="inlineStr">
        <is>
          <t>n° 20 + n° 21</t>
        </is>
      </c>
      <c r="E1827" t="inlineStr">
        <is>
          <t>Crémeux du Jura</t>
        </is>
      </c>
      <c r="F1827" t="n">
        <v>19</v>
      </c>
      <c r="G1827" t="inlineStr">
        <is>
          <t>n° 20 : 0,50 + n° 21 : 0,50</t>
        </is>
      </c>
      <c r="H1827" t="n">
        <v>1</v>
      </c>
    </row>
    <row r="1828">
      <c r="A1828" t="inlineStr">
        <is>
          <t>2023-2024</t>
        </is>
      </c>
      <c r="B1828" t="inlineStr">
        <is>
          <t>2023-04-20</t>
        </is>
      </c>
      <c r="C1828" t="inlineStr">
        <is>
          <t>19:46</t>
        </is>
      </c>
      <c r="D1828" t="inlineStr">
        <is>
          <t>n° 20 + n° 21</t>
        </is>
      </c>
      <c r="E1828" t="inlineStr">
        <is>
          <t>CAMEMBERT ROTI</t>
        </is>
      </c>
      <c r="F1828" t="n">
        <v>18.6</v>
      </c>
      <c r="G1828" t="inlineStr">
        <is>
          <t>n° 20 : 0,50 + n° 21 : 0,50</t>
        </is>
      </c>
      <c r="H1828" t="n">
        <v>1</v>
      </c>
    </row>
    <row r="1829">
      <c r="A1829" t="inlineStr">
        <is>
          <t>2023-2024</t>
        </is>
      </c>
      <c r="B1829" t="inlineStr">
        <is>
          <t>2023-04-20</t>
        </is>
      </c>
      <c r="C1829" t="inlineStr">
        <is>
          <t>19:46</t>
        </is>
      </c>
      <c r="D1829" t="inlineStr">
        <is>
          <t>n° 20 + n° 21</t>
        </is>
      </c>
      <c r="E1829" t="inlineStr">
        <is>
          <t>Pavlova</t>
        </is>
      </c>
      <c r="F1829" t="n">
        <v>8.699999999999999</v>
      </c>
      <c r="G1829" t="inlineStr">
        <is>
          <t>n° 20 : 0,50 + n° 21 : 0,50</t>
        </is>
      </c>
      <c r="H1829" t="n">
        <v>1</v>
      </c>
    </row>
    <row r="1830">
      <c r="A1830" t="inlineStr">
        <is>
          <t>2023-2024</t>
        </is>
      </c>
      <c r="B1830" t="inlineStr">
        <is>
          <t>2023-04-20</t>
        </is>
      </c>
      <c r="C1830" t="inlineStr">
        <is>
          <t>19:46</t>
        </is>
      </c>
      <c r="D1830" t="inlineStr">
        <is>
          <t>n° 20 + n° 21</t>
        </is>
      </c>
      <c r="E1830" t="inlineStr">
        <is>
          <t>Crêpe nature</t>
        </is>
      </c>
      <c r="F1830" t="n">
        <v>2.9</v>
      </c>
      <c r="G1830" t="inlineStr">
        <is>
          <t>n° 20 : 0,50 + n° 21 : 0,50</t>
        </is>
      </c>
      <c r="H1830" t="n">
        <v>1</v>
      </c>
    </row>
    <row r="1831">
      <c r="A1831" t="inlineStr">
        <is>
          <t>2023-2024</t>
        </is>
      </c>
      <c r="B1831" t="inlineStr">
        <is>
          <t>2023-04-20</t>
        </is>
      </c>
      <c r="C1831" t="inlineStr">
        <is>
          <t>19:46</t>
        </is>
      </c>
      <c r="D1831" t="inlineStr">
        <is>
          <t>n° 20 + n° 21</t>
        </is>
      </c>
      <c r="E1831" t="inlineStr">
        <is>
          <t>Expresso</t>
        </is>
      </c>
      <c r="F1831" t="n">
        <v>2.2</v>
      </c>
      <c r="G1831" t="inlineStr">
        <is>
          <t>n° 20 : 0,50 + n° 21 : 0,50</t>
        </is>
      </c>
      <c r="H1831" t="n">
        <v>1</v>
      </c>
    </row>
    <row r="1832">
      <c r="A1832" t="inlineStr">
        <is>
          <t>2023-2024</t>
        </is>
      </c>
      <c r="B1832" t="inlineStr">
        <is>
          <t>2023-04-20</t>
        </is>
      </c>
      <c r="C1832" t="inlineStr">
        <is>
          <t>19:46</t>
        </is>
      </c>
      <c r="D1832" t="inlineStr">
        <is>
          <t>n° 20 + n° 21</t>
        </is>
      </c>
      <c r="E1832" t="inlineStr">
        <is>
          <t>CHANTILLY</t>
        </is>
      </c>
      <c r="F1832" t="n">
        <v>1.8</v>
      </c>
      <c r="G1832" t="inlineStr">
        <is>
          <t>n° 20 : 0,50 + n° 21 : 0,50</t>
        </is>
      </c>
      <c r="H1832" t="n">
        <v>1</v>
      </c>
    </row>
    <row r="1833">
      <c r="A1833" t="inlineStr">
        <is>
          <t>2023-2024</t>
        </is>
      </c>
      <c r="B1833" t="inlineStr">
        <is>
          <t>2023-04-21</t>
        </is>
      </c>
      <c r="C1833" t="inlineStr">
        <is>
          <t>20:33</t>
        </is>
      </c>
      <c r="D1833" t="inlineStr">
        <is>
          <t>n° 10 + n° 11</t>
        </is>
      </c>
      <c r="E1833" t="inlineStr">
        <is>
          <t>PiCHET TROUSSEAU</t>
        </is>
      </c>
      <c r="F1833" t="n">
        <v>24</v>
      </c>
      <c r="G1833" t="inlineStr">
        <is>
          <t>n° 10 : 0,50 + n° 11 : 0,50</t>
        </is>
      </c>
      <c r="H1833" t="n">
        <v>1</v>
      </c>
    </row>
    <row r="1834">
      <c r="A1834" t="inlineStr">
        <is>
          <t>2023-2024</t>
        </is>
      </c>
      <c r="B1834" t="inlineStr">
        <is>
          <t>2023-04-26</t>
        </is>
      </c>
      <c r="C1834" t="inlineStr">
        <is>
          <t>19:11</t>
        </is>
      </c>
      <c r="D1834" t="inlineStr">
        <is>
          <t>n° 6 + n° 7</t>
        </is>
      </c>
      <c r="E1834" t="inlineStr">
        <is>
          <t>DAHU</t>
        </is>
      </c>
      <c r="F1834" t="n">
        <v>9.699999999999999</v>
      </c>
      <c r="G1834" t="inlineStr">
        <is>
          <t>n° 6 : 0,50 + n° 7 : 0,50</t>
        </is>
      </c>
      <c r="H1834" t="n">
        <v>1</v>
      </c>
    </row>
    <row r="1835">
      <c r="A1835" t="inlineStr">
        <is>
          <t>2023-2024</t>
        </is>
      </c>
      <c r="B1835" t="inlineStr">
        <is>
          <t>2023-04-26</t>
        </is>
      </c>
      <c r="C1835" t="inlineStr">
        <is>
          <t>19:11</t>
        </is>
      </c>
      <c r="D1835" t="inlineStr">
        <is>
          <t>n° 6 + n° 7</t>
        </is>
      </c>
      <c r="E1835" t="inlineStr">
        <is>
          <t>Crêpe Pommes</t>
        </is>
      </c>
      <c r="F1835" t="n">
        <v>6.6</v>
      </c>
      <c r="G1835" t="inlineStr">
        <is>
          <t>n° 6 : 0,50 + n° 7 : 0,50</t>
        </is>
      </c>
      <c r="H1835" t="n">
        <v>1</v>
      </c>
    </row>
    <row r="1836">
      <c r="A1836" t="inlineStr">
        <is>
          <t>2023-2024</t>
        </is>
      </c>
      <c r="B1836" t="inlineStr">
        <is>
          <t>2023-04-26</t>
        </is>
      </c>
      <c r="C1836" t="inlineStr">
        <is>
          <t>19:11</t>
        </is>
      </c>
      <c r="D1836" t="inlineStr">
        <is>
          <t>n° 6 + n° 7</t>
        </is>
      </c>
      <c r="E1836" t="inlineStr">
        <is>
          <t>Flambée</t>
        </is>
      </c>
      <c r="F1836" t="n">
        <v>5</v>
      </c>
      <c r="G1836" t="inlineStr">
        <is>
          <t>n° 6 : 0,50 + n° 7 : 0,50</t>
        </is>
      </c>
      <c r="H1836" t="n">
        <v>1</v>
      </c>
    </row>
    <row r="1837">
      <c r="A1837" t="inlineStr">
        <is>
          <t>2023-2024</t>
        </is>
      </c>
      <c r="B1837" t="inlineStr">
        <is>
          <t>2023-04-26</t>
        </is>
      </c>
      <c r="C1837" t="inlineStr">
        <is>
          <t>20:19</t>
        </is>
      </c>
      <c r="D1837" t="inlineStr">
        <is>
          <t>n° 12 + n° 13</t>
        </is>
      </c>
      <c r="E1837" t="inlineStr">
        <is>
          <t>H.C.B BEAUNE BTL</t>
        </is>
      </c>
      <c r="F1837" t="n">
        <v>39.5</v>
      </c>
      <c r="G1837" t="inlineStr">
        <is>
          <t>n° 12 : 0,50 + n° 13 : 0,50</t>
        </is>
      </c>
      <c r="H1837" t="n">
        <v>1</v>
      </c>
    </row>
    <row r="1838">
      <c r="A1838" t="inlineStr">
        <is>
          <t>2023-2024</t>
        </is>
      </c>
      <c r="B1838" t="inlineStr">
        <is>
          <t>2023-04-26</t>
        </is>
      </c>
      <c r="C1838" t="inlineStr">
        <is>
          <t>20:19</t>
        </is>
      </c>
      <c r="D1838" t="inlineStr">
        <is>
          <t>n° 12 + n° 13</t>
        </is>
      </c>
      <c r="E1838" t="inlineStr">
        <is>
          <t>FRELEE</t>
        </is>
      </c>
      <c r="F1838" t="n">
        <v>19.6</v>
      </c>
      <c r="G1838" t="inlineStr">
        <is>
          <t>n° 12 : 0,50 + n° 13 : 0,50</t>
        </is>
      </c>
      <c r="H1838" t="n">
        <v>1</v>
      </c>
    </row>
    <row r="1839">
      <c r="A1839" t="inlineStr">
        <is>
          <t>2023-2024</t>
        </is>
      </c>
      <c r="B1839" t="inlineStr">
        <is>
          <t>2023-04-26</t>
        </is>
      </c>
      <c r="C1839" t="inlineStr">
        <is>
          <t>20:19</t>
        </is>
      </c>
      <c r="D1839" t="inlineStr">
        <is>
          <t>n° 12 + n° 13</t>
        </is>
      </c>
      <c r="E1839" t="inlineStr">
        <is>
          <t>BURGER COMTOIS</t>
        </is>
      </c>
      <c r="F1839" t="n">
        <v>19</v>
      </c>
      <c r="G1839" t="inlineStr">
        <is>
          <t>n° 12 : 0,50 + n° 13 : 0,50</t>
        </is>
      </c>
      <c r="H1839" t="n">
        <v>1</v>
      </c>
    </row>
    <row r="1840">
      <c r="A1840" t="inlineStr">
        <is>
          <t>2023-2024</t>
        </is>
      </c>
      <c r="B1840" t="inlineStr">
        <is>
          <t>2023-04-26</t>
        </is>
      </c>
      <c r="C1840" t="inlineStr">
        <is>
          <t>20:19</t>
        </is>
      </c>
      <c r="D1840" t="inlineStr">
        <is>
          <t>n° 12 + n° 13</t>
        </is>
      </c>
      <c r="E1840" t="inlineStr">
        <is>
          <t>Menu 'Enfant'</t>
        </is>
      </c>
      <c r="F1840" t="n">
        <v>9.9</v>
      </c>
      <c r="G1840" t="inlineStr">
        <is>
          <t>n° 12 : 0,50 + n° 13 : 0,50</t>
        </is>
      </c>
      <c r="H1840" t="n">
        <v>1</v>
      </c>
    </row>
    <row r="1841">
      <c r="A1841" t="inlineStr">
        <is>
          <t>2023-2024</t>
        </is>
      </c>
      <c r="B1841" t="inlineStr">
        <is>
          <t>2023-04-26</t>
        </is>
      </c>
      <c r="C1841" t="inlineStr">
        <is>
          <t>20:19</t>
        </is>
      </c>
      <c r="D1841" t="inlineStr">
        <is>
          <t>n° 12 + n° 13</t>
        </is>
      </c>
      <c r="E1841" t="inlineStr">
        <is>
          <t>Dessert</t>
        </is>
      </c>
      <c r="F1841" t="n">
        <v>8.9</v>
      </c>
      <c r="G1841" t="inlineStr">
        <is>
          <t>n° 12 : 0,50 + n° 13 : 0,50</t>
        </is>
      </c>
      <c r="H1841" t="n">
        <v>1</v>
      </c>
    </row>
    <row r="1842">
      <c r="A1842" t="inlineStr">
        <is>
          <t>2023-2024</t>
        </is>
      </c>
      <c r="B1842" t="inlineStr">
        <is>
          <t>2023-04-26</t>
        </is>
      </c>
      <c r="C1842" t="inlineStr">
        <is>
          <t>20:19</t>
        </is>
      </c>
      <c r="D1842" t="inlineStr">
        <is>
          <t>n° 12 + n° 13</t>
        </is>
      </c>
      <c r="E1842" t="inlineStr">
        <is>
          <t>Crêpe Salidou</t>
        </is>
      </c>
      <c r="F1842" t="n">
        <v>5.6</v>
      </c>
      <c r="G1842" t="inlineStr">
        <is>
          <t>n° 12 : 0,50 + n° 13 : 0,50</t>
        </is>
      </c>
      <c r="H1842" t="n">
        <v>1</v>
      </c>
    </row>
    <row r="1843">
      <c r="A1843" t="inlineStr">
        <is>
          <t>2023-2024</t>
        </is>
      </c>
      <c r="B1843" t="inlineStr">
        <is>
          <t>2023-04-26</t>
        </is>
      </c>
      <c r="C1843" t="inlineStr">
        <is>
          <t>20:19</t>
        </is>
      </c>
      <c r="D1843" t="inlineStr">
        <is>
          <t>n° 12 + n° 13</t>
        </is>
      </c>
      <c r="E1843" t="inlineStr">
        <is>
          <t>Perrier 33cl</t>
        </is>
      </c>
      <c r="F1843" t="n">
        <v>4</v>
      </c>
      <c r="G1843" t="inlineStr">
        <is>
          <t>n° 12 : 0,50 + n° 13 : 0,50</t>
        </is>
      </c>
      <c r="H1843" t="n">
        <v>1</v>
      </c>
    </row>
    <row r="1844">
      <c r="A1844" t="inlineStr">
        <is>
          <t>2023-2024</t>
        </is>
      </c>
      <c r="B1844" t="inlineStr">
        <is>
          <t>2023-04-26</t>
        </is>
      </c>
      <c r="C1844" t="inlineStr">
        <is>
          <t>20:19</t>
        </is>
      </c>
      <c r="D1844" t="inlineStr">
        <is>
          <t>n° 12 + n° 13</t>
        </is>
      </c>
      <c r="E1844" t="inlineStr">
        <is>
          <t>Coca (25cl)</t>
        </is>
      </c>
      <c r="F1844" t="n">
        <v>3.9</v>
      </c>
      <c r="G1844" t="inlineStr">
        <is>
          <t>n° 12 : 0,50 + n° 13 : 0,50</t>
        </is>
      </c>
      <c r="H1844" t="n">
        <v>1</v>
      </c>
    </row>
    <row r="1845">
      <c r="A1845" t="inlineStr">
        <is>
          <t>2023-2024</t>
        </is>
      </c>
      <c r="B1845" t="inlineStr">
        <is>
          <t>2023-04-26</t>
        </is>
      </c>
      <c r="C1845" t="inlineStr">
        <is>
          <t>20:19</t>
        </is>
      </c>
      <c r="D1845" t="inlineStr">
        <is>
          <t>n° 12 + n° 13</t>
        </is>
      </c>
      <c r="E1845" t="inlineStr">
        <is>
          <t>Cancoillotte</t>
        </is>
      </c>
      <c r="F1845" t="n">
        <v>3.9</v>
      </c>
      <c r="G1845" t="inlineStr">
        <is>
          <t>n° 12 : 0,50 + n° 13 : 0,50</t>
        </is>
      </c>
      <c r="H1845" t="n">
        <v>1</v>
      </c>
    </row>
    <row r="1846">
      <c r="A1846" t="inlineStr">
        <is>
          <t>2023-2024</t>
        </is>
      </c>
      <c r="B1846" t="inlineStr">
        <is>
          <t>2023-04-26</t>
        </is>
      </c>
      <c r="C1846" t="inlineStr">
        <is>
          <t>20:19</t>
        </is>
      </c>
      <c r="D1846" t="inlineStr">
        <is>
          <t>n° 12 + n° 13</t>
        </is>
      </c>
      <c r="E1846" t="inlineStr">
        <is>
          <t>Morbier</t>
        </is>
      </c>
      <c r="F1846" t="n">
        <v>3.5</v>
      </c>
      <c r="G1846" t="inlineStr">
        <is>
          <t>n° 12 : 0,50 + n° 13 : 0,50</t>
        </is>
      </c>
      <c r="H1846" t="n">
        <v>1</v>
      </c>
    </row>
    <row r="1847">
      <c r="A1847" t="inlineStr">
        <is>
          <t>2023-2024</t>
        </is>
      </c>
      <c r="B1847" t="inlineStr">
        <is>
          <t>2023-04-26</t>
        </is>
      </c>
      <c r="C1847" t="inlineStr">
        <is>
          <t>20:19</t>
        </is>
      </c>
      <c r="D1847" t="inlineStr">
        <is>
          <t>n° 12 + n° 13</t>
        </is>
      </c>
      <c r="E1847" t="inlineStr">
        <is>
          <t>Champignons frais</t>
        </is>
      </c>
      <c r="F1847" t="n">
        <v>3.2</v>
      </c>
      <c r="G1847" t="inlineStr">
        <is>
          <t>n° 12 : 0,50 + n° 13 : 0,50</t>
        </is>
      </c>
      <c r="H1847" t="n">
        <v>1</v>
      </c>
    </row>
    <row r="1848">
      <c r="A1848" t="inlineStr">
        <is>
          <t>2023-2024</t>
        </is>
      </c>
      <c r="B1848" t="inlineStr">
        <is>
          <t>2023-04-26</t>
        </is>
      </c>
      <c r="C1848" t="inlineStr">
        <is>
          <t>20:19</t>
        </is>
      </c>
      <c r="D1848" t="inlineStr">
        <is>
          <t>n° 12 + n° 13</t>
        </is>
      </c>
      <c r="E1848" t="inlineStr">
        <is>
          <t>ECLATS NOISETTES</t>
        </is>
      </c>
      <c r="F1848" t="n">
        <v>1.4</v>
      </c>
      <c r="G1848" t="inlineStr">
        <is>
          <t>n° 12 : 0,50 + n° 13 : 0,50</t>
        </is>
      </c>
      <c r="H1848" t="n">
        <v>1</v>
      </c>
    </row>
    <row r="1849">
      <c r="A1849" t="inlineStr">
        <is>
          <t>2023-2024</t>
        </is>
      </c>
      <c r="B1849" t="inlineStr">
        <is>
          <t>2023-04-26</t>
        </is>
      </c>
      <c r="C1849" t="inlineStr">
        <is>
          <t>20:19</t>
        </is>
      </c>
      <c r="D1849" t="inlineStr">
        <is>
          <t>n° 12 + n° 13</t>
        </is>
      </c>
      <c r="E1849" t="inlineStr">
        <is>
          <t>Amandes grillées</t>
        </is>
      </c>
      <c r="F1849" t="n">
        <v>1.2</v>
      </c>
      <c r="G1849" t="inlineStr">
        <is>
          <t>n° 12 : 0,50 + n° 13 : 0,50</t>
        </is>
      </c>
      <c r="H1849" t="n">
        <v>1</v>
      </c>
    </row>
    <row r="1850">
      <c r="A1850" t="inlineStr">
        <is>
          <t>2023-2024</t>
        </is>
      </c>
      <c r="B1850" t="inlineStr">
        <is>
          <t>2023-04-26</t>
        </is>
      </c>
      <c r="C1850" t="inlineStr">
        <is>
          <t>20:19</t>
        </is>
      </c>
      <c r="D1850" t="inlineStr">
        <is>
          <t>n° 12 + n° 13</t>
        </is>
      </c>
      <c r="E1850" t="inlineStr">
        <is>
          <t>Œuf</t>
        </is>
      </c>
      <c r="F1850" t="n">
        <v>0.9</v>
      </c>
      <c r="G1850" t="inlineStr">
        <is>
          <t>n° 12 : 1,50 + n° 13 : 1,50</t>
        </is>
      </c>
      <c r="H1850" t="n">
        <v>3</v>
      </c>
    </row>
    <row r="1851">
      <c r="A1851" t="inlineStr">
        <is>
          <t>2023-2024</t>
        </is>
      </c>
      <c r="B1851" t="inlineStr">
        <is>
          <t>2023-04-28</t>
        </is>
      </c>
      <c r="C1851" t="inlineStr">
        <is>
          <t>20:26</t>
        </is>
      </c>
      <c r="D1851" t="inlineStr">
        <is>
          <t>n° 9 + n° 10</t>
        </is>
      </c>
      <c r="E1851" t="inlineStr">
        <is>
          <t>Entrecôte grillée</t>
        </is>
      </c>
      <c r="F1851" t="n">
        <v>19.9</v>
      </c>
      <c r="G1851" t="inlineStr">
        <is>
          <t>n° 9 : 0,50 + n° 10 : 0,50</t>
        </is>
      </c>
      <c r="H1851" t="n">
        <v>1</v>
      </c>
    </row>
    <row r="1852">
      <c r="A1852" t="inlineStr">
        <is>
          <t>2023-2024</t>
        </is>
      </c>
      <c r="B1852" t="inlineStr">
        <is>
          <t>2023-04-28</t>
        </is>
      </c>
      <c r="C1852" t="inlineStr">
        <is>
          <t>20:26</t>
        </is>
      </c>
      <c r="D1852" t="inlineStr">
        <is>
          <t>n° 9 + n° 10</t>
        </is>
      </c>
      <c r="E1852" t="inlineStr">
        <is>
          <t>BURGER COMTOIS</t>
        </is>
      </c>
      <c r="F1852" t="n">
        <v>19</v>
      </c>
      <c r="G1852" t="inlineStr">
        <is>
          <t>n° 9 : 0,50 + n° 10 : 0,50</t>
        </is>
      </c>
      <c r="H1852" t="n">
        <v>1</v>
      </c>
    </row>
    <row r="1853">
      <c r="A1853" t="inlineStr">
        <is>
          <t>2023-2024</t>
        </is>
      </c>
      <c r="B1853" t="inlineStr">
        <is>
          <t>2023-04-28</t>
        </is>
      </c>
      <c r="C1853" t="inlineStr">
        <is>
          <t>20:26</t>
        </is>
      </c>
      <c r="D1853" t="inlineStr">
        <is>
          <t>n° 9 + n° 10</t>
        </is>
      </c>
      <c r="E1853" t="inlineStr">
        <is>
          <t>Pichet 50cl vin</t>
        </is>
      </c>
      <c r="F1853" t="n">
        <v>9.800000000000001</v>
      </c>
      <c r="G1853" t="inlineStr">
        <is>
          <t>n° 9 : 0,50 + n° 10 : 0,50</t>
        </is>
      </c>
      <c r="H1853" t="n">
        <v>1</v>
      </c>
    </row>
    <row r="1854">
      <c r="A1854" t="inlineStr">
        <is>
          <t>2023-2024</t>
        </is>
      </c>
      <c r="B1854" t="inlineStr">
        <is>
          <t>2023-04-29</t>
        </is>
      </c>
      <c r="C1854" t="inlineStr">
        <is>
          <t>20:09</t>
        </is>
      </c>
      <c r="D1854" t="inlineStr">
        <is>
          <t>n° 14 + n° 15 + n° 16 + n° 17</t>
        </is>
      </c>
      <c r="E1854" t="inlineStr">
        <is>
          <t>Entrecôte Forestiére</t>
        </is>
      </c>
      <c r="F1854" t="n">
        <v>27.8</v>
      </c>
      <c r="G1854" t="inlineStr">
        <is>
          <t>n° 16 : 0,50 + n° 17 : 0,50</t>
        </is>
      </c>
      <c r="H1854" t="n">
        <v>1</v>
      </c>
    </row>
    <row r="1855">
      <c r="A1855" t="inlineStr">
        <is>
          <t>2023-2024</t>
        </is>
      </c>
      <c r="B1855" t="inlineStr">
        <is>
          <t>2023-04-29</t>
        </is>
      </c>
      <c r="C1855" t="inlineStr">
        <is>
          <t>20:09</t>
        </is>
      </c>
      <c r="D1855" t="inlineStr">
        <is>
          <t>n° 14 + n° 15 + n° 16 + n° 17</t>
        </is>
      </c>
      <c r="E1855" t="inlineStr">
        <is>
          <t>PAYSANNE</t>
        </is>
      </c>
      <c r="F1855" t="n">
        <v>19.9</v>
      </c>
      <c r="G1855" t="inlineStr">
        <is>
          <t>n° 14 : 0,50 + n° 15 : 0,50</t>
        </is>
      </c>
      <c r="H1855" t="n">
        <v>1</v>
      </c>
    </row>
    <row r="1856">
      <c r="A1856" t="inlineStr">
        <is>
          <t>2023-2024</t>
        </is>
      </c>
      <c r="B1856" t="inlineStr">
        <is>
          <t>2023-04-29</t>
        </is>
      </c>
      <c r="C1856" t="inlineStr">
        <is>
          <t>20:09</t>
        </is>
      </c>
      <c r="D1856" t="inlineStr">
        <is>
          <t>n° 14 + n° 15 + n° 16 + n° 17</t>
        </is>
      </c>
      <c r="E1856" t="inlineStr">
        <is>
          <t>BURGER COMTOIS</t>
        </is>
      </c>
      <c r="F1856" t="n">
        <v>19</v>
      </c>
      <c r="G1856" t="inlineStr">
        <is>
          <t>n° 14 : 0,50 + n° 15 : 0,50</t>
        </is>
      </c>
      <c r="H1856" t="n">
        <v>1</v>
      </c>
    </row>
    <row r="1857">
      <c r="A1857" t="inlineStr">
        <is>
          <t>2023-2024</t>
        </is>
      </c>
      <c r="B1857" t="inlineStr">
        <is>
          <t>2023-04-29</t>
        </is>
      </c>
      <c r="C1857" t="inlineStr">
        <is>
          <t>20:09</t>
        </is>
      </c>
      <c r="D1857" t="inlineStr">
        <is>
          <t>n° 14 + n° 15 + n° 16 + n° 17</t>
        </is>
      </c>
      <c r="E1857" t="inlineStr">
        <is>
          <t>POULET JURASSIENNE</t>
        </is>
      </c>
      <c r="F1857" t="n">
        <v>18.6</v>
      </c>
      <c r="G1857" t="inlineStr">
        <is>
          <t>n° 14 : 0,50 + n° 15 : 0,50</t>
        </is>
      </c>
      <c r="H1857" t="n">
        <v>1</v>
      </c>
    </row>
    <row r="1858">
      <c r="A1858" t="inlineStr">
        <is>
          <t>2023-2024</t>
        </is>
      </c>
      <c r="B1858" t="inlineStr">
        <is>
          <t>2023-04-29</t>
        </is>
      </c>
      <c r="C1858" t="inlineStr">
        <is>
          <t>20:09</t>
        </is>
      </c>
      <c r="D1858" t="inlineStr">
        <is>
          <t>n° 14 + n° 15 + n° 16 + n° 17</t>
        </is>
      </c>
      <c r="E1858" t="inlineStr">
        <is>
          <t>MORTEAU GRILLEE</t>
        </is>
      </c>
      <c r="F1858" t="n">
        <v>18.6</v>
      </c>
      <c r="G1858" t="inlineStr">
        <is>
          <t>n° 16 : 0,50 + n° 17 : 0,50</t>
        </is>
      </c>
      <c r="H1858" t="n">
        <v>1</v>
      </c>
    </row>
    <row r="1859">
      <c r="A1859" t="inlineStr">
        <is>
          <t>2023-2024</t>
        </is>
      </c>
      <c r="B1859" t="inlineStr">
        <is>
          <t>2023-04-29</t>
        </is>
      </c>
      <c r="C1859" t="inlineStr">
        <is>
          <t>20:09</t>
        </is>
      </c>
      <c r="D1859" t="inlineStr">
        <is>
          <t>n° 14 + n° 15 + n° 16 + n° 17</t>
        </is>
      </c>
      <c r="E1859" t="inlineStr">
        <is>
          <t>DADOULET</t>
        </is>
      </c>
      <c r="F1859" t="n">
        <v>18.1</v>
      </c>
      <c r="G1859" t="inlineStr">
        <is>
          <t>n° 16 : 0,50 + n° 17 : 0,50</t>
        </is>
      </c>
      <c r="H1859" t="n">
        <v>1</v>
      </c>
    </row>
    <row r="1860">
      <c r="A1860" t="inlineStr">
        <is>
          <t>2023-2024</t>
        </is>
      </c>
      <c r="B1860" t="inlineStr">
        <is>
          <t>2023-04-29</t>
        </is>
      </c>
      <c r="C1860" t="inlineStr">
        <is>
          <t>20:09</t>
        </is>
      </c>
      <c r="D1860" t="inlineStr">
        <is>
          <t>n° 14 + n° 15 + n° 16 + n° 17</t>
        </is>
      </c>
      <c r="E1860" t="inlineStr">
        <is>
          <t>TRUITE PESTO</t>
        </is>
      </c>
      <c r="F1860" t="n">
        <v>16.9</v>
      </c>
      <c r="G1860" t="inlineStr">
        <is>
          <t>n° 16 : 0,50 + n° 17 : 0,50</t>
        </is>
      </c>
      <c r="H1860" t="n">
        <v>1</v>
      </c>
    </row>
    <row r="1861">
      <c r="A1861" t="inlineStr">
        <is>
          <t>2023-2024</t>
        </is>
      </c>
      <c r="B1861" t="inlineStr">
        <is>
          <t>2023-04-29</t>
        </is>
      </c>
      <c r="C1861" t="inlineStr">
        <is>
          <t>20:09</t>
        </is>
      </c>
      <c r="D1861" t="inlineStr">
        <is>
          <t>n° 14 + n° 15 + n° 16 + n° 17</t>
        </is>
      </c>
      <c r="E1861" t="inlineStr">
        <is>
          <t>Chèvre  chaud</t>
        </is>
      </c>
      <c r="F1861" t="n">
        <v>9.6</v>
      </c>
      <c r="G1861" t="inlineStr">
        <is>
          <t>n° 14 : 0,50 + n° 15 : 0,50</t>
        </is>
      </c>
      <c r="H1861" t="n">
        <v>1</v>
      </c>
    </row>
    <row r="1862">
      <c r="A1862" t="inlineStr">
        <is>
          <t>2023-2024</t>
        </is>
      </c>
      <c r="B1862" t="inlineStr">
        <is>
          <t>2023-04-29</t>
        </is>
      </c>
      <c r="C1862" t="inlineStr">
        <is>
          <t>20:09</t>
        </is>
      </c>
      <c r="D1862" t="inlineStr">
        <is>
          <t>n° 14 + n° 15 + n° 16 + n° 17</t>
        </is>
      </c>
      <c r="E1862" t="inlineStr">
        <is>
          <t>Saint Véran Verre</t>
        </is>
      </c>
      <c r="F1862" t="n">
        <v>7.9</v>
      </c>
      <c r="G1862" t="inlineStr">
        <is>
          <t>n° 14 : 0,50 + n° 15 : 0,50</t>
        </is>
      </c>
      <c r="H1862" t="n">
        <v>1</v>
      </c>
    </row>
    <row r="1863">
      <c r="A1863" t="inlineStr">
        <is>
          <t>2023-2024</t>
        </is>
      </c>
      <c r="B1863" t="inlineStr">
        <is>
          <t>2023-04-29</t>
        </is>
      </c>
      <c r="C1863" t="inlineStr">
        <is>
          <t>20:09</t>
        </is>
      </c>
      <c r="D1863" t="inlineStr">
        <is>
          <t>n° 14 + n° 15 + n° 16 + n° 17</t>
        </is>
      </c>
      <c r="E1863" t="inlineStr">
        <is>
          <t>Ré</t>
        </is>
      </c>
      <c r="F1863" t="n">
        <v>7</v>
      </c>
      <c r="G1863" t="inlineStr">
        <is>
          <t>n° 14 : 0,50 + n° 15 : 0,50</t>
        </is>
      </c>
      <c r="H1863" t="n">
        <v>1</v>
      </c>
    </row>
    <row r="1864">
      <c r="A1864" t="inlineStr">
        <is>
          <t>2023-2024</t>
        </is>
      </c>
      <c r="B1864" t="inlineStr">
        <is>
          <t>2023-04-29</t>
        </is>
      </c>
      <c r="C1864" t="inlineStr">
        <is>
          <t>20:09</t>
        </is>
      </c>
      <c r="D1864" t="inlineStr">
        <is>
          <t>n° 14 + n° 15 + n° 16 + n° 17</t>
        </is>
      </c>
      <c r="E1864" t="inlineStr">
        <is>
          <t>Vittel litre</t>
        </is>
      </c>
      <c r="F1864" t="n">
        <v>5.9</v>
      </c>
      <c r="G1864" t="inlineStr">
        <is>
          <t>n° 14 : 0,50 + n° 15 : 0,50</t>
        </is>
      </c>
      <c r="H1864" t="n">
        <v>1</v>
      </c>
    </row>
    <row r="1865">
      <c r="A1865" t="inlineStr">
        <is>
          <t>2023-2024</t>
        </is>
      </c>
      <c r="B1865" t="inlineStr">
        <is>
          <t>2023-04-29</t>
        </is>
      </c>
      <c r="C1865" t="inlineStr">
        <is>
          <t>20:09</t>
        </is>
      </c>
      <c r="D1865" t="inlineStr">
        <is>
          <t>n° 14 + n° 15 + n° 16 + n° 17</t>
        </is>
      </c>
      <c r="E1865" t="inlineStr">
        <is>
          <t>San Pelegrino 50cl</t>
        </is>
      </c>
      <c r="F1865" t="n">
        <v>4</v>
      </c>
      <c r="G1865" t="inlineStr">
        <is>
          <t>n° 14 : 0,50 + n° 15 : 0,50</t>
        </is>
      </c>
      <c r="H1865" t="n">
        <v>1</v>
      </c>
    </row>
    <row r="1866">
      <c r="A1866" t="inlineStr">
        <is>
          <t>2023-2024</t>
        </is>
      </c>
      <c r="B1866" t="inlineStr">
        <is>
          <t>2023-04-29</t>
        </is>
      </c>
      <c r="C1866" t="inlineStr">
        <is>
          <t>20:09</t>
        </is>
      </c>
      <c r="D1866" t="inlineStr">
        <is>
          <t>n° 14 + n° 15 + n° 16 + n° 17</t>
        </is>
      </c>
      <c r="E1866" t="inlineStr">
        <is>
          <t>GLACE 2 BOULES</t>
        </is>
      </c>
      <c r="F1866" t="n">
        <v>3.9</v>
      </c>
      <c r="G1866" t="inlineStr">
        <is>
          <t>n° 14 : 0,50 + n° 15 : 0,50</t>
        </is>
      </c>
      <c r="H1866" t="n">
        <v>1</v>
      </c>
    </row>
    <row r="1867">
      <c r="A1867" t="inlineStr">
        <is>
          <t>2023-2024</t>
        </is>
      </c>
      <c r="B1867" t="inlineStr">
        <is>
          <t>2023-04-29</t>
        </is>
      </c>
      <c r="C1867" t="inlineStr">
        <is>
          <t>20:09</t>
        </is>
      </c>
      <c r="D1867" t="inlineStr">
        <is>
          <t>n° 14 + n° 15 + n° 16 + n° 17</t>
        </is>
      </c>
      <c r="E1867" t="inlineStr">
        <is>
          <t>Coca (25cl)</t>
        </is>
      </c>
      <c r="F1867" t="n">
        <v>3.9</v>
      </c>
      <c r="G1867" t="inlineStr">
        <is>
          <t>n° 16 : 1,50 + n° 17 : 1,50</t>
        </is>
      </c>
      <c r="H1867" t="n">
        <v>3</v>
      </c>
    </row>
    <row r="1868">
      <c r="A1868" t="inlineStr">
        <is>
          <t>2023-2024</t>
        </is>
      </c>
      <c r="B1868" t="inlineStr">
        <is>
          <t>2023-04-29</t>
        </is>
      </c>
      <c r="C1868" t="inlineStr">
        <is>
          <t>20:09</t>
        </is>
      </c>
      <c r="D1868" t="inlineStr">
        <is>
          <t>n° 14 + n° 15 + n° 16 + n° 17</t>
        </is>
      </c>
      <c r="E1868" t="inlineStr">
        <is>
          <t>Jus de Fruit</t>
        </is>
      </c>
      <c r="F1868" t="n">
        <v>3.9</v>
      </c>
      <c r="G1868" t="inlineStr">
        <is>
          <t>n° 16 : 0,50 + n° 17 : 0,50</t>
        </is>
      </c>
      <c r="H1868" t="n">
        <v>1</v>
      </c>
    </row>
    <row r="1869">
      <c r="A1869" t="inlineStr">
        <is>
          <t>2023-2024</t>
        </is>
      </c>
      <c r="B1869" t="inlineStr">
        <is>
          <t>2023-04-29</t>
        </is>
      </c>
      <c r="C1869" t="inlineStr">
        <is>
          <t>20:09</t>
        </is>
      </c>
      <c r="D1869" t="inlineStr">
        <is>
          <t>n° 14 + n° 15 + n° 16 + n° 17</t>
        </is>
      </c>
      <c r="E1869" t="inlineStr">
        <is>
          <t>Expresso</t>
        </is>
      </c>
      <c r="F1869" t="n">
        <v>2.2</v>
      </c>
      <c r="G1869" t="inlineStr">
        <is>
          <t>n° 14 : 0,50 + n° 15 : 0,50 + n° 16 : 0,50 + n° 17 : 0,50</t>
        </is>
      </c>
      <c r="H1869" t="n">
        <v>2</v>
      </c>
    </row>
    <row r="1870">
      <c r="A1870" t="inlineStr">
        <is>
          <t>2023-2024</t>
        </is>
      </c>
      <c r="B1870" t="inlineStr">
        <is>
          <t>2023-04-29</t>
        </is>
      </c>
      <c r="C1870" t="inlineStr">
        <is>
          <t>20:09</t>
        </is>
      </c>
      <c r="D1870" t="inlineStr">
        <is>
          <t>n° 14 + n° 15 + n° 16 + n° 17</t>
        </is>
      </c>
      <c r="E1870" t="inlineStr">
        <is>
          <t>Chocolat Blanc</t>
        </is>
      </c>
      <c r="F1870" t="n">
        <v>1.8</v>
      </c>
      <c r="G1870" t="inlineStr">
        <is>
          <t>n° 16 : 0,50 + n° 17 : 0,50</t>
        </is>
      </c>
      <c r="H1870" t="n">
        <v>1</v>
      </c>
    </row>
    <row r="1871">
      <c r="A1871" t="inlineStr">
        <is>
          <t>2023-2024</t>
        </is>
      </c>
      <c r="B1871" t="inlineStr">
        <is>
          <t>2023-04-29</t>
        </is>
      </c>
      <c r="C1871" t="inlineStr">
        <is>
          <t>20:09</t>
        </is>
      </c>
      <c r="D1871" t="inlineStr">
        <is>
          <t>n° 14 + n° 15 + n° 16 + n° 17</t>
        </is>
      </c>
      <c r="E1871" t="inlineStr">
        <is>
          <t>Nutella</t>
        </is>
      </c>
      <c r="F1871" t="n">
        <v>1.8</v>
      </c>
      <c r="G1871" t="inlineStr">
        <is>
          <t>n° 16 : 0,50 + n° 17 : 0,50</t>
        </is>
      </c>
      <c r="H1871" t="n">
        <v>1</v>
      </c>
    </row>
    <row r="1872">
      <c r="A1872" t="inlineStr">
        <is>
          <t>2023-2024</t>
        </is>
      </c>
      <c r="B1872" t="inlineStr">
        <is>
          <t>2023-04-30</t>
        </is>
      </c>
      <c r="C1872" t="inlineStr">
        <is>
          <t>11:47</t>
        </is>
      </c>
      <c r="D1872" t="inlineStr">
        <is>
          <t>n° 4 + n° 5</t>
        </is>
      </c>
      <c r="E1872" t="inlineStr">
        <is>
          <t>POULET JURASSIENNE</t>
        </is>
      </c>
      <c r="F1872" t="n">
        <v>18.6</v>
      </c>
      <c r="G1872" t="inlineStr">
        <is>
          <t>n° 4 : 0,50 + n° 5 : 0,50</t>
        </is>
      </c>
      <c r="H1872" t="n">
        <v>1</v>
      </c>
    </row>
    <row r="1873">
      <c r="A1873" t="inlineStr">
        <is>
          <t>2023-2024</t>
        </is>
      </c>
      <c r="B1873" t="inlineStr">
        <is>
          <t>2023-04-30</t>
        </is>
      </c>
      <c r="C1873" t="inlineStr">
        <is>
          <t>11:47</t>
        </is>
      </c>
      <c r="D1873" t="inlineStr">
        <is>
          <t>n° 4 + n° 5</t>
        </is>
      </c>
      <c r="E1873" t="inlineStr">
        <is>
          <t>TRUITE JURASSIENNE</t>
        </is>
      </c>
      <c r="F1873" t="n">
        <v>18.6</v>
      </c>
      <c r="G1873" t="inlineStr">
        <is>
          <t>n° 4 : 0,50 + n° 5 : 0,50</t>
        </is>
      </c>
      <c r="H1873" t="n">
        <v>1</v>
      </c>
    </row>
    <row r="1874">
      <c r="A1874" t="inlineStr">
        <is>
          <t>2023-2024</t>
        </is>
      </c>
      <c r="B1874" t="inlineStr">
        <is>
          <t>2023-04-30</t>
        </is>
      </c>
      <c r="C1874" t="inlineStr">
        <is>
          <t>11:47</t>
        </is>
      </c>
      <c r="D1874" t="inlineStr">
        <is>
          <t>n° 4 + n° 5</t>
        </is>
      </c>
      <c r="E1874" t="inlineStr">
        <is>
          <t>Jambon sec</t>
        </is>
      </c>
      <c r="F1874" t="n">
        <v>8.9</v>
      </c>
      <c r="G1874" t="inlineStr">
        <is>
          <t>n° 4 : 0,50 + n° 5 : 0,50</t>
        </is>
      </c>
      <c r="H1874" t="n">
        <v>1</v>
      </c>
    </row>
    <row r="1875">
      <c r="A1875" t="inlineStr">
        <is>
          <t>2023-2024</t>
        </is>
      </c>
      <c r="B1875" t="inlineStr">
        <is>
          <t>2023-04-30</t>
        </is>
      </c>
      <c r="C1875" t="inlineStr">
        <is>
          <t>11:47</t>
        </is>
      </c>
      <c r="D1875" t="inlineStr">
        <is>
          <t>n° 4 + n° 5</t>
        </is>
      </c>
      <c r="E1875" t="inlineStr">
        <is>
          <t>Salade Franc-Comptoi</t>
        </is>
      </c>
      <c r="F1875" t="n">
        <v>8.9</v>
      </c>
      <c r="G1875" t="inlineStr">
        <is>
          <t>n° 4 : 0,50 + n° 5 : 0,50</t>
        </is>
      </c>
      <c r="H1875" t="n">
        <v>1</v>
      </c>
    </row>
    <row r="1876">
      <c r="A1876" t="inlineStr">
        <is>
          <t>2023-2024</t>
        </is>
      </c>
      <c r="B1876" t="inlineStr">
        <is>
          <t>2023-04-30</t>
        </is>
      </c>
      <c r="C1876" t="inlineStr">
        <is>
          <t>11:47</t>
        </is>
      </c>
      <c r="D1876" t="inlineStr">
        <is>
          <t>n° 4 + n° 5</t>
        </is>
      </c>
      <c r="E1876" t="inlineStr">
        <is>
          <t>Kir Bourgogne</t>
        </is>
      </c>
      <c r="F1876" t="n">
        <v>4.2</v>
      </c>
      <c r="G1876" t="inlineStr">
        <is>
          <t>n° 4 : 0,50 + n° 5 : 0,50</t>
        </is>
      </c>
      <c r="H1876" t="n">
        <v>1</v>
      </c>
    </row>
    <row r="1877">
      <c r="A1877" t="inlineStr">
        <is>
          <t>2023-2024</t>
        </is>
      </c>
      <c r="B1877" t="inlineStr">
        <is>
          <t>2023-04-30</t>
        </is>
      </c>
      <c r="C1877" t="inlineStr">
        <is>
          <t>11:47</t>
        </is>
      </c>
      <c r="D1877" t="inlineStr">
        <is>
          <t>n° 4 + n° 5</t>
        </is>
      </c>
      <c r="E1877" t="inlineStr">
        <is>
          <t>Verre de vin</t>
        </is>
      </c>
      <c r="F1877" t="n">
        <v>3.6</v>
      </c>
      <c r="G1877" t="inlineStr">
        <is>
          <t>n° 4 : 0,50 + n° 5 : 0,50</t>
        </is>
      </c>
      <c r="H1877" t="n">
        <v>1</v>
      </c>
    </row>
    <row r="1878">
      <c r="A1878" t="inlineStr">
        <is>
          <t>2023-2024</t>
        </is>
      </c>
      <c r="B1878" t="inlineStr">
        <is>
          <t>2023-04-30</t>
        </is>
      </c>
      <c r="C1878" t="inlineStr">
        <is>
          <t>13:21</t>
        </is>
      </c>
      <c r="D1878" t="inlineStr">
        <is>
          <t>n° 12 + n° 13</t>
        </is>
      </c>
      <c r="E1878" t="inlineStr">
        <is>
          <t>ENTRECOTE MORILLES</t>
        </is>
      </c>
      <c r="F1878" t="n">
        <v>34.8</v>
      </c>
      <c r="G1878" t="inlineStr">
        <is>
          <t>n° 12 : 0,20 + n° 13 : 0,80</t>
        </is>
      </c>
      <c r="H1878" t="n">
        <v>1</v>
      </c>
    </row>
    <row r="1879">
      <c r="A1879" t="inlineStr">
        <is>
          <t>2023-2024</t>
        </is>
      </c>
      <c r="B1879" t="inlineStr">
        <is>
          <t>2023-04-30</t>
        </is>
      </c>
      <c r="C1879" t="inlineStr">
        <is>
          <t>13:21</t>
        </is>
      </c>
      <c r="D1879" t="inlineStr">
        <is>
          <t>n° 12 + n° 13</t>
        </is>
      </c>
      <c r="E1879" t="inlineStr">
        <is>
          <t>Truite Morilles</t>
        </is>
      </c>
      <c r="F1879" t="n">
        <v>27.8</v>
      </c>
      <c r="G1879" t="inlineStr">
        <is>
          <t>n° 12 : 0,20 + n° 13 : 0,80</t>
        </is>
      </c>
      <c r="H1879" t="n">
        <v>1</v>
      </c>
    </row>
    <row r="1880">
      <c r="A1880" t="inlineStr">
        <is>
          <t>2023-2024</t>
        </is>
      </c>
      <c r="B1880" t="inlineStr">
        <is>
          <t>2023-04-30</t>
        </is>
      </c>
      <c r="C1880" t="inlineStr">
        <is>
          <t>13:21</t>
        </is>
      </c>
      <c r="D1880" t="inlineStr">
        <is>
          <t>n° 12 + n° 13</t>
        </is>
      </c>
      <c r="E1880" t="inlineStr">
        <is>
          <t>MACHON GOURMET</t>
        </is>
      </c>
      <c r="F1880" t="n">
        <v>25</v>
      </c>
      <c r="G1880" t="inlineStr">
        <is>
          <t>n° 12 : 0,60 + n° 13 : 2,40</t>
        </is>
      </c>
      <c r="H1880" t="n">
        <v>3</v>
      </c>
    </row>
    <row r="1881">
      <c r="A1881" t="inlineStr">
        <is>
          <t>2023-2024</t>
        </is>
      </c>
      <c r="B1881" t="inlineStr">
        <is>
          <t>2023-04-30</t>
        </is>
      </c>
      <c r="C1881" t="inlineStr">
        <is>
          <t>13:21</t>
        </is>
      </c>
      <c r="D1881" t="inlineStr">
        <is>
          <t>n° 12 + n° 13</t>
        </is>
      </c>
      <c r="E1881" t="inlineStr">
        <is>
          <t>Dessert</t>
        </is>
      </c>
      <c r="F1881" t="n">
        <v>8.9</v>
      </c>
      <c r="G1881" t="inlineStr">
        <is>
          <t>n° 12 : 0,40 + n° 13 : 1,60</t>
        </is>
      </c>
      <c r="H1881" t="n">
        <v>2</v>
      </c>
    </row>
    <row r="1882">
      <c r="A1882" t="inlineStr">
        <is>
          <t>2023-2024</t>
        </is>
      </c>
      <c r="B1882" t="inlineStr">
        <is>
          <t>2023-04-30</t>
        </is>
      </c>
      <c r="C1882" t="inlineStr">
        <is>
          <t>13:21</t>
        </is>
      </c>
      <c r="D1882" t="inlineStr">
        <is>
          <t>n° 12 + n° 13</t>
        </is>
      </c>
      <c r="E1882" t="inlineStr">
        <is>
          <t>Pavlova</t>
        </is>
      </c>
      <c r="F1882" t="n">
        <v>8.699999999999999</v>
      </c>
      <c r="G1882" t="inlineStr">
        <is>
          <t>n° 12 : 0,60 + n° 13 : 2,40</t>
        </is>
      </c>
      <c r="H1882" t="n">
        <v>3</v>
      </c>
    </row>
    <row r="1883">
      <c r="A1883" t="inlineStr">
        <is>
          <t>2023-2024</t>
        </is>
      </c>
      <c r="B1883" t="inlineStr">
        <is>
          <t>2023-04-30</t>
        </is>
      </c>
      <c r="C1883" t="inlineStr">
        <is>
          <t>13:21</t>
        </is>
      </c>
      <c r="D1883" t="inlineStr">
        <is>
          <t>n° 12 + n° 13</t>
        </is>
      </c>
      <c r="E1883" t="inlineStr">
        <is>
          <t>Chablis Le Verre</t>
        </is>
      </c>
      <c r="F1883" t="n">
        <v>7.9</v>
      </c>
      <c r="G1883" t="inlineStr">
        <is>
          <t>n° 12 : 0,40 + n° 13 : 1,60</t>
        </is>
      </c>
      <c r="H1883" t="n">
        <v>2</v>
      </c>
    </row>
    <row r="1884">
      <c r="A1884" t="inlineStr">
        <is>
          <t>2023-2024</t>
        </is>
      </c>
      <c r="B1884" t="inlineStr">
        <is>
          <t>2023-04-30</t>
        </is>
      </c>
      <c r="C1884" t="inlineStr">
        <is>
          <t>13:21</t>
        </is>
      </c>
      <c r="D1884" t="inlineStr">
        <is>
          <t>n° 12 + n° 13</t>
        </is>
      </c>
      <c r="E1884" t="inlineStr">
        <is>
          <t>Jamhon Persillé</t>
        </is>
      </c>
      <c r="F1884" t="n">
        <v>7.2</v>
      </c>
      <c r="G1884" t="inlineStr">
        <is>
          <t>n° 12 : 0,40 + n° 13 : 1,60</t>
        </is>
      </c>
      <c r="H1884" t="n">
        <v>2</v>
      </c>
    </row>
    <row r="1885">
      <c r="A1885" t="inlineStr">
        <is>
          <t>2023-2024</t>
        </is>
      </c>
      <c r="B1885" t="inlineStr">
        <is>
          <t>2023-04-30</t>
        </is>
      </c>
      <c r="C1885" t="inlineStr">
        <is>
          <t>13:21</t>
        </is>
      </c>
      <c r="D1885" t="inlineStr">
        <is>
          <t>n° 12 + n° 13</t>
        </is>
      </c>
      <c r="E1885" t="inlineStr">
        <is>
          <t>C du  Rhone St Josep</t>
        </is>
      </c>
      <c r="F1885" t="n">
        <v>7.2</v>
      </c>
      <c r="G1885" t="inlineStr">
        <is>
          <t>n° 12 : 0,40 + n° 13 : 1,60</t>
        </is>
      </c>
      <c r="H1885" t="n">
        <v>2</v>
      </c>
    </row>
    <row r="1886">
      <c r="A1886" t="inlineStr">
        <is>
          <t>2023-2024</t>
        </is>
      </c>
      <c r="B1886" t="inlineStr">
        <is>
          <t>2023-04-30</t>
        </is>
      </c>
      <c r="C1886" t="inlineStr">
        <is>
          <t>13:21</t>
        </is>
      </c>
      <c r="D1886" t="inlineStr">
        <is>
          <t>n° 12 + n° 13</t>
        </is>
      </c>
      <c r="E1886" t="inlineStr">
        <is>
          <t>Chat perché</t>
        </is>
      </c>
      <c r="F1886" t="n">
        <v>5.2</v>
      </c>
      <c r="G1886" t="inlineStr">
        <is>
          <t>n° 12 : 0,20 + n° 13 : 0,80</t>
        </is>
      </c>
      <c r="H1886" t="n">
        <v>1</v>
      </c>
    </row>
    <row r="1887">
      <c r="A1887" t="inlineStr">
        <is>
          <t>2023-2024</t>
        </is>
      </c>
      <c r="B1887" t="inlineStr">
        <is>
          <t>2023-04-30</t>
        </is>
      </c>
      <c r="C1887" t="inlineStr">
        <is>
          <t>13:21</t>
        </is>
      </c>
      <c r="D1887" t="inlineStr">
        <is>
          <t>n° 12 + n° 13</t>
        </is>
      </c>
      <c r="E1887" t="inlineStr">
        <is>
          <t>Père Gregoire</t>
        </is>
      </c>
      <c r="F1887" t="n">
        <v>4.9</v>
      </c>
      <c r="G1887" t="inlineStr">
        <is>
          <t>n° 12 : 0,60 + n° 13 : 2,40</t>
        </is>
      </c>
      <c r="H1887" t="n">
        <v>3</v>
      </c>
    </row>
    <row r="1888">
      <c r="A1888" t="inlineStr">
        <is>
          <t>2023-2024</t>
        </is>
      </c>
      <c r="B1888" t="inlineStr">
        <is>
          <t>2023-04-30</t>
        </is>
      </c>
      <c r="C1888" t="inlineStr">
        <is>
          <t>13:21</t>
        </is>
      </c>
      <c r="D1888" t="inlineStr">
        <is>
          <t>n° 12 + n° 13</t>
        </is>
      </c>
      <c r="E1888" t="inlineStr">
        <is>
          <t>Crémant</t>
        </is>
      </c>
      <c r="F1888" t="n">
        <v>3.9</v>
      </c>
      <c r="G1888" t="inlineStr">
        <is>
          <t>n° 12 : 0,20 + n° 13 : 0,80</t>
        </is>
      </c>
      <c r="H1888" t="n">
        <v>1</v>
      </c>
    </row>
    <row r="1889">
      <c r="A1889" t="inlineStr">
        <is>
          <t>2023-2024</t>
        </is>
      </c>
      <c r="B1889" t="inlineStr">
        <is>
          <t>2023-04-30</t>
        </is>
      </c>
      <c r="C1889" t="inlineStr">
        <is>
          <t>13:21</t>
        </is>
      </c>
      <c r="D1889" t="inlineStr">
        <is>
          <t>n° 12 + n° 13</t>
        </is>
      </c>
      <c r="E1889" t="inlineStr">
        <is>
          <t>Expresso</t>
        </is>
      </c>
      <c r="F1889" t="n">
        <v>0</v>
      </c>
      <c r="G1889" t="inlineStr">
        <is>
          <t>n° 12 : 0,80 + n° 13 : 3,20</t>
        </is>
      </c>
      <c r="H1889" t="n">
        <v>4</v>
      </c>
    </row>
    <row r="1890">
      <c r="A1890" t="inlineStr">
        <is>
          <t>2023-2024</t>
        </is>
      </c>
      <c r="B1890" t="inlineStr">
        <is>
          <t>2023-04-30</t>
        </is>
      </c>
      <c r="C1890" t="inlineStr">
        <is>
          <t>19:43</t>
        </is>
      </c>
      <c r="D1890" t="inlineStr">
        <is>
          <t>n° 16 + n° 17 + n° 19 + n° 23 + n° 24 + n° 25</t>
        </is>
      </c>
      <c r="E1890" t="inlineStr">
        <is>
          <t>pichet Saint Joseph</t>
        </is>
      </c>
      <c r="F1890" t="n">
        <v>28</v>
      </c>
      <c r="G1890" t="inlineStr">
        <is>
          <t>n° 23 : 0,33 + n° 24 : 0,34 + n° 25 : 0,33</t>
        </is>
      </c>
      <c r="H1890" t="n">
        <v>1</v>
      </c>
    </row>
    <row r="1891">
      <c r="A1891" t="inlineStr">
        <is>
          <t>2023-2024</t>
        </is>
      </c>
      <c r="B1891" t="inlineStr">
        <is>
          <t>2023-04-30</t>
        </is>
      </c>
      <c r="C1891" t="inlineStr">
        <is>
          <t>19:43</t>
        </is>
      </c>
      <c r="D1891" t="inlineStr">
        <is>
          <t>n° 16 + n° 17 + n° 19 + n° 23 + n° 24 + n° 25</t>
        </is>
      </c>
      <c r="E1891" t="inlineStr">
        <is>
          <t>Truite Morilles</t>
        </is>
      </c>
      <c r="F1891" t="n">
        <v>27.8</v>
      </c>
      <c r="G1891" t="inlineStr">
        <is>
          <t>n° 19 : 0,50</t>
        </is>
      </c>
      <c r="H1891" t="n">
        <v>0.5</v>
      </c>
    </row>
    <row r="1892">
      <c r="A1892" t="inlineStr">
        <is>
          <t>2023-2024</t>
        </is>
      </c>
      <c r="B1892" t="inlineStr">
        <is>
          <t>2023-04-30</t>
        </is>
      </c>
      <c r="C1892" t="inlineStr">
        <is>
          <t>19:43</t>
        </is>
      </c>
      <c r="D1892" t="inlineStr">
        <is>
          <t>n° 16 + n° 17 + n° 19 + n° 23 + n° 24 + n° 25</t>
        </is>
      </c>
      <c r="E1892" t="inlineStr">
        <is>
          <t>CANCOINE</t>
        </is>
      </c>
      <c r="F1892" t="n">
        <v>25.5</v>
      </c>
      <c r="G1892" t="inlineStr">
        <is>
          <t>n° 23 : 0,33 + n° 24 : 0,34 + n° 25 : 0,33</t>
        </is>
      </c>
      <c r="H1892" t="n">
        <v>1</v>
      </c>
    </row>
    <row r="1893">
      <c r="A1893" t="inlineStr">
        <is>
          <t>2023-2024</t>
        </is>
      </c>
      <c r="B1893" t="inlineStr">
        <is>
          <t>2023-04-30</t>
        </is>
      </c>
      <c r="C1893" t="inlineStr">
        <is>
          <t>19:43</t>
        </is>
      </c>
      <c r="D1893" t="inlineStr">
        <is>
          <t>n° 16 + n° 17 + n° 19 + n° 23 + n° 24 + n° 25</t>
        </is>
      </c>
      <c r="E1893" t="inlineStr">
        <is>
          <t>FRELEE</t>
        </is>
      </c>
      <c r="F1893" t="n">
        <v>19.6</v>
      </c>
      <c r="G1893" t="inlineStr">
        <is>
          <t>n° 23 : 0,33 + n° 24 : 0,34 + n° 25 : 0,33</t>
        </is>
      </c>
      <c r="H1893" t="n">
        <v>1</v>
      </c>
    </row>
    <row r="1894">
      <c r="A1894" t="inlineStr">
        <is>
          <t>2023-2024</t>
        </is>
      </c>
      <c r="B1894" t="inlineStr">
        <is>
          <t>2023-04-30</t>
        </is>
      </c>
      <c r="C1894" t="inlineStr">
        <is>
          <t>19:43</t>
        </is>
      </c>
      <c r="D1894" t="inlineStr">
        <is>
          <t>n° 16 + n° 17 + n° 19 + n° 23 + n° 24 + n° 25</t>
        </is>
      </c>
      <c r="E1894" t="inlineStr">
        <is>
          <t>BURGER COMTOIS</t>
        </is>
      </c>
      <c r="F1894" t="n">
        <v>19</v>
      </c>
      <c r="G1894" t="inlineStr">
        <is>
          <t>n° 16 : 0,50 + n° 17 : 0,50 + n° 19 : 0,50</t>
        </is>
      </c>
      <c r="H1894" t="n">
        <v>1.5</v>
      </c>
    </row>
    <row r="1895">
      <c r="A1895" t="inlineStr">
        <is>
          <t>2023-2024</t>
        </is>
      </c>
      <c r="B1895" t="inlineStr">
        <is>
          <t>2023-04-30</t>
        </is>
      </c>
      <c r="C1895" t="inlineStr">
        <is>
          <t>19:43</t>
        </is>
      </c>
      <c r="D1895" t="inlineStr">
        <is>
          <t>n° 16 + n° 17 + n° 19 + n° 23 + n° 24 + n° 25</t>
        </is>
      </c>
      <c r="E1895" t="inlineStr">
        <is>
          <t>ASSIETTE FRANC-COMTO</t>
        </is>
      </c>
      <c r="F1895" t="n">
        <v>18.6</v>
      </c>
      <c r="G1895" t="inlineStr">
        <is>
          <t>n° 16 : 0,50 + n° 17 : 0,50</t>
        </is>
      </c>
      <c r="H1895" t="n">
        <v>1</v>
      </c>
    </row>
    <row r="1896">
      <c r="A1896" t="inlineStr">
        <is>
          <t>2023-2024</t>
        </is>
      </c>
      <c r="B1896" t="inlineStr">
        <is>
          <t>2023-04-30</t>
        </is>
      </c>
      <c r="C1896" t="inlineStr">
        <is>
          <t>19:43</t>
        </is>
      </c>
      <c r="D1896" t="inlineStr">
        <is>
          <t>n° 16 + n° 17 + n° 19 + n° 23 + n° 24 + n° 25</t>
        </is>
      </c>
      <c r="E1896" t="inlineStr">
        <is>
          <t>ASSIETTE PERE GREGOI</t>
        </is>
      </c>
      <c r="F1896" t="n">
        <v>18.6</v>
      </c>
      <c r="G1896" t="inlineStr">
        <is>
          <t>n° 23 : 0,33 + n° 24 : 0,34 + n° 25 : 0,33</t>
        </is>
      </c>
      <c r="H1896" t="n">
        <v>1</v>
      </c>
    </row>
    <row r="1897">
      <c r="A1897" t="inlineStr">
        <is>
          <t>2023-2024</t>
        </is>
      </c>
      <c r="B1897" t="inlineStr">
        <is>
          <t>2023-04-30</t>
        </is>
      </c>
      <c r="C1897" t="inlineStr">
        <is>
          <t>19:43</t>
        </is>
      </c>
      <c r="D1897" t="inlineStr">
        <is>
          <t>n° 16 + n° 17 + n° 19 + n° 23 + n° 24 + n° 25</t>
        </is>
      </c>
      <c r="E1897" t="inlineStr">
        <is>
          <t>TRUITE JURASSIENNE</t>
        </is>
      </c>
      <c r="F1897" t="n">
        <v>18.6</v>
      </c>
      <c r="G1897" t="inlineStr">
        <is>
          <t>n° 23 : 0,33 + n° 24 : 0,34 + n° 25 : 0,33</t>
        </is>
      </c>
      <c r="H1897" t="n">
        <v>1</v>
      </c>
    </row>
    <row r="1898">
      <c r="A1898" t="inlineStr">
        <is>
          <t>2023-2024</t>
        </is>
      </c>
      <c r="B1898" t="inlineStr">
        <is>
          <t>2023-04-30</t>
        </is>
      </c>
      <c r="C1898" t="inlineStr">
        <is>
          <t>19:43</t>
        </is>
      </c>
      <c r="D1898" t="inlineStr">
        <is>
          <t>n° 16 + n° 17 + n° 19 + n° 23 + n° 24 + n° 25</t>
        </is>
      </c>
      <c r="E1898" t="inlineStr">
        <is>
          <t>DADOULET</t>
        </is>
      </c>
      <c r="F1898" t="n">
        <v>18.1</v>
      </c>
      <c r="G1898" t="inlineStr">
        <is>
          <t>n° 23 : 0,33 + n° 24 : 0,34 + n° 25 : 0,33</t>
        </is>
      </c>
      <c r="H1898" t="n">
        <v>1</v>
      </c>
    </row>
    <row r="1899">
      <c r="A1899" t="inlineStr">
        <is>
          <t>2023-2024</t>
        </is>
      </c>
      <c r="B1899" t="inlineStr">
        <is>
          <t>2023-04-30</t>
        </is>
      </c>
      <c r="C1899" t="inlineStr">
        <is>
          <t>19:43</t>
        </is>
      </c>
      <c r="D1899" t="inlineStr">
        <is>
          <t>n° 16 + n° 17 + n° 19 + n° 23 + n° 24 + n° 25</t>
        </is>
      </c>
      <c r="E1899" t="inlineStr">
        <is>
          <t>BARBEULENET</t>
        </is>
      </c>
      <c r="F1899" t="n">
        <v>17.4</v>
      </c>
      <c r="G1899" t="inlineStr">
        <is>
          <t>n° 23 : 0,33 + n° 24 : 0,34 + n° 25 : 0,33</t>
        </is>
      </c>
      <c r="H1899" t="n">
        <v>1</v>
      </c>
    </row>
    <row r="1900">
      <c r="A1900" t="inlineStr">
        <is>
          <t>2023-2024</t>
        </is>
      </c>
      <c r="B1900" t="inlineStr">
        <is>
          <t>2023-04-30</t>
        </is>
      </c>
      <c r="C1900" t="inlineStr">
        <is>
          <t>19:43</t>
        </is>
      </c>
      <c r="D1900" t="inlineStr">
        <is>
          <t>n° 16 + n° 17 + n° 19 + n° 23 + n° 24 + n° 25</t>
        </is>
      </c>
      <c r="E1900" t="inlineStr">
        <is>
          <t>Cidre Bouché Doux</t>
        </is>
      </c>
      <c r="F1900" t="n">
        <v>14</v>
      </c>
      <c r="G1900" t="inlineStr">
        <is>
          <t>n° 23 : 0,33 + n° 24 : 0,34 + n° 25 : 0,33</t>
        </is>
      </c>
      <c r="H1900" t="n">
        <v>1</v>
      </c>
    </row>
    <row r="1901">
      <c r="A1901" t="inlineStr">
        <is>
          <t>2023-2024</t>
        </is>
      </c>
      <c r="B1901" t="inlineStr">
        <is>
          <t>2023-04-30</t>
        </is>
      </c>
      <c r="C1901" t="inlineStr">
        <is>
          <t>19:43</t>
        </is>
      </c>
      <c r="D1901" t="inlineStr">
        <is>
          <t>n° 16 + n° 17 + n° 19 + n° 23 + n° 24 + n° 25</t>
        </is>
      </c>
      <c r="E1901" t="inlineStr">
        <is>
          <t>Pichet 75cl vin</t>
        </is>
      </c>
      <c r="F1901" t="n">
        <v>13.4</v>
      </c>
      <c r="G1901" t="inlineStr">
        <is>
          <t>n° 16 : 0,50 + n° 17 : 0,50</t>
        </is>
      </c>
      <c r="H1901" t="n">
        <v>1</v>
      </c>
    </row>
    <row r="1902">
      <c r="A1902" t="inlineStr">
        <is>
          <t>2023-2024</t>
        </is>
      </c>
      <c r="B1902" t="inlineStr">
        <is>
          <t>2023-04-30</t>
        </is>
      </c>
      <c r="C1902" t="inlineStr">
        <is>
          <t>19:43</t>
        </is>
      </c>
      <c r="D1902" t="inlineStr">
        <is>
          <t>n° 16 + n° 17 + n° 19 + n° 23 + n° 24 + n° 25</t>
        </is>
      </c>
      <c r="E1902" t="inlineStr">
        <is>
          <t>Pichet 50cl vin</t>
        </is>
      </c>
      <c r="F1902" t="n">
        <v>9.800000000000001</v>
      </c>
      <c r="G1902" t="inlineStr">
        <is>
          <t>n° 19 : 0,50</t>
        </is>
      </c>
      <c r="H1902" t="n">
        <v>0.5</v>
      </c>
    </row>
    <row r="1903">
      <c r="A1903" t="inlineStr">
        <is>
          <t>2023-2024</t>
        </is>
      </c>
      <c r="B1903" t="inlineStr">
        <is>
          <t>2023-04-30</t>
        </is>
      </c>
      <c r="C1903" t="inlineStr">
        <is>
          <t>19:43</t>
        </is>
      </c>
      <c r="D1903" t="inlineStr">
        <is>
          <t>n° 16 + n° 17 + n° 19 + n° 23 + n° 24 + n° 25</t>
        </is>
      </c>
      <c r="E1903" t="inlineStr">
        <is>
          <t>Salade Franc-Comptoi</t>
        </is>
      </c>
      <c r="F1903" t="n">
        <v>8.9</v>
      </c>
      <c r="G1903" t="inlineStr">
        <is>
          <t>n° 19 : 0,50</t>
        </is>
      </c>
      <c r="H1903" t="n">
        <v>0.5</v>
      </c>
    </row>
    <row r="1904">
      <c r="A1904" t="inlineStr">
        <is>
          <t>2023-2024</t>
        </is>
      </c>
      <c r="B1904" t="inlineStr">
        <is>
          <t>2023-04-30</t>
        </is>
      </c>
      <c r="C1904" t="inlineStr">
        <is>
          <t>19:43</t>
        </is>
      </c>
      <c r="D1904" t="inlineStr">
        <is>
          <t>n° 16 + n° 17 + n° 19 + n° 23 + n° 24 + n° 25</t>
        </is>
      </c>
      <c r="E1904" t="inlineStr">
        <is>
          <t>Jamhon Persillé</t>
        </is>
      </c>
      <c r="F1904" t="n">
        <v>7.2</v>
      </c>
      <c r="G1904" t="inlineStr">
        <is>
          <t>n° 19 : 0,50</t>
        </is>
      </c>
      <c r="H1904" t="n">
        <v>0.5</v>
      </c>
    </row>
    <row r="1905">
      <c r="A1905" t="inlineStr">
        <is>
          <t>2023-2024</t>
        </is>
      </c>
      <c r="B1905" t="inlineStr">
        <is>
          <t>2023-04-30</t>
        </is>
      </c>
      <c r="C1905" t="inlineStr">
        <is>
          <t>19:43</t>
        </is>
      </c>
      <c r="D1905" t="inlineStr">
        <is>
          <t>n° 16 + n° 17 + n° 19 + n° 23 + n° 24 + n° 25</t>
        </is>
      </c>
      <c r="E1905" t="inlineStr">
        <is>
          <t>Mambo</t>
        </is>
      </c>
      <c r="F1905" t="n">
        <v>6.5</v>
      </c>
      <c r="G1905" t="inlineStr">
        <is>
          <t>n° 16 : 0,50 + n° 17 : 0,50 + n° 23 : 0,33 + n° 24 : 0,34 + n° 25 : 0,33</t>
        </is>
      </c>
      <c r="H1905" t="n">
        <v>2</v>
      </c>
    </row>
    <row r="1906">
      <c r="A1906" t="inlineStr">
        <is>
          <t>2023-2024</t>
        </is>
      </c>
      <c r="B1906" t="inlineStr">
        <is>
          <t>2023-04-30</t>
        </is>
      </c>
      <c r="C1906" t="inlineStr">
        <is>
          <t>19:43</t>
        </is>
      </c>
      <c r="D1906" t="inlineStr">
        <is>
          <t>n° 16 + n° 17 + n° 19 + n° 23 + n° 24 + n° 25</t>
        </is>
      </c>
      <c r="E1906" t="inlineStr">
        <is>
          <t>Vittel litre</t>
        </is>
      </c>
      <c r="F1906" t="n">
        <v>5.9</v>
      </c>
      <c r="G1906" t="inlineStr">
        <is>
          <t>n° 23 : 0,33 + n° 24 : 0,34 + n° 25 : 0,33</t>
        </is>
      </c>
      <c r="H1906" t="n">
        <v>1</v>
      </c>
    </row>
    <row r="1907">
      <c r="A1907" t="inlineStr">
        <is>
          <t>2023-2024</t>
        </is>
      </c>
      <c r="B1907" t="inlineStr">
        <is>
          <t>2023-04-30</t>
        </is>
      </c>
      <c r="C1907" t="inlineStr">
        <is>
          <t>19:43</t>
        </is>
      </c>
      <c r="D1907" t="inlineStr">
        <is>
          <t>n° 16 + n° 17 + n° 19 + n° 23 + n° 24 + n° 25</t>
        </is>
      </c>
      <c r="E1907" t="inlineStr">
        <is>
          <t>La Vouivre</t>
        </is>
      </c>
      <c r="F1907" t="n">
        <v>5.2</v>
      </c>
      <c r="G1907" t="inlineStr">
        <is>
          <t>n° 16 : 0,50 + n° 17 : 0,50</t>
        </is>
      </c>
      <c r="H1907" t="n">
        <v>1</v>
      </c>
    </row>
    <row r="1908">
      <c r="A1908" t="inlineStr">
        <is>
          <t>2023-2024</t>
        </is>
      </c>
      <c r="B1908" t="inlineStr">
        <is>
          <t>2023-04-30</t>
        </is>
      </c>
      <c r="C1908" t="inlineStr">
        <is>
          <t>19:43</t>
        </is>
      </c>
      <c r="D1908" t="inlineStr">
        <is>
          <t>n° 16 + n° 17 + n° 19 + n° 23 + n° 24 + n° 25</t>
        </is>
      </c>
      <c r="E1908" t="inlineStr">
        <is>
          <t>KITTYKIR</t>
        </is>
      </c>
      <c r="F1908" t="n">
        <v>5.2</v>
      </c>
      <c r="G1908" t="inlineStr">
        <is>
          <t>n° 23 : 0,67 + n° 24 : 0,67 + n° 25 : 0,66</t>
        </is>
      </c>
      <c r="H1908" t="n">
        <v>2</v>
      </c>
    </row>
    <row r="1909">
      <c r="A1909" t="inlineStr">
        <is>
          <t>2023-2024</t>
        </is>
      </c>
      <c r="B1909" t="inlineStr">
        <is>
          <t>2023-04-30</t>
        </is>
      </c>
      <c r="C1909" t="inlineStr">
        <is>
          <t>19:43</t>
        </is>
      </c>
      <c r="D1909" t="inlineStr">
        <is>
          <t>n° 16 + n° 17 + n° 19 + n° 23 + n° 24 + n° 25</t>
        </is>
      </c>
      <c r="E1909" t="inlineStr">
        <is>
          <t>Macvin du Jura</t>
        </is>
      </c>
      <c r="F1909" t="n">
        <v>4.9</v>
      </c>
      <c r="G1909" t="inlineStr">
        <is>
          <t>n° 16 : 0,50 + n° 17 : 0,50</t>
        </is>
      </c>
      <c r="H1909" t="n">
        <v>1</v>
      </c>
    </row>
    <row r="1910">
      <c r="A1910" t="inlineStr">
        <is>
          <t>2023-2024</t>
        </is>
      </c>
      <c r="B1910" t="inlineStr">
        <is>
          <t>2023-04-30</t>
        </is>
      </c>
      <c r="C1910" t="inlineStr">
        <is>
          <t>19:43</t>
        </is>
      </c>
      <c r="D1910" t="inlineStr">
        <is>
          <t>n° 16 + n° 17 + n° 19 + n° 23 + n° 24 + n° 25</t>
        </is>
      </c>
      <c r="E1910" t="inlineStr">
        <is>
          <t>Picon bière</t>
        </is>
      </c>
      <c r="F1910" t="n">
        <v>4.5</v>
      </c>
      <c r="G1910" t="inlineStr">
        <is>
          <t>n° 23 : 0,33 + n° 24 : 0,34 + n° 25 : 0,33</t>
        </is>
      </c>
      <c r="H1910" t="n">
        <v>1</v>
      </c>
    </row>
    <row r="1911">
      <c r="A1911" t="inlineStr">
        <is>
          <t>2023-2024</t>
        </is>
      </c>
      <c r="B1911" t="inlineStr">
        <is>
          <t>2023-04-30</t>
        </is>
      </c>
      <c r="C1911" t="inlineStr">
        <is>
          <t>19:43</t>
        </is>
      </c>
      <c r="D1911" t="inlineStr">
        <is>
          <t>n° 16 + n° 17 + n° 19 + n° 23 + n° 24 + n° 25</t>
        </is>
      </c>
      <c r="E1911" t="inlineStr">
        <is>
          <t>Martini Blanc</t>
        </is>
      </c>
      <c r="F1911" t="n">
        <v>4.2</v>
      </c>
      <c r="G1911" t="inlineStr">
        <is>
          <t>n° 23 : 0,33 + n° 24 : 0,34 + n° 25 : 0,33</t>
        </is>
      </c>
      <c r="H1911" t="n">
        <v>1</v>
      </c>
    </row>
    <row r="1912">
      <c r="A1912" t="inlineStr">
        <is>
          <t>2023-2024</t>
        </is>
      </c>
      <c r="B1912" t="inlineStr">
        <is>
          <t>2023-04-30</t>
        </is>
      </c>
      <c r="C1912" t="inlineStr">
        <is>
          <t>19:43</t>
        </is>
      </c>
      <c r="D1912" t="inlineStr">
        <is>
          <t>n° 16 + n° 17 + n° 19 + n° 23 + n° 24 + n° 25</t>
        </is>
      </c>
      <c r="E1912" t="inlineStr">
        <is>
          <t>cidre la Mordue</t>
        </is>
      </c>
      <c r="F1912" t="n">
        <v>4</v>
      </c>
      <c r="G1912" t="inlineStr">
        <is>
          <t>n° 23 : 0,33 + n° 24 : 0,34 + n° 25 : 0,33</t>
        </is>
      </c>
      <c r="H1912" t="n">
        <v>1</v>
      </c>
    </row>
    <row r="1913">
      <c r="A1913" t="inlineStr">
        <is>
          <t>2023-2024</t>
        </is>
      </c>
      <c r="B1913" t="inlineStr">
        <is>
          <t>2023-04-30</t>
        </is>
      </c>
      <c r="C1913" t="inlineStr">
        <is>
          <t>19:43</t>
        </is>
      </c>
      <c r="D1913" t="inlineStr">
        <is>
          <t>n° 16 + n° 17 + n° 19 + n° 23 + n° 24 + n° 25</t>
        </is>
      </c>
      <c r="E1913" t="inlineStr">
        <is>
          <t>Jus de Fruit</t>
        </is>
      </c>
      <c r="F1913" t="n">
        <v>3.9</v>
      </c>
      <c r="G1913" t="inlineStr">
        <is>
          <t>n° 16 : 0,50 + n° 17 : 0,50</t>
        </is>
      </c>
      <c r="H1913" t="n">
        <v>1</v>
      </c>
    </row>
    <row r="1914">
      <c r="A1914" t="inlineStr">
        <is>
          <t>2023-2024</t>
        </is>
      </c>
      <c r="B1914" t="inlineStr">
        <is>
          <t>2023-04-30</t>
        </is>
      </c>
      <c r="C1914" t="inlineStr">
        <is>
          <t>19:43</t>
        </is>
      </c>
      <c r="D1914" t="inlineStr">
        <is>
          <t>n° 16 + n° 17 + n° 19 + n° 23 + n° 24 + n° 25</t>
        </is>
      </c>
      <c r="E1914" t="inlineStr">
        <is>
          <t>Pommes grenailles</t>
        </is>
      </c>
      <c r="F1914" t="n">
        <v>3.9</v>
      </c>
      <c r="G1914" t="inlineStr">
        <is>
          <t>n° 16 : 0,50 + n° 17 : 0,50</t>
        </is>
      </c>
      <c r="H1914" t="n">
        <v>1</v>
      </c>
    </row>
    <row r="1915">
      <c r="A1915" t="inlineStr">
        <is>
          <t>2023-2024</t>
        </is>
      </c>
      <c r="B1915" t="inlineStr">
        <is>
          <t>2023-04-30</t>
        </is>
      </c>
      <c r="C1915" t="inlineStr">
        <is>
          <t>19:43</t>
        </is>
      </c>
      <c r="D1915" t="inlineStr">
        <is>
          <t>n° 16 + n° 17 + n° 19 + n° 23 + n° 24 + n° 25</t>
        </is>
      </c>
      <c r="E1915" t="inlineStr">
        <is>
          <t>POMMES FRITES</t>
        </is>
      </c>
      <c r="F1915" t="n">
        <v>3.9</v>
      </c>
      <c r="G1915" t="inlineStr">
        <is>
          <t>n° 16 : 0,50 + n° 17 : 0,50</t>
        </is>
      </c>
      <c r="H1915" t="n">
        <v>1</v>
      </c>
    </row>
    <row r="1916">
      <c r="A1916" t="inlineStr">
        <is>
          <t>2023-2024</t>
        </is>
      </c>
      <c r="B1916" t="inlineStr">
        <is>
          <t>2023-04-30</t>
        </is>
      </c>
      <c r="C1916" t="inlineStr">
        <is>
          <t>19:43</t>
        </is>
      </c>
      <c r="D1916" t="inlineStr">
        <is>
          <t>n° 16 + n° 17 + n° 19 + n° 23 + n° 24 + n° 25</t>
        </is>
      </c>
      <c r="E1916" t="inlineStr">
        <is>
          <t>GLACE 2 BOULES</t>
        </is>
      </c>
      <c r="F1916" t="n">
        <v>3.9</v>
      </c>
      <c r="G1916" t="inlineStr">
        <is>
          <t>n° 16 : 0,50 + n° 17 : 0,50</t>
        </is>
      </c>
      <c r="H1916" t="n">
        <v>1</v>
      </c>
    </row>
    <row r="1917">
      <c r="A1917" t="inlineStr">
        <is>
          <t>2023-2024</t>
        </is>
      </c>
      <c r="B1917" t="inlineStr">
        <is>
          <t>2023-04-30</t>
        </is>
      </c>
      <c r="C1917" t="inlineStr">
        <is>
          <t>19:43</t>
        </is>
      </c>
      <c r="D1917" t="inlineStr">
        <is>
          <t>n° 16 + n° 17 + n° 19 + n° 23 + n° 24 + n° 25</t>
        </is>
      </c>
      <c r="E1917" t="inlineStr">
        <is>
          <t>Infusion</t>
        </is>
      </c>
      <c r="F1917" t="n">
        <v>3.4</v>
      </c>
      <c r="G1917" t="inlineStr">
        <is>
          <t>n° 23 : 0,33 + n° 24 : 0,34 + n° 25 : 0,33</t>
        </is>
      </c>
      <c r="H1917" t="n">
        <v>1</v>
      </c>
    </row>
    <row r="1918">
      <c r="A1918" t="inlineStr">
        <is>
          <t>2023-2024</t>
        </is>
      </c>
      <c r="B1918" t="inlineStr">
        <is>
          <t>2023-04-30</t>
        </is>
      </c>
      <c r="C1918" t="inlineStr">
        <is>
          <t>19:43</t>
        </is>
      </c>
      <c r="D1918" t="inlineStr">
        <is>
          <t>n° 16 + n° 17 + n° 19 + n° 23 + n° 24 + n° 25</t>
        </is>
      </c>
      <c r="E1918" t="inlineStr">
        <is>
          <t>Thé</t>
        </is>
      </c>
      <c r="F1918" t="n">
        <v>3.4</v>
      </c>
      <c r="G1918" t="inlineStr">
        <is>
          <t>n° 23 : 0,33 + n° 24 : 0,34 + n° 25 : 0,33</t>
        </is>
      </c>
      <c r="H1918" t="n">
        <v>1</v>
      </c>
    </row>
    <row r="1919">
      <c r="A1919" t="inlineStr">
        <is>
          <t>2023-2024</t>
        </is>
      </c>
      <c r="B1919" t="inlineStr">
        <is>
          <t>2023-04-30</t>
        </is>
      </c>
      <c r="C1919" t="inlineStr">
        <is>
          <t>19:43</t>
        </is>
      </c>
      <c r="D1919" t="inlineStr">
        <is>
          <t>n° 16 + n° 17 + n° 19 + n° 23 + n° 24 + n° 25</t>
        </is>
      </c>
      <c r="E1919" t="inlineStr">
        <is>
          <t>Expresso</t>
        </is>
      </c>
      <c r="F1919" t="n">
        <v>2.2</v>
      </c>
      <c r="G1919" t="inlineStr">
        <is>
          <t>n° 23 : 0,67 + n° 24 : 0,67 + n° 25 : 0,66</t>
        </is>
      </c>
      <c r="H1919" t="n">
        <v>2</v>
      </c>
    </row>
    <row r="1920">
      <c r="A1920" t="inlineStr">
        <is>
          <t>2023-2024</t>
        </is>
      </c>
      <c r="B1920" t="inlineStr">
        <is>
          <t>2023-04-30</t>
        </is>
      </c>
      <c r="C1920" t="inlineStr">
        <is>
          <t>19:43</t>
        </is>
      </c>
      <c r="D1920" t="inlineStr">
        <is>
          <t>n° 16 + n° 17 + n° 19 + n° 23 + n° 24 + n° 25</t>
        </is>
      </c>
      <c r="E1920" t="inlineStr">
        <is>
          <t>SAUCE CHOCO/CAFE/CAR</t>
        </is>
      </c>
      <c r="F1920" t="n">
        <v>1.8</v>
      </c>
      <c r="G1920" t="inlineStr">
        <is>
          <t>n° 16 : 0,50 + n° 17 : 0,50</t>
        </is>
      </c>
      <c r="H1920" t="n">
        <v>1</v>
      </c>
    </row>
    <row r="1921">
      <c r="A1921" t="inlineStr">
        <is>
          <t>2023-2024</t>
        </is>
      </c>
      <c r="B1921" t="inlineStr">
        <is>
          <t>2023-04-30</t>
        </is>
      </c>
      <c r="C1921" t="inlineStr">
        <is>
          <t>19:43</t>
        </is>
      </c>
      <c r="D1921" t="inlineStr">
        <is>
          <t>n° 16 + n° 17 + n° 19 + n° 23 + n° 24 + n° 25</t>
        </is>
      </c>
      <c r="E1921" t="inlineStr">
        <is>
          <t>Chantilly</t>
        </is>
      </c>
      <c r="F1921" t="n">
        <v>1.8</v>
      </c>
      <c r="G1921" t="inlineStr">
        <is>
          <t>n° 16 : 0,50 + n° 17 : 0,50</t>
        </is>
      </c>
      <c r="H1921" t="n">
        <v>1</v>
      </c>
    </row>
    <row r="1922">
      <c r="A1922" t="inlineStr">
        <is>
          <t>2023-2024</t>
        </is>
      </c>
      <c r="B1922" t="inlineStr">
        <is>
          <t>2023-04-30</t>
        </is>
      </c>
      <c r="C1922" t="inlineStr">
        <is>
          <t>19:43</t>
        </is>
      </c>
      <c r="D1922" t="inlineStr">
        <is>
          <t>n° 16 + n° 17 + n° 19 + n° 23 + n° 24 + n° 25</t>
        </is>
      </c>
      <c r="E1922" t="inlineStr">
        <is>
          <t>ECLATS NOISETTES</t>
        </is>
      </c>
      <c r="F1922" t="n">
        <v>1.2</v>
      </c>
      <c r="G1922" t="inlineStr">
        <is>
          <t>n° 16 : 0,50 + n° 17 : 0,50</t>
        </is>
      </c>
      <c r="H1922" t="n">
        <v>1</v>
      </c>
    </row>
    <row r="1923">
      <c r="A1923" t="inlineStr">
        <is>
          <t>2023-2024</t>
        </is>
      </c>
      <c r="B1923" t="inlineStr">
        <is>
          <t>2023-05-03</t>
        </is>
      </c>
      <c r="C1923" t="inlineStr">
        <is>
          <t>20:29</t>
        </is>
      </c>
      <c r="D1923" t="inlineStr">
        <is>
          <t>n° 19 + n° 20</t>
        </is>
      </c>
      <c r="E1923" t="inlineStr">
        <is>
          <t>TRUITE JURASSIENNE</t>
        </is>
      </c>
      <c r="F1923" t="n">
        <v>18.6</v>
      </c>
      <c r="G1923" t="inlineStr">
        <is>
          <t>n° 19 : 0,50 + n° 20 : 0,50</t>
        </is>
      </c>
      <c r="H1923" t="n">
        <v>1</v>
      </c>
    </row>
    <row r="1924">
      <c r="A1924" t="inlineStr">
        <is>
          <t>2023-2024</t>
        </is>
      </c>
      <c r="B1924" t="inlineStr">
        <is>
          <t>2023-05-03</t>
        </is>
      </c>
      <c r="C1924" t="inlineStr">
        <is>
          <t>20:29</t>
        </is>
      </c>
      <c r="D1924" t="inlineStr">
        <is>
          <t>n° 19 + n° 20</t>
        </is>
      </c>
      <c r="E1924" t="inlineStr">
        <is>
          <t>ECRESSI</t>
        </is>
      </c>
      <c r="F1924" t="n">
        <v>15.5</v>
      </c>
      <c r="G1924" t="inlineStr">
        <is>
          <t>n° 19 : 0,50 + n° 20 : 0,50</t>
        </is>
      </c>
      <c r="H1924" t="n">
        <v>1</v>
      </c>
    </row>
    <row r="1925">
      <c r="A1925" t="inlineStr">
        <is>
          <t>2023-2024</t>
        </is>
      </c>
      <c r="B1925" t="inlineStr">
        <is>
          <t>2023-05-03</t>
        </is>
      </c>
      <c r="C1925" t="inlineStr">
        <is>
          <t>20:29</t>
        </is>
      </c>
      <c r="D1925" t="inlineStr">
        <is>
          <t>n° 19 + n° 20</t>
        </is>
      </c>
      <c r="E1925" t="inlineStr">
        <is>
          <t>Vin jaune</t>
        </is>
      </c>
      <c r="F1925" t="n">
        <v>12</v>
      </c>
      <c r="G1925" t="inlineStr">
        <is>
          <t>n° 19 : 0,50 + n° 20 : 0,50</t>
        </is>
      </c>
      <c r="H1925" t="n">
        <v>1</v>
      </c>
    </row>
    <row r="1926">
      <c r="A1926" t="inlineStr">
        <is>
          <t>2023-2024</t>
        </is>
      </c>
      <c r="B1926" t="inlineStr">
        <is>
          <t>2023-05-03</t>
        </is>
      </c>
      <c r="C1926" t="inlineStr">
        <is>
          <t>20:29</t>
        </is>
      </c>
      <c r="D1926" t="inlineStr">
        <is>
          <t>n° 19 + n° 20</t>
        </is>
      </c>
      <c r="E1926" t="inlineStr">
        <is>
          <t>Menu 'Enfant'</t>
        </is>
      </c>
      <c r="F1926" t="n">
        <v>9.9</v>
      </c>
      <c r="G1926" t="inlineStr">
        <is>
          <t>n° 19 : 1,50 + n° 20 : 1,50</t>
        </is>
      </c>
      <c r="H1926" t="n">
        <v>3</v>
      </c>
    </row>
    <row r="1927">
      <c r="A1927" t="inlineStr">
        <is>
          <t>2023-2024</t>
        </is>
      </c>
      <c r="B1927" t="inlineStr">
        <is>
          <t>2023-05-03</t>
        </is>
      </c>
      <c r="C1927" t="inlineStr">
        <is>
          <t>20:29</t>
        </is>
      </c>
      <c r="D1927" t="inlineStr">
        <is>
          <t>n° 19 + n° 20</t>
        </is>
      </c>
      <c r="E1927" t="inlineStr">
        <is>
          <t>Assortiment charcute</t>
        </is>
      </c>
      <c r="F1927" t="n">
        <v>8.9</v>
      </c>
      <c r="G1927" t="inlineStr">
        <is>
          <t>n° 19 : 0,50 + n° 20 : 0,50</t>
        </is>
      </c>
      <c r="H1927" t="n">
        <v>1</v>
      </c>
    </row>
    <row r="1928">
      <c r="A1928" t="inlineStr">
        <is>
          <t>2023-2024</t>
        </is>
      </c>
      <c r="B1928" t="inlineStr">
        <is>
          <t>2023-05-03</t>
        </is>
      </c>
      <c r="C1928" t="inlineStr">
        <is>
          <t>20:29</t>
        </is>
      </c>
      <c r="D1928" t="inlineStr">
        <is>
          <t>n° 19 + n° 20</t>
        </is>
      </c>
      <c r="E1928" t="inlineStr">
        <is>
          <t>Escargots de Bourgog</t>
        </is>
      </c>
      <c r="F1928" t="n">
        <v>8</v>
      </c>
      <c r="G1928" t="inlineStr">
        <is>
          <t>n° 19 : 0,50 + n° 20 : 0,50</t>
        </is>
      </c>
      <c r="H1928" t="n">
        <v>1</v>
      </c>
    </row>
    <row r="1929">
      <c r="A1929" t="inlineStr">
        <is>
          <t>2023-2024</t>
        </is>
      </c>
      <c r="B1929" t="inlineStr">
        <is>
          <t>2023-05-03</t>
        </is>
      </c>
      <c r="C1929" t="inlineStr">
        <is>
          <t>20:29</t>
        </is>
      </c>
      <c r="D1929" t="inlineStr">
        <is>
          <t>n° 19 + n° 20</t>
        </is>
      </c>
      <c r="E1929" t="inlineStr">
        <is>
          <t>Marc du Jura (4cl)</t>
        </is>
      </c>
      <c r="F1929" t="n">
        <v>6</v>
      </c>
      <c r="G1929" t="inlineStr">
        <is>
          <t>n° 19 : 0,50 + n° 20 : 0,50</t>
        </is>
      </c>
      <c r="H1929" t="n">
        <v>1</v>
      </c>
    </row>
    <row r="1930">
      <c r="A1930" t="inlineStr">
        <is>
          <t>2023-2024</t>
        </is>
      </c>
      <c r="B1930" t="inlineStr">
        <is>
          <t>2023-05-03</t>
        </is>
      </c>
      <c r="C1930" t="inlineStr">
        <is>
          <t>20:29</t>
        </is>
      </c>
      <c r="D1930" t="inlineStr">
        <is>
          <t>n° 19 + n° 20</t>
        </is>
      </c>
      <c r="E1930" t="inlineStr">
        <is>
          <t>Salade Verte</t>
        </is>
      </c>
      <c r="F1930" t="n">
        <v>5.9</v>
      </c>
      <c r="G1930" t="inlineStr">
        <is>
          <t>n° 19 : 0,50 + n° 20 : 0,50</t>
        </is>
      </c>
      <c r="H1930" t="n">
        <v>1</v>
      </c>
    </row>
    <row r="1931">
      <c r="A1931" t="inlineStr">
        <is>
          <t>2023-2024</t>
        </is>
      </c>
      <c r="B1931" t="inlineStr">
        <is>
          <t>2023-05-03</t>
        </is>
      </c>
      <c r="C1931" t="inlineStr">
        <is>
          <t>20:29</t>
        </is>
      </c>
      <c r="D1931" t="inlineStr">
        <is>
          <t>n° 19 + n° 20</t>
        </is>
      </c>
      <c r="E1931" t="inlineStr">
        <is>
          <t>KITTYKIR</t>
        </is>
      </c>
      <c r="F1931" t="n">
        <v>5.2</v>
      </c>
      <c r="G1931" t="inlineStr">
        <is>
          <t>n° 19 : 0,50 + n° 20 : 0,50</t>
        </is>
      </c>
      <c r="H1931" t="n">
        <v>1</v>
      </c>
    </row>
    <row r="1932">
      <c r="A1932" t="inlineStr">
        <is>
          <t>2023-2024</t>
        </is>
      </c>
      <c r="B1932" t="inlineStr">
        <is>
          <t>2023-05-03</t>
        </is>
      </c>
      <c r="C1932" t="inlineStr">
        <is>
          <t>20:29</t>
        </is>
      </c>
      <c r="D1932" t="inlineStr">
        <is>
          <t>n° 19 + n° 20</t>
        </is>
      </c>
      <c r="E1932" t="inlineStr">
        <is>
          <t>La Vouivre</t>
        </is>
      </c>
      <c r="F1932" t="n">
        <v>5.2</v>
      </c>
      <c r="G1932" t="inlineStr">
        <is>
          <t>n° 19 : 0,50 + n° 20 : 0,50</t>
        </is>
      </c>
      <c r="H1932" t="n">
        <v>1</v>
      </c>
    </row>
    <row r="1933">
      <c r="A1933" t="inlineStr">
        <is>
          <t>2023-2024</t>
        </is>
      </c>
      <c r="B1933" t="inlineStr">
        <is>
          <t>2023-05-03</t>
        </is>
      </c>
      <c r="C1933" t="inlineStr">
        <is>
          <t>20:29</t>
        </is>
      </c>
      <c r="D1933" t="inlineStr">
        <is>
          <t>n° 19 + n° 20</t>
        </is>
      </c>
      <c r="E1933" t="inlineStr">
        <is>
          <t>Pommes grenailles</t>
        </is>
      </c>
      <c r="F1933" t="n">
        <v>3.9</v>
      </c>
      <c r="G1933" t="inlineStr">
        <is>
          <t>n° 19 : 0,50 + n° 20 : 0,50</t>
        </is>
      </c>
      <c r="H1933" t="n">
        <v>1</v>
      </c>
    </row>
    <row r="1934">
      <c r="A1934" t="inlineStr">
        <is>
          <t>2023-2024</t>
        </is>
      </c>
      <c r="B1934" t="inlineStr">
        <is>
          <t>2023-05-03</t>
        </is>
      </c>
      <c r="C1934" t="inlineStr">
        <is>
          <t>20:29</t>
        </is>
      </c>
      <c r="D1934" t="inlineStr">
        <is>
          <t>n° 19 + n° 20</t>
        </is>
      </c>
      <c r="E1934" t="inlineStr">
        <is>
          <t>Sirop à l'eau</t>
        </is>
      </c>
      <c r="F1934" t="n">
        <v>2.2</v>
      </c>
      <c r="G1934" t="inlineStr">
        <is>
          <t>n° 19 : 0,50 + n° 20 : 0,50</t>
        </is>
      </c>
      <c r="H1934" t="n">
        <v>1</v>
      </c>
    </row>
    <row r="1935">
      <c r="A1935" t="inlineStr">
        <is>
          <t>2023-2024</t>
        </is>
      </c>
      <c r="B1935" t="inlineStr">
        <is>
          <t>2023-05-04</t>
        </is>
      </c>
      <c r="C1935" t="inlineStr">
        <is>
          <t>11:40</t>
        </is>
      </c>
      <c r="D1935" t="inlineStr">
        <is>
          <t>n° 2 + n° 3</t>
        </is>
      </c>
      <c r="E1935" t="inlineStr">
        <is>
          <t>Dessert</t>
        </is>
      </c>
      <c r="F1935" t="n">
        <v>8.9</v>
      </c>
      <c r="G1935" t="inlineStr">
        <is>
          <t>n° 2 : 0,50 + n° 3 : 0,50</t>
        </is>
      </c>
      <c r="H1935" t="n">
        <v>1</v>
      </c>
    </row>
    <row r="1936">
      <c r="A1936" t="inlineStr">
        <is>
          <t>2023-2024</t>
        </is>
      </c>
      <c r="B1936" t="inlineStr">
        <is>
          <t>2023-05-04</t>
        </is>
      </c>
      <c r="C1936" t="inlineStr">
        <is>
          <t>11:40</t>
        </is>
      </c>
      <c r="D1936" t="inlineStr">
        <is>
          <t>n° 2 + n° 3</t>
        </is>
      </c>
      <c r="E1936" t="inlineStr">
        <is>
          <t>CREME BRULEE</t>
        </is>
      </c>
      <c r="F1936" t="n">
        <v>6.9</v>
      </c>
      <c r="G1936" t="inlineStr">
        <is>
          <t>n° 2 : 0,50 + n° 3 : 0,50</t>
        </is>
      </c>
      <c r="H1936" t="n">
        <v>1</v>
      </c>
    </row>
    <row r="1937">
      <c r="A1937" t="inlineStr">
        <is>
          <t>2023-2024</t>
        </is>
      </c>
      <c r="B1937" t="inlineStr">
        <is>
          <t>2023-05-04</t>
        </is>
      </c>
      <c r="C1937" t="inlineStr">
        <is>
          <t>11:40</t>
        </is>
      </c>
      <c r="D1937" t="inlineStr">
        <is>
          <t>n° 2 + n° 3</t>
        </is>
      </c>
      <c r="E1937" t="inlineStr">
        <is>
          <t>cidre la Mordue</t>
        </is>
      </c>
      <c r="F1937" t="n">
        <v>4</v>
      </c>
      <c r="G1937" t="inlineStr">
        <is>
          <t>n° 2 : 0,50 + n° 3 : 0,50</t>
        </is>
      </c>
      <c r="H1937" t="n">
        <v>1</v>
      </c>
    </row>
    <row r="1938">
      <c r="A1938" t="inlineStr">
        <is>
          <t>2023-2024</t>
        </is>
      </c>
      <c r="B1938" t="inlineStr">
        <is>
          <t>2023-05-04</t>
        </is>
      </c>
      <c r="C1938" t="inlineStr">
        <is>
          <t>12:51</t>
        </is>
      </c>
      <c r="D1938" t="inlineStr">
        <is>
          <t>n° 10 + n° 11</t>
        </is>
      </c>
      <c r="E1938" t="inlineStr">
        <is>
          <t>POULET JURASSIENNE</t>
        </is>
      </c>
      <c r="F1938" t="n">
        <v>18.6</v>
      </c>
      <c r="G1938" t="inlineStr">
        <is>
          <t>n° 10 : 0,50 + n° 11 : 0,50</t>
        </is>
      </c>
      <c r="H1938" t="n">
        <v>1</v>
      </c>
    </row>
    <row r="1939">
      <c r="A1939" t="inlineStr">
        <is>
          <t>2023-2024</t>
        </is>
      </c>
      <c r="B1939" t="inlineStr">
        <is>
          <t>2023-05-04</t>
        </is>
      </c>
      <c r="C1939" t="inlineStr">
        <is>
          <t>12:51</t>
        </is>
      </c>
      <c r="D1939" t="inlineStr">
        <is>
          <t>n° 10 + n° 11</t>
        </is>
      </c>
      <c r="E1939" t="inlineStr">
        <is>
          <t>MORTEAU GRILLEE</t>
        </is>
      </c>
      <c r="F1939" t="n">
        <v>18.6</v>
      </c>
      <c r="G1939" t="inlineStr">
        <is>
          <t>n° 10 : 0,50 + n° 11 : 0,50</t>
        </is>
      </c>
      <c r="H1939" t="n">
        <v>1</v>
      </c>
    </row>
    <row r="1940">
      <c r="A1940" t="inlineStr">
        <is>
          <t>2023-2024</t>
        </is>
      </c>
      <c r="B1940" t="inlineStr">
        <is>
          <t>2023-05-04</t>
        </is>
      </c>
      <c r="C1940" t="inlineStr">
        <is>
          <t>12:51</t>
        </is>
      </c>
      <c r="D1940" t="inlineStr">
        <is>
          <t>n° 10 + n° 11</t>
        </is>
      </c>
      <c r="E1940" t="inlineStr">
        <is>
          <t>FOULETOT</t>
        </is>
      </c>
      <c r="F1940" t="n">
        <v>10.5</v>
      </c>
      <c r="G1940" t="inlineStr">
        <is>
          <t>n° 10 : 0,50 + n° 11 : 0,50</t>
        </is>
      </c>
      <c r="H1940" t="n">
        <v>1</v>
      </c>
    </row>
    <row r="1941">
      <c r="A1941" t="inlineStr">
        <is>
          <t>2023-2024</t>
        </is>
      </c>
      <c r="B1941" t="inlineStr">
        <is>
          <t>2023-05-04</t>
        </is>
      </c>
      <c r="C1941" t="inlineStr">
        <is>
          <t>12:51</t>
        </is>
      </c>
      <c r="D1941" t="inlineStr">
        <is>
          <t>n° 10 + n° 11</t>
        </is>
      </c>
      <c r="E1941" t="inlineStr">
        <is>
          <t>TANTE ARIE</t>
        </is>
      </c>
      <c r="F1941" t="n">
        <v>8.5</v>
      </c>
      <c r="G1941" t="inlineStr">
        <is>
          <t>n° 10 : 0,50 + n° 11 : 0,50</t>
        </is>
      </c>
      <c r="H1941" t="n">
        <v>1</v>
      </c>
    </row>
    <row r="1942">
      <c r="A1942" t="inlineStr">
        <is>
          <t>2023-2024</t>
        </is>
      </c>
      <c r="B1942" t="inlineStr">
        <is>
          <t>2023-05-04</t>
        </is>
      </c>
      <c r="C1942" t="inlineStr">
        <is>
          <t>12:51</t>
        </is>
      </c>
      <c r="D1942" t="inlineStr">
        <is>
          <t>n° 10 + n° 11</t>
        </is>
      </c>
      <c r="E1942" t="inlineStr">
        <is>
          <t>Mambo</t>
        </is>
      </c>
      <c r="F1942" t="n">
        <v>6.5</v>
      </c>
      <c r="G1942" t="inlineStr">
        <is>
          <t>n° 10 : 0,50 + n° 11 : 0,50</t>
        </is>
      </c>
      <c r="H1942" t="n">
        <v>1</v>
      </c>
    </row>
    <row r="1943">
      <c r="A1943" t="inlineStr">
        <is>
          <t>2023-2024</t>
        </is>
      </c>
      <c r="B1943" t="inlineStr">
        <is>
          <t>2023-05-04</t>
        </is>
      </c>
      <c r="C1943" t="inlineStr">
        <is>
          <t>12:51</t>
        </is>
      </c>
      <c r="D1943" t="inlineStr">
        <is>
          <t>n° 10 + n° 11</t>
        </is>
      </c>
      <c r="E1943" t="inlineStr">
        <is>
          <t>Père Gregoire</t>
        </is>
      </c>
      <c r="F1943" t="n">
        <v>4.9</v>
      </c>
      <c r="G1943" t="inlineStr">
        <is>
          <t>n° 10 : 0,50 + n° 11 : 0,50</t>
        </is>
      </c>
      <c r="H1943" t="n">
        <v>1</v>
      </c>
    </row>
    <row r="1944">
      <c r="A1944" t="inlineStr">
        <is>
          <t>2023-2024</t>
        </is>
      </c>
      <c r="B1944" t="inlineStr">
        <is>
          <t>2023-05-05</t>
        </is>
      </c>
      <c r="C1944" t="inlineStr">
        <is>
          <t>19:41</t>
        </is>
      </c>
      <c r="D1944" t="inlineStr">
        <is>
          <t>n° 13 + n° 14 + n° 15 + n° 16</t>
        </is>
      </c>
      <c r="E1944" t="inlineStr">
        <is>
          <t>Arbois Chardonnay Le</t>
        </is>
      </c>
      <c r="F1944" t="n">
        <v>29</v>
      </c>
      <c r="G1944" t="inlineStr">
        <is>
          <t>n° 13 : 0,25 + n° 14 : 0,25 + n° 15 : 0,25 + n° 16 : 0,25</t>
        </is>
      </c>
      <c r="H1944" t="n">
        <v>1</v>
      </c>
    </row>
    <row r="1945">
      <c r="A1945" t="inlineStr">
        <is>
          <t>2023-2024</t>
        </is>
      </c>
      <c r="B1945" t="inlineStr">
        <is>
          <t>2023-05-07</t>
        </is>
      </c>
      <c r="C1945" t="inlineStr">
        <is>
          <t>13:04</t>
        </is>
      </c>
      <c r="D1945" t="inlineStr">
        <is>
          <t>n° 10 + n° 11</t>
        </is>
      </c>
      <c r="E1945" t="inlineStr">
        <is>
          <t>Entrecôte grillée</t>
        </is>
      </c>
      <c r="F1945" t="n">
        <v>19.9</v>
      </c>
      <c r="G1945" t="inlineStr">
        <is>
          <t>n° 10 : 0,50 + n° 11 : 0,50</t>
        </is>
      </c>
      <c r="H1945" t="n">
        <v>1</v>
      </c>
    </row>
    <row r="1946">
      <c r="A1946" t="inlineStr">
        <is>
          <t>2023-2024</t>
        </is>
      </c>
      <c r="B1946" t="inlineStr">
        <is>
          <t>2023-05-07</t>
        </is>
      </c>
      <c r="C1946" t="inlineStr">
        <is>
          <t>13:04</t>
        </is>
      </c>
      <c r="D1946" t="inlineStr">
        <is>
          <t>n° 10 + n° 11</t>
        </is>
      </c>
      <c r="E1946" t="inlineStr">
        <is>
          <t>CAMEMBERT ROTI</t>
        </is>
      </c>
      <c r="F1946" t="n">
        <v>18.6</v>
      </c>
      <c r="G1946" t="inlineStr">
        <is>
          <t>n° 10 : 0,50 + n° 11 : 0,50</t>
        </is>
      </c>
      <c r="H1946" t="n">
        <v>1</v>
      </c>
    </row>
    <row r="1947">
      <c r="A1947" t="inlineStr">
        <is>
          <t>2023-2024</t>
        </is>
      </c>
      <c r="B1947" t="inlineStr">
        <is>
          <t>2023-05-07</t>
        </is>
      </c>
      <c r="C1947" t="inlineStr">
        <is>
          <t>13:04</t>
        </is>
      </c>
      <c r="D1947" t="inlineStr">
        <is>
          <t>n° 10 + n° 11</t>
        </is>
      </c>
      <c r="E1947" t="inlineStr">
        <is>
          <t>Pavlova</t>
        </is>
      </c>
      <c r="F1947" t="n">
        <v>8.9</v>
      </c>
      <c r="G1947" t="inlineStr">
        <is>
          <t>n° 10 : 0,50 + n° 11 : 0,50</t>
        </is>
      </c>
      <c r="H1947" t="n">
        <v>1</v>
      </c>
    </row>
    <row r="1948">
      <c r="A1948" t="inlineStr">
        <is>
          <t>2023-2024</t>
        </is>
      </c>
      <c r="B1948" t="inlineStr">
        <is>
          <t>2023-05-07</t>
        </is>
      </c>
      <c r="C1948" t="inlineStr">
        <is>
          <t>13:04</t>
        </is>
      </c>
      <c r="D1948" t="inlineStr">
        <is>
          <t>n° 10 + n° 11</t>
        </is>
      </c>
      <c r="E1948" t="inlineStr">
        <is>
          <t>Savagnin verre</t>
        </is>
      </c>
      <c r="F1948" t="n">
        <v>8.300000000000001</v>
      </c>
      <c r="G1948" t="inlineStr">
        <is>
          <t>n° 10 : 0,50 + n° 11 : 0,50</t>
        </is>
      </c>
      <c r="H1948" t="n">
        <v>1</v>
      </c>
    </row>
    <row r="1949">
      <c r="A1949" t="inlineStr">
        <is>
          <t>2023-2024</t>
        </is>
      </c>
      <c r="B1949" t="inlineStr">
        <is>
          <t>2023-05-07</t>
        </is>
      </c>
      <c r="C1949" t="inlineStr">
        <is>
          <t>13:04</t>
        </is>
      </c>
      <c r="D1949" t="inlineStr">
        <is>
          <t>n° 10 + n° 11</t>
        </is>
      </c>
      <c r="E1949" t="inlineStr">
        <is>
          <t>MACON VERRE</t>
        </is>
      </c>
      <c r="F1949" t="n">
        <v>6.3</v>
      </c>
      <c r="G1949" t="inlineStr">
        <is>
          <t>n° 10 : 0,50 + n° 11 : 0,50</t>
        </is>
      </c>
      <c r="H1949" t="n">
        <v>1</v>
      </c>
    </row>
    <row r="1950">
      <c r="A1950" t="inlineStr">
        <is>
          <t>2023-2024</t>
        </is>
      </c>
      <c r="B1950" t="inlineStr">
        <is>
          <t>2023-05-07</t>
        </is>
      </c>
      <c r="C1950" t="inlineStr">
        <is>
          <t>13:04</t>
        </is>
      </c>
      <c r="D1950" t="inlineStr">
        <is>
          <t>n° 10 + n° 11</t>
        </is>
      </c>
      <c r="E1950" t="inlineStr">
        <is>
          <t>GLACE 2 BOULES</t>
        </is>
      </c>
      <c r="F1950" t="n">
        <v>5.5</v>
      </c>
      <c r="G1950" t="inlineStr">
        <is>
          <t>n° 10 : 0,50 + n° 11 : 0,50</t>
        </is>
      </c>
      <c r="H1950" t="n">
        <v>1</v>
      </c>
    </row>
    <row r="1951">
      <c r="A1951" t="inlineStr">
        <is>
          <t>2023-2024</t>
        </is>
      </c>
      <c r="B1951" t="inlineStr">
        <is>
          <t>2023-05-07</t>
        </is>
      </c>
      <c r="C1951" t="inlineStr">
        <is>
          <t>19:31</t>
        </is>
      </c>
      <c r="D1951" t="inlineStr">
        <is>
          <t>n° 18 + n° 20 + n° 21</t>
        </is>
      </c>
      <c r="E1951" t="inlineStr">
        <is>
          <t>Menu du Dahu</t>
        </is>
      </c>
      <c r="F1951" t="n">
        <v>29.9</v>
      </c>
      <c r="G1951" t="inlineStr">
        <is>
          <t>n° 18 : 0,50</t>
        </is>
      </c>
      <c r="H1951" t="n">
        <v>0.5</v>
      </c>
    </row>
    <row r="1952">
      <c r="A1952" t="inlineStr">
        <is>
          <t>2023-2024</t>
        </is>
      </c>
      <c r="B1952" t="inlineStr">
        <is>
          <t>2023-05-07</t>
        </is>
      </c>
      <c r="C1952" t="inlineStr">
        <is>
          <t>19:31</t>
        </is>
      </c>
      <c r="D1952" t="inlineStr">
        <is>
          <t>n° 18 + n° 20 + n° 21</t>
        </is>
      </c>
      <c r="E1952" t="inlineStr">
        <is>
          <t>Menu Végétarien</t>
        </is>
      </c>
      <c r="F1952" t="n">
        <v>26.5</v>
      </c>
      <c r="G1952" t="inlineStr">
        <is>
          <t>n° 20 : 0,50 + n° 21 : 0,50</t>
        </is>
      </c>
      <c r="H1952" t="n">
        <v>1</v>
      </c>
    </row>
    <row r="1953">
      <c r="A1953" t="inlineStr">
        <is>
          <t>2023-2024</t>
        </is>
      </c>
      <c r="B1953" t="inlineStr">
        <is>
          <t>2023-05-07</t>
        </is>
      </c>
      <c r="C1953" t="inlineStr">
        <is>
          <t>19:31</t>
        </is>
      </c>
      <c r="D1953" t="inlineStr">
        <is>
          <t>n° 18 + n° 20 + n° 21</t>
        </is>
      </c>
      <c r="E1953" t="inlineStr">
        <is>
          <t>Crémeux du Jura</t>
        </is>
      </c>
      <c r="F1953" t="n">
        <v>19</v>
      </c>
      <c r="G1953" t="inlineStr">
        <is>
          <t>n° 20 : 0,50 + n° 21 : 0,50</t>
        </is>
      </c>
      <c r="H1953" t="n">
        <v>1</v>
      </c>
    </row>
    <row r="1954">
      <c r="A1954" t="inlineStr">
        <is>
          <t>2023-2024</t>
        </is>
      </c>
      <c r="B1954" t="inlineStr">
        <is>
          <t>2023-05-07</t>
        </is>
      </c>
      <c r="C1954" t="inlineStr">
        <is>
          <t>19:31</t>
        </is>
      </c>
      <c r="D1954" t="inlineStr">
        <is>
          <t>n° 18 + n° 20 + n° 21</t>
        </is>
      </c>
      <c r="E1954" t="inlineStr">
        <is>
          <t>POULET JURASSIENNE</t>
        </is>
      </c>
      <c r="F1954" t="n">
        <v>18.6</v>
      </c>
      <c r="G1954" t="inlineStr">
        <is>
          <t>n° 18 : 0,50</t>
        </is>
      </c>
      <c r="H1954" t="n">
        <v>0.5</v>
      </c>
    </row>
    <row r="1955">
      <c r="A1955" t="inlineStr">
        <is>
          <t>2023-2024</t>
        </is>
      </c>
      <c r="B1955" t="inlineStr">
        <is>
          <t>2023-05-07</t>
        </is>
      </c>
      <c r="C1955" t="inlineStr">
        <is>
          <t>19:31</t>
        </is>
      </c>
      <c r="D1955" t="inlineStr">
        <is>
          <t>n° 18 + n° 20 + n° 21</t>
        </is>
      </c>
      <c r="E1955" t="inlineStr">
        <is>
          <t>Croûtes Morilles</t>
        </is>
      </c>
      <c r="F1955" t="n">
        <v>16.9</v>
      </c>
      <c r="G1955" t="inlineStr">
        <is>
          <t>n° 20 : 0,50 + n° 21 : 0,50</t>
        </is>
      </c>
      <c r="H1955" t="n">
        <v>1</v>
      </c>
    </row>
    <row r="1956">
      <c r="A1956" t="inlineStr">
        <is>
          <t>2023-2024</t>
        </is>
      </c>
      <c r="B1956" t="inlineStr">
        <is>
          <t>2023-05-07</t>
        </is>
      </c>
      <c r="C1956" t="inlineStr">
        <is>
          <t>19:31</t>
        </is>
      </c>
      <c r="D1956" t="inlineStr">
        <is>
          <t>n° 18 + n° 20 + n° 21</t>
        </is>
      </c>
      <c r="E1956" t="inlineStr">
        <is>
          <t>Vin jaune</t>
        </is>
      </c>
      <c r="F1956" t="n">
        <v>12</v>
      </c>
      <c r="G1956" t="inlineStr">
        <is>
          <t>n° 20 : 0,50 + n° 21 : 0,50</t>
        </is>
      </c>
      <c r="H1956" t="n">
        <v>1</v>
      </c>
    </row>
    <row r="1957">
      <c r="A1957" t="inlineStr">
        <is>
          <t>2023-2024</t>
        </is>
      </c>
      <c r="B1957" t="inlineStr">
        <is>
          <t>2023-05-07</t>
        </is>
      </c>
      <c r="C1957" t="inlineStr">
        <is>
          <t>19:31</t>
        </is>
      </c>
      <c r="D1957" t="inlineStr">
        <is>
          <t>n° 18 + n° 20 + n° 21</t>
        </is>
      </c>
      <c r="E1957" t="inlineStr">
        <is>
          <t>TANTE ARIE</t>
        </is>
      </c>
      <c r="F1957" t="n">
        <v>11.9</v>
      </c>
      <c r="G1957" t="inlineStr">
        <is>
          <t>n° 18 : 0,50</t>
        </is>
      </c>
      <c r="H1957" t="n">
        <v>0.5</v>
      </c>
    </row>
    <row r="1958">
      <c r="A1958" t="inlineStr">
        <is>
          <t>2023-2024</t>
        </is>
      </c>
      <c r="B1958" t="inlineStr">
        <is>
          <t>2023-05-07</t>
        </is>
      </c>
      <c r="C1958" t="inlineStr">
        <is>
          <t>19:31</t>
        </is>
      </c>
      <c r="D1958" t="inlineStr">
        <is>
          <t>n° 18 + n° 20 + n° 21</t>
        </is>
      </c>
      <c r="E1958" t="inlineStr">
        <is>
          <t>Savagnin verre</t>
        </is>
      </c>
      <c r="F1958" t="n">
        <v>8.300000000000001</v>
      </c>
      <c r="G1958" t="inlineStr">
        <is>
          <t>n° 20 : 0,50 + n° 21 : 0,50</t>
        </is>
      </c>
      <c r="H1958" t="n">
        <v>1</v>
      </c>
    </row>
    <row r="1959">
      <c r="A1959" t="inlineStr">
        <is>
          <t>2023-2024</t>
        </is>
      </c>
      <c r="B1959" t="inlineStr">
        <is>
          <t>2023-05-07</t>
        </is>
      </c>
      <c r="C1959" t="inlineStr">
        <is>
          <t>19:31</t>
        </is>
      </c>
      <c r="D1959" t="inlineStr">
        <is>
          <t>n° 18 + n° 20 + n° 21</t>
        </is>
      </c>
      <c r="E1959" t="inlineStr">
        <is>
          <t>La Vouivre</t>
        </is>
      </c>
      <c r="F1959" t="n">
        <v>5.9</v>
      </c>
      <c r="G1959" t="inlineStr">
        <is>
          <t>n° 18 : 0,50</t>
        </is>
      </c>
      <c r="H1959" t="n">
        <v>0.5</v>
      </c>
    </row>
    <row r="1960">
      <c r="A1960" t="inlineStr">
        <is>
          <t>2023-2024</t>
        </is>
      </c>
      <c r="B1960" t="inlineStr">
        <is>
          <t>2023-05-07</t>
        </is>
      </c>
      <c r="C1960" t="inlineStr">
        <is>
          <t>19:31</t>
        </is>
      </c>
      <c r="D1960" t="inlineStr">
        <is>
          <t>n° 18 + n° 20 + n° 21</t>
        </is>
      </c>
      <c r="E1960" t="inlineStr">
        <is>
          <t>KITTYKIR</t>
        </is>
      </c>
      <c r="F1960" t="n">
        <v>5.2</v>
      </c>
      <c r="G1960" t="inlineStr">
        <is>
          <t>n° 18 : 0,50</t>
        </is>
      </c>
      <c r="H1960" t="n">
        <v>0.5</v>
      </c>
    </row>
    <row r="1961">
      <c r="A1961" t="inlineStr">
        <is>
          <t>2023-2024</t>
        </is>
      </c>
      <c r="B1961" t="inlineStr">
        <is>
          <t>2023-05-10</t>
        </is>
      </c>
      <c r="C1961" t="inlineStr">
        <is>
          <t>12:40</t>
        </is>
      </c>
      <c r="D1961" t="inlineStr">
        <is>
          <t>n° 7 + n° 8</t>
        </is>
      </c>
      <c r="E1961" t="inlineStr">
        <is>
          <t>Cidre Bouché Brut</t>
        </is>
      </c>
      <c r="F1961" t="n">
        <v>16</v>
      </c>
      <c r="G1961" t="inlineStr">
        <is>
          <t>n° 7 : 0,50 + n° 8 : 0,50</t>
        </is>
      </c>
      <c r="H1961" t="n">
        <v>1</v>
      </c>
    </row>
    <row r="1962">
      <c r="A1962" t="inlineStr">
        <is>
          <t>2023-2024</t>
        </is>
      </c>
      <c r="B1962" t="inlineStr">
        <is>
          <t>2023-05-10</t>
        </is>
      </c>
      <c r="C1962" t="inlineStr">
        <is>
          <t>20:46</t>
        </is>
      </c>
      <c r="D1962" t="inlineStr">
        <is>
          <t>n° 23 + n° 24</t>
        </is>
      </c>
      <c r="E1962" t="inlineStr">
        <is>
          <t>Saint Véran Verre</t>
        </is>
      </c>
      <c r="F1962" t="n">
        <v>7.9</v>
      </c>
      <c r="G1962" t="inlineStr">
        <is>
          <t>n° 23 : 0,50 + n° 24 : 0,50</t>
        </is>
      </c>
      <c r="H1962" t="n">
        <v>1</v>
      </c>
    </row>
    <row r="1963">
      <c r="A1963" t="inlineStr">
        <is>
          <t>2023-2024</t>
        </is>
      </c>
      <c r="B1963" t="inlineStr">
        <is>
          <t>2023-05-12</t>
        </is>
      </c>
      <c r="C1963" t="inlineStr">
        <is>
          <t>12:34</t>
        </is>
      </c>
      <c r="D1963" t="inlineStr">
        <is>
          <t>n° 3 + n° 4</t>
        </is>
      </c>
      <c r="E1963" t="inlineStr">
        <is>
          <t>MACHON GOURMET</t>
        </is>
      </c>
      <c r="F1963" t="n">
        <v>25</v>
      </c>
      <c r="G1963" t="inlineStr">
        <is>
          <t>n° 3 : 0,50 + n° 4 : 0,50</t>
        </is>
      </c>
      <c r="H1963" t="n">
        <v>1</v>
      </c>
    </row>
    <row r="1964">
      <c r="A1964" t="inlineStr">
        <is>
          <t>2023-2024</t>
        </is>
      </c>
      <c r="B1964" t="inlineStr">
        <is>
          <t>2023-05-12</t>
        </is>
      </c>
      <c r="C1964" t="inlineStr">
        <is>
          <t>12:34</t>
        </is>
      </c>
      <c r="D1964" t="inlineStr">
        <is>
          <t>n° 3 + n° 4</t>
        </is>
      </c>
      <c r="E1964" t="inlineStr">
        <is>
          <t>CAMEMBERT ROTI</t>
        </is>
      </c>
      <c r="F1964" t="n">
        <v>18.6</v>
      </c>
      <c r="G1964" t="inlineStr">
        <is>
          <t>n° 3 : 0,50 + n° 4 : 0,50</t>
        </is>
      </c>
      <c r="H1964" t="n">
        <v>1</v>
      </c>
    </row>
    <row r="1965">
      <c r="A1965" t="inlineStr">
        <is>
          <t>2023-2024</t>
        </is>
      </c>
      <c r="B1965" t="inlineStr">
        <is>
          <t>2023-05-12</t>
        </is>
      </c>
      <c r="C1965" t="inlineStr">
        <is>
          <t>12:34</t>
        </is>
      </c>
      <c r="D1965" t="inlineStr">
        <is>
          <t>n° 3 + n° 4</t>
        </is>
      </c>
      <c r="E1965" t="inlineStr">
        <is>
          <t>Chèvre  chaud</t>
        </is>
      </c>
      <c r="F1965" t="n">
        <v>9.6</v>
      </c>
      <c r="G1965" t="inlineStr">
        <is>
          <t>n° 3 : 0,50 + n° 4 : 0,50</t>
        </is>
      </c>
      <c r="H1965" t="n">
        <v>1</v>
      </c>
    </row>
    <row r="1966">
      <c r="A1966" t="inlineStr">
        <is>
          <t>2023-2024</t>
        </is>
      </c>
      <c r="B1966" t="inlineStr">
        <is>
          <t>2023-05-12</t>
        </is>
      </c>
      <c r="C1966" t="inlineStr">
        <is>
          <t>12:34</t>
        </is>
      </c>
      <c r="D1966" t="inlineStr">
        <is>
          <t>n° 3 + n° 4</t>
        </is>
      </c>
      <c r="E1966" t="inlineStr">
        <is>
          <t>Ré</t>
        </is>
      </c>
      <c r="F1966" t="n">
        <v>9</v>
      </c>
      <c r="G1966" t="inlineStr">
        <is>
          <t>n° 3 : 0,50 + n° 4 : 0,50</t>
        </is>
      </c>
      <c r="H1966" t="n">
        <v>1</v>
      </c>
    </row>
    <row r="1967">
      <c r="A1967" t="inlineStr">
        <is>
          <t>2023-2024</t>
        </is>
      </c>
      <c r="B1967" t="inlineStr">
        <is>
          <t>2023-05-12</t>
        </is>
      </c>
      <c r="C1967" t="inlineStr">
        <is>
          <t>12:34</t>
        </is>
      </c>
      <c r="D1967" t="inlineStr">
        <is>
          <t>n° 3 + n° 4</t>
        </is>
      </c>
      <c r="E1967" t="inlineStr">
        <is>
          <t>Baba</t>
        </is>
      </c>
      <c r="F1967" t="n">
        <v>8.9</v>
      </c>
      <c r="G1967" t="inlineStr">
        <is>
          <t>n° 3 : 1,50 + n° 4 : 1,50</t>
        </is>
      </c>
      <c r="H1967" t="n">
        <v>3</v>
      </c>
    </row>
    <row r="1968">
      <c r="A1968" t="inlineStr">
        <is>
          <t>2023-2024</t>
        </is>
      </c>
      <c r="B1968" t="inlineStr">
        <is>
          <t>2023-05-12</t>
        </is>
      </c>
      <c r="C1968" t="inlineStr">
        <is>
          <t>12:34</t>
        </is>
      </c>
      <c r="D1968" t="inlineStr">
        <is>
          <t>n° 3 + n° 4</t>
        </is>
      </c>
      <c r="E1968" t="inlineStr">
        <is>
          <t>Jamhon Persillé</t>
        </is>
      </c>
      <c r="F1968" t="n">
        <v>7.2</v>
      </c>
      <c r="G1968" t="inlineStr">
        <is>
          <t>n° 3 : 0,50 + n° 4 : 0,50</t>
        </is>
      </c>
      <c r="H1968" t="n">
        <v>1</v>
      </c>
    </row>
    <row r="1969">
      <c r="A1969" t="inlineStr">
        <is>
          <t>2023-2024</t>
        </is>
      </c>
      <c r="B1969" t="inlineStr">
        <is>
          <t>2023-05-12</t>
        </is>
      </c>
      <c r="C1969" t="inlineStr">
        <is>
          <t>12:34</t>
        </is>
      </c>
      <c r="D1969" t="inlineStr">
        <is>
          <t>n° 3 + n° 4</t>
        </is>
      </c>
      <c r="E1969" t="inlineStr">
        <is>
          <t>Picon bière</t>
        </is>
      </c>
      <c r="F1969" t="n">
        <v>4.8</v>
      </c>
      <c r="G1969" t="inlineStr">
        <is>
          <t>n° 3 : 0,50 + n° 4 : 0,50</t>
        </is>
      </c>
      <c r="H1969" t="n">
        <v>1</v>
      </c>
    </row>
    <row r="1970">
      <c r="A1970" t="inlineStr">
        <is>
          <t>2023-2024</t>
        </is>
      </c>
      <c r="B1970" t="inlineStr">
        <is>
          <t>2023-05-13</t>
        </is>
      </c>
      <c r="C1970" t="inlineStr">
        <is>
          <t>12:11</t>
        </is>
      </c>
      <c r="D1970" t="inlineStr">
        <is>
          <t>n° 4 + n° 5</t>
        </is>
      </c>
      <c r="E1970" t="inlineStr">
        <is>
          <t>Menu 'Galette'</t>
        </is>
      </c>
      <c r="F1970" t="n">
        <v>19.5</v>
      </c>
      <c r="G1970" t="inlineStr">
        <is>
          <t>n° 4 : 0,50 + n° 5 : 0,50</t>
        </is>
      </c>
      <c r="H1970" t="n">
        <v>1</v>
      </c>
    </row>
    <row r="1971">
      <c r="A1971" t="inlineStr">
        <is>
          <t>2023-2024</t>
        </is>
      </c>
      <c r="B1971" t="inlineStr">
        <is>
          <t>2023-05-13</t>
        </is>
      </c>
      <c r="C1971" t="inlineStr">
        <is>
          <t>12:11</t>
        </is>
      </c>
      <c r="D1971" t="inlineStr">
        <is>
          <t>n° 4 + n° 5</t>
        </is>
      </c>
      <c r="E1971" t="inlineStr">
        <is>
          <t>LOURNETTE</t>
        </is>
      </c>
      <c r="F1971" t="n">
        <v>17.9</v>
      </c>
      <c r="G1971" t="inlineStr">
        <is>
          <t>n° 4 : 0,50 + n° 5 : 0,50</t>
        </is>
      </c>
      <c r="H1971" t="n">
        <v>1</v>
      </c>
    </row>
    <row r="1972">
      <c r="A1972" t="inlineStr">
        <is>
          <t>2023-2024</t>
        </is>
      </c>
      <c r="B1972" t="inlineStr">
        <is>
          <t>2023-05-13</t>
        </is>
      </c>
      <c r="C1972" t="inlineStr">
        <is>
          <t>12:11</t>
        </is>
      </c>
      <c r="D1972" t="inlineStr">
        <is>
          <t>n° 4 + n° 5</t>
        </is>
      </c>
      <c r="E1972" t="inlineStr">
        <is>
          <t>Menu 'Enfant'</t>
        </is>
      </c>
      <c r="F1972" t="n">
        <v>9.9</v>
      </c>
      <c r="G1972" t="inlineStr">
        <is>
          <t>n° 4 : 0,50 + n° 5 : 0,50</t>
        </is>
      </c>
      <c r="H1972" t="n">
        <v>1</v>
      </c>
    </row>
    <row r="1973">
      <c r="A1973" t="inlineStr">
        <is>
          <t>2023-2024</t>
        </is>
      </c>
      <c r="B1973" t="inlineStr">
        <is>
          <t>2023-05-13</t>
        </is>
      </c>
      <c r="C1973" t="inlineStr">
        <is>
          <t>12:11</t>
        </is>
      </c>
      <c r="D1973" t="inlineStr">
        <is>
          <t>n° 4 + n° 5</t>
        </is>
      </c>
      <c r="E1973" t="inlineStr">
        <is>
          <t>Crepe CHOCO/BANANE</t>
        </is>
      </c>
      <c r="F1973" t="n">
        <v>8.6</v>
      </c>
      <c r="G1973" t="inlineStr">
        <is>
          <t>n° 4 : 0,50 + n° 5 : 0,50</t>
        </is>
      </c>
      <c r="H1973" t="n">
        <v>1</v>
      </c>
    </row>
    <row r="1974">
      <c r="A1974" t="inlineStr">
        <is>
          <t>2023-2024</t>
        </is>
      </c>
      <c r="B1974" t="inlineStr">
        <is>
          <t>2023-05-13</t>
        </is>
      </c>
      <c r="C1974" t="inlineStr">
        <is>
          <t>12:11</t>
        </is>
      </c>
      <c r="D1974" t="inlineStr">
        <is>
          <t>n° 4 + n° 5</t>
        </is>
      </c>
      <c r="E1974" t="inlineStr">
        <is>
          <t>Sauce Forestière</t>
        </is>
      </c>
      <c r="F1974" t="n">
        <v>7.9</v>
      </c>
      <c r="G1974" t="inlineStr">
        <is>
          <t>n° 4 : 0,50 + n° 5 : 0,50</t>
        </is>
      </c>
      <c r="H1974" t="n">
        <v>1</v>
      </c>
    </row>
    <row r="1975">
      <c r="A1975" t="inlineStr">
        <is>
          <t>2023-2024</t>
        </is>
      </c>
      <c r="B1975" t="inlineStr">
        <is>
          <t>2023-05-13</t>
        </is>
      </c>
      <c r="C1975" t="inlineStr">
        <is>
          <t>12:11</t>
        </is>
      </c>
      <c r="D1975" t="inlineStr">
        <is>
          <t>n° 4 + n° 5</t>
        </is>
      </c>
      <c r="E1975" t="inlineStr">
        <is>
          <t>pression</t>
        </is>
      </c>
      <c r="F1975" t="n">
        <v>4.2</v>
      </c>
      <c r="G1975" t="inlineStr">
        <is>
          <t>n° 4 : 0,50 + n° 5 : 0,50</t>
        </is>
      </c>
      <c r="H1975" t="n">
        <v>1</v>
      </c>
    </row>
    <row r="1976">
      <c r="A1976" t="inlineStr">
        <is>
          <t>2023-2024</t>
        </is>
      </c>
      <c r="B1976" t="inlineStr">
        <is>
          <t>2023-05-13</t>
        </is>
      </c>
      <c r="C1976" t="inlineStr">
        <is>
          <t>12:11</t>
        </is>
      </c>
      <c r="D1976" t="inlineStr">
        <is>
          <t>n° 4 + n° 5</t>
        </is>
      </c>
      <c r="E1976" t="inlineStr">
        <is>
          <t>Panaché</t>
        </is>
      </c>
      <c r="F1976" t="n">
        <v>4.2</v>
      </c>
      <c r="G1976" t="inlineStr">
        <is>
          <t>n° 4 : 0,50 + n° 5 : 0,50</t>
        </is>
      </c>
      <c r="H1976" t="n">
        <v>1</v>
      </c>
    </row>
    <row r="1977">
      <c r="A1977" t="inlineStr">
        <is>
          <t>2023-2024</t>
        </is>
      </c>
      <c r="B1977" t="inlineStr">
        <is>
          <t>2023-05-13</t>
        </is>
      </c>
      <c r="C1977" t="inlineStr">
        <is>
          <t>12:11</t>
        </is>
      </c>
      <c r="D1977" t="inlineStr">
        <is>
          <t>n° 4 + n° 5</t>
        </is>
      </c>
      <c r="E1977" t="inlineStr">
        <is>
          <t>Cancoillotte</t>
        </is>
      </c>
      <c r="F1977" t="n">
        <v>3.9</v>
      </c>
      <c r="G1977" t="inlineStr">
        <is>
          <t>n° 4 : 0,50 + n° 5 : 0,50</t>
        </is>
      </c>
      <c r="H1977" t="n">
        <v>1</v>
      </c>
    </row>
    <row r="1978">
      <c r="A1978" t="inlineStr">
        <is>
          <t>2023-2024</t>
        </is>
      </c>
      <c r="B1978" t="inlineStr">
        <is>
          <t>2023-05-13</t>
        </is>
      </c>
      <c r="C1978" t="inlineStr">
        <is>
          <t>12:11</t>
        </is>
      </c>
      <c r="D1978" t="inlineStr">
        <is>
          <t>n° 4 + n° 5</t>
        </is>
      </c>
      <c r="E1978" t="inlineStr">
        <is>
          <t>Jambon Blanc</t>
        </is>
      </c>
      <c r="F1978" t="n">
        <v>3.8</v>
      </c>
      <c r="G1978" t="inlineStr">
        <is>
          <t>n° 4 : 0,50 + n° 5 : 0,50</t>
        </is>
      </c>
      <c r="H1978" t="n">
        <v>1</v>
      </c>
    </row>
    <row r="1979">
      <c r="A1979" t="inlineStr">
        <is>
          <t>2023-2024</t>
        </is>
      </c>
      <c r="B1979" t="inlineStr">
        <is>
          <t>2023-05-13</t>
        </is>
      </c>
      <c r="C1979" t="inlineStr">
        <is>
          <t>12:11</t>
        </is>
      </c>
      <c r="D1979" t="inlineStr">
        <is>
          <t>n° 4 + n° 5</t>
        </is>
      </c>
      <c r="E1979" t="inlineStr">
        <is>
          <t>Bacon</t>
        </is>
      </c>
      <c r="F1979" t="n">
        <v>3.3</v>
      </c>
      <c r="G1979" t="inlineStr">
        <is>
          <t>n° 4 : 0,50 + n° 5 : 0,50</t>
        </is>
      </c>
      <c r="H1979" t="n">
        <v>1</v>
      </c>
    </row>
    <row r="1980">
      <c r="A1980" t="inlineStr">
        <is>
          <t>2023-2024</t>
        </is>
      </c>
      <c r="B1980" t="inlineStr">
        <is>
          <t>2023-05-13</t>
        </is>
      </c>
      <c r="C1980" t="inlineStr">
        <is>
          <t>20:27</t>
        </is>
      </c>
      <c r="D1980" t="inlineStr">
        <is>
          <t>n° 18 + n° 19</t>
        </is>
      </c>
      <c r="E1980" t="inlineStr">
        <is>
          <t>BURGER COMTOIS</t>
        </is>
      </c>
      <c r="F1980" t="n">
        <v>19</v>
      </c>
      <c r="G1980" t="inlineStr">
        <is>
          <t>n° 18 : 0,50 + n° 19 : 0,50</t>
        </is>
      </c>
      <c r="H1980" t="n">
        <v>1</v>
      </c>
    </row>
    <row r="1981">
      <c r="A1981" t="inlineStr">
        <is>
          <t>2023-2024</t>
        </is>
      </c>
      <c r="B1981" t="inlineStr">
        <is>
          <t>2023-05-13</t>
        </is>
      </c>
      <c r="C1981" t="inlineStr">
        <is>
          <t>20:27</t>
        </is>
      </c>
      <c r="D1981" t="inlineStr">
        <is>
          <t>n° 18 + n° 19</t>
        </is>
      </c>
      <c r="E1981" t="inlineStr">
        <is>
          <t>CAMEMBERT ROTI</t>
        </is>
      </c>
      <c r="F1981" t="n">
        <v>18.6</v>
      </c>
      <c r="G1981" t="inlineStr">
        <is>
          <t>n° 18 : 0,50 + n° 19 : 0,50</t>
        </is>
      </c>
      <c r="H1981" t="n">
        <v>1</v>
      </c>
    </row>
    <row r="1982">
      <c r="A1982" t="inlineStr">
        <is>
          <t>2023-2024</t>
        </is>
      </c>
      <c r="B1982" t="inlineStr">
        <is>
          <t>2023-05-13</t>
        </is>
      </c>
      <c r="C1982" t="inlineStr">
        <is>
          <t>20:27</t>
        </is>
      </c>
      <c r="D1982" t="inlineStr">
        <is>
          <t>n° 18 + n° 19</t>
        </is>
      </c>
      <c r="E1982" t="inlineStr">
        <is>
          <t>FOLIE</t>
        </is>
      </c>
      <c r="F1982" t="n">
        <v>13.3</v>
      </c>
      <c r="G1982" t="inlineStr">
        <is>
          <t>n° 18 : 0,50 + n° 19 : 0,50</t>
        </is>
      </c>
      <c r="H1982" t="n">
        <v>1</v>
      </c>
    </row>
    <row r="1983">
      <c r="A1983" t="inlineStr">
        <is>
          <t>2023-2024</t>
        </is>
      </c>
      <c r="B1983" t="inlineStr">
        <is>
          <t>2023-05-13</t>
        </is>
      </c>
      <c r="C1983" t="inlineStr">
        <is>
          <t>20:27</t>
        </is>
      </c>
      <c r="D1983" t="inlineStr">
        <is>
          <t>n° 18 + n° 19</t>
        </is>
      </c>
      <c r="E1983" t="inlineStr">
        <is>
          <t>Fa</t>
        </is>
      </c>
      <c r="F1983" t="n">
        <v>9</v>
      </c>
      <c r="G1983" t="inlineStr">
        <is>
          <t>n° 18 : 0,50 + n° 19 : 0,50</t>
        </is>
      </c>
      <c r="H1983" t="n">
        <v>1</v>
      </c>
    </row>
    <row r="1984">
      <c r="A1984" t="inlineStr">
        <is>
          <t>2023-2024</t>
        </is>
      </c>
      <c r="B1984" t="inlineStr">
        <is>
          <t>2023-05-13</t>
        </is>
      </c>
      <c r="C1984" t="inlineStr">
        <is>
          <t>20:27</t>
        </is>
      </c>
      <c r="D1984" t="inlineStr">
        <is>
          <t>n° 18 + n° 19</t>
        </is>
      </c>
      <c r="E1984" t="inlineStr">
        <is>
          <t>Coca (25cl)</t>
        </is>
      </c>
      <c r="F1984" t="n">
        <v>3.9</v>
      </c>
      <c r="G1984" t="inlineStr">
        <is>
          <t>n° 18 : 0,50 + n° 19 : 0,50</t>
        </is>
      </c>
      <c r="H1984" t="n">
        <v>1</v>
      </c>
    </row>
    <row r="1985">
      <c r="A1985" t="inlineStr">
        <is>
          <t>2023-2024</t>
        </is>
      </c>
      <c r="B1985" t="inlineStr">
        <is>
          <t>2023-05-13</t>
        </is>
      </c>
      <c r="C1985" t="inlineStr">
        <is>
          <t>20:27</t>
        </is>
      </c>
      <c r="D1985" t="inlineStr">
        <is>
          <t>n° 18 + n° 19</t>
        </is>
      </c>
      <c r="E1985" t="inlineStr">
        <is>
          <t>Expresso</t>
        </is>
      </c>
      <c r="F1985" t="n">
        <v>2.2</v>
      </c>
      <c r="G1985" t="inlineStr">
        <is>
          <t>n° 18 : 1,50 + n° 19 : 1,50</t>
        </is>
      </c>
      <c r="H1985" t="n">
        <v>3</v>
      </c>
    </row>
    <row r="1986">
      <c r="A1986" t="inlineStr">
        <is>
          <t>2023-2024</t>
        </is>
      </c>
      <c r="B1986" t="inlineStr">
        <is>
          <t>2023-05-14</t>
        </is>
      </c>
      <c r="C1986" t="inlineStr">
        <is>
          <t>12:48</t>
        </is>
      </c>
      <c r="D1986" t="inlineStr">
        <is>
          <t>n° 11 + n° 12</t>
        </is>
      </c>
      <c r="E1986" t="inlineStr">
        <is>
          <t>CAMEMBERT ROTI</t>
        </is>
      </c>
      <c r="F1986" t="n">
        <v>18.6</v>
      </c>
      <c r="G1986" t="inlineStr">
        <is>
          <t>n° 11 : 0,50</t>
        </is>
      </c>
      <c r="H1986" t="n">
        <v>0.5</v>
      </c>
    </row>
    <row r="1987">
      <c r="A1987" t="inlineStr">
        <is>
          <t>2023-2024</t>
        </is>
      </c>
      <c r="B1987" t="inlineStr">
        <is>
          <t>2023-05-14</t>
        </is>
      </c>
      <c r="C1987" t="inlineStr">
        <is>
          <t>12:48</t>
        </is>
      </c>
      <c r="D1987" t="inlineStr">
        <is>
          <t>n° 11 + n° 12</t>
        </is>
      </c>
      <c r="E1987" t="inlineStr">
        <is>
          <t>ASSIETTE PERE GREGOI</t>
        </is>
      </c>
      <c r="F1987" t="n">
        <v>18.6</v>
      </c>
      <c r="G1987" t="inlineStr">
        <is>
          <t>n° 11 : 0,50</t>
        </is>
      </c>
      <c r="H1987" t="n">
        <v>0.5</v>
      </c>
    </row>
    <row r="1988">
      <c r="A1988" t="inlineStr">
        <is>
          <t>2023-2024</t>
        </is>
      </c>
      <c r="B1988" t="inlineStr">
        <is>
          <t>2023-05-14</t>
        </is>
      </c>
      <c r="C1988" t="inlineStr">
        <is>
          <t>12:48</t>
        </is>
      </c>
      <c r="D1988" t="inlineStr">
        <is>
          <t>n° 11 + n° 12</t>
        </is>
      </c>
      <c r="E1988" t="inlineStr">
        <is>
          <t>PICHET ROSE</t>
        </is>
      </c>
      <c r="F1988" t="n">
        <v>10.5</v>
      </c>
      <c r="G1988" t="inlineStr">
        <is>
          <t>n° 11 : 0,50 + n° 12 : 0,50</t>
        </is>
      </c>
      <c r="H1988" t="n">
        <v>1</v>
      </c>
    </row>
    <row r="1989">
      <c r="A1989" t="inlineStr">
        <is>
          <t>2023-2024</t>
        </is>
      </c>
      <c r="B1989" t="inlineStr">
        <is>
          <t>2023-05-14</t>
        </is>
      </c>
      <c r="C1989" t="inlineStr">
        <is>
          <t>12:48</t>
        </is>
      </c>
      <c r="D1989" t="inlineStr">
        <is>
          <t>n° 11 + n° 12</t>
        </is>
      </c>
      <c r="E1989" t="inlineStr">
        <is>
          <t>PICHET ALIGOTE 50cL</t>
        </is>
      </c>
      <c r="F1989" t="n">
        <v>10.5</v>
      </c>
      <c r="G1989" t="inlineStr">
        <is>
          <t>n° 11 : 0,50</t>
        </is>
      </c>
      <c r="H1989" t="n">
        <v>0.5</v>
      </c>
    </row>
    <row r="1990">
      <c r="A1990" t="inlineStr">
        <is>
          <t>2023-2024</t>
        </is>
      </c>
      <c r="B1990" t="inlineStr">
        <is>
          <t>2023-05-14</t>
        </is>
      </c>
      <c r="C1990" t="inlineStr">
        <is>
          <t>12:48</t>
        </is>
      </c>
      <c r="D1990" t="inlineStr">
        <is>
          <t>n° 11 + n° 12</t>
        </is>
      </c>
      <c r="E1990" t="inlineStr">
        <is>
          <t>CUPIDON</t>
        </is>
      </c>
      <c r="F1990" t="n">
        <v>9.300000000000001</v>
      </c>
      <c r="G1990" t="inlineStr">
        <is>
          <t>n° 11 : 0,50 + n° 12 : 0,50</t>
        </is>
      </c>
      <c r="H1990" t="n">
        <v>1</v>
      </c>
    </row>
    <row r="1991">
      <c r="A1991" t="inlineStr">
        <is>
          <t>2023-2024</t>
        </is>
      </c>
      <c r="B1991" t="inlineStr">
        <is>
          <t>2023-05-14</t>
        </is>
      </c>
      <c r="C1991" t="inlineStr">
        <is>
          <t>12:48</t>
        </is>
      </c>
      <c r="D1991" t="inlineStr">
        <is>
          <t>n° 11 + n° 12</t>
        </is>
      </c>
      <c r="E1991" t="inlineStr">
        <is>
          <t>VIN PAILLE</t>
        </is>
      </c>
      <c r="F1991" t="n">
        <v>6.9</v>
      </c>
      <c r="G1991" t="inlineStr">
        <is>
          <t>n° 11 : 0,50</t>
        </is>
      </c>
      <c r="H1991" t="n">
        <v>0.5</v>
      </c>
    </row>
    <row r="1992">
      <c r="A1992" t="inlineStr">
        <is>
          <t>2023-2024</t>
        </is>
      </c>
      <c r="B1992" t="inlineStr">
        <is>
          <t>2023-05-14</t>
        </is>
      </c>
      <c r="C1992" t="inlineStr">
        <is>
          <t>12:48</t>
        </is>
      </c>
      <c r="D1992" t="inlineStr">
        <is>
          <t>n° 11 + n° 12</t>
        </is>
      </c>
      <c r="E1992" t="inlineStr">
        <is>
          <t>Luna</t>
        </is>
      </c>
      <c r="F1992" t="n">
        <v>6</v>
      </c>
      <c r="G1992" t="inlineStr">
        <is>
          <t>n° 11 : 0,50 + n° 12 : 0,50</t>
        </is>
      </c>
      <c r="H1992" t="n">
        <v>1</v>
      </c>
    </row>
    <row r="1993">
      <c r="A1993" t="inlineStr">
        <is>
          <t>2023-2024</t>
        </is>
      </c>
      <c r="B1993" t="inlineStr">
        <is>
          <t>2023-05-14</t>
        </is>
      </c>
      <c r="C1993" t="inlineStr">
        <is>
          <t>12:48</t>
        </is>
      </c>
      <c r="D1993" t="inlineStr">
        <is>
          <t>n° 11 + n° 12</t>
        </is>
      </c>
      <c r="E1993" t="inlineStr">
        <is>
          <t>Crêpe sucrée</t>
        </is>
      </c>
      <c r="F1993" t="n">
        <v>3.9</v>
      </c>
      <c r="G1993" t="inlineStr">
        <is>
          <t>n° 11 : 0,50 + n° 12 : 0,50</t>
        </is>
      </c>
      <c r="H1993" t="n">
        <v>1</v>
      </c>
    </row>
    <row r="1994">
      <c r="A1994" t="inlineStr">
        <is>
          <t>2023-2024</t>
        </is>
      </c>
      <c r="B1994" t="inlineStr">
        <is>
          <t>2023-05-14</t>
        </is>
      </c>
      <c r="C1994" t="inlineStr">
        <is>
          <t>12:48</t>
        </is>
      </c>
      <c r="D1994" t="inlineStr">
        <is>
          <t>n° 11 + n° 12</t>
        </is>
      </c>
      <c r="E1994" t="inlineStr">
        <is>
          <t>Expresso</t>
        </is>
      </c>
      <c r="F1994" t="n">
        <v>2.2</v>
      </c>
      <c r="G1994" t="inlineStr">
        <is>
          <t>n° 11 : 1,50</t>
        </is>
      </c>
      <c r="H1994" t="n">
        <v>1.5</v>
      </c>
    </row>
    <row r="1995">
      <c r="A1995" t="inlineStr">
        <is>
          <t>2023-2024</t>
        </is>
      </c>
      <c r="B1995" t="inlineStr">
        <is>
          <t>2023-05-17</t>
        </is>
      </c>
      <c r="C1995" t="inlineStr">
        <is>
          <t>12:38</t>
        </is>
      </c>
      <c r="D1995" t="inlineStr">
        <is>
          <t>n° 6 + n° 7</t>
        </is>
      </c>
      <c r="E1995" t="inlineStr">
        <is>
          <t>Orangina (25cl)</t>
        </is>
      </c>
      <c r="F1995" t="n">
        <v>3.9</v>
      </c>
      <c r="G1995" t="inlineStr">
        <is>
          <t>n° 6 : 0,50 + n° 7 : 0,50</t>
        </is>
      </c>
      <c r="H1995" t="n">
        <v>1</v>
      </c>
    </row>
    <row r="1996">
      <c r="A1996" t="inlineStr">
        <is>
          <t>2023-2024</t>
        </is>
      </c>
      <c r="B1996" t="inlineStr">
        <is>
          <t>2023-05-17</t>
        </is>
      </c>
      <c r="C1996" t="inlineStr">
        <is>
          <t>12:38</t>
        </is>
      </c>
      <c r="D1996" t="inlineStr">
        <is>
          <t>n° 6 + n° 7</t>
        </is>
      </c>
      <c r="E1996" t="inlineStr">
        <is>
          <t>GLACE 1 BOULE</t>
        </is>
      </c>
      <c r="F1996" t="n">
        <v>3.5</v>
      </c>
      <c r="G1996" t="inlineStr">
        <is>
          <t>n° 6 : 0,50 + n° 7 : 0,50</t>
        </is>
      </c>
      <c r="H1996" t="n">
        <v>1</v>
      </c>
    </row>
    <row r="1997">
      <c r="A1997" t="inlineStr">
        <is>
          <t>2023-2024</t>
        </is>
      </c>
      <c r="B1997" t="inlineStr">
        <is>
          <t>2023-05-17</t>
        </is>
      </c>
      <c r="C1997" t="inlineStr">
        <is>
          <t>12:38</t>
        </is>
      </c>
      <c r="D1997" t="inlineStr">
        <is>
          <t>n° 6 + n° 7</t>
        </is>
      </c>
      <c r="E1997" t="inlineStr">
        <is>
          <t>Sirop à l'eau</t>
        </is>
      </c>
      <c r="F1997" t="n">
        <v>2.2</v>
      </c>
      <c r="G1997" t="inlineStr">
        <is>
          <t>n° 6 : 0,50 + n° 7 : 0,50</t>
        </is>
      </c>
      <c r="H1997" t="n">
        <v>1</v>
      </c>
    </row>
    <row r="1998">
      <c r="A1998" t="inlineStr">
        <is>
          <t>2023-2024</t>
        </is>
      </c>
      <c r="B1998" t="inlineStr">
        <is>
          <t>2023-05-17</t>
        </is>
      </c>
      <c r="C1998" t="inlineStr">
        <is>
          <t>12:38</t>
        </is>
      </c>
      <c r="D1998" t="inlineStr">
        <is>
          <t>n° 6 + n° 7</t>
        </is>
      </c>
      <c r="E1998" t="inlineStr">
        <is>
          <t>Expresso</t>
        </is>
      </c>
      <c r="F1998" t="n">
        <v>2.2</v>
      </c>
      <c r="G1998" t="inlineStr">
        <is>
          <t>n° 6 : 0,50 + n° 7 : 0,50</t>
        </is>
      </c>
      <c r="H1998" t="n">
        <v>1</v>
      </c>
    </row>
    <row r="1999">
      <c r="A1999" t="inlineStr">
        <is>
          <t>2023-2024</t>
        </is>
      </c>
      <c r="B1999" t="inlineStr">
        <is>
          <t>2023-05-17</t>
        </is>
      </c>
      <c r="C1999" t="inlineStr">
        <is>
          <t>12:38</t>
        </is>
      </c>
      <c r="D1999" t="inlineStr">
        <is>
          <t>n° 6 + n° 7</t>
        </is>
      </c>
      <c r="E1999" t="inlineStr">
        <is>
          <t>Chantilly</t>
        </is>
      </c>
      <c r="F1999" t="n">
        <v>2</v>
      </c>
      <c r="G1999" t="inlineStr">
        <is>
          <t>n° 6 : 0,50 + n° 7 : 0,50</t>
        </is>
      </c>
      <c r="H1999" t="n">
        <v>1</v>
      </c>
    </row>
    <row r="2000">
      <c r="A2000" t="inlineStr">
        <is>
          <t>2023-2024</t>
        </is>
      </c>
      <c r="B2000" t="inlineStr">
        <is>
          <t>2023-05-18</t>
        </is>
      </c>
      <c r="C2000" t="inlineStr">
        <is>
          <t>13:05</t>
        </is>
      </c>
      <c r="D2000" t="inlineStr">
        <is>
          <t>n° 11 + n° 12</t>
        </is>
      </c>
      <c r="E2000" t="inlineStr">
        <is>
          <t>Crémeux du Jura</t>
        </is>
      </c>
      <c r="F2000" t="n">
        <v>19</v>
      </c>
      <c r="G2000" t="inlineStr">
        <is>
          <t>n° 11 : 0,50 + n° 12 : 0,50</t>
        </is>
      </c>
      <c r="H2000" t="n">
        <v>1</v>
      </c>
    </row>
    <row r="2001">
      <c r="A2001" t="inlineStr">
        <is>
          <t>2023-2024</t>
        </is>
      </c>
      <c r="B2001" t="inlineStr">
        <is>
          <t>2023-05-18</t>
        </is>
      </c>
      <c r="C2001" t="inlineStr">
        <is>
          <t>13:05</t>
        </is>
      </c>
      <c r="D2001" t="inlineStr">
        <is>
          <t>n° 11 + n° 12</t>
        </is>
      </c>
      <c r="E2001" t="inlineStr">
        <is>
          <t>BURGER COMTOIS</t>
        </is>
      </c>
      <c r="F2001" t="n">
        <v>19</v>
      </c>
      <c r="G2001" t="inlineStr">
        <is>
          <t>n° 11 : 0,50 + n° 12 : 0,50</t>
        </is>
      </c>
      <c r="H2001" t="n">
        <v>1</v>
      </c>
    </row>
    <row r="2002">
      <c r="A2002" t="inlineStr">
        <is>
          <t>2023-2024</t>
        </is>
      </c>
      <c r="B2002" t="inlineStr">
        <is>
          <t>2023-05-18</t>
        </is>
      </c>
      <c r="C2002" t="inlineStr">
        <is>
          <t>13:05</t>
        </is>
      </c>
      <c r="D2002" t="inlineStr">
        <is>
          <t>n° 11 + n° 12</t>
        </is>
      </c>
      <c r="E2002" t="inlineStr">
        <is>
          <t>FORMULE EXPRESS</t>
        </is>
      </c>
      <c r="F2002" t="n">
        <v>18.6</v>
      </c>
      <c r="G2002" t="inlineStr">
        <is>
          <t>n° 11 : 0,50 + n° 12 : 0,50</t>
        </is>
      </c>
      <c r="H2002" t="n">
        <v>1</v>
      </c>
    </row>
    <row r="2003">
      <c r="A2003" t="inlineStr">
        <is>
          <t>2023-2024</t>
        </is>
      </c>
      <c r="B2003" t="inlineStr">
        <is>
          <t>2023-05-18</t>
        </is>
      </c>
      <c r="C2003" t="inlineStr">
        <is>
          <t>13:05</t>
        </is>
      </c>
      <c r="D2003" t="inlineStr">
        <is>
          <t>n° 11 + n° 12</t>
        </is>
      </c>
      <c r="E2003" t="inlineStr">
        <is>
          <t>ASSIETTE PERE GREGOI</t>
        </is>
      </c>
      <c r="F2003" t="n">
        <v>18.6</v>
      </c>
      <c r="G2003" t="inlineStr">
        <is>
          <t>n° 11 : 0,50 + n° 12 : 0,50</t>
        </is>
      </c>
      <c r="H2003" t="n">
        <v>1</v>
      </c>
    </row>
    <row r="2004">
      <c r="A2004" t="inlineStr">
        <is>
          <t>2023-2024</t>
        </is>
      </c>
      <c r="B2004" t="inlineStr">
        <is>
          <t>2023-05-18</t>
        </is>
      </c>
      <c r="C2004" t="inlineStr">
        <is>
          <t>13:05</t>
        </is>
      </c>
      <c r="D2004" t="inlineStr">
        <is>
          <t>n° 11 + n° 12</t>
        </is>
      </c>
      <c r="E2004" t="inlineStr">
        <is>
          <t>TRUITE PESTO</t>
        </is>
      </c>
      <c r="F2004" t="n">
        <v>16.9</v>
      </c>
      <c r="G2004" t="inlineStr">
        <is>
          <t>n° 11 : 0,50 + n° 12 : 0,50</t>
        </is>
      </c>
      <c r="H2004" t="n">
        <v>1</v>
      </c>
    </row>
    <row r="2005">
      <c r="A2005" t="inlineStr">
        <is>
          <t>2023-2024</t>
        </is>
      </c>
      <c r="B2005" t="inlineStr">
        <is>
          <t>2023-05-18</t>
        </is>
      </c>
      <c r="C2005" t="inlineStr">
        <is>
          <t>13:05</t>
        </is>
      </c>
      <c r="D2005" t="inlineStr">
        <is>
          <t>n° 11 + n° 12</t>
        </is>
      </c>
      <c r="E2005" t="inlineStr">
        <is>
          <t>Pavlova</t>
        </is>
      </c>
      <c r="F2005" t="n">
        <v>8.9</v>
      </c>
      <c r="G2005" t="inlineStr">
        <is>
          <t>n° 11 : 1,50 + n° 12 : 1,50</t>
        </is>
      </c>
      <c r="H2005" t="n">
        <v>3</v>
      </c>
    </row>
    <row r="2006">
      <c r="A2006" t="inlineStr">
        <is>
          <t>2023-2024</t>
        </is>
      </c>
      <c r="B2006" t="inlineStr">
        <is>
          <t>2023-05-18</t>
        </is>
      </c>
      <c r="C2006" t="inlineStr">
        <is>
          <t>13:05</t>
        </is>
      </c>
      <c r="D2006" t="inlineStr">
        <is>
          <t>n° 11 + n° 12</t>
        </is>
      </c>
      <c r="E2006" t="inlineStr">
        <is>
          <t>Blanche des plateaux</t>
        </is>
      </c>
      <c r="F2006" t="n">
        <v>6.9</v>
      </c>
      <c r="G2006" t="inlineStr">
        <is>
          <t>n° 11 : 0,50 + n° 12 : 0,50</t>
        </is>
      </c>
      <c r="H2006" t="n">
        <v>1</v>
      </c>
    </row>
    <row r="2007">
      <c r="A2007" t="inlineStr">
        <is>
          <t>2023-2024</t>
        </is>
      </c>
      <c r="B2007" t="inlineStr">
        <is>
          <t>2023-05-18</t>
        </is>
      </c>
      <c r="C2007" t="inlineStr">
        <is>
          <t>13:05</t>
        </is>
      </c>
      <c r="D2007" t="inlineStr">
        <is>
          <t>n° 11 + n° 12</t>
        </is>
      </c>
      <c r="E2007" t="inlineStr">
        <is>
          <t>Crêpe Marrons</t>
        </is>
      </c>
      <c r="F2007" t="n">
        <v>6.4</v>
      </c>
      <c r="G2007" t="inlineStr">
        <is>
          <t>n° 11 : 0,50 + n° 12 : 0,50</t>
        </is>
      </c>
      <c r="H2007" t="n">
        <v>1</v>
      </c>
    </row>
    <row r="2008">
      <c r="A2008" t="inlineStr">
        <is>
          <t>2023-2024</t>
        </is>
      </c>
      <c r="B2008" t="inlineStr">
        <is>
          <t>2023-05-18</t>
        </is>
      </c>
      <c r="C2008" t="inlineStr">
        <is>
          <t>13:05</t>
        </is>
      </c>
      <c r="D2008" t="inlineStr">
        <is>
          <t>n° 11 + n° 12</t>
        </is>
      </c>
      <c r="E2008" t="inlineStr">
        <is>
          <t>pression</t>
        </is>
      </c>
      <c r="F2008" t="n">
        <v>4.2</v>
      </c>
      <c r="G2008" t="inlineStr">
        <is>
          <t>n° 11 : 0,50 + n° 12 : 0,50</t>
        </is>
      </c>
      <c r="H2008" t="n">
        <v>1</v>
      </c>
    </row>
    <row r="2009">
      <c r="A2009" t="inlineStr">
        <is>
          <t>2023-2024</t>
        </is>
      </c>
      <c r="B2009" t="inlineStr">
        <is>
          <t>2023-05-18</t>
        </is>
      </c>
      <c r="C2009" t="inlineStr">
        <is>
          <t>13:05</t>
        </is>
      </c>
      <c r="D2009" t="inlineStr">
        <is>
          <t>n° 11 + n° 12</t>
        </is>
      </c>
      <c r="E2009" t="inlineStr">
        <is>
          <t>Schweppes</t>
        </is>
      </c>
      <c r="F2009" t="n">
        <v>3.9</v>
      </c>
      <c r="G2009" t="inlineStr">
        <is>
          <t>n° 11 : 0,50 + n° 12 : 0,50</t>
        </is>
      </c>
      <c r="H2009" t="n">
        <v>1</v>
      </c>
    </row>
    <row r="2010">
      <c r="A2010" t="inlineStr">
        <is>
          <t>2023-2024</t>
        </is>
      </c>
      <c r="B2010" t="inlineStr">
        <is>
          <t>2023-05-19</t>
        </is>
      </c>
      <c r="C2010" t="inlineStr">
        <is>
          <t>13:01</t>
        </is>
      </c>
      <c r="D2010" t="inlineStr">
        <is>
          <t>n° 10 + n° 11</t>
        </is>
      </c>
      <c r="E2010" t="inlineStr">
        <is>
          <t>Arbois Béthanie</t>
        </is>
      </c>
      <c r="F2010" t="n">
        <v>36</v>
      </c>
      <c r="G2010" t="inlineStr">
        <is>
          <t>n° 10 : 0,50 + n° 11 : 0,50</t>
        </is>
      </c>
      <c r="H2010" t="n">
        <v>1</v>
      </c>
    </row>
    <row r="2011">
      <c r="A2011" t="inlineStr">
        <is>
          <t>2023-2024</t>
        </is>
      </c>
      <c r="B2011" t="inlineStr">
        <is>
          <t>2023-05-19</t>
        </is>
      </c>
      <c r="C2011" t="inlineStr">
        <is>
          <t>19:52</t>
        </is>
      </c>
      <c r="D2011" t="inlineStr">
        <is>
          <t>n° 22 + n° 23</t>
        </is>
      </c>
      <c r="E2011" t="inlineStr">
        <is>
          <t>Truite Morilles</t>
        </is>
      </c>
      <c r="F2011" t="n">
        <v>27.8</v>
      </c>
      <c r="G2011" t="inlineStr">
        <is>
          <t>n° 22 : 0,50 + n° 23 : 0,50</t>
        </is>
      </c>
      <c r="H2011" t="n">
        <v>1</v>
      </c>
    </row>
    <row r="2012">
      <c r="A2012" t="inlineStr">
        <is>
          <t>2023-2024</t>
        </is>
      </c>
      <c r="B2012" t="inlineStr">
        <is>
          <t>2023-05-19</t>
        </is>
      </c>
      <c r="C2012" t="inlineStr">
        <is>
          <t>19:52</t>
        </is>
      </c>
      <c r="D2012" t="inlineStr">
        <is>
          <t>n° 22 + n° 23</t>
        </is>
      </c>
      <c r="E2012" t="inlineStr">
        <is>
          <t>Entrecôte grillée</t>
        </is>
      </c>
      <c r="F2012" t="n">
        <v>19.9</v>
      </c>
      <c r="G2012" t="inlineStr">
        <is>
          <t>n° 22 : 0,50 + n° 23 : 0,50</t>
        </is>
      </c>
      <c r="H2012" t="n">
        <v>1</v>
      </c>
    </row>
    <row r="2013">
      <c r="A2013" t="inlineStr">
        <is>
          <t>2023-2024</t>
        </is>
      </c>
      <c r="B2013" t="inlineStr">
        <is>
          <t>2023-05-19</t>
        </is>
      </c>
      <c r="C2013" t="inlineStr">
        <is>
          <t>19:52</t>
        </is>
      </c>
      <c r="D2013" t="inlineStr">
        <is>
          <t>n° 22 + n° 23</t>
        </is>
      </c>
      <c r="E2013" t="inlineStr">
        <is>
          <t>Chèvre  chaud</t>
        </is>
      </c>
      <c r="F2013" t="n">
        <v>9.6</v>
      </c>
      <c r="G2013" t="inlineStr">
        <is>
          <t>n° 22 : 0,50 + n° 23 : 0,50</t>
        </is>
      </c>
      <c r="H2013" t="n">
        <v>1</v>
      </c>
    </row>
    <row r="2014">
      <c r="A2014" t="inlineStr">
        <is>
          <t>2023-2024</t>
        </is>
      </c>
      <c r="B2014" t="inlineStr">
        <is>
          <t>2023-05-19</t>
        </is>
      </c>
      <c r="C2014" t="inlineStr">
        <is>
          <t>19:52</t>
        </is>
      </c>
      <c r="D2014" t="inlineStr">
        <is>
          <t>n° 22 + n° 23</t>
        </is>
      </c>
      <c r="E2014" t="inlineStr">
        <is>
          <t>Diabolo (25cl)</t>
        </is>
      </c>
      <c r="F2014" t="n">
        <v>3.9</v>
      </c>
      <c r="G2014" t="inlineStr">
        <is>
          <t>n° 22 : 0,50 + n° 23 : 0,50</t>
        </is>
      </c>
      <c r="H2014" t="n">
        <v>1</v>
      </c>
    </row>
    <row r="2015">
      <c r="A2015" t="inlineStr">
        <is>
          <t>2023-2024</t>
        </is>
      </c>
      <c r="B2015" t="inlineStr">
        <is>
          <t>2023-05-19</t>
        </is>
      </c>
      <c r="C2015" t="inlineStr">
        <is>
          <t>19:52</t>
        </is>
      </c>
      <c r="D2015" t="inlineStr">
        <is>
          <t>n° 22 + n° 23</t>
        </is>
      </c>
      <c r="E2015" t="inlineStr">
        <is>
          <t>Limonade (25cl)</t>
        </is>
      </c>
      <c r="F2015" t="n">
        <v>3.9</v>
      </c>
      <c r="G2015" t="inlineStr">
        <is>
          <t>n° 22 : 0,50 + n° 23 : 0,50</t>
        </is>
      </c>
      <c r="H2015" t="n">
        <v>1</v>
      </c>
    </row>
    <row r="2016">
      <c r="A2016" t="inlineStr">
        <is>
          <t>2023-2024</t>
        </is>
      </c>
      <c r="B2016" t="inlineStr">
        <is>
          <t>2023-05-19</t>
        </is>
      </c>
      <c r="C2016" t="inlineStr">
        <is>
          <t>20:22</t>
        </is>
      </c>
      <c r="D2016" t="inlineStr">
        <is>
          <t>n° 29 + n° 30</t>
        </is>
      </c>
      <c r="E2016" t="inlineStr">
        <is>
          <t>pichet Saint Joseph</t>
        </is>
      </c>
      <c r="F2016" t="n">
        <v>32.2</v>
      </c>
      <c r="G2016" t="inlineStr">
        <is>
          <t>n° 29 : 0,50 + n° 30 : 0,50</t>
        </is>
      </c>
      <c r="H2016" t="n">
        <v>1</v>
      </c>
    </row>
    <row r="2017">
      <c r="A2017" t="inlineStr">
        <is>
          <t>2023-2024</t>
        </is>
      </c>
      <c r="B2017" t="inlineStr">
        <is>
          <t>2023-05-20</t>
        </is>
      </c>
      <c r="C2017" t="inlineStr">
        <is>
          <t>19:25</t>
        </is>
      </c>
      <c r="D2017" t="inlineStr">
        <is>
          <t>n° 24 + n° 25</t>
        </is>
      </c>
      <c r="E2017" t="inlineStr">
        <is>
          <t>Poulet aux Morilles</t>
        </is>
      </c>
      <c r="F2017" t="n">
        <v>28.6</v>
      </c>
      <c r="G2017" t="inlineStr">
        <is>
          <t>n° 24 : 0,50 + n° 25 : 0,50</t>
        </is>
      </c>
      <c r="H2017" t="n">
        <v>1</v>
      </c>
    </row>
    <row r="2018">
      <c r="A2018" t="inlineStr">
        <is>
          <t>2023-2024</t>
        </is>
      </c>
      <c r="B2018" t="inlineStr">
        <is>
          <t>2023-05-20</t>
        </is>
      </c>
      <c r="C2018" t="inlineStr">
        <is>
          <t>19:25</t>
        </is>
      </c>
      <c r="D2018" t="inlineStr">
        <is>
          <t>n° 24 + n° 25</t>
        </is>
      </c>
      <c r="E2018" t="inlineStr">
        <is>
          <t>TRUITE PESTO</t>
        </is>
      </c>
      <c r="F2018" t="n">
        <v>16.9</v>
      </c>
      <c r="G2018" t="inlineStr">
        <is>
          <t>n° 24 : 0,50 + n° 25 : 0,50</t>
        </is>
      </c>
      <c r="H2018" t="n">
        <v>1</v>
      </c>
    </row>
    <row r="2019">
      <c r="A2019" t="inlineStr">
        <is>
          <t>2023-2024</t>
        </is>
      </c>
      <c r="B2019" t="inlineStr">
        <is>
          <t>2023-05-20</t>
        </is>
      </c>
      <c r="C2019" t="inlineStr">
        <is>
          <t>19:25</t>
        </is>
      </c>
      <c r="D2019" t="inlineStr">
        <is>
          <t>n° 24 + n° 25</t>
        </is>
      </c>
      <c r="E2019" t="inlineStr">
        <is>
          <t>H.C.DE BEAUNE  VERRE</t>
        </is>
      </c>
      <c r="F2019" t="n">
        <v>7.9</v>
      </c>
      <c r="G2019" t="inlineStr">
        <is>
          <t>n° 24 : 0,50 + n° 25 : 0,50</t>
        </is>
      </c>
      <c r="H2019" t="n">
        <v>1</v>
      </c>
    </row>
    <row r="2020">
      <c r="A2020" t="inlineStr">
        <is>
          <t>2023-2024</t>
        </is>
      </c>
      <c r="B2020" t="inlineStr">
        <is>
          <t>2023-05-20</t>
        </is>
      </c>
      <c r="C2020" t="inlineStr">
        <is>
          <t>19:25</t>
        </is>
      </c>
      <c r="D2020" t="inlineStr">
        <is>
          <t>n° 24 + n° 25</t>
        </is>
      </c>
      <c r="E2020" t="inlineStr">
        <is>
          <t>Jack Daniel's</t>
        </is>
      </c>
      <c r="F2020" t="n">
        <v>7.5</v>
      </c>
      <c r="G2020" t="inlineStr">
        <is>
          <t>n° 24 : 0,50 + n° 25 : 0,50</t>
        </is>
      </c>
      <c r="H2020" t="n">
        <v>1</v>
      </c>
    </row>
    <row r="2021">
      <c r="A2021" t="inlineStr">
        <is>
          <t>2023-2024</t>
        </is>
      </c>
      <c r="B2021" t="inlineStr">
        <is>
          <t>2023-05-20</t>
        </is>
      </c>
      <c r="C2021" t="inlineStr">
        <is>
          <t>19:25</t>
        </is>
      </c>
      <c r="D2021" t="inlineStr">
        <is>
          <t>n° 24 + n° 25</t>
        </is>
      </c>
      <c r="E2021" t="inlineStr">
        <is>
          <t>Mambo</t>
        </is>
      </c>
      <c r="F2021" t="n">
        <v>6.5</v>
      </c>
      <c r="G2021" t="inlineStr">
        <is>
          <t>n° 24 : 0,50 + n° 25 : 0,50</t>
        </is>
      </c>
      <c r="H2021" t="n">
        <v>1</v>
      </c>
    </row>
    <row r="2022">
      <c r="A2022" t="inlineStr">
        <is>
          <t>2023-2024</t>
        </is>
      </c>
      <c r="B2022" t="inlineStr">
        <is>
          <t>2023-05-20</t>
        </is>
      </c>
      <c r="C2022" t="inlineStr">
        <is>
          <t>20:00</t>
        </is>
      </c>
      <c r="D2022" t="inlineStr">
        <is>
          <t>n° 30 + n° 31 + n° 32</t>
        </is>
      </c>
      <c r="E2022" t="inlineStr">
        <is>
          <t>ASSIETTE FRANC-COMTO</t>
        </is>
      </c>
      <c r="F2022" t="n">
        <v>18.6</v>
      </c>
      <c r="G2022" t="inlineStr">
        <is>
          <t>n° 30 : 0,33 + n° 31 : 0,34 + n° 32 : 0,33</t>
        </is>
      </c>
      <c r="H2022" t="n">
        <v>1</v>
      </c>
    </row>
    <row r="2023">
      <c r="A2023" t="inlineStr">
        <is>
          <t>2023-2024</t>
        </is>
      </c>
      <c r="B2023" t="inlineStr">
        <is>
          <t>2023-05-20</t>
        </is>
      </c>
      <c r="C2023" t="inlineStr">
        <is>
          <t>20:00</t>
        </is>
      </c>
      <c r="D2023" t="inlineStr">
        <is>
          <t>n° 30 + n° 31 + n° 32</t>
        </is>
      </c>
      <c r="E2023" t="inlineStr">
        <is>
          <t>TRUITE JURASSIENNE</t>
        </is>
      </c>
      <c r="F2023" t="n">
        <v>18.6</v>
      </c>
      <c r="G2023" t="inlineStr">
        <is>
          <t>n° 30 : 0,33 + n° 31 : 0,34 + n° 32 : 0,33</t>
        </is>
      </c>
      <c r="H2023" t="n">
        <v>1</v>
      </c>
    </row>
    <row r="2024">
      <c r="A2024" t="inlineStr">
        <is>
          <t>2023-2024</t>
        </is>
      </c>
      <c r="B2024" t="inlineStr">
        <is>
          <t>2023-05-20</t>
        </is>
      </c>
      <c r="C2024" t="inlineStr">
        <is>
          <t>20:00</t>
        </is>
      </c>
      <c r="D2024" t="inlineStr">
        <is>
          <t>n° 30 + n° 31 + n° 32</t>
        </is>
      </c>
      <c r="E2024" t="inlineStr">
        <is>
          <t>BARBEULENET</t>
        </is>
      </c>
      <c r="F2024" t="n">
        <v>17.4</v>
      </c>
      <c r="G2024" t="inlineStr">
        <is>
          <t>n° 30 : 0,33 + n° 31 : 0,34 + n° 32 : 0,33</t>
        </is>
      </c>
      <c r="H2024" t="n">
        <v>1</v>
      </c>
    </row>
    <row r="2025">
      <c r="A2025" t="inlineStr">
        <is>
          <t>2023-2024</t>
        </is>
      </c>
      <c r="B2025" t="inlineStr">
        <is>
          <t>2023-05-20</t>
        </is>
      </c>
      <c r="C2025" t="inlineStr">
        <is>
          <t>20:00</t>
        </is>
      </c>
      <c r="D2025" t="inlineStr">
        <is>
          <t>n° 30 + n° 31 + n° 32</t>
        </is>
      </c>
      <c r="E2025" t="inlineStr">
        <is>
          <t>Crêpe au sucre</t>
        </is>
      </c>
      <c r="F2025" t="n">
        <v>3.9</v>
      </c>
      <c r="G2025" t="inlineStr">
        <is>
          <t>n° 30 : 0,67 + n° 31 : 0,67 + n° 32 : 0,66</t>
        </is>
      </c>
      <c r="H2025" t="n">
        <v>2</v>
      </c>
    </row>
    <row r="2026">
      <c r="A2026" t="inlineStr">
        <is>
          <t>2023-2024</t>
        </is>
      </c>
      <c r="B2026" t="inlineStr">
        <is>
          <t>2023-05-20</t>
        </is>
      </c>
      <c r="C2026" t="inlineStr">
        <is>
          <t>20:45</t>
        </is>
      </c>
      <c r="D2026" t="inlineStr">
        <is>
          <t>n° 38 + n° 39</t>
        </is>
      </c>
      <c r="E2026" t="inlineStr">
        <is>
          <t>Arbois Trousseau Bou</t>
        </is>
      </c>
      <c r="F2026" t="n">
        <v>32</v>
      </c>
      <c r="G2026" t="inlineStr">
        <is>
          <t>n° 38 : 0,50 + n° 39 : 0,50</t>
        </is>
      </c>
      <c r="H2026" t="n">
        <v>1</v>
      </c>
    </row>
    <row r="2027">
      <c r="A2027" t="inlineStr">
        <is>
          <t>2023-2024</t>
        </is>
      </c>
      <c r="B2027" t="inlineStr">
        <is>
          <t>2023-05-20</t>
        </is>
      </c>
      <c r="C2027" t="inlineStr">
        <is>
          <t>20:45</t>
        </is>
      </c>
      <c r="D2027" t="inlineStr">
        <is>
          <t>n° 38 + n° 39</t>
        </is>
      </c>
      <c r="E2027" t="inlineStr">
        <is>
          <t>ASSIETTE FRANC-COMTO</t>
        </is>
      </c>
      <c r="F2027" t="n">
        <v>18.6</v>
      </c>
      <c r="G2027" t="inlineStr">
        <is>
          <t>n° 38 : 0,50 + n° 39 : 0,50</t>
        </is>
      </c>
      <c r="H2027" t="n">
        <v>1</v>
      </c>
    </row>
    <row r="2028">
      <c r="A2028" t="inlineStr">
        <is>
          <t>2023-2024</t>
        </is>
      </c>
      <c r="B2028" t="inlineStr">
        <is>
          <t>2023-05-20</t>
        </is>
      </c>
      <c r="C2028" t="inlineStr">
        <is>
          <t>20:45</t>
        </is>
      </c>
      <c r="D2028" t="inlineStr">
        <is>
          <t>n° 38 + n° 39</t>
        </is>
      </c>
      <c r="E2028" t="inlineStr">
        <is>
          <t>POULET JURASSIENNE</t>
        </is>
      </c>
      <c r="F2028" t="n">
        <v>18.6</v>
      </c>
      <c r="G2028" t="inlineStr">
        <is>
          <t>n° 38 : 0,50 + n° 39 : 0,50</t>
        </is>
      </c>
      <c r="H2028" t="n">
        <v>1</v>
      </c>
    </row>
    <row r="2029">
      <c r="A2029" t="inlineStr">
        <is>
          <t>2023-2024</t>
        </is>
      </c>
      <c r="B2029" t="inlineStr">
        <is>
          <t>2023-05-20</t>
        </is>
      </c>
      <c r="C2029" t="inlineStr">
        <is>
          <t>20:45</t>
        </is>
      </c>
      <c r="D2029" t="inlineStr">
        <is>
          <t>n° 38 + n° 39</t>
        </is>
      </c>
      <c r="E2029" t="inlineStr">
        <is>
          <t>Monaco</t>
        </is>
      </c>
      <c r="F2029" t="n">
        <v>4.2</v>
      </c>
      <c r="G2029" t="inlineStr">
        <is>
          <t>n° 38 : 0,50 + n° 39 : 0,50</t>
        </is>
      </c>
      <c r="H2029" t="n">
        <v>1</v>
      </c>
    </row>
    <row r="2030">
      <c r="A2030" t="inlineStr">
        <is>
          <t>2023-2024</t>
        </is>
      </c>
      <c r="B2030" t="inlineStr">
        <is>
          <t>2023-05-20</t>
        </is>
      </c>
      <c r="C2030" t="inlineStr">
        <is>
          <t>20:45</t>
        </is>
      </c>
      <c r="D2030" t="inlineStr">
        <is>
          <t>n° 38 + n° 39</t>
        </is>
      </c>
      <c r="E2030" t="inlineStr">
        <is>
          <t>Jus de Fruit</t>
        </is>
      </c>
      <c r="F2030" t="n">
        <v>4.2</v>
      </c>
      <c r="G2030" t="inlineStr">
        <is>
          <t>n° 38 : 0,50 + n° 39 : 0,50</t>
        </is>
      </c>
      <c r="H2030" t="n">
        <v>1</v>
      </c>
    </row>
    <row r="2031">
      <c r="A2031" t="inlineStr">
        <is>
          <t>2023-2024</t>
        </is>
      </c>
      <c r="B2031" t="inlineStr">
        <is>
          <t>2023-05-26</t>
        </is>
      </c>
      <c r="C2031" t="inlineStr">
        <is>
          <t>19:41</t>
        </is>
      </c>
      <c r="D2031" t="inlineStr">
        <is>
          <t>n° 18 + n° 19 + n° 20</t>
        </is>
      </c>
      <c r="E2031" t="inlineStr">
        <is>
          <t>Arbois Béthanie</t>
        </is>
      </c>
      <c r="F2031" t="n">
        <v>36</v>
      </c>
      <c r="G2031" t="inlineStr">
        <is>
          <t>n° 18 : 0,50</t>
        </is>
      </c>
      <c r="H2031" t="n">
        <v>0.5</v>
      </c>
    </row>
    <row r="2032">
      <c r="A2032" t="inlineStr">
        <is>
          <t>2023-2024</t>
        </is>
      </c>
      <c r="B2032" t="inlineStr">
        <is>
          <t>2023-05-26</t>
        </is>
      </c>
      <c r="C2032" t="inlineStr">
        <is>
          <t>19:41</t>
        </is>
      </c>
      <c r="D2032" t="inlineStr">
        <is>
          <t>n° 18 + n° 19 + n° 20</t>
        </is>
      </c>
      <c r="E2032" t="inlineStr">
        <is>
          <t>Entrecôte grillée</t>
        </is>
      </c>
      <c r="F2032" t="n">
        <v>19.9</v>
      </c>
      <c r="G2032" t="inlineStr">
        <is>
          <t>n° 19 : 0,50 + n° 20 : 0,50</t>
        </is>
      </c>
      <c r="H2032" t="n">
        <v>1</v>
      </c>
    </row>
    <row r="2033">
      <c r="A2033" t="inlineStr">
        <is>
          <t>2023-2024</t>
        </is>
      </c>
      <c r="B2033" t="inlineStr">
        <is>
          <t>2023-05-26</t>
        </is>
      </c>
      <c r="C2033" t="inlineStr">
        <is>
          <t>19:41</t>
        </is>
      </c>
      <c r="D2033" t="inlineStr">
        <is>
          <t>n° 18 + n° 19 + n° 20</t>
        </is>
      </c>
      <c r="E2033" t="inlineStr">
        <is>
          <t>POULET JURASSIENNE</t>
        </is>
      </c>
      <c r="F2033" t="n">
        <v>18.6</v>
      </c>
      <c r="G2033" t="inlineStr">
        <is>
          <t>n° 19 : 0,50 + n° 20 : 0,50</t>
        </is>
      </c>
      <c r="H2033" t="n">
        <v>1</v>
      </c>
    </row>
    <row r="2034">
      <c r="A2034" t="inlineStr">
        <is>
          <t>2023-2024</t>
        </is>
      </c>
      <c r="B2034" t="inlineStr">
        <is>
          <t>2023-05-26</t>
        </is>
      </c>
      <c r="C2034" t="inlineStr">
        <is>
          <t>19:41</t>
        </is>
      </c>
      <c r="D2034" t="inlineStr">
        <is>
          <t>n° 18 + n° 19 + n° 20</t>
        </is>
      </c>
      <c r="E2034" t="inlineStr">
        <is>
          <t>PICHET ROSE</t>
        </is>
      </c>
      <c r="F2034" t="n">
        <v>10.5</v>
      </c>
      <c r="G2034" t="inlineStr">
        <is>
          <t>n° 19 : 0,50 + n° 20 : 0,50</t>
        </is>
      </c>
      <c r="H2034" t="n">
        <v>1</v>
      </c>
    </row>
    <row r="2035">
      <c r="A2035" t="inlineStr">
        <is>
          <t>2023-2024</t>
        </is>
      </c>
      <c r="B2035" t="inlineStr">
        <is>
          <t>2023-05-26</t>
        </is>
      </c>
      <c r="C2035" t="inlineStr">
        <is>
          <t>19:41</t>
        </is>
      </c>
      <c r="D2035" t="inlineStr">
        <is>
          <t>n° 18 + n° 19 + n° 20</t>
        </is>
      </c>
      <c r="E2035" t="inlineStr">
        <is>
          <t>DOUCEUR</t>
        </is>
      </c>
      <c r="F2035" t="n">
        <v>8.1</v>
      </c>
      <c r="G2035" t="inlineStr">
        <is>
          <t>n° 19 : 0,50 + n° 20 : 0,50</t>
        </is>
      </c>
      <c r="H2035" t="n">
        <v>1</v>
      </c>
    </row>
    <row r="2036">
      <c r="A2036" t="inlineStr">
        <is>
          <t>2023-2024</t>
        </is>
      </c>
      <c r="B2036" t="inlineStr">
        <is>
          <t>2023-05-26</t>
        </is>
      </c>
      <c r="C2036" t="inlineStr">
        <is>
          <t>19:41</t>
        </is>
      </c>
      <c r="D2036" t="inlineStr">
        <is>
          <t>n° 18 + n° 19 + n° 20</t>
        </is>
      </c>
      <c r="E2036" t="inlineStr">
        <is>
          <t>H.C.DE BEAUNE  VERRE</t>
        </is>
      </c>
      <c r="F2036" t="n">
        <v>7.9</v>
      </c>
      <c r="G2036" t="inlineStr">
        <is>
          <t>n° 19 : 0,50 + n° 20 : 0,50</t>
        </is>
      </c>
      <c r="H2036" t="n">
        <v>1</v>
      </c>
    </row>
    <row r="2037">
      <c r="A2037" t="inlineStr">
        <is>
          <t>2023-2024</t>
        </is>
      </c>
      <c r="B2037" t="inlineStr">
        <is>
          <t>2023-05-26</t>
        </is>
      </c>
      <c r="C2037" t="inlineStr">
        <is>
          <t>19:41</t>
        </is>
      </c>
      <c r="D2037" t="inlineStr">
        <is>
          <t>n° 18 + n° 19 + n° 20</t>
        </is>
      </c>
      <c r="E2037" t="inlineStr">
        <is>
          <t>Saint Véran Verre</t>
        </is>
      </c>
      <c r="F2037" t="n">
        <v>7.9</v>
      </c>
      <c r="G2037" t="inlineStr">
        <is>
          <t>n° 19 : 0,50 + n° 20 : 0,50</t>
        </is>
      </c>
      <c r="H2037" t="n">
        <v>1</v>
      </c>
    </row>
    <row r="2038">
      <c r="A2038" t="inlineStr">
        <is>
          <t>2023-2024</t>
        </is>
      </c>
      <c r="B2038" t="inlineStr">
        <is>
          <t>2023-05-26</t>
        </is>
      </c>
      <c r="C2038" t="inlineStr">
        <is>
          <t>19:41</t>
        </is>
      </c>
      <c r="D2038" t="inlineStr">
        <is>
          <t>n° 18 + n° 19 + n° 20</t>
        </is>
      </c>
      <c r="E2038" t="inlineStr">
        <is>
          <t>Père Gregoire</t>
        </is>
      </c>
      <c r="F2038" t="n">
        <v>5.9</v>
      </c>
      <c r="G2038" t="inlineStr">
        <is>
          <t>n° 19 : 0,50 + n° 20 : 0,50</t>
        </is>
      </c>
      <c r="H2038" t="n">
        <v>1</v>
      </c>
    </row>
    <row r="2039">
      <c r="A2039" t="inlineStr">
        <is>
          <t>2023-2024</t>
        </is>
      </c>
      <c r="B2039" t="inlineStr">
        <is>
          <t>2023-05-26</t>
        </is>
      </c>
      <c r="C2039" t="inlineStr">
        <is>
          <t>19:41</t>
        </is>
      </c>
      <c r="D2039" t="inlineStr">
        <is>
          <t>n° 18 + n° 19 + n° 20</t>
        </is>
      </c>
      <c r="E2039" t="inlineStr">
        <is>
          <t>KITTYKIR</t>
        </is>
      </c>
      <c r="F2039" t="n">
        <v>5.2</v>
      </c>
      <c r="G2039" t="inlineStr">
        <is>
          <t>n° 19 : 0,50 + n° 20 : 0,50</t>
        </is>
      </c>
      <c r="H2039" t="n">
        <v>1</v>
      </c>
    </row>
    <row r="2040">
      <c r="A2040" t="inlineStr">
        <is>
          <t>2023-2024</t>
        </is>
      </c>
      <c r="B2040" t="inlineStr">
        <is>
          <t>2023-05-26</t>
        </is>
      </c>
      <c r="C2040" t="inlineStr">
        <is>
          <t>19:41</t>
        </is>
      </c>
      <c r="D2040" t="inlineStr">
        <is>
          <t>n° 18 + n° 19 + n° 20</t>
        </is>
      </c>
      <c r="E2040" t="inlineStr">
        <is>
          <t>Expresso</t>
        </is>
      </c>
      <c r="F2040" t="n">
        <v>2.2</v>
      </c>
      <c r="G2040" t="inlineStr">
        <is>
          <t>n° 18 : 0,50 + n° 19 : 0,50 + n° 20 : 0,50</t>
        </is>
      </c>
      <c r="H2040" t="n">
        <v>1.5</v>
      </c>
    </row>
    <row r="2041">
      <c r="A2041" t="inlineStr">
        <is>
          <t>2023-2024</t>
        </is>
      </c>
      <c r="B2041" t="inlineStr">
        <is>
          <t>2023-05-27</t>
        </is>
      </c>
      <c r="C2041" t="inlineStr">
        <is>
          <t>12:25</t>
        </is>
      </c>
      <c r="D2041" t="inlineStr">
        <is>
          <t>n° 9 + n° 10</t>
        </is>
      </c>
      <c r="E2041" t="inlineStr">
        <is>
          <t>Poulet aux Morilles</t>
        </is>
      </c>
      <c r="F2041" t="n">
        <v>28.6</v>
      </c>
      <c r="G2041" t="inlineStr">
        <is>
          <t>n° 9 : 0,50 + n° 10 : 0,50</t>
        </is>
      </c>
      <c r="H2041" t="n">
        <v>1</v>
      </c>
    </row>
    <row r="2042">
      <c r="A2042" t="inlineStr">
        <is>
          <t>2023-2024</t>
        </is>
      </c>
      <c r="B2042" t="inlineStr">
        <is>
          <t>2023-05-27</t>
        </is>
      </c>
      <c r="C2042" t="inlineStr">
        <is>
          <t>12:25</t>
        </is>
      </c>
      <c r="D2042" t="inlineStr">
        <is>
          <t>n° 9 + n° 10</t>
        </is>
      </c>
      <c r="E2042" t="inlineStr">
        <is>
          <t>PICHET SAVAGNIN</t>
        </is>
      </c>
      <c r="F2042" t="n">
        <v>28</v>
      </c>
      <c r="G2042" t="inlineStr">
        <is>
          <t>n° 9 : 0,50 + n° 10 : 0,50</t>
        </is>
      </c>
      <c r="H2042" t="n">
        <v>1</v>
      </c>
    </row>
    <row r="2043">
      <c r="A2043" t="inlineStr">
        <is>
          <t>2023-2024</t>
        </is>
      </c>
      <c r="B2043" t="inlineStr">
        <is>
          <t>2023-05-27</t>
        </is>
      </c>
      <c r="C2043" t="inlineStr">
        <is>
          <t>12:25</t>
        </is>
      </c>
      <c r="D2043" t="inlineStr">
        <is>
          <t>n° 9 + n° 10</t>
        </is>
      </c>
      <c r="E2043" t="inlineStr">
        <is>
          <t>Sprintz</t>
        </is>
      </c>
      <c r="F2043" t="n">
        <v>9</v>
      </c>
      <c r="G2043" t="inlineStr">
        <is>
          <t>n° 9 : 0,50 + n° 10 : 0,50</t>
        </is>
      </c>
      <c r="H2043" t="n">
        <v>1</v>
      </c>
    </row>
    <row r="2044">
      <c r="A2044" t="inlineStr">
        <is>
          <t>2023-2024</t>
        </is>
      </c>
      <c r="B2044" t="inlineStr">
        <is>
          <t>2023-05-27</t>
        </is>
      </c>
      <c r="C2044" t="inlineStr">
        <is>
          <t>12:25</t>
        </is>
      </c>
      <c r="D2044" t="inlineStr">
        <is>
          <t>n° 9 + n° 10</t>
        </is>
      </c>
      <c r="E2044" t="inlineStr">
        <is>
          <t>Eau de vie Framboise</t>
        </is>
      </c>
      <c r="F2044" t="n">
        <v>6.5</v>
      </c>
      <c r="G2044" t="inlineStr">
        <is>
          <t>n° 9 : 0,50 + n° 10 : 0,50</t>
        </is>
      </c>
      <c r="H2044" t="n">
        <v>1</v>
      </c>
    </row>
    <row r="2045">
      <c r="A2045" t="inlineStr">
        <is>
          <t>2023-2024</t>
        </is>
      </c>
      <c r="B2045" t="inlineStr">
        <is>
          <t>2023-05-27</t>
        </is>
      </c>
      <c r="C2045" t="inlineStr">
        <is>
          <t>12:25</t>
        </is>
      </c>
      <c r="D2045" t="inlineStr">
        <is>
          <t>n° 9 + n° 10</t>
        </is>
      </c>
      <c r="E2045" t="inlineStr">
        <is>
          <t>pression</t>
        </is>
      </c>
      <c r="F2045" t="n">
        <v>4.2</v>
      </c>
      <c r="G2045" t="inlineStr">
        <is>
          <t>n° 9 : 0,50 + n° 10 : 0,50</t>
        </is>
      </c>
      <c r="H2045" t="n">
        <v>1</v>
      </c>
    </row>
    <row r="2046">
      <c r="A2046" t="inlineStr">
        <is>
          <t>2023-2024</t>
        </is>
      </c>
      <c r="B2046" t="inlineStr">
        <is>
          <t>2023-05-27</t>
        </is>
      </c>
      <c r="C2046" t="inlineStr">
        <is>
          <t>12:25</t>
        </is>
      </c>
      <c r="D2046" t="inlineStr">
        <is>
          <t>n° 9 + n° 10</t>
        </is>
      </c>
      <c r="E2046" t="inlineStr">
        <is>
          <t>Coca (25cl)</t>
        </is>
      </c>
      <c r="F2046" t="n">
        <v>3.9</v>
      </c>
      <c r="G2046" t="inlineStr">
        <is>
          <t>n° 9 : 0,50 + n° 10 : 0,50</t>
        </is>
      </c>
      <c r="H2046" t="n">
        <v>1</v>
      </c>
    </row>
    <row r="2047">
      <c r="A2047" t="inlineStr">
        <is>
          <t>2023-2024</t>
        </is>
      </c>
      <c r="B2047" t="inlineStr">
        <is>
          <t>2023-05-28</t>
        </is>
      </c>
      <c r="C2047" t="inlineStr">
        <is>
          <t>12:43</t>
        </is>
      </c>
      <c r="D2047" t="inlineStr">
        <is>
          <t>n° 6 + n° 7 + n° 10 + n° 11</t>
        </is>
      </c>
      <c r="E2047" t="inlineStr">
        <is>
          <t>Menu 'Galette'</t>
        </is>
      </c>
      <c r="F2047" t="n">
        <v>19.5</v>
      </c>
      <c r="G2047" t="inlineStr">
        <is>
          <t>n° 10 : 0,50 + n° 11 : 0,50</t>
        </is>
      </c>
      <c r="H2047" t="n">
        <v>1</v>
      </c>
    </row>
    <row r="2048">
      <c r="A2048" t="inlineStr">
        <is>
          <t>2023-2024</t>
        </is>
      </c>
      <c r="B2048" t="inlineStr">
        <is>
          <t>2023-05-28</t>
        </is>
      </c>
      <c r="C2048" t="inlineStr">
        <is>
          <t>12:43</t>
        </is>
      </c>
      <c r="D2048" t="inlineStr">
        <is>
          <t>n° 6 + n° 7 + n° 10 + n° 11</t>
        </is>
      </c>
      <c r="E2048" t="inlineStr">
        <is>
          <t>ASSIETTE FRANC-COMTO</t>
        </is>
      </c>
      <c r="F2048" t="n">
        <v>18.6</v>
      </c>
      <c r="G2048" t="inlineStr">
        <is>
          <t>n° 6 : 0,50 + n° 7 : 0,50</t>
        </is>
      </c>
      <c r="H2048" t="n">
        <v>1</v>
      </c>
    </row>
    <row r="2049">
      <c r="A2049" t="inlineStr">
        <is>
          <t>2023-2024</t>
        </is>
      </c>
      <c r="B2049" t="inlineStr">
        <is>
          <t>2023-05-28</t>
        </is>
      </c>
      <c r="C2049" t="inlineStr">
        <is>
          <t>12:43</t>
        </is>
      </c>
      <c r="D2049" t="inlineStr">
        <is>
          <t>n° 6 + n° 7 + n° 10 + n° 11</t>
        </is>
      </c>
      <c r="E2049" t="inlineStr">
        <is>
          <t>TRUITE PESTO</t>
        </is>
      </c>
      <c r="F2049" t="n">
        <v>16.9</v>
      </c>
      <c r="G2049" t="inlineStr">
        <is>
          <t>n° 6 : 0,50 + n° 7 : 0,50</t>
        </is>
      </c>
      <c r="H2049" t="n">
        <v>1</v>
      </c>
    </row>
    <row r="2050">
      <c r="A2050" t="inlineStr">
        <is>
          <t>2023-2024</t>
        </is>
      </c>
      <c r="B2050" t="inlineStr">
        <is>
          <t>2023-05-28</t>
        </is>
      </c>
      <c r="C2050" t="inlineStr">
        <is>
          <t>12:43</t>
        </is>
      </c>
      <c r="D2050" t="inlineStr">
        <is>
          <t>n° 6 + n° 7 + n° 10 + n° 11</t>
        </is>
      </c>
      <c r="E2050" t="inlineStr">
        <is>
          <t>PICHET ALIGOTE 50cL</t>
        </is>
      </c>
      <c r="F2050" t="n">
        <v>10.5</v>
      </c>
      <c r="G2050" t="inlineStr">
        <is>
          <t>n° 6 : 0,50 + n° 7 : 0,50</t>
        </is>
      </c>
      <c r="H2050" t="n">
        <v>1</v>
      </c>
    </row>
    <row r="2051">
      <c r="A2051" t="inlineStr">
        <is>
          <t>2023-2024</t>
        </is>
      </c>
      <c r="B2051" t="inlineStr">
        <is>
          <t>2023-05-28</t>
        </is>
      </c>
      <c r="C2051" t="inlineStr">
        <is>
          <t>12:43</t>
        </is>
      </c>
      <c r="D2051" t="inlineStr">
        <is>
          <t>n° 6 + n° 7 + n° 10 + n° 11</t>
        </is>
      </c>
      <c r="E2051" t="inlineStr">
        <is>
          <t>Menu 'Enfant'</t>
        </is>
      </c>
      <c r="F2051" t="n">
        <v>9.9</v>
      </c>
      <c r="G2051" t="inlineStr">
        <is>
          <t>n° 10 : 0,50 + n° 11 : 0,50</t>
        </is>
      </c>
      <c r="H2051" t="n">
        <v>1</v>
      </c>
    </row>
    <row r="2052">
      <c r="A2052" t="inlineStr">
        <is>
          <t>2023-2024</t>
        </is>
      </c>
      <c r="B2052" t="inlineStr">
        <is>
          <t>2023-05-28</t>
        </is>
      </c>
      <c r="C2052" t="inlineStr">
        <is>
          <t>12:43</t>
        </is>
      </c>
      <c r="D2052" t="inlineStr">
        <is>
          <t>n° 6 + n° 7 + n° 10 + n° 11</t>
        </is>
      </c>
      <c r="E2052" t="inlineStr">
        <is>
          <t>Sauce Forestière</t>
        </is>
      </c>
      <c r="F2052" t="n">
        <v>7.9</v>
      </c>
      <c r="G2052" t="inlineStr">
        <is>
          <t>n° 10 : 0,50 + n° 11 : 0,50</t>
        </is>
      </c>
      <c r="H2052" t="n">
        <v>1</v>
      </c>
    </row>
    <row r="2053">
      <c r="A2053" t="inlineStr">
        <is>
          <t>2023-2024</t>
        </is>
      </c>
      <c r="B2053" t="inlineStr">
        <is>
          <t>2023-05-28</t>
        </is>
      </c>
      <c r="C2053" t="inlineStr">
        <is>
          <t>12:43</t>
        </is>
      </c>
      <c r="D2053" t="inlineStr">
        <is>
          <t>n° 6 + n° 7 + n° 10 + n° 11</t>
        </is>
      </c>
      <c r="E2053" t="inlineStr">
        <is>
          <t>Jamhon Persillé</t>
        </is>
      </c>
      <c r="F2053" t="n">
        <v>7.2</v>
      </c>
      <c r="G2053" t="inlineStr">
        <is>
          <t>n° 10 : 0,50 + n° 11 : 0,50</t>
        </is>
      </c>
      <c r="H2053" t="n">
        <v>1</v>
      </c>
    </row>
    <row r="2054">
      <c r="A2054" t="inlineStr">
        <is>
          <t>2023-2024</t>
        </is>
      </c>
      <c r="B2054" t="inlineStr">
        <is>
          <t>2023-05-28</t>
        </is>
      </c>
      <c r="C2054" t="inlineStr">
        <is>
          <t>12:43</t>
        </is>
      </c>
      <c r="D2054" t="inlineStr">
        <is>
          <t>n° 6 + n° 7 + n° 10 + n° 11</t>
        </is>
      </c>
      <c r="E2054" t="inlineStr">
        <is>
          <t>Luna</t>
        </is>
      </c>
      <c r="F2054" t="n">
        <v>6</v>
      </c>
      <c r="G2054" t="inlineStr">
        <is>
          <t>n° 10 : 0,50 + n° 11 : 0,50</t>
        </is>
      </c>
      <c r="H2054" t="n">
        <v>1</v>
      </c>
    </row>
    <row r="2055">
      <c r="A2055" t="inlineStr">
        <is>
          <t>2023-2024</t>
        </is>
      </c>
      <c r="B2055" t="inlineStr">
        <is>
          <t>2023-05-28</t>
        </is>
      </c>
      <c r="C2055" t="inlineStr">
        <is>
          <t>12:43</t>
        </is>
      </c>
      <c r="D2055" t="inlineStr">
        <is>
          <t>n° 6 + n° 7 + n° 10 + n° 11</t>
        </is>
      </c>
      <c r="E2055" t="inlineStr">
        <is>
          <t>Père Gregoire</t>
        </is>
      </c>
      <c r="F2055" t="n">
        <v>5.9</v>
      </c>
      <c r="G2055" t="inlineStr">
        <is>
          <t>n° 10 : 0,50 + n° 11 : 0,50</t>
        </is>
      </c>
      <c r="H2055" t="n">
        <v>1</v>
      </c>
    </row>
    <row r="2056">
      <c r="A2056" t="inlineStr">
        <is>
          <t>2023-2024</t>
        </is>
      </c>
      <c r="B2056" t="inlineStr">
        <is>
          <t>2023-05-28</t>
        </is>
      </c>
      <c r="C2056" t="inlineStr">
        <is>
          <t>12:43</t>
        </is>
      </c>
      <c r="D2056" t="inlineStr">
        <is>
          <t>n° 6 + n° 7 + n° 10 + n° 11</t>
        </is>
      </c>
      <c r="E2056" t="inlineStr">
        <is>
          <t>KITTYKIR</t>
        </is>
      </c>
      <c r="F2056" t="n">
        <v>5.2</v>
      </c>
      <c r="G2056" t="inlineStr">
        <is>
          <t>n° 10 : 0,50 + n° 11 : 0,50</t>
        </is>
      </c>
      <c r="H2056" t="n">
        <v>1</v>
      </c>
    </row>
    <row r="2057">
      <c r="A2057" t="inlineStr">
        <is>
          <t>2023-2024</t>
        </is>
      </c>
      <c r="B2057" t="inlineStr">
        <is>
          <t>2023-05-28</t>
        </is>
      </c>
      <c r="C2057" t="inlineStr">
        <is>
          <t>12:43</t>
        </is>
      </c>
      <c r="D2057" t="inlineStr">
        <is>
          <t>n° 6 + n° 7 + n° 10 + n° 11</t>
        </is>
      </c>
      <c r="E2057" t="inlineStr">
        <is>
          <t>pression</t>
        </is>
      </c>
      <c r="F2057" t="n">
        <v>4.2</v>
      </c>
      <c r="G2057" t="inlineStr">
        <is>
          <t>n° 10 : 0,50 + n° 11 : 0,50</t>
        </is>
      </c>
      <c r="H2057" t="n">
        <v>1</v>
      </c>
    </row>
    <row r="2058">
      <c r="A2058" t="inlineStr">
        <is>
          <t>2023-2024</t>
        </is>
      </c>
      <c r="B2058" t="inlineStr">
        <is>
          <t>2023-05-28</t>
        </is>
      </c>
      <c r="C2058" t="inlineStr">
        <is>
          <t>12:43</t>
        </is>
      </c>
      <c r="D2058" t="inlineStr">
        <is>
          <t>n° 6 + n° 7 + n° 10 + n° 11</t>
        </is>
      </c>
      <c r="E2058" t="inlineStr">
        <is>
          <t>Galette nature</t>
        </is>
      </c>
      <c r="F2058" t="n">
        <v>3.9</v>
      </c>
      <c r="G2058" t="inlineStr">
        <is>
          <t>n° 10 : 0,50 + n° 11 : 0,50</t>
        </is>
      </c>
      <c r="H2058" t="n">
        <v>1</v>
      </c>
    </row>
    <row r="2059">
      <c r="A2059" t="inlineStr">
        <is>
          <t>2023-2024</t>
        </is>
      </c>
      <c r="B2059" t="inlineStr">
        <is>
          <t>2023-05-28</t>
        </is>
      </c>
      <c r="C2059" t="inlineStr">
        <is>
          <t>12:43</t>
        </is>
      </c>
      <c r="D2059" t="inlineStr">
        <is>
          <t>n° 6 + n° 7 + n° 10 + n° 11</t>
        </is>
      </c>
      <c r="E2059" t="inlineStr">
        <is>
          <t>Infusion</t>
        </is>
      </c>
      <c r="F2059" t="n">
        <v>3.4</v>
      </c>
      <c r="G2059" t="inlineStr">
        <is>
          <t>n° 10 : 0,50 + n° 11 : 0,50</t>
        </is>
      </c>
      <c r="H2059" t="n">
        <v>1</v>
      </c>
    </row>
    <row r="2060">
      <c r="A2060" t="inlineStr">
        <is>
          <t>2023-2024</t>
        </is>
      </c>
      <c r="B2060" t="inlineStr">
        <is>
          <t>2023-05-28</t>
        </is>
      </c>
      <c r="C2060" t="inlineStr">
        <is>
          <t>12:43</t>
        </is>
      </c>
      <c r="D2060" t="inlineStr">
        <is>
          <t>n° 6 + n° 7 + n° 10 + n° 11</t>
        </is>
      </c>
      <c r="E2060" t="inlineStr">
        <is>
          <t>Expresso</t>
        </is>
      </c>
      <c r="F2060" t="n">
        <v>2.2</v>
      </c>
      <c r="G2060" t="inlineStr">
        <is>
          <t>n° 10 : 1,50 + n° 11 : 1,50</t>
        </is>
      </c>
      <c r="H2060" t="n">
        <v>3</v>
      </c>
    </row>
    <row r="2061">
      <c r="A2061" t="inlineStr">
        <is>
          <t>2023-2024</t>
        </is>
      </c>
      <c r="B2061" t="inlineStr">
        <is>
          <t>2023-05-28</t>
        </is>
      </c>
      <c r="C2061" t="inlineStr">
        <is>
          <t>12:43</t>
        </is>
      </c>
      <c r="D2061" t="inlineStr">
        <is>
          <t>n° 6 + n° 7 + n° 10 + n° 11</t>
        </is>
      </c>
      <c r="E2061" t="inlineStr">
        <is>
          <t>Œuf</t>
        </is>
      </c>
      <c r="F2061" t="n">
        <v>0.9</v>
      </c>
      <c r="G2061" t="inlineStr">
        <is>
          <t>n° 10 : 0,50 + n° 11 : 0,50</t>
        </is>
      </c>
      <c r="H2061" t="n">
        <v>1</v>
      </c>
    </row>
    <row r="2062">
      <c r="A2062" t="inlineStr">
        <is>
          <t>2023-2024</t>
        </is>
      </c>
      <c r="B2062" t="inlineStr">
        <is>
          <t>2023-05-28</t>
        </is>
      </c>
      <c r="C2062" t="inlineStr">
        <is>
          <t>20:58</t>
        </is>
      </c>
      <c r="D2062" t="inlineStr">
        <is>
          <t>n° 29 + n° 30</t>
        </is>
      </c>
      <c r="E2062" t="inlineStr">
        <is>
          <t>pichet Saint Joseph</t>
        </is>
      </c>
      <c r="F2062" t="n">
        <v>32.2</v>
      </c>
      <c r="G2062" t="inlineStr">
        <is>
          <t>n° 29 : 0,50 + n° 30 : 0,50</t>
        </is>
      </c>
      <c r="H2062" t="n">
        <v>1</v>
      </c>
    </row>
    <row r="2063">
      <c r="A2063" t="inlineStr">
        <is>
          <t>2023-2024</t>
        </is>
      </c>
      <c r="B2063" t="inlineStr">
        <is>
          <t>2023-05-28</t>
        </is>
      </c>
      <c r="C2063" t="inlineStr">
        <is>
          <t>20:58</t>
        </is>
      </c>
      <c r="D2063" t="inlineStr">
        <is>
          <t>n° 29 + n° 30</t>
        </is>
      </c>
      <c r="E2063" t="inlineStr">
        <is>
          <t>PICHET MACON</t>
        </is>
      </c>
      <c r="F2063" t="n">
        <v>21</v>
      </c>
      <c r="G2063" t="inlineStr">
        <is>
          <t>n° 29 : 0,50 + n° 30 : 0,50</t>
        </is>
      </c>
      <c r="H2063" t="n">
        <v>1</v>
      </c>
    </row>
    <row r="2064">
      <c r="A2064" t="inlineStr">
        <is>
          <t>2023-2024</t>
        </is>
      </c>
      <c r="B2064" t="inlineStr">
        <is>
          <t>2023-05-28</t>
        </is>
      </c>
      <c r="C2064" t="inlineStr">
        <is>
          <t>20:58</t>
        </is>
      </c>
      <c r="D2064" t="inlineStr">
        <is>
          <t>n° 29 + n° 30</t>
        </is>
      </c>
      <c r="E2064" t="inlineStr">
        <is>
          <t>Baba</t>
        </is>
      </c>
      <c r="F2064" t="n">
        <v>8.9</v>
      </c>
      <c r="G2064" t="inlineStr">
        <is>
          <t>n° 29 : 0,50 + n° 30 : 0,50</t>
        </is>
      </c>
      <c r="H2064" t="n">
        <v>1</v>
      </c>
    </row>
    <row r="2065">
      <c r="A2065" t="inlineStr">
        <is>
          <t>2023-2024</t>
        </is>
      </c>
      <c r="B2065" t="inlineStr">
        <is>
          <t>2023-05-28</t>
        </is>
      </c>
      <c r="C2065" t="inlineStr">
        <is>
          <t>20:58</t>
        </is>
      </c>
      <c r="D2065" t="inlineStr">
        <is>
          <t>n° 29 + n° 30</t>
        </is>
      </c>
      <c r="E2065" t="inlineStr">
        <is>
          <t>CREME BRULEE</t>
        </is>
      </c>
      <c r="F2065" t="n">
        <v>7.9</v>
      </c>
      <c r="G2065" t="inlineStr">
        <is>
          <t>n° 29 : 0,50 + n° 30 : 0,50</t>
        </is>
      </c>
      <c r="H2065" t="n">
        <v>1</v>
      </c>
    </row>
    <row r="2066">
      <c r="A2066" t="inlineStr">
        <is>
          <t>2023-2024</t>
        </is>
      </c>
      <c r="B2066" t="inlineStr">
        <is>
          <t>2023-05-28</t>
        </is>
      </c>
      <c r="C2066" t="inlineStr">
        <is>
          <t>20:58</t>
        </is>
      </c>
      <c r="D2066" t="inlineStr">
        <is>
          <t>n° 29 + n° 30</t>
        </is>
      </c>
      <c r="E2066" t="inlineStr">
        <is>
          <t>La Vouivre</t>
        </is>
      </c>
      <c r="F2066" t="n">
        <v>5.9</v>
      </c>
      <c r="G2066" t="inlineStr">
        <is>
          <t>n° 29 : 0,50 + n° 30 : 0,50</t>
        </is>
      </c>
      <c r="H2066" t="n">
        <v>1</v>
      </c>
    </row>
    <row r="2067">
      <c r="A2067" t="inlineStr">
        <is>
          <t>2023-2024</t>
        </is>
      </c>
      <c r="B2067" t="inlineStr">
        <is>
          <t>2023-05-28</t>
        </is>
      </c>
      <c r="C2067" t="inlineStr">
        <is>
          <t>20:58</t>
        </is>
      </c>
      <c r="D2067" t="inlineStr">
        <is>
          <t>n° 29 + n° 30</t>
        </is>
      </c>
      <c r="E2067" t="inlineStr">
        <is>
          <t>Chat perché</t>
        </is>
      </c>
      <c r="F2067" t="n">
        <v>5.9</v>
      </c>
      <c r="G2067" t="inlineStr">
        <is>
          <t>n° 29 : 0,50 + n° 30 : 0,50</t>
        </is>
      </c>
      <c r="H2067" t="n">
        <v>1</v>
      </c>
    </row>
    <row r="2068">
      <c r="A2068" t="inlineStr">
        <is>
          <t>2023-2024</t>
        </is>
      </c>
      <c r="B2068" t="inlineStr">
        <is>
          <t>2023-05-28</t>
        </is>
      </c>
      <c r="C2068" t="inlineStr">
        <is>
          <t>20:58</t>
        </is>
      </c>
      <c r="D2068" t="inlineStr">
        <is>
          <t>n° 29 + n° 30</t>
        </is>
      </c>
      <c r="E2068" t="inlineStr">
        <is>
          <t>pression</t>
        </is>
      </c>
      <c r="F2068" t="n">
        <v>4.2</v>
      </c>
      <c r="G2068" t="inlineStr">
        <is>
          <t>n° 29 : 0,50 + n° 30 : 0,50</t>
        </is>
      </c>
      <c r="H2068" t="n">
        <v>1</v>
      </c>
    </row>
    <row r="2069">
      <c r="A2069" t="inlineStr">
        <is>
          <t>2023-2024</t>
        </is>
      </c>
      <c r="B2069" t="inlineStr">
        <is>
          <t>2023-05-28</t>
        </is>
      </c>
      <c r="C2069" t="inlineStr">
        <is>
          <t>20:58</t>
        </is>
      </c>
      <c r="D2069" t="inlineStr">
        <is>
          <t>n° 29 + n° 30</t>
        </is>
      </c>
      <c r="E2069" t="inlineStr">
        <is>
          <t>Coca (25cl)</t>
        </is>
      </c>
      <c r="F2069" t="n">
        <v>3.9</v>
      </c>
      <c r="G2069" t="inlineStr">
        <is>
          <t>n° 29 : 0,50 + n° 30 : 0,50</t>
        </is>
      </c>
      <c r="H2069" t="n">
        <v>1</v>
      </c>
    </row>
    <row r="2070">
      <c r="A2070" t="inlineStr">
        <is>
          <t>2023-2024</t>
        </is>
      </c>
      <c r="B2070" t="inlineStr">
        <is>
          <t>2023-05-28</t>
        </is>
      </c>
      <c r="C2070" t="inlineStr">
        <is>
          <t>20:58</t>
        </is>
      </c>
      <c r="D2070" t="inlineStr">
        <is>
          <t>n° 29 + n° 30</t>
        </is>
      </c>
      <c r="E2070" t="inlineStr">
        <is>
          <t>Déca</t>
        </is>
      </c>
      <c r="F2070" t="n">
        <v>2.2</v>
      </c>
      <c r="G2070" t="inlineStr">
        <is>
          <t>n° 29 : 0,50 + n° 30 : 0,50</t>
        </is>
      </c>
      <c r="H2070" t="n">
        <v>1</v>
      </c>
    </row>
    <row r="2071">
      <c r="A2071" t="inlineStr">
        <is>
          <t>2023-2024</t>
        </is>
      </c>
      <c r="B2071" t="inlineStr">
        <is>
          <t>2023-05-31</t>
        </is>
      </c>
      <c r="C2071" t="inlineStr">
        <is>
          <t>12:28</t>
        </is>
      </c>
      <c r="D2071" t="inlineStr">
        <is>
          <t>n° 8 + n° 9 + n° 11</t>
        </is>
      </c>
      <c r="E2071" t="inlineStr">
        <is>
          <t>POULET JURASSIENNE</t>
        </is>
      </c>
      <c r="F2071" t="n">
        <v>18.6</v>
      </c>
      <c r="G2071" t="inlineStr">
        <is>
          <t>n° 8 : 0,50 + n° 9 : 0,50</t>
        </is>
      </c>
      <c r="H2071" t="n">
        <v>1</v>
      </c>
    </row>
    <row r="2072">
      <c r="A2072" t="inlineStr">
        <is>
          <t>2023-2024</t>
        </is>
      </c>
      <c r="B2072" t="inlineStr">
        <is>
          <t>2023-05-31</t>
        </is>
      </c>
      <c r="C2072" t="inlineStr">
        <is>
          <t>12:28</t>
        </is>
      </c>
      <c r="D2072" t="inlineStr">
        <is>
          <t>n° 8 + n° 9 + n° 11</t>
        </is>
      </c>
      <c r="E2072" t="inlineStr">
        <is>
          <t>TANTELIN</t>
        </is>
      </c>
      <c r="F2072" t="n">
        <v>17.4</v>
      </c>
      <c r="G2072" t="inlineStr">
        <is>
          <t>n° 11 : 0,50</t>
        </is>
      </c>
      <c r="H2072" t="n">
        <v>0.5</v>
      </c>
    </row>
    <row r="2073">
      <c r="A2073" t="inlineStr">
        <is>
          <t>2023-2024</t>
        </is>
      </c>
      <c r="B2073" t="inlineStr">
        <is>
          <t>2023-05-31</t>
        </is>
      </c>
      <c r="C2073" t="inlineStr">
        <is>
          <t>12:28</t>
        </is>
      </c>
      <c r="D2073" t="inlineStr">
        <is>
          <t>n° 8 + n° 9 + n° 11</t>
        </is>
      </c>
      <c r="E2073" t="inlineStr">
        <is>
          <t>TRUITE PESTO</t>
        </is>
      </c>
      <c r="F2073" t="n">
        <v>16.9</v>
      </c>
      <c r="G2073" t="inlineStr">
        <is>
          <t>n° 8 : 0,50 + n° 9 : 0,50</t>
        </is>
      </c>
      <c r="H2073" t="n">
        <v>1</v>
      </c>
    </row>
    <row r="2074">
      <c r="A2074" t="inlineStr">
        <is>
          <t>2023-2024</t>
        </is>
      </c>
      <c r="B2074" t="inlineStr">
        <is>
          <t>2023-05-31</t>
        </is>
      </c>
      <c r="C2074" t="inlineStr">
        <is>
          <t>12:28</t>
        </is>
      </c>
      <c r="D2074" t="inlineStr">
        <is>
          <t>n° 8 + n° 9 + n° 11</t>
        </is>
      </c>
      <c r="E2074" t="inlineStr">
        <is>
          <t>Pavlova</t>
        </is>
      </c>
      <c r="F2074" t="n">
        <v>8.9</v>
      </c>
      <c r="G2074" t="inlineStr">
        <is>
          <t>n° 8 : 0,50 + n° 9 : 0,50</t>
        </is>
      </c>
      <c r="H2074" t="n">
        <v>1</v>
      </c>
    </row>
    <row r="2075">
      <c r="A2075" t="inlineStr">
        <is>
          <t>2023-2024</t>
        </is>
      </c>
      <c r="B2075" t="inlineStr">
        <is>
          <t>2023-05-31</t>
        </is>
      </c>
      <c r="C2075" t="inlineStr">
        <is>
          <t>12:28</t>
        </is>
      </c>
      <c r="D2075" t="inlineStr">
        <is>
          <t>n° 8 + n° 9 + n° 11</t>
        </is>
      </c>
      <c r="E2075" t="inlineStr">
        <is>
          <t>Crêpe Marrons</t>
        </is>
      </c>
      <c r="F2075" t="n">
        <v>6.4</v>
      </c>
      <c r="G2075" t="inlineStr">
        <is>
          <t>n° 8 : 0,50 + n° 9 : 0,50</t>
        </is>
      </c>
      <c r="H2075" t="n">
        <v>1</v>
      </c>
    </row>
    <row r="2076">
      <c r="A2076" t="inlineStr">
        <is>
          <t>2023-2024</t>
        </is>
      </c>
      <c r="B2076" t="inlineStr">
        <is>
          <t>2023-05-31</t>
        </is>
      </c>
      <c r="C2076" t="inlineStr">
        <is>
          <t>12:28</t>
        </is>
      </c>
      <c r="D2076" t="inlineStr">
        <is>
          <t>n° 8 + n° 9 + n° 11</t>
        </is>
      </c>
      <c r="E2076" t="inlineStr">
        <is>
          <t>Chat perché</t>
        </is>
      </c>
      <c r="F2076" t="n">
        <v>5.9</v>
      </c>
      <c r="G2076" t="inlineStr">
        <is>
          <t>n° 8 : 0,50 + n° 9 : 0,50</t>
        </is>
      </c>
      <c r="H2076" t="n">
        <v>1</v>
      </c>
    </row>
    <row r="2077">
      <c r="A2077" t="inlineStr">
        <is>
          <t>2023-2024</t>
        </is>
      </c>
      <c r="B2077" t="inlineStr">
        <is>
          <t>2023-05-31</t>
        </is>
      </c>
      <c r="C2077" t="inlineStr">
        <is>
          <t>12:28</t>
        </is>
      </c>
      <c r="D2077" t="inlineStr">
        <is>
          <t>n° 8 + n° 9 + n° 11</t>
        </is>
      </c>
      <c r="E2077" t="inlineStr">
        <is>
          <t>Père Gregoire</t>
        </is>
      </c>
      <c r="F2077" t="n">
        <v>5.9</v>
      </c>
      <c r="G2077" t="inlineStr">
        <is>
          <t>n° 8 : 0,50 + n° 9 : 0,50</t>
        </is>
      </c>
      <c r="H2077" t="n">
        <v>1</v>
      </c>
    </row>
    <row r="2078">
      <c r="A2078" t="inlineStr">
        <is>
          <t>2023-2024</t>
        </is>
      </c>
      <c r="B2078" t="inlineStr">
        <is>
          <t>2023-05-31</t>
        </is>
      </c>
      <c r="C2078" t="inlineStr">
        <is>
          <t>12:28</t>
        </is>
      </c>
      <c r="D2078" t="inlineStr">
        <is>
          <t>n° 8 + n° 9 + n° 11</t>
        </is>
      </c>
      <c r="E2078" t="inlineStr">
        <is>
          <t>VERRE CHUSCLAN</t>
        </is>
      </c>
      <c r="F2078" t="n">
        <v>3.9</v>
      </c>
      <c r="G2078" t="inlineStr">
        <is>
          <t>n° 11 : 0,50</t>
        </is>
      </c>
      <c r="H2078" t="n">
        <v>0.5</v>
      </c>
    </row>
    <row r="2079">
      <c r="A2079" t="inlineStr">
        <is>
          <t>2023-2024</t>
        </is>
      </c>
      <c r="B2079" t="inlineStr">
        <is>
          <t>2023-05-31</t>
        </is>
      </c>
      <c r="C2079" t="inlineStr">
        <is>
          <t>12:28</t>
        </is>
      </c>
      <c r="D2079" t="inlineStr">
        <is>
          <t>n° 8 + n° 9 + n° 11</t>
        </is>
      </c>
      <c r="E2079" t="inlineStr">
        <is>
          <t>Verre CHUSCLAN</t>
        </is>
      </c>
      <c r="F2079" t="n">
        <v>3.9</v>
      </c>
      <c r="G2079" t="inlineStr">
        <is>
          <t>n° 11 : 0,50</t>
        </is>
      </c>
      <c r="H2079" t="n">
        <v>0.5</v>
      </c>
    </row>
    <row r="2080">
      <c r="A2080" t="inlineStr">
        <is>
          <t>2023-2024</t>
        </is>
      </c>
      <c r="B2080" t="inlineStr">
        <is>
          <t>2023-05-31</t>
        </is>
      </c>
      <c r="C2080" t="inlineStr">
        <is>
          <t>19:38</t>
        </is>
      </c>
      <c r="D2080" t="inlineStr">
        <is>
          <t>n° 18 + n° 19</t>
        </is>
      </c>
      <c r="E2080" t="inlineStr">
        <is>
          <t>Pichet CHUSLAN</t>
        </is>
      </c>
      <c r="F2080" t="n">
        <v>9.5</v>
      </c>
      <c r="G2080" t="inlineStr">
        <is>
          <t>n° 18 : 0,50 + n° 19 : 0,50</t>
        </is>
      </c>
      <c r="H2080" t="n">
        <v>1</v>
      </c>
    </row>
    <row r="2081">
      <c r="A2081" t="inlineStr">
        <is>
          <t>2023-2024</t>
        </is>
      </c>
      <c r="B2081" t="inlineStr">
        <is>
          <t>2023-06-01</t>
        </is>
      </c>
      <c r="C2081" t="inlineStr">
        <is>
          <t>21:07</t>
        </is>
      </c>
      <c r="D2081" t="inlineStr">
        <is>
          <t>n° 25 + n° 26</t>
        </is>
      </c>
      <c r="E2081" t="inlineStr">
        <is>
          <t>Sprintz</t>
        </is>
      </c>
      <c r="F2081" t="n">
        <v>9</v>
      </c>
      <c r="G2081" t="inlineStr">
        <is>
          <t>n° 25 : 0,50 + n° 26 : 0,50</t>
        </is>
      </c>
      <c r="H2081" t="n">
        <v>1</v>
      </c>
    </row>
    <row r="2082">
      <c r="A2082" t="inlineStr">
        <is>
          <t>2023-2024</t>
        </is>
      </c>
      <c r="B2082" t="inlineStr">
        <is>
          <t>2023-06-01</t>
        </is>
      </c>
      <c r="C2082" t="inlineStr">
        <is>
          <t>21:07</t>
        </is>
      </c>
      <c r="D2082" t="inlineStr">
        <is>
          <t>n° 25 + n° 26</t>
        </is>
      </c>
      <c r="E2082" t="inlineStr">
        <is>
          <t>La Vouivre</t>
        </is>
      </c>
      <c r="F2082" t="n">
        <v>5.9</v>
      </c>
      <c r="G2082" t="inlineStr">
        <is>
          <t>n° 25 : 0,50 + n° 26 : 0,50</t>
        </is>
      </c>
      <c r="H2082" t="n">
        <v>1</v>
      </c>
    </row>
    <row r="2083">
      <c r="A2083" t="inlineStr">
        <is>
          <t>2023-2024</t>
        </is>
      </c>
      <c r="B2083" t="inlineStr">
        <is>
          <t>2023-06-02</t>
        </is>
      </c>
      <c r="C2083" t="inlineStr">
        <is>
          <t>12:02</t>
        </is>
      </c>
      <c r="D2083" t="inlineStr">
        <is>
          <t>n° 5 + n° 6</t>
        </is>
      </c>
      <c r="E2083" t="inlineStr">
        <is>
          <t>FORMULE EXPRESS</t>
        </is>
      </c>
      <c r="F2083" t="n">
        <v>18.6</v>
      </c>
      <c r="G2083" t="inlineStr">
        <is>
          <t>n° 5 : 0,50 + n° 6 : 0,50</t>
        </is>
      </c>
      <c r="H2083" t="n">
        <v>1</v>
      </c>
    </row>
    <row r="2084">
      <c r="A2084" t="inlineStr">
        <is>
          <t>2023-2024</t>
        </is>
      </c>
      <c r="B2084" t="inlineStr">
        <is>
          <t>2023-06-02</t>
        </is>
      </c>
      <c r="C2084" t="inlineStr">
        <is>
          <t>12:02</t>
        </is>
      </c>
      <c r="D2084" t="inlineStr">
        <is>
          <t>n° 5 + n° 6</t>
        </is>
      </c>
      <c r="E2084" t="inlineStr">
        <is>
          <t>Salade Franc-Comptoi</t>
        </is>
      </c>
      <c r="F2084" t="n">
        <v>8.9</v>
      </c>
      <c r="G2084" t="inlineStr">
        <is>
          <t>n° 5 : 0,50 + n° 6 : 0,50</t>
        </is>
      </c>
      <c r="H2084" t="n">
        <v>1</v>
      </c>
    </row>
    <row r="2085">
      <c r="A2085" t="inlineStr">
        <is>
          <t>2023-2024</t>
        </is>
      </c>
      <c r="B2085" t="inlineStr">
        <is>
          <t>2023-06-02</t>
        </is>
      </c>
      <c r="C2085" t="inlineStr">
        <is>
          <t>12:02</t>
        </is>
      </c>
      <c r="D2085" t="inlineStr">
        <is>
          <t>n° 5 + n° 6</t>
        </is>
      </c>
      <c r="E2085" t="inlineStr">
        <is>
          <t>Crêpe Salidou</t>
        </is>
      </c>
      <c r="F2085" t="n">
        <v>6.4</v>
      </c>
      <c r="G2085" t="inlineStr">
        <is>
          <t>n° 5 : 0,50 + n° 6 : 0,50</t>
        </is>
      </c>
      <c r="H2085" t="n">
        <v>1</v>
      </c>
    </row>
    <row r="2086">
      <c r="A2086" t="inlineStr">
        <is>
          <t>2023-2024</t>
        </is>
      </c>
      <c r="B2086" t="inlineStr">
        <is>
          <t>2023-06-02</t>
        </is>
      </c>
      <c r="C2086" t="inlineStr">
        <is>
          <t>12:02</t>
        </is>
      </c>
      <c r="D2086" t="inlineStr">
        <is>
          <t>n° 5 + n° 6</t>
        </is>
      </c>
      <c r="E2086" t="inlineStr">
        <is>
          <t>Père Gregoire</t>
        </is>
      </c>
      <c r="F2086" t="n">
        <v>5.9</v>
      </c>
      <c r="G2086" t="inlineStr">
        <is>
          <t>n° 5 : 0,50 + n° 6 : 0,50</t>
        </is>
      </c>
      <c r="H2086" t="n">
        <v>1</v>
      </c>
    </row>
    <row r="2087">
      <c r="A2087" t="inlineStr">
        <is>
          <t>2023-2024</t>
        </is>
      </c>
      <c r="B2087" t="inlineStr">
        <is>
          <t>2023-06-02</t>
        </is>
      </c>
      <c r="C2087" t="inlineStr">
        <is>
          <t>12:02</t>
        </is>
      </c>
      <c r="D2087" t="inlineStr">
        <is>
          <t>n° 5 + n° 6</t>
        </is>
      </c>
      <c r="E2087" t="inlineStr">
        <is>
          <t>La Vouivre</t>
        </is>
      </c>
      <c r="F2087" t="n">
        <v>5.9</v>
      </c>
      <c r="G2087" t="inlineStr">
        <is>
          <t>n° 5 : 0,50 + n° 6 : 0,50</t>
        </is>
      </c>
      <c r="H2087" t="n">
        <v>1</v>
      </c>
    </row>
    <row r="2088">
      <c r="A2088" t="inlineStr">
        <is>
          <t>2023-2024</t>
        </is>
      </c>
      <c r="B2088" t="inlineStr">
        <is>
          <t>2023-06-02</t>
        </is>
      </c>
      <c r="C2088" t="inlineStr">
        <is>
          <t>12:02</t>
        </is>
      </c>
      <c r="D2088" t="inlineStr">
        <is>
          <t>n° 5 + n° 6</t>
        </is>
      </c>
      <c r="E2088" t="inlineStr">
        <is>
          <t>Pommes cuites</t>
        </is>
      </c>
      <c r="F2088" t="n">
        <v>3.2</v>
      </c>
      <c r="G2088" t="inlineStr">
        <is>
          <t>n° 5 : 0,50 + n° 6 : 0,50</t>
        </is>
      </c>
      <c r="H2088" t="n">
        <v>1</v>
      </c>
    </row>
    <row r="2089">
      <c r="A2089" t="inlineStr">
        <is>
          <t>2023-2024</t>
        </is>
      </c>
      <c r="B2089" t="inlineStr">
        <is>
          <t>2023-06-02</t>
        </is>
      </c>
      <c r="C2089" t="inlineStr">
        <is>
          <t>13:12</t>
        </is>
      </c>
      <c r="D2089" t="inlineStr">
        <is>
          <t>n° 20 + n° 21</t>
        </is>
      </c>
      <c r="E2089" t="inlineStr">
        <is>
          <t>Poulet aux Morilles</t>
        </is>
      </c>
      <c r="F2089" t="n">
        <v>28.6</v>
      </c>
      <c r="G2089" t="inlineStr">
        <is>
          <t>n° 20 : 0,50 + n° 21 : 0,50</t>
        </is>
      </c>
      <c r="H2089" t="n">
        <v>1</v>
      </c>
    </row>
    <row r="2090">
      <c r="A2090" t="inlineStr">
        <is>
          <t>2023-2024</t>
        </is>
      </c>
      <c r="B2090" t="inlineStr">
        <is>
          <t>2023-06-02</t>
        </is>
      </c>
      <c r="C2090" t="inlineStr">
        <is>
          <t>13:12</t>
        </is>
      </c>
      <c r="D2090" t="inlineStr">
        <is>
          <t>n° 20 + n° 21</t>
        </is>
      </c>
      <c r="E2090" t="inlineStr">
        <is>
          <t>TRUITE JURASSIENNE</t>
        </is>
      </c>
      <c r="F2090" t="n">
        <v>18.6</v>
      </c>
      <c r="G2090" t="inlineStr">
        <is>
          <t>n° 20 : 0,50 + n° 21 : 0,50</t>
        </is>
      </c>
      <c r="H2090" t="n">
        <v>1</v>
      </c>
    </row>
    <row r="2091">
      <c r="A2091" t="inlineStr">
        <is>
          <t>2023-2024</t>
        </is>
      </c>
      <c r="B2091" t="inlineStr">
        <is>
          <t>2023-06-02</t>
        </is>
      </c>
      <c r="C2091" t="inlineStr">
        <is>
          <t>13:12</t>
        </is>
      </c>
      <c r="D2091" t="inlineStr">
        <is>
          <t>n° 20 + n° 21</t>
        </is>
      </c>
      <c r="E2091" t="inlineStr">
        <is>
          <t>VALENTINE</t>
        </is>
      </c>
      <c r="F2091" t="n">
        <v>11.1</v>
      </c>
      <c r="G2091" t="inlineStr">
        <is>
          <t>n° 20 : 0,50 + n° 21 : 0,50</t>
        </is>
      </c>
      <c r="H2091" t="n">
        <v>1</v>
      </c>
    </row>
    <row r="2092">
      <c r="A2092" t="inlineStr">
        <is>
          <t>2023-2024</t>
        </is>
      </c>
      <c r="B2092" t="inlineStr">
        <is>
          <t>2023-06-02</t>
        </is>
      </c>
      <c r="C2092" t="inlineStr">
        <is>
          <t>13:12</t>
        </is>
      </c>
      <c r="D2092" t="inlineStr">
        <is>
          <t>n° 20 + n° 21</t>
        </is>
      </c>
      <c r="E2092" t="inlineStr">
        <is>
          <t>Baba</t>
        </is>
      </c>
      <c r="F2092" t="n">
        <v>8.9</v>
      </c>
      <c r="G2092" t="inlineStr">
        <is>
          <t>n° 20 : 0,50 + n° 21 : 0,50</t>
        </is>
      </c>
      <c r="H2092" t="n">
        <v>1</v>
      </c>
    </row>
    <row r="2093">
      <c r="A2093" t="inlineStr">
        <is>
          <t>2023-2024</t>
        </is>
      </c>
      <c r="B2093" t="inlineStr">
        <is>
          <t>2023-06-02</t>
        </is>
      </c>
      <c r="C2093" t="inlineStr">
        <is>
          <t>13:12</t>
        </is>
      </c>
      <c r="D2093" t="inlineStr">
        <is>
          <t>n° 20 + n° 21</t>
        </is>
      </c>
      <c r="E2093" t="inlineStr">
        <is>
          <t>pression</t>
        </is>
      </c>
      <c r="F2093" t="n">
        <v>4.2</v>
      </c>
      <c r="G2093" t="inlineStr">
        <is>
          <t>n° 20 : 1,50 + n° 21 : 1,50</t>
        </is>
      </c>
      <c r="H2093" t="n">
        <v>3</v>
      </c>
    </row>
    <row r="2094">
      <c r="A2094" t="inlineStr">
        <is>
          <t>2023-2024</t>
        </is>
      </c>
      <c r="B2094" t="inlineStr">
        <is>
          <t>2023-06-02</t>
        </is>
      </c>
      <c r="C2094" t="inlineStr">
        <is>
          <t>13:12</t>
        </is>
      </c>
      <c r="D2094" t="inlineStr">
        <is>
          <t>n° 20 + n° 21</t>
        </is>
      </c>
      <c r="E2094" t="inlineStr">
        <is>
          <t>Verre Rosé</t>
        </is>
      </c>
      <c r="F2094" t="n">
        <v>3.9</v>
      </c>
      <c r="G2094" t="inlineStr">
        <is>
          <t>n° 20 : 0,50 + n° 21 : 0,50</t>
        </is>
      </c>
      <c r="H2094" t="n">
        <v>1</v>
      </c>
    </row>
    <row r="2095">
      <c r="A2095" t="inlineStr">
        <is>
          <t>2023-2024</t>
        </is>
      </c>
      <c r="B2095" t="inlineStr">
        <is>
          <t>2023-06-04</t>
        </is>
      </c>
      <c r="C2095" t="inlineStr">
        <is>
          <t>20:21</t>
        </is>
      </c>
      <c r="D2095" t="inlineStr">
        <is>
          <t>n° 23 + n° 24</t>
        </is>
      </c>
      <c r="E2095" t="inlineStr">
        <is>
          <t>Poulet aux Morilles</t>
        </is>
      </c>
      <c r="F2095" t="n">
        <v>28.6</v>
      </c>
      <c r="G2095" t="inlineStr">
        <is>
          <t>n° 23 : 0,50 + n° 24 : 0,50</t>
        </is>
      </c>
      <c r="H2095" t="n">
        <v>1</v>
      </c>
    </row>
    <row r="2096">
      <c r="A2096" t="inlineStr">
        <is>
          <t>2023-2024</t>
        </is>
      </c>
      <c r="B2096" t="inlineStr">
        <is>
          <t>2023-06-04</t>
        </is>
      </c>
      <c r="C2096" t="inlineStr">
        <is>
          <t>20:21</t>
        </is>
      </c>
      <c r="D2096" t="inlineStr">
        <is>
          <t>n° 23 + n° 24</t>
        </is>
      </c>
      <c r="E2096" t="inlineStr">
        <is>
          <t>ASSIETTE FRANC-COMTO</t>
        </is>
      </c>
      <c r="F2096" t="n">
        <v>18.6</v>
      </c>
      <c r="G2096" t="inlineStr">
        <is>
          <t>n° 23 : 0,50 + n° 24 : 0,50</t>
        </is>
      </c>
      <c r="H2096" t="n">
        <v>1</v>
      </c>
    </row>
    <row r="2097">
      <c r="A2097" t="inlineStr">
        <is>
          <t>2023-2024</t>
        </is>
      </c>
      <c r="B2097" t="inlineStr">
        <is>
          <t>2023-06-04</t>
        </is>
      </c>
      <c r="C2097" t="inlineStr">
        <is>
          <t>20:21</t>
        </is>
      </c>
      <c r="D2097" t="inlineStr">
        <is>
          <t>n° 23 + n° 24</t>
        </is>
      </c>
      <c r="E2097" t="inlineStr">
        <is>
          <t>Chèvre  chaud</t>
        </is>
      </c>
      <c r="F2097" t="n">
        <v>9.6</v>
      </c>
      <c r="G2097" t="inlineStr">
        <is>
          <t>n° 23 : 0,50 + n° 24 : 0,50</t>
        </is>
      </c>
      <c r="H2097" t="n">
        <v>1</v>
      </c>
    </row>
    <row r="2098">
      <c r="A2098" t="inlineStr">
        <is>
          <t>2023-2024</t>
        </is>
      </c>
      <c r="B2098" t="inlineStr">
        <is>
          <t>2023-06-04</t>
        </is>
      </c>
      <c r="C2098" t="inlineStr">
        <is>
          <t>20:21</t>
        </is>
      </c>
      <c r="D2098" t="inlineStr">
        <is>
          <t>n° 23 + n° 24</t>
        </is>
      </c>
      <c r="E2098" t="inlineStr">
        <is>
          <t>Pavlova</t>
        </is>
      </c>
      <c r="F2098" t="n">
        <v>8.9</v>
      </c>
      <c r="G2098" t="inlineStr">
        <is>
          <t>n° 23 : 0,50 + n° 24 : 0,50</t>
        </is>
      </c>
      <c r="H2098" t="n">
        <v>1</v>
      </c>
    </row>
    <row r="2099">
      <c r="A2099" t="inlineStr">
        <is>
          <t>2023-2024</t>
        </is>
      </c>
      <c r="B2099" t="inlineStr">
        <is>
          <t>2023-06-04</t>
        </is>
      </c>
      <c r="C2099" t="inlineStr">
        <is>
          <t>20:21</t>
        </is>
      </c>
      <c r="D2099" t="inlineStr">
        <is>
          <t>n° 23 + n° 24</t>
        </is>
      </c>
      <c r="E2099" t="inlineStr">
        <is>
          <t>GLACE 2 BOULES</t>
        </is>
      </c>
      <c r="F2099" t="n">
        <v>5.5</v>
      </c>
      <c r="G2099" t="inlineStr">
        <is>
          <t>n° 23 : 0,50 + n° 24 : 0,50</t>
        </is>
      </c>
      <c r="H2099" t="n">
        <v>1</v>
      </c>
    </row>
    <row r="2100">
      <c r="A2100" t="inlineStr">
        <is>
          <t>2023-2024</t>
        </is>
      </c>
      <c r="B2100" t="inlineStr">
        <is>
          <t>2023-06-04</t>
        </is>
      </c>
      <c r="C2100" t="inlineStr">
        <is>
          <t>20:21</t>
        </is>
      </c>
      <c r="D2100" t="inlineStr">
        <is>
          <t>n° 23 + n° 24</t>
        </is>
      </c>
      <c r="E2100" t="inlineStr">
        <is>
          <t>Jus de Fruit</t>
        </is>
      </c>
      <c r="F2100" t="n">
        <v>4.2</v>
      </c>
      <c r="G2100" t="inlineStr">
        <is>
          <t>n° 23 : 0,50 + n° 24 : 0,50</t>
        </is>
      </c>
      <c r="H2100" t="n">
        <v>1</v>
      </c>
    </row>
    <row r="2101">
      <c r="A2101" t="inlineStr">
        <is>
          <t>2023-2024</t>
        </is>
      </c>
      <c r="B2101" t="inlineStr">
        <is>
          <t>2023-06-04</t>
        </is>
      </c>
      <c r="C2101" t="inlineStr">
        <is>
          <t>20:21</t>
        </is>
      </c>
      <c r="D2101" t="inlineStr">
        <is>
          <t>n° 23 + n° 24</t>
        </is>
      </c>
      <c r="E2101" t="inlineStr">
        <is>
          <t>Orangina (25cl)</t>
        </is>
      </c>
      <c r="F2101" t="n">
        <v>3.9</v>
      </c>
      <c r="G2101" t="inlineStr">
        <is>
          <t>n° 23 : 0,50 + n° 24 : 0,50</t>
        </is>
      </c>
      <c r="H2101" t="n">
        <v>1</v>
      </c>
    </row>
    <row r="2102">
      <c r="A2102" t="inlineStr">
        <is>
          <t>2023-2024</t>
        </is>
      </c>
      <c r="B2102" t="inlineStr">
        <is>
          <t>2023-06-04</t>
        </is>
      </c>
      <c r="C2102" t="inlineStr">
        <is>
          <t>20:21</t>
        </is>
      </c>
      <c r="D2102" t="inlineStr">
        <is>
          <t>n° 23 + n° 24</t>
        </is>
      </c>
      <c r="E2102" t="inlineStr">
        <is>
          <t>VERRE CHUSCLAN</t>
        </is>
      </c>
      <c r="F2102" t="n">
        <v>3.9</v>
      </c>
      <c r="G2102" t="inlineStr">
        <is>
          <t>n° 23 : 0,50 + n° 24 : 0,50</t>
        </is>
      </c>
      <c r="H2102" t="n">
        <v>1</v>
      </c>
    </row>
    <row r="2103">
      <c r="A2103" t="inlineStr">
        <is>
          <t>2023-2024</t>
        </is>
      </c>
      <c r="B2103" t="inlineStr">
        <is>
          <t>2023-06-04</t>
        </is>
      </c>
      <c r="C2103" t="inlineStr">
        <is>
          <t>20:21</t>
        </is>
      </c>
      <c r="D2103" t="inlineStr">
        <is>
          <t>n° 23 + n° 24</t>
        </is>
      </c>
      <c r="E2103" t="inlineStr">
        <is>
          <t>GLACE 1 BOULE</t>
        </is>
      </c>
      <c r="F2103" t="n">
        <v>3.5</v>
      </c>
      <c r="G2103" t="inlineStr">
        <is>
          <t>n° 23 : 0,50 + n° 24 : 0,50</t>
        </is>
      </c>
      <c r="H2103" t="n">
        <v>1</v>
      </c>
    </row>
    <row r="2104">
      <c r="A2104" t="inlineStr">
        <is>
          <t>2023-2024</t>
        </is>
      </c>
      <c r="B2104" t="inlineStr">
        <is>
          <t>2023-06-04</t>
        </is>
      </c>
      <c r="C2104" t="inlineStr">
        <is>
          <t>20:21</t>
        </is>
      </c>
      <c r="D2104" t="inlineStr">
        <is>
          <t>n° 23 + n° 24</t>
        </is>
      </c>
      <c r="E2104" t="inlineStr">
        <is>
          <t>COULIS FRAMBOISE</t>
        </is>
      </c>
      <c r="F2104" t="n">
        <v>2.4</v>
      </c>
      <c r="G2104" t="inlineStr">
        <is>
          <t>n° 23 : 0,50 + n° 24 : 0,50</t>
        </is>
      </c>
      <c r="H2104" t="n">
        <v>1</v>
      </c>
    </row>
    <row r="2105">
      <c r="A2105" t="inlineStr">
        <is>
          <t>2023-2024</t>
        </is>
      </c>
      <c r="B2105" t="inlineStr">
        <is>
          <t>2023-06-04</t>
        </is>
      </c>
      <c r="C2105" t="inlineStr">
        <is>
          <t>20:21</t>
        </is>
      </c>
      <c r="D2105" t="inlineStr">
        <is>
          <t>n° 23 + n° 24</t>
        </is>
      </c>
      <c r="E2105" t="inlineStr">
        <is>
          <t>Chantilly</t>
        </is>
      </c>
      <c r="F2105" t="n">
        <v>2</v>
      </c>
      <c r="G2105" t="inlineStr">
        <is>
          <t>n° 23 : 0,50 + n° 24 : 0,50</t>
        </is>
      </c>
      <c r="H2105" t="n">
        <v>1</v>
      </c>
    </row>
    <row r="2106">
      <c r="A2106" t="inlineStr">
        <is>
          <t>2023-2024</t>
        </is>
      </c>
      <c r="B2106" t="inlineStr">
        <is>
          <t>2023-06-07</t>
        </is>
      </c>
      <c r="C2106" t="inlineStr">
        <is>
          <t>19:40</t>
        </is>
      </c>
      <c r="D2106" t="inlineStr">
        <is>
          <t>n° 20 + n° 21</t>
        </is>
      </c>
      <c r="E2106" t="inlineStr">
        <is>
          <t>CANCOINE</t>
        </is>
      </c>
      <c r="F2106" t="n">
        <v>25.5</v>
      </c>
      <c r="G2106" t="inlineStr">
        <is>
          <t>n° 20 : 0,50 + n° 21 : 0,50</t>
        </is>
      </c>
      <c r="H2106" t="n">
        <v>1</v>
      </c>
    </row>
    <row r="2107">
      <c r="A2107" t="inlineStr">
        <is>
          <t>2023-2024</t>
        </is>
      </c>
      <c r="B2107" t="inlineStr">
        <is>
          <t>2023-06-07</t>
        </is>
      </c>
      <c r="C2107" t="inlineStr">
        <is>
          <t>19:40</t>
        </is>
      </c>
      <c r="D2107" t="inlineStr">
        <is>
          <t>n° 20 + n° 21</t>
        </is>
      </c>
      <c r="E2107" t="inlineStr">
        <is>
          <t>ASSIETTE FRANC-COMTO</t>
        </is>
      </c>
      <c r="F2107" t="n">
        <v>18.6</v>
      </c>
      <c r="G2107" t="inlineStr">
        <is>
          <t>n° 20 : 0,50 + n° 21 : 0,50</t>
        </is>
      </c>
      <c r="H2107" t="n">
        <v>1</v>
      </c>
    </row>
    <row r="2108">
      <c r="A2108" t="inlineStr">
        <is>
          <t>2023-2024</t>
        </is>
      </c>
      <c r="B2108" t="inlineStr">
        <is>
          <t>2023-06-07</t>
        </is>
      </c>
      <c r="C2108" t="inlineStr">
        <is>
          <t>19:40</t>
        </is>
      </c>
      <c r="D2108" t="inlineStr">
        <is>
          <t>n° 20 + n° 21</t>
        </is>
      </c>
      <c r="E2108" t="inlineStr">
        <is>
          <t>La Vouivre</t>
        </is>
      </c>
      <c r="F2108" t="n">
        <v>5.9</v>
      </c>
      <c r="G2108" t="inlineStr">
        <is>
          <t>n° 20 : 0,50 + n° 21 : 0,50</t>
        </is>
      </c>
      <c r="H2108" t="n">
        <v>1</v>
      </c>
    </row>
    <row r="2109">
      <c r="A2109" t="inlineStr">
        <is>
          <t>2023-2024</t>
        </is>
      </c>
      <c r="B2109" t="inlineStr">
        <is>
          <t>2023-06-07</t>
        </is>
      </c>
      <c r="C2109" t="inlineStr">
        <is>
          <t>19:40</t>
        </is>
      </c>
      <c r="D2109" t="inlineStr">
        <is>
          <t>n° 20 + n° 21</t>
        </is>
      </c>
      <c r="E2109" t="inlineStr">
        <is>
          <t>Père Gregoire</t>
        </is>
      </c>
      <c r="F2109" t="n">
        <v>5.9</v>
      </c>
      <c r="G2109" t="inlineStr">
        <is>
          <t>n° 20 : 0,50 + n° 21 : 0,50</t>
        </is>
      </c>
      <c r="H2109" t="n">
        <v>1</v>
      </c>
    </row>
    <row r="2110">
      <c r="A2110" t="inlineStr">
        <is>
          <t>2023-2024</t>
        </is>
      </c>
      <c r="B2110" t="inlineStr">
        <is>
          <t>2023-06-07</t>
        </is>
      </c>
      <c r="C2110" t="inlineStr">
        <is>
          <t>19:40</t>
        </is>
      </c>
      <c r="D2110" t="inlineStr">
        <is>
          <t>n° 20 + n° 21</t>
        </is>
      </c>
      <c r="E2110" t="inlineStr">
        <is>
          <t>Crepe Chocolat</t>
        </is>
      </c>
      <c r="F2110" t="n">
        <v>5.9</v>
      </c>
      <c r="G2110" t="inlineStr">
        <is>
          <t>n° 20 : 0,50 + n° 21 : 0,50</t>
        </is>
      </c>
      <c r="H2110" t="n">
        <v>1</v>
      </c>
    </row>
    <row r="2111">
      <c r="A2111" t="inlineStr">
        <is>
          <t>2023-2024</t>
        </is>
      </c>
      <c r="B2111" t="inlineStr">
        <is>
          <t>2023-06-07</t>
        </is>
      </c>
      <c r="C2111" t="inlineStr">
        <is>
          <t>20:20</t>
        </is>
      </c>
      <c r="D2111" t="inlineStr">
        <is>
          <t>n° 24 + n° 25</t>
        </is>
      </c>
      <c r="E2111" t="inlineStr">
        <is>
          <t>PICHET ROSE</t>
        </is>
      </c>
      <c r="F2111" t="n">
        <v>10.5</v>
      </c>
      <c r="G2111" t="inlineStr">
        <is>
          <t>n° 24 : 0,50 + n° 25 : 0,50</t>
        </is>
      </c>
      <c r="H2111" t="n">
        <v>1</v>
      </c>
    </row>
    <row r="2112">
      <c r="A2112" t="inlineStr">
        <is>
          <t>2023-2024</t>
        </is>
      </c>
      <c r="B2112" t="inlineStr">
        <is>
          <t>2023-06-07</t>
        </is>
      </c>
      <c r="C2112" t="inlineStr">
        <is>
          <t>20:20</t>
        </is>
      </c>
      <c r="D2112" t="inlineStr">
        <is>
          <t>n° 24 + n° 25</t>
        </is>
      </c>
      <c r="E2112" t="inlineStr">
        <is>
          <t>Do</t>
        </is>
      </c>
      <c r="F2112" t="n">
        <v>9</v>
      </c>
      <c r="G2112" t="inlineStr">
        <is>
          <t>n° 24 : 0,50 + n° 25 : 0,50</t>
        </is>
      </c>
      <c r="H2112" t="n">
        <v>1</v>
      </c>
    </row>
    <row r="2113">
      <c r="A2113" t="inlineStr">
        <is>
          <t>2023-2024</t>
        </is>
      </c>
      <c r="B2113" t="inlineStr">
        <is>
          <t>2023-06-07</t>
        </is>
      </c>
      <c r="C2113" t="inlineStr">
        <is>
          <t>20:20</t>
        </is>
      </c>
      <c r="D2113" t="inlineStr">
        <is>
          <t>n° 24 + n° 25</t>
        </is>
      </c>
      <c r="E2113" t="inlineStr">
        <is>
          <t>GLACE 1 BOULE</t>
        </is>
      </c>
      <c r="F2113" t="n">
        <v>3.5</v>
      </c>
      <c r="G2113" t="inlineStr">
        <is>
          <t>n° 24 : 0,50 + n° 25 : 0,50</t>
        </is>
      </c>
      <c r="H2113" t="n">
        <v>1</v>
      </c>
    </row>
    <row r="2114">
      <c r="A2114" t="inlineStr">
        <is>
          <t>2023-2024</t>
        </is>
      </c>
      <c r="B2114" t="inlineStr">
        <is>
          <t>2023-06-08</t>
        </is>
      </c>
      <c r="C2114" t="inlineStr">
        <is>
          <t>12:53</t>
        </is>
      </c>
      <c r="D2114" t="inlineStr">
        <is>
          <t>n° 11 + n° 12 + n° 13 + n° 14</t>
        </is>
      </c>
      <c r="E2114" t="inlineStr">
        <is>
          <t>Clair de Rosé</t>
        </is>
      </c>
      <c r="F2114" t="n">
        <v>18</v>
      </c>
      <c r="G2114" t="inlineStr">
        <is>
          <t>n° 11 : 0,50 + n° 12 : 0,50</t>
        </is>
      </c>
      <c r="H2114" t="n">
        <v>1</v>
      </c>
    </row>
    <row r="2115">
      <c r="A2115" t="inlineStr">
        <is>
          <t>2023-2024</t>
        </is>
      </c>
      <c r="B2115" t="inlineStr">
        <is>
          <t>2023-06-08</t>
        </is>
      </c>
      <c r="C2115" t="inlineStr">
        <is>
          <t>12:53</t>
        </is>
      </c>
      <c r="D2115" t="inlineStr">
        <is>
          <t>n° 11 + n° 12 + n° 13 + n° 14</t>
        </is>
      </c>
      <c r="E2115" t="inlineStr">
        <is>
          <t>Pavlova</t>
        </is>
      </c>
      <c r="F2115" t="n">
        <v>8.9</v>
      </c>
      <c r="G2115" t="inlineStr">
        <is>
          <t>n° 11 : 0,50 + n° 12 : 0,50</t>
        </is>
      </c>
      <c r="H2115" t="n">
        <v>1</v>
      </c>
    </row>
    <row r="2116">
      <c r="A2116" t="inlineStr">
        <is>
          <t>2023-2024</t>
        </is>
      </c>
      <c r="B2116" t="inlineStr">
        <is>
          <t>2023-06-08</t>
        </is>
      </c>
      <c r="C2116" t="inlineStr">
        <is>
          <t>12:53</t>
        </is>
      </c>
      <c r="D2116" t="inlineStr">
        <is>
          <t>n° 11 + n° 12 + n° 13 + n° 14</t>
        </is>
      </c>
      <c r="E2116" t="inlineStr">
        <is>
          <t>Savagnin verre</t>
        </is>
      </c>
      <c r="F2116" t="n">
        <v>8.300000000000001</v>
      </c>
      <c r="G2116" t="inlineStr">
        <is>
          <t>n° 13 : 0,50 + n° 14 : 0,50</t>
        </is>
      </c>
      <c r="H2116" t="n">
        <v>1</v>
      </c>
    </row>
    <row r="2117">
      <c r="A2117" t="inlineStr">
        <is>
          <t>2023-2024</t>
        </is>
      </c>
      <c r="B2117" t="inlineStr">
        <is>
          <t>2023-06-08</t>
        </is>
      </c>
      <c r="C2117" t="inlineStr">
        <is>
          <t>12:53</t>
        </is>
      </c>
      <c r="D2117" t="inlineStr">
        <is>
          <t>n° 11 + n° 12 + n° 13 + n° 14</t>
        </is>
      </c>
      <c r="E2117" t="inlineStr">
        <is>
          <t>Saint Véran Verre</t>
        </is>
      </c>
      <c r="F2117" t="n">
        <v>7.9</v>
      </c>
      <c r="G2117" t="inlineStr">
        <is>
          <t>n° 13 : 0,50 + n° 14 : 0,50</t>
        </is>
      </c>
      <c r="H2117" t="n">
        <v>1</v>
      </c>
    </row>
    <row r="2118">
      <c r="A2118" t="inlineStr">
        <is>
          <t>2023-2024</t>
        </is>
      </c>
      <c r="B2118" t="inlineStr">
        <is>
          <t>2023-06-08</t>
        </is>
      </c>
      <c r="C2118" t="inlineStr">
        <is>
          <t>12:53</t>
        </is>
      </c>
      <c r="D2118" t="inlineStr">
        <is>
          <t>n° 11 + n° 12 + n° 13 + n° 14</t>
        </is>
      </c>
      <c r="E2118" t="inlineStr">
        <is>
          <t>GLACE 2 BOULES</t>
        </is>
      </c>
      <c r="F2118" t="n">
        <v>5.5</v>
      </c>
      <c r="G2118" t="inlineStr">
        <is>
          <t>n° 11 : 0,50 + n° 12 : 0,50 + n° 13 : 1,00 + n° 14 : 1,00</t>
        </is>
      </c>
      <c r="H2118" t="n">
        <v>3</v>
      </c>
    </row>
    <row r="2119">
      <c r="A2119" t="inlineStr">
        <is>
          <t>2023-2024</t>
        </is>
      </c>
      <c r="B2119" t="inlineStr">
        <is>
          <t>2023-06-08</t>
        </is>
      </c>
      <c r="C2119" t="inlineStr">
        <is>
          <t>12:53</t>
        </is>
      </c>
      <c r="D2119" t="inlineStr">
        <is>
          <t>n° 11 + n° 12 + n° 13 + n° 14</t>
        </is>
      </c>
      <c r="E2119" t="inlineStr">
        <is>
          <t>Expresso</t>
        </is>
      </c>
      <c r="F2119" t="n">
        <v>2.2</v>
      </c>
      <c r="G2119" t="inlineStr">
        <is>
          <t>n° 11 : 1,50 + n° 12 : 1,50</t>
        </is>
      </c>
      <c r="H2119" t="n">
        <v>3</v>
      </c>
    </row>
    <row r="2120">
      <c r="A2120" t="inlineStr">
        <is>
          <t>2023-2024</t>
        </is>
      </c>
      <c r="B2120" t="inlineStr">
        <is>
          <t>2023-06-10</t>
        </is>
      </c>
      <c r="C2120" t="inlineStr">
        <is>
          <t>13:13</t>
        </is>
      </c>
      <c r="D2120" t="inlineStr">
        <is>
          <t>n° 16 + n° 17</t>
        </is>
      </c>
      <c r="E2120" t="inlineStr">
        <is>
          <t>Menu Bourguignon</t>
        </is>
      </c>
      <c r="F2120" t="n">
        <v>34</v>
      </c>
      <c r="G2120" t="inlineStr">
        <is>
          <t>n° 16 : 0,50 + n° 17 : 0,50</t>
        </is>
      </c>
      <c r="H2120" t="n">
        <v>1</v>
      </c>
    </row>
    <row r="2121">
      <c r="A2121" t="inlineStr">
        <is>
          <t>2023-2024</t>
        </is>
      </c>
      <c r="B2121" t="inlineStr">
        <is>
          <t>2023-06-10</t>
        </is>
      </c>
      <c r="C2121" t="inlineStr">
        <is>
          <t>13:13</t>
        </is>
      </c>
      <c r="D2121" t="inlineStr">
        <is>
          <t>n° 16 + n° 17</t>
        </is>
      </c>
      <c r="E2121" t="inlineStr">
        <is>
          <t>BURGER COMTOIS</t>
        </is>
      </c>
      <c r="F2121" t="n">
        <v>19</v>
      </c>
      <c r="G2121" t="inlineStr">
        <is>
          <t>n° 16 : 1,50 + n° 17 : 1,50</t>
        </is>
      </c>
      <c r="H2121" t="n">
        <v>3</v>
      </c>
    </row>
    <row r="2122">
      <c r="A2122" t="inlineStr">
        <is>
          <t>2023-2024</t>
        </is>
      </c>
      <c r="B2122" t="inlineStr">
        <is>
          <t>2023-06-10</t>
        </is>
      </c>
      <c r="C2122" t="inlineStr">
        <is>
          <t>13:13</t>
        </is>
      </c>
      <c r="D2122" t="inlineStr">
        <is>
          <t>n° 16 + n° 17</t>
        </is>
      </c>
      <c r="E2122" t="inlineStr">
        <is>
          <t>Croûtes Morilles</t>
        </is>
      </c>
      <c r="F2122" t="n">
        <v>16.9</v>
      </c>
      <c r="G2122" t="inlineStr">
        <is>
          <t>n° 16 : 1,50 + n° 17 : 1,50</t>
        </is>
      </c>
      <c r="H2122" t="n">
        <v>3</v>
      </c>
    </row>
    <row r="2123">
      <c r="A2123" t="inlineStr">
        <is>
          <t>2023-2024</t>
        </is>
      </c>
      <c r="B2123" t="inlineStr">
        <is>
          <t>2023-06-10</t>
        </is>
      </c>
      <c r="C2123" t="inlineStr">
        <is>
          <t>13:13</t>
        </is>
      </c>
      <c r="D2123" t="inlineStr">
        <is>
          <t>n° 16 + n° 17</t>
        </is>
      </c>
      <c r="E2123" t="inlineStr">
        <is>
          <t>Expresso</t>
        </is>
      </c>
      <c r="F2123" t="n">
        <v>2.2</v>
      </c>
      <c r="G2123" t="inlineStr">
        <is>
          <t>n° 16 : 1,50 + n° 17 : 1,50</t>
        </is>
      </c>
      <c r="H2123" t="n">
        <v>3</v>
      </c>
    </row>
    <row r="2124">
      <c r="A2124" t="inlineStr">
        <is>
          <t>2023-2024</t>
        </is>
      </c>
      <c r="B2124" t="inlineStr">
        <is>
          <t>2023-06-10</t>
        </is>
      </c>
      <c r="C2124" t="inlineStr">
        <is>
          <t>20:27</t>
        </is>
      </c>
      <c r="D2124" t="inlineStr">
        <is>
          <t>n° 26 + n° 27</t>
        </is>
      </c>
      <c r="E2124" t="inlineStr">
        <is>
          <t>BURGER COMTOIS</t>
        </is>
      </c>
      <c r="F2124" t="n">
        <v>19</v>
      </c>
      <c r="G2124" t="inlineStr">
        <is>
          <t>n° 26 : 0,50 + n° 27 : 0,50</t>
        </is>
      </c>
      <c r="H2124" t="n">
        <v>1</v>
      </c>
    </row>
    <row r="2125">
      <c r="A2125" t="inlineStr">
        <is>
          <t>2023-2024</t>
        </is>
      </c>
      <c r="B2125" t="inlineStr">
        <is>
          <t>2023-06-10</t>
        </is>
      </c>
      <c r="C2125" t="inlineStr">
        <is>
          <t>20:27</t>
        </is>
      </c>
      <c r="D2125" t="inlineStr">
        <is>
          <t>n° 26 + n° 27</t>
        </is>
      </c>
      <c r="E2125" t="inlineStr">
        <is>
          <t>Croûtes Morilles</t>
        </is>
      </c>
      <c r="F2125" t="n">
        <v>16.9</v>
      </c>
      <c r="G2125" t="inlineStr">
        <is>
          <t>n° 26 : 0,50 + n° 27 : 0,50</t>
        </is>
      </c>
      <c r="H2125" t="n">
        <v>1</v>
      </c>
    </row>
    <row r="2126">
      <c r="A2126" t="inlineStr">
        <is>
          <t>2023-2024</t>
        </is>
      </c>
      <c r="B2126" t="inlineStr">
        <is>
          <t>2023-06-10</t>
        </is>
      </c>
      <c r="C2126" t="inlineStr">
        <is>
          <t>20:27</t>
        </is>
      </c>
      <c r="D2126" t="inlineStr">
        <is>
          <t>n° 26 + n° 27</t>
        </is>
      </c>
      <c r="E2126" t="inlineStr">
        <is>
          <t>GRAPPINS</t>
        </is>
      </c>
      <c r="F2126" t="n">
        <v>15.9</v>
      </c>
      <c r="G2126" t="inlineStr">
        <is>
          <t>n° 26 : 0,50 + n° 27 : 0,50</t>
        </is>
      </c>
      <c r="H2126" t="n">
        <v>1</v>
      </c>
    </row>
    <row r="2127">
      <c r="A2127" t="inlineStr">
        <is>
          <t>2023-2024</t>
        </is>
      </c>
      <c r="B2127" t="inlineStr">
        <is>
          <t>2023-06-10</t>
        </is>
      </c>
      <c r="C2127" t="inlineStr">
        <is>
          <t>20:27</t>
        </is>
      </c>
      <c r="D2127" t="inlineStr">
        <is>
          <t>n° 26 + n° 27</t>
        </is>
      </c>
      <c r="E2127" t="inlineStr">
        <is>
          <t>BALIDOU</t>
        </is>
      </c>
      <c r="F2127" t="n">
        <v>9</v>
      </c>
      <c r="G2127" t="inlineStr">
        <is>
          <t>n° 26 : 0,50 + n° 27 : 0,50</t>
        </is>
      </c>
      <c r="H2127" t="n">
        <v>1</v>
      </c>
    </row>
    <row r="2128">
      <c r="A2128" t="inlineStr">
        <is>
          <t>2023-2024</t>
        </is>
      </c>
      <c r="B2128" t="inlineStr">
        <is>
          <t>2023-06-10</t>
        </is>
      </c>
      <c r="C2128" t="inlineStr">
        <is>
          <t>20:27</t>
        </is>
      </c>
      <c r="D2128" t="inlineStr">
        <is>
          <t>n° 26 + n° 27</t>
        </is>
      </c>
      <c r="E2128" t="inlineStr">
        <is>
          <t>GLACE 3 BOULES</t>
        </is>
      </c>
      <c r="F2128" t="n">
        <v>7.9</v>
      </c>
      <c r="G2128" t="inlineStr">
        <is>
          <t>n° 26 : 0,50 + n° 27 : 0,50</t>
        </is>
      </c>
      <c r="H2128" t="n">
        <v>1</v>
      </c>
    </row>
    <row r="2129">
      <c r="A2129" t="inlineStr">
        <is>
          <t>2023-2024</t>
        </is>
      </c>
      <c r="B2129" t="inlineStr">
        <is>
          <t>2023-06-10</t>
        </is>
      </c>
      <c r="C2129" t="inlineStr">
        <is>
          <t>20:27</t>
        </is>
      </c>
      <c r="D2129" t="inlineStr">
        <is>
          <t>n° 26 + n° 27</t>
        </is>
      </c>
      <c r="E2129" t="inlineStr">
        <is>
          <t>Crepe Chocolat</t>
        </is>
      </c>
      <c r="F2129" t="n">
        <v>5.9</v>
      </c>
      <c r="G2129" t="inlineStr">
        <is>
          <t>n° 26 : 0,50 + n° 27 : 0,50</t>
        </is>
      </c>
      <c r="H2129" t="n">
        <v>1</v>
      </c>
    </row>
    <row r="2130">
      <c r="A2130" t="inlineStr">
        <is>
          <t>2023-2024</t>
        </is>
      </c>
      <c r="B2130" t="inlineStr">
        <is>
          <t>2023-06-10</t>
        </is>
      </c>
      <c r="C2130" t="inlineStr">
        <is>
          <t>20:27</t>
        </is>
      </c>
      <c r="D2130" t="inlineStr">
        <is>
          <t>n° 26 + n° 27</t>
        </is>
      </c>
      <c r="E2130" t="inlineStr">
        <is>
          <t>1 Boule Glace</t>
        </is>
      </c>
      <c r="F2130" t="n">
        <v>3.5</v>
      </c>
      <c r="G2130" t="inlineStr">
        <is>
          <t>n° 26 : 0,50 + n° 27 : 0,50</t>
        </is>
      </c>
      <c r="H2130" t="n">
        <v>1</v>
      </c>
    </row>
    <row r="2131">
      <c r="A2131" t="inlineStr">
        <is>
          <t>2023-2024</t>
        </is>
      </c>
      <c r="B2131" t="inlineStr">
        <is>
          <t>2023-06-11</t>
        </is>
      </c>
      <c r="C2131" t="inlineStr">
        <is>
          <t>12:40</t>
        </is>
      </c>
      <c r="D2131" t="inlineStr">
        <is>
          <t>n° 6 + n° 7</t>
        </is>
      </c>
      <c r="E2131" t="inlineStr">
        <is>
          <t>PAYSANNE</t>
        </is>
      </c>
      <c r="F2131" t="n">
        <v>19.9</v>
      </c>
      <c r="G2131" t="inlineStr">
        <is>
          <t>n° 6 : 0,50 + n° 7 : 0,50</t>
        </is>
      </c>
      <c r="H2131" t="n">
        <v>1</v>
      </c>
    </row>
    <row r="2132">
      <c r="A2132" t="inlineStr">
        <is>
          <t>2023-2024</t>
        </is>
      </c>
      <c r="B2132" t="inlineStr">
        <is>
          <t>2023-06-11</t>
        </is>
      </c>
      <c r="C2132" t="inlineStr">
        <is>
          <t>12:40</t>
        </is>
      </c>
      <c r="D2132" t="inlineStr">
        <is>
          <t>n° 6 + n° 7</t>
        </is>
      </c>
      <c r="E2132" t="inlineStr">
        <is>
          <t>CABRICHOU</t>
        </is>
      </c>
      <c r="F2132" t="n">
        <v>16.9</v>
      </c>
      <c r="G2132" t="inlineStr">
        <is>
          <t>n° 6 : 0,50 + n° 7 : 0,50</t>
        </is>
      </c>
      <c r="H2132" t="n">
        <v>1</v>
      </c>
    </row>
    <row r="2133">
      <c r="A2133" t="inlineStr">
        <is>
          <t>2023-2024</t>
        </is>
      </c>
      <c r="B2133" t="inlineStr">
        <is>
          <t>2023-06-11</t>
        </is>
      </c>
      <c r="C2133" t="inlineStr">
        <is>
          <t>12:40</t>
        </is>
      </c>
      <c r="D2133" t="inlineStr">
        <is>
          <t>n° 6 + n° 7</t>
        </is>
      </c>
      <c r="E2133" t="inlineStr">
        <is>
          <t>PICHET ROSE</t>
        </is>
      </c>
      <c r="F2133" t="n">
        <v>10.5</v>
      </c>
      <c r="G2133" t="inlineStr">
        <is>
          <t>n° 6 : 0,50 + n° 7 : 0,50</t>
        </is>
      </c>
      <c r="H2133" t="n">
        <v>1</v>
      </c>
    </row>
    <row r="2134">
      <c r="A2134" t="inlineStr">
        <is>
          <t>2023-2024</t>
        </is>
      </c>
      <c r="B2134" t="inlineStr">
        <is>
          <t>2023-06-11</t>
        </is>
      </c>
      <c r="C2134" t="inlineStr">
        <is>
          <t>12:40</t>
        </is>
      </c>
      <c r="D2134" t="inlineStr">
        <is>
          <t>n° 6 + n° 7</t>
        </is>
      </c>
      <c r="E2134" t="inlineStr">
        <is>
          <t>Expresso</t>
        </is>
      </c>
      <c r="F2134" t="n">
        <v>2.2</v>
      </c>
      <c r="G2134" t="inlineStr">
        <is>
          <t>n° 6 : 1,50 + n° 7 : 1,50</t>
        </is>
      </c>
      <c r="H2134" t="n">
        <v>3</v>
      </c>
    </row>
    <row r="2135">
      <c r="A2135" t="inlineStr">
        <is>
          <t>2023-2024</t>
        </is>
      </c>
      <c r="B2135" t="inlineStr">
        <is>
          <t>2023-06-11</t>
        </is>
      </c>
      <c r="C2135" t="inlineStr">
        <is>
          <t>12:58</t>
        </is>
      </c>
      <c r="D2135" t="inlineStr">
        <is>
          <t>n° 12 + n° 13</t>
        </is>
      </c>
      <c r="E2135" t="inlineStr">
        <is>
          <t>Entrecôte grillée</t>
        </is>
      </c>
      <c r="F2135" t="n">
        <v>19.9</v>
      </c>
      <c r="G2135" t="inlineStr">
        <is>
          <t>n° 12 : 0,50 + n° 13 : 0,50</t>
        </is>
      </c>
      <c r="H2135" t="n">
        <v>1</v>
      </c>
    </row>
    <row r="2136">
      <c r="A2136" t="inlineStr">
        <is>
          <t>2023-2024</t>
        </is>
      </c>
      <c r="B2136" t="inlineStr">
        <is>
          <t>2023-06-11</t>
        </is>
      </c>
      <c r="C2136" t="inlineStr">
        <is>
          <t>12:58</t>
        </is>
      </c>
      <c r="D2136" t="inlineStr">
        <is>
          <t>n° 12 + n° 13</t>
        </is>
      </c>
      <c r="E2136" t="inlineStr">
        <is>
          <t>TRUITE JURASSIENNE</t>
        </is>
      </c>
      <c r="F2136" t="n">
        <v>18.6</v>
      </c>
      <c r="G2136" t="inlineStr">
        <is>
          <t>n° 12 : 0,50 + n° 13 : 0,50</t>
        </is>
      </c>
      <c r="H2136" t="n">
        <v>1</v>
      </c>
    </row>
    <row r="2137">
      <c r="A2137" t="inlineStr">
        <is>
          <t>2023-2024</t>
        </is>
      </c>
      <c r="B2137" t="inlineStr">
        <is>
          <t>2023-06-11</t>
        </is>
      </c>
      <c r="C2137" t="inlineStr">
        <is>
          <t>12:58</t>
        </is>
      </c>
      <c r="D2137" t="inlineStr">
        <is>
          <t>n° 12 + n° 13</t>
        </is>
      </c>
      <c r="E2137" t="inlineStr">
        <is>
          <t>CUPIDON</t>
        </is>
      </c>
      <c r="F2137" t="n">
        <v>9.300000000000001</v>
      </c>
      <c r="G2137" t="inlineStr">
        <is>
          <t>n° 12 : 0,50 + n° 13 : 0,50</t>
        </is>
      </c>
      <c r="H2137" t="n">
        <v>1</v>
      </c>
    </row>
    <row r="2138">
      <c r="A2138" t="inlineStr">
        <is>
          <t>2023-2024</t>
        </is>
      </c>
      <c r="B2138" t="inlineStr">
        <is>
          <t>2023-06-11</t>
        </is>
      </c>
      <c r="C2138" t="inlineStr">
        <is>
          <t>12:58</t>
        </is>
      </c>
      <c r="D2138" t="inlineStr">
        <is>
          <t>n° 12 + n° 13</t>
        </is>
      </c>
      <c r="E2138" t="inlineStr">
        <is>
          <t>C du  Rhone St Josep</t>
        </is>
      </c>
      <c r="F2138" t="n">
        <v>7.2</v>
      </c>
      <c r="G2138" t="inlineStr">
        <is>
          <t>n° 12 : 0,50 + n° 13 : 0,50</t>
        </is>
      </c>
      <c r="H2138" t="n">
        <v>1</v>
      </c>
    </row>
    <row r="2139">
      <c r="A2139" t="inlineStr">
        <is>
          <t>2023-2024</t>
        </is>
      </c>
      <c r="B2139" t="inlineStr">
        <is>
          <t>2023-06-11</t>
        </is>
      </c>
      <c r="C2139" t="inlineStr">
        <is>
          <t>12:58</t>
        </is>
      </c>
      <c r="D2139" t="inlineStr">
        <is>
          <t>n° 12 + n° 13</t>
        </is>
      </c>
      <c r="E2139" t="inlineStr">
        <is>
          <t>MACON VERRE</t>
        </is>
      </c>
      <c r="F2139" t="n">
        <v>6.3</v>
      </c>
      <c r="G2139" t="inlineStr">
        <is>
          <t>n° 12 : 0,50 + n° 13 : 0,50</t>
        </is>
      </c>
      <c r="H2139" t="n">
        <v>1</v>
      </c>
    </row>
    <row r="2140">
      <c r="A2140" t="inlineStr">
        <is>
          <t>2023-2024</t>
        </is>
      </c>
      <c r="B2140" t="inlineStr">
        <is>
          <t>2023-06-11</t>
        </is>
      </c>
      <c r="C2140" t="inlineStr">
        <is>
          <t>12:58</t>
        </is>
      </c>
      <c r="D2140" t="inlineStr">
        <is>
          <t>n° 12 + n° 13</t>
        </is>
      </c>
      <c r="E2140" t="inlineStr">
        <is>
          <t>GLACE 2 BOULES</t>
        </is>
      </c>
      <c r="F2140" t="n">
        <v>5.5</v>
      </c>
      <c r="G2140" t="inlineStr">
        <is>
          <t>n° 12 : 1,50 + n° 13 : 1,50</t>
        </is>
      </c>
      <c r="H2140" t="n">
        <v>3</v>
      </c>
    </row>
    <row r="2141">
      <c r="A2141" t="inlineStr">
        <is>
          <t>2023-2024</t>
        </is>
      </c>
      <c r="B2141" t="inlineStr">
        <is>
          <t>2023-06-11</t>
        </is>
      </c>
      <c r="C2141" t="inlineStr">
        <is>
          <t>12:58</t>
        </is>
      </c>
      <c r="D2141" t="inlineStr">
        <is>
          <t>n° 12 + n° 13</t>
        </is>
      </c>
      <c r="E2141" t="inlineStr">
        <is>
          <t>Ricard</t>
        </is>
      </c>
      <c r="F2141" t="n">
        <v>4.2</v>
      </c>
      <c r="G2141" t="inlineStr">
        <is>
          <t>n° 12 : 0,50 + n° 13 : 0,50</t>
        </is>
      </c>
      <c r="H2141" t="n">
        <v>1</v>
      </c>
    </row>
    <row r="2142">
      <c r="A2142" t="inlineStr">
        <is>
          <t>2023-2024</t>
        </is>
      </c>
      <c r="B2142" t="inlineStr">
        <is>
          <t>2023-06-11</t>
        </is>
      </c>
      <c r="C2142" t="inlineStr">
        <is>
          <t>12:58</t>
        </is>
      </c>
      <c r="D2142" t="inlineStr">
        <is>
          <t>n° 12 + n° 13</t>
        </is>
      </c>
      <c r="E2142" t="inlineStr">
        <is>
          <t>Coca (25cl)</t>
        </is>
      </c>
      <c r="F2142" t="n">
        <v>3.9</v>
      </c>
      <c r="G2142" t="inlineStr">
        <is>
          <t>n° 12 : 0,50 + n° 13 : 0,50</t>
        </is>
      </c>
      <c r="H2142" t="n">
        <v>1</v>
      </c>
    </row>
    <row r="2143">
      <c r="A2143" t="inlineStr">
        <is>
          <t>2023-2024</t>
        </is>
      </c>
      <c r="B2143" t="inlineStr">
        <is>
          <t>2023-06-14</t>
        </is>
      </c>
      <c r="C2143" t="inlineStr">
        <is>
          <t>20:42</t>
        </is>
      </c>
      <c r="D2143" t="inlineStr">
        <is>
          <t>n° 22 + n° 23</t>
        </is>
      </c>
      <c r="E2143" t="inlineStr">
        <is>
          <t>Savagnin verre</t>
        </is>
      </c>
      <c r="F2143" t="n">
        <v>8.300000000000001</v>
      </c>
      <c r="G2143" t="inlineStr">
        <is>
          <t>n° 22 : 0,50 + n° 23 : 0,50</t>
        </is>
      </c>
      <c r="H2143" t="n">
        <v>1</v>
      </c>
    </row>
    <row r="2144">
      <c r="A2144" t="inlineStr">
        <is>
          <t>2023-2024</t>
        </is>
      </c>
      <c r="B2144" t="inlineStr">
        <is>
          <t>2023-06-14</t>
        </is>
      </c>
      <c r="C2144" t="inlineStr">
        <is>
          <t>20:42</t>
        </is>
      </c>
      <c r="D2144" t="inlineStr">
        <is>
          <t>n° 22 + n° 23</t>
        </is>
      </c>
      <c r="E2144" t="inlineStr">
        <is>
          <t>Saint Véran Verre</t>
        </is>
      </c>
      <c r="F2144" t="n">
        <v>7.9</v>
      </c>
      <c r="G2144" t="inlineStr">
        <is>
          <t>n° 22 : 0,50 + n° 23 : 0,50</t>
        </is>
      </c>
      <c r="H2144" t="n">
        <v>1</v>
      </c>
    </row>
    <row r="2145">
      <c r="A2145" t="inlineStr">
        <is>
          <t>2023-2024</t>
        </is>
      </c>
      <c r="B2145" t="inlineStr">
        <is>
          <t>2023-06-14</t>
        </is>
      </c>
      <c r="C2145" t="inlineStr">
        <is>
          <t>20:42</t>
        </is>
      </c>
      <c r="D2145" t="inlineStr">
        <is>
          <t>n° 22 + n° 23</t>
        </is>
      </c>
      <c r="E2145" t="inlineStr">
        <is>
          <t>Expresso</t>
        </is>
      </c>
      <c r="F2145" t="n">
        <v>2.2</v>
      </c>
      <c r="G2145" t="inlineStr">
        <is>
          <t>n° 22 : 0,50 + n° 23 : 0,50</t>
        </is>
      </c>
      <c r="H2145" t="n">
        <v>1</v>
      </c>
    </row>
    <row r="2146">
      <c r="A2146" t="inlineStr">
        <is>
          <t>2023-2024</t>
        </is>
      </c>
      <c r="B2146" t="inlineStr">
        <is>
          <t>2023-06-15</t>
        </is>
      </c>
      <c r="C2146" t="inlineStr">
        <is>
          <t>13:09</t>
        </is>
      </c>
      <c r="D2146" t="inlineStr">
        <is>
          <t>n° 8 + n° 9</t>
        </is>
      </c>
      <c r="E2146" t="inlineStr">
        <is>
          <t>BURGER COMTOIS</t>
        </is>
      </c>
      <c r="F2146" t="n">
        <v>19</v>
      </c>
      <c r="G2146" t="inlineStr">
        <is>
          <t>n° 8 : 0,50 + n° 9 : 0,50</t>
        </is>
      </c>
      <c r="H2146" t="n">
        <v>1</v>
      </c>
    </row>
    <row r="2147">
      <c r="A2147" t="inlineStr">
        <is>
          <t>2023-2024</t>
        </is>
      </c>
      <c r="B2147" t="inlineStr">
        <is>
          <t>2023-06-15</t>
        </is>
      </c>
      <c r="C2147" t="inlineStr">
        <is>
          <t>13:09</t>
        </is>
      </c>
      <c r="D2147" t="inlineStr">
        <is>
          <t>n° 8 + n° 9</t>
        </is>
      </c>
      <c r="E2147" t="inlineStr">
        <is>
          <t>TANTELIN</t>
        </is>
      </c>
      <c r="F2147" t="n">
        <v>17.4</v>
      </c>
      <c r="G2147" t="inlineStr">
        <is>
          <t>n° 8 : 0,50 + n° 9 : 0,50</t>
        </is>
      </c>
      <c r="H2147" t="n">
        <v>1</v>
      </c>
    </row>
    <row r="2148">
      <c r="A2148" t="inlineStr">
        <is>
          <t>2023-2024</t>
        </is>
      </c>
      <c r="B2148" t="inlineStr">
        <is>
          <t>2023-06-15</t>
        </is>
      </c>
      <c r="C2148" t="inlineStr">
        <is>
          <t>13:09</t>
        </is>
      </c>
      <c r="D2148" t="inlineStr">
        <is>
          <t>n° 8 + n° 9</t>
        </is>
      </c>
      <c r="E2148" t="inlineStr">
        <is>
          <t>BALIDOU</t>
        </is>
      </c>
      <c r="F2148" t="n">
        <v>9</v>
      </c>
      <c r="G2148" t="inlineStr">
        <is>
          <t>n° 8 : 0,50 + n° 9 : 0,50</t>
        </is>
      </c>
      <c r="H2148" t="n">
        <v>1</v>
      </c>
    </row>
    <row r="2149">
      <c r="A2149" t="inlineStr">
        <is>
          <t>2023-2024</t>
        </is>
      </c>
      <c r="B2149" t="inlineStr">
        <is>
          <t>2023-06-15</t>
        </is>
      </c>
      <c r="C2149" t="inlineStr">
        <is>
          <t>13:09</t>
        </is>
      </c>
      <c r="D2149" t="inlineStr">
        <is>
          <t>n° 8 + n° 9</t>
        </is>
      </c>
      <c r="E2149" t="inlineStr">
        <is>
          <t>MAEVA</t>
        </is>
      </c>
      <c r="F2149" t="n">
        <v>9</v>
      </c>
      <c r="G2149" t="inlineStr">
        <is>
          <t>n° 8 : 0,50 + n° 9 : 0,50</t>
        </is>
      </c>
      <c r="H2149" t="n">
        <v>1</v>
      </c>
    </row>
    <row r="2150">
      <c r="A2150" t="inlineStr">
        <is>
          <t>2023-2024</t>
        </is>
      </c>
      <c r="B2150" t="inlineStr">
        <is>
          <t>2023-06-16</t>
        </is>
      </c>
      <c r="C2150" t="inlineStr">
        <is>
          <t>12:49</t>
        </is>
      </c>
      <c r="D2150" t="inlineStr">
        <is>
          <t>n° 12 + n° 13</t>
        </is>
      </c>
      <c r="E2150" t="inlineStr">
        <is>
          <t>LOURNETTE</t>
        </is>
      </c>
      <c r="F2150" t="n">
        <v>17.9</v>
      </c>
      <c r="G2150" t="inlineStr">
        <is>
          <t>n° 12 : 0,50 + n° 13 : 0,50</t>
        </is>
      </c>
      <c r="H2150" t="n">
        <v>1</v>
      </c>
    </row>
    <row r="2151">
      <c r="A2151" t="inlineStr">
        <is>
          <t>2023-2024</t>
        </is>
      </c>
      <c r="B2151" t="inlineStr">
        <is>
          <t>2023-06-16</t>
        </is>
      </c>
      <c r="C2151" t="inlineStr">
        <is>
          <t>12:49</t>
        </is>
      </c>
      <c r="D2151" t="inlineStr">
        <is>
          <t>n° 12 + n° 13</t>
        </is>
      </c>
      <c r="E2151" t="inlineStr">
        <is>
          <t>Père Gregoire</t>
        </is>
      </c>
      <c r="F2151" t="n">
        <v>5.9</v>
      </c>
      <c r="G2151" t="inlineStr">
        <is>
          <t>n° 12 : 0,50 + n° 13 : 0,50</t>
        </is>
      </c>
      <c r="H2151" t="n">
        <v>1</v>
      </c>
    </row>
    <row r="2152">
      <c r="A2152" t="inlineStr">
        <is>
          <t>2023-2024</t>
        </is>
      </c>
      <c r="B2152" t="inlineStr">
        <is>
          <t>2023-06-16</t>
        </is>
      </c>
      <c r="C2152" t="inlineStr">
        <is>
          <t>12:49</t>
        </is>
      </c>
      <c r="D2152" t="inlineStr">
        <is>
          <t>n° 12 + n° 13</t>
        </is>
      </c>
      <c r="E2152" t="inlineStr">
        <is>
          <t>Crémant</t>
        </is>
      </c>
      <c r="F2152" t="n">
        <v>5</v>
      </c>
      <c r="G2152" t="inlineStr">
        <is>
          <t>n° 12 : 0,50 + n° 13 : 0,50</t>
        </is>
      </c>
      <c r="H2152" t="n">
        <v>1</v>
      </c>
    </row>
    <row r="2153">
      <c r="A2153" t="inlineStr">
        <is>
          <t>2023-2024</t>
        </is>
      </c>
      <c r="B2153" t="inlineStr">
        <is>
          <t>2023-06-16</t>
        </is>
      </c>
      <c r="C2153" t="inlineStr">
        <is>
          <t>12:49</t>
        </is>
      </c>
      <c r="D2153" t="inlineStr">
        <is>
          <t>n° 12 + n° 13</t>
        </is>
      </c>
      <c r="E2153" t="inlineStr">
        <is>
          <t>Galette nature</t>
        </is>
      </c>
      <c r="F2153" t="n">
        <v>3.9</v>
      </c>
      <c r="G2153" t="inlineStr">
        <is>
          <t>n° 12 : 0,50 + n° 13 : 0,50</t>
        </is>
      </c>
      <c r="H2153" t="n">
        <v>1</v>
      </c>
    </row>
    <row r="2154">
      <c r="A2154" t="inlineStr">
        <is>
          <t>2023-2024</t>
        </is>
      </c>
      <c r="B2154" t="inlineStr">
        <is>
          <t>2023-06-16</t>
        </is>
      </c>
      <c r="C2154" t="inlineStr">
        <is>
          <t>12:49</t>
        </is>
      </c>
      <c r="D2154" t="inlineStr">
        <is>
          <t>n° 12 + n° 13</t>
        </is>
      </c>
      <c r="E2154" t="inlineStr">
        <is>
          <t>Jambon Blanc</t>
        </is>
      </c>
      <c r="F2154" t="n">
        <v>3.8</v>
      </c>
      <c r="G2154" t="inlineStr">
        <is>
          <t>n° 12 : 0,50 + n° 13 : 0,50</t>
        </is>
      </c>
      <c r="H2154" t="n">
        <v>1</v>
      </c>
    </row>
    <row r="2155">
      <c r="A2155" t="inlineStr">
        <is>
          <t>2023-2024</t>
        </is>
      </c>
      <c r="B2155" t="inlineStr">
        <is>
          <t>2023-06-16</t>
        </is>
      </c>
      <c r="C2155" t="inlineStr">
        <is>
          <t>12:49</t>
        </is>
      </c>
      <c r="D2155" t="inlineStr">
        <is>
          <t>n° 12 + n° 13</t>
        </is>
      </c>
      <c r="E2155" t="inlineStr">
        <is>
          <t>Morbier</t>
        </is>
      </c>
      <c r="F2155" t="n">
        <v>3.5</v>
      </c>
      <c r="G2155" t="inlineStr">
        <is>
          <t>n° 12 : 0,50 + n° 13 : 0,50</t>
        </is>
      </c>
      <c r="H2155" t="n">
        <v>1</v>
      </c>
    </row>
    <row r="2156">
      <c r="A2156" t="inlineStr">
        <is>
          <t>2023-2024</t>
        </is>
      </c>
      <c r="B2156" t="inlineStr">
        <is>
          <t>2023-06-16</t>
        </is>
      </c>
      <c r="C2156" t="inlineStr">
        <is>
          <t>12:49</t>
        </is>
      </c>
      <c r="D2156" t="inlineStr">
        <is>
          <t>n° 12 + n° 13</t>
        </is>
      </c>
      <c r="E2156" t="inlineStr">
        <is>
          <t>Ratatouille</t>
        </is>
      </c>
      <c r="F2156" t="n">
        <v>3.2</v>
      </c>
      <c r="G2156" t="inlineStr">
        <is>
          <t>n° 12 : 0,50 + n° 13 : 0,50</t>
        </is>
      </c>
      <c r="H2156" t="n">
        <v>1</v>
      </c>
    </row>
    <row r="2157">
      <c r="A2157" t="inlineStr">
        <is>
          <t>2023-2024</t>
        </is>
      </c>
      <c r="B2157" t="inlineStr">
        <is>
          <t>2023-06-16</t>
        </is>
      </c>
      <c r="C2157" t="inlineStr">
        <is>
          <t>12:49</t>
        </is>
      </c>
      <c r="D2157" t="inlineStr">
        <is>
          <t>n° 12 + n° 13</t>
        </is>
      </c>
      <c r="E2157" t="inlineStr">
        <is>
          <t>Pommes cuites</t>
        </is>
      </c>
      <c r="F2157" t="n">
        <v>3.2</v>
      </c>
      <c r="G2157" t="inlineStr">
        <is>
          <t>n° 12 : 0,50 + n° 13 : 0,50</t>
        </is>
      </c>
      <c r="H2157" t="n">
        <v>1</v>
      </c>
    </row>
    <row r="2158">
      <c r="A2158" t="inlineStr">
        <is>
          <t>2023-2024</t>
        </is>
      </c>
      <c r="B2158" t="inlineStr">
        <is>
          <t>2023-06-16</t>
        </is>
      </c>
      <c r="C2158" t="inlineStr">
        <is>
          <t>12:49</t>
        </is>
      </c>
      <c r="D2158" t="inlineStr">
        <is>
          <t>n° 12 + n° 13</t>
        </is>
      </c>
      <c r="E2158" t="inlineStr">
        <is>
          <t>CHANTILLY</t>
        </is>
      </c>
      <c r="F2158" t="n">
        <v>2.5</v>
      </c>
      <c r="G2158" t="inlineStr">
        <is>
          <t>n° 12 : 0,50 + n° 13 : 0,50</t>
        </is>
      </c>
      <c r="H2158" t="n">
        <v>1</v>
      </c>
    </row>
    <row r="2159">
      <c r="A2159" t="inlineStr">
        <is>
          <t>2023-2024</t>
        </is>
      </c>
      <c r="B2159" t="inlineStr">
        <is>
          <t>2023-06-16</t>
        </is>
      </c>
      <c r="C2159" t="inlineStr">
        <is>
          <t>12:49</t>
        </is>
      </c>
      <c r="D2159" t="inlineStr">
        <is>
          <t>n° 12 + n° 13</t>
        </is>
      </c>
      <c r="E2159" t="inlineStr">
        <is>
          <t>Œuf</t>
        </is>
      </c>
      <c r="F2159" t="n">
        <v>0.9</v>
      </c>
      <c r="G2159" t="inlineStr">
        <is>
          <t>n° 12 : 0,50 + n° 13 : 0,50</t>
        </is>
      </c>
      <c r="H2159" t="n">
        <v>1</v>
      </c>
    </row>
    <row r="2160">
      <c r="A2160" t="inlineStr">
        <is>
          <t>2023-2024</t>
        </is>
      </c>
      <c r="B2160" t="inlineStr">
        <is>
          <t>2023-06-17</t>
        </is>
      </c>
      <c r="C2160" t="inlineStr">
        <is>
          <t>20:20</t>
        </is>
      </c>
      <c r="D2160" t="inlineStr">
        <is>
          <t>n° 22 + n° 23 + n° 24 + n° 25</t>
        </is>
      </c>
      <c r="E2160" t="inlineStr">
        <is>
          <t>PICHET SAVAGNIN</t>
        </is>
      </c>
      <c r="F2160" t="n">
        <v>28</v>
      </c>
      <c r="G2160" t="inlineStr">
        <is>
          <t>n° 22 : 0,50 + n° 23 : 0,50</t>
        </is>
      </c>
      <c r="H2160" t="n">
        <v>1</v>
      </c>
    </row>
    <row r="2161">
      <c r="A2161" t="inlineStr">
        <is>
          <t>2023-2024</t>
        </is>
      </c>
      <c r="B2161" t="inlineStr">
        <is>
          <t>2023-06-17</t>
        </is>
      </c>
      <c r="C2161" t="inlineStr">
        <is>
          <t>20:20</t>
        </is>
      </c>
      <c r="D2161" t="inlineStr">
        <is>
          <t>n° 22 + n° 23 + n° 24 + n° 25</t>
        </is>
      </c>
      <c r="E2161" t="inlineStr">
        <is>
          <t>Salade Végétarienne</t>
        </is>
      </c>
      <c r="F2161" t="n">
        <v>19.9</v>
      </c>
      <c r="G2161" t="inlineStr">
        <is>
          <t>n° 24 : 0,50 + n° 25 : 0,50</t>
        </is>
      </c>
      <c r="H2161" t="n">
        <v>1</v>
      </c>
    </row>
    <row r="2162">
      <c r="A2162" t="inlineStr">
        <is>
          <t>2023-2024</t>
        </is>
      </c>
      <c r="B2162" t="inlineStr">
        <is>
          <t>2023-06-17</t>
        </is>
      </c>
      <c r="C2162" t="inlineStr">
        <is>
          <t>20:20</t>
        </is>
      </c>
      <c r="D2162" t="inlineStr">
        <is>
          <t>n° 22 + n° 23 + n° 24 + n° 25</t>
        </is>
      </c>
      <c r="E2162" t="inlineStr">
        <is>
          <t>TRUITE PESTO</t>
        </is>
      </c>
      <c r="F2162" t="n">
        <v>16.9</v>
      </c>
      <c r="G2162" t="inlineStr">
        <is>
          <t>n° 24 : 0,50 + n° 25 : 0,50</t>
        </is>
      </c>
      <c r="H2162" t="n">
        <v>1</v>
      </c>
    </row>
    <row r="2163">
      <c r="A2163" t="inlineStr">
        <is>
          <t>2023-2024</t>
        </is>
      </c>
      <c r="B2163" t="inlineStr">
        <is>
          <t>2023-06-17</t>
        </is>
      </c>
      <c r="C2163" t="inlineStr">
        <is>
          <t>20:20</t>
        </is>
      </c>
      <c r="D2163" t="inlineStr">
        <is>
          <t>n° 22 + n° 23 + n° 24 + n° 25</t>
        </is>
      </c>
      <c r="E2163" t="inlineStr">
        <is>
          <t>Assortiment charcute</t>
        </is>
      </c>
      <c r="F2163" t="n">
        <v>8.9</v>
      </c>
      <c r="G2163" t="inlineStr">
        <is>
          <t>n° 22 : 0,50 + n° 23 : 0,50</t>
        </is>
      </c>
      <c r="H2163" t="n">
        <v>1</v>
      </c>
    </row>
    <row r="2164">
      <c r="A2164" t="inlineStr">
        <is>
          <t>2023-2024</t>
        </is>
      </c>
      <c r="B2164" t="inlineStr">
        <is>
          <t>2023-06-17</t>
        </is>
      </c>
      <c r="C2164" t="inlineStr">
        <is>
          <t>20:20</t>
        </is>
      </c>
      <c r="D2164" t="inlineStr">
        <is>
          <t>n° 22 + n° 23 + n° 24 + n° 25</t>
        </is>
      </c>
      <c r="E2164" t="inlineStr">
        <is>
          <t>Crêpe Salidou</t>
        </is>
      </c>
      <c r="F2164" t="n">
        <v>6.4</v>
      </c>
      <c r="G2164" t="inlineStr">
        <is>
          <t>n° 24 : 0,50 + n° 25 : 0,50</t>
        </is>
      </c>
      <c r="H2164" t="n">
        <v>1</v>
      </c>
    </row>
    <row r="2165">
      <c r="A2165" t="inlineStr">
        <is>
          <t>2023-2024</t>
        </is>
      </c>
      <c r="B2165" t="inlineStr">
        <is>
          <t>2023-06-18</t>
        </is>
      </c>
      <c r="C2165" t="inlineStr">
        <is>
          <t>13:19</t>
        </is>
      </c>
      <c r="D2165" t="inlineStr">
        <is>
          <t>n° 8 + n° 9</t>
        </is>
      </c>
      <c r="E2165" t="inlineStr">
        <is>
          <t>ENTRECOTE MORILLES</t>
        </is>
      </c>
      <c r="F2165" t="n">
        <v>34.8</v>
      </c>
      <c r="G2165" t="inlineStr">
        <is>
          <t>n° 8 : 0,50 + n° 9 : 0,50</t>
        </is>
      </c>
      <c r="H2165" t="n">
        <v>1</v>
      </c>
    </row>
    <row r="2166">
      <c r="A2166" t="inlineStr">
        <is>
          <t>2023-2024</t>
        </is>
      </c>
      <c r="B2166" t="inlineStr">
        <is>
          <t>2023-06-18</t>
        </is>
      </c>
      <c r="C2166" t="inlineStr">
        <is>
          <t>13:19</t>
        </is>
      </c>
      <c r="D2166" t="inlineStr">
        <is>
          <t>n° 8 + n° 9</t>
        </is>
      </c>
      <c r="E2166" t="inlineStr">
        <is>
          <t>Poulet aux Morilles</t>
        </is>
      </c>
      <c r="F2166" t="n">
        <v>28.6</v>
      </c>
      <c r="G2166" t="inlineStr">
        <is>
          <t>n° 8 : 0,50 + n° 9 : 0,50</t>
        </is>
      </c>
      <c r="H2166" t="n">
        <v>1</v>
      </c>
    </row>
    <row r="2167">
      <c r="A2167" t="inlineStr">
        <is>
          <t>2023-2024</t>
        </is>
      </c>
      <c r="B2167" t="inlineStr">
        <is>
          <t>2023-06-18</t>
        </is>
      </c>
      <c r="C2167" t="inlineStr">
        <is>
          <t>13:19</t>
        </is>
      </c>
      <c r="D2167" t="inlineStr">
        <is>
          <t>n° 8 + n° 9</t>
        </is>
      </c>
      <c r="E2167" t="inlineStr">
        <is>
          <t>Truite Morilles</t>
        </is>
      </c>
      <c r="F2167" t="n">
        <v>27.8</v>
      </c>
      <c r="G2167" t="inlineStr">
        <is>
          <t>n° 8 : 0,50 + n° 9 : 0,50</t>
        </is>
      </c>
      <c r="H2167" t="n">
        <v>1</v>
      </c>
    </row>
    <row r="2168">
      <c r="A2168" t="inlineStr">
        <is>
          <t>2023-2024</t>
        </is>
      </c>
      <c r="B2168" t="inlineStr">
        <is>
          <t>2023-06-18</t>
        </is>
      </c>
      <c r="C2168" t="inlineStr">
        <is>
          <t>13:19</t>
        </is>
      </c>
      <c r="D2168" t="inlineStr">
        <is>
          <t>n° 8 + n° 9</t>
        </is>
      </c>
      <c r="E2168" t="inlineStr">
        <is>
          <t>Entrecôte Forestiére</t>
        </is>
      </c>
      <c r="F2168" t="n">
        <v>27.8</v>
      </c>
      <c r="G2168" t="inlineStr">
        <is>
          <t>n° 8 : 0,50 + n° 9 : 0,50</t>
        </is>
      </c>
      <c r="H2168" t="n">
        <v>1</v>
      </c>
    </row>
    <row r="2169">
      <c r="A2169" t="inlineStr">
        <is>
          <t>2023-2024</t>
        </is>
      </c>
      <c r="B2169" t="inlineStr">
        <is>
          <t>2023-06-18</t>
        </is>
      </c>
      <c r="C2169" t="inlineStr">
        <is>
          <t>13:19</t>
        </is>
      </c>
      <c r="D2169" t="inlineStr">
        <is>
          <t>n° 8 + n° 9</t>
        </is>
      </c>
      <c r="E2169" t="inlineStr">
        <is>
          <t>MACHON GOURMET</t>
        </is>
      </c>
      <c r="F2169" t="n">
        <v>25</v>
      </c>
      <c r="G2169" t="inlineStr">
        <is>
          <t>n° 8 : 0,50 + n° 9 : 0,50</t>
        </is>
      </c>
      <c r="H2169" t="n">
        <v>1</v>
      </c>
    </row>
    <row r="2170">
      <c r="A2170" t="inlineStr">
        <is>
          <t>2023-2024</t>
        </is>
      </c>
      <c r="B2170" t="inlineStr">
        <is>
          <t>2023-06-18</t>
        </is>
      </c>
      <c r="C2170" t="inlineStr">
        <is>
          <t>13:19</t>
        </is>
      </c>
      <c r="D2170" t="inlineStr">
        <is>
          <t>n° 8 + n° 9</t>
        </is>
      </c>
      <c r="E2170" t="inlineStr">
        <is>
          <t>GASCOGNE Gd PAVOIS</t>
        </is>
      </c>
      <c r="F2170" t="n">
        <v>22</v>
      </c>
      <c r="G2170" t="inlineStr">
        <is>
          <t>n° 8 : 0,50 + n° 9 : 0,50</t>
        </is>
      </c>
      <c r="H2170" t="n">
        <v>1</v>
      </c>
    </row>
    <row r="2171">
      <c r="A2171" t="inlineStr">
        <is>
          <t>2023-2024</t>
        </is>
      </c>
      <c r="B2171" t="inlineStr">
        <is>
          <t>2023-06-18</t>
        </is>
      </c>
      <c r="C2171" t="inlineStr">
        <is>
          <t>13:19</t>
        </is>
      </c>
      <c r="D2171" t="inlineStr">
        <is>
          <t>n° 8 + n° 9</t>
        </is>
      </c>
      <c r="E2171" t="inlineStr">
        <is>
          <t>Entrecôte grillée</t>
        </is>
      </c>
      <c r="F2171" t="n">
        <v>19.9</v>
      </c>
      <c r="G2171" t="inlineStr">
        <is>
          <t>n° 8 : 0,50 + n° 9 : 0,50</t>
        </is>
      </c>
      <c r="H2171" t="n">
        <v>1</v>
      </c>
    </row>
    <row r="2172">
      <c r="A2172" t="inlineStr">
        <is>
          <t>2023-2024</t>
        </is>
      </c>
      <c r="B2172" t="inlineStr">
        <is>
          <t>2023-06-18</t>
        </is>
      </c>
      <c r="C2172" t="inlineStr">
        <is>
          <t>13:19</t>
        </is>
      </c>
      <c r="D2172" t="inlineStr">
        <is>
          <t>n° 8 + n° 9</t>
        </is>
      </c>
      <c r="E2172" t="inlineStr">
        <is>
          <t>BURGER COMTOIS</t>
        </is>
      </c>
      <c r="F2172" t="n">
        <v>19</v>
      </c>
      <c r="G2172" t="inlineStr">
        <is>
          <t>n° 8 : 0,50 + n° 9 : 0,50</t>
        </is>
      </c>
      <c r="H2172" t="n">
        <v>1</v>
      </c>
    </row>
    <row r="2173">
      <c r="A2173" t="inlineStr">
        <is>
          <t>2023-2024</t>
        </is>
      </c>
      <c r="B2173" t="inlineStr">
        <is>
          <t>2023-06-18</t>
        </is>
      </c>
      <c r="C2173" t="inlineStr">
        <is>
          <t>13:19</t>
        </is>
      </c>
      <c r="D2173" t="inlineStr">
        <is>
          <t>n° 8 + n° 9</t>
        </is>
      </c>
      <c r="E2173" t="inlineStr">
        <is>
          <t>POULET JURASSIENNE</t>
        </is>
      </c>
      <c r="F2173" t="n">
        <v>18.6</v>
      </c>
      <c r="G2173" t="inlineStr">
        <is>
          <t>n° 8 : 0,50 + n° 9 : 0,50</t>
        </is>
      </c>
      <c r="H2173" t="n">
        <v>1</v>
      </c>
    </row>
    <row r="2174">
      <c r="A2174" t="inlineStr">
        <is>
          <t>2023-2024</t>
        </is>
      </c>
      <c r="B2174" t="inlineStr">
        <is>
          <t>2023-06-18</t>
        </is>
      </c>
      <c r="C2174" t="inlineStr">
        <is>
          <t>13:19</t>
        </is>
      </c>
      <c r="D2174" t="inlineStr">
        <is>
          <t>n° 8 + n° 9</t>
        </is>
      </c>
      <c r="E2174" t="inlineStr">
        <is>
          <t>TRUITE PESTO</t>
        </is>
      </c>
      <c r="F2174" t="n">
        <v>16.9</v>
      </c>
      <c r="G2174" t="inlineStr">
        <is>
          <t>n° 8 : 0,50 + n° 9 : 0,50</t>
        </is>
      </c>
      <c r="H2174" t="n">
        <v>1</v>
      </c>
    </row>
    <row r="2175">
      <c r="A2175" t="inlineStr">
        <is>
          <t>2023-2024</t>
        </is>
      </c>
      <c r="B2175" t="inlineStr">
        <is>
          <t>2023-06-18</t>
        </is>
      </c>
      <c r="C2175" t="inlineStr">
        <is>
          <t>13:19</t>
        </is>
      </c>
      <c r="D2175" t="inlineStr">
        <is>
          <t>n° 8 + n° 9</t>
        </is>
      </c>
      <c r="E2175" t="inlineStr">
        <is>
          <t>VALENTINE</t>
        </is>
      </c>
      <c r="F2175" t="n">
        <v>11.1</v>
      </c>
      <c r="G2175" t="inlineStr">
        <is>
          <t>n° 8 : 0,50 + n° 9 : 0,50</t>
        </is>
      </c>
      <c r="H2175" t="n">
        <v>1</v>
      </c>
    </row>
    <row r="2176">
      <c r="A2176" t="inlineStr">
        <is>
          <t>2023-2024</t>
        </is>
      </c>
      <c r="B2176" t="inlineStr">
        <is>
          <t>2023-06-18</t>
        </is>
      </c>
      <c r="C2176" t="inlineStr">
        <is>
          <t>13:19</t>
        </is>
      </c>
      <c r="D2176" t="inlineStr">
        <is>
          <t>n° 8 + n° 9</t>
        </is>
      </c>
      <c r="E2176" t="inlineStr">
        <is>
          <t>Mi</t>
        </is>
      </c>
      <c r="F2176" t="n">
        <v>9</v>
      </c>
      <c r="G2176" t="inlineStr">
        <is>
          <t>n° 8 : 0,50 + n° 9 : 0,50</t>
        </is>
      </c>
      <c r="H2176" t="n">
        <v>1</v>
      </c>
    </row>
    <row r="2177">
      <c r="A2177" t="inlineStr">
        <is>
          <t>2023-2024</t>
        </is>
      </c>
      <c r="B2177" t="inlineStr">
        <is>
          <t>2023-06-18</t>
        </is>
      </c>
      <c r="C2177" t="inlineStr">
        <is>
          <t>13:19</t>
        </is>
      </c>
      <c r="D2177" t="inlineStr">
        <is>
          <t>n° 8 + n° 9</t>
        </is>
      </c>
      <c r="E2177" t="inlineStr">
        <is>
          <t>Baba</t>
        </is>
      </c>
      <c r="F2177" t="n">
        <v>8.9</v>
      </c>
      <c r="G2177" t="inlineStr">
        <is>
          <t>n° 8 : 0,50 + n° 9 : 0,50</t>
        </is>
      </c>
      <c r="H2177" t="n">
        <v>1</v>
      </c>
    </row>
    <row r="2178">
      <c r="A2178" t="inlineStr">
        <is>
          <t>2023-2024</t>
        </is>
      </c>
      <c r="B2178" t="inlineStr">
        <is>
          <t>2023-06-18</t>
        </is>
      </c>
      <c r="C2178" t="inlineStr">
        <is>
          <t>13:19</t>
        </is>
      </c>
      <c r="D2178" t="inlineStr">
        <is>
          <t>n° 8 + n° 9</t>
        </is>
      </c>
      <c r="E2178" t="inlineStr">
        <is>
          <t>GLACE 3 BOULES</t>
        </is>
      </c>
      <c r="F2178" t="n">
        <v>7.9</v>
      </c>
      <c r="G2178" t="inlineStr">
        <is>
          <t>n° 8 : 0,50 + n° 9 : 0,50</t>
        </is>
      </c>
      <c r="H2178" t="n">
        <v>1</v>
      </c>
    </row>
    <row r="2179">
      <c r="A2179" t="inlineStr">
        <is>
          <t>2023-2024</t>
        </is>
      </c>
      <c r="B2179" t="inlineStr">
        <is>
          <t>2023-06-18</t>
        </is>
      </c>
      <c r="C2179" t="inlineStr">
        <is>
          <t>13:19</t>
        </is>
      </c>
      <c r="D2179" t="inlineStr">
        <is>
          <t>n° 8 + n° 9</t>
        </is>
      </c>
      <c r="E2179" t="inlineStr">
        <is>
          <t>Mambo</t>
        </is>
      </c>
      <c r="F2179" t="n">
        <v>6.5</v>
      </c>
      <c r="G2179" t="inlineStr">
        <is>
          <t>n° 8 : 0,50 + n° 9 : 0,50</t>
        </is>
      </c>
      <c r="H2179" t="n">
        <v>1</v>
      </c>
    </row>
    <row r="2180">
      <c r="A2180" t="inlineStr">
        <is>
          <t>2023-2024</t>
        </is>
      </c>
      <c r="B2180" t="inlineStr">
        <is>
          <t>2023-06-18</t>
        </is>
      </c>
      <c r="C2180" t="inlineStr">
        <is>
          <t>13:19</t>
        </is>
      </c>
      <c r="D2180" t="inlineStr">
        <is>
          <t>n° 8 + n° 9</t>
        </is>
      </c>
      <c r="E2180" t="inlineStr">
        <is>
          <t>Ricard</t>
        </is>
      </c>
      <c r="F2180" t="n">
        <v>4.2</v>
      </c>
      <c r="G2180" t="inlineStr">
        <is>
          <t>n° 8 : 0,50 + n° 9 : 0,50</t>
        </is>
      </c>
      <c r="H2180" t="n">
        <v>1</v>
      </c>
    </row>
    <row r="2181">
      <c r="A2181" t="inlineStr">
        <is>
          <t>2023-2024</t>
        </is>
      </c>
      <c r="B2181" t="inlineStr">
        <is>
          <t>2023-06-18</t>
        </is>
      </c>
      <c r="C2181" t="inlineStr">
        <is>
          <t>13:19</t>
        </is>
      </c>
      <c r="D2181" t="inlineStr">
        <is>
          <t>n° 8 + n° 9</t>
        </is>
      </c>
      <c r="E2181" t="inlineStr">
        <is>
          <t>Pastis</t>
        </is>
      </c>
      <c r="F2181" t="n">
        <v>4.2</v>
      </c>
      <c r="G2181" t="inlineStr">
        <is>
          <t>n° 8 : 0,50 + n° 9 : 0,50</t>
        </is>
      </c>
      <c r="H2181" t="n">
        <v>1</v>
      </c>
    </row>
    <row r="2182">
      <c r="A2182" t="inlineStr">
        <is>
          <t>2023-2024</t>
        </is>
      </c>
      <c r="B2182" t="inlineStr">
        <is>
          <t>2023-06-18</t>
        </is>
      </c>
      <c r="C2182" t="inlineStr">
        <is>
          <t>13:19</t>
        </is>
      </c>
      <c r="D2182" t="inlineStr">
        <is>
          <t>n° 8 + n° 9</t>
        </is>
      </c>
      <c r="E2182" t="inlineStr">
        <is>
          <t>pression</t>
        </is>
      </c>
      <c r="F2182" t="n">
        <v>4.2</v>
      </c>
      <c r="G2182" t="inlineStr">
        <is>
          <t>n° 8 : 0,50 + n° 9 : 0,50</t>
        </is>
      </c>
      <c r="H2182" t="n">
        <v>1</v>
      </c>
    </row>
    <row r="2183">
      <c r="A2183" t="inlineStr">
        <is>
          <t>2023-2024</t>
        </is>
      </c>
      <c r="B2183" t="inlineStr">
        <is>
          <t>2023-06-18</t>
        </is>
      </c>
      <c r="C2183" t="inlineStr">
        <is>
          <t>13:19</t>
        </is>
      </c>
      <c r="D2183" t="inlineStr">
        <is>
          <t>n° 8 + n° 9</t>
        </is>
      </c>
      <c r="E2183" t="inlineStr">
        <is>
          <t>FANTA</t>
        </is>
      </c>
      <c r="F2183" t="n">
        <v>3.9</v>
      </c>
      <c r="G2183" t="inlineStr">
        <is>
          <t>n° 8 : 0,50 + n° 9 : 0,50</t>
        </is>
      </c>
      <c r="H2183" t="n">
        <v>1</v>
      </c>
    </row>
    <row r="2184">
      <c r="A2184" t="inlineStr">
        <is>
          <t>2023-2024</t>
        </is>
      </c>
      <c r="B2184" t="inlineStr">
        <is>
          <t>2023-06-18</t>
        </is>
      </c>
      <c r="C2184" t="inlineStr">
        <is>
          <t>13:19</t>
        </is>
      </c>
      <c r="D2184" t="inlineStr">
        <is>
          <t>n° 8 + n° 9</t>
        </is>
      </c>
      <c r="E2184" t="inlineStr">
        <is>
          <t>Coca (25cl)</t>
        </is>
      </c>
      <c r="F2184" t="n">
        <v>3.9</v>
      </c>
      <c r="G2184" t="inlineStr">
        <is>
          <t>n° 8 : 0,50 + n° 9 : 0,50</t>
        </is>
      </c>
      <c r="H2184" t="n">
        <v>1</v>
      </c>
    </row>
    <row r="2185">
      <c r="A2185" t="inlineStr">
        <is>
          <t>2023-2024</t>
        </is>
      </c>
      <c r="B2185" t="inlineStr">
        <is>
          <t>2023-06-18</t>
        </is>
      </c>
      <c r="C2185" t="inlineStr">
        <is>
          <t>13:19</t>
        </is>
      </c>
      <c r="D2185" t="inlineStr">
        <is>
          <t>n° 8 + n° 9</t>
        </is>
      </c>
      <c r="E2185" t="inlineStr">
        <is>
          <t>GLACE 1 BOULE</t>
        </is>
      </c>
      <c r="F2185" t="n">
        <v>3.5</v>
      </c>
      <c r="G2185" t="inlineStr">
        <is>
          <t>n° 8 : 0,50 + n° 9 : 0,50</t>
        </is>
      </c>
      <c r="H2185" t="n">
        <v>1</v>
      </c>
    </row>
    <row r="2186">
      <c r="A2186" t="inlineStr">
        <is>
          <t>2023-2024</t>
        </is>
      </c>
      <c r="B2186" t="inlineStr">
        <is>
          <t>2023-06-21</t>
        </is>
      </c>
      <c r="C2186" t="inlineStr">
        <is>
          <t>19:23</t>
        </is>
      </c>
      <c r="D2186" t="inlineStr">
        <is>
          <t>n° 13 + n° 14 + n° 17 + n° 18</t>
        </is>
      </c>
      <c r="E2186" t="inlineStr">
        <is>
          <t>Menu 'Demi Lune'</t>
        </is>
      </c>
      <c r="F2186" t="n">
        <v>45</v>
      </c>
      <c r="G2186" t="inlineStr">
        <is>
          <t>n° 13 : 0,50 + n° 14 : 0,50</t>
        </is>
      </c>
      <c r="H2186" t="n">
        <v>1</v>
      </c>
    </row>
    <row r="2187">
      <c r="A2187" t="inlineStr">
        <is>
          <t>2023-2024</t>
        </is>
      </c>
      <c r="B2187" t="inlineStr">
        <is>
          <t>2023-06-21</t>
        </is>
      </c>
      <c r="C2187" t="inlineStr">
        <is>
          <t>19:23</t>
        </is>
      </c>
      <c r="D2187" t="inlineStr">
        <is>
          <t>n° 13 + n° 14 + n° 17 + n° 18</t>
        </is>
      </c>
      <c r="E2187" t="inlineStr">
        <is>
          <t>pichet Saint Joseph</t>
        </is>
      </c>
      <c r="F2187" t="n">
        <v>32.2</v>
      </c>
      <c r="G2187" t="inlineStr">
        <is>
          <t>n° 17 : 0,50 + n° 18 : 0,50</t>
        </is>
      </c>
      <c r="H2187" t="n">
        <v>1</v>
      </c>
    </row>
    <row r="2188">
      <c r="A2188" t="inlineStr">
        <is>
          <t>2023-2024</t>
        </is>
      </c>
      <c r="B2188" t="inlineStr">
        <is>
          <t>2023-06-21</t>
        </is>
      </c>
      <c r="C2188" t="inlineStr">
        <is>
          <t>19:23</t>
        </is>
      </c>
      <c r="D2188" t="inlineStr">
        <is>
          <t>n° 13 + n° 14 + n° 17 + n° 18</t>
        </is>
      </c>
      <c r="E2188" t="inlineStr">
        <is>
          <t>POULET JURASSIENNE</t>
        </is>
      </c>
      <c r="F2188" t="n">
        <v>18.6</v>
      </c>
      <c r="G2188" t="inlineStr">
        <is>
          <t>n° 17 : 0,50 + n° 18 : 0,50</t>
        </is>
      </c>
      <c r="H2188" t="n">
        <v>1</v>
      </c>
    </row>
    <row r="2189">
      <c r="A2189" t="inlineStr">
        <is>
          <t>2023-2024</t>
        </is>
      </c>
      <c r="B2189" t="inlineStr">
        <is>
          <t>2023-06-21</t>
        </is>
      </c>
      <c r="C2189" t="inlineStr">
        <is>
          <t>19:23</t>
        </is>
      </c>
      <c r="D2189" t="inlineStr">
        <is>
          <t>n° 13 + n° 14 + n° 17 + n° 18</t>
        </is>
      </c>
      <c r="E2189" t="inlineStr">
        <is>
          <t>MORTEAU GRILLEE</t>
        </is>
      </c>
      <c r="F2189" t="n">
        <v>18.6</v>
      </c>
      <c r="G2189" t="inlineStr">
        <is>
          <t>n° 17 : 0,50 + n° 18 : 0,50</t>
        </is>
      </c>
      <c r="H2189" t="n">
        <v>1</v>
      </c>
    </row>
    <row r="2190">
      <c r="A2190" t="inlineStr">
        <is>
          <t>2023-2024</t>
        </is>
      </c>
      <c r="B2190" t="inlineStr">
        <is>
          <t>2023-06-21</t>
        </is>
      </c>
      <c r="C2190" t="inlineStr">
        <is>
          <t>19:23</t>
        </is>
      </c>
      <c r="D2190" t="inlineStr">
        <is>
          <t>n° 13 + n° 14 + n° 17 + n° 18</t>
        </is>
      </c>
      <c r="E2190" t="inlineStr">
        <is>
          <t>Vittel litre</t>
        </is>
      </c>
      <c r="F2190" t="n">
        <v>5.9</v>
      </c>
      <c r="G2190" t="inlineStr">
        <is>
          <t>n° 13 : 0,50 + n° 14 : 0,50</t>
        </is>
      </c>
      <c r="H2190" t="n">
        <v>1</v>
      </c>
    </row>
    <row r="2191">
      <c r="A2191" t="inlineStr">
        <is>
          <t>2023-2024</t>
        </is>
      </c>
      <c r="B2191" t="inlineStr">
        <is>
          <t>2023-06-21</t>
        </is>
      </c>
      <c r="C2191" t="inlineStr">
        <is>
          <t>19:23</t>
        </is>
      </c>
      <c r="D2191" t="inlineStr">
        <is>
          <t>n° 13 + n° 14 + n° 17 + n° 18</t>
        </is>
      </c>
      <c r="E2191" t="inlineStr">
        <is>
          <t>Porto</t>
        </is>
      </c>
      <c r="F2191" t="n">
        <v>4.9</v>
      </c>
      <c r="G2191" t="inlineStr">
        <is>
          <t>n° 13 : 0,50 + n° 14 : 0,50</t>
        </is>
      </c>
      <c r="H2191" t="n">
        <v>1</v>
      </c>
    </row>
    <row r="2192">
      <c r="A2192" t="inlineStr">
        <is>
          <t>2023-2024</t>
        </is>
      </c>
      <c r="B2192" t="inlineStr">
        <is>
          <t>2023-06-21</t>
        </is>
      </c>
      <c r="C2192" t="inlineStr">
        <is>
          <t>19:23</t>
        </is>
      </c>
      <c r="D2192" t="inlineStr">
        <is>
          <t>n° 13 + n° 14 + n° 17 + n° 18</t>
        </is>
      </c>
      <c r="E2192" t="inlineStr">
        <is>
          <t>Kir Bourgogne</t>
        </is>
      </c>
      <c r="F2192" t="n">
        <v>4.2</v>
      </c>
      <c r="G2192" t="inlineStr">
        <is>
          <t>n° 13 : 0,50 + n° 14 : 0,50</t>
        </is>
      </c>
      <c r="H2192" t="n">
        <v>1</v>
      </c>
    </row>
    <row r="2193">
      <c r="A2193" t="inlineStr">
        <is>
          <t>2023-2024</t>
        </is>
      </c>
      <c r="B2193" t="inlineStr">
        <is>
          <t>2023-06-21</t>
        </is>
      </c>
      <c r="C2193" t="inlineStr">
        <is>
          <t>19:23</t>
        </is>
      </c>
      <c r="D2193" t="inlineStr">
        <is>
          <t>n° 13 + n° 14 + n° 17 + n° 18</t>
        </is>
      </c>
      <c r="E2193" t="inlineStr">
        <is>
          <t>Panaché</t>
        </is>
      </c>
      <c r="F2193" t="n">
        <v>4.2</v>
      </c>
      <c r="G2193" t="inlineStr">
        <is>
          <t>n° 13 : 0,50 + n° 14 : 0,50</t>
        </is>
      </c>
      <c r="H2193" t="n">
        <v>1</v>
      </c>
    </row>
    <row r="2194">
      <c r="A2194" t="inlineStr">
        <is>
          <t>2023-2024</t>
        </is>
      </c>
      <c r="B2194" t="inlineStr">
        <is>
          <t>2023-06-21</t>
        </is>
      </c>
      <c r="C2194" t="inlineStr">
        <is>
          <t>19:23</t>
        </is>
      </c>
      <c r="D2194" t="inlineStr">
        <is>
          <t>n° 13 + n° 14 + n° 17 + n° 18</t>
        </is>
      </c>
      <c r="E2194" t="inlineStr">
        <is>
          <t>GLACE 1 BOULE</t>
        </is>
      </c>
      <c r="F2194" t="n">
        <v>3.5</v>
      </c>
      <c r="G2194" t="inlineStr">
        <is>
          <t>n° 17 : 0,50 + n° 18 : 0,50</t>
        </is>
      </c>
      <c r="H2194" t="n">
        <v>1</v>
      </c>
    </row>
    <row r="2195">
      <c r="A2195" t="inlineStr">
        <is>
          <t>2023-2024</t>
        </is>
      </c>
      <c r="B2195" t="inlineStr">
        <is>
          <t>2023-06-21</t>
        </is>
      </c>
      <c r="C2195" t="inlineStr">
        <is>
          <t>20:01</t>
        </is>
      </c>
      <c r="D2195" t="inlineStr">
        <is>
          <t>n° 22 + n° 23</t>
        </is>
      </c>
      <c r="E2195" t="inlineStr">
        <is>
          <t>BEGUIN</t>
        </is>
      </c>
      <c r="F2195" t="n">
        <v>9.1</v>
      </c>
      <c r="G2195" t="inlineStr">
        <is>
          <t>n° 22 : 0,50 + n° 23 : 0,50</t>
        </is>
      </c>
      <c r="H2195" t="n">
        <v>1</v>
      </c>
    </row>
    <row r="2196">
      <c r="A2196" t="inlineStr">
        <is>
          <t>2023-2024</t>
        </is>
      </c>
      <c r="B2196" t="inlineStr">
        <is>
          <t>2023-06-21</t>
        </is>
      </c>
      <c r="C2196" t="inlineStr">
        <is>
          <t>20:01</t>
        </is>
      </c>
      <c r="D2196" t="inlineStr">
        <is>
          <t>n° 22 + n° 23</t>
        </is>
      </c>
      <c r="E2196" t="inlineStr">
        <is>
          <t>GLACE 2 BOULES</t>
        </is>
      </c>
      <c r="F2196" t="n">
        <v>5.5</v>
      </c>
      <c r="G2196" t="inlineStr">
        <is>
          <t>n° 22 : 1,50 + n° 23 : 1,50</t>
        </is>
      </c>
      <c r="H2196" t="n">
        <v>3</v>
      </c>
    </row>
    <row r="2197">
      <c r="A2197" t="inlineStr">
        <is>
          <t>2023-2024</t>
        </is>
      </c>
      <c r="B2197" t="inlineStr">
        <is>
          <t>2023-06-22</t>
        </is>
      </c>
      <c r="C2197" t="inlineStr">
        <is>
          <t>20:13</t>
        </is>
      </c>
      <c r="D2197" t="inlineStr">
        <is>
          <t>n° 17 + n° 18</t>
        </is>
      </c>
      <c r="E2197" t="inlineStr">
        <is>
          <t>ENTRECOTE MORILLES</t>
        </is>
      </c>
      <c r="F2197" t="n">
        <v>34.8</v>
      </c>
      <c r="G2197" t="inlineStr">
        <is>
          <t>n° 17 : 0,50 + n° 18 : 0,50</t>
        </is>
      </c>
      <c r="H2197" t="n">
        <v>1</v>
      </c>
    </row>
    <row r="2198">
      <c r="A2198" t="inlineStr">
        <is>
          <t>2023-2024</t>
        </is>
      </c>
      <c r="B2198" t="inlineStr">
        <is>
          <t>2023-06-22</t>
        </is>
      </c>
      <c r="C2198" t="inlineStr">
        <is>
          <t>20:13</t>
        </is>
      </c>
      <c r="D2198" t="inlineStr">
        <is>
          <t>n° 17 + n° 18</t>
        </is>
      </c>
      <c r="E2198" t="inlineStr">
        <is>
          <t>PICHET SAVAGNIN</t>
        </is>
      </c>
      <c r="F2198" t="n">
        <v>28</v>
      </c>
      <c r="G2198" t="inlineStr">
        <is>
          <t>n° 17 : 0,50 + n° 18 : 0,50</t>
        </is>
      </c>
      <c r="H2198" t="n">
        <v>1</v>
      </c>
    </row>
    <row r="2199">
      <c r="A2199" t="inlineStr">
        <is>
          <t>2023-2024</t>
        </is>
      </c>
      <c r="B2199" t="inlineStr">
        <is>
          <t>2023-06-22</t>
        </is>
      </c>
      <c r="C2199" t="inlineStr">
        <is>
          <t>20:13</t>
        </is>
      </c>
      <c r="D2199" t="inlineStr">
        <is>
          <t>n° 17 + n° 18</t>
        </is>
      </c>
      <c r="E2199" t="inlineStr">
        <is>
          <t>Salade Régionale</t>
        </is>
      </c>
      <c r="F2199" t="n">
        <v>19.9</v>
      </c>
      <c r="G2199" t="inlineStr">
        <is>
          <t>n° 17 : 0,50 + n° 18 : 0,50</t>
        </is>
      </c>
      <c r="H2199" t="n">
        <v>1</v>
      </c>
    </row>
    <row r="2200">
      <c r="A2200" t="inlineStr">
        <is>
          <t>2023-2024</t>
        </is>
      </c>
      <c r="B2200" t="inlineStr">
        <is>
          <t>2023-06-22</t>
        </is>
      </c>
      <c r="C2200" t="inlineStr">
        <is>
          <t>20:13</t>
        </is>
      </c>
      <c r="D2200" t="inlineStr">
        <is>
          <t>n° 17 + n° 18</t>
        </is>
      </c>
      <c r="E2200" t="inlineStr">
        <is>
          <t>Macvin du Jura</t>
        </is>
      </c>
      <c r="F2200" t="n">
        <v>5.9</v>
      </c>
      <c r="G2200" t="inlineStr">
        <is>
          <t>n° 17 : 0,50 + n° 18 : 0,50</t>
        </is>
      </c>
      <c r="H2200" t="n">
        <v>1</v>
      </c>
    </row>
    <row r="2201">
      <c r="A2201" t="inlineStr">
        <is>
          <t>2023-2024</t>
        </is>
      </c>
      <c r="B2201" t="inlineStr">
        <is>
          <t>2023-06-22</t>
        </is>
      </c>
      <c r="C2201" t="inlineStr">
        <is>
          <t>20:13</t>
        </is>
      </c>
      <c r="D2201" t="inlineStr">
        <is>
          <t>n° 17 + n° 18</t>
        </is>
      </c>
      <c r="E2201" t="inlineStr">
        <is>
          <t>VERRE ROSE</t>
        </is>
      </c>
      <c r="F2201" t="n">
        <v>3.9</v>
      </c>
      <c r="G2201" t="inlineStr">
        <is>
          <t>n° 17 : 0,50 + n° 18 : 0,50</t>
        </is>
      </c>
      <c r="H2201" t="n">
        <v>1</v>
      </c>
    </row>
    <row r="2202">
      <c r="A2202" t="inlineStr">
        <is>
          <t>2023-2024</t>
        </is>
      </c>
      <c r="B2202" t="inlineStr">
        <is>
          <t>2023-06-23</t>
        </is>
      </c>
      <c r="C2202" t="inlineStr">
        <is>
          <t>12:18</t>
        </is>
      </c>
      <c r="D2202" t="inlineStr">
        <is>
          <t>n° 5 + n° 6</t>
        </is>
      </c>
      <c r="E2202" t="inlineStr">
        <is>
          <t>Salade Végétarienne</t>
        </is>
      </c>
      <c r="F2202" t="n">
        <v>19.9</v>
      </c>
      <c r="G2202" t="inlineStr">
        <is>
          <t>n° 5 : 0,50 + n° 6 : 0,50</t>
        </is>
      </c>
      <c r="H2202" t="n">
        <v>1</v>
      </c>
    </row>
    <row r="2203">
      <c r="A2203" t="inlineStr">
        <is>
          <t>2023-2024</t>
        </is>
      </c>
      <c r="B2203" t="inlineStr">
        <is>
          <t>2023-06-23</t>
        </is>
      </c>
      <c r="C2203" t="inlineStr">
        <is>
          <t>12:18</t>
        </is>
      </c>
      <c r="D2203" t="inlineStr">
        <is>
          <t>n° 5 + n° 6</t>
        </is>
      </c>
      <c r="E2203" t="inlineStr">
        <is>
          <t>LOURNETTE</t>
        </is>
      </c>
      <c r="F2203" t="n">
        <v>17.9</v>
      </c>
      <c r="G2203" t="inlineStr">
        <is>
          <t>n° 5 : 0,50 + n° 6 : 0,50</t>
        </is>
      </c>
      <c r="H2203" t="n">
        <v>1</v>
      </c>
    </row>
    <row r="2204">
      <c r="A2204" t="inlineStr">
        <is>
          <t>2023-2024</t>
        </is>
      </c>
      <c r="B2204" t="inlineStr">
        <is>
          <t>2023-06-24</t>
        </is>
      </c>
      <c r="C2204" t="inlineStr">
        <is>
          <t>12:11</t>
        </is>
      </c>
      <c r="D2204" t="inlineStr">
        <is>
          <t>n° 4 + n° 5</t>
        </is>
      </c>
      <c r="E2204" t="inlineStr">
        <is>
          <t>BURGER COMTOIS</t>
        </is>
      </c>
      <c r="F2204" t="n">
        <v>19</v>
      </c>
      <c r="G2204" t="inlineStr">
        <is>
          <t>n° 4 : 0,50 + n° 5 : 0,50</t>
        </is>
      </c>
      <c r="H2204" t="n">
        <v>1</v>
      </c>
    </row>
    <row r="2205">
      <c r="A2205" t="inlineStr">
        <is>
          <t>2023-2024</t>
        </is>
      </c>
      <c r="B2205" t="inlineStr">
        <is>
          <t>2023-06-24</t>
        </is>
      </c>
      <c r="C2205" t="inlineStr">
        <is>
          <t>12:11</t>
        </is>
      </c>
      <c r="D2205" t="inlineStr">
        <is>
          <t>n° 4 + n° 5</t>
        </is>
      </c>
      <c r="E2205" t="inlineStr">
        <is>
          <t>ASSIETTE FRANC-COMTO</t>
        </is>
      </c>
      <c r="F2205" t="n">
        <v>18.6</v>
      </c>
      <c r="G2205" t="inlineStr">
        <is>
          <t>n° 4 : 0,50 + n° 5 : 0,50</t>
        </is>
      </c>
      <c r="H2205" t="n">
        <v>1</v>
      </c>
    </row>
    <row r="2206">
      <c r="A2206" t="inlineStr">
        <is>
          <t>2023-2024</t>
        </is>
      </c>
      <c r="B2206" t="inlineStr">
        <is>
          <t>2023-06-24</t>
        </is>
      </c>
      <c r="C2206" t="inlineStr">
        <is>
          <t>12:11</t>
        </is>
      </c>
      <c r="D2206" t="inlineStr">
        <is>
          <t>n° 4 + n° 5</t>
        </is>
      </c>
      <c r="E2206" t="inlineStr">
        <is>
          <t>GLACE 2 BOULES</t>
        </is>
      </c>
      <c r="F2206" t="n">
        <v>5.5</v>
      </c>
      <c r="G2206" t="inlineStr">
        <is>
          <t>n° 4 : 0,50 + n° 5 : 0,50</t>
        </is>
      </c>
      <c r="H2206" t="n">
        <v>1</v>
      </c>
    </row>
    <row r="2207">
      <c r="A2207" t="inlineStr">
        <is>
          <t>2023-2024</t>
        </is>
      </c>
      <c r="B2207" t="inlineStr">
        <is>
          <t>2023-06-24</t>
        </is>
      </c>
      <c r="C2207" t="inlineStr">
        <is>
          <t>12:11</t>
        </is>
      </c>
      <c r="D2207" t="inlineStr">
        <is>
          <t>n° 4 + n° 5</t>
        </is>
      </c>
      <c r="E2207" t="inlineStr">
        <is>
          <t>Expresso</t>
        </is>
      </c>
      <c r="F2207" t="n">
        <v>2.2</v>
      </c>
      <c r="G2207" t="inlineStr">
        <is>
          <t>n° 4 : 0,50 + n° 5 : 0,50</t>
        </is>
      </c>
      <c r="H2207" t="n">
        <v>1</v>
      </c>
    </row>
    <row r="2208">
      <c r="A2208" t="inlineStr">
        <is>
          <t>2023-2024</t>
        </is>
      </c>
      <c r="B2208" t="inlineStr">
        <is>
          <t>2023-06-28</t>
        </is>
      </c>
      <c r="C2208" t="inlineStr">
        <is>
          <t>12:08</t>
        </is>
      </c>
      <c r="D2208" t="inlineStr">
        <is>
          <t>n° 5 + n° 6 + n° 8 + n° 9</t>
        </is>
      </c>
      <c r="E2208" t="inlineStr">
        <is>
          <t>Poulet aux Morilles</t>
        </is>
      </c>
      <c r="F2208" t="n">
        <v>28.6</v>
      </c>
      <c r="G2208" t="inlineStr">
        <is>
          <t>n° 5 : 0,50 + n° 6 : 0,50</t>
        </is>
      </c>
      <c r="H2208" t="n">
        <v>1</v>
      </c>
    </row>
    <row r="2209">
      <c r="A2209" t="inlineStr">
        <is>
          <t>2023-2024</t>
        </is>
      </c>
      <c r="B2209" t="inlineStr">
        <is>
          <t>2023-06-28</t>
        </is>
      </c>
      <c r="C2209" t="inlineStr">
        <is>
          <t>12:08</t>
        </is>
      </c>
      <c r="D2209" t="inlineStr">
        <is>
          <t>n° 5 + n° 6 + n° 8 + n° 9</t>
        </is>
      </c>
      <c r="E2209" t="inlineStr">
        <is>
          <t>Truite Morilles</t>
        </is>
      </c>
      <c r="F2209" t="n">
        <v>27.8</v>
      </c>
      <c r="G2209" t="inlineStr">
        <is>
          <t>n° 5 : 0,50 + n° 6 : 0,50</t>
        </is>
      </c>
      <c r="H2209" t="n">
        <v>1</v>
      </c>
    </row>
    <row r="2210">
      <c r="A2210" t="inlineStr">
        <is>
          <t>2023-2024</t>
        </is>
      </c>
      <c r="B2210" t="inlineStr">
        <is>
          <t>2023-06-28</t>
        </is>
      </c>
      <c r="C2210" t="inlineStr">
        <is>
          <t>12:08</t>
        </is>
      </c>
      <c r="D2210" t="inlineStr">
        <is>
          <t>n° 5 + n° 6 + n° 8 + n° 9</t>
        </is>
      </c>
      <c r="E2210" t="inlineStr">
        <is>
          <t>LOURNETTE</t>
        </is>
      </c>
      <c r="F2210" t="n">
        <v>17.9</v>
      </c>
      <c r="G2210" t="inlineStr">
        <is>
          <t>n° 8 : 0,50 + n° 9 : 0,50</t>
        </is>
      </c>
      <c r="H2210" t="n">
        <v>1</v>
      </c>
    </row>
    <row r="2211">
      <c r="A2211" t="inlineStr">
        <is>
          <t>2023-2024</t>
        </is>
      </c>
      <c r="B2211" t="inlineStr">
        <is>
          <t>2023-06-28</t>
        </is>
      </c>
      <c r="C2211" t="inlineStr">
        <is>
          <t>12:08</t>
        </is>
      </c>
      <c r="D2211" t="inlineStr">
        <is>
          <t>n° 5 + n° 6 + n° 8 + n° 9</t>
        </is>
      </c>
      <c r="E2211" t="inlineStr">
        <is>
          <t>Formule à 12.5</t>
        </is>
      </c>
      <c r="F2211" t="n">
        <v>12.5</v>
      </c>
      <c r="G2211" t="inlineStr">
        <is>
          <t>n° 8 : 0,50 + n° 9 : 0,50</t>
        </is>
      </c>
      <c r="H2211" t="n">
        <v>1</v>
      </c>
    </row>
    <row r="2212">
      <c r="A2212" t="inlineStr">
        <is>
          <t>2023-2024</t>
        </is>
      </c>
      <c r="B2212" t="inlineStr">
        <is>
          <t>2023-06-28</t>
        </is>
      </c>
      <c r="C2212" t="inlineStr">
        <is>
          <t>12:08</t>
        </is>
      </c>
      <c r="D2212" t="inlineStr">
        <is>
          <t>n° 5 + n° 6 + n° 8 + n° 9</t>
        </is>
      </c>
      <c r="E2212" t="inlineStr">
        <is>
          <t>Menu 'Enfant'</t>
        </is>
      </c>
      <c r="F2212" t="n">
        <v>9.9</v>
      </c>
      <c r="G2212" t="inlineStr">
        <is>
          <t>n° 8 : 0,50 + n° 9 : 0,50</t>
        </is>
      </c>
      <c r="H2212" t="n">
        <v>1</v>
      </c>
    </row>
    <row r="2213">
      <c r="A2213" t="inlineStr">
        <is>
          <t>2023-2024</t>
        </is>
      </c>
      <c r="B2213" t="inlineStr">
        <is>
          <t>2023-06-28</t>
        </is>
      </c>
      <c r="C2213" t="inlineStr">
        <is>
          <t>12:08</t>
        </is>
      </c>
      <c r="D2213" t="inlineStr">
        <is>
          <t>n° 5 + n° 6 + n° 8 + n° 9</t>
        </is>
      </c>
      <c r="E2213" t="inlineStr">
        <is>
          <t>CUPIDON</t>
        </is>
      </c>
      <c r="F2213" t="n">
        <v>9.300000000000001</v>
      </c>
      <c r="G2213" t="inlineStr">
        <is>
          <t>n° 8 : 0,50 + n° 9 : 0,50</t>
        </is>
      </c>
      <c r="H2213" t="n">
        <v>1</v>
      </c>
    </row>
    <row r="2214">
      <c r="A2214" t="inlineStr">
        <is>
          <t>2023-2024</t>
        </is>
      </c>
      <c r="B2214" t="inlineStr">
        <is>
          <t>2023-06-28</t>
        </is>
      </c>
      <c r="C2214" t="inlineStr">
        <is>
          <t>12:08</t>
        </is>
      </c>
      <c r="D2214" t="inlineStr">
        <is>
          <t>n° 5 + n° 6 + n° 8 + n° 9</t>
        </is>
      </c>
      <c r="E2214" t="inlineStr">
        <is>
          <t>Mambo</t>
        </is>
      </c>
      <c r="F2214" t="n">
        <v>6.5</v>
      </c>
      <c r="G2214" t="inlineStr">
        <is>
          <t>n° 5 : 0,50 + n° 6 : 0,50 + n° 8 : 1,00 + n° 9 : 1,00</t>
        </is>
      </c>
      <c r="H2214" t="n">
        <v>3</v>
      </c>
    </row>
    <row r="2215">
      <c r="A2215" t="inlineStr">
        <is>
          <t>2023-2024</t>
        </is>
      </c>
      <c r="B2215" t="inlineStr">
        <is>
          <t>2023-06-28</t>
        </is>
      </c>
      <c r="C2215" t="inlineStr">
        <is>
          <t>12:08</t>
        </is>
      </c>
      <c r="D2215" t="inlineStr">
        <is>
          <t>n° 5 + n° 6 + n° 8 + n° 9</t>
        </is>
      </c>
      <c r="E2215" t="inlineStr">
        <is>
          <t>Luna</t>
        </is>
      </c>
      <c r="F2215" t="n">
        <v>6</v>
      </c>
      <c r="G2215" t="inlineStr">
        <is>
          <t>n° 5 : 0,50 + n° 6 : 0,50</t>
        </is>
      </c>
      <c r="H2215" t="n">
        <v>1</v>
      </c>
    </row>
    <row r="2216">
      <c r="A2216" t="inlineStr">
        <is>
          <t>2023-2024</t>
        </is>
      </c>
      <c r="B2216" t="inlineStr">
        <is>
          <t>2023-06-28</t>
        </is>
      </c>
      <c r="C2216" t="inlineStr">
        <is>
          <t>12:08</t>
        </is>
      </c>
      <c r="D2216" t="inlineStr">
        <is>
          <t>n° 5 + n° 6 + n° 8 + n° 9</t>
        </is>
      </c>
      <c r="E2216" t="inlineStr">
        <is>
          <t>Coca (25cl)</t>
        </is>
      </c>
      <c r="F2216" t="n">
        <v>3.9</v>
      </c>
      <c r="G2216" t="inlineStr">
        <is>
          <t>n° 8 : 0,50 + n° 9 : 0,50</t>
        </is>
      </c>
      <c r="H2216" t="n">
        <v>1</v>
      </c>
    </row>
    <row r="2217">
      <c r="A2217" t="inlineStr">
        <is>
          <t>2023-2024</t>
        </is>
      </c>
      <c r="B2217" t="inlineStr">
        <is>
          <t>2023-06-28</t>
        </is>
      </c>
      <c r="C2217" t="inlineStr">
        <is>
          <t>20:57</t>
        </is>
      </c>
      <c r="D2217" t="inlineStr">
        <is>
          <t>n° 33 + n° 34</t>
        </is>
      </c>
      <c r="E2217" t="inlineStr">
        <is>
          <t>TRUITE JURASSIENNE</t>
        </is>
      </c>
      <c r="F2217" t="n">
        <v>18.6</v>
      </c>
      <c r="G2217" t="inlineStr">
        <is>
          <t>n° 33 : 0,50 + n° 34 : 0,50</t>
        </is>
      </c>
      <c r="H2217" t="n">
        <v>1</v>
      </c>
    </row>
    <row r="2218">
      <c r="A2218" t="inlineStr">
        <is>
          <t>2023-2024</t>
        </is>
      </c>
      <c r="B2218" t="inlineStr">
        <is>
          <t>2023-06-28</t>
        </is>
      </c>
      <c r="C2218" t="inlineStr">
        <is>
          <t>20:57</t>
        </is>
      </c>
      <c r="D2218" t="inlineStr">
        <is>
          <t>n° 33 + n° 34</t>
        </is>
      </c>
      <c r="E2218" t="inlineStr">
        <is>
          <t>ASSIETTE FRANC-COMTO</t>
        </is>
      </c>
      <c r="F2218" t="n">
        <v>18.6</v>
      </c>
      <c r="G2218" t="inlineStr">
        <is>
          <t>n° 33 : 0,50 + n° 34 : 0,50</t>
        </is>
      </c>
      <c r="H2218" t="n">
        <v>1</v>
      </c>
    </row>
    <row r="2219">
      <c r="A2219" t="inlineStr">
        <is>
          <t>2023-2024</t>
        </is>
      </c>
      <c r="B2219" t="inlineStr">
        <is>
          <t>2023-06-29</t>
        </is>
      </c>
      <c r="C2219" t="inlineStr">
        <is>
          <t>12:17</t>
        </is>
      </c>
      <c r="D2219" t="inlineStr">
        <is>
          <t>n° 7 + n° 8</t>
        </is>
      </c>
      <c r="E2219" t="inlineStr">
        <is>
          <t>Salade Végétarienne</t>
        </is>
      </c>
      <c r="F2219" t="n">
        <v>19.9</v>
      </c>
      <c r="G2219" t="inlineStr">
        <is>
          <t>n° 7 : 0,50 + n° 8 : 0,50</t>
        </is>
      </c>
      <c r="H2219" t="n">
        <v>1</v>
      </c>
    </row>
    <row r="2220">
      <c r="A2220" t="inlineStr">
        <is>
          <t>2023-2024</t>
        </is>
      </c>
      <c r="B2220" t="inlineStr">
        <is>
          <t>2023-06-29</t>
        </is>
      </c>
      <c r="C2220" t="inlineStr">
        <is>
          <t>12:17</t>
        </is>
      </c>
      <c r="D2220" t="inlineStr">
        <is>
          <t>n° 7 + n° 8</t>
        </is>
      </c>
      <c r="E2220" t="inlineStr">
        <is>
          <t>GLACE 2 BOULES</t>
        </is>
      </c>
      <c r="F2220" t="n">
        <v>5.5</v>
      </c>
      <c r="G2220" t="inlineStr">
        <is>
          <t>n° 7 : 0,50 + n° 8 : 0,50</t>
        </is>
      </c>
      <c r="H2220" t="n">
        <v>1</v>
      </c>
    </row>
    <row r="2221">
      <c r="A2221" t="inlineStr">
        <is>
          <t>2023-2024</t>
        </is>
      </c>
      <c r="B2221" t="inlineStr">
        <is>
          <t>2023-06-29</t>
        </is>
      </c>
      <c r="C2221" t="inlineStr">
        <is>
          <t>12:17</t>
        </is>
      </c>
      <c r="D2221" t="inlineStr">
        <is>
          <t>n° 7 + n° 8</t>
        </is>
      </c>
      <c r="E2221" t="inlineStr">
        <is>
          <t>Crêpe Nutella</t>
        </is>
      </c>
      <c r="F2221" t="n">
        <v>4.9</v>
      </c>
      <c r="G2221" t="inlineStr">
        <is>
          <t>n° 7 : 0,50 + n° 8 : 0,50</t>
        </is>
      </c>
      <c r="H2221" t="n">
        <v>1</v>
      </c>
    </row>
    <row r="2222">
      <c r="A2222" t="inlineStr">
        <is>
          <t>2023-2024</t>
        </is>
      </c>
      <c r="B2222" t="inlineStr">
        <is>
          <t>2023-06-29</t>
        </is>
      </c>
      <c r="C2222" t="inlineStr">
        <is>
          <t>12:17</t>
        </is>
      </c>
      <c r="D2222" t="inlineStr">
        <is>
          <t>n° 7 + n° 8</t>
        </is>
      </c>
      <c r="E2222" t="inlineStr">
        <is>
          <t>Comté</t>
        </is>
      </c>
      <c r="F2222" t="n">
        <v>4</v>
      </c>
      <c r="G2222" t="inlineStr">
        <is>
          <t>n° 7 : 0,50 + n° 8 : 0,50</t>
        </is>
      </c>
      <c r="H2222" t="n">
        <v>1</v>
      </c>
    </row>
    <row r="2223">
      <c r="A2223" t="inlineStr">
        <is>
          <t>2023-2024</t>
        </is>
      </c>
      <c r="B2223" t="inlineStr">
        <is>
          <t>2023-06-29</t>
        </is>
      </c>
      <c r="C2223" t="inlineStr">
        <is>
          <t>12:17</t>
        </is>
      </c>
      <c r="D2223" t="inlineStr">
        <is>
          <t>n° 7 + n° 8</t>
        </is>
      </c>
      <c r="E2223" t="inlineStr">
        <is>
          <t>Galette nature</t>
        </is>
      </c>
      <c r="F2223" t="n">
        <v>3.9</v>
      </c>
      <c r="G2223" t="inlineStr">
        <is>
          <t>n° 7 : 0,50 + n° 8 : 0,50</t>
        </is>
      </c>
      <c r="H2223" t="n">
        <v>1</v>
      </c>
    </row>
    <row r="2224">
      <c r="A2224" t="inlineStr">
        <is>
          <t>2023-2024</t>
        </is>
      </c>
      <c r="B2224" t="inlineStr">
        <is>
          <t>2023-06-29</t>
        </is>
      </c>
      <c r="C2224" t="inlineStr">
        <is>
          <t>12:17</t>
        </is>
      </c>
      <c r="D2224" t="inlineStr">
        <is>
          <t>n° 7 + n° 8</t>
        </is>
      </c>
      <c r="E2224" t="inlineStr">
        <is>
          <t>Morbier</t>
        </is>
      </c>
      <c r="F2224" t="n">
        <v>3.5</v>
      </c>
      <c r="G2224" t="inlineStr">
        <is>
          <t>n° 7 : 0,50 + n° 8 : 0,50</t>
        </is>
      </c>
      <c r="H2224" t="n">
        <v>1</v>
      </c>
    </row>
    <row r="2225">
      <c r="A2225" t="inlineStr">
        <is>
          <t>2023-2024</t>
        </is>
      </c>
      <c r="B2225" t="inlineStr">
        <is>
          <t>2023-06-29</t>
        </is>
      </c>
      <c r="C2225" t="inlineStr">
        <is>
          <t>12:17</t>
        </is>
      </c>
      <c r="D2225" t="inlineStr">
        <is>
          <t>n° 7 + n° 8</t>
        </is>
      </c>
      <c r="E2225" t="inlineStr">
        <is>
          <t>Œuf</t>
        </is>
      </c>
      <c r="F2225" t="n">
        <v>0.9</v>
      </c>
      <c r="G2225" t="inlineStr">
        <is>
          <t>n° 7 : 0,50 + n° 8 : 0,50</t>
        </is>
      </c>
      <c r="H2225" t="n">
        <v>1</v>
      </c>
    </row>
    <row r="2226">
      <c r="A2226" t="inlineStr">
        <is>
          <t>2023-2024</t>
        </is>
      </c>
      <c r="B2226" t="inlineStr">
        <is>
          <t>2023-07-01</t>
        </is>
      </c>
      <c r="C2226" t="inlineStr">
        <is>
          <t>19:27</t>
        </is>
      </c>
      <c r="D2226" t="inlineStr">
        <is>
          <t>n° 14 + n° 15</t>
        </is>
      </c>
      <c r="E2226" t="inlineStr">
        <is>
          <t>MACHON GOURMET</t>
        </is>
      </c>
      <c r="F2226" t="n">
        <v>25</v>
      </c>
      <c r="G2226" t="inlineStr">
        <is>
          <t>n° 14 : 0,50 + n° 15 : 0,50</t>
        </is>
      </c>
      <c r="H2226" t="n">
        <v>1</v>
      </c>
    </row>
    <row r="2227">
      <c r="A2227" t="inlineStr">
        <is>
          <t>2023-2024</t>
        </is>
      </c>
      <c r="B2227" t="inlineStr">
        <is>
          <t>2023-07-01</t>
        </is>
      </c>
      <c r="C2227" t="inlineStr">
        <is>
          <t>19:27</t>
        </is>
      </c>
      <c r="D2227" t="inlineStr">
        <is>
          <t>n° 14 + n° 15</t>
        </is>
      </c>
      <c r="E2227" t="inlineStr">
        <is>
          <t>MORTEAU GRILLEE</t>
        </is>
      </c>
      <c r="F2227" t="n">
        <v>18.6</v>
      </c>
      <c r="G2227" t="inlineStr">
        <is>
          <t>n° 14 : 0,50 + n° 15 : 0,50</t>
        </is>
      </c>
      <c r="H2227" t="n">
        <v>1</v>
      </c>
    </row>
    <row r="2228">
      <c r="A2228" t="inlineStr">
        <is>
          <t>2023-2024</t>
        </is>
      </c>
      <c r="B2228" t="inlineStr">
        <is>
          <t>2023-07-01</t>
        </is>
      </c>
      <c r="C2228" t="inlineStr">
        <is>
          <t>19:27</t>
        </is>
      </c>
      <c r="D2228" t="inlineStr">
        <is>
          <t>n° 14 + n° 15</t>
        </is>
      </c>
      <c r="E2228" t="inlineStr">
        <is>
          <t>PICHET ROSE</t>
        </is>
      </c>
      <c r="F2228" t="n">
        <v>10.5</v>
      </c>
      <c r="G2228" t="inlineStr">
        <is>
          <t>n° 14 : 0,50 + n° 15 : 0,50</t>
        </is>
      </c>
      <c r="H2228" t="n">
        <v>1</v>
      </c>
    </row>
    <row r="2229">
      <c r="A2229" t="inlineStr">
        <is>
          <t>2023-2024</t>
        </is>
      </c>
      <c r="B2229" t="inlineStr">
        <is>
          <t>2023-07-01</t>
        </is>
      </c>
      <c r="C2229" t="inlineStr">
        <is>
          <t>19:27</t>
        </is>
      </c>
      <c r="D2229" t="inlineStr">
        <is>
          <t>n° 14 + n° 15</t>
        </is>
      </c>
      <c r="E2229" t="inlineStr">
        <is>
          <t>Martini Blanc</t>
        </is>
      </c>
      <c r="F2229" t="n">
        <v>4.9</v>
      </c>
      <c r="G2229" t="inlineStr">
        <is>
          <t>n° 14 : 0,50 + n° 15 : 0,50</t>
        </is>
      </c>
      <c r="H2229" t="n">
        <v>1</v>
      </c>
    </row>
    <row r="2230">
      <c r="A2230" t="inlineStr">
        <is>
          <t>2023-2024</t>
        </is>
      </c>
      <c r="B2230" t="inlineStr">
        <is>
          <t>2023-07-01</t>
        </is>
      </c>
      <c r="C2230" t="inlineStr">
        <is>
          <t>19:27</t>
        </is>
      </c>
      <c r="D2230" t="inlineStr">
        <is>
          <t>n° 14 + n° 15</t>
        </is>
      </c>
      <c r="E2230" t="inlineStr">
        <is>
          <t>Perrier 33cl</t>
        </is>
      </c>
      <c r="F2230" t="n">
        <v>4</v>
      </c>
      <c r="G2230" t="inlineStr">
        <is>
          <t>n° 14 : 0,50 + n° 15 : 0,50</t>
        </is>
      </c>
      <c r="H2230" t="n">
        <v>1</v>
      </c>
    </row>
    <row r="2231">
      <c r="A2231" t="inlineStr">
        <is>
          <t>2023-2024</t>
        </is>
      </c>
      <c r="B2231" t="inlineStr">
        <is>
          <t>2023-07-01</t>
        </is>
      </c>
      <c r="C2231" t="inlineStr">
        <is>
          <t>19:45</t>
        </is>
      </c>
      <c r="D2231" t="inlineStr">
        <is>
          <t>n° 19 + n° 20</t>
        </is>
      </c>
      <c r="E2231" t="inlineStr">
        <is>
          <t>Menu Franc-Comtois</t>
        </is>
      </c>
      <c r="F2231" t="n">
        <v>34</v>
      </c>
      <c r="G2231" t="inlineStr">
        <is>
          <t>n° 19 : 0,25 + n° 20 : 0,25</t>
        </is>
      </c>
      <c r="H2231" t="n">
        <v>0.5</v>
      </c>
    </row>
    <row r="2232">
      <c r="A2232" t="inlineStr">
        <is>
          <t>2023-2024</t>
        </is>
      </c>
      <c r="B2232" t="inlineStr">
        <is>
          <t>2023-07-01</t>
        </is>
      </c>
      <c r="C2232" t="inlineStr">
        <is>
          <t>19:45</t>
        </is>
      </c>
      <c r="D2232" t="inlineStr">
        <is>
          <t>n° 19 + n° 20</t>
        </is>
      </c>
      <c r="E2232" t="inlineStr">
        <is>
          <t>POULET JURASSIENNE</t>
        </is>
      </c>
      <c r="F2232" t="n">
        <v>18.6</v>
      </c>
      <c r="G2232" t="inlineStr">
        <is>
          <t>n° 19 : 0,50 + n° 20 : 0,50</t>
        </is>
      </c>
      <c r="H2232" t="n">
        <v>1</v>
      </c>
    </row>
    <row r="2233">
      <c r="A2233" t="inlineStr">
        <is>
          <t>2023-2024</t>
        </is>
      </c>
      <c r="B2233" t="inlineStr">
        <is>
          <t>2023-07-01</t>
        </is>
      </c>
      <c r="C2233" t="inlineStr">
        <is>
          <t>19:45</t>
        </is>
      </c>
      <c r="D2233" t="inlineStr">
        <is>
          <t>n° 19 + n° 20</t>
        </is>
      </c>
      <c r="E2233" t="inlineStr">
        <is>
          <t>ASSIETTE FRANC-COMTO</t>
        </is>
      </c>
      <c r="F2233" t="n">
        <v>18.6</v>
      </c>
      <c r="G2233" t="inlineStr">
        <is>
          <t>n° 19 : 0,25 + n° 20 : 0,25</t>
        </is>
      </c>
      <c r="H2233" t="n">
        <v>0.5</v>
      </c>
    </row>
    <row r="2234">
      <c r="A2234" t="inlineStr">
        <is>
          <t>2023-2024</t>
        </is>
      </c>
      <c r="B2234" t="inlineStr">
        <is>
          <t>2023-07-01</t>
        </is>
      </c>
      <c r="C2234" t="inlineStr">
        <is>
          <t>19:45</t>
        </is>
      </c>
      <c r="D2234" t="inlineStr">
        <is>
          <t>n° 19 + n° 20</t>
        </is>
      </c>
      <c r="E2234" t="inlineStr">
        <is>
          <t>Croûtes Morilles</t>
        </is>
      </c>
      <c r="F2234" t="n">
        <v>16.9</v>
      </c>
      <c r="G2234" t="inlineStr">
        <is>
          <t>n° 19 : 0,75 + n° 20 : 0,75</t>
        </is>
      </c>
      <c r="H2234" t="n">
        <v>1.5</v>
      </c>
    </row>
    <row r="2235">
      <c r="A2235" t="inlineStr">
        <is>
          <t>2023-2024</t>
        </is>
      </c>
      <c r="B2235" t="inlineStr">
        <is>
          <t>2023-07-01</t>
        </is>
      </c>
      <c r="C2235" t="inlineStr">
        <is>
          <t>19:45</t>
        </is>
      </c>
      <c r="D2235" t="inlineStr">
        <is>
          <t>n° 19 + n° 20</t>
        </is>
      </c>
      <c r="E2235" t="inlineStr">
        <is>
          <t>Pinte Picon</t>
        </is>
      </c>
      <c r="F2235" t="n">
        <v>9</v>
      </c>
      <c r="G2235" t="inlineStr">
        <is>
          <t>n° 19 : 0,25 + n° 20 : 0,25</t>
        </is>
      </c>
      <c r="H2235" t="n">
        <v>0.5</v>
      </c>
    </row>
    <row r="2236">
      <c r="A2236" t="inlineStr">
        <is>
          <t>2023-2024</t>
        </is>
      </c>
      <c r="B2236" t="inlineStr">
        <is>
          <t>2023-07-01</t>
        </is>
      </c>
      <c r="C2236" t="inlineStr">
        <is>
          <t>19:45</t>
        </is>
      </c>
      <c r="D2236" t="inlineStr">
        <is>
          <t>n° 19 + n° 20</t>
        </is>
      </c>
      <c r="E2236" t="inlineStr">
        <is>
          <t>Pinte</t>
        </is>
      </c>
      <c r="F2236" t="n">
        <v>8</v>
      </c>
      <c r="G2236" t="inlineStr">
        <is>
          <t>n° 19 : 0,50 + n° 20 : 0,50</t>
        </is>
      </c>
      <c r="H2236" t="n">
        <v>1</v>
      </c>
    </row>
    <row r="2237">
      <c r="A2237" t="inlineStr">
        <is>
          <t>2023-2024</t>
        </is>
      </c>
      <c r="B2237" t="inlineStr">
        <is>
          <t>2023-07-01</t>
        </is>
      </c>
      <c r="C2237" t="inlineStr">
        <is>
          <t>19:45</t>
        </is>
      </c>
      <c r="D2237" t="inlineStr">
        <is>
          <t>n° 19 + n° 20</t>
        </is>
      </c>
      <c r="E2237" t="inlineStr">
        <is>
          <t>CREME BRULEE</t>
        </is>
      </c>
      <c r="F2237" t="n">
        <v>7.9</v>
      </c>
      <c r="G2237" t="inlineStr">
        <is>
          <t>n° 19 : 0,25 + n° 20 : 0,25</t>
        </is>
      </c>
      <c r="H2237" t="n">
        <v>0.5</v>
      </c>
    </row>
    <row r="2238">
      <c r="A2238" t="inlineStr">
        <is>
          <t>2023-2024</t>
        </is>
      </c>
      <c r="B2238" t="inlineStr">
        <is>
          <t>2023-07-01</t>
        </is>
      </c>
      <c r="C2238" t="inlineStr">
        <is>
          <t>19:45</t>
        </is>
      </c>
      <c r="D2238" t="inlineStr">
        <is>
          <t>n° 19 + n° 20</t>
        </is>
      </c>
      <c r="E2238" t="inlineStr">
        <is>
          <t>pression</t>
        </is>
      </c>
      <c r="F2238" t="n">
        <v>4.2</v>
      </c>
      <c r="G2238" t="inlineStr">
        <is>
          <t>n° 19 : 0,25 + n° 20 : 0,25</t>
        </is>
      </c>
      <c r="H2238" t="n">
        <v>0.5</v>
      </c>
    </row>
    <row r="2239">
      <c r="A2239" t="inlineStr">
        <is>
          <t>2023-2024</t>
        </is>
      </c>
      <c r="B2239" t="inlineStr">
        <is>
          <t>2023-07-01</t>
        </is>
      </c>
      <c r="C2239" t="inlineStr">
        <is>
          <t>19:45</t>
        </is>
      </c>
      <c r="D2239" t="inlineStr">
        <is>
          <t>n° 19 + n° 20</t>
        </is>
      </c>
      <c r="E2239" t="inlineStr">
        <is>
          <t>Expresso</t>
        </is>
      </c>
      <c r="F2239" t="n">
        <v>0</v>
      </c>
      <c r="G2239" t="inlineStr">
        <is>
          <t>n° 19 : 0,50 + n° 20 : 0,50</t>
        </is>
      </c>
      <c r="H2239" t="n">
        <v>1</v>
      </c>
    </row>
    <row r="2240">
      <c r="A2240" t="inlineStr">
        <is>
          <t>2023-2024</t>
        </is>
      </c>
      <c r="B2240" t="inlineStr">
        <is>
          <t>2023-07-01</t>
        </is>
      </c>
      <c r="C2240" t="inlineStr">
        <is>
          <t>19:45</t>
        </is>
      </c>
      <c r="D2240" t="inlineStr">
        <is>
          <t>n° 19 + n° 20</t>
        </is>
      </c>
      <c r="E2240" t="inlineStr">
        <is>
          <t>Café Viennois</t>
        </is>
      </c>
      <c r="F2240" t="n">
        <v>0</v>
      </c>
      <c r="G2240" t="inlineStr">
        <is>
          <t>n° 19 : 0,25 + n° 20 : 0,25</t>
        </is>
      </c>
      <c r="H2240" t="n">
        <v>0.5</v>
      </c>
    </row>
    <row r="2241">
      <c r="A2241" t="inlineStr">
        <is>
          <t>2023-2024</t>
        </is>
      </c>
      <c r="B2241" t="inlineStr">
        <is>
          <t>2023-07-02</t>
        </is>
      </c>
      <c r="C2241" t="inlineStr">
        <is>
          <t>20:32</t>
        </is>
      </c>
      <c r="D2241" t="inlineStr">
        <is>
          <t>n° 29 + n° 30</t>
        </is>
      </c>
      <c r="E2241" t="inlineStr">
        <is>
          <t>Pichet CHUSLAN</t>
        </is>
      </c>
      <c r="F2241" t="n">
        <v>9.5</v>
      </c>
      <c r="G2241" t="inlineStr">
        <is>
          <t>n° 29 : 0,50 + n° 30 : 0,50</t>
        </is>
      </c>
      <c r="H2241" t="n">
        <v>1</v>
      </c>
    </row>
    <row r="2242">
      <c r="A2242" t="inlineStr">
        <is>
          <t>2023-2024</t>
        </is>
      </c>
      <c r="B2242" t="inlineStr">
        <is>
          <t>2023-07-02</t>
        </is>
      </c>
      <c r="C2242" t="inlineStr">
        <is>
          <t>20:32</t>
        </is>
      </c>
      <c r="D2242" t="inlineStr">
        <is>
          <t>n° 29 + n° 30</t>
        </is>
      </c>
      <c r="E2242" t="inlineStr">
        <is>
          <t>Pommes grenailles</t>
        </is>
      </c>
      <c r="F2242" t="n">
        <v>3.9</v>
      </c>
      <c r="G2242" t="inlineStr">
        <is>
          <t>n° 29 : 0,50 + n° 30 : 0,50</t>
        </is>
      </c>
      <c r="H2242" t="n">
        <v>1</v>
      </c>
    </row>
    <row r="2243">
      <c r="A2243" t="inlineStr">
        <is>
          <t>2023-2024</t>
        </is>
      </c>
      <c r="B2243" t="inlineStr">
        <is>
          <t>2023-07-05</t>
        </is>
      </c>
      <c r="C2243" t="inlineStr">
        <is>
          <t>12:29</t>
        </is>
      </c>
      <c r="D2243" t="inlineStr">
        <is>
          <t>n° 11 + n° 12</t>
        </is>
      </c>
      <c r="E2243" t="inlineStr">
        <is>
          <t>Crémant</t>
        </is>
      </c>
      <c r="F2243" t="n">
        <v>5</v>
      </c>
      <c r="G2243" t="inlineStr">
        <is>
          <t>n° 11 : 0,50 + n° 12 : 0,50</t>
        </is>
      </c>
      <c r="H2243" t="n">
        <v>1</v>
      </c>
    </row>
    <row r="2244">
      <c r="A2244" t="inlineStr">
        <is>
          <t>2023-2024</t>
        </is>
      </c>
      <c r="B2244" t="inlineStr">
        <is>
          <t>2023-07-05</t>
        </is>
      </c>
      <c r="C2244" t="inlineStr">
        <is>
          <t>12:29</t>
        </is>
      </c>
      <c r="D2244" t="inlineStr">
        <is>
          <t>n° 11 + n° 12</t>
        </is>
      </c>
      <c r="E2244" t="inlineStr">
        <is>
          <t>Porto</t>
        </is>
      </c>
      <c r="F2244" t="n">
        <v>4.9</v>
      </c>
      <c r="G2244" t="inlineStr">
        <is>
          <t>n° 11 : 0,50 + n° 12 : 0,50</t>
        </is>
      </c>
      <c r="H2244" t="n">
        <v>1</v>
      </c>
    </row>
    <row r="2245">
      <c r="A2245" t="inlineStr">
        <is>
          <t>2023-2024</t>
        </is>
      </c>
      <c r="B2245" t="inlineStr">
        <is>
          <t>2023-07-05</t>
        </is>
      </c>
      <c r="C2245" t="inlineStr">
        <is>
          <t>12:29</t>
        </is>
      </c>
      <c r="D2245" t="inlineStr">
        <is>
          <t>n° 11 + n° 12</t>
        </is>
      </c>
      <c r="E2245" t="inlineStr">
        <is>
          <t>Salidou</t>
        </is>
      </c>
      <c r="F2245" t="n">
        <v>2.5</v>
      </c>
      <c r="G2245" t="inlineStr">
        <is>
          <t>n° 11 : 0,50 + n° 12 : 0,50</t>
        </is>
      </c>
      <c r="H2245" t="n">
        <v>1</v>
      </c>
    </row>
    <row r="2246">
      <c r="A2246" t="inlineStr">
        <is>
          <t>2023-2024</t>
        </is>
      </c>
      <c r="B2246" t="inlineStr">
        <is>
          <t>2023-07-05</t>
        </is>
      </c>
      <c r="C2246" t="inlineStr">
        <is>
          <t>12:29</t>
        </is>
      </c>
      <c r="D2246" t="inlineStr">
        <is>
          <t>n° 11 + n° 12</t>
        </is>
      </c>
      <c r="E2246" t="inlineStr">
        <is>
          <t>Confiture</t>
        </is>
      </c>
      <c r="F2246" t="n">
        <v>1.5</v>
      </c>
      <c r="G2246" t="inlineStr">
        <is>
          <t>n° 11 : 0,50 + n° 12 : 0,50</t>
        </is>
      </c>
      <c r="H2246" t="n">
        <v>1</v>
      </c>
    </row>
    <row r="2247">
      <c r="A2247" t="inlineStr">
        <is>
          <t>2023-2024</t>
        </is>
      </c>
      <c r="B2247" t="inlineStr">
        <is>
          <t>2023-07-05</t>
        </is>
      </c>
      <c r="C2247" t="inlineStr">
        <is>
          <t>20:35</t>
        </is>
      </c>
      <c r="D2247" t="inlineStr">
        <is>
          <t>n° 35 + n° 36</t>
        </is>
      </c>
      <c r="E2247" t="inlineStr">
        <is>
          <t>MACHON GOURMET</t>
        </is>
      </c>
      <c r="F2247" t="n">
        <v>25</v>
      </c>
      <c r="G2247" t="inlineStr">
        <is>
          <t>n° 35 : 1,50 + n° 36 : 1,50</t>
        </is>
      </c>
      <c r="H2247" t="n">
        <v>3</v>
      </c>
    </row>
    <row r="2248">
      <c r="A2248" t="inlineStr">
        <is>
          <t>2023-2024</t>
        </is>
      </c>
      <c r="B2248" t="inlineStr">
        <is>
          <t>2023-07-05</t>
        </is>
      </c>
      <c r="C2248" t="inlineStr">
        <is>
          <t>20:35</t>
        </is>
      </c>
      <c r="D2248" t="inlineStr">
        <is>
          <t>n° 35 + n° 36</t>
        </is>
      </c>
      <c r="E2248" t="inlineStr">
        <is>
          <t>CAMEMBERT ROTI</t>
        </is>
      </c>
      <c r="F2248" t="n">
        <v>18.6</v>
      </c>
      <c r="G2248" t="inlineStr">
        <is>
          <t>n° 35 : 0,50 + n° 36 : 0,50</t>
        </is>
      </c>
      <c r="H2248" t="n">
        <v>1</v>
      </c>
    </row>
    <row r="2249">
      <c r="A2249" t="inlineStr">
        <is>
          <t>2023-2024</t>
        </is>
      </c>
      <c r="B2249" t="inlineStr">
        <is>
          <t>2023-07-05</t>
        </is>
      </c>
      <c r="C2249" t="inlineStr">
        <is>
          <t>20:35</t>
        </is>
      </c>
      <c r="D2249" t="inlineStr">
        <is>
          <t>n° 35 + n° 36</t>
        </is>
      </c>
      <c r="E2249" t="inlineStr">
        <is>
          <t>Pavlova</t>
        </is>
      </c>
      <c r="F2249" t="n">
        <v>8.9</v>
      </c>
      <c r="G2249" t="inlineStr">
        <is>
          <t>n° 35 : 1,50 + n° 36 : 1,50</t>
        </is>
      </c>
      <c r="H2249" t="n">
        <v>3</v>
      </c>
    </row>
    <row r="2250">
      <c r="A2250" t="inlineStr">
        <is>
          <t>2023-2024</t>
        </is>
      </c>
      <c r="B2250" t="inlineStr">
        <is>
          <t>2023-07-05</t>
        </is>
      </c>
      <c r="C2250" t="inlineStr">
        <is>
          <t>20:35</t>
        </is>
      </c>
      <c r="D2250" t="inlineStr">
        <is>
          <t>n° 35 + n° 36</t>
        </is>
      </c>
      <c r="E2250" t="inlineStr">
        <is>
          <t>CREME BRULEE</t>
        </is>
      </c>
      <c r="F2250" t="n">
        <v>7.9</v>
      </c>
      <c r="G2250" t="inlineStr">
        <is>
          <t>n° 35 : 0,50 + n° 36 : 0,50</t>
        </is>
      </c>
      <c r="H2250" t="n">
        <v>1</v>
      </c>
    </row>
    <row r="2251">
      <c r="A2251" t="inlineStr">
        <is>
          <t>2023-2024</t>
        </is>
      </c>
      <c r="B2251" t="inlineStr">
        <is>
          <t>2023-07-05</t>
        </is>
      </c>
      <c r="C2251" t="inlineStr">
        <is>
          <t>20:35</t>
        </is>
      </c>
      <c r="D2251" t="inlineStr">
        <is>
          <t>n° 35 + n° 36</t>
        </is>
      </c>
      <c r="E2251" t="inlineStr">
        <is>
          <t>Père Gregoire</t>
        </is>
      </c>
      <c r="F2251" t="n">
        <v>5.9</v>
      </c>
      <c r="G2251" t="inlineStr">
        <is>
          <t>n° 35 : 0,50 + n° 36 : 0,50</t>
        </is>
      </c>
      <c r="H2251" t="n">
        <v>1</v>
      </c>
    </row>
    <row r="2252">
      <c r="A2252" t="inlineStr">
        <is>
          <t>2023-2024</t>
        </is>
      </c>
      <c r="B2252" t="inlineStr">
        <is>
          <t>2023-07-05</t>
        </is>
      </c>
      <c r="C2252" t="inlineStr">
        <is>
          <t>20:35</t>
        </is>
      </c>
      <c r="D2252" t="inlineStr">
        <is>
          <t>n° 35 + n° 36</t>
        </is>
      </c>
      <c r="E2252" t="inlineStr">
        <is>
          <t>pression</t>
        </is>
      </c>
      <c r="F2252" t="n">
        <v>4.2</v>
      </c>
      <c r="G2252" t="inlineStr">
        <is>
          <t>n° 35 : 0,50 + n° 36 : 0,50</t>
        </is>
      </c>
      <c r="H2252" t="n">
        <v>1</v>
      </c>
    </row>
    <row r="2253">
      <c r="A2253" t="inlineStr">
        <is>
          <t>2023-2024</t>
        </is>
      </c>
      <c r="B2253" t="inlineStr">
        <is>
          <t>2023-07-06</t>
        </is>
      </c>
      <c r="C2253" t="inlineStr">
        <is>
          <t>12:57</t>
        </is>
      </c>
      <c r="D2253" t="inlineStr">
        <is>
          <t>n° 15 + n° 16</t>
        </is>
      </c>
      <c r="E2253" t="inlineStr">
        <is>
          <t>Menu 'Galette'</t>
        </is>
      </c>
      <c r="F2253" t="n">
        <v>19.5</v>
      </c>
      <c r="G2253" t="inlineStr">
        <is>
          <t>n° 15 : 0,50 + n° 16 : 0,50</t>
        </is>
      </c>
      <c r="H2253" t="n">
        <v>1</v>
      </c>
    </row>
    <row r="2254">
      <c r="A2254" t="inlineStr">
        <is>
          <t>2023-2024</t>
        </is>
      </c>
      <c r="B2254" t="inlineStr">
        <is>
          <t>2023-07-06</t>
        </is>
      </c>
      <c r="C2254" t="inlineStr">
        <is>
          <t>12:57</t>
        </is>
      </c>
      <c r="D2254" t="inlineStr">
        <is>
          <t>n° 15 + n° 16</t>
        </is>
      </c>
      <c r="E2254" t="inlineStr">
        <is>
          <t>Formule à 12.5</t>
        </is>
      </c>
      <c r="F2254" t="n">
        <v>12.5</v>
      </c>
      <c r="G2254" t="inlineStr">
        <is>
          <t>n° 15 : 0,50 + n° 16 : 0,50</t>
        </is>
      </c>
      <c r="H2254" t="n">
        <v>1</v>
      </c>
    </row>
    <row r="2255">
      <c r="A2255" t="inlineStr">
        <is>
          <t>2023-2024</t>
        </is>
      </c>
      <c r="B2255" t="inlineStr">
        <is>
          <t>2023-07-06</t>
        </is>
      </c>
      <c r="C2255" t="inlineStr">
        <is>
          <t>12:57</t>
        </is>
      </c>
      <c r="D2255" t="inlineStr">
        <is>
          <t>n° 15 + n° 16</t>
        </is>
      </c>
      <c r="E2255" t="inlineStr">
        <is>
          <t>PICHET ALIGOTE 50cL</t>
        </is>
      </c>
      <c r="F2255" t="n">
        <v>10.5</v>
      </c>
      <c r="G2255" t="inlineStr">
        <is>
          <t>n° 15 : 0,50 + n° 16 : 0,50</t>
        </is>
      </c>
      <c r="H2255" t="n">
        <v>1</v>
      </c>
    </row>
    <row r="2256">
      <c r="A2256" t="inlineStr">
        <is>
          <t>2023-2024</t>
        </is>
      </c>
      <c r="B2256" t="inlineStr">
        <is>
          <t>2023-07-06</t>
        </is>
      </c>
      <c r="C2256" t="inlineStr">
        <is>
          <t>12:57</t>
        </is>
      </c>
      <c r="D2256" t="inlineStr">
        <is>
          <t>n° 15 + n° 16</t>
        </is>
      </c>
      <c r="E2256" t="inlineStr">
        <is>
          <t>Expresso</t>
        </is>
      </c>
      <c r="F2256" t="n">
        <v>2.2</v>
      </c>
      <c r="G2256" t="inlineStr">
        <is>
          <t>n° 15 : 1,50 + n° 16 : 1,50</t>
        </is>
      </c>
      <c r="H2256" t="n">
        <v>3</v>
      </c>
    </row>
    <row r="2257">
      <c r="A2257" t="inlineStr">
        <is>
          <t>2023-2024</t>
        </is>
      </c>
      <c r="B2257" t="inlineStr">
        <is>
          <t>2023-07-06</t>
        </is>
      </c>
      <c r="C2257" t="inlineStr">
        <is>
          <t>13:14</t>
        </is>
      </c>
      <c r="D2257" t="inlineStr">
        <is>
          <t>n° 17 + n° 18 + n° 19 + n° 20</t>
        </is>
      </c>
      <c r="E2257" t="inlineStr">
        <is>
          <t>Arbois Chardonnay Le</t>
        </is>
      </c>
      <c r="F2257" t="n">
        <v>29</v>
      </c>
      <c r="G2257" t="inlineStr">
        <is>
          <t>n° 19 : 0,50 + n° 20 : 0,50</t>
        </is>
      </c>
      <c r="H2257" t="n">
        <v>1</v>
      </c>
    </row>
    <row r="2258">
      <c r="A2258" t="inlineStr">
        <is>
          <t>2023-2024</t>
        </is>
      </c>
      <c r="B2258" t="inlineStr">
        <is>
          <t>2023-07-06</t>
        </is>
      </c>
      <c r="C2258" t="inlineStr">
        <is>
          <t>13:14</t>
        </is>
      </c>
      <c r="D2258" t="inlineStr">
        <is>
          <t>n° 17 + n° 18 + n° 19 + n° 20</t>
        </is>
      </c>
      <c r="E2258" t="inlineStr">
        <is>
          <t>PICHET MACON</t>
        </is>
      </c>
      <c r="F2258" t="n">
        <v>21</v>
      </c>
      <c r="G2258" t="inlineStr">
        <is>
          <t>n° 17 : 0,50 + n° 18 : 0,50</t>
        </is>
      </c>
      <c r="H2258" t="n">
        <v>1</v>
      </c>
    </row>
    <row r="2259">
      <c r="A2259" t="inlineStr">
        <is>
          <t>2023-2024</t>
        </is>
      </c>
      <c r="B2259" t="inlineStr">
        <is>
          <t>2023-07-06</t>
        </is>
      </c>
      <c r="C2259" t="inlineStr">
        <is>
          <t>13:14</t>
        </is>
      </c>
      <c r="D2259" t="inlineStr">
        <is>
          <t>n° 17 + n° 18 + n° 19 + n° 20</t>
        </is>
      </c>
      <c r="E2259" t="inlineStr">
        <is>
          <t>ASSIETTE FRANC-COMTO</t>
        </is>
      </c>
      <c r="F2259" t="n">
        <v>18.6</v>
      </c>
      <c r="G2259" t="inlineStr">
        <is>
          <t>n° 19 : 0,50 + n° 20 : 0,50</t>
        </is>
      </c>
      <c r="H2259" t="n">
        <v>1</v>
      </c>
    </row>
    <row r="2260">
      <c r="A2260" t="inlineStr">
        <is>
          <t>2023-2024</t>
        </is>
      </c>
      <c r="B2260" t="inlineStr">
        <is>
          <t>2023-07-06</t>
        </is>
      </c>
      <c r="C2260" t="inlineStr">
        <is>
          <t>13:14</t>
        </is>
      </c>
      <c r="D2260" t="inlineStr">
        <is>
          <t>n° 17 + n° 18 + n° 19 + n° 20</t>
        </is>
      </c>
      <c r="E2260" t="inlineStr">
        <is>
          <t>POULET JURASSIENNE</t>
        </is>
      </c>
      <c r="F2260" t="n">
        <v>18.6</v>
      </c>
      <c r="G2260" t="inlineStr">
        <is>
          <t>n° 19 : 0,50 + n° 20 : 0,50</t>
        </is>
      </c>
      <c r="H2260" t="n">
        <v>1</v>
      </c>
    </row>
    <row r="2261">
      <c r="A2261" t="inlineStr">
        <is>
          <t>2023-2024</t>
        </is>
      </c>
      <c r="B2261" t="inlineStr">
        <is>
          <t>2023-07-06</t>
        </is>
      </c>
      <c r="C2261" t="inlineStr">
        <is>
          <t>13:14</t>
        </is>
      </c>
      <c r="D2261" t="inlineStr">
        <is>
          <t>n° 17 + n° 18 + n° 19 + n° 20</t>
        </is>
      </c>
      <c r="E2261" t="inlineStr">
        <is>
          <t>Feuilleté Forestier</t>
        </is>
      </c>
      <c r="F2261" t="n">
        <v>10.9</v>
      </c>
      <c r="G2261" t="inlineStr">
        <is>
          <t>n° 19 : 0,50 + n° 20 : 0,50</t>
        </is>
      </c>
      <c r="H2261" t="n">
        <v>1</v>
      </c>
    </row>
    <row r="2262">
      <c r="A2262" t="inlineStr">
        <is>
          <t>2023-2024</t>
        </is>
      </c>
      <c r="B2262" t="inlineStr">
        <is>
          <t>2023-07-06</t>
        </is>
      </c>
      <c r="C2262" t="inlineStr">
        <is>
          <t>13:14</t>
        </is>
      </c>
      <c r="D2262" t="inlineStr">
        <is>
          <t>n° 17 + n° 18 + n° 19 + n° 20</t>
        </is>
      </c>
      <c r="E2262" t="inlineStr">
        <is>
          <t>Pavlova</t>
        </is>
      </c>
      <c r="F2262" t="n">
        <v>8.9</v>
      </c>
      <c r="G2262" t="inlineStr">
        <is>
          <t>n° 19 : 0,50 + n° 20 : 0,50</t>
        </is>
      </c>
      <c r="H2262" t="n">
        <v>1</v>
      </c>
    </row>
    <row r="2263">
      <c r="A2263" t="inlineStr">
        <is>
          <t>2023-2024</t>
        </is>
      </c>
      <c r="B2263" t="inlineStr">
        <is>
          <t>2023-07-06</t>
        </is>
      </c>
      <c r="C2263" t="inlineStr">
        <is>
          <t>13:14</t>
        </is>
      </c>
      <c r="D2263" t="inlineStr">
        <is>
          <t>n° 17 + n° 18 + n° 19 + n° 20</t>
        </is>
      </c>
      <c r="E2263" t="inlineStr">
        <is>
          <t>Crêpe Salidou</t>
        </is>
      </c>
      <c r="F2263" t="n">
        <v>6.4</v>
      </c>
      <c r="G2263" t="inlineStr">
        <is>
          <t>n° 19 : 0,50 + n° 20 : 0,50</t>
        </is>
      </c>
      <c r="H2263" t="n">
        <v>1</v>
      </c>
    </row>
    <row r="2264">
      <c r="A2264" t="inlineStr">
        <is>
          <t>2023-2024</t>
        </is>
      </c>
      <c r="B2264" t="inlineStr">
        <is>
          <t>2023-07-06</t>
        </is>
      </c>
      <c r="C2264" t="inlineStr">
        <is>
          <t>13:14</t>
        </is>
      </c>
      <c r="D2264" t="inlineStr">
        <is>
          <t>n° 17 + n° 18 + n° 19 + n° 20</t>
        </is>
      </c>
      <c r="E2264" t="inlineStr">
        <is>
          <t>GLACE 2 BOULES</t>
        </is>
      </c>
      <c r="F2264" t="n">
        <v>5.5</v>
      </c>
      <c r="G2264" t="inlineStr">
        <is>
          <t>n° 17 : 1,00 + n° 18 : 1,00 + n° 19 : 0,50 + n° 20 : 0,50</t>
        </is>
      </c>
      <c r="H2264" t="n">
        <v>3</v>
      </c>
    </row>
    <row r="2265">
      <c r="A2265" t="inlineStr">
        <is>
          <t>2023-2024</t>
        </is>
      </c>
      <c r="B2265" t="inlineStr">
        <is>
          <t>2023-07-06</t>
        </is>
      </c>
      <c r="C2265" t="inlineStr">
        <is>
          <t>13:14</t>
        </is>
      </c>
      <c r="D2265" t="inlineStr">
        <is>
          <t>n° 17 + n° 18 + n° 19 + n° 20</t>
        </is>
      </c>
      <c r="E2265" t="inlineStr">
        <is>
          <t>Expresso</t>
        </is>
      </c>
      <c r="F2265" t="n">
        <v>2.2</v>
      </c>
      <c r="G2265" t="inlineStr">
        <is>
          <t>n° 19 : 0,50 + n° 20 : 0,50</t>
        </is>
      </c>
      <c r="H2265" t="n">
        <v>1</v>
      </c>
    </row>
    <row r="2266">
      <c r="A2266" t="inlineStr">
        <is>
          <t>2023-2024</t>
        </is>
      </c>
      <c r="B2266" t="inlineStr">
        <is>
          <t>2023-07-07</t>
        </is>
      </c>
      <c r="C2266" t="inlineStr">
        <is>
          <t>12:06</t>
        </is>
      </c>
      <c r="D2266" t="inlineStr">
        <is>
          <t>n° 6 + n° 7</t>
        </is>
      </c>
      <c r="E2266" t="inlineStr">
        <is>
          <t>Poulet aux Morilles</t>
        </is>
      </c>
      <c r="F2266" t="n">
        <v>28.6</v>
      </c>
      <c r="G2266" t="inlineStr">
        <is>
          <t>n° 6 : 0,50 + n° 7 : 0,50</t>
        </is>
      </c>
      <c r="H2266" t="n">
        <v>1</v>
      </c>
    </row>
    <row r="2267">
      <c r="A2267" t="inlineStr">
        <is>
          <t>2023-2024</t>
        </is>
      </c>
      <c r="B2267" t="inlineStr">
        <is>
          <t>2023-07-07</t>
        </is>
      </c>
      <c r="C2267" t="inlineStr">
        <is>
          <t>12:06</t>
        </is>
      </c>
      <c r="D2267" t="inlineStr">
        <is>
          <t>n° 6 + n° 7</t>
        </is>
      </c>
      <c r="E2267" t="inlineStr">
        <is>
          <t>BURGER COMTOIS</t>
        </is>
      </c>
      <c r="F2267" t="n">
        <v>19</v>
      </c>
      <c r="G2267" t="inlineStr">
        <is>
          <t>n° 6 : 0,50 + n° 7 : 0,50</t>
        </is>
      </c>
      <c r="H2267" t="n">
        <v>1</v>
      </c>
    </row>
    <row r="2268">
      <c r="A2268" t="inlineStr">
        <is>
          <t>2023-2024</t>
        </is>
      </c>
      <c r="B2268" t="inlineStr">
        <is>
          <t>2023-07-07</t>
        </is>
      </c>
      <c r="C2268" t="inlineStr">
        <is>
          <t>12:06</t>
        </is>
      </c>
      <c r="D2268" t="inlineStr">
        <is>
          <t>n° 6 + n° 7</t>
        </is>
      </c>
      <c r="E2268" t="inlineStr">
        <is>
          <t>CAMEMBERT ROTI</t>
        </is>
      </c>
      <c r="F2268" t="n">
        <v>18.6</v>
      </c>
      <c r="G2268" t="inlineStr">
        <is>
          <t>n° 6 : 0,50 + n° 7 : 0,50</t>
        </is>
      </c>
      <c r="H2268" t="n">
        <v>1</v>
      </c>
    </row>
    <row r="2269">
      <c r="A2269" t="inlineStr">
        <is>
          <t>2023-2024</t>
        </is>
      </c>
      <c r="B2269" t="inlineStr">
        <is>
          <t>2023-07-07</t>
        </is>
      </c>
      <c r="C2269" t="inlineStr">
        <is>
          <t>12:06</t>
        </is>
      </c>
      <c r="D2269" t="inlineStr">
        <is>
          <t>n° 6 + n° 7</t>
        </is>
      </c>
      <c r="E2269" t="inlineStr">
        <is>
          <t>TANTELIN</t>
        </is>
      </c>
      <c r="F2269" t="n">
        <v>17.4</v>
      </c>
      <c r="G2269" t="inlineStr">
        <is>
          <t>n° 6 : 0,50 + n° 7 : 0,50</t>
        </is>
      </c>
      <c r="H2269" t="n">
        <v>1</v>
      </c>
    </row>
    <row r="2270">
      <c r="A2270" t="inlineStr">
        <is>
          <t>2023-2024</t>
        </is>
      </c>
      <c r="B2270" t="inlineStr">
        <is>
          <t>2023-07-07</t>
        </is>
      </c>
      <c r="C2270" t="inlineStr">
        <is>
          <t>12:06</t>
        </is>
      </c>
      <c r="D2270" t="inlineStr">
        <is>
          <t>n° 6 + n° 7</t>
        </is>
      </c>
      <c r="E2270" t="inlineStr">
        <is>
          <t>PICHET ROSE</t>
        </is>
      </c>
      <c r="F2270" t="n">
        <v>10.5</v>
      </c>
      <c r="G2270" t="inlineStr">
        <is>
          <t>n° 6 : 0,50 + n° 7 : 0,50</t>
        </is>
      </c>
      <c r="H2270" t="n">
        <v>1</v>
      </c>
    </row>
    <row r="2271">
      <c r="A2271" t="inlineStr">
        <is>
          <t>2023-2024</t>
        </is>
      </c>
      <c r="B2271" t="inlineStr">
        <is>
          <t>2023-07-07</t>
        </is>
      </c>
      <c r="C2271" t="inlineStr">
        <is>
          <t>12:06</t>
        </is>
      </c>
      <c r="D2271" t="inlineStr">
        <is>
          <t>n° 6 + n° 7</t>
        </is>
      </c>
      <c r="E2271" t="inlineStr">
        <is>
          <t>Mambo</t>
        </is>
      </c>
      <c r="F2271" t="n">
        <v>6.5</v>
      </c>
      <c r="G2271" t="inlineStr">
        <is>
          <t>n° 6 : 0,50 + n° 7 : 0,50</t>
        </is>
      </c>
      <c r="H2271" t="n">
        <v>1</v>
      </c>
    </row>
    <row r="2272">
      <c r="A2272" t="inlineStr">
        <is>
          <t>2023-2024</t>
        </is>
      </c>
      <c r="B2272" t="inlineStr">
        <is>
          <t>2023-07-07</t>
        </is>
      </c>
      <c r="C2272" t="inlineStr">
        <is>
          <t>12:06</t>
        </is>
      </c>
      <c r="D2272" t="inlineStr">
        <is>
          <t>n° 6 + n° 7</t>
        </is>
      </c>
      <c r="E2272" t="inlineStr">
        <is>
          <t>Père Gregoire</t>
        </is>
      </c>
      <c r="F2272" t="n">
        <v>5.9</v>
      </c>
      <c r="G2272" t="inlineStr">
        <is>
          <t>n° 6 : 0,50 + n° 7 : 0,50</t>
        </is>
      </c>
      <c r="H2272" t="n">
        <v>1</v>
      </c>
    </row>
    <row r="2273">
      <c r="A2273" t="inlineStr">
        <is>
          <t>2023-2024</t>
        </is>
      </c>
      <c r="B2273" t="inlineStr">
        <is>
          <t>2023-07-07</t>
        </is>
      </c>
      <c r="C2273" t="inlineStr">
        <is>
          <t>20:44</t>
        </is>
      </c>
      <c r="D2273" t="inlineStr">
        <is>
          <t>n° 31 + n° 32 + n° 33</t>
        </is>
      </c>
      <c r="E2273" t="inlineStr">
        <is>
          <t>Arbois Savagnin</t>
        </is>
      </c>
      <c r="F2273" t="n">
        <v>75</v>
      </c>
      <c r="G2273" t="inlineStr">
        <is>
          <t>n° 31 : 0,33 + n° 32 : 0,34 + n° 33 : 0,33</t>
        </is>
      </c>
      <c r="H2273" t="n">
        <v>1</v>
      </c>
    </row>
    <row r="2274">
      <c r="A2274" t="inlineStr">
        <is>
          <t>2023-2024</t>
        </is>
      </c>
      <c r="B2274" t="inlineStr">
        <is>
          <t>2023-07-07</t>
        </is>
      </c>
      <c r="C2274" t="inlineStr">
        <is>
          <t>20:44</t>
        </is>
      </c>
      <c r="D2274" t="inlineStr">
        <is>
          <t>n° 31 + n° 32 + n° 33</t>
        </is>
      </c>
      <c r="E2274" t="inlineStr">
        <is>
          <t>Menu 'Demi Lune'</t>
        </is>
      </c>
      <c r="F2274" t="n">
        <v>45</v>
      </c>
      <c r="G2274" t="inlineStr">
        <is>
          <t>n° 31 : 0,67 + n° 32 : 0,67 + n° 33 : 0,66</t>
        </is>
      </c>
      <c r="H2274" t="n">
        <v>2</v>
      </c>
    </row>
    <row r="2275">
      <c r="A2275" t="inlineStr">
        <is>
          <t>2023-2024</t>
        </is>
      </c>
      <c r="B2275" t="inlineStr">
        <is>
          <t>2023-07-07</t>
        </is>
      </c>
      <c r="C2275" t="inlineStr">
        <is>
          <t>20:44</t>
        </is>
      </c>
      <c r="D2275" t="inlineStr">
        <is>
          <t>n° 31 + n° 32 + n° 33</t>
        </is>
      </c>
      <c r="E2275" t="inlineStr">
        <is>
          <t>Menu Bourguignon</t>
        </is>
      </c>
      <c r="F2275" t="n">
        <v>34</v>
      </c>
      <c r="G2275" t="inlineStr">
        <is>
          <t>n° 31 : 0,33 + n° 32 : 0,34 + n° 33 : 0,33</t>
        </is>
      </c>
      <c r="H2275" t="n">
        <v>1</v>
      </c>
    </row>
    <row r="2276">
      <c r="A2276" t="inlineStr">
        <is>
          <t>2023-2024</t>
        </is>
      </c>
      <c r="B2276" t="inlineStr">
        <is>
          <t>2023-07-08</t>
        </is>
      </c>
      <c r="C2276" t="inlineStr">
        <is>
          <t>11:49</t>
        </is>
      </c>
      <c r="D2276" t="inlineStr">
        <is>
          <t>n° 3 + n° 4</t>
        </is>
      </c>
      <c r="E2276" t="inlineStr">
        <is>
          <t>MORTEAU GRILLEE</t>
        </is>
      </c>
      <c r="F2276" t="n">
        <v>18.6</v>
      </c>
      <c r="G2276" t="inlineStr">
        <is>
          <t>n° 3 : 0,50 + n° 4 : 0,50</t>
        </is>
      </c>
      <c r="H2276" t="n">
        <v>1</v>
      </c>
    </row>
    <row r="2277">
      <c r="A2277" t="inlineStr">
        <is>
          <t>2023-2024</t>
        </is>
      </c>
      <c r="B2277" t="inlineStr">
        <is>
          <t>2023-07-08</t>
        </is>
      </c>
      <c r="C2277" t="inlineStr">
        <is>
          <t>11:49</t>
        </is>
      </c>
      <c r="D2277" t="inlineStr">
        <is>
          <t>n° 3 + n° 4</t>
        </is>
      </c>
      <c r="E2277" t="inlineStr">
        <is>
          <t>ASSIETTE FRANC-COMTO</t>
        </is>
      </c>
      <c r="F2277" t="n">
        <v>18.6</v>
      </c>
      <c r="G2277" t="inlineStr">
        <is>
          <t>n° 3 : 0,50 + n° 4 : 0,50</t>
        </is>
      </c>
      <c r="H2277" t="n">
        <v>1</v>
      </c>
    </row>
    <row r="2278">
      <c r="A2278" t="inlineStr">
        <is>
          <t>2023-2024</t>
        </is>
      </c>
      <c r="B2278" t="inlineStr">
        <is>
          <t>2023-07-08</t>
        </is>
      </c>
      <c r="C2278" t="inlineStr">
        <is>
          <t>19:52</t>
        </is>
      </c>
      <c r="D2278" t="inlineStr">
        <is>
          <t>n° 21 + n° 22</t>
        </is>
      </c>
      <c r="E2278" t="inlineStr">
        <is>
          <t>Blanche des plateaux</t>
        </is>
      </c>
      <c r="F2278" t="n">
        <v>6.9</v>
      </c>
      <c r="G2278" t="inlineStr">
        <is>
          <t>n° 21 : 0,50 + n° 22 : 0,50</t>
        </is>
      </c>
      <c r="H2278" t="n">
        <v>1</v>
      </c>
    </row>
    <row r="2279">
      <c r="A2279" t="inlineStr">
        <is>
          <t>2023-2024</t>
        </is>
      </c>
      <c r="B2279" t="inlineStr">
        <is>
          <t>2023-07-08</t>
        </is>
      </c>
      <c r="C2279" t="inlineStr">
        <is>
          <t>19:52</t>
        </is>
      </c>
      <c r="D2279" t="inlineStr">
        <is>
          <t>n° 21 + n° 22</t>
        </is>
      </c>
      <c r="E2279" t="inlineStr">
        <is>
          <t>Crêpe Nutella</t>
        </is>
      </c>
      <c r="F2279" t="n">
        <v>4.9</v>
      </c>
      <c r="G2279" t="inlineStr">
        <is>
          <t>n° 21 : 0,50 + n° 22 : 0,50</t>
        </is>
      </c>
      <c r="H2279" t="n">
        <v>1</v>
      </c>
    </row>
    <row r="2280">
      <c r="A2280" t="inlineStr">
        <is>
          <t>2023-2024</t>
        </is>
      </c>
      <c r="B2280" t="inlineStr">
        <is>
          <t>2023-07-08</t>
        </is>
      </c>
      <c r="C2280" t="inlineStr">
        <is>
          <t>19:52</t>
        </is>
      </c>
      <c r="D2280" t="inlineStr">
        <is>
          <t>n° 21 + n° 22</t>
        </is>
      </c>
      <c r="E2280" t="inlineStr">
        <is>
          <t>VERRE CHUSCLAN</t>
        </is>
      </c>
      <c r="F2280" t="n">
        <v>3.9</v>
      </c>
      <c r="G2280" t="inlineStr">
        <is>
          <t>n° 21 : 0,50 + n° 22 : 0,50</t>
        </is>
      </c>
      <c r="H2280" t="n">
        <v>1</v>
      </c>
    </row>
    <row r="2281">
      <c r="A2281" t="inlineStr">
        <is>
          <t>2023-2024</t>
        </is>
      </c>
      <c r="B2281" t="inlineStr">
        <is>
          <t>2023-07-08</t>
        </is>
      </c>
      <c r="C2281" t="inlineStr">
        <is>
          <t>19:52</t>
        </is>
      </c>
      <c r="D2281" t="inlineStr">
        <is>
          <t>n° 21 + n° 22</t>
        </is>
      </c>
      <c r="E2281" t="inlineStr">
        <is>
          <t>GLACE 1 BOULE</t>
        </is>
      </c>
      <c r="F2281" t="n">
        <v>3.5</v>
      </c>
      <c r="G2281" t="inlineStr">
        <is>
          <t>n° 21 : 0,50 + n° 22 : 0,50</t>
        </is>
      </c>
      <c r="H2281" t="n">
        <v>1</v>
      </c>
    </row>
    <row r="2282">
      <c r="A2282" t="inlineStr">
        <is>
          <t>2023-2024</t>
        </is>
      </c>
      <c r="B2282" t="inlineStr">
        <is>
          <t>2023-07-09</t>
        </is>
      </c>
      <c r="C2282" t="inlineStr">
        <is>
          <t>12:11</t>
        </is>
      </c>
      <c r="D2282" t="inlineStr">
        <is>
          <t>n° 8 + n° 9</t>
        </is>
      </c>
      <c r="E2282" t="inlineStr">
        <is>
          <t>MORTEAU GRILLEE</t>
        </is>
      </c>
      <c r="F2282" t="n">
        <v>18.6</v>
      </c>
      <c r="G2282" t="inlineStr">
        <is>
          <t>n° 8 : 0,50 + n° 9 : 0,50</t>
        </is>
      </c>
      <c r="H2282" t="n">
        <v>1</v>
      </c>
    </row>
    <row r="2283">
      <c r="A2283" t="inlineStr">
        <is>
          <t>2023-2024</t>
        </is>
      </c>
      <c r="B2283" t="inlineStr">
        <is>
          <t>2023-07-09</t>
        </is>
      </c>
      <c r="C2283" t="inlineStr">
        <is>
          <t>12:11</t>
        </is>
      </c>
      <c r="D2283" t="inlineStr">
        <is>
          <t>n° 8 + n° 9</t>
        </is>
      </c>
      <c r="E2283" t="inlineStr">
        <is>
          <t>POULET JURASSIENNE</t>
        </is>
      </c>
      <c r="F2283" t="n">
        <v>18.6</v>
      </c>
      <c r="G2283" t="inlineStr">
        <is>
          <t>n° 8 : 0,50 + n° 9 : 0,50</t>
        </is>
      </c>
      <c r="H2283" t="n">
        <v>1</v>
      </c>
    </row>
    <row r="2284">
      <c r="A2284" t="inlineStr">
        <is>
          <t>2023-2024</t>
        </is>
      </c>
      <c r="B2284" t="inlineStr">
        <is>
          <t>2023-07-09</t>
        </is>
      </c>
      <c r="C2284" t="inlineStr">
        <is>
          <t>12:11</t>
        </is>
      </c>
      <c r="D2284" t="inlineStr">
        <is>
          <t>n° 8 + n° 9</t>
        </is>
      </c>
      <c r="E2284" t="inlineStr">
        <is>
          <t>Savagnin verre</t>
        </is>
      </c>
      <c r="F2284" t="n">
        <v>8.300000000000001</v>
      </c>
      <c r="G2284" t="inlineStr">
        <is>
          <t>n° 8 : 0,50 + n° 9 : 0,50</t>
        </is>
      </c>
      <c r="H2284" t="n">
        <v>1</v>
      </c>
    </row>
    <row r="2285">
      <c r="A2285" t="inlineStr">
        <is>
          <t>2023-2024</t>
        </is>
      </c>
      <c r="B2285" t="inlineStr">
        <is>
          <t>2023-07-09</t>
        </is>
      </c>
      <c r="C2285" t="inlineStr">
        <is>
          <t>12:11</t>
        </is>
      </c>
      <c r="D2285" t="inlineStr">
        <is>
          <t>n° 8 + n° 9</t>
        </is>
      </c>
      <c r="E2285" t="inlineStr">
        <is>
          <t>Ambrée</t>
        </is>
      </c>
      <c r="F2285" t="n">
        <v>6.9</v>
      </c>
      <c r="G2285" t="inlineStr">
        <is>
          <t>n° 8 : 0,50 + n° 9 : 0,50</t>
        </is>
      </c>
      <c r="H2285" t="n">
        <v>1</v>
      </c>
    </row>
    <row r="2286">
      <c r="A2286" t="inlineStr">
        <is>
          <t>2023-2024</t>
        </is>
      </c>
      <c r="B2286" t="inlineStr">
        <is>
          <t>2023-07-09</t>
        </is>
      </c>
      <c r="C2286" t="inlineStr">
        <is>
          <t>12:11</t>
        </is>
      </c>
      <c r="D2286" t="inlineStr">
        <is>
          <t>n° 8 + n° 9</t>
        </is>
      </c>
      <c r="E2286" t="inlineStr">
        <is>
          <t>Blanche des plateaux</t>
        </is>
      </c>
      <c r="F2286" t="n">
        <v>6.9</v>
      </c>
      <c r="G2286" t="inlineStr">
        <is>
          <t>n° 8 : 0,50 + n° 9 : 0,50</t>
        </is>
      </c>
      <c r="H2286" t="n">
        <v>1</v>
      </c>
    </row>
    <row r="2287">
      <c r="A2287" t="inlineStr">
        <is>
          <t>2023-2024</t>
        </is>
      </c>
      <c r="B2287" t="inlineStr">
        <is>
          <t>2023-07-13</t>
        </is>
      </c>
      <c r="C2287" t="inlineStr">
        <is>
          <t>20:44</t>
        </is>
      </c>
      <c r="D2287" t="inlineStr">
        <is>
          <t>n° 34 + n° 35 + n° 36</t>
        </is>
      </c>
      <c r="E2287" t="inlineStr">
        <is>
          <t>BARBEULENET</t>
        </is>
      </c>
      <c r="F2287" t="n">
        <v>17.4</v>
      </c>
      <c r="G2287" t="inlineStr">
        <is>
          <t>n° 34 : 0,33 + n° 35 : 0,34 + n° 36 : 0,33</t>
        </is>
      </c>
      <c r="H2287" t="n">
        <v>1</v>
      </c>
    </row>
    <row r="2288">
      <c r="A2288" t="inlineStr">
        <is>
          <t>2023-2024</t>
        </is>
      </c>
      <c r="B2288" t="inlineStr">
        <is>
          <t>2023-07-13</t>
        </is>
      </c>
      <c r="C2288" t="inlineStr">
        <is>
          <t>20:44</t>
        </is>
      </c>
      <c r="D2288" t="inlineStr">
        <is>
          <t>n° 34 + n° 35 + n° 36</t>
        </is>
      </c>
      <c r="E2288" t="inlineStr">
        <is>
          <t>CABRICHOU</t>
        </is>
      </c>
      <c r="F2288" t="n">
        <v>16.9</v>
      </c>
      <c r="G2288" t="inlineStr">
        <is>
          <t>n° 34 : 0,33 + n° 35 : 0,34 + n° 36 : 0,33</t>
        </is>
      </c>
      <c r="H2288" t="n">
        <v>1</v>
      </c>
    </row>
    <row r="2289">
      <c r="A2289" t="inlineStr">
        <is>
          <t>2023-2024</t>
        </is>
      </c>
      <c r="B2289" t="inlineStr">
        <is>
          <t>2023-07-13</t>
        </is>
      </c>
      <c r="C2289" t="inlineStr">
        <is>
          <t>20:44</t>
        </is>
      </c>
      <c r="D2289" t="inlineStr">
        <is>
          <t>n° 34 + n° 35 + n° 36</t>
        </is>
      </c>
      <c r="E2289" t="inlineStr">
        <is>
          <t>ECRESSI</t>
        </is>
      </c>
      <c r="F2289" t="n">
        <v>15.5</v>
      </c>
      <c r="G2289" t="inlineStr">
        <is>
          <t>n° 34 : 0,33 + n° 35 : 0,34 + n° 36 : 0,33</t>
        </is>
      </c>
      <c r="H2289" t="n">
        <v>1</v>
      </c>
    </row>
    <row r="2290">
      <c r="A2290" t="inlineStr">
        <is>
          <t>2023-2024</t>
        </is>
      </c>
      <c r="B2290" t="inlineStr">
        <is>
          <t>2023-07-13</t>
        </is>
      </c>
      <c r="C2290" t="inlineStr">
        <is>
          <t>20:44</t>
        </is>
      </c>
      <c r="D2290" t="inlineStr">
        <is>
          <t>n° 34 + n° 35 + n° 36</t>
        </is>
      </c>
      <c r="E2290" t="inlineStr">
        <is>
          <t>FLAMME</t>
        </is>
      </c>
      <c r="F2290" t="n">
        <v>9.300000000000001</v>
      </c>
      <c r="G2290" t="inlineStr">
        <is>
          <t>n° 34 : 0,33 + n° 35 : 0,34 + n° 36 : 0,33</t>
        </is>
      </c>
      <c r="H2290" t="n">
        <v>1</v>
      </c>
    </row>
    <row r="2291">
      <c r="A2291" t="inlineStr">
        <is>
          <t>2023-2024</t>
        </is>
      </c>
      <c r="B2291" t="inlineStr">
        <is>
          <t>2023-07-13</t>
        </is>
      </c>
      <c r="C2291" t="inlineStr">
        <is>
          <t>20:44</t>
        </is>
      </c>
      <c r="D2291" t="inlineStr">
        <is>
          <t>n° 34 + n° 35 + n° 36</t>
        </is>
      </c>
      <c r="E2291" t="inlineStr">
        <is>
          <t>Mambo</t>
        </is>
      </c>
      <c r="F2291" t="n">
        <v>6.5</v>
      </c>
      <c r="G2291" t="inlineStr">
        <is>
          <t>n° 34 : 0,33 + n° 35 : 0,34 + n° 36 : 0,33</t>
        </is>
      </c>
      <c r="H2291" t="n">
        <v>1</v>
      </c>
    </row>
    <row r="2292">
      <c r="A2292" t="inlineStr">
        <is>
          <t>2023-2024</t>
        </is>
      </c>
      <c r="B2292" t="inlineStr">
        <is>
          <t>2023-07-13</t>
        </is>
      </c>
      <c r="C2292" t="inlineStr">
        <is>
          <t>20:44</t>
        </is>
      </c>
      <c r="D2292" t="inlineStr">
        <is>
          <t>n° 34 + n° 35 + n° 36</t>
        </is>
      </c>
      <c r="E2292" t="inlineStr">
        <is>
          <t>GLACE 2 BOULES</t>
        </is>
      </c>
      <c r="F2292" t="n">
        <v>5.5</v>
      </c>
      <c r="G2292" t="inlineStr">
        <is>
          <t>n° 34 : 0,33 + n° 35 : 0,34 + n° 36 : 0,33</t>
        </is>
      </c>
      <c r="H2292" t="n">
        <v>1</v>
      </c>
    </row>
    <row r="2293">
      <c r="A2293" t="inlineStr">
        <is>
          <t>2023-2024</t>
        </is>
      </c>
      <c r="B2293" t="inlineStr">
        <is>
          <t>2023-07-13</t>
        </is>
      </c>
      <c r="C2293" t="inlineStr">
        <is>
          <t>20:44</t>
        </is>
      </c>
      <c r="D2293" t="inlineStr">
        <is>
          <t>n° 34 + n° 35 + n° 36</t>
        </is>
      </c>
      <c r="E2293" t="inlineStr">
        <is>
          <t>Crémant</t>
        </is>
      </c>
      <c r="F2293" t="n">
        <v>5</v>
      </c>
      <c r="G2293" t="inlineStr">
        <is>
          <t>n° 34 : 0,33 + n° 35 : 0,34 + n° 36 : 0,33</t>
        </is>
      </c>
      <c r="H2293" t="n">
        <v>1</v>
      </c>
    </row>
    <row r="2294">
      <c r="A2294" t="inlineStr">
        <is>
          <t>2023-2024</t>
        </is>
      </c>
      <c r="B2294" t="inlineStr">
        <is>
          <t>2023-07-13</t>
        </is>
      </c>
      <c r="C2294" t="inlineStr">
        <is>
          <t>20:44</t>
        </is>
      </c>
      <c r="D2294" t="inlineStr">
        <is>
          <t>n° 34 + n° 35 + n° 36</t>
        </is>
      </c>
      <c r="E2294" t="inlineStr">
        <is>
          <t>Perrier 33cl</t>
        </is>
      </c>
      <c r="F2294" t="n">
        <v>4</v>
      </c>
      <c r="G2294" t="inlineStr">
        <is>
          <t>n° 34 : 0,33 + n° 35 : 0,34 + n° 36 : 0,33</t>
        </is>
      </c>
      <c r="H2294" t="n">
        <v>1</v>
      </c>
    </row>
    <row r="2295">
      <c r="A2295" t="inlineStr">
        <is>
          <t>2023-2024</t>
        </is>
      </c>
      <c r="B2295" t="inlineStr">
        <is>
          <t>2023-07-13</t>
        </is>
      </c>
      <c r="C2295" t="inlineStr">
        <is>
          <t>20:44</t>
        </is>
      </c>
      <c r="D2295" t="inlineStr">
        <is>
          <t>n° 34 + n° 35 + n° 36</t>
        </is>
      </c>
      <c r="E2295" t="inlineStr">
        <is>
          <t>Crêpe au sucre</t>
        </is>
      </c>
      <c r="F2295" t="n">
        <v>3.9</v>
      </c>
      <c r="G2295" t="inlineStr">
        <is>
          <t>n° 34 : 0,33 + n° 35 : 0,34 + n° 36 : 0,33</t>
        </is>
      </c>
      <c r="H2295" t="n">
        <v>1</v>
      </c>
    </row>
    <row r="2296">
      <c r="A2296" t="inlineStr">
        <is>
          <t>2023-2024</t>
        </is>
      </c>
      <c r="B2296" t="inlineStr">
        <is>
          <t>2023-07-13</t>
        </is>
      </c>
      <c r="C2296" t="inlineStr">
        <is>
          <t>20:44</t>
        </is>
      </c>
      <c r="D2296" t="inlineStr">
        <is>
          <t>n° 34 + n° 35 + n° 36</t>
        </is>
      </c>
      <c r="E2296" t="inlineStr">
        <is>
          <t>BANANE</t>
        </is>
      </c>
      <c r="F2296" t="n">
        <v>2.7</v>
      </c>
      <c r="G2296" t="inlineStr">
        <is>
          <t>n° 34 : 0,33 + n° 35 : 0,34 + n° 36 : 0,33</t>
        </is>
      </c>
      <c r="H2296" t="n">
        <v>1</v>
      </c>
    </row>
    <row r="2297">
      <c r="A2297" t="inlineStr">
        <is>
          <t>2023-2024</t>
        </is>
      </c>
      <c r="B2297" t="inlineStr">
        <is>
          <t>2023-07-13</t>
        </is>
      </c>
      <c r="C2297" t="inlineStr">
        <is>
          <t>20:44</t>
        </is>
      </c>
      <c r="D2297" t="inlineStr">
        <is>
          <t>n° 34 + n° 35 + n° 36</t>
        </is>
      </c>
      <c r="E2297" t="inlineStr">
        <is>
          <t>CHANTILLY</t>
        </is>
      </c>
      <c r="F2297" t="n">
        <v>2.5</v>
      </c>
      <c r="G2297" t="inlineStr">
        <is>
          <t>n° 34 : 0,33 + n° 35 : 0,34 + n° 36 : 0,33</t>
        </is>
      </c>
      <c r="H2297" t="n">
        <v>1</v>
      </c>
    </row>
    <row r="2298">
      <c r="A2298" t="inlineStr">
        <is>
          <t>2023-2024</t>
        </is>
      </c>
      <c r="B2298" t="inlineStr">
        <is>
          <t>2023-07-14</t>
        </is>
      </c>
      <c r="C2298" t="inlineStr">
        <is>
          <t>12:42</t>
        </is>
      </c>
      <c r="D2298" t="inlineStr">
        <is>
          <t>n° 13 + n° 14</t>
        </is>
      </c>
      <c r="E2298" t="inlineStr">
        <is>
          <t>ASSIETTE PERE GREGOI</t>
        </is>
      </c>
      <c r="F2298" t="n">
        <v>18.6</v>
      </c>
      <c r="G2298" t="inlineStr">
        <is>
          <t>n° 13 : 0,50 + n° 14 : 0,50</t>
        </is>
      </c>
      <c r="H2298" t="n">
        <v>1</v>
      </c>
    </row>
    <row r="2299">
      <c r="A2299" t="inlineStr">
        <is>
          <t>2023-2024</t>
        </is>
      </c>
      <c r="B2299" t="inlineStr">
        <is>
          <t>2023-07-14</t>
        </is>
      </c>
      <c r="C2299" t="inlineStr">
        <is>
          <t>12:42</t>
        </is>
      </c>
      <c r="D2299" t="inlineStr">
        <is>
          <t>n° 13 + n° 14</t>
        </is>
      </c>
      <c r="E2299" t="inlineStr">
        <is>
          <t>Croûtes Morilles</t>
        </is>
      </c>
      <c r="F2299" t="n">
        <v>16.9</v>
      </c>
      <c r="G2299" t="inlineStr">
        <is>
          <t>n° 13 : 0,50 + n° 14 : 0,50</t>
        </is>
      </c>
      <c r="H2299" t="n">
        <v>1</v>
      </c>
    </row>
    <row r="2300">
      <c r="A2300" t="inlineStr">
        <is>
          <t>2023-2024</t>
        </is>
      </c>
      <c r="B2300" t="inlineStr">
        <is>
          <t>2023-07-14</t>
        </is>
      </c>
      <c r="C2300" t="inlineStr">
        <is>
          <t>12:42</t>
        </is>
      </c>
      <c r="D2300" t="inlineStr">
        <is>
          <t>n° 13 + n° 14</t>
        </is>
      </c>
      <c r="E2300" t="inlineStr">
        <is>
          <t>PICHET ROSE</t>
        </is>
      </c>
      <c r="F2300" t="n">
        <v>10.5</v>
      </c>
      <c r="G2300" t="inlineStr">
        <is>
          <t>n° 13 : 0,50 + n° 14 : 0,50</t>
        </is>
      </c>
      <c r="H2300" t="n">
        <v>1</v>
      </c>
    </row>
    <row r="2301">
      <c r="A2301" t="inlineStr">
        <is>
          <t>2023-2024</t>
        </is>
      </c>
      <c r="B2301" t="inlineStr">
        <is>
          <t>2023-07-14</t>
        </is>
      </c>
      <c r="C2301" t="inlineStr">
        <is>
          <t>12:42</t>
        </is>
      </c>
      <c r="D2301" t="inlineStr">
        <is>
          <t>n° 13 + n° 14</t>
        </is>
      </c>
      <c r="E2301" t="inlineStr">
        <is>
          <t>FROMAGES REGIONAUX</t>
        </is>
      </c>
      <c r="F2301" t="n">
        <v>7.9</v>
      </c>
      <c r="G2301" t="inlineStr">
        <is>
          <t>n° 13 : 0,50 + n° 14 : 0,50</t>
        </is>
      </c>
      <c r="H2301" t="n">
        <v>1</v>
      </c>
    </row>
    <row r="2302">
      <c r="A2302" t="inlineStr">
        <is>
          <t>2023-2024</t>
        </is>
      </c>
      <c r="B2302" t="inlineStr">
        <is>
          <t>2023-07-14</t>
        </is>
      </c>
      <c r="C2302" t="inlineStr">
        <is>
          <t>12:42</t>
        </is>
      </c>
      <c r="D2302" t="inlineStr">
        <is>
          <t>n° 13 + n° 14</t>
        </is>
      </c>
      <c r="E2302" t="inlineStr">
        <is>
          <t>Ambrée</t>
        </is>
      </c>
      <c r="F2302" t="n">
        <v>6.9</v>
      </c>
      <c r="G2302" t="inlineStr">
        <is>
          <t>n° 13 : 0,50 + n° 14 : 0,50</t>
        </is>
      </c>
      <c r="H2302" t="n">
        <v>1</v>
      </c>
    </row>
    <row r="2303">
      <c r="A2303" t="inlineStr">
        <is>
          <t>2023-2024</t>
        </is>
      </c>
      <c r="B2303" t="inlineStr">
        <is>
          <t>2023-07-14</t>
        </is>
      </c>
      <c r="C2303" t="inlineStr">
        <is>
          <t>12:42</t>
        </is>
      </c>
      <c r="D2303" t="inlineStr">
        <is>
          <t>n° 13 + n° 14</t>
        </is>
      </c>
      <c r="E2303" t="inlineStr">
        <is>
          <t>La Vouivre</t>
        </is>
      </c>
      <c r="F2303" t="n">
        <v>5.9</v>
      </c>
      <c r="G2303" t="inlineStr">
        <is>
          <t>n° 13 : 0,50 + n° 14 : 0,50</t>
        </is>
      </c>
      <c r="H2303" t="n">
        <v>1</v>
      </c>
    </row>
    <row r="2304">
      <c r="A2304" t="inlineStr">
        <is>
          <t>2023-2024</t>
        </is>
      </c>
      <c r="B2304" t="inlineStr">
        <is>
          <t>2023-07-14</t>
        </is>
      </c>
      <c r="C2304" t="inlineStr">
        <is>
          <t>12:42</t>
        </is>
      </c>
      <c r="D2304" t="inlineStr">
        <is>
          <t>n° 13 + n° 14</t>
        </is>
      </c>
      <c r="E2304" t="inlineStr">
        <is>
          <t>GLACE 2 BOULES</t>
        </is>
      </c>
      <c r="F2304" t="n">
        <v>5.5</v>
      </c>
      <c r="G2304" t="inlineStr">
        <is>
          <t>n° 13 : 0,50 + n° 14 : 0,50</t>
        </is>
      </c>
      <c r="H2304" t="n">
        <v>1</v>
      </c>
    </row>
    <row r="2305">
      <c r="A2305" t="inlineStr">
        <is>
          <t>2023-2024</t>
        </is>
      </c>
      <c r="B2305" t="inlineStr">
        <is>
          <t>2023-07-14</t>
        </is>
      </c>
      <c r="C2305" t="inlineStr">
        <is>
          <t>18:52</t>
        </is>
      </c>
      <c r="D2305" t="inlineStr">
        <is>
          <t>n° 21 + n° 22</t>
        </is>
      </c>
      <c r="E2305" t="inlineStr">
        <is>
          <t>Rêve Bleu</t>
        </is>
      </c>
      <c r="F2305" t="n">
        <v>9</v>
      </c>
      <c r="G2305" t="inlineStr">
        <is>
          <t>n° 21 : 0,50 + n° 22 : 0,50</t>
        </is>
      </c>
      <c r="H2305" t="n">
        <v>1</v>
      </c>
    </row>
    <row r="2306">
      <c r="A2306" t="inlineStr">
        <is>
          <t>2023-2024</t>
        </is>
      </c>
      <c r="B2306" t="inlineStr">
        <is>
          <t>2023-07-14</t>
        </is>
      </c>
      <c r="C2306" t="inlineStr">
        <is>
          <t>18:52</t>
        </is>
      </c>
      <c r="D2306" t="inlineStr">
        <is>
          <t>n° 21 + n° 22</t>
        </is>
      </c>
      <c r="E2306" t="inlineStr">
        <is>
          <t>Mambo</t>
        </is>
      </c>
      <c r="F2306" t="n">
        <v>6.5</v>
      </c>
      <c r="G2306" t="inlineStr">
        <is>
          <t>n° 21 : 0,50 + n° 22 : 0,50</t>
        </is>
      </c>
      <c r="H2306" t="n">
        <v>1</v>
      </c>
    </row>
    <row r="2307">
      <c r="A2307" t="inlineStr">
        <is>
          <t>2023-2024</t>
        </is>
      </c>
      <c r="B2307" t="inlineStr">
        <is>
          <t>2023-07-14</t>
        </is>
      </c>
      <c r="C2307" t="inlineStr">
        <is>
          <t>18:52</t>
        </is>
      </c>
      <c r="D2307" t="inlineStr">
        <is>
          <t>n° 21 + n° 22</t>
        </is>
      </c>
      <c r="E2307" t="inlineStr">
        <is>
          <t>Crêpe Nutella</t>
        </is>
      </c>
      <c r="F2307" t="n">
        <v>4.9</v>
      </c>
      <c r="G2307" t="inlineStr">
        <is>
          <t>n° 21 : 0,50 + n° 22 : 0,50</t>
        </is>
      </c>
      <c r="H2307" t="n">
        <v>1</v>
      </c>
    </row>
    <row r="2308">
      <c r="A2308" t="inlineStr">
        <is>
          <t>2023-2024</t>
        </is>
      </c>
      <c r="B2308" t="inlineStr">
        <is>
          <t>2023-07-14</t>
        </is>
      </c>
      <c r="C2308" t="inlineStr">
        <is>
          <t>18:52</t>
        </is>
      </c>
      <c r="D2308" t="inlineStr">
        <is>
          <t>n° 21 + n° 22</t>
        </is>
      </c>
      <c r="E2308" t="inlineStr">
        <is>
          <t>Fromage de Chèvre</t>
        </is>
      </c>
      <c r="F2308" t="n">
        <v>3.9</v>
      </c>
      <c r="G2308" t="inlineStr">
        <is>
          <t>n° 21 : 0,50 + n° 22 : 0,50</t>
        </is>
      </c>
      <c r="H2308" t="n">
        <v>1</v>
      </c>
    </row>
    <row r="2309">
      <c r="A2309" t="inlineStr">
        <is>
          <t>2023-2024</t>
        </is>
      </c>
      <c r="B2309" t="inlineStr">
        <is>
          <t>2023-07-14</t>
        </is>
      </c>
      <c r="C2309" t="inlineStr">
        <is>
          <t>18:52</t>
        </is>
      </c>
      <c r="D2309" t="inlineStr">
        <is>
          <t>n° 21 + n° 22</t>
        </is>
      </c>
      <c r="E2309" t="inlineStr">
        <is>
          <t>Cancoillotte</t>
        </is>
      </c>
      <c r="F2309" t="n">
        <v>3.9</v>
      </c>
      <c r="G2309" t="inlineStr">
        <is>
          <t>n° 21 : 0,50 + n° 22 : 0,50</t>
        </is>
      </c>
      <c r="H2309" t="n">
        <v>1</v>
      </c>
    </row>
    <row r="2310">
      <c r="A2310" t="inlineStr">
        <is>
          <t>2023-2024</t>
        </is>
      </c>
      <c r="B2310" t="inlineStr">
        <is>
          <t>2023-07-14</t>
        </is>
      </c>
      <c r="C2310" t="inlineStr">
        <is>
          <t>18:52</t>
        </is>
      </c>
      <c r="D2310" t="inlineStr">
        <is>
          <t>n° 21 + n° 22</t>
        </is>
      </c>
      <c r="E2310" t="inlineStr">
        <is>
          <t>Pommes de Terre</t>
        </is>
      </c>
      <c r="F2310" t="n">
        <v>3.2</v>
      </c>
      <c r="G2310" t="inlineStr">
        <is>
          <t>n° 21 : 0,50 + n° 22 : 0,50</t>
        </is>
      </c>
      <c r="H2310" t="n">
        <v>1</v>
      </c>
    </row>
    <row r="2311">
      <c r="A2311" t="inlineStr">
        <is>
          <t>2023-2024</t>
        </is>
      </c>
      <c r="B2311" t="inlineStr">
        <is>
          <t>2023-07-16</t>
        </is>
      </c>
      <c r="C2311" t="inlineStr">
        <is>
          <t>13:01</t>
        </is>
      </c>
      <c r="D2311" t="inlineStr">
        <is>
          <t>n° 9 + n° 10</t>
        </is>
      </c>
      <c r="E2311" t="inlineStr">
        <is>
          <t>ENTRECOTE MORILLES</t>
        </is>
      </c>
      <c r="F2311" t="n">
        <v>34.8</v>
      </c>
      <c r="G2311" t="inlineStr">
        <is>
          <t>n° 9 : 0,50 + n° 10 : 0,50</t>
        </is>
      </c>
      <c r="H2311" t="n">
        <v>1</v>
      </c>
    </row>
    <row r="2312">
      <c r="A2312" t="inlineStr">
        <is>
          <t>2023-2024</t>
        </is>
      </c>
      <c r="B2312" t="inlineStr">
        <is>
          <t>2023-07-16</t>
        </is>
      </c>
      <c r="C2312" t="inlineStr">
        <is>
          <t>13:01</t>
        </is>
      </c>
      <c r="D2312" t="inlineStr">
        <is>
          <t>n° 9 + n° 10</t>
        </is>
      </c>
      <c r="E2312" t="inlineStr">
        <is>
          <t>CAMEMBERT ROTI</t>
        </is>
      </c>
      <c r="F2312" t="n">
        <v>18.6</v>
      </c>
      <c r="G2312" t="inlineStr">
        <is>
          <t>n° 9 : 0,50 + n° 10 : 0,50</t>
        </is>
      </c>
      <c r="H2312" t="n">
        <v>1</v>
      </c>
    </row>
    <row r="2313">
      <c r="A2313" t="inlineStr">
        <is>
          <t>2023-2024</t>
        </is>
      </c>
      <c r="B2313" t="inlineStr">
        <is>
          <t>2023-07-16</t>
        </is>
      </c>
      <c r="C2313" t="inlineStr">
        <is>
          <t>13:01</t>
        </is>
      </c>
      <c r="D2313" t="inlineStr">
        <is>
          <t>n° 9 + n° 10</t>
        </is>
      </c>
      <c r="E2313" t="inlineStr">
        <is>
          <t>BARBEULENET</t>
        </is>
      </c>
      <c r="F2313" t="n">
        <v>17.4</v>
      </c>
      <c r="G2313" t="inlineStr">
        <is>
          <t>n° 9 : 0,50 + n° 10 : 0,50</t>
        </is>
      </c>
      <c r="H2313" t="n">
        <v>1</v>
      </c>
    </row>
    <row r="2314">
      <c r="A2314" t="inlineStr">
        <is>
          <t>2023-2024</t>
        </is>
      </c>
      <c r="B2314" t="inlineStr">
        <is>
          <t>2023-07-16</t>
        </is>
      </c>
      <c r="C2314" t="inlineStr">
        <is>
          <t>13:01</t>
        </is>
      </c>
      <c r="D2314" t="inlineStr">
        <is>
          <t>n° 9 + n° 10</t>
        </is>
      </c>
      <c r="E2314" t="inlineStr">
        <is>
          <t>PICHET ROSE</t>
        </is>
      </c>
      <c r="F2314" t="n">
        <v>10.5</v>
      </c>
      <c r="G2314" t="inlineStr">
        <is>
          <t>n° 9 : 0,50 + n° 10 : 0,50</t>
        </is>
      </c>
      <c r="H2314" t="n">
        <v>1</v>
      </c>
    </row>
    <row r="2315">
      <c r="A2315" t="inlineStr">
        <is>
          <t>2023-2024</t>
        </is>
      </c>
      <c r="B2315" t="inlineStr">
        <is>
          <t>2023-07-16</t>
        </is>
      </c>
      <c r="C2315" t="inlineStr">
        <is>
          <t>13:01</t>
        </is>
      </c>
      <c r="D2315" t="inlineStr">
        <is>
          <t>n° 9 + n° 10</t>
        </is>
      </c>
      <c r="E2315" t="inlineStr">
        <is>
          <t>Sol</t>
        </is>
      </c>
      <c r="F2315" t="n">
        <v>9</v>
      </c>
      <c r="G2315" t="inlineStr">
        <is>
          <t>n° 9 : 0,50 + n° 10 : 0,50</t>
        </is>
      </c>
      <c r="H2315" t="n">
        <v>1</v>
      </c>
    </row>
    <row r="2316">
      <c r="A2316" t="inlineStr">
        <is>
          <t>2023-2024</t>
        </is>
      </c>
      <c r="B2316" t="inlineStr">
        <is>
          <t>2023-07-16</t>
        </is>
      </c>
      <c r="C2316" t="inlineStr">
        <is>
          <t>13:17</t>
        </is>
      </c>
      <c r="D2316" t="inlineStr">
        <is>
          <t>n° 13 + n° 14</t>
        </is>
      </c>
      <c r="E2316" t="inlineStr">
        <is>
          <t>Verre Rosé</t>
        </is>
      </c>
      <c r="F2316" t="n">
        <v>3.9</v>
      </c>
      <c r="G2316" t="inlineStr">
        <is>
          <t>n° 13 : 0,50 + n° 14 : 0,50</t>
        </is>
      </c>
      <c r="H2316" t="n">
        <v>1</v>
      </c>
    </row>
    <row r="2317">
      <c r="A2317" t="inlineStr">
        <is>
          <t>2023-2024</t>
        </is>
      </c>
      <c r="B2317" t="inlineStr">
        <is>
          <t>2023-07-16</t>
        </is>
      </c>
      <c r="C2317" t="inlineStr">
        <is>
          <t>19:17</t>
        </is>
      </c>
      <c r="D2317" t="inlineStr">
        <is>
          <t>n° 22 + n° 23</t>
        </is>
      </c>
      <c r="E2317" t="inlineStr">
        <is>
          <t>FRELEE</t>
        </is>
      </c>
      <c r="F2317" t="n">
        <v>19.6</v>
      </c>
      <c r="G2317" t="inlineStr">
        <is>
          <t>n° 22 : 0,50 + n° 23 : 0,50</t>
        </is>
      </c>
      <c r="H2317" t="n">
        <v>1</v>
      </c>
    </row>
    <row r="2318">
      <c r="A2318" t="inlineStr">
        <is>
          <t>2023-2024</t>
        </is>
      </c>
      <c r="B2318" t="inlineStr">
        <is>
          <t>2023-07-16</t>
        </is>
      </c>
      <c r="C2318" t="inlineStr">
        <is>
          <t>19:17</t>
        </is>
      </c>
      <c r="D2318" t="inlineStr">
        <is>
          <t>n° 22 + n° 23</t>
        </is>
      </c>
      <c r="E2318" t="inlineStr">
        <is>
          <t>TANTELIN</t>
        </is>
      </c>
      <c r="F2318" t="n">
        <v>17.4</v>
      </c>
      <c r="G2318" t="inlineStr">
        <is>
          <t>n° 22 : 0,50 + n° 23 : 0,50</t>
        </is>
      </c>
      <c r="H2318" t="n">
        <v>1</v>
      </c>
    </row>
    <row r="2319">
      <c r="A2319" t="inlineStr">
        <is>
          <t>2023-2024</t>
        </is>
      </c>
      <c r="B2319" t="inlineStr">
        <is>
          <t>2023-07-16</t>
        </is>
      </c>
      <c r="C2319" t="inlineStr">
        <is>
          <t>19:17</t>
        </is>
      </c>
      <c r="D2319" t="inlineStr">
        <is>
          <t>n° 22 + n° 23</t>
        </is>
      </c>
      <c r="E2319" t="inlineStr">
        <is>
          <t>VIN PAILLE</t>
        </is>
      </c>
      <c r="F2319" t="n">
        <v>6.9</v>
      </c>
      <c r="G2319" t="inlineStr">
        <is>
          <t>n° 22 : 0,50 + n° 23 : 0,50</t>
        </is>
      </c>
      <c r="H2319" t="n">
        <v>1</v>
      </c>
    </row>
    <row r="2320">
      <c r="A2320" t="inlineStr">
        <is>
          <t>2023-2024</t>
        </is>
      </c>
      <c r="B2320" t="inlineStr">
        <is>
          <t>2023-07-16</t>
        </is>
      </c>
      <c r="C2320" t="inlineStr">
        <is>
          <t>19:17</t>
        </is>
      </c>
      <c r="D2320" t="inlineStr">
        <is>
          <t>n° 22 + n° 23</t>
        </is>
      </c>
      <c r="E2320" t="inlineStr">
        <is>
          <t>Crêpe Salidou</t>
        </is>
      </c>
      <c r="F2320" t="n">
        <v>6.4</v>
      </c>
      <c r="G2320" t="inlineStr">
        <is>
          <t>n° 22 : 0,50 + n° 23 : 0,50</t>
        </is>
      </c>
      <c r="H2320" t="n">
        <v>1</v>
      </c>
    </row>
    <row r="2321">
      <c r="A2321" t="inlineStr">
        <is>
          <t>2023-2024</t>
        </is>
      </c>
      <c r="B2321" t="inlineStr">
        <is>
          <t>2023-07-16</t>
        </is>
      </c>
      <c r="C2321" t="inlineStr">
        <is>
          <t>19:17</t>
        </is>
      </c>
      <c r="D2321" t="inlineStr">
        <is>
          <t>n° 22 + n° 23</t>
        </is>
      </c>
      <c r="E2321" t="inlineStr">
        <is>
          <t>Crepe Chocolat</t>
        </is>
      </c>
      <c r="F2321" t="n">
        <v>5.9</v>
      </c>
      <c r="G2321" t="inlineStr">
        <is>
          <t>n° 22 : 0,50 + n° 23 : 0,50</t>
        </is>
      </c>
      <c r="H2321" t="n">
        <v>1</v>
      </c>
    </row>
    <row r="2322">
      <c r="A2322" t="inlineStr">
        <is>
          <t>2023-2024</t>
        </is>
      </c>
      <c r="B2322" t="inlineStr">
        <is>
          <t>2023-07-16</t>
        </is>
      </c>
      <c r="C2322" t="inlineStr">
        <is>
          <t>19:17</t>
        </is>
      </c>
      <c r="D2322" t="inlineStr">
        <is>
          <t>n° 22 + n° 23</t>
        </is>
      </c>
      <c r="E2322" t="inlineStr">
        <is>
          <t>KITTYKIR</t>
        </is>
      </c>
      <c r="F2322" t="n">
        <v>5.2</v>
      </c>
      <c r="G2322" t="inlineStr">
        <is>
          <t>n° 22 : 0,50 + n° 23 : 0,50</t>
        </is>
      </c>
      <c r="H2322" t="n">
        <v>1</v>
      </c>
    </row>
    <row r="2323">
      <c r="A2323" t="inlineStr">
        <is>
          <t>2023-2024</t>
        </is>
      </c>
      <c r="B2323" t="inlineStr">
        <is>
          <t>2023-07-16</t>
        </is>
      </c>
      <c r="C2323" t="inlineStr">
        <is>
          <t>19:17</t>
        </is>
      </c>
      <c r="D2323" t="inlineStr">
        <is>
          <t>n° 22 + n° 23</t>
        </is>
      </c>
      <c r="E2323" t="inlineStr">
        <is>
          <t>Pommes cuites</t>
        </is>
      </c>
      <c r="F2323" t="n">
        <v>3.2</v>
      </c>
      <c r="G2323" t="inlineStr">
        <is>
          <t>n° 22 : 0,50 + n° 23 : 0,50</t>
        </is>
      </c>
      <c r="H2323" t="n">
        <v>1</v>
      </c>
    </row>
    <row r="2324">
      <c r="A2324" t="inlineStr">
        <is>
          <t>2023-2024</t>
        </is>
      </c>
      <c r="B2324" t="inlineStr">
        <is>
          <t>2023-07-16</t>
        </is>
      </c>
      <c r="C2324" t="inlineStr">
        <is>
          <t>20:15</t>
        </is>
      </c>
      <c r="D2324" t="inlineStr">
        <is>
          <t>n° 32 + n° 33</t>
        </is>
      </c>
      <c r="E2324" t="inlineStr">
        <is>
          <t>Poulet aux Morilles</t>
        </is>
      </c>
      <c r="F2324" t="n">
        <v>28.6</v>
      </c>
      <c r="G2324" t="inlineStr">
        <is>
          <t>n° 32 : 0,50 + n° 33 : 0,50</t>
        </is>
      </c>
      <c r="H2324" t="n">
        <v>1</v>
      </c>
    </row>
    <row r="2325">
      <c r="A2325" t="inlineStr">
        <is>
          <t>2023-2024</t>
        </is>
      </c>
      <c r="B2325" t="inlineStr">
        <is>
          <t>2023-07-16</t>
        </is>
      </c>
      <c r="C2325" t="inlineStr">
        <is>
          <t>20:15</t>
        </is>
      </c>
      <c r="D2325" t="inlineStr">
        <is>
          <t>n° 32 + n° 33</t>
        </is>
      </c>
      <c r="E2325" t="inlineStr">
        <is>
          <t>CAMEMBERT ROTI</t>
        </is>
      </c>
      <c r="F2325" t="n">
        <v>18.6</v>
      </c>
      <c r="G2325" t="inlineStr">
        <is>
          <t>n° 32 : 0,50 + n° 33 : 0,50</t>
        </is>
      </c>
      <c r="H2325" t="n">
        <v>1</v>
      </c>
    </row>
    <row r="2326">
      <c r="A2326" t="inlineStr">
        <is>
          <t>2023-2024</t>
        </is>
      </c>
      <c r="B2326" t="inlineStr">
        <is>
          <t>2023-07-16</t>
        </is>
      </c>
      <c r="C2326" t="inlineStr">
        <is>
          <t>20:15</t>
        </is>
      </c>
      <c r="D2326" t="inlineStr">
        <is>
          <t>n° 32 + n° 33</t>
        </is>
      </c>
      <c r="E2326" t="inlineStr">
        <is>
          <t>Saucisse de Morteau</t>
        </is>
      </c>
      <c r="F2326" t="n">
        <v>8.9</v>
      </c>
      <c r="G2326" t="inlineStr">
        <is>
          <t>n° 32 : 0,50 + n° 33 : 0,50</t>
        </is>
      </c>
      <c r="H2326" t="n">
        <v>1</v>
      </c>
    </row>
    <row r="2327">
      <c r="A2327" t="inlineStr">
        <is>
          <t>2023-2024</t>
        </is>
      </c>
      <c r="B2327" t="inlineStr">
        <is>
          <t>2023-07-19</t>
        </is>
      </c>
      <c r="C2327" t="inlineStr">
        <is>
          <t>20:42</t>
        </is>
      </c>
      <c r="D2327" t="inlineStr">
        <is>
          <t>n° 29 + n° 30</t>
        </is>
      </c>
      <c r="E2327" t="inlineStr">
        <is>
          <t>BURGER COMTOIS</t>
        </is>
      </c>
      <c r="F2327" t="n">
        <v>19</v>
      </c>
      <c r="G2327" t="inlineStr">
        <is>
          <t>n° 29 : 0,50 + n° 30 : 0,50</t>
        </is>
      </c>
      <c r="H2327" t="n">
        <v>1</v>
      </c>
    </row>
    <row r="2328">
      <c r="A2328" t="inlineStr">
        <is>
          <t>2023-2024</t>
        </is>
      </c>
      <c r="B2328" t="inlineStr">
        <is>
          <t>2023-07-19</t>
        </is>
      </c>
      <c r="C2328" t="inlineStr">
        <is>
          <t>20:42</t>
        </is>
      </c>
      <c r="D2328" t="inlineStr">
        <is>
          <t>n° 29 + n° 30</t>
        </is>
      </c>
      <c r="E2328" t="inlineStr">
        <is>
          <t>LIGOUSE</t>
        </is>
      </c>
      <c r="F2328" t="n">
        <v>16.6</v>
      </c>
      <c r="G2328" t="inlineStr">
        <is>
          <t>n° 29 : 0,50 + n° 30 : 0,50</t>
        </is>
      </c>
      <c r="H2328" t="n">
        <v>1</v>
      </c>
    </row>
    <row r="2329">
      <c r="A2329" t="inlineStr">
        <is>
          <t>2023-2024</t>
        </is>
      </c>
      <c r="B2329" t="inlineStr">
        <is>
          <t>2023-07-19</t>
        </is>
      </c>
      <c r="C2329" t="inlineStr">
        <is>
          <t>20:42</t>
        </is>
      </c>
      <c r="D2329" t="inlineStr">
        <is>
          <t>n° 29 + n° 30</t>
        </is>
      </c>
      <c r="E2329" t="inlineStr">
        <is>
          <t>Crêpe Salidou</t>
        </is>
      </c>
      <c r="F2329" t="n">
        <v>6.4</v>
      </c>
      <c r="G2329" t="inlineStr">
        <is>
          <t>n° 29 : 0,50 + n° 30 : 0,50</t>
        </is>
      </c>
      <c r="H2329" t="n">
        <v>1</v>
      </c>
    </row>
    <row r="2330">
      <c r="A2330" t="inlineStr">
        <is>
          <t>2023-2024</t>
        </is>
      </c>
      <c r="B2330" t="inlineStr">
        <is>
          <t>2023-07-19</t>
        </is>
      </c>
      <c r="C2330" t="inlineStr">
        <is>
          <t>20:42</t>
        </is>
      </c>
      <c r="D2330" t="inlineStr">
        <is>
          <t>n° 29 + n° 30</t>
        </is>
      </c>
      <c r="E2330" t="inlineStr">
        <is>
          <t>Expresso</t>
        </is>
      </c>
      <c r="F2330" t="n">
        <v>2.2</v>
      </c>
      <c r="G2330" t="inlineStr">
        <is>
          <t>n° 29 : 0,50 + n° 30 : 0,50</t>
        </is>
      </c>
      <c r="H2330" t="n">
        <v>1</v>
      </c>
    </row>
    <row r="2331">
      <c r="A2331" t="inlineStr">
        <is>
          <t>2023-2024</t>
        </is>
      </c>
      <c r="B2331" t="inlineStr">
        <is>
          <t>2023-07-21</t>
        </is>
      </c>
      <c r="C2331" t="inlineStr">
        <is>
          <t>12:54</t>
        </is>
      </c>
      <c r="D2331" t="inlineStr">
        <is>
          <t>n° 11 + n° 12 + n° 14 + n° 15</t>
        </is>
      </c>
      <c r="E2331" t="inlineStr">
        <is>
          <t>MACHON GOURMET</t>
        </is>
      </c>
      <c r="F2331" t="n">
        <v>25</v>
      </c>
      <c r="G2331" t="inlineStr">
        <is>
          <t>n° 11 : 1,50 + n° 12 : 1,50</t>
        </is>
      </c>
      <c r="H2331" t="n">
        <v>3</v>
      </c>
    </row>
    <row r="2332">
      <c r="A2332" t="inlineStr">
        <is>
          <t>2023-2024</t>
        </is>
      </c>
      <c r="B2332" t="inlineStr">
        <is>
          <t>2023-07-21</t>
        </is>
      </c>
      <c r="C2332" t="inlineStr">
        <is>
          <t>12:54</t>
        </is>
      </c>
      <c r="D2332" t="inlineStr">
        <is>
          <t>n° 11 + n° 12 + n° 14 + n° 15</t>
        </is>
      </c>
      <c r="E2332" t="inlineStr">
        <is>
          <t>Menu 'Galette'</t>
        </is>
      </c>
      <c r="F2332" t="n">
        <v>19.5</v>
      </c>
      <c r="G2332" t="inlineStr">
        <is>
          <t>n° 14 : 0,50 + n° 15 : 0,50</t>
        </is>
      </c>
      <c r="H2332" t="n">
        <v>1</v>
      </c>
    </row>
    <row r="2333">
      <c r="A2333" t="inlineStr">
        <is>
          <t>2023-2024</t>
        </is>
      </c>
      <c r="B2333" t="inlineStr">
        <is>
          <t>2023-07-21</t>
        </is>
      </c>
      <c r="C2333" t="inlineStr">
        <is>
          <t>12:54</t>
        </is>
      </c>
      <c r="D2333" t="inlineStr">
        <is>
          <t>n° 11 + n° 12 + n° 14 + n° 15</t>
        </is>
      </c>
      <c r="E2333" t="inlineStr">
        <is>
          <t>MORTEAU GRILLEE</t>
        </is>
      </c>
      <c r="F2333" t="n">
        <v>18.6</v>
      </c>
      <c r="G2333" t="inlineStr">
        <is>
          <t>n° 11 : 0,50 + n° 12 : 0,50</t>
        </is>
      </c>
      <c r="H2333" t="n">
        <v>1</v>
      </c>
    </row>
    <row r="2334">
      <c r="A2334" t="inlineStr">
        <is>
          <t>2023-2024</t>
        </is>
      </c>
      <c r="B2334" t="inlineStr">
        <is>
          <t>2023-07-21</t>
        </is>
      </c>
      <c r="C2334" t="inlineStr">
        <is>
          <t>12:54</t>
        </is>
      </c>
      <c r="D2334" t="inlineStr">
        <is>
          <t>n° 11 + n° 12 + n° 14 + n° 15</t>
        </is>
      </c>
      <c r="E2334" t="inlineStr">
        <is>
          <t>TRUITE PESTO</t>
        </is>
      </c>
      <c r="F2334" t="n">
        <v>16.9</v>
      </c>
      <c r="G2334" t="inlineStr">
        <is>
          <t>n° 14 : 0,50 + n° 15 : 0,50</t>
        </is>
      </c>
      <c r="H2334" t="n">
        <v>1</v>
      </c>
    </row>
    <row r="2335">
      <c r="A2335" t="inlineStr">
        <is>
          <t>2023-2024</t>
        </is>
      </c>
      <c r="B2335" t="inlineStr">
        <is>
          <t>2023-07-21</t>
        </is>
      </c>
      <c r="C2335" t="inlineStr">
        <is>
          <t>12:54</t>
        </is>
      </c>
      <c r="D2335" t="inlineStr">
        <is>
          <t>n° 11 + n° 12 + n° 14 + n° 15</t>
        </is>
      </c>
      <c r="E2335" t="inlineStr">
        <is>
          <t>PICHET ROSE</t>
        </is>
      </c>
      <c r="F2335" t="n">
        <v>10.5</v>
      </c>
      <c r="G2335" t="inlineStr">
        <is>
          <t>n° 11 : 0,50 + n° 12 : 0,50</t>
        </is>
      </c>
      <c r="H2335" t="n">
        <v>1</v>
      </c>
    </row>
    <row r="2336">
      <c r="A2336" t="inlineStr">
        <is>
          <t>2023-2024</t>
        </is>
      </c>
      <c r="B2336" t="inlineStr">
        <is>
          <t>2023-07-21</t>
        </is>
      </c>
      <c r="C2336" t="inlineStr">
        <is>
          <t>12:54</t>
        </is>
      </c>
      <c r="D2336" t="inlineStr">
        <is>
          <t>n° 11 + n° 12 + n° 14 + n° 15</t>
        </is>
      </c>
      <c r="E2336" t="inlineStr">
        <is>
          <t>Expresso</t>
        </is>
      </c>
      <c r="F2336" t="n">
        <v>2.2</v>
      </c>
      <c r="G2336" t="inlineStr">
        <is>
          <t>n° 11 : 2,00 + n° 12 : 2,00 + n° 14 : 0,50 + n° 15 : 0,50</t>
        </is>
      </c>
      <c r="H2336" t="n">
        <v>5</v>
      </c>
    </row>
    <row r="2337">
      <c r="A2337" t="inlineStr">
        <is>
          <t>2023-2024</t>
        </is>
      </c>
      <c r="B2337" t="inlineStr">
        <is>
          <t>2023-07-22</t>
        </is>
      </c>
      <c r="C2337" t="inlineStr">
        <is>
          <t>21:13</t>
        </is>
      </c>
      <c r="D2337" t="inlineStr">
        <is>
          <t>n° 38 + n° 39 + n° 41 + n° 42</t>
        </is>
      </c>
      <c r="E2337" t="inlineStr">
        <is>
          <t>PICHET HCB</t>
        </is>
      </c>
      <c r="F2337" t="n">
        <v>32</v>
      </c>
      <c r="G2337" t="inlineStr">
        <is>
          <t>n° 41 : 0,50 + n° 42 : 0,50</t>
        </is>
      </c>
      <c r="H2337" t="n">
        <v>1</v>
      </c>
    </row>
    <row r="2338">
      <c r="A2338" t="inlineStr">
        <is>
          <t>2023-2024</t>
        </is>
      </c>
      <c r="B2338" t="inlineStr">
        <is>
          <t>2023-07-22</t>
        </is>
      </c>
      <c r="C2338" t="inlineStr">
        <is>
          <t>21:13</t>
        </is>
      </c>
      <c r="D2338" t="inlineStr">
        <is>
          <t>n° 38 + n° 39 + n° 41 + n° 42</t>
        </is>
      </c>
      <c r="E2338" t="inlineStr">
        <is>
          <t>PICHET MOULIN A VENT</t>
        </is>
      </c>
      <c r="F2338" t="n">
        <v>26</v>
      </c>
      <c r="G2338" t="inlineStr">
        <is>
          <t>n° 38 : 0,50 + n° 39 : 0,50</t>
        </is>
      </c>
      <c r="H2338" t="n">
        <v>1</v>
      </c>
    </row>
    <row r="2339">
      <c r="A2339" t="inlineStr">
        <is>
          <t>2023-2024</t>
        </is>
      </c>
      <c r="B2339" t="inlineStr">
        <is>
          <t>2023-07-22</t>
        </is>
      </c>
      <c r="C2339" t="inlineStr">
        <is>
          <t>21:13</t>
        </is>
      </c>
      <c r="D2339" t="inlineStr">
        <is>
          <t>n° 38 + n° 39 + n° 41 + n° 42</t>
        </is>
      </c>
      <c r="E2339" t="inlineStr">
        <is>
          <t>BURGER COMTOIS</t>
        </is>
      </c>
      <c r="F2339" t="n">
        <v>19</v>
      </c>
      <c r="G2339" t="inlineStr">
        <is>
          <t>n° 41 : 0,50 + n° 42 : 0,50</t>
        </is>
      </c>
      <c r="H2339" t="n">
        <v>1</v>
      </c>
    </row>
    <row r="2340">
      <c r="A2340" t="inlineStr">
        <is>
          <t>2023-2024</t>
        </is>
      </c>
      <c r="B2340" t="inlineStr">
        <is>
          <t>2023-07-22</t>
        </is>
      </c>
      <c r="C2340" t="inlineStr">
        <is>
          <t>21:13</t>
        </is>
      </c>
      <c r="D2340" t="inlineStr">
        <is>
          <t>n° 38 + n° 39 + n° 41 + n° 42</t>
        </is>
      </c>
      <c r="E2340" t="inlineStr">
        <is>
          <t>CAMEMBERT ROTI</t>
        </is>
      </c>
      <c r="F2340" t="n">
        <v>18.6</v>
      </c>
      <c r="G2340" t="inlineStr">
        <is>
          <t>n° 41 : 0,50 + n° 42 : 0,50</t>
        </is>
      </c>
      <c r="H2340" t="n">
        <v>1</v>
      </c>
    </row>
    <row r="2341">
      <c r="A2341" t="inlineStr">
        <is>
          <t>2023-2024</t>
        </is>
      </c>
      <c r="B2341" t="inlineStr">
        <is>
          <t>2023-07-22</t>
        </is>
      </c>
      <c r="C2341" t="inlineStr">
        <is>
          <t>21:13</t>
        </is>
      </c>
      <c r="D2341" t="inlineStr">
        <is>
          <t>n° 38 + n° 39 + n° 41 + n° 42</t>
        </is>
      </c>
      <c r="E2341" t="inlineStr">
        <is>
          <t>Escargots de Bourgog</t>
        </is>
      </c>
      <c r="F2341" t="n">
        <v>8</v>
      </c>
      <c r="G2341" t="inlineStr">
        <is>
          <t>n° 38 : 0,50 + n° 39 : 0,50</t>
        </is>
      </c>
      <c r="H2341" t="n">
        <v>1</v>
      </c>
    </row>
    <row r="2342">
      <c r="A2342" t="inlineStr">
        <is>
          <t>2023-2024</t>
        </is>
      </c>
      <c r="B2342" t="inlineStr">
        <is>
          <t>2023-07-22</t>
        </is>
      </c>
      <c r="C2342" t="inlineStr">
        <is>
          <t>21:13</t>
        </is>
      </c>
      <c r="D2342" t="inlineStr">
        <is>
          <t>n° 38 + n° 39 + n° 41 + n° 42</t>
        </is>
      </c>
      <c r="E2342" t="inlineStr">
        <is>
          <t>PASSION</t>
        </is>
      </c>
      <c r="F2342" t="n">
        <v>7.3</v>
      </c>
      <c r="G2342" t="inlineStr">
        <is>
          <t>n° 38 : 0,50 + n° 39 : 0,50</t>
        </is>
      </c>
      <c r="H2342" t="n">
        <v>1</v>
      </c>
    </row>
    <row r="2343">
      <c r="A2343" t="inlineStr">
        <is>
          <t>2023-2024</t>
        </is>
      </c>
      <c r="B2343" t="inlineStr">
        <is>
          <t>2023-07-22</t>
        </is>
      </c>
      <c r="C2343" t="inlineStr">
        <is>
          <t>21:13</t>
        </is>
      </c>
      <c r="D2343" t="inlineStr">
        <is>
          <t>n° 38 + n° 39 + n° 41 + n° 42</t>
        </is>
      </c>
      <c r="E2343" t="inlineStr">
        <is>
          <t>Jamhon Persillé</t>
        </is>
      </c>
      <c r="F2343" t="n">
        <v>7.2</v>
      </c>
      <c r="G2343" t="inlineStr">
        <is>
          <t>n° 38 : 0,50 + n° 39 : 0,50</t>
        </is>
      </c>
      <c r="H2343" t="n">
        <v>1</v>
      </c>
    </row>
    <row r="2344">
      <c r="A2344" t="inlineStr">
        <is>
          <t>2023-2024</t>
        </is>
      </c>
      <c r="B2344" t="inlineStr">
        <is>
          <t>2023-07-22</t>
        </is>
      </c>
      <c r="C2344" t="inlineStr">
        <is>
          <t>21:13</t>
        </is>
      </c>
      <c r="D2344" t="inlineStr">
        <is>
          <t>n° 38 + n° 39 + n° 41 + n° 42</t>
        </is>
      </c>
      <c r="E2344" t="inlineStr">
        <is>
          <t>Liqueur de Sapin</t>
        </is>
      </c>
      <c r="F2344" t="n">
        <v>6.5</v>
      </c>
      <c r="G2344" t="inlineStr">
        <is>
          <t>n° 38 : 0,50 + n° 39 : 0,50</t>
        </is>
      </c>
      <c r="H2344" t="n">
        <v>1</v>
      </c>
    </row>
    <row r="2345">
      <c r="A2345" t="inlineStr">
        <is>
          <t>2023-2024</t>
        </is>
      </c>
      <c r="B2345" t="inlineStr">
        <is>
          <t>2023-07-22</t>
        </is>
      </c>
      <c r="C2345" t="inlineStr">
        <is>
          <t>21:13</t>
        </is>
      </c>
      <c r="D2345" t="inlineStr">
        <is>
          <t>n° 38 + n° 39 + n° 41 + n° 42</t>
        </is>
      </c>
      <c r="E2345" t="inlineStr">
        <is>
          <t>Picon bière</t>
        </is>
      </c>
      <c r="F2345" t="n">
        <v>4.8</v>
      </c>
      <c r="G2345" t="inlineStr">
        <is>
          <t>n° 41 : 0,50 + n° 42 : 0,50</t>
        </is>
      </c>
      <c r="H2345" t="n">
        <v>1</v>
      </c>
    </row>
    <row r="2346">
      <c r="A2346" t="inlineStr">
        <is>
          <t>2023-2024</t>
        </is>
      </c>
      <c r="B2346" t="inlineStr">
        <is>
          <t>2023-07-22</t>
        </is>
      </c>
      <c r="C2346" t="inlineStr">
        <is>
          <t>21:13</t>
        </is>
      </c>
      <c r="D2346" t="inlineStr">
        <is>
          <t>n° 38 + n° 39 + n° 41 + n° 42</t>
        </is>
      </c>
      <c r="E2346" t="inlineStr">
        <is>
          <t>Monaco</t>
        </is>
      </c>
      <c r="F2346" t="n">
        <v>4.2</v>
      </c>
      <c r="G2346" t="inlineStr">
        <is>
          <t>n° 41 : 0,50 + n° 42 : 0,50</t>
        </is>
      </c>
      <c r="H2346" t="n">
        <v>1</v>
      </c>
    </row>
    <row r="2347">
      <c r="A2347" t="inlineStr">
        <is>
          <t>2023-2024</t>
        </is>
      </c>
      <c r="B2347" t="inlineStr">
        <is>
          <t>2023-07-22</t>
        </is>
      </c>
      <c r="C2347" t="inlineStr">
        <is>
          <t>21:13</t>
        </is>
      </c>
      <c r="D2347" t="inlineStr">
        <is>
          <t>n° 38 + n° 39 + n° 41 + n° 42</t>
        </is>
      </c>
      <c r="E2347" t="inlineStr">
        <is>
          <t>Expresso</t>
        </is>
      </c>
      <c r="F2347" t="n">
        <v>2.2</v>
      </c>
      <c r="G2347" t="inlineStr">
        <is>
          <t>n° 38 : 1,00 + n° 39 : 1,00 + n° 41 : 0,50 + n° 42 : 0,50</t>
        </is>
      </c>
      <c r="H2347" t="n">
        <v>3</v>
      </c>
    </row>
    <row r="2348">
      <c r="A2348" t="inlineStr">
        <is>
          <t>2023-2024</t>
        </is>
      </c>
      <c r="B2348" t="inlineStr">
        <is>
          <t>2023-07-23</t>
        </is>
      </c>
      <c r="C2348" t="inlineStr">
        <is>
          <t>13:23</t>
        </is>
      </c>
      <c r="D2348" t="inlineStr">
        <is>
          <t>n° 16 + n° 17</t>
        </is>
      </c>
      <c r="E2348" t="inlineStr">
        <is>
          <t>Menu 'Demi Lune'</t>
        </is>
      </c>
      <c r="F2348" t="n">
        <v>45</v>
      </c>
      <c r="G2348" t="inlineStr">
        <is>
          <t>n° 16 : 0,50 + n° 17 : 0,50</t>
        </is>
      </c>
      <c r="H2348" t="n">
        <v>1</v>
      </c>
    </row>
    <row r="2349">
      <c r="A2349" t="inlineStr">
        <is>
          <t>2023-2024</t>
        </is>
      </c>
      <c r="B2349" t="inlineStr">
        <is>
          <t>2023-07-23</t>
        </is>
      </c>
      <c r="C2349" t="inlineStr">
        <is>
          <t>13:23</t>
        </is>
      </c>
      <c r="D2349" t="inlineStr">
        <is>
          <t>n° 16 + n° 17</t>
        </is>
      </c>
      <c r="E2349" t="inlineStr">
        <is>
          <t>Menu Franc-Comtois</t>
        </is>
      </c>
      <c r="F2349" t="n">
        <v>34</v>
      </c>
      <c r="G2349" t="inlineStr">
        <is>
          <t>n° 16 : 0,50 + n° 17 : 0,50</t>
        </is>
      </c>
      <c r="H2349" t="n">
        <v>1</v>
      </c>
    </row>
    <row r="2350">
      <c r="A2350" t="inlineStr">
        <is>
          <t>2023-2024</t>
        </is>
      </c>
      <c r="B2350" t="inlineStr">
        <is>
          <t>2023-07-26</t>
        </is>
      </c>
      <c r="C2350" t="inlineStr">
        <is>
          <t>12:00</t>
        </is>
      </c>
      <c r="D2350" t="inlineStr">
        <is>
          <t>n° 8 + n° 9</t>
        </is>
      </c>
      <c r="E2350" t="inlineStr">
        <is>
          <t>POULET JURASSIENNE</t>
        </is>
      </c>
      <c r="F2350" t="n">
        <v>18.6</v>
      </c>
      <c r="G2350" t="inlineStr">
        <is>
          <t>n° 8 : 0,50 + n° 9 : 0,50</t>
        </is>
      </c>
      <c r="H2350" t="n">
        <v>1</v>
      </c>
    </row>
    <row r="2351">
      <c r="A2351" t="inlineStr">
        <is>
          <t>2023-2024</t>
        </is>
      </c>
      <c r="B2351" t="inlineStr">
        <is>
          <t>2023-07-26</t>
        </is>
      </c>
      <c r="C2351" t="inlineStr">
        <is>
          <t>12:00</t>
        </is>
      </c>
      <c r="D2351" t="inlineStr">
        <is>
          <t>n° 8 + n° 9</t>
        </is>
      </c>
      <c r="E2351" t="inlineStr">
        <is>
          <t>ASSIETTE VEGAN</t>
        </is>
      </c>
      <c r="F2351" t="n">
        <v>14</v>
      </c>
      <c r="G2351" t="inlineStr">
        <is>
          <t>n° 8 : 0,50 + n° 9 : 0,50</t>
        </is>
      </c>
      <c r="H2351" t="n">
        <v>1</v>
      </c>
    </row>
    <row r="2352">
      <c r="A2352" t="inlineStr">
        <is>
          <t>2023-2024</t>
        </is>
      </c>
      <c r="B2352" t="inlineStr">
        <is>
          <t>2023-07-26</t>
        </is>
      </c>
      <c r="C2352" t="inlineStr">
        <is>
          <t>12:00</t>
        </is>
      </c>
      <c r="D2352" t="inlineStr">
        <is>
          <t>n° 8 + n° 9</t>
        </is>
      </c>
      <c r="E2352" t="inlineStr">
        <is>
          <t>Crêpe Nutella</t>
        </is>
      </c>
      <c r="F2352" t="n">
        <v>4.9</v>
      </c>
      <c r="G2352" t="inlineStr">
        <is>
          <t>n° 8 : 0,50 + n° 9 : 0,50</t>
        </is>
      </c>
      <c r="H2352" t="n">
        <v>1</v>
      </c>
    </row>
    <row r="2353">
      <c r="A2353" t="inlineStr">
        <is>
          <t>2023-2024</t>
        </is>
      </c>
      <c r="B2353" t="inlineStr">
        <is>
          <t>2023-07-26</t>
        </is>
      </c>
      <c r="C2353" t="inlineStr">
        <is>
          <t>12:00</t>
        </is>
      </c>
      <c r="D2353" t="inlineStr">
        <is>
          <t>n° 8 + n° 9</t>
        </is>
      </c>
      <c r="E2353" t="inlineStr">
        <is>
          <t>Crêpe nature</t>
        </is>
      </c>
      <c r="F2353" t="n">
        <v>3.9</v>
      </c>
      <c r="G2353" t="inlineStr">
        <is>
          <t>n° 8 : 0,50 + n° 9 : 0,50</t>
        </is>
      </c>
      <c r="H2353" t="n">
        <v>1</v>
      </c>
    </row>
    <row r="2354">
      <c r="A2354" t="inlineStr">
        <is>
          <t>2023-2024</t>
        </is>
      </c>
      <c r="B2354" t="inlineStr">
        <is>
          <t>2023-07-26</t>
        </is>
      </c>
      <c r="C2354" t="inlineStr">
        <is>
          <t>12:00</t>
        </is>
      </c>
      <c r="D2354" t="inlineStr">
        <is>
          <t>n° 8 + n° 9</t>
        </is>
      </c>
      <c r="E2354" t="inlineStr">
        <is>
          <t>Chocolat Blanc</t>
        </is>
      </c>
      <c r="F2354" t="n">
        <v>2</v>
      </c>
      <c r="G2354" t="inlineStr">
        <is>
          <t>n° 8 : 0,50 + n° 9 : 0,50</t>
        </is>
      </c>
      <c r="H2354" t="n">
        <v>1</v>
      </c>
    </row>
    <row r="2355">
      <c r="A2355" t="inlineStr">
        <is>
          <t>2023-2024</t>
        </is>
      </c>
      <c r="B2355" t="inlineStr">
        <is>
          <t>2023-07-26</t>
        </is>
      </c>
      <c r="C2355" t="inlineStr">
        <is>
          <t>19:09</t>
        </is>
      </c>
      <c r="D2355" t="inlineStr">
        <is>
          <t>n° 26 + n° 27</t>
        </is>
      </c>
      <c r="E2355" t="inlineStr">
        <is>
          <t>Entrecôte grillée</t>
        </is>
      </c>
      <c r="F2355" t="n">
        <v>19.9</v>
      </c>
      <c r="G2355" t="inlineStr">
        <is>
          <t>n° 26 : 0,50 + n° 27 : 0,50</t>
        </is>
      </c>
      <c r="H2355" t="n">
        <v>1</v>
      </c>
    </row>
    <row r="2356">
      <c r="A2356" t="inlineStr">
        <is>
          <t>2023-2024</t>
        </is>
      </c>
      <c r="B2356" t="inlineStr">
        <is>
          <t>2023-07-26</t>
        </is>
      </c>
      <c r="C2356" t="inlineStr">
        <is>
          <t>19:09</t>
        </is>
      </c>
      <c r="D2356" t="inlineStr">
        <is>
          <t>n° 26 + n° 27</t>
        </is>
      </c>
      <c r="E2356" t="inlineStr">
        <is>
          <t>TRUITE PESTO</t>
        </is>
      </c>
      <c r="F2356" t="n">
        <v>16.9</v>
      </c>
      <c r="G2356" t="inlineStr">
        <is>
          <t>n° 26 : 0,50 + n° 27 : 0,50</t>
        </is>
      </c>
      <c r="H2356" t="n">
        <v>1</v>
      </c>
    </row>
    <row r="2357">
      <c r="A2357" t="inlineStr">
        <is>
          <t>2023-2024</t>
        </is>
      </c>
      <c r="B2357" t="inlineStr">
        <is>
          <t>2023-07-26</t>
        </is>
      </c>
      <c r="C2357" t="inlineStr">
        <is>
          <t>19:09</t>
        </is>
      </c>
      <c r="D2357" t="inlineStr">
        <is>
          <t>n° 26 + n° 27</t>
        </is>
      </c>
      <c r="E2357" t="inlineStr">
        <is>
          <t>Jus de Fruit</t>
        </is>
      </c>
      <c r="F2357" t="n">
        <v>4.2</v>
      </c>
      <c r="G2357" t="inlineStr">
        <is>
          <t>n° 26 : 0,50 + n° 27 : 0,50</t>
        </is>
      </c>
      <c r="H2357" t="n">
        <v>1</v>
      </c>
    </row>
    <row r="2358">
      <c r="A2358" t="inlineStr">
        <is>
          <t>2023-2024</t>
        </is>
      </c>
      <c r="B2358" t="inlineStr">
        <is>
          <t>2023-07-26</t>
        </is>
      </c>
      <c r="C2358" t="inlineStr">
        <is>
          <t>19:09</t>
        </is>
      </c>
      <c r="D2358" t="inlineStr">
        <is>
          <t>n° 26 + n° 27</t>
        </is>
      </c>
      <c r="E2358" t="inlineStr">
        <is>
          <t>Panaché</t>
        </is>
      </c>
      <c r="F2358" t="n">
        <v>4.2</v>
      </c>
      <c r="G2358" t="inlineStr">
        <is>
          <t>n° 26 : 0,50 + n° 27 : 0,50</t>
        </is>
      </c>
      <c r="H2358" t="n">
        <v>1</v>
      </c>
    </row>
    <row r="2359">
      <c r="A2359" t="inlineStr">
        <is>
          <t>2023-2024</t>
        </is>
      </c>
      <c r="B2359" t="inlineStr">
        <is>
          <t>2023-07-27</t>
        </is>
      </c>
      <c r="C2359" t="inlineStr">
        <is>
          <t>12:53</t>
        </is>
      </c>
      <c r="D2359" t="inlineStr">
        <is>
          <t>n° 16 + n° 17</t>
        </is>
      </c>
      <c r="E2359" t="inlineStr">
        <is>
          <t>Chat perché</t>
        </is>
      </c>
      <c r="F2359" t="n">
        <v>5.9</v>
      </c>
      <c r="G2359" t="inlineStr">
        <is>
          <t>n° 16 : 0,50 + n° 17 : 0,50</t>
        </is>
      </c>
      <c r="H2359" t="n">
        <v>1</v>
      </c>
    </row>
    <row r="2360">
      <c r="A2360" t="inlineStr">
        <is>
          <t>2023-2024</t>
        </is>
      </c>
      <c r="B2360" t="inlineStr">
        <is>
          <t>2023-07-27</t>
        </is>
      </c>
      <c r="C2360" t="inlineStr">
        <is>
          <t>12:53</t>
        </is>
      </c>
      <c r="D2360" t="inlineStr">
        <is>
          <t>n° 16 + n° 17</t>
        </is>
      </c>
      <c r="E2360" t="inlineStr">
        <is>
          <t>Père Gregoire</t>
        </is>
      </c>
      <c r="F2360" t="n">
        <v>5.9</v>
      </c>
      <c r="G2360" t="inlineStr">
        <is>
          <t>n° 16 : 0,50 + n° 17 : 0,50</t>
        </is>
      </c>
      <c r="H2360" t="n">
        <v>1</v>
      </c>
    </row>
    <row r="2361">
      <c r="A2361" t="inlineStr">
        <is>
          <t>2023-2024</t>
        </is>
      </c>
      <c r="B2361" t="inlineStr">
        <is>
          <t>2023-07-28</t>
        </is>
      </c>
      <c r="C2361" t="inlineStr">
        <is>
          <t>12:30</t>
        </is>
      </c>
      <c r="D2361" t="inlineStr">
        <is>
          <t>n° 6 + n° 7 + n° 8 + n° 9</t>
        </is>
      </c>
      <c r="E2361" t="inlineStr">
        <is>
          <t>PICHET ROSE</t>
        </is>
      </c>
      <c r="F2361" t="n">
        <v>10.5</v>
      </c>
      <c r="G2361" t="inlineStr">
        <is>
          <t>n° 8 : 0,50 + n° 9 : 0,50</t>
        </is>
      </c>
      <c r="H2361" t="n">
        <v>1</v>
      </c>
    </row>
    <row r="2362">
      <c r="A2362" t="inlineStr">
        <is>
          <t>2023-2024</t>
        </is>
      </c>
      <c r="B2362" t="inlineStr">
        <is>
          <t>2023-07-28</t>
        </is>
      </c>
      <c r="C2362" t="inlineStr">
        <is>
          <t>12:30</t>
        </is>
      </c>
      <c r="D2362" t="inlineStr">
        <is>
          <t>n° 6 + n° 7 + n° 8 + n° 9</t>
        </is>
      </c>
      <c r="E2362" t="inlineStr">
        <is>
          <t>H.C.DE BEAUNE  VERRE</t>
        </is>
      </c>
      <c r="F2362" t="n">
        <v>9.5</v>
      </c>
      <c r="G2362" t="inlineStr">
        <is>
          <t>n° 6 : 0,50 + n° 7 : 0,50</t>
        </is>
      </c>
      <c r="H2362" t="n">
        <v>1</v>
      </c>
    </row>
    <row r="2363">
      <c r="A2363" t="inlineStr">
        <is>
          <t>2023-2024</t>
        </is>
      </c>
      <c r="B2363" t="inlineStr">
        <is>
          <t>2023-07-28</t>
        </is>
      </c>
      <c r="C2363" t="inlineStr">
        <is>
          <t>12:30</t>
        </is>
      </c>
      <c r="D2363" t="inlineStr">
        <is>
          <t>n° 6 + n° 7 + n° 8 + n° 9</t>
        </is>
      </c>
      <c r="E2363" t="inlineStr">
        <is>
          <t>Crêpe Flambée</t>
        </is>
      </c>
      <c r="F2363" t="n">
        <v>8.4</v>
      </c>
      <c r="G2363" t="inlineStr">
        <is>
          <t>n° 6 : 0,50 + n° 7 : 0,50</t>
        </is>
      </c>
      <c r="H2363" t="n">
        <v>1</v>
      </c>
    </row>
    <row r="2364">
      <c r="A2364" t="inlineStr">
        <is>
          <t>2023-2024</t>
        </is>
      </c>
      <c r="B2364" t="inlineStr">
        <is>
          <t>2023-07-28</t>
        </is>
      </c>
      <c r="C2364" t="inlineStr">
        <is>
          <t>12:30</t>
        </is>
      </c>
      <c r="D2364" t="inlineStr">
        <is>
          <t>n° 6 + n° 7 + n° 8 + n° 9</t>
        </is>
      </c>
      <c r="E2364" t="inlineStr">
        <is>
          <t>La Vouivre</t>
        </is>
      </c>
      <c r="F2364" t="n">
        <v>5.9</v>
      </c>
      <c r="G2364" t="inlineStr">
        <is>
          <t>n° 6 : 0,50 + n° 7 : 0,50</t>
        </is>
      </c>
      <c r="H2364" t="n">
        <v>1</v>
      </c>
    </row>
    <row r="2365">
      <c r="A2365" t="inlineStr">
        <is>
          <t>2023-2024</t>
        </is>
      </c>
      <c r="B2365" t="inlineStr">
        <is>
          <t>2023-07-28</t>
        </is>
      </c>
      <c r="C2365" t="inlineStr">
        <is>
          <t>12:30</t>
        </is>
      </c>
      <c r="D2365" t="inlineStr">
        <is>
          <t>n° 6 + n° 7 + n° 8 + n° 9</t>
        </is>
      </c>
      <c r="E2365" t="inlineStr">
        <is>
          <t>Crêpe Confiture</t>
        </is>
      </c>
      <c r="F2365" t="n">
        <v>5.4</v>
      </c>
      <c r="G2365" t="inlineStr">
        <is>
          <t>n° 6 : 0,50 + n° 7 : 0,50</t>
        </is>
      </c>
      <c r="H2365" t="n">
        <v>1</v>
      </c>
    </row>
    <row r="2366">
      <c r="A2366" t="inlineStr">
        <is>
          <t>2023-2024</t>
        </is>
      </c>
      <c r="B2366" t="inlineStr">
        <is>
          <t>2023-07-28</t>
        </is>
      </c>
      <c r="C2366" t="inlineStr">
        <is>
          <t>13:02</t>
        </is>
      </c>
      <c r="D2366" t="inlineStr">
        <is>
          <t>n° 16 + n° 17</t>
        </is>
      </c>
      <c r="E2366" t="inlineStr">
        <is>
          <t>Arbois Chardonnay Le</t>
        </is>
      </c>
      <c r="F2366" t="n">
        <v>29</v>
      </c>
      <c r="G2366" t="inlineStr">
        <is>
          <t>n° 16 : 0,50 + n° 17 : 0,50</t>
        </is>
      </c>
      <c r="H2366" t="n">
        <v>1</v>
      </c>
    </row>
    <row r="2367">
      <c r="A2367" t="inlineStr">
        <is>
          <t>2023-2024</t>
        </is>
      </c>
      <c r="B2367" t="inlineStr">
        <is>
          <t>2023-07-28</t>
        </is>
      </c>
      <c r="C2367" t="inlineStr">
        <is>
          <t>13:02</t>
        </is>
      </c>
      <c r="D2367" t="inlineStr">
        <is>
          <t>n° 16 + n° 17</t>
        </is>
      </c>
      <c r="E2367" t="inlineStr">
        <is>
          <t>ECRESSI</t>
        </is>
      </c>
      <c r="F2367" t="n">
        <v>15.5</v>
      </c>
      <c r="G2367" t="inlineStr">
        <is>
          <t>n° 16 : 0,50 + n° 17 : 0,50</t>
        </is>
      </c>
      <c r="H2367" t="n">
        <v>1</v>
      </c>
    </row>
    <row r="2368">
      <c r="A2368" t="inlineStr">
        <is>
          <t>2023-2024</t>
        </is>
      </c>
      <c r="B2368" t="inlineStr">
        <is>
          <t>2023-07-28</t>
        </is>
      </c>
      <c r="C2368" t="inlineStr">
        <is>
          <t>13:02</t>
        </is>
      </c>
      <c r="D2368" t="inlineStr">
        <is>
          <t>n° 16 + n° 17</t>
        </is>
      </c>
      <c r="E2368" t="inlineStr">
        <is>
          <t>FOLIE</t>
        </is>
      </c>
      <c r="F2368" t="n">
        <v>13.3</v>
      </c>
      <c r="G2368" t="inlineStr">
        <is>
          <t>n° 16 : 0,50 + n° 17 : 0,50</t>
        </is>
      </c>
      <c r="H2368" t="n">
        <v>1</v>
      </c>
    </row>
    <row r="2369">
      <c r="A2369" t="inlineStr">
        <is>
          <t>2023-2024</t>
        </is>
      </c>
      <c r="B2369" t="inlineStr">
        <is>
          <t>2023-07-28</t>
        </is>
      </c>
      <c r="C2369" t="inlineStr">
        <is>
          <t>13:02</t>
        </is>
      </c>
      <c r="D2369" t="inlineStr">
        <is>
          <t>n° 16 + n° 17</t>
        </is>
      </c>
      <c r="E2369" t="inlineStr">
        <is>
          <t>IVRESSE</t>
        </is>
      </c>
      <c r="F2369" t="n">
        <v>13</v>
      </c>
      <c r="G2369" t="inlineStr">
        <is>
          <t>n° 16 : 0,50 + n° 17 : 0,50</t>
        </is>
      </c>
      <c r="H2369" t="n">
        <v>1</v>
      </c>
    </row>
    <row r="2370">
      <c r="A2370" t="inlineStr">
        <is>
          <t>2023-2024</t>
        </is>
      </c>
      <c r="B2370" t="inlineStr">
        <is>
          <t>2023-07-28</t>
        </is>
      </c>
      <c r="C2370" t="inlineStr">
        <is>
          <t>13:02</t>
        </is>
      </c>
      <c r="D2370" t="inlineStr">
        <is>
          <t>n° 16 + n° 17</t>
        </is>
      </c>
      <c r="E2370" t="inlineStr">
        <is>
          <t>Sauce Forestière</t>
        </is>
      </c>
      <c r="F2370" t="n">
        <v>7.9</v>
      </c>
      <c r="G2370" t="inlineStr">
        <is>
          <t>n° 16 : 0,50 + n° 17 : 0,50</t>
        </is>
      </c>
      <c r="H2370" t="n">
        <v>1</v>
      </c>
    </row>
    <row r="2371">
      <c r="A2371" t="inlineStr">
        <is>
          <t>2023-2024</t>
        </is>
      </c>
      <c r="B2371" t="inlineStr">
        <is>
          <t>2023-07-28</t>
        </is>
      </c>
      <c r="C2371" t="inlineStr">
        <is>
          <t>13:02</t>
        </is>
      </c>
      <c r="D2371" t="inlineStr">
        <is>
          <t>n° 16 + n° 17</t>
        </is>
      </c>
      <c r="E2371" t="inlineStr">
        <is>
          <t>bluette</t>
        </is>
      </c>
      <c r="F2371" t="n">
        <v>7.9</v>
      </c>
      <c r="G2371" t="inlineStr">
        <is>
          <t>n° 16 : 0,50 + n° 17 : 0,50</t>
        </is>
      </c>
      <c r="H2371" t="n">
        <v>1</v>
      </c>
    </row>
    <row r="2372">
      <c r="A2372" t="inlineStr">
        <is>
          <t>2023-2024</t>
        </is>
      </c>
      <c r="B2372" t="inlineStr">
        <is>
          <t>2023-07-28</t>
        </is>
      </c>
      <c r="C2372" t="inlineStr">
        <is>
          <t>13:02</t>
        </is>
      </c>
      <c r="D2372" t="inlineStr">
        <is>
          <t>n° 16 + n° 17</t>
        </is>
      </c>
      <c r="E2372" t="inlineStr">
        <is>
          <t>CREME BRULEE</t>
        </is>
      </c>
      <c r="F2372" t="n">
        <v>7.9</v>
      </c>
      <c r="G2372" t="inlineStr">
        <is>
          <t>n° 16 : 0,50 + n° 17 : 0,50</t>
        </is>
      </c>
      <c r="H2372" t="n">
        <v>1</v>
      </c>
    </row>
    <row r="2373">
      <c r="A2373" t="inlineStr">
        <is>
          <t>2023-2024</t>
        </is>
      </c>
      <c r="B2373" t="inlineStr">
        <is>
          <t>2023-07-28</t>
        </is>
      </c>
      <c r="C2373" t="inlineStr">
        <is>
          <t>13:02</t>
        </is>
      </c>
      <c r="D2373" t="inlineStr">
        <is>
          <t>n° 16 + n° 17</t>
        </is>
      </c>
      <c r="E2373" t="inlineStr">
        <is>
          <t>Steak haché</t>
        </is>
      </c>
      <c r="F2373" t="n">
        <v>7.8</v>
      </c>
      <c r="G2373" t="inlineStr">
        <is>
          <t>n° 16 : 0,50 + n° 17 : 0,50</t>
        </is>
      </c>
      <c r="H2373" t="n">
        <v>1</v>
      </c>
    </row>
    <row r="2374">
      <c r="A2374" t="inlineStr">
        <is>
          <t>2023-2024</t>
        </is>
      </c>
      <c r="B2374" t="inlineStr">
        <is>
          <t>2023-07-28</t>
        </is>
      </c>
      <c r="C2374" t="inlineStr">
        <is>
          <t>13:02</t>
        </is>
      </c>
      <c r="D2374" t="inlineStr">
        <is>
          <t>n° 16 + n° 17</t>
        </is>
      </c>
      <c r="E2374" t="inlineStr">
        <is>
          <t>Galette nature</t>
        </is>
      </c>
      <c r="F2374" t="n">
        <v>3.9</v>
      </c>
      <c r="G2374" t="inlineStr">
        <is>
          <t>n° 16 : 0,50 + n° 17 : 0,50</t>
        </is>
      </c>
      <c r="H2374" t="n">
        <v>1</v>
      </c>
    </row>
    <row r="2375">
      <c r="A2375" t="inlineStr">
        <is>
          <t>2023-2024</t>
        </is>
      </c>
      <c r="B2375" t="inlineStr">
        <is>
          <t>2023-07-28</t>
        </is>
      </c>
      <c r="C2375" t="inlineStr">
        <is>
          <t>13:02</t>
        </is>
      </c>
      <c r="D2375" t="inlineStr">
        <is>
          <t>n° 16 + n° 17</t>
        </is>
      </c>
      <c r="E2375" t="inlineStr">
        <is>
          <t>Ratatouille</t>
        </is>
      </c>
      <c r="F2375" t="n">
        <v>3.2</v>
      </c>
      <c r="G2375" t="inlineStr">
        <is>
          <t>n° 16 : 0,50 + n° 17 : 0,50</t>
        </is>
      </c>
      <c r="H2375" t="n">
        <v>1</v>
      </c>
    </row>
    <row r="2376">
      <c r="A2376" t="inlineStr">
        <is>
          <t>2023-2024</t>
        </is>
      </c>
      <c r="B2376" t="inlineStr">
        <is>
          <t>2023-07-28</t>
        </is>
      </c>
      <c r="C2376" t="inlineStr">
        <is>
          <t>13:02</t>
        </is>
      </c>
      <c r="D2376" t="inlineStr">
        <is>
          <t>n° 16 + n° 17</t>
        </is>
      </c>
      <c r="E2376" t="inlineStr">
        <is>
          <t>Œuf</t>
        </is>
      </c>
      <c r="F2376" t="n">
        <v>0.9</v>
      </c>
      <c r="G2376" t="inlineStr">
        <is>
          <t>n° 16 : 0,50 + n° 17 : 0,50</t>
        </is>
      </c>
      <c r="H2376" t="n">
        <v>1</v>
      </c>
    </row>
    <row r="2377">
      <c r="A2377" t="inlineStr">
        <is>
          <t>2023-2024</t>
        </is>
      </c>
      <c r="B2377" t="inlineStr">
        <is>
          <t>2023-07-28</t>
        </is>
      </c>
      <c r="C2377" t="inlineStr">
        <is>
          <t>13:33</t>
        </is>
      </c>
      <c r="D2377" t="inlineStr">
        <is>
          <t>n° 19 + n° 20</t>
        </is>
      </c>
      <c r="E2377" t="inlineStr">
        <is>
          <t>Pavlova</t>
        </is>
      </c>
      <c r="F2377" t="n">
        <v>8.9</v>
      </c>
      <c r="G2377" t="inlineStr">
        <is>
          <t>n° 19 : 0,50 + n° 20 : 0,50</t>
        </is>
      </c>
      <c r="H2377" t="n">
        <v>1</v>
      </c>
    </row>
    <row r="2378">
      <c r="A2378" t="inlineStr">
        <is>
          <t>2023-2024</t>
        </is>
      </c>
      <c r="B2378" t="inlineStr">
        <is>
          <t>2023-07-28</t>
        </is>
      </c>
      <c r="C2378" t="inlineStr">
        <is>
          <t>20:40</t>
        </is>
      </c>
      <c r="D2378" t="inlineStr">
        <is>
          <t>n° 33 + n° 34</t>
        </is>
      </c>
      <c r="E2378" t="inlineStr">
        <is>
          <t>CREPE CHOC/CHANTILLY</t>
        </is>
      </c>
      <c r="F2378" t="n">
        <v>8.4</v>
      </c>
      <c r="G2378" t="inlineStr">
        <is>
          <t>n° 33 : 0,50 + n° 34 : 0,50</t>
        </is>
      </c>
      <c r="H2378" t="n">
        <v>1</v>
      </c>
    </row>
    <row r="2379">
      <c r="A2379" t="inlineStr">
        <is>
          <t>2023-2024</t>
        </is>
      </c>
      <c r="B2379" t="inlineStr">
        <is>
          <t>2023-07-28</t>
        </is>
      </c>
      <c r="C2379" t="inlineStr">
        <is>
          <t>20:40</t>
        </is>
      </c>
      <c r="D2379" t="inlineStr">
        <is>
          <t>n° 33 + n° 34</t>
        </is>
      </c>
      <c r="E2379" t="inlineStr">
        <is>
          <t>GLACE 2 BOULES</t>
        </is>
      </c>
      <c r="F2379" t="n">
        <v>5.5</v>
      </c>
      <c r="G2379" t="inlineStr">
        <is>
          <t>n° 33 : 0,50 + n° 34 : 0,50</t>
        </is>
      </c>
      <c r="H2379" t="n">
        <v>1</v>
      </c>
    </row>
    <row r="2380">
      <c r="A2380" t="inlineStr">
        <is>
          <t>2023-2024</t>
        </is>
      </c>
      <c r="B2380" t="inlineStr">
        <is>
          <t>2023-07-28</t>
        </is>
      </c>
      <c r="C2380" t="inlineStr">
        <is>
          <t>20:40</t>
        </is>
      </c>
      <c r="D2380" t="inlineStr">
        <is>
          <t>n° 33 + n° 34</t>
        </is>
      </c>
      <c r="E2380" t="inlineStr">
        <is>
          <t>Limonade (25cl)</t>
        </is>
      </c>
      <c r="F2380" t="n">
        <v>3.9</v>
      </c>
      <c r="G2380" t="inlineStr">
        <is>
          <t>n° 33 : 0,50 + n° 34 : 0,50</t>
        </is>
      </c>
      <c r="H2380" t="n">
        <v>1</v>
      </c>
    </row>
    <row r="2381">
      <c r="A2381" t="inlineStr">
        <is>
          <t>2023-2024</t>
        </is>
      </c>
      <c r="B2381" t="inlineStr">
        <is>
          <t>2023-07-28</t>
        </is>
      </c>
      <c r="C2381" t="inlineStr">
        <is>
          <t>20:40</t>
        </is>
      </c>
      <c r="D2381" t="inlineStr">
        <is>
          <t>n° 33 + n° 34</t>
        </is>
      </c>
      <c r="E2381" t="inlineStr">
        <is>
          <t>Verre ALIGOTE</t>
        </is>
      </c>
      <c r="F2381" t="n">
        <v>3.9</v>
      </c>
      <c r="G2381" t="inlineStr">
        <is>
          <t>n° 33 : 0,50 + n° 34 : 0,50</t>
        </is>
      </c>
      <c r="H2381" t="n">
        <v>1</v>
      </c>
    </row>
    <row r="2382">
      <c r="A2382" t="inlineStr">
        <is>
          <t>2023-2024</t>
        </is>
      </c>
      <c r="B2382" t="inlineStr">
        <is>
          <t>2023-07-28</t>
        </is>
      </c>
      <c r="C2382" t="inlineStr">
        <is>
          <t>20:40</t>
        </is>
      </c>
      <c r="D2382" t="inlineStr">
        <is>
          <t>n° 33 + n° 34</t>
        </is>
      </c>
      <c r="E2382" t="inlineStr">
        <is>
          <t>Noix de coco rapée</t>
        </is>
      </c>
      <c r="F2382" t="n">
        <v>1.4</v>
      </c>
      <c r="G2382" t="inlineStr">
        <is>
          <t>n° 33 : 0,50 + n° 34 : 0,50</t>
        </is>
      </c>
      <c r="H2382" t="n">
        <v>1</v>
      </c>
    </row>
    <row r="2383">
      <c r="A2383" t="inlineStr">
        <is>
          <t>2023-2024</t>
        </is>
      </c>
      <c r="B2383" t="inlineStr">
        <is>
          <t>2023-07-29</t>
        </is>
      </c>
      <c r="C2383" t="inlineStr">
        <is>
          <t>12:52</t>
        </is>
      </c>
      <c r="D2383" t="inlineStr">
        <is>
          <t>n° 13 + n° 14</t>
        </is>
      </c>
      <c r="E2383" t="inlineStr">
        <is>
          <t>Menu Végétarien</t>
        </is>
      </c>
      <c r="F2383" t="n">
        <v>26.5</v>
      </c>
      <c r="G2383" t="inlineStr">
        <is>
          <t>n° 13 : 0,50 + n° 14 : 0,50</t>
        </is>
      </c>
      <c r="H2383" t="n">
        <v>1</v>
      </c>
    </row>
    <row r="2384">
      <c r="A2384" t="inlineStr">
        <is>
          <t>2023-2024</t>
        </is>
      </c>
      <c r="B2384" t="inlineStr">
        <is>
          <t>2023-07-29</t>
        </is>
      </c>
      <c r="C2384" t="inlineStr">
        <is>
          <t>12:52</t>
        </is>
      </c>
      <c r="D2384" t="inlineStr">
        <is>
          <t>n° 13 + n° 14</t>
        </is>
      </c>
      <c r="E2384" t="inlineStr">
        <is>
          <t>NIOLERIES</t>
        </is>
      </c>
      <c r="F2384" t="n">
        <v>14</v>
      </c>
      <c r="G2384" t="inlineStr">
        <is>
          <t>n° 13 : 0,50 + n° 14 : 0,50</t>
        </is>
      </c>
      <c r="H2384" t="n">
        <v>1</v>
      </c>
    </row>
    <row r="2385">
      <c r="A2385" t="inlineStr">
        <is>
          <t>2023-2024</t>
        </is>
      </c>
      <c r="B2385" t="inlineStr">
        <is>
          <t>2023-07-29</t>
        </is>
      </c>
      <c r="C2385" t="inlineStr">
        <is>
          <t>12:52</t>
        </is>
      </c>
      <c r="D2385" t="inlineStr">
        <is>
          <t>n° 13 + n° 14</t>
        </is>
      </c>
      <c r="E2385" t="inlineStr">
        <is>
          <t>La Vouivre</t>
        </is>
      </c>
      <c r="F2385" t="n">
        <v>5.9</v>
      </c>
      <c r="G2385" t="inlineStr">
        <is>
          <t>n° 13 : 0,50 + n° 14 : 0,50</t>
        </is>
      </c>
      <c r="H2385" t="n">
        <v>1</v>
      </c>
    </row>
    <row r="2386">
      <c r="A2386" t="inlineStr">
        <is>
          <t>2023-2024</t>
        </is>
      </c>
      <c r="B2386" t="inlineStr">
        <is>
          <t>2023-07-29</t>
        </is>
      </c>
      <c r="C2386" t="inlineStr">
        <is>
          <t>12:52</t>
        </is>
      </c>
      <c r="D2386" t="inlineStr">
        <is>
          <t>n° 13 + n° 14</t>
        </is>
      </c>
      <c r="E2386" t="inlineStr">
        <is>
          <t>Kir Bourgogne</t>
        </is>
      </c>
      <c r="F2386" t="n">
        <v>4.2</v>
      </c>
      <c r="G2386" t="inlineStr">
        <is>
          <t>n° 13 : 0,50 + n° 14 : 0,50</t>
        </is>
      </c>
      <c r="H2386" t="n">
        <v>1</v>
      </c>
    </row>
    <row r="2387">
      <c r="A2387" t="inlineStr">
        <is>
          <t>2023-2024</t>
        </is>
      </c>
      <c r="B2387" t="inlineStr">
        <is>
          <t>2023-07-29</t>
        </is>
      </c>
      <c r="C2387" t="inlineStr">
        <is>
          <t>12:52</t>
        </is>
      </c>
      <c r="D2387" t="inlineStr">
        <is>
          <t>n° 13 + n° 14</t>
        </is>
      </c>
      <c r="E2387" t="inlineStr">
        <is>
          <t>GLACE 1 BOULE</t>
        </is>
      </c>
      <c r="F2387" t="n">
        <v>3.5</v>
      </c>
      <c r="G2387" t="inlineStr">
        <is>
          <t>n° 13 : 0,50 + n° 14 : 0,50</t>
        </is>
      </c>
      <c r="H2387" t="n">
        <v>1</v>
      </c>
    </row>
    <row r="2388">
      <c r="A2388" t="inlineStr">
        <is>
          <t>2023-2024</t>
        </is>
      </c>
      <c r="B2388" t="inlineStr">
        <is>
          <t>2023-07-29</t>
        </is>
      </c>
      <c r="C2388" t="inlineStr">
        <is>
          <t>12:52</t>
        </is>
      </c>
      <c r="D2388" t="inlineStr">
        <is>
          <t>n° 13 + n° 14</t>
        </is>
      </c>
      <c r="E2388" t="inlineStr">
        <is>
          <t>Œuf</t>
        </is>
      </c>
      <c r="F2388" t="n">
        <v>0.9</v>
      </c>
      <c r="G2388" t="inlineStr">
        <is>
          <t>n° 13 : 0,50 + n° 14 : 0,50</t>
        </is>
      </c>
      <c r="H2388" t="n">
        <v>1</v>
      </c>
    </row>
    <row r="2389">
      <c r="A2389" t="inlineStr">
        <is>
          <t>2023-2024</t>
        </is>
      </c>
      <c r="B2389" t="inlineStr">
        <is>
          <t>2023-07-29</t>
        </is>
      </c>
      <c r="C2389" t="inlineStr">
        <is>
          <t>20:26</t>
        </is>
      </c>
      <c r="D2389" t="inlineStr">
        <is>
          <t>n° 31 + n° 32</t>
        </is>
      </c>
      <c r="E2389" t="inlineStr">
        <is>
          <t>Ricard</t>
        </is>
      </c>
      <c r="F2389" t="n">
        <v>4.2</v>
      </c>
      <c r="G2389" t="inlineStr">
        <is>
          <t>n° 31 : 0,50 + n° 32 : 0,50</t>
        </is>
      </c>
      <c r="H2389" t="n">
        <v>1</v>
      </c>
    </row>
    <row r="2390">
      <c r="A2390" t="inlineStr">
        <is>
          <t>2023-2024</t>
        </is>
      </c>
      <c r="B2390" t="inlineStr">
        <is>
          <t>2023-07-29</t>
        </is>
      </c>
      <c r="C2390" t="inlineStr">
        <is>
          <t>21:04</t>
        </is>
      </c>
      <c r="D2390" t="inlineStr">
        <is>
          <t>n° 39 + n° 40 + n° 41 + n° 42</t>
        </is>
      </c>
      <c r="E2390" t="inlineStr">
        <is>
          <t>Arbois Trousseau Bou</t>
        </is>
      </c>
      <c r="F2390" t="n">
        <v>36</v>
      </c>
      <c r="G2390" t="inlineStr">
        <is>
          <t>n° 39 : 0,25 + n° 40 : 0,25 + n° 41 : 0,25 + n° 42 : 0,25</t>
        </is>
      </c>
      <c r="H2390" t="n">
        <v>1</v>
      </c>
    </row>
    <row r="2391">
      <c r="A2391" t="inlineStr">
        <is>
          <t>2023-2024</t>
        </is>
      </c>
      <c r="B2391" t="inlineStr">
        <is>
          <t>2023-07-29</t>
        </is>
      </c>
      <c r="C2391" t="inlineStr">
        <is>
          <t>21:04</t>
        </is>
      </c>
      <c r="D2391" t="inlineStr">
        <is>
          <t>n° 39 + n° 40 + n° 41 + n° 42</t>
        </is>
      </c>
      <c r="E2391" t="inlineStr">
        <is>
          <t>Entrecôte grillée</t>
        </is>
      </c>
      <c r="F2391" t="n">
        <v>19.9</v>
      </c>
      <c r="G2391" t="inlineStr">
        <is>
          <t>n° 39 : 0,25 + n° 40 : 0,25 + n° 41 : 0,25 + n° 42 : 0,25</t>
        </is>
      </c>
      <c r="H2391" t="n">
        <v>1</v>
      </c>
    </row>
    <row r="2392">
      <c r="A2392" t="inlineStr">
        <is>
          <t>2023-2024</t>
        </is>
      </c>
      <c r="B2392" t="inlineStr">
        <is>
          <t>2023-07-29</t>
        </is>
      </c>
      <c r="C2392" t="inlineStr">
        <is>
          <t>21:04</t>
        </is>
      </c>
      <c r="D2392" t="inlineStr">
        <is>
          <t>n° 39 + n° 40 + n° 41 + n° 42</t>
        </is>
      </c>
      <c r="E2392" t="inlineStr">
        <is>
          <t>TANTELIN</t>
        </is>
      </c>
      <c r="F2392" t="n">
        <v>17.4</v>
      </c>
      <c r="G2392" t="inlineStr">
        <is>
          <t>n° 39 : 0,25 + n° 40 : 0,25 + n° 41 : 0,25 + n° 42 : 0,25</t>
        </is>
      </c>
      <c r="H2392" t="n">
        <v>1</v>
      </c>
    </row>
    <row r="2393">
      <c r="A2393" t="inlineStr">
        <is>
          <t>2023-2024</t>
        </is>
      </c>
      <c r="B2393" t="inlineStr">
        <is>
          <t>2023-07-29</t>
        </is>
      </c>
      <c r="C2393" t="inlineStr">
        <is>
          <t>21:04</t>
        </is>
      </c>
      <c r="D2393" t="inlineStr">
        <is>
          <t>n° 39 + n° 40 + n° 41 + n° 42</t>
        </is>
      </c>
      <c r="E2393" t="inlineStr">
        <is>
          <t>BARBEULENET</t>
        </is>
      </c>
      <c r="F2393" t="n">
        <v>17.4</v>
      </c>
      <c r="G2393" t="inlineStr">
        <is>
          <t>n° 39 : 0,25 + n° 40 : 0,25 + n° 41 : 0,25 + n° 42 : 0,25</t>
        </is>
      </c>
      <c r="H2393" t="n">
        <v>1</v>
      </c>
    </row>
    <row r="2394">
      <c r="A2394" t="inlineStr">
        <is>
          <t>2023-2024</t>
        </is>
      </c>
      <c r="B2394" t="inlineStr">
        <is>
          <t>2023-07-29</t>
        </is>
      </c>
      <c r="C2394" t="inlineStr">
        <is>
          <t>21:04</t>
        </is>
      </c>
      <c r="D2394" t="inlineStr">
        <is>
          <t>n° 39 + n° 40 + n° 41 + n° 42</t>
        </is>
      </c>
      <c r="E2394" t="inlineStr">
        <is>
          <t>NIOLERIES</t>
        </is>
      </c>
      <c r="F2394" t="n">
        <v>14</v>
      </c>
      <c r="G2394" t="inlineStr">
        <is>
          <t>n° 39 : 0,25 + n° 40 : 0,25 + n° 41 : 0,25 + n° 42 : 0,25</t>
        </is>
      </c>
      <c r="H2394" t="n">
        <v>1</v>
      </c>
    </row>
    <row r="2395">
      <c r="A2395" t="inlineStr">
        <is>
          <t>2023-2024</t>
        </is>
      </c>
      <c r="B2395" t="inlineStr">
        <is>
          <t>2023-07-29</t>
        </is>
      </c>
      <c r="C2395" t="inlineStr">
        <is>
          <t>21:04</t>
        </is>
      </c>
      <c r="D2395" t="inlineStr">
        <is>
          <t>n° 39 + n° 40 + n° 41 + n° 42</t>
        </is>
      </c>
      <c r="E2395" t="inlineStr">
        <is>
          <t>Baba</t>
        </is>
      </c>
      <c r="F2395" t="n">
        <v>8.9</v>
      </c>
      <c r="G2395" t="inlineStr">
        <is>
          <t>n° 39 : 0,25 + n° 40 : 0,25 + n° 41 : 0,25 + n° 42 : 0,25</t>
        </is>
      </c>
      <c r="H2395" t="n">
        <v>1</v>
      </c>
    </row>
    <row r="2396">
      <c r="A2396" t="inlineStr">
        <is>
          <t>2023-2024</t>
        </is>
      </c>
      <c r="B2396" t="inlineStr">
        <is>
          <t>2023-07-29</t>
        </is>
      </c>
      <c r="C2396" t="inlineStr">
        <is>
          <t>21:04</t>
        </is>
      </c>
      <c r="D2396" t="inlineStr">
        <is>
          <t>n° 39 + n° 40 + n° 41 + n° 42</t>
        </is>
      </c>
      <c r="E2396" t="inlineStr">
        <is>
          <t>Expresso</t>
        </is>
      </c>
      <c r="F2396" t="n">
        <v>2.2</v>
      </c>
      <c r="G2396" t="inlineStr">
        <is>
          <t>n° 39 : 0,25 + n° 40 : 0,25 + n° 41 : 0,25 + n° 42 : 0,25</t>
        </is>
      </c>
      <c r="H2396" t="n">
        <v>1</v>
      </c>
    </row>
    <row r="2397">
      <c r="A2397" t="inlineStr">
        <is>
          <t>2023-2024</t>
        </is>
      </c>
      <c r="B2397" t="inlineStr">
        <is>
          <t>2023-07-30</t>
        </is>
      </c>
      <c r="C2397" t="inlineStr">
        <is>
          <t>12:37</t>
        </is>
      </c>
      <c r="D2397" t="inlineStr">
        <is>
          <t>n° 6 + n° 7</t>
        </is>
      </c>
      <c r="E2397" t="inlineStr">
        <is>
          <t>PAYSANNE</t>
        </is>
      </c>
      <c r="F2397" t="n">
        <v>19.9</v>
      </c>
      <c r="G2397" t="inlineStr">
        <is>
          <t>n° 6 : 0,50 + n° 7 : 0,50</t>
        </is>
      </c>
      <c r="H2397" t="n">
        <v>1</v>
      </c>
    </row>
    <row r="2398">
      <c r="A2398" t="inlineStr">
        <is>
          <t>2023-2024</t>
        </is>
      </c>
      <c r="B2398" t="inlineStr">
        <is>
          <t>2023-07-30</t>
        </is>
      </c>
      <c r="C2398" t="inlineStr">
        <is>
          <t>12:37</t>
        </is>
      </c>
      <c r="D2398" t="inlineStr">
        <is>
          <t>n° 6 + n° 7</t>
        </is>
      </c>
      <c r="E2398" t="inlineStr">
        <is>
          <t>Salade Régionale</t>
        </is>
      </c>
      <c r="F2398" t="n">
        <v>19.9</v>
      </c>
      <c r="G2398" t="inlineStr">
        <is>
          <t>n° 6 : 0,50 + n° 7 : 0,50</t>
        </is>
      </c>
      <c r="H2398" t="n">
        <v>1</v>
      </c>
    </row>
    <row r="2399">
      <c r="A2399" t="inlineStr">
        <is>
          <t>2023-2024</t>
        </is>
      </c>
      <c r="B2399" t="inlineStr">
        <is>
          <t>2023-07-30</t>
        </is>
      </c>
      <c r="C2399" t="inlineStr">
        <is>
          <t>12:37</t>
        </is>
      </c>
      <c r="D2399" t="inlineStr">
        <is>
          <t>n° 6 + n° 7</t>
        </is>
      </c>
      <c r="E2399" t="inlineStr">
        <is>
          <t>Formule Express</t>
        </is>
      </c>
      <c r="F2399" t="n">
        <v>18.6</v>
      </c>
      <c r="G2399" t="inlineStr">
        <is>
          <t>n° 6 : 0,50 + n° 7 : 0,50</t>
        </is>
      </c>
      <c r="H2399" t="n">
        <v>1</v>
      </c>
    </row>
    <row r="2400">
      <c r="A2400" t="inlineStr">
        <is>
          <t>2023-2024</t>
        </is>
      </c>
      <c r="B2400" t="inlineStr">
        <is>
          <t>2023-07-30</t>
        </is>
      </c>
      <c r="C2400" t="inlineStr">
        <is>
          <t>12:37</t>
        </is>
      </c>
      <c r="D2400" t="inlineStr">
        <is>
          <t>n° 6 + n° 7</t>
        </is>
      </c>
      <c r="E2400" t="inlineStr">
        <is>
          <t>POULET JURASSIENNE</t>
        </is>
      </c>
      <c r="F2400" t="n">
        <v>18.6</v>
      </c>
      <c r="G2400" t="inlineStr">
        <is>
          <t>n° 6 : 0,50 + n° 7 : 0,50</t>
        </is>
      </c>
      <c r="H2400" t="n">
        <v>1</v>
      </c>
    </row>
    <row r="2401">
      <c r="A2401" t="inlineStr">
        <is>
          <t>2023-2024</t>
        </is>
      </c>
      <c r="B2401" t="inlineStr">
        <is>
          <t>2023-07-30</t>
        </is>
      </c>
      <c r="C2401" t="inlineStr">
        <is>
          <t>12:37</t>
        </is>
      </c>
      <c r="D2401" t="inlineStr">
        <is>
          <t>n° 6 + n° 7</t>
        </is>
      </c>
      <c r="E2401" t="inlineStr">
        <is>
          <t>Clair de Rosé</t>
        </is>
      </c>
      <c r="F2401" t="n">
        <v>18</v>
      </c>
      <c r="G2401" t="inlineStr">
        <is>
          <t>n° 6 : 0,50 + n° 7 : 0,50</t>
        </is>
      </c>
      <c r="H2401" t="n">
        <v>1</v>
      </c>
    </row>
    <row r="2402">
      <c r="A2402" t="inlineStr">
        <is>
          <t>2023-2024</t>
        </is>
      </c>
      <c r="B2402" t="inlineStr">
        <is>
          <t>2023-07-30</t>
        </is>
      </c>
      <c r="C2402" t="inlineStr">
        <is>
          <t>19:30</t>
        </is>
      </c>
      <c r="D2402" t="inlineStr">
        <is>
          <t>n° 24 + n° 25</t>
        </is>
      </c>
      <c r="E2402" t="inlineStr">
        <is>
          <t>Crémeux du Jura</t>
        </is>
      </c>
      <c r="F2402" t="n">
        <v>19</v>
      </c>
      <c r="G2402" t="inlineStr">
        <is>
          <t>n° 24 : 0,50 + n° 25 : 0,50</t>
        </is>
      </c>
      <c r="H2402" t="n">
        <v>1</v>
      </c>
    </row>
    <row r="2403">
      <c r="A2403" t="inlineStr">
        <is>
          <t>2023-2024</t>
        </is>
      </c>
      <c r="B2403" t="inlineStr">
        <is>
          <t>2023-07-30</t>
        </is>
      </c>
      <c r="C2403" t="inlineStr">
        <is>
          <t>19:30</t>
        </is>
      </c>
      <c r="D2403" t="inlineStr">
        <is>
          <t>n° 24 + n° 25</t>
        </is>
      </c>
      <c r="E2403" t="inlineStr">
        <is>
          <t>MORTEAU GRILLEE</t>
        </is>
      </c>
      <c r="F2403" t="n">
        <v>18.6</v>
      </c>
      <c r="G2403" t="inlineStr">
        <is>
          <t>n° 24 : 0,50 + n° 25 : 0,50</t>
        </is>
      </c>
      <c r="H2403" t="n">
        <v>1</v>
      </c>
    </row>
    <row r="2404">
      <c r="A2404" t="inlineStr">
        <is>
          <t>2023-2024</t>
        </is>
      </c>
      <c r="B2404" t="inlineStr">
        <is>
          <t>2023-07-30</t>
        </is>
      </c>
      <c r="C2404" t="inlineStr">
        <is>
          <t>19:30</t>
        </is>
      </c>
      <c r="D2404" t="inlineStr">
        <is>
          <t>n° 24 + n° 25</t>
        </is>
      </c>
      <c r="E2404" t="inlineStr">
        <is>
          <t>Pavlova</t>
        </is>
      </c>
      <c r="F2404" t="n">
        <v>8.9</v>
      </c>
      <c r="G2404" t="inlineStr">
        <is>
          <t>n° 24 : 0,50 + n° 25 : 0,50</t>
        </is>
      </c>
      <c r="H2404" t="n">
        <v>1</v>
      </c>
    </row>
    <row r="2405">
      <c r="A2405" t="inlineStr">
        <is>
          <t>2023-2024</t>
        </is>
      </c>
      <c r="B2405" t="inlineStr">
        <is>
          <t>2023-07-30</t>
        </is>
      </c>
      <c r="C2405" t="inlineStr">
        <is>
          <t>19:30</t>
        </is>
      </c>
      <c r="D2405" t="inlineStr">
        <is>
          <t>n° 24 + n° 25</t>
        </is>
      </c>
      <c r="E2405" t="inlineStr">
        <is>
          <t>Baba</t>
        </is>
      </c>
      <c r="F2405" t="n">
        <v>8.9</v>
      </c>
      <c r="G2405" t="inlineStr">
        <is>
          <t>n° 24 : 0,50 + n° 25 : 0,50</t>
        </is>
      </c>
      <c r="H2405" t="n">
        <v>1</v>
      </c>
    </row>
    <row r="2406">
      <c r="A2406" t="inlineStr">
        <is>
          <t>2023-2024</t>
        </is>
      </c>
      <c r="B2406" t="inlineStr">
        <is>
          <t>2023-08-02</t>
        </is>
      </c>
      <c r="C2406" t="inlineStr">
        <is>
          <t>19:50</t>
        </is>
      </c>
      <c r="D2406" t="inlineStr">
        <is>
          <t>n° 24 + n° 25</t>
        </is>
      </c>
      <c r="E2406" t="inlineStr">
        <is>
          <t>Assortiment charcute</t>
        </is>
      </c>
      <c r="F2406" t="n">
        <v>8.9</v>
      </c>
      <c r="G2406" t="inlineStr">
        <is>
          <t>n° 24 : 0,50 + n° 25 : 0,50</t>
        </is>
      </c>
      <c r="H2406" t="n">
        <v>1</v>
      </c>
    </row>
    <row r="2407">
      <c r="A2407" t="inlineStr">
        <is>
          <t>2023-2024</t>
        </is>
      </c>
      <c r="B2407" t="inlineStr">
        <is>
          <t>2023-08-02</t>
        </is>
      </c>
      <c r="C2407" t="inlineStr">
        <is>
          <t>19:50</t>
        </is>
      </c>
      <c r="D2407" t="inlineStr">
        <is>
          <t>n° 24 + n° 25</t>
        </is>
      </c>
      <c r="E2407" t="inlineStr">
        <is>
          <t>Macvin du Jura</t>
        </is>
      </c>
      <c r="F2407" t="n">
        <v>5.9</v>
      </c>
      <c r="G2407" t="inlineStr">
        <is>
          <t>n° 24 : 0,50 + n° 25 : 0,50</t>
        </is>
      </c>
      <c r="H2407" t="n">
        <v>1</v>
      </c>
    </row>
    <row r="2408">
      <c r="A2408" t="inlineStr">
        <is>
          <t>2023-2024</t>
        </is>
      </c>
      <c r="B2408" t="inlineStr">
        <is>
          <t>2023-08-02</t>
        </is>
      </c>
      <c r="C2408" t="inlineStr">
        <is>
          <t>19:50</t>
        </is>
      </c>
      <c r="D2408" t="inlineStr">
        <is>
          <t>n° 24 + n° 25</t>
        </is>
      </c>
      <c r="E2408" t="inlineStr">
        <is>
          <t>GLACE 2 BOULES</t>
        </is>
      </c>
      <c r="F2408" t="n">
        <v>5.5</v>
      </c>
      <c r="G2408" t="inlineStr">
        <is>
          <t>n° 24 : 0,50 + n° 25 : 0,50</t>
        </is>
      </c>
      <c r="H2408" t="n">
        <v>1</v>
      </c>
    </row>
    <row r="2409">
      <c r="A2409" t="inlineStr">
        <is>
          <t>2023-2024</t>
        </is>
      </c>
      <c r="B2409" t="inlineStr">
        <is>
          <t>2023-08-02</t>
        </is>
      </c>
      <c r="C2409" t="inlineStr">
        <is>
          <t>19:50</t>
        </is>
      </c>
      <c r="D2409" t="inlineStr">
        <is>
          <t>n° 24 + n° 25</t>
        </is>
      </c>
      <c r="E2409" t="inlineStr">
        <is>
          <t>Ricard</t>
        </is>
      </c>
      <c r="F2409" t="n">
        <v>4.2</v>
      </c>
      <c r="G2409" t="inlineStr">
        <is>
          <t>n° 24 : 0,50 + n° 25 : 0,50</t>
        </is>
      </c>
      <c r="H2409" t="n">
        <v>1</v>
      </c>
    </row>
    <row r="2410">
      <c r="A2410" t="inlineStr">
        <is>
          <t>2023-2024</t>
        </is>
      </c>
      <c r="B2410" t="inlineStr">
        <is>
          <t>2023-08-02</t>
        </is>
      </c>
      <c r="C2410" t="inlineStr">
        <is>
          <t>19:50</t>
        </is>
      </c>
      <c r="D2410" t="inlineStr">
        <is>
          <t>n° 24 + n° 25</t>
        </is>
      </c>
      <c r="E2410" t="inlineStr">
        <is>
          <t>GLACE 1 BOULE</t>
        </is>
      </c>
      <c r="F2410" t="n">
        <v>3.5</v>
      </c>
      <c r="G2410" t="inlineStr">
        <is>
          <t>n° 24 : 0,50 + n° 25 : 0,50</t>
        </is>
      </c>
      <c r="H2410" t="n">
        <v>1</v>
      </c>
    </row>
    <row r="2411">
      <c r="A2411" t="inlineStr">
        <is>
          <t>2023-2024</t>
        </is>
      </c>
      <c r="B2411" t="inlineStr">
        <is>
          <t>2023-08-03</t>
        </is>
      </c>
      <c r="C2411" t="inlineStr">
        <is>
          <t>12:15</t>
        </is>
      </c>
      <c r="D2411" t="inlineStr">
        <is>
          <t>n° 4 + n° 5</t>
        </is>
      </c>
      <c r="E2411" t="inlineStr">
        <is>
          <t>TANTELIN</t>
        </is>
      </c>
      <c r="F2411" t="n">
        <v>17.4</v>
      </c>
      <c r="G2411" t="inlineStr">
        <is>
          <t>n° 4 : 0,50 + n° 5 : 0,50</t>
        </is>
      </c>
      <c r="H2411" t="n">
        <v>1</v>
      </c>
    </row>
    <row r="2412">
      <c r="A2412" t="inlineStr">
        <is>
          <t>2023-2024</t>
        </is>
      </c>
      <c r="B2412" t="inlineStr">
        <is>
          <t>2023-08-03</t>
        </is>
      </c>
      <c r="C2412" t="inlineStr">
        <is>
          <t>12:15</t>
        </is>
      </c>
      <c r="D2412" t="inlineStr">
        <is>
          <t>n° 4 + n° 5</t>
        </is>
      </c>
      <c r="E2412" t="inlineStr">
        <is>
          <t>BARBEULENET</t>
        </is>
      </c>
      <c r="F2412" t="n">
        <v>17.4</v>
      </c>
      <c r="G2412" t="inlineStr">
        <is>
          <t>n° 4 : 0,50 + n° 5 : 0,50</t>
        </is>
      </c>
      <c r="H2412" t="n">
        <v>1</v>
      </c>
    </row>
    <row r="2413">
      <c r="A2413" t="inlineStr">
        <is>
          <t>2023-2024</t>
        </is>
      </c>
      <c r="B2413" t="inlineStr">
        <is>
          <t>2023-08-05</t>
        </is>
      </c>
      <c r="C2413" t="inlineStr">
        <is>
          <t>19:21</t>
        </is>
      </c>
      <c r="D2413" t="inlineStr">
        <is>
          <t>n° 18 + n° 19 + n° 20 + n° 21</t>
        </is>
      </c>
      <c r="E2413" t="inlineStr">
        <is>
          <t>Saint Véran</t>
        </is>
      </c>
      <c r="F2413" t="n">
        <v>39.5</v>
      </c>
      <c r="G2413" t="inlineStr">
        <is>
          <t>n° 20 : 0,50 + n° 21 : 0,50</t>
        </is>
      </c>
      <c r="H2413" t="n">
        <v>1</v>
      </c>
    </row>
    <row r="2414">
      <c r="A2414" t="inlineStr">
        <is>
          <t>2023-2024</t>
        </is>
      </c>
      <c r="B2414" t="inlineStr">
        <is>
          <t>2023-08-05</t>
        </is>
      </c>
      <c r="C2414" t="inlineStr">
        <is>
          <t>19:21</t>
        </is>
      </c>
      <c r="D2414" t="inlineStr">
        <is>
          <t>n° 18 + n° 19 + n° 20 + n° 21</t>
        </is>
      </c>
      <c r="E2414" t="inlineStr">
        <is>
          <t>ENTRECOTE MORILLES</t>
        </is>
      </c>
      <c r="F2414" t="n">
        <v>34.8</v>
      </c>
      <c r="G2414" t="inlineStr">
        <is>
          <t>n° 20 : 0,50 + n° 21 : 0,50</t>
        </is>
      </c>
      <c r="H2414" t="n">
        <v>1</v>
      </c>
    </row>
    <row r="2415">
      <c r="A2415" t="inlineStr">
        <is>
          <t>2023-2024</t>
        </is>
      </c>
      <c r="B2415" t="inlineStr">
        <is>
          <t>2023-08-05</t>
        </is>
      </c>
      <c r="C2415" t="inlineStr">
        <is>
          <t>19:21</t>
        </is>
      </c>
      <c r="D2415" t="inlineStr">
        <is>
          <t>n° 18 + n° 19 + n° 20 + n° 21</t>
        </is>
      </c>
      <c r="E2415" t="inlineStr">
        <is>
          <t>Entrecôte Forestiére</t>
        </is>
      </c>
      <c r="F2415" t="n">
        <v>27.8</v>
      </c>
      <c r="G2415" t="inlineStr">
        <is>
          <t>n° 18 : 0,33 + n° 19 : 0,67</t>
        </is>
      </c>
      <c r="H2415" t="n">
        <v>1</v>
      </c>
    </row>
    <row r="2416">
      <c r="A2416" t="inlineStr">
        <is>
          <t>2023-2024</t>
        </is>
      </c>
      <c r="B2416" t="inlineStr">
        <is>
          <t>2023-08-05</t>
        </is>
      </c>
      <c r="C2416" t="inlineStr">
        <is>
          <t>19:21</t>
        </is>
      </c>
      <c r="D2416" t="inlineStr">
        <is>
          <t>n° 18 + n° 19 + n° 20 + n° 21</t>
        </is>
      </c>
      <c r="E2416" t="inlineStr">
        <is>
          <t>1/2 Arbois Béthanie</t>
        </is>
      </c>
      <c r="F2416" t="n">
        <v>24</v>
      </c>
      <c r="G2416" t="inlineStr">
        <is>
          <t>n° 18 : 0,33 + n° 19 : 0,67</t>
        </is>
      </c>
      <c r="H2416" t="n">
        <v>1</v>
      </c>
    </row>
    <row r="2417">
      <c r="A2417" t="inlineStr">
        <is>
          <t>2023-2024</t>
        </is>
      </c>
      <c r="B2417" t="inlineStr">
        <is>
          <t>2023-08-05</t>
        </is>
      </c>
      <c r="C2417" t="inlineStr">
        <is>
          <t>19:21</t>
        </is>
      </c>
      <c r="D2417" t="inlineStr">
        <is>
          <t>n° 18 + n° 19 + n° 20 + n° 21</t>
        </is>
      </c>
      <c r="E2417" t="inlineStr">
        <is>
          <t>Entrecôte grillée</t>
        </is>
      </c>
      <c r="F2417" t="n">
        <v>19.9</v>
      </c>
      <c r="G2417" t="inlineStr">
        <is>
          <t>n° 20 : 0,50 + n° 21 : 0,50</t>
        </is>
      </c>
      <c r="H2417" t="n">
        <v>1</v>
      </c>
    </row>
    <row r="2418">
      <c r="A2418" t="inlineStr">
        <is>
          <t>2023-2024</t>
        </is>
      </c>
      <c r="B2418" t="inlineStr">
        <is>
          <t>2023-08-05</t>
        </is>
      </c>
      <c r="C2418" t="inlineStr">
        <is>
          <t>19:21</t>
        </is>
      </c>
      <c r="D2418" t="inlineStr">
        <is>
          <t>n° 18 + n° 19 + n° 20 + n° 21</t>
        </is>
      </c>
      <c r="E2418" t="inlineStr">
        <is>
          <t>POULET JURASSIENNE</t>
        </is>
      </c>
      <c r="F2418" t="n">
        <v>18.6</v>
      </c>
      <c r="G2418" t="inlineStr">
        <is>
          <t>n° 18 : 0,33 + n° 19 : 0,67</t>
        </is>
      </c>
      <c r="H2418" t="n">
        <v>1</v>
      </c>
    </row>
    <row r="2419">
      <c r="A2419" t="inlineStr">
        <is>
          <t>2023-2024</t>
        </is>
      </c>
      <c r="B2419" t="inlineStr">
        <is>
          <t>2023-08-05</t>
        </is>
      </c>
      <c r="C2419" t="inlineStr">
        <is>
          <t>19:21</t>
        </is>
      </c>
      <c r="D2419" t="inlineStr">
        <is>
          <t>n° 18 + n° 19 + n° 20 + n° 21</t>
        </is>
      </c>
      <c r="E2419" t="inlineStr">
        <is>
          <t>TRUITE PESTO</t>
        </is>
      </c>
      <c r="F2419" t="n">
        <v>16.9</v>
      </c>
      <c r="G2419" t="inlineStr">
        <is>
          <t>n° 18 : 0,33 + n° 19 : 0,67</t>
        </is>
      </c>
      <c r="H2419" t="n">
        <v>1</v>
      </c>
    </row>
    <row r="2420">
      <c r="A2420" t="inlineStr">
        <is>
          <t>2023-2024</t>
        </is>
      </c>
      <c r="B2420" t="inlineStr">
        <is>
          <t>2023-08-05</t>
        </is>
      </c>
      <c r="C2420" t="inlineStr">
        <is>
          <t>19:21</t>
        </is>
      </c>
      <c r="D2420" t="inlineStr">
        <is>
          <t>n° 18 + n° 19 + n° 20 + n° 21</t>
        </is>
      </c>
      <c r="E2420" t="inlineStr">
        <is>
          <t>C du  Rhone St Josep</t>
        </is>
      </c>
      <c r="F2420" t="n">
        <v>9.699999999999999</v>
      </c>
      <c r="G2420" t="inlineStr">
        <is>
          <t>n° 18 : 0,33 + n° 19 : 0,67</t>
        </is>
      </c>
      <c r="H2420" t="n">
        <v>1</v>
      </c>
    </row>
    <row r="2421">
      <c r="A2421" t="inlineStr">
        <is>
          <t>2023-2024</t>
        </is>
      </c>
      <c r="B2421" t="inlineStr">
        <is>
          <t>2023-08-05</t>
        </is>
      </c>
      <c r="C2421" t="inlineStr">
        <is>
          <t>19:21</t>
        </is>
      </c>
      <c r="D2421" t="inlineStr">
        <is>
          <t>n° 18 + n° 19 + n° 20 + n° 21</t>
        </is>
      </c>
      <c r="E2421" t="inlineStr">
        <is>
          <t>CUPIDON</t>
        </is>
      </c>
      <c r="F2421" t="n">
        <v>9.300000000000001</v>
      </c>
      <c r="G2421" t="inlineStr">
        <is>
          <t>n° 18 : 0,33 + n° 19 : 0,67</t>
        </is>
      </c>
      <c r="H2421" t="n">
        <v>1</v>
      </c>
    </row>
    <row r="2422">
      <c r="A2422" t="inlineStr">
        <is>
          <t>2023-2024</t>
        </is>
      </c>
      <c r="B2422" t="inlineStr">
        <is>
          <t>2023-08-05</t>
        </is>
      </c>
      <c r="C2422" t="inlineStr">
        <is>
          <t>19:21</t>
        </is>
      </c>
      <c r="D2422" t="inlineStr">
        <is>
          <t>n° 18 + n° 19 + n° 20 + n° 21</t>
        </is>
      </c>
      <c r="E2422" t="inlineStr">
        <is>
          <t>Sprintz</t>
        </is>
      </c>
      <c r="F2422" t="n">
        <v>9</v>
      </c>
      <c r="G2422" t="inlineStr">
        <is>
          <t>n° 18 : 0,33 + n° 19 : 0,67</t>
        </is>
      </c>
      <c r="H2422" t="n">
        <v>1</v>
      </c>
    </row>
    <row r="2423">
      <c r="A2423" t="inlineStr">
        <is>
          <t>2023-2024</t>
        </is>
      </c>
      <c r="B2423" t="inlineStr">
        <is>
          <t>2023-08-05</t>
        </is>
      </c>
      <c r="C2423" t="inlineStr">
        <is>
          <t>19:21</t>
        </is>
      </c>
      <c r="D2423" t="inlineStr">
        <is>
          <t>n° 18 + n° 19 + n° 20 + n° 21</t>
        </is>
      </c>
      <c r="E2423" t="inlineStr">
        <is>
          <t>Baba</t>
        </is>
      </c>
      <c r="F2423" t="n">
        <v>8.9</v>
      </c>
      <c r="G2423" t="inlineStr">
        <is>
          <t>n° 18 : 0,33 + n° 19 : 0,67</t>
        </is>
      </c>
      <c r="H2423" t="n">
        <v>1</v>
      </c>
    </row>
    <row r="2424">
      <c r="A2424" t="inlineStr">
        <is>
          <t>2023-2024</t>
        </is>
      </c>
      <c r="B2424" t="inlineStr">
        <is>
          <t>2023-08-05</t>
        </is>
      </c>
      <c r="C2424" t="inlineStr">
        <is>
          <t>19:21</t>
        </is>
      </c>
      <c r="D2424" t="inlineStr">
        <is>
          <t>n° 18 + n° 19 + n° 20 + n° 21</t>
        </is>
      </c>
      <c r="E2424" t="inlineStr">
        <is>
          <t>Crêpe Flambée</t>
        </is>
      </c>
      <c r="F2424" t="n">
        <v>8.4</v>
      </c>
      <c r="G2424" t="inlineStr">
        <is>
          <t>n° 18 : 0,33 + n° 19 : 0,67</t>
        </is>
      </c>
      <c r="H2424" t="n">
        <v>1</v>
      </c>
    </row>
    <row r="2425">
      <c r="A2425" t="inlineStr">
        <is>
          <t>2023-2024</t>
        </is>
      </c>
      <c r="B2425" t="inlineStr">
        <is>
          <t>2023-08-05</t>
        </is>
      </c>
      <c r="C2425" t="inlineStr">
        <is>
          <t>19:21</t>
        </is>
      </c>
      <c r="D2425" t="inlineStr">
        <is>
          <t>n° 18 + n° 19 + n° 20 + n° 21</t>
        </is>
      </c>
      <c r="E2425" t="inlineStr">
        <is>
          <t>GLACE 3 BOULES</t>
        </is>
      </c>
      <c r="F2425" t="n">
        <v>7.9</v>
      </c>
      <c r="G2425" t="inlineStr">
        <is>
          <t>n° 18 : 0,67 + n° 19 : 1,33</t>
        </is>
      </c>
      <c r="H2425" t="n">
        <v>2</v>
      </c>
    </row>
    <row r="2426">
      <c r="A2426" t="inlineStr">
        <is>
          <t>2023-2024</t>
        </is>
      </c>
      <c r="B2426" t="inlineStr">
        <is>
          <t>2023-08-05</t>
        </is>
      </c>
      <c r="C2426" t="inlineStr">
        <is>
          <t>19:21</t>
        </is>
      </c>
      <c r="D2426" t="inlineStr">
        <is>
          <t>n° 18 + n° 19 + n° 20 + n° 21</t>
        </is>
      </c>
      <c r="E2426" t="inlineStr">
        <is>
          <t>Crêpe Salidou</t>
        </is>
      </c>
      <c r="F2426" t="n">
        <v>6.4</v>
      </c>
      <c r="G2426" t="inlineStr">
        <is>
          <t>n° 18 : 0,33 + n° 19 : 0,67</t>
        </is>
      </c>
      <c r="H2426" t="n">
        <v>1</v>
      </c>
    </row>
    <row r="2427">
      <c r="A2427" t="inlineStr">
        <is>
          <t>2023-2024</t>
        </is>
      </c>
      <c r="B2427" t="inlineStr">
        <is>
          <t>2023-08-05</t>
        </is>
      </c>
      <c r="C2427" t="inlineStr">
        <is>
          <t>19:21</t>
        </is>
      </c>
      <c r="D2427" t="inlineStr">
        <is>
          <t>n° 18 + n° 19 + n° 20 + n° 21</t>
        </is>
      </c>
      <c r="E2427" t="inlineStr">
        <is>
          <t>San Pelegrino</t>
        </is>
      </c>
      <c r="F2427" t="n">
        <v>5.9</v>
      </c>
      <c r="G2427" t="inlineStr">
        <is>
          <t>n° 18 : 0,33 + n° 19 : 0,67</t>
        </is>
      </c>
      <c r="H2427" t="n">
        <v>1</v>
      </c>
    </row>
    <row r="2428">
      <c r="A2428" t="inlineStr">
        <is>
          <t>2023-2024</t>
        </is>
      </c>
      <c r="B2428" t="inlineStr">
        <is>
          <t>2023-08-05</t>
        </is>
      </c>
      <c r="C2428" t="inlineStr">
        <is>
          <t>19:21</t>
        </is>
      </c>
      <c r="D2428" t="inlineStr">
        <is>
          <t>n° 18 + n° 19 + n° 20 + n° 21</t>
        </is>
      </c>
      <c r="E2428" t="inlineStr">
        <is>
          <t>Chat perché</t>
        </is>
      </c>
      <c r="F2428" t="n">
        <v>5.9</v>
      </c>
      <c r="G2428" t="inlineStr">
        <is>
          <t>n° 18 : 0,33 + n° 19 : 0,67</t>
        </is>
      </c>
      <c r="H2428" t="n">
        <v>1</v>
      </c>
    </row>
    <row r="2429">
      <c r="A2429" t="inlineStr">
        <is>
          <t>2023-2024</t>
        </is>
      </c>
      <c r="B2429" t="inlineStr">
        <is>
          <t>2023-08-05</t>
        </is>
      </c>
      <c r="C2429" t="inlineStr">
        <is>
          <t>19:21</t>
        </is>
      </c>
      <c r="D2429" t="inlineStr">
        <is>
          <t>n° 18 + n° 19 + n° 20 + n° 21</t>
        </is>
      </c>
      <c r="E2429" t="inlineStr">
        <is>
          <t>Père Gregoire</t>
        </is>
      </c>
      <c r="F2429" t="n">
        <v>5.9</v>
      </c>
      <c r="G2429" t="inlineStr">
        <is>
          <t>n° 18 : 0,33 + n° 19 : 0,67</t>
        </is>
      </c>
      <c r="H2429" t="n">
        <v>1</v>
      </c>
    </row>
    <row r="2430">
      <c r="A2430" t="inlineStr">
        <is>
          <t>2023-2024</t>
        </is>
      </c>
      <c r="B2430" t="inlineStr">
        <is>
          <t>2023-08-05</t>
        </is>
      </c>
      <c r="C2430" t="inlineStr">
        <is>
          <t>19:21</t>
        </is>
      </c>
      <c r="D2430" t="inlineStr">
        <is>
          <t>n° 18 + n° 19 + n° 20 + n° 21</t>
        </is>
      </c>
      <c r="E2430" t="inlineStr">
        <is>
          <t>pression</t>
        </is>
      </c>
      <c r="F2430" t="n">
        <v>4.2</v>
      </c>
      <c r="G2430" t="inlineStr">
        <is>
          <t>n° 18 : 0,67 + n° 19 : 1,33 + n° 20 : 1,00 + n° 21 : 1,00</t>
        </is>
      </c>
      <c r="H2430" t="n">
        <v>4</v>
      </c>
    </row>
    <row r="2431">
      <c r="A2431" t="inlineStr">
        <is>
          <t>2023-2024</t>
        </is>
      </c>
      <c r="B2431" t="inlineStr">
        <is>
          <t>2023-08-05</t>
        </is>
      </c>
      <c r="C2431" t="inlineStr">
        <is>
          <t>19:21</t>
        </is>
      </c>
      <c r="D2431" t="inlineStr">
        <is>
          <t>n° 18 + n° 19 + n° 20 + n° 21</t>
        </is>
      </c>
      <c r="E2431" t="inlineStr">
        <is>
          <t>Jus de Fruit</t>
        </is>
      </c>
      <c r="F2431" t="n">
        <v>4.2</v>
      </c>
      <c r="G2431" t="inlineStr">
        <is>
          <t>n° 18 : 0,33 + n° 19 : 0,67</t>
        </is>
      </c>
      <c r="H2431" t="n">
        <v>1</v>
      </c>
    </row>
    <row r="2432">
      <c r="A2432" t="inlineStr">
        <is>
          <t>2023-2024</t>
        </is>
      </c>
      <c r="B2432" t="inlineStr">
        <is>
          <t>2023-08-05</t>
        </is>
      </c>
      <c r="C2432" t="inlineStr">
        <is>
          <t>19:21</t>
        </is>
      </c>
      <c r="D2432" t="inlineStr">
        <is>
          <t>n° 18 + n° 19 + n° 20 + n° 21</t>
        </is>
      </c>
      <c r="E2432" t="inlineStr">
        <is>
          <t>Orangina (25cl)</t>
        </is>
      </c>
      <c r="F2432" t="n">
        <v>3.9</v>
      </c>
      <c r="G2432" t="inlineStr">
        <is>
          <t>n° 18 : 0,33 + n° 19 : 0,67</t>
        </is>
      </c>
      <c r="H2432" t="n">
        <v>1</v>
      </c>
    </row>
    <row r="2433">
      <c r="A2433" t="inlineStr">
        <is>
          <t>2023-2024</t>
        </is>
      </c>
      <c r="B2433" t="inlineStr">
        <is>
          <t>2023-08-05</t>
        </is>
      </c>
      <c r="C2433" t="inlineStr">
        <is>
          <t>19:21</t>
        </is>
      </c>
      <c r="D2433" t="inlineStr">
        <is>
          <t>n° 18 + n° 19 + n° 20 + n° 21</t>
        </is>
      </c>
      <c r="E2433" t="inlineStr">
        <is>
          <t>GLACE 1 BOULE</t>
        </is>
      </c>
      <c r="F2433" t="n">
        <v>3.5</v>
      </c>
      <c r="G2433" t="inlineStr">
        <is>
          <t>n° 18 : 0,33 + n° 19 : 0,67</t>
        </is>
      </c>
      <c r="H2433" t="n">
        <v>1</v>
      </c>
    </row>
    <row r="2434">
      <c r="A2434" t="inlineStr">
        <is>
          <t>2023-2024</t>
        </is>
      </c>
      <c r="B2434" t="inlineStr">
        <is>
          <t>2023-08-05</t>
        </is>
      </c>
      <c r="C2434" t="inlineStr">
        <is>
          <t>19:21</t>
        </is>
      </c>
      <c r="D2434" t="inlineStr">
        <is>
          <t>n° 18 + n° 19 + n° 20 + n° 21</t>
        </is>
      </c>
      <c r="E2434" t="inlineStr">
        <is>
          <t>Chantilly</t>
        </is>
      </c>
      <c r="F2434" t="n">
        <v>2</v>
      </c>
      <c r="G2434" t="inlineStr">
        <is>
          <t>n° 18 : 0,33 + n° 19 : 0,67</t>
        </is>
      </c>
      <c r="H2434" t="n">
        <v>1</v>
      </c>
    </row>
    <row r="2435">
      <c r="A2435" t="inlineStr">
        <is>
          <t>2023-2024</t>
        </is>
      </c>
      <c r="B2435" t="inlineStr">
        <is>
          <t>2023-08-06</t>
        </is>
      </c>
      <c r="C2435" t="inlineStr">
        <is>
          <t>20:44</t>
        </is>
      </c>
      <c r="D2435" t="inlineStr">
        <is>
          <t>n° 28 + n° 29</t>
        </is>
      </c>
      <c r="E2435" t="inlineStr">
        <is>
          <t>ENTRECOTE MORILLES</t>
        </is>
      </c>
      <c r="F2435" t="n">
        <v>34.8</v>
      </c>
      <c r="G2435" t="inlineStr">
        <is>
          <t>n° 28 : 0,50 + n° 29 : 0,50</t>
        </is>
      </c>
      <c r="H2435" t="n">
        <v>1</v>
      </c>
    </row>
    <row r="2436">
      <c r="A2436" t="inlineStr">
        <is>
          <t>2023-2024</t>
        </is>
      </c>
      <c r="B2436" t="inlineStr">
        <is>
          <t>2023-08-06</t>
        </is>
      </c>
      <c r="C2436" t="inlineStr">
        <is>
          <t>20:44</t>
        </is>
      </c>
      <c r="D2436" t="inlineStr">
        <is>
          <t>n° 28 + n° 29</t>
        </is>
      </c>
      <c r="E2436" t="inlineStr">
        <is>
          <t>PICHET SAVAGNIN</t>
        </is>
      </c>
      <c r="F2436" t="n">
        <v>28</v>
      </c>
      <c r="G2436" t="inlineStr">
        <is>
          <t>n° 28 : 0,50 + n° 29 : 0,50</t>
        </is>
      </c>
      <c r="H2436" t="n">
        <v>1</v>
      </c>
    </row>
    <row r="2437">
      <c r="A2437" t="inlineStr">
        <is>
          <t>2023-2024</t>
        </is>
      </c>
      <c r="B2437" t="inlineStr">
        <is>
          <t>2023-08-06</t>
        </is>
      </c>
      <c r="C2437" t="inlineStr">
        <is>
          <t>20:44</t>
        </is>
      </c>
      <c r="D2437" t="inlineStr">
        <is>
          <t>n° 28 + n° 29</t>
        </is>
      </c>
      <c r="E2437" t="inlineStr">
        <is>
          <t>CAMEMBERT ROTI</t>
        </is>
      </c>
      <c r="F2437" t="n">
        <v>18.6</v>
      </c>
      <c r="G2437" t="inlineStr">
        <is>
          <t>n° 28 : 0,50 + n° 29 : 0,50</t>
        </is>
      </c>
      <c r="H2437" t="n">
        <v>1</v>
      </c>
    </row>
    <row r="2438">
      <c r="A2438" t="inlineStr">
        <is>
          <t>2023-2024</t>
        </is>
      </c>
      <c r="B2438" t="inlineStr">
        <is>
          <t>2023-08-06</t>
        </is>
      </c>
      <c r="C2438" t="inlineStr">
        <is>
          <t>20:44</t>
        </is>
      </c>
      <c r="D2438" t="inlineStr">
        <is>
          <t>n° 28 + n° 29</t>
        </is>
      </c>
      <c r="E2438" t="inlineStr">
        <is>
          <t>Fondue Jurassienne</t>
        </is>
      </c>
      <c r="F2438" t="n">
        <v>16.9</v>
      </c>
      <c r="G2438" t="inlineStr">
        <is>
          <t>n° 28 : 1,50 + n° 29 : 1,50</t>
        </is>
      </c>
      <c r="H2438" t="n">
        <v>3</v>
      </c>
    </row>
    <row r="2439">
      <c r="A2439" t="inlineStr">
        <is>
          <t>2023-2024</t>
        </is>
      </c>
      <c r="B2439" t="inlineStr">
        <is>
          <t>2023-08-06</t>
        </is>
      </c>
      <c r="C2439" t="inlineStr">
        <is>
          <t>20:44</t>
        </is>
      </c>
      <c r="D2439" t="inlineStr">
        <is>
          <t>n° 28 + n° 29</t>
        </is>
      </c>
      <c r="E2439" t="inlineStr">
        <is>
          <t>LIGOUSE</t>
        </is>
      </c>
      <c r="F2439" t="n">
        <v>16.6</v>
      </c>
      <c r="G2439" t="inlineStr">
        <is>
          <t>n° 28 : 0,50 + n° 29 : 0,50</t>
        </is>
      </c>
      <c r="H2439" t="n">
        <v>1</v>
      </c>
    </row>
    <row r="2440">
      <c r="A2440" t="inlineStr">
        <is>
          <t>2023-2024</t>
        </is>
      </c>
      <c r="B2440" t="inlineStr">
        <is>
          <t>2023-08-06</t>
        </is>
      </c>
      <c r="C2440" t="inlineStr">
        <is>
          <t>20:44</t>
        </is>
      </c>
      <c r="D2440" t="inlineStr">
        <is>
          <t>n° 28 + n° 29</t>
        </is>
      </c>
      <c r="E2440" t="inlineStr">
        <is>
          <t>C du  Rhone St Josep</t>
        </is>
      </c>
      <c r="F2440" t="n">
        <v>9.699999999999999</v>
      </c>
      <c r="G2440" t="inlineStr">
        <is>
          <t>n° 28 : 0,50 + n° 29 : 0,50</t>
        </is>
      </c>
      <c r="H2440" t="n">
        <v>1</v>
      </c>
    </row>
    <row r="2441">
      <c r="A2441" t="inlineStr">
        <is>
          <t>2023-2024</t>
        </is>
      </c>
      <c r="B2441" t="inlineStr">
        <is>
          <t>2023-08-06</t>
        </is>
      </c>
      <c r="C2441" t="inlineStr">
        <is>
          <t>20:44</t>
        </is>
      </c>
      <c r="D2441" t="inlineStr">
        <is>
          <t>n° 28 + n° 29</t>
        </is>
      </c>
      <c r="E2441" t="inlineStr">
        <is>
          <t>Assortiment charcute</t>
        </is>
      </c>
      <c r="F2441" t="n">
        <v>8.9</v>
      </c>
      <c r="G2441" t="inlineStr">
        <is>
          <t>n° 28 : 0,50 + n° 29 : 0,50</t>
        </is>
      </c>
      <c r="H2441" t="n">
        <v>1</v>
      </c>
    </row>
    <row r="2442">
      <c r="A2442" t="inlineStr">
        <is>
          <t>2023-2024</t>
        </is>
      </c>
      <c r="B2442" t="inlineStr">
        <is>
          <t>2023-08-06</t>
        </is>
      </c>
      <c r="C2442" t="inlineStr">
        <is>
          <t>20:44</t>
        </is>
      </c>
      <c r="D2442" t="inlineStr">
        <is>
          <t>n° 28 + n° 29</t>
        </is>
      </c>
      <c r="E2442" t="inlineStr">
        <is>
          <t>Saint Véran Verre</t>
        </is>
      </c>
      <c r="F2442" t="n">
        <v>7.9</v>
      </c>
      <c r="G2442" t="inlineStr">
        <is>
          <t>n° 28 : 0,50 + n° 29 : 0,50</t>
        </is>
      </c>
      <c r="H2442" t="n">
        <v>1</v>
      </c>
    </row>
    <row r="2443">
      <c r="A2443" t="inlineStr">
        <is>
          <t>2023-2024</t>
        </is>
      </c>
      <c r="B2443" t="inlineStr">
        <is>
          <t>2023-08-06</t>
        </is>
      </c>
      <c r="C2443" t="inlineStr">
        <is>
          <t>20:44</t>
        </is>
      </c>
      <c r="D2443" t="inlineStr">
        <is>
          <t>n° 28 + n° 29</t>
        </is>
      </c>
      <c r="E2443" t="inlineStr">
        <is>
          <t>Beaujolais Moulin à</t>
        </is>
      </c>
      <c r="F2443" t="n">
        <v>7.6</v>
      </c>
      <c r="G2443" t="inlineStr">
        <is>
          <t>n° 28 : 0,50 + n° 29 : 0,50</t>
        </is>
      </c>
      <c r="H2443" t="n">
        <v>1</v>
      </c>
    </row>
    <row r="2444">
      <c r="A2444" t="inlineStr">
        <is>
          <t>2023-2024</t>
        </is>
      </c>
      <c r="B2444" t="inlineStr">
        <is>
          <t>2023-08-06</t>
        </is>
      </c>
      <c r="C2444" t="inlineStr">
        <is>
          <t>20:44</t>
        </is>
      </c>
      <c r="D2444" t="inlineStr">
        <is>
          <t>n° 28 + n° 29</t>
        </is>
      </c>
      <c r="E2444" t="inlineStr">
        <is>
          <t>Blanche des plateaux</t>
        </is>
      </c>
      <c r="F2444" t="n">
        <v>6.9</v>
      </c>
      <c r="G2444" t="inlineStr">
        <is>
          <t>n° 28 : 0,50 + n° 29 : 0,50</t>
        </is>
      </c>
      <c r="H2444" t="n">
        <v>1</v>
      </c>
    </row>
    <row r="2445">
      <c r="A2445" t="inlineStr">
        <is>
          <t>2023-2024</t>
        </is>
      </c>
      <c r="B2445" t="inlineStr">
        <is>
          <t>2023-08-06</t>
        </is>
      </c>
      <c r="C2445" t="inlineStr">
        <is>
          <t>20:44</t>
        </is>
      </c>
      <c r="D2445" t="inlineStr">
        <is>
          <t>n° 28 + n° 29</t>
        </is>
      </c>
      <c r="E2445" t="inlineStr">
        <is>
          <t>Mambo</t>
        </is>
      </c>
      <c r="F2445" t="n">
        <v>6.5</v>
      </c>
      <c r="G2445" t="inlineStr">
        <is>
          <t>n° 28 : 0,50 + n° 29 : 0,50</t>
        </is>
      </c>
      <c r="H2445" t="n">
        <v>1</v>
      </c>
    </row>
    <row r="2446">
      <c r="A2446" t="inlineStr">
        <is>
          <t>2023-2024</t>
        </is>
      </c>
      <c r="B2446" t="inlineStr">
        <is>
          <t>2023-08-06</t>
        </is>
      </c>
      <c r="C2446" t="inlineStr">
        <is>
          <t>20:44</t>
        </is>
      </c>
      <c r="D2446" t="inlineStr">
        <is>
          <t>n° 28 + n° 29</t>
        </is>
      </c>
      <c r="E2446" t="inlineStr">
        <is>
          <t>Kir Bourgogne</t>
        </is>
      </c>
      <c r="F2446" t="n">
        <v>4.2</v>
      </c>
      <c r="G2446" t="inlineStr">
        <is>
          <t>n° 28 : 0,50 + n° 29 : 0,50</t>
        </is>
      </c>
      <c r="H2446" t="n">
        <v>1</v>
      </c>
    </row>
    <row r="2447">
      <c r="A2447" t="inlineStr">
        <is>
          <t>2023-2024</t>
        </is>
      </c>
      <c r="B2447" t="inlineStr">
        <is>
          <t>2023-08-06</t>
        </is>
      </c>
      <c r="C2447" t="inlineStr">
        <is>
          <t>20:44</t>
        </is>
      </c>
      <c r="D2447" t="inlineStr">
        <is>
          <t>n° 28 + n° 29</t>
        </is>
      </c>
      <c r="E2447" t="inlineStr">
        <is>
          <t>Monaco</t>
        </is>
      </c>
      <c r="F2447" t="n">
        <v>4.2</v>
      </c>
      <c r="G2447" t="inlineStr">
        <is>
          <t>n° 28 : 0,50 + n° 29 : 0,50</t>
        </is>
      </c>
      <c r="H2447" t="n">
        <v>1</v>
      </c>
    </row>
    <row r="2448">
      <c r="A2448" t="inlineStr">
        <is>
          <t>2023-2024</t>
        </is>
      </c>
      <c r="B2448" t="inlineStr">
        <is>
          <t>2023-08-06</t>
        </is>
      </c>
      <c r="C2448" t="inlineStr">
        <is>
          <t>20:44</t>
        </is>
      </c>
      <c r="D2448" t="inlineStr">
        <is>
          <t>n° 28 + n° 29</t>
        </is>
      </c>
      <c r="E2448" t="inlineStr">
        <is>
          <t>Perrier 33cl</t>
        </is>
      </c>
      <c r="F2448" t="n">
        <v>4</v>
      </c>
      <c r="G2448" t="inlineStr">
        <is>
          <t>n° 28 : 0,50 + n° 29 : 0,50</t>
        </is>
      </c>
      <c r="H2448" t="n">
        <v>1</v>
      </c>
    </row>
    <row r="2449">
      <c r="A2449" t="inlineStr">
        <is>
          <t>2023-2024</t>
        </is>
      </c>
      <c r="B2449" t="inlineStr">
        <is>
          <t>2023-08-06</t>
        </is>
      </c>
      <c r="C2449" t="inlineStr">
        <is>
          <t>20:44</t>
        </is>
      </c>
      <c r="D2449" t="inlineStr">
        <is>
          <t>n° 28 + n° 29</t>
        </is>
      </c>
      <c r="E2449" t="inlineStr">
        <is>
          <t>POMMES FRITES</t>
        </is>
      </c>
      <c r="F2449" t="n">
        <v>3.9</v>
      </c>
      <c r="G2449" t="inlineStr">
        <is>
          <t>n° 28 : 0,50 + n° 29 : 0,50</t>
        </is>
      </c>
      <c r="H2449" t="n">
        <v>1</v>
      </c>
    </row>
    <row r="2450">
      <c r="A2450" t="inlineStr">
        <is>
          <t>2023-2024</t>
        </is>
      </c>
      <c r="B2450" t="inlineStr">
        <is>
          <t>2023-08-06</t>
        </is>
      </c>
      <c r="C2450" t="inlineStr">
        <is>
          <t>20:44</t>
        </is>
      </c>
      <c r="D2450" t="inlineStr">
        <is>
          <t>n° 28 + n° 29</t>
        </is>
      </c>
      <c r="E2450" t="inlineStr">
        <is>
          <t>Pommes grenailles</t>
        </is>
      </c>
      <c r="F2450" t="n">
        <v>3.9</v>
      </c>
      <c r="G2450" t="inlineStr">
        <is>
          <t>n° 28 : 0,50 + n° 29 : 0,50</t>
        </is>
      </c>
      <c r="H2450" t="n">
        <v>1</v>
      </c>
    </row>
    <row r="2451">
      <c r="A2451" t="inlineStr">
        <is>
          <t>2023-2024</t>
        </is>
      </c>
      <c r="B2451" t="inlineStr">
        <is>
          <t>2023-08-06</t>
        </is>
      </c>
      <c r="C2451" t="inlineStr">
        <is>
          <t>20:44</t>
        </is>
      </c>
      <c r="D2451" t="inlineStr">
        <is>
          <t>n° 28 + n° 29</t>
        </is>
      </c>
      <c r="E2451" t="inlineStr">
        <is>
          <t>Coca (25cl)</t>
        </is>
      </c>
      <c r="F2451" t="n">
        <v>3.9</v>
      </c>
      <c r="G2451" t="inlineStr">
        <is>
          <t>n° 28 : 0,50 + n° 29 : 0,50</t>
        </is>
      </c>
      <c r="H2451" t="n">
        <v>1</v>
      </c>
    </row>
    <row r="2452">
      <c r="A2452" t="inlineStr">
        <is>
          <t>2023-2024</t>
        </is>
      </c>
      <c r="B2452" t="inlineStr">
        <is>
          <t>2023-08-06</t>
        </is>
      </c>
      <c r="C2452" t="inlineStr">
        <is>
          <t>20:44</t>
        </is>
      </c>
      <c r="D2452" t="inlineStr">
        <is>
          <t>n° 28 + n° 29</t>
        </is>
      </c>
      <c r="E2452" t="inlineStr">
        <is>
          <t>Fuze Tea</t>
        </is>
      </c>
      <c r="F2452" t="n">
        <v>3.9</v>
      </c>
      <c r="G2452" t="inlineStr">
        <is>
          <t>n° 28 : 0,50 + n° 29 : 0,50</t>
        </is>
      </c>
      <c r="H2452" t="n">
        <v>1</v>
      </c>
    </row>
    <row r="2453">
      <c r="A2453" t="inlineStr">
        <is>
          <t>2023-2024</t>
        </is>
      </c>
      <c r="B2453" t="inlineStr">
        <is>
          <t>2023-08-09</t>
        </is>
      </c>
      <c r="C2453" t="inlineStr">
        <is>
          <t>12:43</t>
        </is>
      </c>
      <c r="D2453" t="inlineStr">
        <is>
          <t>n° 8 + n° 9</t>
        </is>
      </c>
      <c r="E2453" t="inlineStr">
        <is>
          <t>Truite Morilles</t>
        </is>
      </c>
      <c r="F2453" t="n">
        <v>27.8</v>
      </c>
      <c r="G2453" t="inlineStr">
        <is>
          <t>n° 8 : 0,50 + n° 9 : 0,50</t>
        </is>
      </c>
      <c r="H2453" t="n">
        <v>1</v>
      </c>
    </row>
    <row r="2454">
      <c r="A2454" t="inlineStr">
        <is>
          <t>2023-2024</t>
        </is>
      </c>
      <c r="B2454" t="inlineStr">
        <is>
          <t>2023-08-09</t>
        </is>
      </c>
      <c r="C2454" t="inlineStr">
        <is>
          <t>12:43</t>
        </is>
      </c>
      <c r="D2454" t="inlineStr">
        <is>
          <t>n° 8 + n° 9</t>
        </is>
      </c>
      <c r="E2454" t="inlineStr">
        <is>
          <t>MACHON GOURMET</t>
        </is>
      </c>
      <c r="F2454" t="n">
        <v>25</v>
      </c>
      <c r="G2454" t="inlineStr">
        <is>
          <t>n° 8 : 0,50 + n° 9 : 0,50</t>
        </is>
      </c>
      <c r="H2454" t="n">
        <v>1</v>
      </c>
    </row>
    <row r="2455">
      <c r="A2455" t="inlineStr">
        <is>
          <t>2023-2024</t>
        </is>
      </c>
      <c r="B2455" t="inlineStr">
        <is>
          <t>2023-08-09</t>
        </is>
      </c>
      <c r="C2455" t="inlineStr">
        <is>
          <t>12:43</t>
        </is>
      </c>
      <c r="D2455" t="inlineStr">
        <is>
          <t>n° 8 + n° 9</t>
        </is>
      </c>
      <c r="E2455" t="inlineStr">
        <is>
          <t>Baba</t>
        </is>
      </c>
      <c r="F2455" t="n">
        <v>8.9</v>
      </c>
      <c r="G2455" t="inlineStr">
        <is>
          <t>n° 8 : 0,50 + n° 9 : 0,50</t>
        </is>
      </c>
      <c r="H2455" t="n">
        <v>1</v>
      </c>
    </row>
    <row r="2456">
      <c r="A2456" t="inlineStr">
        <is>
          <t>2023-2024</t>
        </is>
      </c>
      <c r="B2456" t="inlineStr">
        <is>
          <t>2023-08-09</t>
        </is>
      </c>
      <c r="C2456" t="inlineStr">
        <is>
          <t>12:43</t>
        </is>
      </c>
      <c r="D2456" t="inlineStr">
        <is>
          <t>n° 8 + n° 9</t>
        </is>
      </c>
      <c r="E2456" t="inlineStr">
        <is>
          <t>Verre Rosé</t>
        </is>
      </c>
      <c r="F2456" t="n">
        <v>3.9</v>
      </c>
      <c r="G2456" t="inlineStr">
        <is>
          <t>n° 8 : 0,50 + n° 9 : 0,50</t>
        </is>
      </c>
      <c r="H2456" t="n">
        <v>1</v>
      </c>
    </row>
    <row r="2457">
      <c r="A2457" t="inlineStr">
        <is>
          <t>2023-2024</t>
        </is>
      </c>
      <c r="B2457" t="inlineStr">
        <is>
          <t>2023-08-09</t>
        </is>
      </c>
      <c r="C2457" t="inlineStr">
        <is>
          <t>12:43</t>
        </is>
      </c>
      <c r="D2457" t="inlineStr">
        <is>
          <t>n° 8 + n° 9</t>
        </is>
      </c>
      <c r="E2457" t="inlineStr">
        <is>
          <t>GLACE 1 BOULE</t>
        </is>
      </c>
      <c r="F2457" t="n">
        <v>3.5</v>
      </c>
      <c r="G2457" t="inlineStr">
        <is>
          <t>n° 8 : 0,50 + n° 9 : 0,50</t>
        </is>
      </c>
      <c r="H2457" t="n">
        <v>1</v>
      </c>
    </row>
    <row r="2458">
      <c r="A2458" t="inlineStr">
        <is>
          <t>2023-2024</t>
        </is>
      </c>
      <c r="B2458" t="inlineStr">
        <is>
          <t>2023-08-09</t>
        </is>
      </c>
      <c r="C2458" t="inlineStr">
        <is>
          <t>13:04</t>
        </is>
      </c>
      <c r="D2458" t="inlineStr">
        <is>
          <t>n° 14 + n° 15 + n° 17 + n° 18</t>
        </is>
      </c>
      <c r="E2458" t="inlineStr">
        <is>
          <t>Arbois Béthanie</t>
        </is>
      </c>
      <c r="F2458" t="n">
        <v>36</v>
      </c>
      <c r="G2458" t="inlineStr">
        <is>
          <t>n° 14 : 0,50 + n° 15 : 0,50</t>
        </is>
      </c>
      <c r="H2458" t="n">
        <v>1</v>
      </c>
    </row>
    <row r="2459">
      <c r="A2459" t="inlineStr">
        <is>
          <t>2023-2024</t>
        </is>
      </c>
      <c r="B2459" t="inlineStr">
        <is>
          <t>2023-08-09</t>
        </is>
      </c>
      <c r="C2459" t="inlineStr">
        <is>
          <t>13:04</t>
        </is>
      </c>
      <c r="D2459" t="inlineStr">
        <is>
          <t>n° 14 + n° 15 + n° 17 + n° 18</t>
        </is>
      </c>
      <c r="E2459" t="inlineStr">
        <is>
          <t>PiCHET TROUSSEAU</t>
        </is>
      </c>
      <c r="F2459" t="n">
        <v>28</v>
      </c>
      <c r="G2459" t="inlineStr">
        <is>
          <t>n° 17 : 0,50 + n° 18 : 0,50</t>
        </is>
      </c>
      <c r="H2459" t="n">
        <v>1</v>
      </c>
    </row>
    <row r="2460">
      <c r="A2460" t="inlineStr">
        <is>
          <t>2023-2024</t>
        </is>
      </c>
      <c r="B2460" t="inlineStr">
        <is>
          <t>2023-08-09</t>
        </is>
      </c>
      <c r="C2460" t="inlineStr">
        <is>
          <t>13:04</t>
        </is>
      </c>
      <c r="D2460" t="inlineStr">
        <is>
          <t>n° 14 + n° 15 + n° 17 + n° 18</t>
        </is>
      </c>
      <c r="E2460" t="inlineStr">
        <is>
          <t>Fa</t>
        </is>
      </c>
      <c r="F2460" t="n">
        <v>9</v>
      </c>
      <c r="G2460" t="inlineStr">
        <is>
          <t>n° 14 : 0,50 + n° 15 : 0,50</t>
        </is>
      </c>
      <c r="H2460" t="n">
        <v>1</v>
      </c>
    </row>
    <row r="2461">
      <c r="A2461" t="inlineStr">
        <is>
          <t>2023-2024</t>
        </is>
      </c>
      <c r="B2461" t="inlineStr">
        <is>
          <t>2023-08-09</t>
        </is>
      </c>
      <c r="C2461" t="inlineStr">
        <is>
          <t>13:04</t>
        </is>
      </c>
      <c r="D2461" t="inlineStr">
        <is>
          <t>n° 14 + n° 15 + n° 17 + n° 18</t>
        </is>
      </c>
      <c r="E2461" t="inlineStr">
        <is>
          <t>Sol</t>
        </is>
      </c>
      <c r="F2461" t="n">
        <v>9</v>
      </c>
      <c r="G2461" t="inlineStr">
        <is>
          <t>n° 14 : 0,50 + n° 15 : 0,50</t>
        </is>
      </c>
      <c r="H2461" t="n">
        <v>1</v>
      </c>
    </row>
    <row r="2462">
      <c r="A2462" t="inlineStr">
        <is>
          <t>2023-2024</t>
        </is>
      </c>
      <c r="B2462" t="inlineStr">
        <is>
          <t>2023-08-09</t>
        </is>
      </c>
      <c r="C2462" t="inlineStr">
        <is>
          <t>13:04</t>
        </is>
      </c>
      <c r="D2462" t="inlineStr">
        <is>
          <t>n° 14 + n° 15 + n° 17 + n° 18</t>
        </is>
      </c>
      <c r="E2462" t="inlineStr">
        <is>
          <t>Pavlova</t>
        </is>
      </c>
      <c r="F2462" t="n">
        <v>8.9</v>
      </c>
      <c r="G2462" t="inlineStr">
        <is>
          <t>n° 14 : 0,50 + n° 15 : 0,50</t>
        </is>
      </c>
      <c r="H2462" t="n">
        <v>1</v>
      </c>
    </row>
    <row r="2463">
      <c r="A2463" t="inlineStr">
        <is>
          <t>2023-2024</t>
        </is>
      </c>
      <c r="B2463" t="inlineStr">
        <is>
          <t>2023-08-09</t>
        </is>
      </c>
      <c r="C2463" t="inlineStr">
        <is>
          <t>13:04</t>
        </is>
      </c>
      <c r="D2463" t="inlineStr">
        <is>
          <t>n° 14 + n° 15 + n° 17 + n° 18</t>
        </is>
      </c>
      <c r="E2463" t="inlineStr">
        <is>
          <t>CREME BRULEE</t>
        </is>
      </c>
      <c r="F2463" t="n">
        <v>7.9</v>
      </c>
      <c r="G2463" t="inlineStr">
        <is>
          <t>n° 14 : 0,50 + n° 15 : 0,50 + n° 17 : 0,50 + n° 18 : 0,50</t>
        </is>
      </c>
      <c r="H2463" t="n">
        <v>2</v>
      </c>
    </row>
    <row r="2464">
      <c r="A2464" t="inlineStr">
        <is>
          <t>2023-2024</t>
        </is>
      </c>
      <c r="B2464" t="inlineStr">
        <is>
          <t>2023-08-09</t>
        </is>
      </c>
      <c r="C2464" t="inlineStr">
        <is>
          <t>13:04</t>
        </is>
      </c>
      <c r="D2464" t="inlineStr">
        <is>
          <t>n° 14 + n° 15 + n° 17 + n° 18</t>
        </is>
      </c>
      <c r="E2464" t="inlineStr">
        <is>
          <t>Macvin du Jura</t>
        </is>
      </c>
      <c r="F2464" t="n">
        <v>5.9</v>
      </c>
      <c r="G2464" t="inlineStr">
        <is>
          <t>n° 17 : 0,50 + n° 18 : 0,50</t>
        </is>
      </c>
      <c r="H2464" t="n">
        <v>1</v>
      </c>
    </row>
    <row r="2465">
      <c r="A2465" t="inlineStr">
        <is>
          <t>2023-2024</t>
        </is>
      </c>
      <c r="B2465" t="inlineStr">
        <is>
          <t>2023-08-09</t>
        </is>
      </c>
      <c r="C2465" t="inlineStr">
        <is>
          <t>13:04</t>
        </is>
      </c>
      <c r="D2465" t="inlineStr">
        <is>
          <t>n° 14 + n° 15 + n° 17 + n° 18</t>
        </is>
      </c>
      <c r="E2465" t="inlineStr">
        <is>
          <t>GLACE 2 BOULES</t>
        </is>
      </c>
      <c r="F2465" t="n">
        <v>5.5</v>
      </c>
      <c r="G2465" t="inlineStr">
        <is>
          <t>n° 17 : 0,50 + n° 18 : 0,50</t>
        </is>
      </c>
      <c r="H2465" t="n">
        <v>1</v>
      </c>
    </row>
    <row r="2466">
      <c r="A2466" t="inlineStr">
        <is>
          <t>2023-2024</t>
        </is>
      </c>
      <c r="B2466" t="inlineStr">
        <is>
          <t>2023-08-09</t>
        </is>
      </c>
      <c r="C2466" t="inlineStr">
        <is>
          <t>13:04</t>
        </is>
      </c>
      <c r="D2466" t="inlineStr">
        <is>
          <t>n° 14 + n° 15 + n° 17 + n° 18</t>
        </is>
      </c>
      <c r="E2466" t="inlineStr">
        <is>
          <t>GLACE 1 BOULE</t>
        </is>
      </c>
      <c r="F2466" t="n">
        <v>3.5</v>
      </c>
      <c r="G2466" t="inlineStr">
        <is>
          <t>n° 17 : 0,50 + n° 18 : 0,50</t>
        </is>
      </c>
      <c r="H2466" t="n">
        <v>1</v>
      </c>
    </row>
    <row r="2467">
      <c r="A2467" t="inlineStr">
        <is>
          <t>2023-2024</t>
        </is>
      </c>
      <c r="B2467" t="inlineStr">
        <is>
          <t>2023-08-09</t>
        </is>
      </c>
      <c r="C2467" t="inlineStr">
        <is>
          <t>13:04</t>
        </is>
      </c>
      <c r="D2467" t="inlineStr">
        <is>
          <t>n° 14 + n° 15 + n° 17 + n° 18</t>
        </is>
      </c>
      <c r="E2467" t="inlineStr">
        <is>
          <t>Expresso</t>
        </is>
      </c>
      <c r="F2467" t="n">
        <v>2.2</v>
      </c>
      <c r="G2467" t="inlineStr">
        <is>
          <t>n° 17 : 0,50 + n° 18 : 0,50</t>
        </is>
      </c>
      <c r="H2467" t="n">
        <v>1</v>
      </c>
    </row>
    <row r="2468">
      <c r="A2468" t="inlineStr">
        <is>
          <t>2023-2024</t>
        </is>
      </c>
      <c r="B2468" t="inlineStr">
        <is>
          <t>2023-08-11</t>
        </is>
      </c>
      <c r="C2468" t="inlineStr">
        <is>
          <t>12:52</t>
        </is>
      </c>
      <c r="D2468" t="inlineStr">
        <is>
          <t>n° 12 + n° 13 + n° 14 + n° 15 + n° 16 + n° 17</t>
        </is>
      </c>
      <c r="E2468" t="inlineStr">
        <is>
          <t>Salade Végétarienne</t>
        </is>
      </c>
      <c r="F2468" t="n">
        <v>19.9</v>
      </c>
      <c r="G2468" t="inlineStr">
        <is>
          <t>n° 12 : 0,50 + n° 13 : 0,50 + n° 16 : 0,50 + n° 17 : 0,50</t>
        </is>
      </c>
      <c r="H2468" t="n">
        <v>2</v>
      </c>
    </row>
    <row r="2469">
      <c r="A2469" t="inlineStr">
        <is>
          <t>2023-2024</t>
        </is>
      </c>
      <c r="B2469" t="inlineStr">
        <is>
          <t>2023-08-11</t>
        </is>
      </c>
      <c r="C2469" t="inlineStr">
        <is>
          <t>12:52</t>
        </is>
      </c>
      <c r="D2469" t="inlineStr">
        <is>
          <t>n° 12 + n° 13 + n° 14 + n° 15 + n° 16 + n° 17</t>
        </is>
      </c>
      <c r="E2469" t="inlineStr">
        <is>
          <t>Salade Régionale</t>
        </is>
      </c>
      <c r="F2469" t="n">
        <v>19.9</v>
      </c>
      <c r="G2469" t="inlineStr">
        <is>
          <t>n° 14 : 0,50 + n° 15 : 0,50</t>
        </is>
      </c>
      <c r="H2469" t="n">
        <v>1</v>
      </c>
    </row>
    <row r="2470">
      <c r="A2470" t="inlineStr">
        <is>
          <t>2023-2024</t>
        </is>
      </c>
      <c r="B2470" t="inlineStr">
        <is>
          <t>2023-08-11</t>
        </is>
      </c>
      <c r="C2470" t="inlineStr">
        <is>
          <t>12:52</t>
        </is>
      </c>
      <c r="D2470" t="inlineStr">
        <is>
          <t>n° 12 + n° 13 + n° 14 + n° 15 + n° 16 + n° 17</t>
        </is>
      </c>
      <c r="E2470" t="inlineStr">
        <is>
          <t>MORTEAU GRILLEE</t>
        </is>
      </c>
      <c r="F2470" t="n">
        <v>18.6</v>
      </c>
      <c r="G2470" t="inlineStr">
        <is>
          <t>n° 14 : 0,50 + n° 15 : 0,50</t>
        </is>
      </c>
      <c r="H2470" t="n">
        <v>1</v>
      </c>
    </row>
    <row r="2471">
      <c r="A2471" t="inlineStr">
        <is>
          <t>2023-2024</t>
        </is>
      </c>
      <c r="B2471" t="inlineStr">
        <is>
          <t>2023-08-11</t>
        </is>
      </c>
      <c r="C2471" t="inlineStr">
        <is>
          <t>12:52</t>
        </is>
      </c>
      <c r="D2471" t="inlineStr">
        <is>
          <t>n° 12 + n° 13 + n° 14 + n° 15 + n° 16 + n° 17</t>
        </is>
      </c>
      <c r="E2471" t="inlineStr">
        <is>
          <t>POULET JURASSIENNE</t>
        </is>
      </c>
      <c r="F2471" t="n">
        <v>18.6</v>
      </c>
      <c r="G2471" t="inlineStr">
        <is>
          <t>n° 14 : 0,50 + n° 15 : 0,50</t>
        </is>
      </c>
      <c r="H2471" t="n">
        <v>1</v>
      </c>
    </row>
    <row r="2472">
      <c r="A2472" t="inlineStr">
        <is>
          <t>2023-2024</t>
        </is>
      </c>
      <c r="B2472" t="inlineStr">
        <is>
          <t>2023-08-11</t>
        </is>
      </c>
      <c r="C2472" t="inlineStr">
        <is>
          <t>12:52</t>
        </is>
      </c>
      <c r="D2472" t="inlineStr">
        <is>
          <t>n° 12 + n° 13 + n° 14 + n° 15 + n° 16 + n° 17</t>
        </is>
      </c>
      <c r="E2472" t="inlineStr">
        <is>
          <t>LOURNETTE</t>
        </is>
      </c>
      <c r="F2472" t="n">
        <v>17.9</v>
      </c>
      <c r="G2472" t="inlineStr">
        <is>
          <t>n° 16 : 0,50 + n° 17 : 0,50</t>
        </is>
      </c>
      <c r="H2472" t="n">
        <v>1</v>
      </c>
    </row>
    <row r="2473">
      <c r="A2473" t="inlineStr">
        <is>
          <t>2023-2024</t>
        </is>
      </c>
      <c r="B2473" t="inlineStr">
        <is>
          <t>2023-08-11</t>
        </is>
      </c>
      <c r="C2473" t="inlineStr">
        <is>
          <t>12:52</t>
        </is>
      </c>
      <c r="D2473" t="inlineStr">
        <is>
          <t>n° 12 + n° 13 + n° 14 + n° 15 + n° 16 + n° 17</t>
        </is>
      </c>
      <c r="E2473" t="inlineStr">
        <is>
          <t>Croûtes Morilles</t>
        </is>
      </c>
      <c r="F2473" t="n">
        <v>16.9</v>
      </c>
      <c r="G2473" t="inlineStr">
        <is>
          <t>n° 12 : 1,50 + n° 13 : 1,50</t>
        </is>
      </c>
      <c r="H2473" t="n">
        <v>3</v>
      </c>
    </row>
    <row r="2474">
      <c r="A2474" t="inlineStr">
        <is>
          <t>2023-2024</t>
        </is>
      </c>
      <c r="B2474" t="inlineStr">
        <is>
          <t>2023-08-11</t>
        </is>
      </c>
      <c r="C2474" t="inlineStr">
        <is>
          <t>12:52</t>
        </is>
      </c>
      <c r="D2474" t="inlineStr">
        <is>
          <t>n° 12 + n° 13 + n° 14 + n° 15 + n° 16 + n° 17</t>
        </is>
      </c>
      <c r="E2474" t="inlineStr">
        <is>
          <t>PICHET ROSE</t>
        </is>
      </c>
      <c r="F2474" t="n">
        <v>10.5</v>
      </c>
      <c r="G2474" t="inlineStr">
        <is>
          <t>n° 14 : 0,50 + n° 15 : 0,50</t>
        </is>
      </c>
      <c r="H2474" t="n">
        <v>1</v>
      </c>
    </row>
    <row r="2475">
      <c r="A2475" t="inlineStr">
        <is>
          <t>2023-2024</t>
        </is>
      </c>
      <c r="B2475" t="inlineStr">
        <is>
          <t>2023-08-11</t>
        </is>
      </c>
      <c r="C2475" t="inlineStr">
        <is>
          <t>12:52</t>
        </is>
      </c>
      <c r="D2475" t="inlineStr">
        <is>
          <t>n° 12 + n° 13 + n° 14 + n° 15 + n° 16 + n° 17</t>
        </is>
      </c>
      <c r="E2475" t="inlineStr">
        <is>
          <t>DAMES VERTES</t>
        </is>
      </c>
      <c r="F2475" t="n">
        <v>9.699999999999999</v>
      </c>
      <c r="G2475" t="inlineStr">
        <is>
          <t>n° 16 : 0,50 + n° 17 : 0,50</t>
        </is>
      </c>
      <c r="H2475" t="n">
        <v>1</v>
      </c>
    </row>
    <row r="2476">
      <c r="A2476" t="inlineStr">
        <is>
          <t>2023-2024</t>
        </is>
      </c>
      <c r="B2476" t="inlineStr">
        <is>
          <t>2023-08-11</t>
        </is>
      </c>
      <c r="C2476" t="inlineStr">
        <is>
          <t>12:52</t>
        </is>
      </c>
      <c r="D2476" t="inlineStr">
        <is>
          <t>n° 12 + n° 13 + n° 14 + n° 15 + n° 16 + n° 17</t>
        </is>
      </c>
      <c r="E2476" t="inlineStr">
        <is>
          <t>BEGUIN</t>
        </is>
      </c>
      <c r="F2476" t="n">
        <v>9.1</v>
      </c>
      <c r="G2476" t="inlineStr">
        <is>
          <t>n° 12 : 0,50 + n° 13 : 0,50</t>
        </is>
      </c>
      <c r="H2476" t="n">
        <v>1</v>
      </c>
    </row>
    <row r="2477">
      <c r="A2477" t="inlineStr">
        <is>
          <t>2023-2024</t>
        </is>
      </c>
      <c r="B2477" t="inlineStr">
        <is>
          <t>2023-08-11</t>
        </is>
      </c>
      <c r="C2477" t="inlineStr">
        <is>
          <t>12:52</t>
        </is>
      </c>
      <c r="D2477" t="inlineStr">
        <is>
          <t>n° 12 + n° 13 + n° 14 + n° 15 + n° 16 + n° 17</t>
        </is>
      </c>
      <c r="E2477" t="inlineStr">
        <is>
          <t>Do</t>
        </is>
      </c>
      <c r="F2477" t="n">
        <v>9</v>
      </c>
      <c r="G2477" t="inlineStr">
        <is>
          <t>n° 12 : 0,50 + n° 13 : 0,50</t>
        </is>
      </c>
      <c r="H2477" t="n">
        <v>1</v>
      </c>
    </row>
    <row r="2478">
      <c r="A2478" t="inlineStr">
        <is>
          <t>2023-2024</t>
        </is>
      </c>
      <c r="B2478" t="inlineStr">
        <is>
          <t>2023-08-11</t>
        </is>
      </c>
      <c r="C2478" t="inlineStr">
        <is>
          <t>12:52</t>
        </is>
      </c>
      <c r="D2478" t="inlineStr">
        <is>
          <t>n° 12 + n° 13 + n° 14 + n° 15 + n° 16 + n° 17</t>
        </is>
      </c>
      <c r="E2478" t="inlineStr">
        <is>
          <t>Crêpe Pommes</t>
        </is>
      </c>
      <c r="F2478" t="n">
        <v>7.1</v>
      </c>
      <c r="G2478" t="inlineStr">
        <is>
          <t>n° 12 : 0,50 + n° 13 : 0,50</t>
        </is>
      </c>
      <c r="H2478" t="n">
        <v>1</v>
      </c>
    </row>
    <row r="2479">
      <c r="A2479" t="inlineStr">
        <is>
          <t>2023-2024</t>
        </is>
      </c>
      <c r="B2479" t="inlineStr">
        <is>
          <t>2023-08-11</t>
        </is>
      </c>
      <c r="C2479" t="inlineStr">
        <is>
          <t>12:52</t>
        </is>
      </c>
      <c r="D2479" t="inlineStr">
        <is>
          <t>n° 12 + n° 13 + n° 14 + n° 15 + n° 16 + n° 17</t>
        </is>
      </c>
      <c r="E2479" t="inlineStr">
        <is>
          <t>VIN PAILLE</t>
        </is>
      </c>
      <c r="F2479" t="n">
        <v>6.9</v>
      </c>
      <c r="G2479" t="inlineStr">
        <is>
          <t>n° 12 : 0,50 + n° 13 : 0,50</t>
        </is>
      </c>
      <c r="H2479" t="n">
        <v>1</v>
      </c>
    </row>
    <row r="2480">
      <c r="A2480" t="inlineStr">
        <is>
          <t>2023-2024</t>
        </is>
      </c>
      <c r="B2480" t="inlineStr">
        <is>
          <t>2023-08-11</t>
        </is>
      </c>
      <c r="C2480" t="inlineStr">
        <is>
          <t>12:52</t>
        </is>
      </c>
      <c r="D2480" t="inlineStr">
        <is>
          <t>n° 12 + n° 13 + n° 14 + n° 15 + n° 16 + n° 17</t>
        </is>
      </c>
      <c r="E2480" t="inlineStr">
        <is>
          <t>Père Gregoire</t>
        </is>
      </c>
      <c r="F2480" t="n">
        <v>5.9</v>
      </c>
      <c r="G2480" t="inlineStr">
        <is>
          <t>n° 14 : 0,50 + n° 15 : 0,50</t>
        </is>
      </c>
      <c r="H2480" t="n">
        <v>1</v>
      </c>
    </row>
    <row r="2481">
      <c r="A2481" t="inlineStr">
        <is>
          <t>2023-2024</t>
        </is>
      </c>
      <c r="B2481" t="inlineStr">
        <is>
          <t>2023-08-11</t>
        </is>
      </c>
      <c r="C2481" t="inlineStr">
        <is>
          <t>12:52</t>
        </is>
      </c>
      <c r="D2481" t="inlineStr">
        <is>
          <t>n° 12 + n° 13 + n° 14 + n° 15 + n° 16 + n° 17</t>
        </is>
      </c>
      <c r="E2481" t="inlineStr">
        <is>
          <t>GLACE 2 BOULES</t>
        </is>
      </c>
      <c r="F2481" t="n">
        <v>5.5</v>
      </c>
      <c r="G2481" t="inlineStr">
        <is>
          <t>n° 12 : 0,50 + n° 13 : 0,50 + n° 14 : 0,50 + n° 15 : 0,50</t>
        </is>
      </c>
      <c r="H2481" t="n">
        <v>2</v>
      </c>
    </row>
    <row r="2482">
      <c r="A2482" t="inlineStr">
        <is>
          <t>2023-2024</t>
        </is>
      </c>
      <c r="B2482" t="inlineStr">
        <is>
          <t>2023-08-11</t>
        </is>
      </c>
      <c r="C2482" t="inlineStr">
        <is>
          <t>12:52</t>
        </is>
      </c>
      <c r="D2482" t="inlineStr">
        <is>
          <t>n° 12 + n° 13 + n° 14 + n° 15 + n° 16 + n° 17</t>
        </is>
      </c>
      <c r="E2482" t="inlineStr">
        <is>
          <t>Crémant</t>
        </is>
      </c>
      <c r="F2482" t="n">
        <v>5</v>
      </c>
      <c r="G2482" t="inlineStr">
        <is>
          <t>n° 12 : 0,50 + n° 13 : 0,50</t>
        </is>
      </c>
      <c r="H2482" t="n">
        <v>1</v>
      </c>
    </row>
    <row r="2483">
      <c r="A2483" t="inlineStr">
        <is>
          <t>2023-2024</t>
        </is>
      </c>
      <c r="B2483" t="inlineStr">
        <is>
          <t>2023-08-11</t>
        </is>
      </c>
      <c r="C2483" t="inlineStr">
        <is>
          <t>12:52</t>
        </is>
      </c>
      <c r="D2483" t="inlineStr">
        <is>
          <t>n° 12 + n° 13 + n° 14 + n° 15 + n° 16 + n° 17</t>
        </is>
      </c>
      <c r="E2483" t="inlineStr">
        <is>
          <t>Crêpe Nutella</t>
        </is>
      </c>
      <c r="F2483" t="n">
        <v>4.9</v>
      </c>
      <c r="G2483" t="inlineStr">
        <is>
          <t>n° 16 : 0,50 + n° 17 : 0,50</t>
        </is>
      </c>
      <c r="H2483" t="n">
        <v>1</v>
      </c>
    </row>
    <row r="2484">
      <c r="A2484" t="inlineStr">
        <is>
          <t>2023-2024</t>
        </is>
      </c>
      <c r="B2484" t="inlineStr">
        <is>
          <t>2023-08-11</t>
        </is>
      </c>
      <c r="C2484" t="inlineStr">
        <is>
          <t>12:52</t>
        </is>
      </c>
      <c r="D2484" t="inlineStr">
        <is>
          <t>n° 12 + n° 13 + n° 14 + n° 15 + n° 16 + n° 17</t>
        </is>
      </c>
      <c r="E2484" t="inlineStr">
        <is>
          <t>pression</t>
        </is>
      </c>
      <c r="F2484" t="n">
        <v>4.2</v>
      </c>
      <c r="G2484" t="inlineStr">
        <is>
          <t>n° 14 : 0,50 + n° 15 : 0,50</t>
        </is>
      </c>
      <c r="H2484" t="n">
        <v>1</v>
      </c>
    </row>
    <row r="2485">
      <c r="A2485" t="inlineStr">
        <is>
          <t>2023-2024</t>
        </is>
      </c>
      <c r="B2485" t="inlineStr">
        <is>
          <t>2023-08-11</t>
        </is>
      </c>
      <c r="C2485" t="inlineStr">
        <is>
          <t>12:52</t>
        </is>
      </c>
      <c r="D2485" t="inlineStr">
        <is>
          <t>n° 12 + n° 13 + n° 14 + n° 15 + n° 16 + n° 17</t>
        </is>
      </c>
      <c r="E2485" t="inlineStr">
        <is>
          <t>1 Boule Glace</t>
        </is>
      </c>
      <c r="F2485" t="n">
        <v>3.5</v>
      </c>
      <c r="G2485" t="inlineStr">
        <is>
          <t>n° 16 : 0,50 + n° 17 : 0,50</t>
        </is>
      </c>
      <c r="H2485" t="n">
        <v>1</v>
      </c>
    </row>
    <row r="2486">
      <c r="A2486" t="inlineStr">
        <is>
          <t>2023-2024</t>
        </is>
      </c>
      <c r="B2486" t="inlineStr">
        <is>
          <t>2023-08-11</t>
        </is>
      </c>
      <c r="C2486" t="inlineStr">
        <is>
          <t>12:52</t>
        </is>
      </c>
      <c r="D2486" t="inlineStr">
        <is>
          <t>n° 12 + n° 13 + n° 14 + n° 15 + n° 16 + n° 17</t>
        </is>
      </c>
      <c r="E2486" t="inlineStr">
        <is>
          <t>CHANTILLY</t>
        </is>
      </c>
      <c r="F2486" t="n">
        <v>2.5</v>
      </c>
      <c r="G2486" t="inlineStr">
        <is>
          <t>n° 16 : 0,50 + n° 17 : 0,50</t>
        </is>
      </c>
      <c r="H2486" t="n">
        <v>1</v>
      </c>
    </row>
    <row r="2487">
      <c r="A2487" t="inlineStr">
        <is>
          <t>2023-2024</t>
        </is>
      </c>
      <c r="B2487" t="inlineStr">
        <is>
          <t>2023-08-11</t>
        </is>
      </c>
      <c r="C2487" t="inlineStr">
        <is>
          <t>12:52</t>
        </is>
      </c>
      <c r="D2487" t="inlineStr">
        <is>
          <t>n° 12 + n° 13 + n° 14 + n° 15 + n° 16 + n° 17</t>
        </is>
      </c>
      <c r="E2487" t="inlineStr">
        <is>
          <t>Expresso</t>
        </is>
      </c>
      <c r="F2487" t="n">
        <v>2.2</v>
      </c>
      <c r="G2487" t="inlineStr">
        <is>
          <t>n° 12 : 1,50 + n° 13 : 1,50 + n° 14 : 0,50 + n° 15 : 0,50</t>
        </is>
      </c>
      <c r="H2487" t="n">
        <v>4</v>
      </c>
    </row>
    <row r="2488">
      <c r="A2488" t="inlineStr">
        <is>
          <t>2023-2024</t>
        </is>
      </c>
      <c r="B2488" t="inlineStr">
        <is>
          <t>2023-08-11</t>
        </is>
      </c>
      <c r="C2488" t="inlineStr">
        <is>
          <t>20:37</t>
        </is>
      </c>
      <c r="D2488" t="inlineStr">
        <is>
          <t>n° 32 + n° 33 + n° 34</t>
        </is>
      </c>
      <c r="E2488" t="inlineStr">
        <is>
          <t>Arbois Trousseau Bou</t>
        </is>
      </c>
      <c r="F2488" t="n">
        <v>36</v>
      </c>
      <c r="G2488" t="inlineStr">
        <is>
          <t>n° 32 : 0,33 + n° 33 : 0,34 + n° 34 : 0,33</t>
        </is>
      </c>
      <c r="H2488" t="n">
        <v>1</v>
      </c>
    </row>
    <row r="2489">
      <c r="A2489" t="inlineStr">
        <is>
          <t>2023-2024</t>
        </is>
      </c>
      <c r="B2489" t="inlineStr">
        <is>
          <t>2023-08-11</t>
        </is>
      </c>
      <c r="C2489" t="inlineStr">
        <is>
          <t>21:06</t>
        </is>
      </c>
      <c r="D2489" t="inlineStr">
        <is>
          <t>n° 38 + n° 39</t>
        </is>
      </c>
      <c r="E2489" t="inlineStr">
        <is>
          <t>ENTRECOTE MORILLES</t>
        </is>
      </c>
      <c r="F2489" t="n">
        <v>34.8</v>
      </c>
      <c r="G2489" t="inlineStr">
        <is>
          <t>n° 38 : 0,50 + n° 39 : 0,50</t>
        </is>
      </c>
      <c r="H2489" t="n">
        <v>1</v>
      </c>
    </row>
    <row r="2490">
      <c r="A2490" t="inlineStr">
        <is>
          <t>2023-2024</t>
        </is>
      </c>
      <c r="B2490" t="inlineStr">
        <is>
          <t>2023-08-11</t>
        </is>
      </c>
      <c r="C2490" t="inlineStr">
        <is>
          <t>21:06</t>
        </is>
      </c>
      <c r="D2490" t="inlineStr">
        <is>
          <t>n° 38 + n° 39</t>
        </is>
      </c>
      <c r="E2490" t="inlineStr">
        <is>
          <t>Entrecôte Forestiére</t>
        </is>
      </c>
      <c r="F2490" t="n">
        <v>27.8</v>
      </c>
      <c r="G2490" t="inlineStr">
        <is>
          <t>n° 38 : 0,50 + n° 39 : 0,50</t>
        </is>
      </c>
      <c r="H2490" t="n">
        <v>1</v>
      </c>
    </row>
    <row r="2491">
      <c r="A2491" t="inlineStr">
        <is>
          <t>2023-2024</t>
        </is>
      </c>
      <c r="B2491" t="inlineStr">
        <is>
          <t>2023-08-11</t>
        </is>
      </c>
      <c r="C2491" t="inlineStr">
        <is>
          <t>21:06</t>
        </is>
      </c>
      <c r="D2491" t="inlineStr">
        <is>
          <t>n° 38 + n° 39</t>
        </is>
      </c>
      <c r="E2491" t="inlineStr">
        <is>
          <t>CAMEMBERT ROTI</t>
        </is>
      </c>
      <c r="F2491" t="n">
        <v>18.6</v>
      </c>
      <c r="G2491" t="inlineStr">
        <is>
          <t>n° 38 : 0,50 + n° 39 : 0,50</t>
        </is>
      </c>
      <c r="H2491" t="n">
        <v>1</v>
      </c>
    </row>
    <row r="2492">
      <c r="A2492" t="inlineStr">
        <is>
          <t>2023-2024</t>
        </is>
      </c>
      <c r="B2492" t="inlineStr">
        <is>
          <t>2023-08-11</t>
        </is>
      </c>
      <c r="C2492" t="inlineStr">
        <is>
          <t>21:06</t>
        </is>
      </c>
      <c r="D2492" t="inlineStr">
        <is>
          <t>n° 38 + n° 39</t>
        </is>
      </c>
      <c r="E2492" t="inlineStr">
        <is>
          <t>FROMAGES REGIONAUX</t>
        </is>
      </c>
      <c r="F2492" t="n">
        <v>7.9</v>
      </c>
      <c r="G2492" t="inlineStr">
        <is>
          <t>n° 38 : 0,50 + n° 39 : 0,50</t>
        </is>
      </c>
      <c r="H2492" t="n">
        <v>1</v>
      </c>
    </row>
    <row r="2493">
      <c r="A2493" t="inlineStr">
        <is>
          <t>2023-2024</t>
        </is>
      </c>
      <c r="B2493" t="inlineStr">
        <is>
          <t>2023-08-11</t>
        </is>
      </c>
      <c r="C2493" t="inlineStr">
        <is>
          <t>21:06</t>
        </is>
      </c>
      <c r="D2493" t="inlineStr">
        <is>
          <t>n° 38 + n° 39</t>
        </is>
      </c>
      <c r="E2493" t="inlineStr">
        <is>
          <t>GLACE 2 BOULES</t>
        </is>
      </c>
      <c r="F2493" t="n">
        <v>5.5</v>
      </c>
      <c r="G2493" t="inlineStr">
        <is>
          <t>n° 38 : 0,50 + n° 39 : 0,50</t>
        </is>
      </c>
      <c r="H2493" t="n">
        <v>1</v>
      </c>
    </row>
    <row r="2494">
      <c r="A2494" t="inlineStr">
        <is>
          <t>2023-2024</t>
        </is>
      </c>
      <c r="B2494" t="inlineStr">
        <is>
          <t>2023-08-12</t>
        </is>
      </c>
      <c r="C2494" t="inlineStr">
        <is>
          <t>12:35</t>
        </is>
      </c>
      <c r="D2494" t="inlineStr">
        <is>
          <t>n° 10 + n° 11</t>
        </is>
      </c>
      <c r="E2494" t="inlineStr">
        <is>
          <t>Formule Express</t>
        </is>
      </c>
      <c r="F2494" t="n">
        <v>18.6</v>
      </c>
      <c r="G2494" t="inlineStr">
        <is>
          <t>n° 10 : 0,50 + n° 11 : 0,50</t>
        </is>
      </c>
      <c r="H2494" t="n">
        <v>1</v>
      </c>
    </row>
    <row r="2495">
      <c r="A2495" t="inlineStr">
        <is>
          <t>2023-2024</t>
        </is>
      </c>
      <c r="B2495" t="inlineStr">
        <is>
          <t>2023-08-12</t>
        </is>
      </c>
      <c r="C2495" t="inlineStr">
        <is>
          <t>12:35</t>
        </is>
      </c>
      <c r="D2495" t="inlineStr">
        <is>
          <t>n° 10 + n° 11</t>
        </is>
      </c>
      <c r="E2495" t="inlineStr">
        <is>
          <t>POULET JURASSIENNE</t>
        </is>
      </c>
      <c r="F2495" t="n">
        <v>18.6</v>
      </c>
      <c r="G2495" t="inlineStr">
        <is>
          <t>n° 10 : 0,50 + n° 11 : 0,50</t>
        </is>
      </c>
      <c r="H2495" t="n">
        <v>1</v>
      </c>
    </row>
    <row r="2496">
      <c r="A2496" t="inlineStr">
        <is>
          <t>2023-2024</t>
        </is>
      </c>
      <c r="B2496" t="inlineStr">
        <is>
          <t>2023-08-12</t>
        </is>
      </c>
      <c r="C2496" t="inlineStr">
        <is>
          <t>12:35</t>
        </is>
      </c>
      <c r="D2496" t="inlineStr">
        <is>
          <t>n° 10 + n° 11</t>
        </is>
      </c>
      <c r="E2496" t="inlineStr">
        <is>
          <t>Ambrée</t>
        </is>
      </c>
      <c r="F2496" t="n">
        <v>6.9</v>
      </c>
      <c r="G2496" t="inlineStr">
        <is>
          <t>n° 10 : 0,50 + n° 11 : 0,50</t>
        </is>
      </c>
      <c r="H2496" t="n">
        <v>1</v>
      </c>
    </row>
    <row r="2497">
      <c r="A2497" t="inlineStr">
        <is>
          <t>2023-2024</t>
        </is>
      </c>
      <c r="B2497" t="inlineStr">
        <is>
          <t>2023-08-12</t>
        </is>
      </c>
      <c r="C2497" t="inlineStr">
        <is>
          <t>12:35</t>
        </is>
      </c>
      <c r="D2497" t="inlineStr">
        <is>
          <t>n° 10 + n° 11</t>
        </is>
      </c>
      <c r="E2497" t="inlineStr">
        <is>
          <t>Blanche des plateaux</t>
        </is>
      </c>
      <c r="F2497" t="n">
        <v>6.9</v>
      </c>
      <c r="G2497" t="inlineStr">
        <is>
          <t>n° 10 : 0,50 + n° 11 : 0,50</t>
        </is>
      </c>
      <c r="H2497" t="n">
        <v>1</v>
      </c>
    </row>
    <row r="2498">
      <c r="A2498" t="inlineStr">
        <is>
          <t>2023-2024</t>
        </is>
      </c>
      <c r="B2498" t="inlineStr">
        <is>
          <t>2023-08-12</t>
        </is>
      </c>
      <c r="C2498" t="inlineStr">
        <is>
          <t>12:35</t>
        </is>
      </c>
      <c r="D2498" t="inlineStr">
        <is>
          <t>n° 10 + n° 11</t>
        </is>
      </c>
      <c r="E2498" t="inlineStr">
        <is>
          <t>Macvin du Jura</t>
        </is>
      </c>
      <c r="F2498" t="n">
        <v>5.9</v>
      </c>
      <c r="G2498" t="inlineStr">
        <is>
          <t>n° 10 : 0,50 + n° 11 : 0,50</t>
        </is>
      </c>
      <c r="H2498" t="n">
        <v>1</v>
      </c>
    </row>
    <row r="2499">
      <c r="A2499" t="inlineStr">
        <is>
          <t>2023-2024</t>
        </is>
      </c>
      <c r="B2499" t="inlineStr">
        <is>
          <t>2023-08-12</t>
        </is>
      </c>
      <c r="C2499" t="inlineStr">
        <is>
          <t>12:35</t>
        </is>
      </c>
      <c r="D2499" t="inlineStr">
        <is>
          <t>n° 10 + n° 11</t>
        </is>
      </c>
      <c r="E2499" t="inlineStr">
        <is>
          <t>GLACE 2 BOULES</t>
        </is>
      </c>
      <c r="F2499" t="n">
        <v>5.5</v>
      </c>
      <c r="G2499" t="inlineStr">
        <is>
          <t>n° 10 : 0,50 + n° 11 : 0,50</t>
        </is>
      </c>
      <c r="H2499" t="n">
        <v>1</v>
      </c>
    </row>
    <row r="2500">
      <c r="A2500" t="inlineStr">
        <is>
          <t>2023-2024</t>
        </is>
      </c>
      <c r="B2500" t="inlineStr">
        <is>
          <t>2023-08-12</t>
        </is>
      </c>
      <c r="C2500" t="inlineStr">
        <is>
          <t>12:35</t>
        </is>
      </c>
      <c r="D2500" t="inlineStr">
        <is>
          <t>n° 10 + n° 11</t>
        </is>
      </c>
      <c r="E2500" t="inlineStr">
        <is>
          <t>cidre la Mordue</t>
        </is>
      </c>
      <c r="F2500" t="n">
        <v>4.8</v>
      </c>
      <c r="G2500" t="inlineStr">
        <is>
          <t>n° 10 : 0,50 + n° 11 : 0,50</t>
        </is>
      </c>
      <c r="H2500" t="n">
        <v>1</v>
      </c>
    </row>
    <row r="2501">
      <c r="A2501" t="inlineStr">
        <is>
          <t>2023-2024</t>
        </is>
      </c>
      <c r="B2501" t="inlineStr">
        <is>
          <t>2023-08-12</t>
        </is>
      </c>
      <c r="C2501" t="inlineStr">
        <is>
          <t>12:35</t>
        </is>
      </c>
      <c r="D2501" t="inlineStr">
        <is>
          <t>n° 10 + n° 11</t>
        </is>
      </c>
      <c r="E2501" t="inlineStr">
        <is>
          <t>Expresso</t>
        </is>
      </c>
      <c r="F2501" t="n">
        <v>2.2</v>
      </c>
      <c r="G2501" t="inlineStr">
        <is>
          <t>n° 10 : 0,50 + n° 11 : 0,50</t>
        </is>
      </c>
      <c r="H2501" t="n">
        <v>1</v>
      </c>
    </row>
    <row r="2502">
      <c r="A2502" t="inlineStr">
        <is>
          <t>2023-2024</t>
        </is>
      </c>
      <c r="B2502" t="inlineStr">
        <is>
          <t>2023-08-13</t>
        </is>
      </c>
      <c r="C2502" t="inlineStr">
        <is>
          <t>19:22</t>
        </is>
      </c>
      <c r="D2502" t="inlineStr">
        <is>
          <t>n° 16 + n° 17</t>
        </is>
      </c>
      <c r="E2502" t="inlineStr">
        <is>
          <t>MACHON GOURMET</t>
        </is>
      </c>
      <c r="F2502" t="n">
        <v>25</v>
      </c>
      <c r="G2502" t="inlineStr">
        <is>
          <t>n° 16 : 0,50 + n° 17 : 0,50</t>
        </is>
      </c>
      <c r="H2502" t="n">
        <v>1</v>
      </c>
    </row>
    <row r="2503">
      <c r="A2503" t="inlineStr">
        <is>
          <t>2023-2024</t>
        </is>
      </c>
      <c r="B2503" t="inlineStr">
        <is>
          <t>2023-08-13</t>
        </is>
      </c>
      <c r="C2503" t="inlineStr">
        <is>
          <t>19:22</t>
        </is>
      </c>
      <c r="D2503" t="inlineStr">
        <is>
          <t>n° 16 + n° 17</t>
        </is>
      </c>
      <c r="E2503" t="inlineStr">
        <is>
          <t>MORTEAU GRILLEE</t>
        </is>
      </c>
      <c r="F2503" t="n">
        <v>18.6</v>
      </c>
      <c r="G2503" t="inlineStr">
        <is>
          <t>n° 16 : 0,50 + n° 17 : 0,50</t>
        </is>
      </c>
      <c r="H2503" t="n">
        <v>1</v>
      </c>
    </row>
    <row r="2504">
      <c r="A2504" t="inlineStr">
        <is>
          <t>2023-2024</t>
        </is>
      </c>
      <c r="B2504" t="inlineStr">
        <is>
          <t>2023-08-13</t>
        </is>
      </c>
      <c r="C2504" t="inlineStr">
        <is>
          <t>19:22</t>
        </is>
      </c>
      <c r="D2504" t="inlineStr">
        <is>
          <t>n° 16 + n° 17</t>
        </is>
      </c>
      <c r="E2504" t="inlineStr">
        <is>
          <t>PICHET ALIGOTE 50cL</t>
        </is>
      </c>
      <c r="F2504" t="n">
        <v>10.5</v>
      </c>
      <c r="G2504" t="inlineStr">
        <is>
          <t>n° 16 : 0,50 + n° 17 : 0,50</t>
        </is>
      </c>
      <c r="H2504" t="n">
        <v>1</v>
      </c>
    </row>
    <row r="2505">
      <c r="A2505" t="inlineStr">
        <is>
          <t>2023-2024</t>
        </is>
      </c>
      <c r="B2505" t="inlineStr">
        <is>
          <t>2023-08-13</t>
        </is>
      </c>
      <c r="C2505" t="inlineStr">
        <is>
          <t>19:22</t>
        </is>
      </c>
      <c r="D2505" t="inlineStr">
        <is>
          <t>n° 16 + n° 17</t>
        </is>
      </c>
      <c r="E2505" t="inlineStr">
        <is>
          <t>Saucisse de Morteau</t>
        </is>
      </c>
      <c r="F2505" t="n">
        <v>8.9</v>
      </c>
      <c r="G2505" t="inlineStr">
        <is>
          <t>n° 16 : 0,50 + n° 17 : 0,50</t>
        </is>
      </c>
      <c r="H2505" t="n">
        <v>1</v>
      </c>
    </row>
    <row r="2506">
      <c r="A2506" t="inlineStr">
        <is>
          <t>2023-2024</t>
        </is>
      </c>
      <c r="B2506" t="inlineStr">
        <is>
          <t>2023-08-13</t>
        </is>
      </c>
      <c r="C2506" t="inlineStr">
        <is>
          <t>19:22</t>
        </is>
      </c>
      <c r="D2506" t="inlineStr">
        <is>
          <t>n° 16 + n° 17</t>
        </is>
      </c>
      <c r="E2506" t="inlineStr">
        <is>
          <t>Verre ALIGOTE</t>
        </is>
      </c>
      <c r="F2506" t="n">
        <v>3.9</v>
      </c>
      <c r="G2506" t="inlineStr">
        <is>
          <t>n° 16 : 0,50 + n° 17 : 0,50</t>
        </is>
      </c>
      <c r="H2506" t="n">
        <v>1</v>
      </c>
    </row>
    <row r="2507">
      <c r="A2507" t="inlineStr">
        <is>
          <t>2023-2024</t>
        </is>
      </c>
      <c r="B2507" t="inlineStr">
        <is>
          <t>2023-08-17</t>
        </is>
      </c>
      <c r="C2507" t="inlineStr">
        <is>
          <t>19:12</t>
        </is>
      </c>
      <c r="D2507" t="inlineStr">
        <is>
          <t>n° 16 + n° 17</t>
        </is>
      </c>
      <c r="E2507" t="inlineStr">
        <is>
          <t>Salade Végétarienne</t>
        </is>
      </c>
      <c r="F2507" t="n">
        <v>19.9</v>
      </c>
      <c r="G2507" t="inlineStr">
        <is>
          <t>n° 16 : 0,50 + n° 17 : 0,50</t>
        </is>
      </c>
      <c r="H2507" t="n">
        <v>1</v>
      </c>
    </row>
    <row r="2508">
      <c r="A2508" t="inlineStr">
        <is>
          <t>2023-2024</t>
        </is>
      </c>
      <c r="B2508" t="inlineStr">
        <is>
          <t>2023-08-17</t>
        </is>
      </c>
      <c r="C2508" t="inlineStr">
        <is>
          <t>19:12</t>
        </is>
      </c>
      <c r="D2508" t="inlineStr">
        <is>
          <t>n° 16 + n° 17</t>
        </is>
      </c>
      <c r="E2508" t="inlineStr">
        <is>
          <t>BURGER COMTOIS</t>
        </is>
      </c>
      <c r="F2508" t="n">
        <v>19</v>
      </c>
      <c r="G2508" t="inlineStr">
        <is>
          <t>n° 16 : 0,50 + n° 17 : 0,50</t>
        </is>
      </c>
      <c r="H2508" t="n">
        <v>1</v>
      </c>
    </row>
    <row r="2509">
      <c r="A2509" t="inlineStr">
        <is>
          <t>2023-2024</t>
        </is>
      </c>
      <c r="B2509" t="inlineStr">
        <is>
          <t>2023-08-17</t>
        </is>
      </c>
      <c r="C2509" t="inlineStr">
        <is>
          <t>19:12</t>
        </is>
      </c>
      <c r="D2509" t="inlineStr">
        <is>
          <t>n° 16 + n° 17</t>
        </is>
      </c>
      <c r="E2509" t="inlineStr">
        <is>
          <t>DADOULET</t>
        </is>
      </c>
      <c r="F2509" t="n">
        <v>18.1</v>
      </c>
      <c r="G2509" t="inlineStr">
        <is>
          <t>n° 16 : 0,50 + n° 17 : 0,50</t>
        </is>
      </c>
      <c r="H2509" t="n">
        <v>1</v>
      </c>
    </row>
    <row r="2510">
      <c r="A2510" t="inlineStr">
        <is>
          <t>2023-2024</t>
        </is>
      </c>
      <c r="B2510" t="inlineStr">
        <is>
          <t>2023-08-17</t>
        </is>
      </c>
      <c r="C2510" t="inlineStr">
        <is>
          <t>19:12</t>
        </is>
      </c>
      <c r="D2510" t="inlineStr">
        <is>
          <t>n° 16 + n° 17</t>
        </is>
      </c>
      <c r="E2510" t="inlineStr">
        <is>
          <t>LIGOUSE</t>
        </is>
      </c>
      <c r="F2510" t="n">
        <v>16.6</v>
      </c>
      <c r="G2510" t="inlineStr">
        <is>
          <t>n° 16 : 0,50 + n° 17 : 0,50</t>
        </is>
      </c>
      <c r="H2510" t="n">
        <v>1</v>
      </c>
    </row>
    <row r="2511">
      <c r="A2511" t="inlineStr">
        <is>
          <t>2023-2024</t>
        </is>
      </c>
      <c r="B2511" t="inlineStr">
        <is>
          <t>2023-08-17</t>
        </is>
      </c>
      <c r="C2511" t="inlineStr">
        <is>
          <t>19:12</t>
        </is>
      </c>
      <c r="D2511" t="inlineStr">
        <is>
          <t>n° 16 + n° 17</t>
        </is>
      </c>
      <c r="E2511" t="inlineStr">
        <is>
          <t>VOUIVRE</t>
        </is>
      </c>
      <c r="F2511" t="n">
        <v>14.6</v>
      </c>
      <c r="G2511" t="inlineStr">
        <is>
          <t>n° 16 : 0,50 + n° 17 : 0,50</t>
        </is>
      </c>
      <c r="H2511" t="n">
        <v>1</v>
      </c>
    </row>
    <row r="2512">
      <c r="A2512" t="inlineStr">
        <is>
          <t>2023-2024</t>
        </is>
      </c>
      <c r="B2512" t="inlineStr">
        <is>
          <t>2023-08-17</t>
        </is>
      </c>
      <c r="C2512" t="inlineStr">
        <is>
          <t>19:12</t>
        </is>
      </c>
      <c r="D2512" t="inlineStr">
        <is>
          <t>n° 16 + n° 17</t>
        </is>
      </c>
      <c r="E2512" t="inlineStr">
        <is>
          <t>VOGEOTTE</t>
        </is>
      </c>
      <c r="F2512" t="n">
        <v>13.1</v>
      </c>
      <c r="G2512" t="inlineStr">
        <is>
          <t>n° 16 : 0,50 + n° 17 : 0,50</t>
        </is>
      </c>
      <c r="H2512" t="n">
        <v>1</v>
      </c>
    </row>
    <row r="2513">
      <c r="A2513" t="inlineStr">
        <is>
          <t>2023-2024</t>
        </is>
      </c>
      <c r="B2513" t="inlineStr">
        <is>
          <t>2023-08-17</t>
        </is>
      </c>
      <c r="C2513" t="inlineStr">
        <is>
          <t>19:12</t>
        </is>
      </c>
      <c r="D2513" t="inlineStr">
        <is>
          <t>n° 16 + n° 17</t>
        </is>
      </c>
      <c r="E2513" t="inlineStr">
        <is>
          <t>Pinte</t>
        </is>
      </c>
      <c r="F2513" t="n">
        <v>8</v>
      </c>
      <c r="G2513" t="inlineStr">
        <is>
          <t>n° 16 : 0,50 + n° 17 : 0,50</t>
        </is>
      </c>
      <c r="H2513" t="n">
        <v>1</v>
      </c>
    </row>
    <row r="2514">
      <c r="A2514" t="inlineStr">
        <is>
          <t>2023-2024</t>
        </is>
      </c>
      <c r="B2514" t="inlineStr">
        <is>
          <t>2023-08-17</t>
        </is>
      </c>
      <c r="C2514" t="inlineStr">
        <is>
          <t>19:12</t>
        </is>
      </c>
      <c r="D2514" t="inlineStr">
        <is>
          <t>n° 16 + n° 17</t>
        </is>
      </c>
      <c r="E2514" t="inlineStr">
        <is>
          <t>Père Gregoire</t>
        </is>
      </c>
      <c r="F2514" t="n">
        <v>5.9</v>
      </c>
      <c r="G2514" t="inlineStr">
        <is>
          <t>n° 16 : 0,50 + n° 17 : 0,50</t>
        </is>
      </c>
      <c r="H2514" t="n">
        <v>1</v>
      </c>
    </row>
    <row r="2515">
      <c r="A2515" t="inlineStr">
        <is>
          <t>2023-2024</t>
        </is>
      </c>
      <c r="B2515" t="inlineStr">
        <is>
          <t>2023-08-17</t>
        </is>
      </c>
      <c r="C2515" t="inlineStr">
        <is>
          <t>19:12</t>
        </is>
      </c>
      <c r="D2515" t="inlineStr">
        <is>
          <t>n° 16 + n° 17</t>
        </is>
      </c>
      <c r="E2515" t="inlineStr">
        <is>
          <t>La Vouivre</t>
        </is>
      </c>
      <c r="F2515" t="n">
        <v>5.9</v>
      </c>
      <c r="G2515" t="inlineStr">
        <is>
          <t>n° 16 : 0,50 + n° 17 : 0,50</t>
        </is>
      </c>
      <c r="H2515" t="n">
        <v>1</v>
      </c>
    </row>
    <row r="2516">
      <c r="A2516" t="inlineStr">
        <is>
          <t>2023-2024</t>
        </is>
      </c>
      <c r="B2516" t="inlineStr">
        <is>
          <t>2023-08-17</t>
        </is>
      </c>
      <c r="C2516" t="inlineStr">
        <is>
          <t>19:12</t>
        </is>
      </c>
      <c r="D2516" t="inlineStr">
        <is>
          <t>n° 16 + n° 17</t>
        </is>
      </c>
      <c r="E2516" t="inlineStr">
        <is>
          <t>Crêpe Confiture</t>
        </is>
      </c>
      <c r="F2516" t="n">
        <v>5.4</v>
      </c>
      <c r="G2516" t="inlineStr">
        <is>
          <t>n° 16 : 0,50 + n° 17 : 0,50</t>
        </is>
      </c>
      <c r="H2516" t="n">
        <v>1</v>
      </c>
    </row>
    <row r="2517">
      <c r="A2517" t="inlineStr">
        <is>
          <t>2023-2024</t>
        </is>
      </c>
      <c r="B2517" t="inlineStr">
        <is>
          <t>2023-08-17</t>
        </is>
      </c>
      <c r="C2517" t="inlineStr">
        <is>
          <t>19:12</t>
        </is>
      </c>
      <c r="D2517" t="inlineStr">
        <is>
          <t>n° 16 + n° 17</t>
        </is>
      </c>
      <c r="E2517" t="inlineStr">
        <is>
          <t>Kir Bourgogne</t>
        </is>
      </c>
      <c r="F2517" t="n">
        <v>4.2</v>
      </c>
      <c r="G2517" t="inlineStr">
        <is>
          <t>n° 16 : 0,50 + n° 17 : 0,50</t>
        </is>
      </c>
      <c r="H2517" t="n">
        <v>1</v>
      </c>
    </row>
    <row r="2518">
      <c r="A2518" t="inlineStr">
        <is>
          <t>2023-2024</t>
        </is>
      </c>
      <c r="B2518" t="inlineStr">
        <is>
          <t>2023-08-17</t>
        </is>
      </c>
      <c r="C2518" t="inlineStr">
        <is>
          <t>19:12</t>
        </is>
      </c>
      <c r="D2518" t="inlineStr">
        <is>
          <t>n° 16 + n° 17</t>
        </is>
      </c>
      <c r="E2518" t="inlineStr">
        <is>
          <t>Crêpe sucrée</t>
        </is>
      </c>
      <c r="F2518" t="n">
        <v>3.9</v>
      </c>
      <c r="G2518" t="inlineStr">
        <is>
          <t>n° 16 : 0,50 + n° 17 : 0,50</t>
        </is>
      </c>
      <c r="H2518" t="n">
        <v>1</v>
      </c>
    </row>
    <row r="2519">
      <c r="A2519" t="inlineStr">
        <is>
          <t>2023-2024</t>
        </is>
      </c>
      <c r="B2519" t="inlineStr">
        <is>
          <t>2023-08-18</t>
        </is>
      </c>
      <c r="C2519" t="inlineStr">
        <is>
          <t>19:11</t>
        </is>
      </c>
      <c r="D2519" t="inlineStr">
        <is>
          <t>n° 16 + n° 17</t>
        </is>
      </c>
      <c r="E2519" t="inlineStr">
        <is>
          <t>BALIDOU</t>
        </is>
      </c>
      <c r="F2519" t="n">
        <v>9</v>
      </c>
      <c r="G2519" t="inlineStr">
        <is>
          <t>n° 16 : 0,50 + n° 17 : 0,50</t>
        </is>
      </c>
      <c r="H2519" t="n">
        <v>1</v>
      </c>
    </row>
    <row r="2520">
      <c r="A2520" t="inlineStr">
        <is>
          <t>2023-2024</t>
        </is>
      </c>
      <c r="B2520" t="inlineStr">
        <is>
          <t>2023-08-18</t>
        </is>
      </c>
      <c r="C2520" t="inlineStr">
        <is>
          <t>19:11</t>
        </is>
      </c>
      <c r="D2520" t="inlineStr">
        <is>
          <t>n° 16 + n° 17</t>
        </is>
      </c>
      <c r="E2520" t="inlineStr">
        <is>
          <t>MAEVA</t>
        </is>
      </c>
      <c r="F2520" t="n">
        <v>9</v>
      </c>
      <c r="G2520" t="inlineStr">
        <is>
          <t>n° 16 : 0,50 + n° 17 : 0,50</t>
        </is>
      </c>
      <c r="H2520" t="n">
        <v>1</v>
      </c>
    </row>
    <row r="2521">
      <c r="A2521" t="inlineStr">
        <is>
          <t>2023-2024</t>
        </is>
      </c>
      <c r="B2521" t="inlineStr">
        <is>
          <t>2023-08-18</t>
        </is>
      </c>
      <c r="C2521" t="inlineStr">
        <is>
          <t>19:11</t>
        </is>
      </c>
      <c r="D2521" t="inlineStr">
        <is>
          <t>n° 16 + n° 17</t>
        </is>
      </c>
      <c r="E2521" t="inlineStr">
        <is>
          <t>Rêve Bleu</t>
        </is>
      </c>
      <c r="F2521" t="n">
        <v>9</v>
      </c>
      <c r="G2521" t="inlineStr">
        <is>
          <t>n° 16 : 0,50 + n° 17 : 0,50</t>
        </is>
      </c>
      <c r="H2521" t="n">
        <v>1</v>
      </c>
    </row>
    <row r="2522">
      <c r="A2522" t="inlineStr">
        <is>
          <t>2023-2024</t>
        </is>
      </c>
      <c r="B2522" t="inlineStr">
        <is>
          <t>2023-08-18</t>
        </is>
      </c>
      <c r="C2522" t="inlineStr">
        <is>
          <t>19:11</t>
        </is>
      </c>
      <c r="D2522" t="inlineStr">
        <is>
          <t>n° 16 + n° 17</t>
        </is>
      </c>
      <c r="E2522" t="inlineStr">
        <is>
          <t>Sprintz</t>
        </is>
      </c>
      <c r="F2522" t="n">
        <v>9</v>
      </c>
      <c r="G2522" t="inlineStr">
        <is>
          <t>n° 16 : 0,50 + n° 17 : 0,50</t>
        </is>
      </c>
      <c r="H2522" t="n">
        <v>1</v>
      </c>
    </row>
    <row r="2523">
      <c r="A2523" t="inlineStr">
        <is>
          <t>2023-2024</t>
        </is>
      </c>
      <c r="B2523" t="inlineStr">
        <is>
          <t>2023-08-18</t>
        </is>
      </c>
      <c r="C2523" t="inlineStr">
        <is>
          <t>19:11</t>
        </is>
      </c>
      <c r="D2523" t="inlineStr">
        <is>
          <t>n° 16 + n° 17</t>
        </is>
      </c>
      <c r="E2523" t="inlineStr">
        <is>
          <t>Baba</t>
        </is>
      </c>
      <c r="F2523" t="n">
        <v>8.9</v>
      </c>
      <c r="G2523" t="inlineStr">
        <is>
          <t>n° 16 : 0,50 + n° 17 : 0,50</t>
        </is>
      </c>
      <c r="H2523" t="n">
        <v>1</v>
      </c>
    </row>
    <row r="2524">
      <c r="A2524" t="inlineStr">
        <is>
          <t>2023-2024</t>
        </is>
      </c>
      <c r="B2524" t="inlineStr">
        <is>
          <t>2023-08-18</t>
        </is>
      </c>
      <c r="C2524" t="inlineStr">
        <is>
          <t>19:11</t>
        </is>
      </c>
      <c r="D2524" t="inlineStr">
        <is>
          <t>n° 16 + n° 17</t>
        </is>
      </c>
      <c r="E2524" t="inlineStr">
        <is>
          <t>GLACE 3 BOULES</t>
        </is>
      </c>
      <c r="F2524" t="n">
        <v>7.9</v>
      </c>
      <c r="G2524" t="inlineStr">
        <is>
          <t>n° 16 : 0,50 + n° 17 : 0,50</t>
        </is>
      </c>
      <c r="H2524" t="n">
        <v>1</v>
      </c>
    </row>
    <row r="2525">
      <c r="A2525" t="inlineStr">
        <is>
          <t>2023-2024</t>
        </is>
      </c>
      <c r="B2525" t="inlineStr">
        <is>
          <t>2023-08-18</t>
        </is>
      </c>
      <c r="C2525" t="inlineStr">
        <is>
          <t>19:11</t>
        </is>
      </c>
      <c r="D2525" t="inlineStr">
        <is>
          <t>n° 16 + n° 17</t>
        </is>
      </c>
      <c r="E2525" t="inlineStr">
        <is>
          <t>Ambrée</t>
        </is>
      </c>
      <c r="F2525" t="n">
        <v>6.9</v>
      </c>
      <c r="G2525" t="inlineStr">
        <is>
          <t>n° 16 : 0,50 + n° 17 : 0,50</t>
        </is>
      </c>
      <c r="H2525" t="n">
        <v>1</v>
      </c>
    </row>
    <row r="2526">
      <c r="A2526" t="inlineStr">
        <is>
          <t>2023-2024</t>
        </is>
      </c>
      <c r="B2526" t="inlineStr">
        <is>
          <t>2023-08-18</t>
        </is>
      </c>
      <c r="C2526" t="inlineStr">
        <is>
          <t>19:11</t>
        </is>
      </c>
      <c r="D2526" t="inlineStr">
        <is>
          <t>n° 16 + n° 17</t>
        </is>
      </c>
      <c r="E2526" t="inlineStr">
        <is>
          <t>VERRE ROSE</t>
        </is>
      </c>
      <c r="F2526" t="n">
        <v>3.9</v>
      </c>
      <c r="G2526" t="inlineStr">
        <is>
          <t>n° 16 : 0,50 + n° 17 : 0,50</t>
        </is>
      </c>
      <c r="H2526" t="n">
        <v>1</v>
      </c>
    </row>
    <row r="2527">
      <c r="A2527" t="inlineStr">
        <is>
          <t>2023-2024</t>
        </is>
      </c>
      <c r="B2527" t="inlineStr">
        <is>
          <t>2023-08-18</t>
        </is>
      </c>
      <c r="C2527" t="inlineStr">
        <is>
          <t>19:11</t>
        </is>
      </c>
      <c r="D2527" t="inlineStr">
        <is>
          <t>n° 16 + n° 17</t>
        </is>
      </c>
      <c r="E2527" t="inlineStr">
        <is>
          <t>Expresso Crème</t>
        </is>
      </c>
      <c r="F2527" t="n">
        <v>2.4</v>
      </c>
      <c r="G2527" t="inlineStr">
        <is>
          <t>n° 16 : 0,50 + n° 17 : 0,50</t>
        </is>
      </c>
      <c r="H2527" t="n">
        <v>1</v>
      </c>
    </row>
    <row r="2528">
      <c r="A2528" t="inlineStr">
        <is>
          <t>2023-2024</t>
        </is>
      </c>
      <c r="B2528" t="inlineStr">
        <is>
          <t>2023-08-18</t>
        </is>
      </c>
      <c r="C2528" t="inlineStr">
        <is>
          <t>19:44</t>
        </is>
      </c>
      <c r="D2528" t="inlineStr">
        <is>
          <t>n° 22 + n° 23</t>
        </is>
      </c>
      <c r="E2528" t="inlineStr">
        <is>
          <t>GLACE 2 BOULES</t>
        </is>
      </c>
      <c r="F2528" t="n">
        <v>5.5</v>
      </c>
      <c r="G2528" t="inlineStr">
        <is>
          <t>n° 22 : 0,50 + n° 23 : 0,50</t>
        </is>
      </c>
      <c r="H2528" t="n">
        <v>1</v>
      </c>
    </row>
    <row r="2529">
      <c r="A2529" t="inlineStr">
        <is>
          <t>2023-2024</t>
        </is>
      </c>
      <c r="B2529" t="inlineStr">
        <is>
          <t>2023-08-18</t>
        </is>
      </c>
      <c r="C2529" t="inlineStr">
        <is>
          <t>19:44</t>
        </is>
      </c>
      <c r="D2529" t="inlineStr">
        <is>
          <t>n° 22 + n° 23</t>
        </is>
      </c>
      <c r="E2529" t="inlineStr">
        <is>
          <t>Crêpe Nutella</t>
        </is>
      </c>
      <c r="F2529" t="n">
        <v>4.9</v>
      </c>
      <c r="G2529" t="inlineStr">
        <is>
          <t>n° 22 : 0,50 + n° 23 : 0,50</t>
        </is>
      </c>
      <c r="H2529" t="n">
        <v>1</v>
      </c>
    </row>
    <row r="2530">
      <c r="A2530" t="inlineStr">
        <is>
          <t>2023-2024</t>
        </is>
      </c>
      <c r="B2530" t="inlineStr">
        <is>
          <t>2023-08-18</t>
        </is>
      </c>
      <c r="C2530" t="inlineStr">
        <is>
          <t>19:44</t>
        </is>
      </c>
      <c r="D2530" t="inlineStr">
        <is>
          <t>n° 22 + n° 23</t>
        </is>
      </c>
      <c r="E2530" t="inlineStr">
        <is>
          <t>Coca (25cl)</t>
        </is>
      </c>
      <c r="F2530" t="n">
        <v>3.9</v>
      </c>
      <c r="G2530" t="inlineStr">
        <is>
          <t>n° 22 : 0,50 + n° 23 : 0,50</t>
        </is>
      </c>
      <c r="H2530" t="n">
        <v>1</v>
      </c>
    </row>
    <row r="2531">
      <c r="A2531" t="inlineStr">
        <is>
          <t>2023-2024</t>
        </is>
      </c>
      <c r="B2531" t="inlineStr">
        <is>
          <t>2023-08-18</t>
        </is>
      </c>
      <c r="C2531" t="inlineStr">
        <is>
          <t>19:44</t>
        </is>
      </c>
      <c r="D2531" t="inlineStr">
        <is>
          <t>n° 22 + n° 23</t>
        </is>
      </c>
      <c r="E2531" t="inlineStr">
        <is>
          <t>FANTA</t>
        </is>
      </c>
      <c r="F2531" t="n">
        <v>3.9</v>
      </c>
      <c r="G2531" t="inlineStr">
        <is>
          <t>n° 22 : 0,50 + n° 23 : 0,50</t>
        </is>
      </c>
      <c r="H2531" t="n">
        <v>1</v>
      </c>
    </row>
    <row r="2532">
      <c r="A2532" t="inlineStr">
        <is>
          <t>2023-2024</t>
        </is>
      </c>
      <c r="B2532" t="inlineStr">
        <is>
          <t>2023-08-18</t>
        </is>
      </c>
      <c r="C2532" t="inlineStr">
        <is>
          <t>19:44</t>
        </is>
      </c>
      <c r="D2532" t="inlineStr">
        <is>
          <t>n° 22 + n° 23</t>
        </is>
      </c>
      <c r="E2532" t="inlineStr">
        <is>
          <t>SAUCE CHOCO/CAFE/CAR</t>
        </is>
      </c>
      <c r="F2532" t="n">
        <v>2.4</v>
      </c>
      <c r="G2532" t="inlineStr">
        <is>
          <t>n° 22 : 0,50 + n° 23 : 0,50</t>
        </is>
      </c>
      <c r="H2532" t="n">
        <v>1</v>
      </c>
    </row>
    <row r="2533">
      <c r="A2533" t="inlineStr">
        <is>
          <t>2023-2024</t>
        </is>
      </c>
      <c r="B2533" t="inlineStr">
        <is>
          <t>2023-08-18</t>
        </is>
      </c>
      <c r="C2533" t="inlineStr">
        <is>
          <t>21:24</t>
        </is>
      </c>
      <c r="D2533" t="inlineStr">
        <is>
          <t>n° 30 + n° 31</t>
        </is>
      </c>
      <c r="E2533" t="inlineStr">
        <is>
          <t>Arbois Savagnin</t>
        </is>
      </c>
      <c r="F2533" t="n">
        <v>41.5</v>
      </c>
      <c r="G2533" t="inlineStr">
        <is>
          <t>n° 30 : 0,50 + n° 31 : 0,50</t>
        </is>
      </c>
      <c r="H2533" t="n">
        <v>1</v>
      </c>
    </row>
    <row r="2534">
      <c r="A2534" t="inlineStr">
        <is>
          <t>2023-2024</t>
        </is>
      </c>
      <c r="B2534" t="inlineStr">
        <is>
          <t>2023-08-18</t>
        </is>
      </c>
      <c r="C2534" t="inlineStr">
        <is>
          <t>21:24</t>
        </is>
      </c>
      <c r="D2534" t="inlineStr">
        <is>
          <t>n° 30 + n° 31</t>
        </is>
      </c>
      <c r="E2534" t="inlineStr">
        <is>
          <t>Menu Franc-Comtois</t>
        </is>
      </c>
      <c r="F2534" t="n">
        <v>34</v>
      </c>
      <c r="G2534" t="inlineStr">
        <is>
          <t>n° 30 : 0,50 + n° 31 : 0,50</t>
        </is>
      </c>
      <c r="H2534" t="n">
        <v>1</v>
      </c>
    </row>
    <row r="2535">
      <c r="A2535" t="inlineStr">
        <is>
          <t>2023-2024</t>
        </is>
      </c>
      <c r="B2535" t="inlineStr">
        <is>
          <t>2023-08-18</t>
        </is>
      </c>
      <c r="C2535" t="inlineStr">
        <is>
          <t>21:24</t>
        </is>
      </c>
      <c r="D2535" t="inlineStr">
        <is>
          <t>n° 30 + n° 31</t>
        </is>
      </c>
      <c r="E2535" t="inlineStr">
        <is>
          <t>Menu Bourguignon</t>
        </is>
      </c>
      <c r="F2535" t="n">
        <v>34</v>
      </c>
      <c r="G2535" t="inlineStr">
        <is>
          <t>n° 30 : 0,50 + n° 31 : 0,50</t>
        </is>
      </c>
      <c r="H2535" t="n">
        <v>1</v>
      </c>
    </row>
    <row r="2536">
      <c r="A2536" t="inlineStr">
        <is>
          <t>2023-2024</t>
        </is>
      </c>
      <c r="B2536" t="inlineStr">
        <is>
          <t>2023-08-18</t>
        </is>
      </c>
      <c r="C2536" t="inlineStr">
        <is>
          <t>21:24</t>
        </is>
      </c>
      <c r="D2536" t="inlineStr">
        <is>
          <t>n° 30 + n° 31</t>
        </is>
      </c>
      <c r="E2536" t="inlineStr">
        <is>
          <t>Entrecôte grillée</t>
        </is>
      </c>
      <c r="F2536" t="n">
        <v>19.9</v>
      </c>
      <c r="G2536" t="inlineStr">
        <is>
          <t>n° 30 : 0,50 + n° 31 : 0,50</t>
        </is>
      </c>
      <c r="H2536" t="n">
        <v>1</v>
      </c>
    </row>
    <row r="2537">
      <c r="A2537" t="inlineStr">
        <is>
          <t>2023-2024</t>
        </is>
      </c>
      <c r="B2537" t="inlineStr">
        <is>
          <t>2023-08-18</t>
        </is>
      </c>
      <c r="C2537" t="inlineStr">
        <is>
          <t>21:24</t>
        </is>
      </c>
      <c r="D2537" t="inlineStr">
        <is>
          <t>n° 30 + n° 31</t>
        </is>
      </c>
      <c r="E2537" t="inlineStr">
        <is>
          <t>LIGOUSE</t>
        </is>
      </c>
      <c r="F2537" t="n">
        <v>16.6</v>
      </c>
      <c r="G2537" t="inlineStr">
        <is>
          <t>n° 30 : 0,50 + n° 31 : 0,50</t>
        </is>
      </c>
      <c r="H2537" t="n">
        <v>1</v>
      </c>
    </row>
    <row r="2538">
      <c r="A2538" t="inlineStr">
        <is>
          <t>2023-2024</t>
        </is>
      </c>
      <c r="B2538" t="inlineStr">
        <is>
          <t>2023-08-18</t>
        </is>
      </c>
      <c r="C2538" t="inlineStr">
        <is>
          <t>21:24</t>
        </is>
      </c>
      <c r="D2538" t="inlineStr">
        <is>
          <t>n° 30 + n° 31</t>
        </is>
      </c>
      <c r="E2538" t="inlineStr">
        <is>
          <t>Sprintz</t>
        </is>
      </c>
      <c r="F2538" t="n">
        <v>9</v>
      </c>
      <c r="G2538" t="inlineStr">
        <is>
          <t>n° 30 : 0,50 + n° 31 : 0,50</t>
        </is>
      </c>
      <c r="H2538" t="n">
        <v>1</v>
      </c>
    </row>
    <row r="2539">
      <c r="A2539" t="inlineStr">
        <is>
          <t>2023-2024</t>
        </is>
      </c>
      <c r="B2539" t="inlineStr">
        <is>
          <t>2023-08-18</t>
        </is>
      </c>
      <c r="C2539" t="inlineStr">
        <is>
          <t>21:24</t>
        </is>
      </c>
      <c r="D2539" t="inlineStr">
        <is>
          <t>n° 30 + n° 31</t>
        </is>
      </c>
      <c r="E2539" t="inlineStr">
        <is>
          <t>Pavlova</t>
        </is>
      </c>
      <c r="F2539" t="n">
        <v>8.9</v>
      </c>
      <c r="G2539" t="inlineStr">
        <is>
          <t>n° 30 : 0,50 + n° 31 : 0,50</t>
        </is>
      </c>
      <c r="H2539" t="n">
        <v>1</v>
      </c>
    </row>
    <row r="2540">
      <c r="A2540" t="inlineStr">
        <is>
          <t>2023-2024</t>
        </is>
      </c>
      <c r="B2540" t="inlineStr">
        <is>
          <t>2023-08-18</t>
        </is>
      </c>
      <c r="C2540" t="inlineStr">
        <is>
          <t>21:24</t>
        </is>
      </c>
      <c r="D2540" t="inlineStr">
        <is>
          <t>n° 30 + n° 31</t>
        </is>
      </c>
      <c r="E2540" t="inlineStr">
        <is>
          <t>Beaujolais Moulin à</t>
        </is>
      </c>
      <c r="F2540" t="n">
        <v>7.6</v>
      </c>
      <c r="G2540" t="inlineStr">
        <is>
          <t>n° 30 : 0,50 + n° 31 : 0,50</t>
        </is>
      </c>
      <c r="H2540" t="n">
        <v>1</v>
      </c>
    </row>
    <row r="2541">
      <c r="A2541" t="inlineStr">
        <is>
          <t>2023-2024</t>
        </is>
      </c>
      <c r="B2541" t="inlineStr">
        <is>
          <t>2023-08-18</t>
        </is>
      </c>
      <c r="C2541" t="inlineStr">
        <is>
          <t>21:24</t>
        </is>
      </c>
      <c r="D2541" t="inlineStr">
        <is>
          <t>n° 30 + n° 31</t>
        </is>
      </c>
      <c r="E2541" t="inlineStr">
        <is>
          <t>Liqueur de Sapin</t>
        </is>
      </c>
      <c r="F2541" t="n">
        <v>6.5</v>
      </c>
      <c r="G2541" t="inlineStr">
        <is>
          <t>n° 30 : 0,50 + n° 31 : 0,50</t>
        </is>
      </c>
      <c r="H2541" t="n">
        <v>1</v>
      </c>
    </row>
    <row r="2542">
      <c r="A2542" t="inlineStr">
        <is>
          <t>2023-2024</t>
        </is>
      </c>
      <c r="B2542" t="inlineStr">
        <is>
          <t>2023-08-18</t>
        </is>
      </c>
      <c r="C2542" t="inlineStr">
        <is>
          <t>21:24</t>
        </is>
      </c>
      <c r="D2542" t="inlineStr">
        <is>
          <t>n° 30 + n° 31</t>
        </is>
      </c>
      <c r="E2542" t="inlineStr">
        <is>
          <t>Eau de vie Framboise</t>
        </is>
      </c>
      <c r="F2542" t="n">
        <v>6.5</v>
      </c>
      <c r="G2542" t="inlineStr">
        <is>
          <t>n° 30 : 0,50 + n° 31 : 0,50</t>
        </is>
      </c>
      <c r="H2542" t="n">
        <v>1</v>
      </c>
    </row>
    <row r="2543">
      <c r="A2543" t="inlineStr">
        <is>
          <t>2023-2024</t>
        </is>
      </c>
      <c r="B2543" t="inlineStr">
        <is>
          <t>2023-08-18</t>
        </is>
      </c>
      <c r="C2543" t="inlineStr">
        <is>
          <t>21:24</t>
        </is>
      </c>
      <c r="D2543" t="inlineStr">
        <is>
          <t>n° 30 + n° 31</t>
        </is>
      </c>
      <c r="E2543" t="inlineStr">
        <is>
          <t>La Vouivre</t>
        </is>
      </c>
      <c r="F2543" t="n">
        <v>5.9</v>
      </c>
      <c r="G2543" t="inlineStr">
        <is>
          <t>n° 30 : 1,50 + n° 31 : 1,50</t>
        </is>
      </c>
      <c r="H2543" t="n">
        <v>3</v>
      </c>
    </row>
    <row r="2544">
      <c r="A2544" t="inlineStr">
        <is>
          <t>2023-2024</t>
        </is>
      </c>
      <c r="B2544" t="inlineStr">
        <is>
          <t>2023-08-18</t>
        </is>
      </c>
      <c r="C2544" t="inlineStr">
        <is>
          <t>21:24</t>
        </is>
      </c>
      <c r="D2544" t="inlineStr">
        <is>
          <t>n° 30 + n° 31</t>
        </is>
      </c>
      <c r="E2544" t="inlineStr">
        <is>
          <t>Crémant</t>
        </is>
      </c>
      <c r="F2544" t="n">
        <v>5</v>
      </c>
      <c r="G2544" t="inlineStr">
        <is>
          <t>n° 30 : 0,50 + n° 31 : 0,50</t>
        </is>
      </c>
      <c r="H2544" t="n">
        <v>1</v>
      </c>
    </row>
    <row r="2545">
      <c r="A2545" t="inlineStr">
        <is>
          <t>2023-2024</t>
        </is>
      </c>
      <c r="B2545" t="inlineStr">
        <is>
          <t>2023-08-19</t>
        </is>
      </c>
      <c r="C2545" t="inlineStr">
        <is>
          <t>12:45</t>
        </is>
      </c>
      <c r="D2545" t="inlineStr">
        <is>
          <t>n° 8 + n° 9</t>
        </is>
      </c>
      <c r="E2545" t="inlineStr">
        <is>
          <t>Salade Régionale</t>
        </is>
      </c>
      <c r="F2545" t="n">
        <v>19.9</v>
      </c>
      <c r="G2545" t="inlineStr">
        <is>
          <t>n° 8 : 0,50 + n° 9 : 0,50</t>
        </is>
      </c>
      <c r="H2545" t="n">
        <v>1</v>
      </c>
    </row>
    <row r="2546">
      <c r="A2546" t="inlineStr">
        <is>
          <t>2023-2024</t>
        </is>
      </c>
      <c r="B2546" t="inlineStr">
        <is>
          <t>2023-08-19</t>
        </is>
      </c>
      <c r="C2546" t="inlineStr">
        <is>
          <t>12:45</t>
        </is>
      </c>
      <c r="D2546" t="inlineStr">
        <is>
          <t>n° 8 + n° 9</t>
        </is>
      </c>
      <c r="E2546" t="inlineStr">
        <is>
          <t>Salade Végétarienne</t>
        </is>
      </c>
      <c r="F2546" t="n">
        <v>19.9</v>
      </c>
      <c r="G2546" t="inlineStr">
        <is>
          <t>n° 8 : 0,50 + n° 9 : 0,50</t>
        </is>
      </c>
      <c r="H2546" t="n">
        <v>1</v>
      </c>
    </row>
    <row r="2547">
      <c r="A2547" t="inlineStr">
        <is>
          <t>2023-2024</t>
        </is>
      </c>
      <c r="B2547" t="inlineStr">
        <is>
          <t>2023-08-19</t>
        </is>
      </c>
      <c r="C2547" t="inlineStr">
        <is>
          <t>12:45</t>
        </is>
      </c>
      <c r="D2547" t="inlineStr">
        <is>
          <t>n° 8 + n° 9</t>
        </is>
      </c>
      <c r="E2547" t="inlineStr">
        <is>
          <t>GLACE 3 BOULES</t>
        </is>
      </c>
      <c r="F2547" t="n">
        <v>7.9</v>
      </c>
      <c r="G2547" t="inlineStr">
        <is>
          <t>n° 8 : 0,50 + n° 9 : 0,50</t>
        </is>
      </c>
      <c r="H2547" t="n">
        <v>1</v>
      </c>
    </row>
    <row r="2548">
      <c r="A2548" t="inlineStr">
        <is>
          <t>2023-2024</t>
        </is>
      </c>
      <c r="B2548" t="inlineStr">
        <is>
          <t>2023-08-19</t>
        </is>
      </c>
      <c r="C2548" t="inlineStr">
        <is>
          <t>12:45</t>
        </is>
      </c>
      <c r="D2548" t="inlineStr">
        <is>
          <t>n° 8 + n° 9</t>
        </is>
      </c>
      <c r="E2548" t="inlineStr">
        <is>
          <t>Mambo</t>
        </is>
      </c>
      <c r="F2548" t="n">
        <v>6.5</v>
      </c>
      <c r="G2548" t="inlineStr">
        <is>
          <t>n° 8 : 1,50 + n° 9 : 1,50</t>
        </is>
      </c>
      <c r="H2548" t="n">
        <v>3</v>
      </c>
    </row>
    <row r="2549">
      <c r="A2549" t="inlineStr">
        <is>
          <t>2023-2024</t>
        </is>
      </c>
      <c r="B2549" t="inlineStr">
        <is>
          <t>2023-08-19</t>
        </is>
      </c>
      <c r="C2549" t="inlineStr">
        <is>
          <t>12:45</t>
        </is>
      </c>
      <c r="D2549" t="inlineStr">
        <is>
          <t>n° 8 + n° 9</t>
        </is>
      </c>
      <c r="E2549" t="inlineStr">
        <is>
          <t>San Pelegrino</t>
        </is>
      </c>
      <c r="F2549" t="n">
        <v>5.9</v>
      </c>
      <c r="G2549" t="inlineStr">
        <is>
          <t>n° 8 : 0,50 + n° 9 : 0,50</t>
        </is>
      </c>
      <c r="H2549" t="n">
        <v>1</v>
      </c>
    </row>
    <row r="2550">
      <c r="A2550" t="inlineStr">
        <is>
          <t>2023-2024</t>
        </is>
      </c>
      <c r="B2550" t="inlineStr">
        <is>
          <t>2023-08-19</t>
        </is>
      </c>
      <c r="C2550" t="inlineStr">
        <is>
          <t>12:45</t>
        </is>
      </c>
      <c r="D2550" t="inlineStr">
        <is>
          <t>n° 8 + n° 9</t>
        </is>
      </c>
      <c r="E2550" t="inlineStr">
        <is>
          <t>GLACE 2 BOULES</t>
        </is>
      </c>
      <c r="F2550" t="n">
        <v>5.5</v>
      </c>
      <c r="G2550" t="inlineStr">
        <is>
          <t>n° 8 : 1,50 + n° 9 : 1,50</t>
        </is>
      </c>
      <c r="H2550" t="n">
        <v>3</v>
      </c>
    </row>
    <row r="2551">
      <c r="A2551" t="inlineStr">
        <is>
          <t>2023-2024</t>
        </is>
      </c>
      <c r="B2551" t="inlineStr">
        <is>
          <t>2023-08-19</t>
        </is>
      </c>
      <c r="C2551" t="inlineStr">
        <is>
          <t>12:45</t>
        </is>
      </c>
      <c r="D2551" t="inlineStr">
        <is>
          <t>n° 8 + n° 9</t>
        </is>
      </c>
      <c r="E2551" t="inlineStr">
        <is>
          <t>pression</t>
        </is>
      </c>
      <c r="F2551" t="n">
        <v>4.2</v>
      </c>
      <c r="G2551" t="inlineStr">
        <is>
          <t>n° 8 : 0,50 + n° 9 : 0,50</t>
        </is>
      </c>
      <c r="H2551" t="n">
        <v>1</v>
      </c>
    </row>
    <row r="2552">
      <c r="A2552" t="inlineStr">
        <is>
          <t>2023-2024</t>
        </is>
      </c>
      <c r="B2552" t="inlineStr">
        <is>
          <t>2023-08-20</t>
        </is>
      </c>
      <c r="C2552" t="inlineStr">
        <is>
          <t>12:10</t>
        </is>
      </c>
      <c r="D2552" t="inlineStr">
        <is>
          <t>n° 8 + n° 9 + n° 10</t>
        </is>
      </c>
      <c r="E2552" t="inlineStr">
        <is>
          <t>TRUITE JURASSIENNE</t>
        </is>
      </c>
      <c r="F2552" t="n">
        <v>18.6</v>
      </c>
      <c r="G2552" t="inlineStr">
        <is>
          <t>n° 8 : 0,50 + n° 9 : 0,25 + n° 10 : 0,25</t>
        </is>
      </c>
      <c r="H2552" t="n">
        <v>1</v>
      </c>
    </row>
    <row r="2553">
      <c r="A2553" t="inlineStr">
        <is>
          <t>2023-2024</t>
        </is>
      </c>
      <c r="B2553" t="inlineStr">
        <is>
          <t>2023-08-20</t>
        </is>
      </c>
      <c r="C2553" t="inlineStr">
        <is>
          <t>12:10</t>
        </is>
      </c>
      <c r="D2553" t="inlineStr">
        <is>
          <t>n° 8 + n° 9 + n° 10</t>
        </is>
      </c>
      <c r="E2553" t="inlineStr">
        <is>
          <t>TRUITE PESTO</t>
        </is>
      </c>
      <c r="F2553" t="n">
        <v>16.9</v>
      </c>
      <c r="G2553" t="inlineStr">
        <is>
          <t>n° 8 : 0,50 + n° 9 : 0,25 + n° 10 : 0,25</t>
        </is>
      </c>
      <c r="H2553" t="n">
        <v>1</v>
      </c>
    </row>
    <row r="2554">
      <c r="A2554" t="inlineStr">
        <is>
          <t>2023-2024</t>
        </is>
      </c>
      <c r="B2554" t="inlineStr">
        <is>
          <t>2023-08-20</t>
        </is>
      </c>
      <c r="C2554" t="inlineStr">
        <is>
          <t>12:10</t>
        </is>
      </c>
      <c r="D2554" t="inlineStr">
        <is>
          <t>n° 8 + n° 9 + n° 10</t>
        </is>
      </c>
      <c r="E2554" t="inlineStr">
        <is>
          <t>CABRICHOU</t>
        </is>
      </c>
      <c r="F2554" t="n">
        <v>16.9</v>
      </c>
      <c r="G2554" t="inlineStr">
        <is>
          <t>n° 8 : 0,50 + n° 9 : 0,25 + n° 10 : 0,25</t>
        </is>
      </c>
      <c r="H2554" t="n">
        <v>1</v>
      </c>
    </row>
    <row r="2555">
      <c r="A2555" t="inlineStr">
        <is>
          <t>2023-2024</t>
        </is>
      </c>
      <c r="B2555" t="inlineStr">
        <is>
          <t>2023-08-20</t>
        </is>
      </c>
      <c r="C2555" t="inlineStr">
        <is>
          <t>12:10</t>
        </is>
      </c>
      <c r="D2555" t="inlineStr">
        <is>
          <t>n° 8 + n° 9 + n° 10</t>
        </is>
      </c>
      <c r="E2555" t="inlineStr">
        <is>
          <t>Saucisse de Morteau</t>
        </is>
      </c>
      <c r="F2555" t="n">
        <v>8.9</v>
      </c>
      <c r="G2555" t="inlineStr">
        <is>
          <t>n° 8 : 0,50 + n° 9 : 0,25 + n° 10 : 0,25</t>
        </is>
      </c>
      <c r="H2555" t="n">
        <v>1</v>
      </c>
    </row>
    <row r="2556">
      <c r="A2556" t="inlineStr">
        <is>
          <t>2023-2024</t>
        </is>
      </c>
      <c r="B2556" t="inlineStr">
        <is>
          <t>2023-08-20</t>
        </is>
      </c>
      <c r="C2556" t="inlineStr">
        <is>
          <t>12:10</t>
        </is>
      </c>
      <c r="D2556" t="inlineStr">
        <is>
          <t>n° 8 + n° 9 + n° 10</t>
        </is>
      </c>
      <c r="E2556" t="inlineStr">
        <is>
          <t>Pavlova</t>
        </is>
      </c>
      <c r="F2556" t="n">
        <v>8.9</v>
      </c>
      <c r="G2556" t="inlineStr">
        <is>
          <t>n° 8 : 0,50 + n° 9 : 0,25 + n° 10 : 0,25</t>
        </is>
      </c>
      <c r="H2556" t="n">
        <v>1</v>
      </c>
    </row>
    <row r="2557">
      <c r="A2557" t="inlineStr">
        <is>
          <t>2023-2024</t>
        </is>
      </c>
      <c r="B2557" t="inlineStr">
        <is>
          <t>2023-08-20</t>
        </is>
      </c>
      <c r="C2557" t="inlineStr">
        <is>
          <t>12:10</t>
        </is>
      </c>
      <c r="D2557" t="inlineStr">
        <is>
          <t>n° 8 + n° 9 + n° 10</t>
        </is>
      </c>
      <c r="E2557" t="inlineStr">
        <is>
          <t>Sauce Forestière</t>
        </is>
      </c>
      <c r="F2557" t="n">
        <v>7.9</v>
      </c>
      <c r="G2557" t="inlineStr">
        <is>
          <t>n° 8 : 0,50 + n° 9 : 0,25 + n° 10 : 0,25</t>
        </is>
      </c>
      <c r="H2557" t="n">
        <v>1</v>
      </c>
    </row>
    <row r="2558">
      <c r="A2558" t="inlineStr">
        <is>
          <t>2023-2024</t>
        </is>
      </c>
      <c r="B2558" t="inlineStr">
        <is>
          <t>2023-08-20</t>
        </is>
      </c>
      <c r="C2558" t="inlineStr">
        <is>
          <t>12:10</t>
        </is>
      </c>
      <c r="D2558" t="inlineStr">
        <is>
          <t>n° 8 + n° 9 + n° 10</t>
        </is>
      </c>
      <c r="E2558" t="inlineStr">
        <is>
          <t>bluette</t>
        </is>
      </c>
      <c r="F2558" t="n">
        <v>7.9</v>
      </c>
      <c r="G2558" t="inlineStr">
        <is>
          <t>n° 8 : 0,50 + n° 9 : 0,25 + n° 10 : 0,25</t>
        </is>
      </c>
      <c r="H2558" t="n">
        <v>1</v>
      </c>
    </row>
    <row r="2559">
      <c r="A2559" t="inlineStr">
        <is>
          <t>2023-2024</t>
        </is>
      </c>
      <c r="B2559" t="inlineStr">
        <is>
          <t>2023-08-20</t>
        </is>
      </c>
      <c r="C2559" t="inlineStr">
        <is>
          <t>12:10</t>
        </is>
      </c>
      <c r="D2559" t="inlineStr">
        <is>
          <t>n° 8 + n° 9 + n° 10</t>
        </is>
      </c>
      <c r="E2559" t="inlineStr">
        <is>
          <t>Steak haché</t>
        </is>
      </c>
      <c r="F2559" t="n">
        <v>7.8</v>
      </c>
      <c r="G2559" t="inlineStr">
        <is>
          <t>n° 8 : 0,50 + n° 9 : 0,25 + n° 10 : 0,25</t>
        </is>
      </c>
      <c r="H2559" t="n">
        <v>1</v>
      </c>
    </row>
    <row r="2560">
      <c r="A2560" t="inlineStr">
        <is>
          <t>2023-2024</t>
        </is>
      </c>
      <c r="B2560" t="inlineStr">
        <is>
          <t>2023-08-20</t>
        </is>
      </c>
      <c r="C2560" t="inlineStr">
        <is>
          <t>12:10</t>
        </is>
      </c>
      <c r="D2560" t="inlineStr">
        <is>
          <t>n° 8 + n° 9 + n° 10</t>
        </is>
      </c>
      <c r="E2560" t="inlineStr">
        <is>
          <t>PASSION</t>
        </is>
      </c>
      <c r="F2560" t="n">
        <v>7.3</v>
      </c>
      <c r="G2560" t="inlineStr">
        <is>
          <t>n° 8 : 0,50 + n° 9 : 0,25 + n° 10 : 0,25</t>
        </is>
      </c>
      <c r="H2560" t="n">
        <v>1</v>
      </c>
    </row>
    <row r="2561">
      <c r="A2561" t="inlineStr">
        <is>
          <t>2023-2024</t>
        </is>
      </c>
      <c r="B2561" t="inlineStr">
        <is>
          <t>2023-08-20</t>
        </is>
      </c>
      <c r="C2561" t="inlineStr">
        <is>
          <t>12:10</t>
        </is>
      </c>
      <c r="D2561" t="inlineStr">
        <is>
          <t>n° 8 + n° 9 + n° 10</t>
        </is>
      </c>
      <c r="E2561" t="inlineStr">
        <is>
          <t>Mambo</t>
        </is>
      </c>
      <c r="F2561" t="n">
        <v>6.5</v>
      </c>
      <c r="G2561" t="inlineStr">
        <is>
          <t>n° 8 : 0,50 + n° 9 : 0,25 + n° 10 : 0,25</t>
        </is>
      </c>
      <c r="H2561" t="n">
        <v>1</v>
      </c>
    </row>
    <row r="2562">
      <c r="A2562" t="inlineStr">
        <is>
          <t>2023-2024</t>
        </is>
      </c>
      <c r="B2562" t="inlineStr">
        <is>
          <t>2023-08-20</t>
        </is>
      </c>
      <c r="C2562" t="inlineStr">
        <is>
          <t>12:10</t>
        </is>
      </c>
      <c r="D2562" t="inlineStr">
        <is>
          <t>n° 8 + n° 9 + n° 10</t>
        </is>
      </c>
      <c r="E2562" t="inlineStr">
        <is>
          <t>SAUCE JURASSIENNE</t>
        </is>
      </c>
      <c r="F2562" t="n">
        <v>6.1</v>
      </c>
      <c r="G2562" t="inlineStr">
        <is>
          <t>n° 8 : 0,50 + n° 9 : 0,25 + n° 10 : 0,25</t>
        </is>
      </c>
      <c r="H2562" t="n">
        <v>1</v>
      </c>
    </row>
    <row r="2563">
      <c r="A2563" t="inlineStr">
        <is>
          <t>2023-2024</t>
        </is>
      </c>
      <c r="B2563" t="inlineStr">
        <is>
          <t>2023-08-20</t>
        </is>
      </c>
      <c r="C2563" t="inlineStr">
        <is>
          <t>12:10</t>
        </is>
      </c>
      <c r="D2563" t="inlineStr">
        <is>
          <t>n° 8 + n° 9 + n° 10</t>
        </is>
      </c>
      <c r="E2563" t="inlineStr">
        <is>
          <t>La Vouivre</t>
        </is>
      </c>
      <c r="F2563" t="n">
        <v>5.9</v>
      </c>
      <c r="G2563" t="inlineStr">
        <is>
          <t>n° 8 : 1,00 + n° 9 : 0,50 + n° 10 : 0,50</t>
        </is>
      </c>
      <c r="H2563" t="n">
        <v>2</v>
      </c>
    </row>
    <row r="2564">
      <c r="A2564" t="inlineStr">
        <is>
          <t>2023-2024</t>
        </is>
      </c>
      <c r="B2564" t="inlineStr">
        <is>
          <t>2023-08-20</t>
        </is>
      </c>
      <c r="C2564" t="inlineStr">
        <is>
          <t>12:10</t>
        </is>
      </c>
      <c r="D2564" t="inlineStr">
        <is>
          <t>n° 8 + n° 9 + n° 10</t>
        </is>
      </c>
      <c r="E2564" t="inlineStr">
        <is>
          <t>Crêpe Confiture</t>
        </is>
      </c>
      <c r="F2564" t="n">
        <v>5.4</v>
      </c>
      <c r="G2564" t="inlineStr">
        <is>
          <t>n° 8 : 0,50 + n° 9 : 0,25 + n° 10 : 0,25</t>
        </is>
      </c>
      <c r="H2564" t="n">
        <v>1</v>
      </c>
    </row>
    <row r="2565">
      <c r="A2565" t="inlineStr">
        <is>
          <t>2023-2024</t>
        </is>
      </c>
      <c r="B2565" t="inlineStr">
        <is>
          <t>2023-08-20</t>
        </is>
      </c>
      <c r="C2565" t="inlineStr">
        <is>
          <t>12:10</t>
        </is>
      </c>
      <c r="D2565" t="inlineStr">
        <is>
          <t>n° 8 + n° 9 + n° 10</t>
        </is>
      </c>
      <c r="E2565" t="inlineStr">
        <is>
          <t>Jus de Fruit</t>
        </is>
      </c>
      <c r="F2565" t="n">
        <v>4.2</v>
      </c>
      <c r="G2565" t="inlineStr">
        <is>
          <t>n° 8 : 0,50 + n° 9 : 0,25 + n° 10 : 0,25</t>
        </is>
      </c>
      <c r="H2565" t="n">
        <v>1</v>
      </c>
    </row>
    <row r="2566">
      <c r="A2566" t="inlineStr">
        <is>
          <t>2023-2024</t>
        </is>
      </c>
      <c r="B2566" t="inlineStr">
        <is>
          <t>2023-08-20</t>
        </is>
      </c>
      <c r="C2566" t="inlineStr">
        <is>
          <t>12:10</t>
        </is>
      </c>
      <c r="D2566" t="inlineStr">
        <is>
          <t>n° 8 + n° 9 + n° 10</t>
        </is>
      </c>
      <c r="E2566" t="inlineStr">
        <is>
          <t>pression</t>
        </is>
      </c>
      <c r="F2566" t="n">
        <v>4.2</v>
      </c>
      <c r="G2566" t="inlineStr">
        <is>
          <t>n° 8 : 0,50 + n° 9 : 0,25 + n° 10 : 0,25</t>
        </is>
      </c>
      <c r="H2566" t="n">
        <v>1</v>
      </c>
    </row>
    <row r="2567">
      <c r="A2567" t="inlineStr">
        <is>
          <t>2023-2024</t>
        </is>
      </c>
      <c r="B2567" t="inlineStr">
        <is>
          <t>2023-08-20</t>
        </is>
      </c>
      <c r="C2567" t="inlineStr">
        <is>
          <t>12:10</t>
        </is>
      </c>
      <c r="D2567" t="inlineStr">
        <is>
          <t>n° 8 + n° 9 + n° 10</t>
        </is>
      </c>
      <c r="E2567" t="inlineStr">
        <is>
          <t>Galette nature</t>
        </is>
      </c>
      <c r="F2567" t="n">
        <v>3.9</v>
      </c>
      <c r="G2567" t="inlineStr">
        <is>
          <t>n° 8 : 1,00 + n° 9 : 0,50 + n° 10 : 0,50</t>
        </is>
      </c>
      <c r="H2567" t="n">
        <v>2</v>
      </c>
    </row>
    <row r="2568">
      <c r="A2568" t="inlineStr">
        <is>
          <t>2023-2024</t>
        </is>
      </c>
      <c r="B2568" t="inlineStr">
        <is>
          <t>2023-08-20</t>
        </is>
      </c>
      <c r="C2568" t="inlineStr">
        <is>
          <t>12:10</t>
        </is>
      </c>
      <c r="D2568" t="inlineStr">
        <is>
          <t>n° 8 + n° 9 + n° 10</t>
        </is>
      </c>
      <c r="E2568" t="inlineStr">
        <is>
          <t>Verre ALIGOTE</t>
        </is>
      </c>
      <c r="F2568" t="n">
        <v>3.9</v>
      </c>
      <c r="G2568" t="inlineStr">
        <is>
          <t>n° 8 : 0,50 + n° 9 : 0,25 + n° 10 : 0,25</t>
        </is>
      </c>
      <c r="H2568" t="n">
        <v>1</v>
      </c>
    </row>
    <row r="2569">
      <c r="A2569" t="inlineStr">
        <is>
          <t>2023-2024</t>
        </is>
      </c>
      <c r="B2569" t="inlineStr">
        <is>
          <t>2023-08-20</t>
        </is>
      </c>
      <c r="C2569" t="inlineStr">
        <is>
          <t>12:10</t>
        </is>
      </c>
      <c r="D2569" t="inlineStr">
        <is>
          <t>n° 8 + n° 9 + n° 10</t>
        </is>
      </c>
      <c r="E2569" t="inlineStr">
        <is>
          <t>Pommes de Terre</t>
        </is>
      </c>
      <c r="F2569" t="n">
        <v>3.2</v>
      </c>
      <c r="G2569" t="inlineStr">
        <is>
          <t>n° 8 : 1,00 + n° 9 : 0,50 + n° 10 : 0,50</t>
        </is>
      </c>
      <c r="H2569" t="n">
        <v>2</v>
      </c>
    </row>
    <row r="2570">
      <c r="A2570" t="inlineStr">
        <is>
          <t>2023-2024</t>
        </is>
      </c>
      <c r="B2570" t="inlineStr">
        <is>
          <t>2023-08-20</t>
        </is>
      </c>
      <c r="C2570" t="inlineStr">
        <is>
          <t>12:10</t>
        </is>
      </c>
      <c r="D2570" t="inlineStr">
        <is>
          <t>n° 8 + n° 9 + n° 10</t>
        </is>
      </c>
      <c r="E2570" t="inlineStr">
        <is>
          <t>Expresso</t>
        </is>
      </c>
      <c r="F2570" t="n">
        <v>2.2</v>
      </c>
      <c r="G2570" t="inlineStr">
        <is>
          <t>n° 8 : 1,00 + n° 9 : 0,50 + n° 10 : 0,50</t>
        </is>
      </c>
      <c r="H2570" t="n">
        <v>2</v>
      </c>
    </row>
    <row r="2571">
      <c r="A2571" t="inlineStr">
        <is>
          <t>2023-2024</t>
        </is>
      </c>
      <c r="B2571" t="inlineStr">
        <is>
          <t>2023-08-20</t>
        </is>
      </c>
      <c r="C2571" t="inlineStr">
        <is>
          <t>12:10</t>
        </is>
      </c>
      <c r="D2571" t="inlineStr">
        <is>
          <t>n° 8 + n° 9 + n° 10</t>
        </is>
      </c>
      <c r="E2571" t="inlineStr">
        <is>
          <t>Œuf</t>
        </is>
      </c>
      <c r="F2571" t="n">
        <v>0.9</v>
      </c>
      <c r="G2571" t="inlineStr">
        <is>
          <t>n° 8 : 0,50 + n° 9 : 0,25 + n° 10 : 0,25</t>
        </is>
      </c>
      <c r="H2571" t="n">
        <v>1</v>
      </c>
    </row>
    <row r="2572">
      <c r="A2572" t="inlineStr">
        <is>
          <t>2023-2024</t>
        </is>
      </c>
      <c r="B2572" t="inlineStr">
        <is>
          <t>2023-08-23</t>
        </is>
      </c>
      <c r="C2572" t="inlineStr">
        <is>
          <t>19:30</t>
        </is>
      </c>
      <c r="D2572" t="inlineStr">
        <is>
          <t>n° 16 + n° 17</t>
        </is>
      </c>
      <c r="E2572" t="inlineStr">
        <is>
          <t>Salade Végétarienne</t>
        </is>
      </c>
      <c r="F2572" t="n">
        <v>19.9</v>
      </c>
      <c r="G2572" t="inlineStr">
        <is>
          <t>n° 16 : 0,50 + n° 17 : 0,50</t>
        </is>
      </c>
      <c r="H2572" t="n">
        <v>1</v>
      </c>
    </row>
    <row r="2573">
      <c r="A2573" t="inlineStr">
        <is>
          <t>2023-2024</t>
        </is>
      </c>
      <c r="B2573" t="inlineStr">
        <is>
          <t>2023-08-23</t>
        </is>
      </c>
      <c r="C2573" t="inlineStr">
        <is>
          <t>19:30</t>
        </is>
      </c>
      <c r="D2573" t="inlineStr">
        <is>
          <t>n° 16 + n° 17</t>
        </is>
      </c>
      <c r="E2573" t="inlineStr">
        <is>
          <t>TRUITE JURASSIENNE</t>
        </is>
      </c>
      <c r="F2573" t="n">
        <v>18.6</v>
      </c>
      <c r="G2573" t="inlineStr">
        <is>
          <t>n° 16 : 0,50 + n° 17 : 0,50</t>
        </is>
      </c>
      <c r="H2573" t="n">
        <v>1</v>
      </c>
    </row>
    <row r="2574">
      <c r="A2574" t="inlineStr">
        <is>
          <t>2023-2024</t>
        </is>
      </c>
      <c r="B2574" t="inlineStr">
        <is>
          <t>2023-08-23</t>
        </is>
      </c>
      <c r="C2574" t="inlineStr">
        <is>
          <t>19:30</t>
        </is>
      </c>
      <c r="D2574" t="inlineStr">
        <is>
          <t>n° 16 + n° 17</t>
        </is>
      </c>
      <c r="E2574" t="inlineStr">
        <is>
          <t>ASSIETTE PERE GREGOI</t>
        </is>
      </c>
      <c r="F2574" t="n">
        <v>18.6</v>
      </c>
      <c r="G2574" t="inlineStr">
        <is>
          <t>n° 16 : 0,50 + n° 17 : 0,50</t>
        </is>
      </c>
      <c r="H2574" t="n">
        <v>1</v>
      </c>
    </row>
    <row r="2575">
      <c r="A2575" t="inlineStr">
        <is>
          <t>2023-2024</t>
        </is>
      </c>
      <c r="B2575" t="inlineStr">
        <is>
          <t>2023-08-23</t>
        </is>
      </c>
      <c r="C2575" t="inlineStr">
        <is>
          <t>19:30</t>
        </is>
      </c>
      <c r="D2575" t="inlineStr">
        <is>
          <t>n° 16 + n° 17</t>
        </is>
      </c>
      <c r="E2575" t="inlineStr">
        <is>
          <t>VIN PAILLE</t>
        </is>
      </c>
      <c r="F2575" t="n">
        <v>6.9</v>
      </c>
      <c r="G2575" t="inlineStr">
        <is>
          <t>n° 16 : 0,50 + n° 17 : 0,50</t>
        </is>
      </c>
      <c r="H2575" t="n">
        <v>1</v>
      </c>
    </row>
    <row r="2576">
      <c r="A2576" t="inlineStr">
        <is>
          <t>2023-2024</t>
        </is>
      </c>
      <c r="B2576" t="inlineStr">
        <is>
          <t>2023-08-23</t>
        </is>
      </c>
      <c r="C2576" t="inlineStr">
        <is>
          <t>19:30</t>
        </is>
      </c>
      <c r="D2576" t="inlineStr">
        <is>
          <t>n° 16 + n° 17</t>
        </is>
      </c>
      <c r="E2576" t="inlineStr">
        <is>
          <t>Chat perché</t>
        </is>
      </c>
      <c r="F2576" t="n">
        <v>5.9</v>
      </c>
      <c r="G2576" t="inlineStr">
        <is>
          <t>n° 16 : 0,50 + n° 17 : 0,50</t>
        </is>
      </c>
      <c r="H2576" t="n">
        <v>1</v>
      </c>
    </row>
    <row r="2577">
      <c r="A2577" t="inlineStr">
        <is>
          <t>2023-2024</t>
        </is>
      </c>
      <c r="B2577" t="inlineStr">
        <is>
          <t>2023-08-23</t>
        </is>
      </c>
      <c r="C2577" t="inlineStr">
        <is>
          <t>19:30</t>
        </is>
      </c>
      <c r="D2577" t="inlineStr">
        <is>
          <t>n° 16 + n° 17</t>
        </is>
      </c>
      <c r="E2577" t="inlineStr">
        <is>
          <t>Macvin du Jura</t>
        </is>
      </c>
      <c r="F2577" t="n">
        <v>5.9</v>
      </c>
      <c r="G2577" t="inlineStr">
        <is>
          <t>n° 16 : 0,50 + n° 17 : 0,50</t>
        </is>
      </c>
      <c r="H2577" t="n">
        <v>1</v>
      </c>
    </row>
    <row r="2578">
      <c r="A2578" t="inlineStr">
        <is>
          <t>2023-2024</t>
        </is>
      </c>
      <c r="B2578" t="inlineStr">
        <is>
          <t>2023-08-23</t>
        </is>
      </c>
      <c r="C2578" t="inlineStr">
        <is>
          <t>19:30</t>
        </is>
      </c>
      <c r="D2578" t="inlineStr">
        <is>
          <t>n° 16 + n° 17</t>
        </is>
      </c>
      <c r="E2578" t="inlineStr">
        <is>
          <t>Crêpe au sucre</t>
        </is>
      </c>
      <c r="F2578" t="n">
        <v>3.9</v>
      </c>
      <c r="G2578" t="inlineStr">
        <is>
          <t>n° 16 : 0,50 + n° 17 : 0,50</t>
        </is>
      </c>
      <c r="H2578" t="n">
        <v>1</v>
      </c>
    </row>
    <row r="2579">
      <c r="A2579" t="inlineStr">
        <is>
          <t>2023-2024</t>
        </is>
      </c>
      <c r="B2579" t="inlineStr">
        <is>
          <t>2023-08-23</t>
        </is>
      </c>
      <c r="C2579" t="inlineStr">
        <is>
          <t>20:04</t>
        </is>
      </c>
      <c r="D2579" t="inlineStr">
        <is>
          <t>n° 26 + n° 27</t>
        </is>
      </c>
      <c r="E2579" t="inlineStr">
        <is>
          <t>Menu Bourguignon</t>
        </is>
      </c>
      <c r="F2579" t="n">
        <v>34</v>
      </c>
      <c r="G2579" t="inlineStr">
        <is>
          <t>n° 26 : 0,50 + n° 27 : 0,50</t>
        </is>
      </c>
      <c r="H2579" t="n">
        <v>1</v>
      </c>
    </row>
    <row r="2580">
      <c r="A2580" t="inlineStr">
        <is>
          <t>2023-2024</t>
        </is>
      </c>
      <c r="B2580" t="inlineStr">
        <is>
          <t>2023-08-23</t>
        </is>
      </c>
      <c r="C2580" t="inlineStr">
        <is>
          <t>20:04</t>
        </is>
      </c>
      <c r="D2580" t="inlineStr">
        <is>
          <t>n° 26 + n° 27</t>
        </is>
      </c>
      <c r="E2580" t="inlineStr">
        <is>
          <t>FRELEE</t>
        </is>
      </c>
      <c r="F2580" t="n">
        <v>19.6</v>
      </c>
      <c r="G2580" t="inlineStr">
        <is>
          <t>n° 26 : 0,50 + n° 27 : 0,50</t>
        </is>
      </c>
      <c r="H2580" t="n">
        <v>1</v>
      </c>
    </row>
    <row r="2581">
      <c r="A2581" t="inlineStr">
        <is>
          <t>2023-2024</t>
        </is>
      </c>
      <c r="B2581" t="inlineStr">
        <is>
          <t>2023-08-23</t>
        </is>
      </c>
      <c r="C2581" t="inlineStr">
        <is>
          <t>20:04</t>
        </is>
      </c>
      <c r="D2581" t="inlineStr">
        <is>
          <t>n° 26 + n° 27</t>
        </is>
      </c>
      <c r="E2581" t="inlineStr">
        <is>
          <t>BURGER COMTOIS</t>
        </is>
      </c>
      <c r="F2581" t="n">
        <v>19</v>
      </c>
      <c r="G2581" t="inlineStr">
        <is>
          <t>n° 26 : 0,50 + n° 27 : 0,50</t>
        </is>
      </c>
      <c r="H2581" t="n">
        <v>1</v>
      </c>
    </row>
    <row r="2582">
      <c r="A2582" t="inlineStr">
        <is>
          <t>2023-2024</t>
        </is>
      </c>
      <c r="B2582" t="inlineStr">
        <is>
          <t>2023-08-23</t>
        </is>
      </c>
      <c r="C2582" t="inlineStr">
        <is>
          <t>20:04</t>
        </is>
      </c>
      <c r="D2582" t="inlineStr">
        <is>
          <t>n° 26 + n° 27</t>
        </is>
      </c>
      <c r="E2582" t="inlineStr">
        <is>
          <t>BARBEULENET</t>
        </is>
      </c>
      <c r="F2582" t="n">
        <v>17.4</v>
      </c>
      <c r="G2582" t="inlineStr">
        <is>
          <t>n° 26 : 0,50 + n° 27 : 0,50</t>
        </is>
      </c>
      <c r="H2582" t="n">
        <v>1</v>
      </c>
    </row>
    <row r="2583">
      <c r="A2583" t="inlineStr">
        <is>
          <t>2023-2024</t>
        </is>
      </c>
      <c r="B2583" t="inlineStr">
        <is>
          <t>2023-08-23</t>
        </is>
      </c>
      <c r="C2583" t="inlineStr">
        <is>
          <t>20:04</t>
        </is>
      </c>
      <c r="D2583" t="inlineStr">
        <is>
          <t>n° 26 + n° 27</t>
        </is>
      </c>
      <c r="E2583" t="inlineStr">
        <is>
          <t>TANTELIN</t>
        </is>
      </c>
      <c r="F2583" t="n">
        <v>17.4</v>
      </c>
      <c r="G2583" t="inlineStr">
        <is>
          <t>n° 26 : 0,50 + n° 27 : 0,50</t>
        </is>
      </c>
      <c r="H2583" t="n">
        <v>1</v>
      </c>
    </row>
    <row r="2584">
      <c r="A2584" t="inlineStr">
        <is>
          <t>2023-2024</t>
        </is>
      </c>
      <c r="B2584" t="inlineStr">
        <is>
          <t>2023-08-23</t>
        </is>
      </c>
      <c r="C2584" t="inlineStr">
        <is>
          <t>20:04</t>
        </is>
      </c>
      <c r="D2584" t="inlineStr">
        <is>
          <t>n° 26 + n° 27</t>
        </is>
      </c>
      <c r="E2584" t="inlineStr">
        <is>
          <t>Cidre Bouché Doux</t>
        </is>
      </c>
      <c r="F2584" t="n">
        <v>16</v>
      </c>
      <c r="G2584" t="inlineStr">
        <is>
          <t>n° 26 : 0,50 + n° 27 : 0,50</t>
        </is>
      </c>
      <c r="H2584" t="n">
        <v>1</v>
      </c>
    </row>
    <row r="2585">
      <c r="A2585" t="inlineStr">
        <is>
          <t>2023-2024</t>
        </is>
      </c>
      <c r="B2585" t="inlineStr">
        <is>
          <t>2023-08-23</t>
        </is>
      </c>
      <c r="C2585" t="inlineStr">
        <is>
          <t>20:04</t>
        </is>
      </c>
      <c r="D2585" t="inlineStr">
        <is>
          <t>n° 26 + n° 27</t>
        </is>
      </c>
      <c r="E2585" t="inlineStr">
        <is>
          <t>Cidre Bouché Brut</t>
        </is>
      </c>
      <c r="F2585" t="n">
        <v>16</v>
      </c>
      <c r="G2585" t="inlineStr">
        <is>
          <t>n° 26 : 0,50 + n° 27 : 0,50</t>
        </is>
      </c>
      <c r="H2585" t="n">
        <v>1</v>
      </c>
    </row>
    <row r="2586">
      <c r="A2586" t="inlineStr">
        <is>
          <t>2023-2024</t>
        </is>
      </c>
      <c r="B2586" t="inlineStr">
        <is>
          <t>2023-08-23</t>
        </is>
      </c>
      <c r="C2586" t="inlineStr">
        <is>
          <t>20:04</t>
        </is>
      </c>
      <c r="D2586" t="inlineStr">
        <is>
          <t>n° 26 + n° 27</t>
        </is>
      </c>
      <c r="E2586" t="inlineStr">
        <is>
          <t>TOQUADE</t>
        </is>
      </c>
      <c r="F2586" t="n">
        <v>11.8</v>
      </c>
      <c r="G2586" t="inlineStr">
        <is>
          <t>n° 26 : 0,50 + n° 27 : 0,50</t>
        </is>
      </c>
      <c r="H2586" t="n">
        <v>1</v>
      </c>
    </row>
    <row r="2587">
      <c r="A2587" t="inlineStr">
        <is>
          <t>2023-2024</t>
        </is>
      </c>
      <c r="B2587" t="inlineStr">
        <is>
          <t>2023-08-23</t>
        </is>
      </c>
      <c r="C2587" t="inlineStr">
        <is>
          <t>20:04</t>
        </is>
      </c>
      <c r="D2587" t="inlineStr">
        <is>
          <t>n° 26 + n° 27</t>
        </is>
      </c>
      <c r="E2587" t="inlineStr">
        <is>
          <t>Crêpe Flambée</t>
        </is>
      </c>
      <c r="F2587" t="n">
        <v>8.4</v>
      </c>
      <c r="G2587" t="inlineStr">
        <is>
          <t>n° 26 : 0,50 + n° 27 : 0,50</t>
        </is>
      </c>
      <c r="H2587" t="n">
        <v>1</v>
      </c>
    </row>
    <row r="2588">
      <c r="A2588" t="inlineStr">
        <is>
          <t>2023-2024</t>
        </is>
      </c>
      <c r="B2588" t="inlineStr">
        <is>
          <t>2023-08-23</t>
        </is>
      </c>
      <c r="C2588" t="inlineStr">
        <is>
          <t>20:04</t>
        </is>
      </c>
      <c r="D2588" t="inlineStr">
        <is>
          <t>n° 26 + n° 27</t>
        </is>
      </c>
      <c r="E2588" t="inlineStr">
        <is>
          <t>GLACE 2 BOULES</t>
        </is>
      </c>
      <c r="F2588" t="n">
        <v>5.5</v>
      </c>
      <c r="G2588" t="inlineStr">
        <is>
          <t>n° 26 : 0,50 + n° 27 : 0,50</t>
        </is>
      </c>
      <c r="H2588" t="n">
        <v>1</v>
      </c>
    </row>
    <row r="2589">
      <c r="A2589" t="inlineStr">
        <is>
          <t>2023-2024</t>
        </is>
      </c>
      <c r="B2589" t="inlineStr">
        <is>
          <t>2023-08-23</t>
        </is>
      </c>
      <c r="C2589" t="inlineStr">
        <is>
          <t>20:04</t>
        </is>
      </c>
      <c r="D2589" t="inlineStr">
        <is>
          <t>n° 26 + n° 27</t>
        </is>
      </c>
      <c r="E2589" t="inlineStr">
        <is>
          <t>Jus de Fruit</t>
        </is>
      </c>
      <c r="F2589" t="n">
        <v>4.2</v>
      </c>
      <c r="G2589" t="inlineStr">
        <is>
          <t>n° 26 : 0,50 + n° 27 : 0,50</t>
        </is>
      </c>
      <c r="H2589" t="n">
        <v>1</v>
      </c>
    </row>
    <row r="2590">
      <c r="A2590" t="inlineStr">
        <is>
          <t>2023-2024</t>
        </is>
      </c>
      <c r="B2590" t="inlineStr">
        <is>
          <t>2023-08-23</t>
        </is>
      </c>
      <c r="C2590" t="inlineStr">
        <is>
          <t>20:04</t>
        </is>
      </c>
      <c r="D2590" t="inlineStr">
        <is>
          <t>n° 26 + n° 27</t>
        </is>
      </c>
      <c r="E2590" t="inlineStr">
        <is>
          <t>GLACE 1 BOULE</t>
        </is>
      </c>
      <c r="F2590" t="n">
        <v>3.5</v>
      </c>
      <c r="G2590" t="inlineStr">
        <is>
          <t>n° 26 : 0,50 + n° 27 : 0,50</t>
        </is>
      </c>
      <c r="H2590" t="n">
        <v>1</v>
      </c>
    </row>
    <row r="2591">
      <c r="A2591" t="inlineStr">
        <is>
          <t>2023-2024</t>
        </is>
      </c>
      <c r="B2591" t="inlineStr">
        <is>
          <t>2023-08-23</t>
        </is>
      </c>
      <c r="C2591" t="inlineStr">
        <is>
          <t>20:36</t>
        </is>
      </c>
      <c r="D2591" t="inlineStr">
        <is>
          <t>n° 30 + n° 31</t>
        </is>
      </c>
      <c r="E2591" t="inlineStr">
        <is>
          <t>Pavlova</t>
        </is>
      </c>
      <c r="F2591" t="n">
        <v>8.9</v>
      </c>
      <c r="G2591" t="inlineStr">
        <is>
          <t>n° 30 : 0,50 + n° 31 : 0,50</t>
        </is>
      </c>
      <c r="H2591" t="n">
        <v>1</v>
      </c>
    </row>
    <row r="2592">
      <c r="A2592" t="inlineStr">
        <is>
          <t>2023-2024</t>
        </is>
      </c>
      <c r="B2592" t="inlineStr">
        <is>
          <t>2023-08-24</t>
        </is>
      </c>
      <c r="C2592" t="inlineStr">
        <is>
          <t>19:08</t>
        </is>
      </c>
      <c r="D2592" t="inlineStr">
        <is>
          <t>n° 16 + n° 17</t>
        </is>
      </c>
      <c r="E2592" t="inlineStr">
        <is>
          <t>Crémeux du Jura</t>
        </is>
      </c>
      <c r="F2592" t="n">
        <v>19</v>
      </c>
      <c r="G2592" t="inlineStr">
        <is>
          <t>n° 16 : 0,50 + n° 17 : 0,50</t>
        </is>
      </c>
      <c r="H2592" t="n">
        <v>1</v>
      </c>
    </row>
    <row r="2593">
      <c r="A2593" t="inlineStr">
        <is>
          <t>2023-2024</t>
        </is>
      </c>
      <c r="B2593" t="inlineStr">
        <is>
          <t>2023-08-24</t>
        </is>
      </c>
      <c r="C2593" t="inlineStr">
        <is>
          <t>19:08</t>
        </is>
      </c>
      <c r="D2593" t="inlineStr">
        <is>
          <t>n° 16 + n° 17</t>
        </is>
      </c>
      <c r="E2593" t="inlineStr">
        <is>
          <t>ASSIETTE FRANC-COMTO</t>
        </is>
      </c>
      <c r="F2593" t="n">
        <v>18.6</v>
      </c>
      <c r="G2593" t="inlineStr">
        <is>
          <t>n° 16 : 0,50 + n° 17 : 0,50</t>
        </is>
      </c>
      <c r="H2593" t="n">
        <v>1</v>
      </c>
    </row>
    <row r="2594">
      <c r="A2594" t="inlineStr">
        <is>
          <t>2023-2024</t>
        </is>
      </c>
      <c r="B2594" t="inlineStr">
        <is>
          <t>2023-08-24</t>
        </is>
      </c>
      <c r="C2594" t="inlineStr">
        <is>
          <t>19:08</t>
        </is>
      </c>
      <c r="D2594" t="inlineStr">
        <is>
          <t>n° 16 + n° 17</t>
        </is>
      </c>
      <c r="E2594" t="inlineStr">
        <is>
          <t>Croûtes Morilles</t>
        </is>
      </c>
      <c r="F2594" t="n">
        <v>16.9</v>
      </c>
      <c r="G2594" t="inlineStr">
        <is>
          <t>n° 16 : 0,50 + n° 17 : 0,50</t>
        </is>
      </c>
      <c r="H2594" t="n">
        <v>1</v>
      </c>
    </row>
    <row r="2595">
      <c r="A2595" t="inlineStr">
        <is>
          <t>2023-2024</t>
        </is>
      </c>
      <c r="B2595" t="inlineStr">
        <is>
          <t>2023-08-24</t>
        </is>
      </c>
      <c r="C2595" t="inlineStr">
        <is>
          <t>19:08</t>
        </is>
      </c>
      <c r="D2595" t="inlineStr">
        <is>
          <t>n° 16 + n° 17</t>
        </is>
      </c>
      <c r="E2595" t="inlineStr">
        <is>
          <t>Sprintz</t>
        </is>
      </c>
      <c r="F2595" t="n">
        <v>9</v>
      </c>
      <c r="G2595" t="inlineStr">
        <is>
          <t>n° 16 : 0,50 + n° 17 : 0,50</t>
        </is>
      </c>
      <c r="H2595" t="n">
        <v>1</v>
      </c>
    </row>
    <row r="2596">
      <c r="A2596" t="inlineStr">
        <is>
          <t>2023-2024</t>
        </is>
      </c>
      <c r="B2596" t="inlineStr">
        <is>
          <t>2023-08-24</t>
        </is>
      </c>
      <c r="C2596" t="inlineStr">
        <is>
          <t>19:08</t>
        </is>
      </c>
      <c r="D2596" t="inlineStr">
        <is>
          <t>n° 16 + n° 17</t>
        </is>
      </c>
      <c r="E2596" t="inlineStr">
        <is>
          <t>La Vouivre</t>
        </is>
      </c>
      <c r="F2596" t="n">
        <v>5.9</v>
      </c>
      <c r="G2596" t="inlineStr">
        <is>
          <t>n° 16 : 0,50 + n° 17 : 0,50</t>
        </is>
      </c>
      <c r="H2596" t="n">
        <v>1</v>
      </c>
    </row>
    <row r="2597">
      <c r="A2597" t="inlineStr">
        <is>
          <t>2023-2024</t>
        </is>
      </c>
      <c r="B2597" t="inlineStr">
        <is>
          <t>2023-08-26</t>
        </is>
      </c>
      <c r="C2597" t="inlineStr">
        <is>
          <t>12:15</t>
        </is>
      </c>
      <c r="D2597" t="inlineStr">
        <is>
          <t>n° 6 + n° 7</t>
        </is>
      </c>
      <c r="E2597" t="inlineStr">
        <is>
          <t>Entrecôte grillée</t>
        </is>
      </c>
      <c r="F2597" t="n">
        <v>19.9</v>
      </c>
      <c r="G2597" t="inlineStr">
        <is>
          <t>n° 6 : 0,50 + n° 7 : 0,50</t>
        </is>
      </c>
      <c r="H2597" t="n">
        <v>1</v>
      </c>
    </row>
    <row r="2598">
      <c r="A2598" t="inlineStr">
        <is>
          <t>2023-2024</t>
        </is>
      </c>
      <c r="B2598" t="inlineStr">
        <is>
          <t>2023-08-26</t>
        </is>
      </c>
      <c r="C2598" t="inlineStr">
        <is>
          <t>12:15</t>
        </is>
      </c>
      <c r="D2598" t="inlineStr">
        <is>
          <t>n° 6 + n° 7</t>
        </is>
      </c>
      <c r="E2598" t="inlineStr">
        <is>
          <t>BURGER COMTOIS</t>
        </is>
      </c>
      <c r="F2598" t="n">
        <v>19</v>
      </c>
      <c r="G2598" t="inlineStr">
        <is>
          <t>n° 6 : 0,50 + n° 7 : 0,50</t>
        </is>
      </c>
      <c r="H2598" t="n">
        <v>1</v>
      </c>
    </row>
    <row r="2599">
      <c r="A2599" t="inlineStr">
        <is>
          <t>2023-2024</t>
        </is>
      </c>
      <c r="B2599" t="inlineStr">
        <is>
          <t>2023-08-26</t>
        </is>
      </c>
      <c r="C2599" t="inlineStr">
        <is>
          <t>12:15</t>
        </is>
      </c>
      <c r="D2599" t="inlineStr">
        <is>
          <t>n° 6 + n° 7</t>
        </is>
      </c>
      <c r="E2599" t="inlineStr">
        <is>
          <t>TANTELIN</t>
        </is>
      </c>
      <c r="F2599" t="n">
        <v>17.4</v>
      </c>
      <c r="G2599" t="inlineStr">
        <is>
          <t>n° 6 : 0,50 + n° 7 : 0,50</t>
        </is>
      </c>
      <c r="H2599" t="n">
        <v>1</v>
      </c>
    </row>
    <row r="2600">
      <c r="A2600" t="inlineStr">
        <is>
          <t>2023-2024</t>
        </is>
      </c>
      <c r="B2600" t="inlineStr">
        <is>
          <t>2023-08-26</t>
        </is>
      </c>
      <c r="C2600" t="inlineStr">
        <is>
          <t>12:15</t>
        </is>
      </c>
      <c r="D2600" t="inlineStr">
        <is>
          <t>n° 6 + n° 7</t>
        </is>
      </c>
      <c r="E2600" t="inlineStr">
        <is>
          <t>BARBEULENET</t>
        </is>
      </c>
      <c r="F2600" t="n">
        <v>17.4</v>
      </c>
      <c r="G2600" t="inlineStr">
        <is>
          <t>n° 6 : 0,50 + n° 7 : 0,50</t>
        </is>
      </c>
      <c r="H2600" t="n">
        <v>1</v>
      </c>
    </row>
    <row r="2601">
      <c r="A2601" t="inlineStr">
        <is>
          <t>2023-2024</t>
        </is>
      </c>
      <c r="B2601" t="inlineStr">
        <is>
          <t>2023-08-26</t>
        </is>
      </c>
      <c r="C2601" t="inlineStr">
        <is>
          <t>13:04</t>
        </is>
      </c>
      <c r="D2601" t="inlineStr">
        <is>
          <t>n° 14 + n° 15 + n° 16 + n° 17</t>
        </is>
      </c>
      <c r="E2601" t="inlineStr">
        <is>
          <t>Menu Végétarien</t>
        </is>
      </c>
      <c r="F2601" t="n">
        <v>26.5</v>
      </c>
      <c r="G2601" t="inlineStr">
        <is>
          <t>n° 16 : 0,50 + n° 17 : 0,50</t>
        </is>
      </c>
      <c r="H2601" t="n">
        <v>1</v>
      </c>
    </row>
    <row r="2602">
      <c r="A2602" t="inlineStr">
        <is>
          <t>2023-2024</t>
        </is>
      </c>
      <c r="B2602" t="inlineStr">
        <is>
          <t>2023-08-26</t>
        </is>
      </c>
      <c r="C2602" t="inlineStr">
        <is>
          <t>13:04</t>
        </is>
      </c>
      <c r="D2602" t="inlineStr">
        <is>
          <t>n° 14 + n° 15 + n° 16 + n° 17</t>
        </is>
      </c>
      <c r="E2602" t="inlineStr">
        <is>
          <t>BURGER COMTOIS</t>
        </is>
      </c>
      <c r="F2602" t="n">
        <v>19</v>
      </c>
      <c r="G2602" t="inlineStr">
        <is>
          <t>n° 16 : 0,50 + n° 17 : 0,50</t>
        </is>
      </c>
      <c r="H2602" t="n">
        <v>1</v>
      </c>
    </row>
    <row r="2603">
      <c r="A2603" t="inlineStr">
        <is>
          <t>2023-2024</t>
        </is>
      </c>
      <c r="B2603" t="inlineStr">
        <is>
          <t>2023-08-26</t>
        </is>
      </c>
      <c r="C2603" t="inlineStr">
        <is>
          <t>13:04</t>
        </is>
      </c>
      <c r="D2603" t="inlineStr">
        <is>
          <t>n° 14 + n° 15 + n° 16 + n° 17</t>
        </is>
      </c>
      <c r="E2603" t="inlineStr">
        <is>
          <t>POULET JURASSIENNE</t>
        </is>
      </c>
      <c r="F2603" t="n">
        <v>18.6</v>
      </c>
      <c r="G2603" t="inlineStr">
        <is>
          <t>n° 16 : 0,50 + n° 17 : 0,50</t>
        </is>
      </c>
      <c r="H2603" t="n">
        <v>1</v>
      </c>
    </row>
    <row r="2604">
      <c r="A2604" t="inlineStr">
        <is>
          <t>2023-2024</t>
        </is>
      </c>
      <c r="B2604" t="inlineStr">
        <is>
          <t>2023-08-26</t>
        </is>
      </c>
      <c r="C2604" t="inlineStr">
        <is>
          <t>13:04</t>
        </is>
      </c>
      <c r="D2604" t="inlineStr">
        <is>
          <t>n° 14 + n° 15 + n° 16 + n° 17</t>
        </is>
      </c>
      <c r="E2604" t="inlineStr">
        <is>
          <t>ASSIETTE PERE GREGOI</t>
        </is>
      </c>
      <c r="F2604" t="n">
        <v>18.6</v>
      </c>
      <c r="G2604" t="inlineStr">
        <is>
          <t>n° 16 : 0,50 + n° 17 : 0,50</t>
        </is>
      </c>
      <c r="H2604" t="n">
        <v>1</v>
      </c>
    </row>
    <row r="2605">
      <c r="A2605" t="inlineStr">
        <is>
          <t>2023-2024</t>
        </is>
      </c>
      <c r="B2605" t="inlineStr">
        <is>
          <t>2023-08-26</t>
        </is>
      </c>
      <c r="C2605" t="inlineStr">
        <is>
          <t>13:04</t>
        </is>
      </c>
      <c r="D2605" t="inlineStr">
        <is>
          <t>n° 14 + n° 15 + n° 16 + n° 17</t>
        </is>
      </c>
      <c r="E2605" t="inlineStr">
        <is>
          <t>TANTELIN</t>
        </is>
      </c>
      <c r="F2605" t="n">
        <v>17.4</v>
      </c>
      <c r="G2605" t="inlineStr">
        <is>
          <t>n° 16 : 0,50 + n° 17 : 0,50</t>
        </is>
      </c>
      <c r="H2605" t="n">
        <v>1</v>
      </c>
    </row>
    <row r="2606">
      <c r="A2606" t="inlineStr">
        <is>
          <t>2023-2024</t>
        </is>
      </c>
      <c r="B2606" t="inlineStr">
        <is>
          <t>2023-08-26</t>
        </is>
      </c>
      <c r="C2606" t="inlineStr">
        <is>
          <t>13:04</t>
        </is>
      </c>
      <c r="D2606" t="inlineStr">
        <is>
          <t>n° 14 + n° 15 + n° 16 + n° 17</t>
        </is>
      </c>
      <c r="E2606" t="inlineStr">
        <is>
          <t>VOGEOTTE</t>
        </is>
      </c>
      <c r="F2606" t="n">
        <v>13.1</v>
      </c>
      <c r="G2606" t="inlineStr">
        <is>
          <t>n° 16 : 0,50 + n° 17 : 0,50</t>
        </is>
      </c>
      <c r="H2606" t="n">
        <v>1</v>
      </c>
    </row>
    <row r="2607">
      <c r="A2607" t="inlineStr">
        <is>
          <t>2023-2024</t>
        </is>
      </c>
      <c r="B2607" t="inlineStr">
        <is>
          <t>2023-08-26</t>
        </is>
      </c>
      <c r="C2607" t="inlineStr">
        <is>
          <t>13:04</t>
        </is>
      </c>
      <c r="D2607" t="inlineStr">
        <is>
          <t>n° 14 + n° 15 + n° 16 + n° 17</t>
        </is>
      </c>
      <c r="E2607" t="inlineStr">
        <is>
          <t>PICHET ALIGOTE 50cL</t>
        </is>
      </c>
      <c r="F2607" t="n">
        <v>10.5</v>
      </c>
      <c r="G2607" t="inlineStr">
        <is>
          <t>n° 16 : 0,50 + n° 17 : 0,50</t>
        </is>
      </c>
      <c r="H2607" t="n">
        <v>1</v>
      </c>
    </row>
    <row r="2608">
      <c r="A2608" t="inlineStr">
        <is>
          <t>2023-2024</t>
        </is>
      </c>
      <c r="B2608" t="inlineStr">
        <is>
          <t>2023-08-26</t>
        </is>
      </c>
      <c r="C2608" t="inlineStr">
        <is>
          <t>13:04</t>
        </is>
      </c>
      <c r="D2608" t="inlineStr">
        <is>
          <t>n° 14 + n° 15 + n° 16 + n° 17</t>
        </is>
      </c>
      <c r="E2608" t="inlineStr">
        <is>
          <t>FROMAGES REGIONAUX</t>
        </is>
      </c>
      <c r="F2608" t="n">
        <v>7.9</v>
      </c>
      <c r="G2608" t="inlineStr">
        <is>
          <t>n° 16 : 0,50 + n° 17 : 0,50</t>
        </is>
      </c>
      <c r="H2608" t="n">
        <v>1</v>
      </c>
    </row>
    <row r="2609">
      <c r="A2609" t="inlineStr">
        <is>
          <t>2023-2024</t>
        </is>
      </c>
      <c r="B2609" t="inlineStr">
        <is>
          <t>2023-08-26</t>
        </is>
      </c>
      <c r="C2609" t="inlineStr">
        <is>
          <t>13:04</t>
        </is>
      </c>
      <c r="D2609" t="inlineStr">
        <is>
          <t>n° 14 + n° 15 + n° 16 + n° 17</t>
        </is>
      </c>
      <c r="E2609" t="inlineStr">
        <is>
          <t>Ambrée</t>
        </is>
      </c>
      <c r="F2609" t="n">
        <v>6.9</v>
      </c>
      <c r="G2609" t="inlineStr">
        <is>
          <t>n° 16 : 0,50 + n° 17 : 0,50</t>
        </is>
      </c>
      <c r="H2609" t="n">
        <v>1</v>
      </c>
    </row>
    <row r="2610">
      <c r="A2610" t="inlineStr">
        <is>
          <t>2023-2024</t>
        </is>
      </c>
      <c r="B2610" t="inlineStr">
        <is>
          <t>2023-08-26</t>
        </is>
      </c>
      <c r="C2610" t="inlineStr">
        <is>
          <t>13:04</t>
        </is>
      </c>
      <c r="D2610" t="inlineStr">
        <is>
          <t>n° 14 + n° 15 + n° 16 + n° 17</t>
        </is>
      </c>
      <c r="E2610" t="inlineStr">
        <is>
          <t>Luna</t>
        </is>
      </c>
      <c r="F2610" t="n">
        <v>6</v>
      </c>
      <c r="G2610" t="inlineStr">
        <is>
          <t>n° 16 : 0,50 + n° 17 : 0,50</t>
        </is>
      </c>
      <c r="H2610" t="n">
        <v>1</v>
      </c>
    </row>
    <row r="2611">
      <c r="A2611" t="inlineStr">
        <is>
          <t>2023-2024</t>
        </is>
      </c>
      <c r="B2611" t="inlineStr">
        <is>
          <t>2023-08-26</t>
        </is>
      </c>
      <c r="C2611" t="inlineStr">
        <is>
          <t>13:04</t>
        </is>
      </c>
      <c r="D2611" t="inlineStr">
        <is>
          <t>n° 14 + n° 15 + n° 16 + n° 17</t>
        </is>
      </c>
      <c r="E2611" t="inlineStr">
        <is>
          <t>Chat perché</t>
        </is>
      </c>
      <c r="F2611" t="n">
        <v>5.9</v>
      </c>
      <c r="G2611" t="inlineStr">
        <is>
          <t>n° 14 : 1,00 + n° 15 : 1,00 + n° 16 : 0,50 + n° 17 : 0,50</t>
        </is>
      </c>
      <c r="H2611" t="n">
        <v>3</v>
      </c>
    </row>
    <row r="2612">
      <c r="A2612" t="inlineStr">
        <is>
          <t>2023-2024</t>
        </is>
      </c>
      <c r="B2612" t="inlineStr">
        <is>
          <t>2023-08-26</t>
        </is>
      </c>
      <c r="C2612" t="inlineStr">
        <is>
          <t>13:04</t>
        </is>
      </c>
      <c r="D2612" t="inlineStr">
        <is>
          <t>n° 14 + n° 15 + n° 16 + n° 17</t>
        </is>
      </c>
      <c r="E2612" t="inlineStr">
        <is>
          <t>Jus de Fruit</t>
        </is>
      </c>
      <c r="F2612" t="n">
        <v>4.2</v>
      </c>
      <c r="G2612" t="inlineStr">
        <is>
          <t>n° 16 : 0,50 + n° 17 : 0,50</t>
        </is>
      </c>
      <c r="H2612" t="n">
        <v>1</v>
      </c>
    </row>
    <row r="2613">
      <c r="A2613" t="inlineStr">
        <is>
          <t>2023-2024</t>
        </is>
      </c>
      <c r="B2613" t="inlineStr">
        <is>
          <t>2023-08-26</t>
        </is>
      </c>
      <c r="C2613" t="inlineStr">
        <is>
          <t>13:04</t>
        </is>
      </c>
      <c r="D2613" t="inlineStr">
        <is>
          <t>n° 14 + n° 15 + n° 16 + n° 17</t>
        </is>
      </c>
      <c r="E2613" t="inlineStr">
        <is>
          <t>Crêpe au sucre</t>
        </is>
      </c>
      <c r="F2613" t="n">
        <v>3.9</v>
      </c>
      <c r="G2613" t="inlineStr">
        <is>
          <t>n° 14 : 0,50 + n° 15 : 0,50</t>
        </is>
      </c>
      <c r="H2613" t="n">
        <v>1</v>
      </c>
    </row>
    <row r="2614">
      <c r="A2614" t="inlineStr">
        <is>
          <t>2023-2024</t>
        </is>
      </c>
      <c r="B2614" t="inlineStr">
        <is>
          <t>2023-08-26</t>
        </is>
      </c>
      <c r="C2614" t="inlineStr">
        <is>
          <t>13:04</t>
        </is>
      </c>
      <c r="D2614" t="inlineStr">
        <is>
          <t>n° 14 + n° 15 + n° 16 + n° 17</t>
        </is>
      </c>
      <c r="E2614" t="inlineStr">
        <is>
          <t>Verre ALIGOTE</t>
        </is>
      </c>
      <c r="F2614" t="n">
        <v>3.9</v>
      </c>
      <c r="G2614" t="inlineStr">
        <is>
          <t>n° 16 : 0,50 + n° 17 : 0,50</t>
        </is>
      </c>
      <c r="H2614" t="n">
        <v>1</v>
      </c>
    </row>
    <row r="2615">
      <c r="A2615" t="inlineStr">
        <is>
          <t>2023-2024</t>
        </is>
      </c>
      <c r="B2615" t="inlineStr">
        <is>
          <t>2023-08-26</t>
        </is>
      </c>
      <c r="C2615" t="inlineStr">
        <is>
          <t>13:04</t>
        </is>
      </c>
      <c r="D2615" t="inlineStr">
        <is>
          <t>n° 14 + n° 15 + n° 16 + n° 17</t>
        </is>
      </c>
      <c r="E2615" t="inlineStr">
        <is>
          <t>Expresso</t>
        </is>
      </c>
      <c r="F2615" t="n">
        <v>2.2</v>
      </c>
      <c r="G2615" t="inlineStr">
        <is>
          <t>n° 14 : 0,50 + n° 15 : 0,50</t>
        </is>
      </c>
      <c r="H2615" t="n">
        <v>1</v>
      </c>
    </row>
    <row r="2616">
      <c r="A2616" t="inlineStr">
        <is>
          <t>2023-2024</t>
        </is>
      </c>
      <c r="B2616" t="inlineStr">
        <is>
          <t>2023-08-26</t>
        </is>
      </c>
      <c r="C2616" t="inlineStr">
        <is>
          <t>19:01</t>
        </is>
      </c>
      <c r="D2616" t="inlineStr">
        <is>
          <t>n° 21 + n° 22</t>
        </is>
      </c>
      <c r="E2616" t="inlineStr">
        <is>
          <t>FRELEE</t>
        </is>
      </c>
      <c r="F2616" t="n">
        <v>19.6</v>
      </c>
      <c r="G2616" t="inlineStr">
        <is>
          <t>n° 21 : 0,50 + n° 22 : 0,50</t>
        </is>
      </c>
      <c r="H2616" t="n">
        <v>1</v>
      </c>
    </row>
    <row r="2617">
      <c r="A2617" t="inlineStr">
        <is>
          <t>2023-2024</t>
        </is>
      </c>
      <c r="B2617" t="inlineStr">
        <is>
          <t>2023-08-26</t>
        </is>
      </c>
      <c r="C2617" t="inlineStr">
        <is>
          <t>19:01</t>
        </is>
      </c>
      <c r="D2617" t="inlineStr">
        <is>
          <t>n° 21 + n° 22</t>
        </is>
      </c>
      <c r="E2617" t="inlineStr">
        <is>
          <t>Baba</t>
        </is>
      </c>
      <c r="F2617" t="n">
        <v>8.9</v>
      </c>
      <c r="G2617" t="inlineStr">
        <is>
          <t>n° 21 : 0,50 + n° 22 : 0,50</t>
        </is>
      </c>
      <c r="H2617" t="n">
        <v>1</v>
      </c>
    </row>
    <row r="2618">
      <c r="A2618" t="inlineStr">
        <is>
          <t>2023-2024</t>
        </is>
      </c>
      <c r="B2618" t="inlineStr">
        <is>
          <t>2023-08-26</t>
        </is>
      </c>
      <c r="C2618" t="inlineStr">
        <is>
          <t>19:01</t>
        </is>
      </c>
      <c r="D2618" t="inlineStr">
        <is>
          <t>n° 21 + n° 22</t>
        </is>
      </c>
      <c r="E2618" t="inlineStr">
        <is>
          <t>Pavlova</t>
        </is>
      </c>
      <c r="F2618" t="n">
        <v>8.9</v>
      </c>
      <c r="G2618" t="inlineStr">
        <is>
          <t>n° 21 : 0,50 + n° 22 : 0,50</t>
        </is>
      </c>
      <c r="H2618" t="n">
        <v>1</v>
      </c>
    </row>
    <row r="2619">
      <c r="A2619" t="inlineStr">
        <is>
          <t>2023-2024</t>
        </is>
      </c>
      <c r="B2619" t="inlineStr">
        <is>
          <t>2023-08-26</t>
        </is>
      </c>
      <c r="C2619" t="inlineStr">
        <is>
          <t>19:01</t>
        </is>
      </c>
      <c r="D2619" t="inlineStr">
        <is>
          <t>n° 21 + n° 22</t>
        </is>
      </c>
      <c r="E2619" t="inlineStr">
        <is>
          <t>Savagnin verre</t>
        </is>
      </c>
      <c r="F2619" t="n">
        <v>8.300000000000001</v>
      </c>
      <c r="G2619" t="inlineStr">
        <is>
          <t>n° 21 : 0,50 + n° 22 : 0,50</t>
        </is>
      </c>
      <c r="H2619" t="n">
        <v>1</v>
      </c>
    </row>
    <row r="2620">
      <c r="A2620" t="inlineStr">
        <is>
          <t>2023-2024</t>
        </is>
      </c>
      <c r="B2620" t="inlineStr">
        <is>
          <t>2023-08-26</t>
        </is>
      </c>
      <c r="C2620" t="inlineStr">
        <is>
          <t>19:01</t>
        </is>
      </c>
      <c r="D2620" t="inlineStr">
        <is>
          <t>n° 21 + n° 22</t>
        </is>
      </c>
      <c r="E2620" t="inlineStr">
        <is>
          <t>Père Gregoire</t>
        </is>
      </c>
      <c r="F2620" t="n">
        <v>5.9</v>
      </c>
      <c r="G2620" t="inlineStr">
        <is>
          <t>n° 21 : 0,50 + n° 22 : 0,50</t>
        </is>
      </c>
      <c r="H2620" t="n">
        <v>1</v>
      </c>
    </row>
    <row r="2621">
      <c r="A2621" t="inlineStr">
        <is>
          <t>2023-2024</t>
        </is>
      </c>
      <c r="B2621" t="inlineStr">
        <is>
          <t>2023-08-26</t>
        </is>
      </c>
      <c r="C2621" t="inlineStr">
        <is>
          <t>19:01</t>
        </is>
      </c>
      <c r="D2621" t="inlineStr">
        <is>
          <t>n° 21 + n° 22</t>
        </is>
      </c>
      <c r="E2621" t="inlineStr">
        <is>
          <t>Chat perché</t>
        </is>
      </c>
      <c r="F2621" t="n">
        <v>5.9</v>
      </c>
      <c r="G2621" t="inlineStr">
        <is>
          <t>n° 21 : 0,50 + n° 22 : 0,50</t>
        </is>
      </c>
      <c r="H2621" t="n">
        <v>1</v>
      </c>
    </row>
    <row r="2622">
      <c r="A2622" t="inlineStr">
        <is>
          <t>2023-2024</t>
        </is>
      </c>
      <c r="B2622" t="inlineStr">
        <is>
          <t>2023-08-26</t>
        </is>
      </c>
      <c r="C2622" t="inlineStr">
        <is>
          <t>19:01</t>
        </is>
      </c>
      <c r="D2622" t="inlineStr">
        <is>
          <t>n° 21 + n° 22</t>
        </is>
      </c>
      <c r="E2622" t="inlineStr">
        <is>
          <t>Limonade (25cl)</t>
        </is>
      </c>
      <c r="F2622" t="n">
        <v>3.9</v>
      </c>
      <c r="G2622" t="inlineStr">
        <is>
          <t>n° 21 : 0,50 + n° 22 : 0,50</t>
        </is>
      </c>
      <c r="H2622" t="n">
        <v>1</v>
      </c>
    </row>
    <row r="2623">
      <c r="A2623" t="inlineStr">
        <is>
          <t>2023-2024</t>
        </is>
      </c>
      <c r="B2623" t="inlineStr">
        <is>
          <t>2023-08-27</t>
        </is>
      </c>
      <c r="C2623" t="inlineStr">
        <is>
          <t>12:59</t>
        </is>
      </c>
      <c r="D2623" t="inlineStr">
        <is>
          <t>n° 10 + n° 11 + n° 12 + n° 13 + n° 14 + n° 15</t>
        </is>
      </c>
      <c r="E2623" t="inlineStr">
        <is>
          <t>Menu Bourguignon</t>
        </is>
      </c>
      <c r="F2623" t="n">
        <v>34</v>
      </c>
      <c r="G2623" t="inlineStr">
        <is>
          <t>n° 14 : 0,50 + n° 15 : 0,50</t>
        </is>
      </c>
      <c r="H2623" t="n">
        <v>1</v>
      </c>
    </row>
    <row r="2624">
      <c r="A2624" t="inlineStr">
        <is>
          <t>2023-2024</t>
        </is>
      </c>
      <c r="B2624" t="inlineStr">
        <is>
          <t>2023-08-27</t>
        </is>
      </c>
      <c r="C2624" t="inlineStr">
        <is>
          <t>12:59</t>
        </is>
      </c>
      <c r="D2624" t="inlineStr">
        <is>
          <t>n° 10 + n° 11 + n° 12 + n° 13 + n° 14 + n° 15</t>
        </is>
      </c>
      <c r="E2624" t="inlineStr">
        <is>
          <t>Menu Végétarien</t>
        </is>
      </c>
      <c r="F2624" t="n">
        <v>26.5</v>
      </c>
      <c r="G2624" t="inlineStr">
        <is>
          <t>n° 10 : 0,50 + n° 11 : 0,50</t>
        </is>
      </c>
      <c r="H2624" t="n">
        <v>1</v>
      </c>
    </row>
    <row r="2625">
      <c r="A2625" t="inlineStr">
        <is>
          <t>2023-2024</t>
        </is>
      </c>
      <c r="B2625" t="inlineStr">
        <is>
          <t>2023-08-27</t>
        </is>
      </c>
      <c r="C2625" t="inlineStr">
        <is>
          <t>12:59</t>
        </is>
      </c>
      <c r="D2625" t="inlineStr">
        <is>
          <t>n° 10 + n° 11 + n° 12 + n° 13 + n° 14 + n° 15</t>
        </is>
      </c>
      <c r="E2625" t="inlineStr">
        <is>
          <t>Menu 'Galette'</t>
        </is>
      </c>
      <c r="F2625" t="n">
        <v>19.5</v>
      </c>
      <c r="G2625" t="inlineStr">
        <is>
          <t>n° 10 : 0,50 + n° 11 : 0,50 + n° 12 : 1,00 + n° 13 : 1,00</t>
        </is>
      </c>
      <c r="H2625" t="n">
        <v>3</v>
      </c>
    </row>
    <row r="2626">
      <c r="A2626" t="inlineStr">
        <is>
          <t>2023-2024</t>
        </is>
      </c>
      <c r="B2626" t="inlineStr">
        <is>
          <t>2023-08-27</t>
        </is>
      </c>
      <c r="C2626" t="inlineStr">
        <is>
          <t>12:59</t>
        </is>
      </c>
      <c r="D2626" t="inlineStr">
        <is>
          <t>n° 10 + n° 11 + n° 12 + n° 13 + n° 14 + n° 15</t>
        </is>
      </c>
      <c r="E2626" t="inlineStr">
        <is>
          <t>BURGER COMTOIS</t>
        </is>
      </c>
      <c r="F2626" t="n">
        <v>19</v>
      </c>
      <c r="G2626" t="inlineStr">
        <is>
          <t>n° 14 : 0,50 + n° 15 : 0,50</t>
        </is>
      </c>
      <c r="H2626" t="n">
        <v>1</v>
      </c>
    </row>
    <row r="2627">
      <c r="A2627" t="inlineStr">
        <is>
          <t>2023-2024</t>
        </is>
      </c>
      <c r="B2627" t="inlineStr">
        <is>
          <t>2023-08-27</t>
        </is>
      </c>
      <c r="C2627" t="inlineStr">
        <is>
          <t>12:59</t>
        </is>
      </c>
      <c r="D2627" t="inlineStr">
        <is>
          <t>n° 10 + n° 11 + n° 12 + n° 13 + n° 14 + n° 15</t>
        </is>
      </c>
      <c r="E2627" t="inlineStr">
        <is>
          <t>CAMEMBERT ROTI</t>
        </is>
      </c>
      <c r="F2627" t="n">
        <v>18.6</v>
      </c>
      <c r="G2627" t="inlineStr">
        <is>
          <t>n° 14 : 0,50 + n° 15 : 0,50</t>
        </is>
      </c>
      <c r="H2627" t="n">
        <v>1</v>
      </c>
    </row>
    <row r="2628">
      <c r="A2628" t="inlineStr">
        <is>
          <t>2023-2024</t>
        </is>
      </c>
      <c r="B2628" t="inlineStr">
        <is>
          <t>2023-08-27</t>
        </is>
      </c>
      <c r="C2628" t="inlineStr">
        <is>
          <t>12:59</t>
        </is>
      </c>
      <c r="D2628" t="inlineStr">
        <is>
          <t>n° 10 + n° 11 + n° 12 + n° 13 + n° 14 + n° 15</t>
        </is>
      </c>
      <c r="E2628" t="inlineStr">
        <is>
          <t>BALIDOU</t>
        </is>
      </c>
      <c r="F2628" t="n">
        <v>9</v>
      </c>
      <c r="G2628" t="inlineStr">
        <is>
          <t>n° 14 : 0,50 + n° 15 : 0,50</t>
        </is>
      </c>
      <c r="H2628" t="n">
        <v>1</v>
      </c>
    </row>
    <row r="2629">
      <c r="A2629" t="inlineStr">
        <is>
          <t>2023-2024</t>
        </is>
      </c>
      <c r="B2629" t="inlineStr">
        <is>
          <t>2023-08-27</t>
        </is>
      </c>
      <c r="C2629" t="inlineStr">
        <is>
          <t>12:59</t>
        </is>
      </c>
      <c r="D2629" t="inlineStr">
        <is>
          <t>n° 10 + n° 11 + n° 12 + n° 13 + n° 14 + n° 15</t>
        </is>
      </c>
      <c r="E2629" t="inlineStr">
        <is>
          <t>Luna</t>
        </is>
      </c>
      <c r="F2629" t="n">
        <v>6</v>
      </c>
      <c r="G2629" t="inlineStr">
        <is>
          <t>n° 12 : 1,00 + n° 13 : 1,00 + n° 14 : 0,50 + n° 15 : 0,50</t>
        </is>
      </c>
      <c r="H2629" t="n">
        <v>3</v>
      </c>
    </row>
    <row r="2630">
      <c r="A2630" t="inlineStr">
        <is>
          <t>2023-2024</t>
        </is>
      </c>
      <c r="B2630" t="inlineStr">
        <is>
          <t>2023-08-27</t>
        </is>
      </c>
      <c r="C2630" t="inlineStr">
        <is>
          <t>12:59</t>
        </is>
      </c>
      <c r="D2630" t="inlineStr">
        <is>
          <t>n° 10 + n° 11 + n° 12 + n° 13 + n° 14 + n° 15</t>
        </is>
      </c>
      <c r="E2630" t="inlineStr">
        <is>
          <t>Crêpe Nutella</t>
        </is>
      </c>
      <c r="F2630" t="n">
        <v>4.9</v>
      </c>
      <c r="G2630" t="inlineStr">
        <is>
          <t>n° 14 : 0,50 + n° 15 : 0,50</t>
        </is>
      </c>
      <c r="H2630" t="n">
        <v>1</v>
      </c>
    </row>
    <row r="2631">
      <c r="A2631" t="inlineStr">
        <is>
          <t>2023-2024</t>
        </is>
      </c>
      <c r="B2631" t="inlineStr">
        <is>
          <t>2023-08-27</t>
        </is>
      </c>
      <c r="C2631" t="inlineStr">
        <is>
          <t>12:59</t>
        </is>
      </c>
      <c r="D2631" t="inlineStr">
        <is>
          <t>n° 10 + n° 11 + n° 12 + n° 13 + n° 14 + n° 15</t>
        </is>
      </c>
      <c r="E2631" t="inlineStr">
        <is>
          <t>cidre la Mordue</t>
        </is>
      </c>
      <c r="F2631" t="n">
        <v>4.8</v>
      </c>
      <c r="G2631" t="inlineStr">
        <is>
          <t>n° 10 : 0,50 + n° 11 : 0,50</t>
        </is>
      </c>
      <c r="H2631" t="n">
        <v>1</v>
      </c>
    </row>
    <row r="2632">
      <c r="A2632" t="inlineStr">
        <is>
          <t>2023-2024</t>
        </is>
      </c>
      <c r="B2632" t="inlineStr">
        <is>
          <t>2023-08-27</t>
        </is>
      </c>
      <c r="C2632" t="inlineStr">
        <is>
          <t>12:59</t>
        </is>
      </c>
      <c r="D2632" t="inlineStr">
        <is>
          <t>n° 10 + n° 11 + n° 12 + n° 13 + n° 14 + n° 15</t>
        </is>
      </c>
      <c r="E2632" t="inlineStr">
        <is>
          <t>Coca (25cl)</t>
        </is>
      </c>
      <c r="F2632" t="n">
        <v>3.9</v>
      </c>
      <c r="G2632" t="inlineStr">
        <is>
          <t>n° 14 : 0,50 + n° 15 : 0,50</t>
        </is>
      </c>
      <c r="H2632" t="n">
        <v>1</v>
      </c>
    </row>
    <row r="2633">
      <c r="A2633" t="inlineStr">
        <is>
          <t>2023-2024</t>
        </is>
      </c>
      <c r="B2633" t="inlineStr">
        <is>
          <t>2023-08-27</t>
        </is>
      </c>
      <c r="C2633" t="inlineStr">
        <is>
          <t>12:59</t>
        </is>
      </c>
      <c r="D2633" t="inlineStr">
        <is>
          <t>n° 10 + n° 11 + n° 12 + n° 13 + n° 14 + n° 15</t>
        </is>
      </c>
      <c r="E2633" t="inlineStr">
        <is>
          <t>Expresso</t>
        </is>
      </c>
      <c r="F2633" t="n">
        <v>2.2</v>
      </c>
      <c r="G2633" t="inlineStr">
        <is>
          <t>n° 12 : 0,50 + n° 13 : 0,50 + n° 14 : 0,50 + n° 15 : 0,50</t>
        </is>
      </c>
      <c r="H2633" t="n">
        <v>2</v>
      </c>
    </row>
    <row r="2634">
      <c r="A2634" t="inlineStr">
        <is>
          <t>2023-2024</t>
        </is>
      </c>
      <c r="B2634" t="inlineStr">
        <is>
          <t>2023-09-01</t>
        </is>
      </c>
      <c r="C2634" t="inlineStr">
        <is>
          <t>18:46</t>
        </is>
      </c>
      <c r="D2634" t="inlineStr">
        <is>
          <t>n° 18 + n° 19</t>
        </is>
      </c>
      <c r="E2634" t="inlineStr">
        <is>
          <t>Crémeux du Jura</t>
        </is>
      </c>
      <c r="F2634" t="n">
        <v>19</v>
      </c>
      <c r="G2634" t="inlineStr">
        <is>
          <t>n° 18 : 0,50 + n° 19 : 0,50</t>
        </is>
      </c>
      <c r="H2634" t="n">
        <v>1</v>
      </c>
    </row>
    <row r="2635">
      <c r="A2635" t="inlineStr">
        <is>
          <t>2023-2024</t>
        </is>
      </c>
      <c r="B2635" t="inlineStr">
        <is>
          <t>2023-09-01</t>
        </is>
      </c>
      <c r="C2635" t="inlineStr">
        <is>
          <t>18:46</t>
        </is>
      </c>
      <c r="D2635" t="inlineStr">
        <is>
          <t>n° 18 + n° 19</t>
        </is>
      </c>
      <c r="E2635" t="inlineStr">
        <is>
          <t>POULET JURASSIENNE</t>
        </is>
      </c>
      <c r="F2635" t="n">
        <v>18.6</v>
      </c>
      <c r="G2635" t="inlineStr">
        <is>
          <t>n° 18 : 0,50 + n° 19 : 0,50</t>
        </is>
      </c>
      <c r="H2635" t="n">
        <v>1</v>
      </c>
    </row>
    <row r="2636">
      <c r="A2636" t="inlineStr">
        <is>
          <t>2023-2024</t>
        </is>
      </c>
      <c r="B2636" t="inlineStr">
        <is>
          <t>2023-09-01</t>
        </is>
      </c>
      <c r="C2636" t="inlineStr">
        <is>
          <t>18:46</t>
        </is>
      </c>
      <c r="D2636" t="inlineStr">
        <is>
          <t>n° 18 + n° 19</t>
        </is>
      </c>
      <c r="E2636" t="inlineStr">
        <is>
          <t>Monaco</t>
        </is>
      </c>
      <c r="F2636" t="n">
        <v>4.2</v>
      </c>
      <c r="G2636" t="inlineStr">
        <is>
          <t>n° 18 : 0,50 + n° 19 : 0,50</t>
        </is>
      </c>
      <c r="H2636" t="n">
        <v>1</v>
      </c>
    </row>
    <row r="2637">
      <c r="A2637" t="inlineStr">
        <is>
          <t>2023-2024</t>
        </is>
      </c>
      <c r="B2637" t="inlineStr">
        <is>
          <t>2023-09-01</t>
        </is>
      </c>
      <c r="C2637" t="inlineStr">
        <is>
          <t>18:46</t>
        </is>
      </c>
      <c r="D2637" t="inlineStr">
        <is>
          <t>n° 18 + n° 19</t>
        </is>
      </c>
      <c r="E2637" t="inlineStr">
        <is>
          <t>pression</t>
        </is>
      </c>
      <c r="F2637" t="n">
        <v>4.2</v>
      </c>
      <c r="G2637" t="inlineStr">
        <is>
          <t>n° 18 : 0,50 + n° 19 : 0,50</t>
        </is>
      </c>
      <c r="H2637" t="n">
        <v>1</v>
      </c>
    </row>
    <row r="2638">
      <c r="A2638" t="inlineStr">
        <is>
          <t>2023-2024</t>
        </is>
      </c>
      <c r="B2638" t="inlineStr">
        <is>
          <t>2023-09-02</t>
        </is>
      </c>
      <c r="C2638" t="inlineStr">
        <is>
          <t>12:12</t>
        </is>
      </c>
      <c r="D2638" t="inlineStr">
        <is>
          <t>n° 9 + n° 10</t>
        </is>
      </c>
      <c r="E2638" t="inlineStr">
        <is>
          <t>BURGER COMTOIS</t>
        </is>
      </c>
      <c r="F2638" t="n">
        <v>19</v>
      </c>
      <c r="G2638" t="inlineStr">
        <is>
          <t>n° 9 : 0,50 + n° 10 : 0,50</t>
        </is>
      </c>
      <c r="H2638" t="n">
        <v>1</v>
      </c>
    </row>
    <row r="2639">
      <c r="A2639" t="inlineStr">
        <is>
          <t>2023-2024</t>
        </is>
      </c>
      <c r="B2639" t="inlineStr">
        <is>
          <t>2023-09-02</t>
        </is>
      </c>
      <c r="C2639" t="inlineStr">
        <is>
          <t>12:12</t>
        </is>
      </c>
      <c r="D2639" t="inlineStr">
        <is>
          <t>n° 9 + n° 10</t>
        </is>
      </c>
      <c r="E2639" t="inlineStr">
        <is>
          <t>CAMEMBERT ROTI</t>
        </is>
      </c>
      <c r="F2639" t="n">
        <v>18.6</v>
      </c>
      <c r="G2639" t="inlineStr">
        <is>
          <t>n° 9 : 0,50 + n° 10 : 0,50</t>
        </is>
      </c>
      <c r="H2639" t="n">
        <v>1</v>
      </c>
    </row>
    <row r="2640">
      <c r="A2640" t="inlineStr">
        <is>
          <t>2023-2024</t>
        </is>
      </c>
      <c r="B2640" t="inlineStr">
        <is>
          <t>2023-09-02</t>
        </is>
      </c>
      <c r="C2640" t="inlineStr">
        <is>
          <t>12:12</t>
        </is>
      </c>
      <c r="D2640" t="inlineStr">
        <is>
          <t>n° 9 + n° 10</t>
        </is>
      </c>
      <c r="E2640" t="inlineStr">
        <is>
          <t>Chat perché</t>
        </is>
      </c>
      <c r="F2640" t="n">
        <v>5.9</v>
      </c>
      <c r="G2640" t="inlineStr">
        <is>
          <t>n° 9 : 0,50 + n° 10 : 0,50</t>
        </is>
      </c>
      <c r="H2640" t="n">
        <v>1</v>
      </c>
    </row>
    <row r="2641">
      <c r="A2641" t="inlineStr">
        <is>
          <t>2023-2024</t>
        </is>
      </c>
      <c r="B2641" t="inlineStr">
        <is>
          <t>2023-09-02</t>
        </is>
      </c>
      <c r="C2641" t="inlineStr">
        <is>
          <t>12:12</t>
        </is>
      </c>
      <c r="D2641" t="inlineStr">
        <is>
          <t>n° 9 + n° 10</t>
        </is>
      </c>
      <c r="E2641" t="inlineStr">
        <is>
          <t>pression</t>
        </is>
      </c>
      <c r="F2641" t="n">
        <v>4.2</v>
      </c>
      <c r="G2641" t="inlineStr">
        <is>
          <t>n° 9 : 1,50 + n° 10 : 1,50</t>
        </is>
      </c>
      <c r="H2641" t="n">
        <v>3</v>
      </c>
    </row>
    <row r="2642">
      <c r="A2642" t="inlineStr">
        <is>
          <t>2023-2024</t>
        </is>
      </c>
      <c r="B2642" t="inlineStr">
        <is>
          <t>2023-09-02</t>
        </is>
      </c>
      <c r="C2642" t="inlineStr">
        <is>
          <t>12:12</t>
        </is>
      </c>
      <c r="D2642" t="inlineStr">
        <is>
          <t>n° 9 + n° 10</t>
        </is>
      </c>
      <c r="E2642" t="inlineStr">
        <is>
          <t>Kir Bourgogne</t>
        </is>
      </c>
      <c r="F2642" t="n">
        <v>4.2</v>
      </c>
      <c r="G2642" t="inlineStr">
        <is>
          <t>n° 9 : 1,50 + n° 10 : 1,50</t>
        </is>
      </c>
      <c r="H2642" t="n">
        <v>3</v>
      </c>
    </row>
    <row r="2643">
      <c r="A2643" t="inlineStr">
        <is>
          <t>2023-2024</t>
        </is>
      </c>
      <c r="B2643" t="inlineStr">
        <is>
          <t>2023-09-02</t>
        </is>
      </c>
      <c r="C2643" t="inlineStr">
        <is>
          <t>13:02</t>
        </is>
      </c>
      <c r="D2643" t="inlineStr">
        <is>
          <t>n° 13 + n° 14</t>
        </is>
      </c>
      <c r="E2643" t="inlineStr">
        <is>
          <t>Menu 'Demi Lune'</t>
        </is>
      </c>
      <c r="F2643" t="n">
        <v>45</v>
      </c>
      <c r="G2643" t="inlineStr">
        <is>
          <t>n° 13 : 0,50 + n° 14 : 0,50</t>
        </is>
      </c>
      <c r="H2643" t="n">
        <v>1</v>
      </c>
    </row>
    <row r="2644">
      <c r="A2644" t="inlineStr">
        <is>
          <t>2023-2024</t>
        </is>
      </c>
      <c r="B2644" t="inlineStr">
        <is>
          <t>2023-09-02</t>
        </is>
      </c>
      <c r="C2644" t="inlineStr">
        <is>
          <t>13:02</t>
        </is>
      </c>
      <c r="D2644" t="inlineStr">
        <is>
          <t>n° 13 + n° 14</t>
        </is>
      </c>
      <c r="E2644" t="inlineStr">
        <is>
          <t>Menu Franc-Comtois</t>
        </is>
      </c>
      <c r="F2644" t="n">
        <v>34</v>
      </c>
      <c r="G2644" t="inlineStr">
        <is>
          <t>n° 13 : 0,50 + n° 14 : 0,50</t>
        </is>
      </c>
      <c r="H2644" t="n">
        <v>1</v>
      </c>
    </row>
    <row r="2645">
      <c r="A2645" t="inlineStr">
        <is>
          <t>2023-2024</t>
        </is>
      </c>
      <c r="B2645" t="inlineStr">
        <is>
          <t>2023-09-02</t>
        </is>
      </c>
      <c r="C2645" t="inlineStr">
        <is>
          <t>13:02</t>
        </is>
      </c>
      <c r="D2645" t="inlineStr">
        <is>
          <t>n° 13 + n° 14</t>
        </is>
      </c>
      <c r="E2645" t="inlineStr">
        <is>
          <t>La Vouivre</t>
        </is>
      </c>
      <c r="F2645" t="n">
        <v>5.9</v>
      </c>
      <c r="G2645" t="inlineStr">
        <is>
          <t>n° 13 : 0,50 + n° 14 : 0,50</t>
        </is>
      </c>
      <c r="H2645" t="n">
        <v>1</v>
      </c>
    </row>
    <row r="2646">
      <c r="A2646" t="inlineStr">
        <is>
          <t>2023-2024</t>
        </is>
      </c>
      <c r="B2646" t="inlineStr">
        <is>
          <t>2023-09-02</t>
        </is>
      </c>
      <c r="C2646" t="inlineStr">
        <is>
          <t>13:02</t>
        </is>
      </c>
      <c r="D2646" t="inlineStr">
        <is>
          <t>n° 13 + n° 14</t>
        </is>
      </c>
      <c r="E2646" t="inlineStr">
        <is>
          <t>Chat perché</t>
        </is>
      </c>
      <c r="F2646" t="n">
        <v>5.9</v>
      </c>
      <c r="G2646" t="inlineStr">
        <is>
          <t>n° 13 : 0,50 + n° 14 : 0,50</t>
        </is>
      </c>
      <c r="H2646" t="n">
        <v>1</v>
      </c>
    </row>
    <row r="2647">
      <c r="A2647" t="inlineStr">
        <is>
          <t>2023-2024</t>
        </is>
      </c>
      <c r="B2647" t="inlineStr">
        <is>
          <t>2023-09-02</t>
        </is>
      </c>
      <c r="C2647" t="inlineStr">
        <is>
          <t>19:44</t>
        </is>
      </c>
      <c r="D2647" t="inlineStr">
        <is>
          <t>n° 19 + n° 20 + n° 22</t>
        </is>
      </c>
      <c r="E2647" t="inlineStr">
        <is>
          <t>Menu 'Demi Lune'</t>
        </is>
      </c>
      <c r="F2647" t="n">
        <v>45</v>
      </c>
      <c r="G2647" t="inlineStr">
        <is>
          <t>n° 22 : 0,50</t>
        </is>
      </c>
      <c r="H2647" t="n">
        <v>0.5</v>
      </c>
    </row>
    <row r="2648">
      <c r="A2648" t="inlineStr">
        <is>
          <t>2023-2024</t>
        </is>
      </c>
      <c r="B2648" t="inlineStr">
        <is>
          <t>2023-09-02</t>
        </is>
      </c>
      <c r="C2648" t="inlineStr">
        <is>
          <t>19:44</t>
        </is>
      </c>
      <c r="D2648" t="inlineStr">
        <is>
          <t>n° 19 + n° 20 + n° 22</t>
        </is>
      </c>
      <c r="E2648" t="inlineStr">
        <is>
          <t>PICHET SAVAGNIN</t>
        </is>
      </c>
      <c r="F2648" t="n">
        <v>28</v>
      </c>
      <c r="G2648" t="inlineStr">
        <is>
          <t>n° 22 : 0,50</t>
        </is>
      </c>
      <c r="H2648" t="n">
        <v>0.5</v>
      </c>
    </row>
    <row r="2649">
      <c r="A2649" t="inlineStr">
        <is>
          <t>2023-2024</t>
        </is>
      </c>
      <c r="B2649" t="inlineStr">
        <is>
          <t>2023-09-02</t>
        </is>
      </c>
      <c r="C2649" t="inlineStr">
        <is>
          <t>19:44</t>
        </is>
      </c>
      <c r="D2649" t="inlineStr">
        <is>
          <t>n° 19 + n° 20 + n° 22</t>
        </is>
      </c>
      <c r="E2649" t="inlineStr">
        <is>
          <t>Menu Franc-Comtois</t>
        </is>
      </c>
      <c r="F2649" t="n">
        <v>28</v>
      </c>
      <c r="G2649" t="inlineStr">
        <is>
          <t>n° 22 : 0,50</t>
        </is>
      </c>
      <c r="H2649" t="n">
        <v>0.5</v>
      </c>
    </row>
    <row r="2650">
      <c r="A2650" t="inlineStr">
        <is>
          <t>2023-2024</t>
        </is>
      </c>
      <c r="B2650" t="inlineStr">
        <is>
          <t>2023-09-02</t>
        </is>
      </c>
      <c r="C2650" t="inlineStr">
        <is>
          <t>19:44</t>
        </is>
      </c>
      <c r="D2650" t="inlineStr">
        <is>
          <t>n° 19 + n° 20 + n° 22</t>
        </is>
      </c>
      <c r="E2650" t="inlineStr">
        <is>
          <t>Pichet CHUSLAN</t>
        </is>
      </c>
      <c r="F2650" t="n">
        <v>9.5</v>
      </c>
      <c r="G2650" t="inlineStr">
        <is>
          <t>n° 19 : 0,50 + n° 20 : 0,50</t>
        </is>
      </c>
      <c r="H2650" t="n">
        <v>1</v>
      </c>
    </row>
    <row r="2651">
      <c r="A2651" t="inlineStr">
        <is>
          <t>2023-2024</t>
        </is>
      </c>
      <c r="B2651" t="inlineStr">
        <is>
          <t>2023-09-02</t>
        </is>
      </c>
      <c r="C2651" t="inlineStr">
        <is>
          <t>19:44</t>
        </is>
      </c>
      <c r="D2651" t="inlineStr">
        <is>
          <t>n° 19 + n° 20 + n° 22</t>
        </is>
      </c>
      <c r="E2651" t="inlineStr">
        <is>
          <t>VIN PAILLE</t>
        </is>
      </c>
      <c r="F2651" t="n">
        <v>6.9</v>
      </c>
      <c r="G2651" t="inlineStr">
        <is>
          <t>n° 19 : 0,50 + n° 20 : 0,50</t>
        </is>
      </c>
      <c r="H2651" t="n">
        <v>1</v>
      </c>
    </row>
    <row r="2652">
      <c r="A2652" t="inlineStr">
        <is>
          <t>2023-2024</t>
        </is>
      </c>
      <c r="B2652" t="inlineStr">
        <is>
          <t>2023-09-02</t>
        </is>
      </c>
      <c r="C2652" t="inlineStr">
        <is>
          <t>19:44</t>
        </is>
      </c>
      <c r="D2652" t="inlineStr">
        <is>
          <t>n° 19 + n° 20 + n° 22</t>
        </is>
      </c>
      <c r="E2652" t="inlineStr">
        <is>
          <t>La Vouivre</t>
        </is>
      </c>
      <c r="F2652" t="n">
        <v>5.9</v>
      </c>
      <c r="G2652" t="inlineStr">
        <is>
          <t>n° 19 : 0,50 + n° 20 : 0,50 + n° 22 : 0,50</t>
        </is>
      </c>
      <c r="H2652" t="n">
        <v>1.5</v>
      </c>
    </row>
    <row r="2653">
      <c r="A2653" t="inlineStr">
        <is>
          <t>2023-2024</t>
        </is>
      </c>
      <c r="B2653" t="inlineStr">
        <is>
          <t>2023-09-02</t>
        </is>
      </c>
      <c r="C2653" t="inlineStr">
        <is>
          <t>19:44</t>
        </is>
      </c>
      <c r="D2653" t="inlineStr">
        <is>
          <t>n° 19 + n° 20 + n° 22</t>
        </is>
      </c>
      <c r="E2653" t="inlineStr">
        <is>
          <t>Chat perché</t>
        </is>
      </c>
      <c r="F2653" t="n">
        <v>5.9</v>
      </c>
      <c r="G2653" t="inlineStr">
        <is>
          <t>n° 22 : 0,50</t>
        </is>
      </c>
      <c r="H2653" t="n">
        <v>0.5</v>
      </c>
    </row>
    <row r="2654">
      <c r="A2654" t="inlineStr">
        <is>
          <t>2023-2024</t>
        </is>
      </c>
      <c r="B2654" t="inlineStr">
        <is>
          <t>2023-09-02</t>
        </is>
      </c>
      <c r="C2654" t="inlineStr">
        <is>
          <t>19:44</t>
        </is>
      </c>
      <c r="D2654" t="inlineStr">
        <is>
          <t>n° 19 + n° 20 + n° 22</t>
        </is>
      </c>
      <c r="E2654" t="inlineStr">
        <is>
          <t>Kir Bourgogne</t>
        </is>
      </c>
      <c r="F2654" t="n">
        <v>4.2</v>
      </c>
      <c r="G2654" t="inlineStr">
        <is>
          <t>n° 19 : 0,50 + n° 20 : 0,50</t>
        </is>
      </c>
      <c r="H2654" t="n">
        <v>1</v>
      </c>
    </row>
    <row r="2655">
      <c r="A2655" t="inlineStr">
        <is>
          <t>2023-2024</t>
        </is>
      </c>
      <c r="B2655" t="inlineStr">
        <is>
          <t>2023-09-02</t>
        </is>
      </c>
      <c r="C2655" t="inlineStr">
        <is>
          <t>19:44</t>
        </is>
      </c>
      <c r="D2655" t="inlineStr">
        <is>
          <t>n° 19 + n° 20 + n° 22</t>
        </is>
      </c>
      <c r="E2655" t="inlineStr">
        <is>
          <t>pression</t>
        </is>
      </c>
      <c r="F2655" t="n">
        <v>4.2</v>
      </c>
      <c r="G2655" t="inlineStr">
        <is>
          <t>n° 19 : 0,50 + n° 20 : 0,50</t>
        </is>
      </c>
      <c r="H2655" t="n">
        <v>1</v>
      </c>
    </row>
    <row r="2656">
      <c r="A2656" t="inlineStr">
        <is>
          <t>2023-2024</t>
        </is>
      </c>
      <c r="B2656" t="inlineStr">
        <is>
          <t>2023-09-02</t>
        </is>
      </c>
      <c r="C2656" t="inlineStr">
        <is>
          <t>19:44</t>
        </is>
      </c>
      <c r="D2656" t="inlineStr">
        <is>
          <t>n° 19 + n° 20 + n° 22</t>
        </is>
      </c>
      <c r="E2656" t="inlineStr">
        <is>
          <t>Expresso</t>
        </is>
      </c>
      <c r="F2656" t="n">
        <v>2.2</v>
      </c>
      <c r="G2656" t="inlineStr">
        <is>
          <t>n° 22 : 0,50</t>
        </is>
      </c>
      <c r="H2656" t="n">
        <v>0.5</v>
      </c>
    </row>
    <row r="2657">
      <c r="A2657" t="inlineStr">
        <is>
          <t>2023-2024</t>
        </is>
      </c>
      <c r="B2657" t="inlineStr">
        <is>
          <t>2023-09-03</t>
        </is>
      </c>
      <c r="C2657" t="inlineStr">
        <is>
          <t>20:00</t>
        </is>
      </c>
      <c r="D2657" t="inlineStr">
        <is>
          <t>n° 22 + n° 23</t>
        </is>
      </c>
      <c r="E2657" t="inlineStr">
        <is>
          <t>TRUITE PESTO</t>
        </is>
      </c>
      <c r="F2657" t="n">
        <v>16.9</v>
      </c>
      <c r="G2657" t="inlineStr">
        <is>
          <t>n° 22 : 0,50 + n° 23 : 0,50</t>
        </is>
      </c>
      <c r="H2657" t="n">
        <v>1</v>
      </c>
    </row>
    <row r="2658">
      <c r="A2658" t="inlineStr">
        <is>
          <t>2023-2024</t>
        </is>
      </c>
      <c r="B2658" t="inlineStr">
        <is>
          <t>2023-09-03</t>
        </is>
      </c>
      <c r="C2658" t="inlineStr">
        <is>
          <t>20:00</t>
        </is>
      </c>
      <c r="D2658" t="inlineStr">
        <is>
          <t>n° 22 + n° 23</t>
        </is>
      </c>
      <c r="E2658" t="inlineStr">
        <is>
          <t>Saucisse de Morteau</t>
        </is>
      </c>
      <c r="F2658" t="n">
        <v>8.9</v>
      </c>
      <c r="G2658" t="inlineStr">
        <is>
          <t>n° 22 : 0,50 + n° 23 : 0,50</t>
        </is>
      </c>
      <c r="H2658" t="n">
        <v>1</v>
      </c>
    </row>
    <row r="2659">
      <c r="A2659" t="inlineStr">
        <is>
          <t>2023-2024</t>
        </is>
      </c>
      <c r="B2659" t="inlineStr">
        <is>
          <t>2023-09-03</t>
        </is>
      </c>
      <c r="C2659" t="inlineStr">
        <is>
          <t>20:00</t>
        </is>
      </c>
      <c r="D2659" t="inlineStr">
        <is>
          <t>n° 22 + n° 23</t>
        </is>
      </c>
      <c r="E2659" t="inlineStr">
        <is>
          <t>Menu Bambin</t>
        </is>
      </c>
      <c r="F2659" t="n">
        <v>6.9</v>
      </c>
      <c r="G2659" t="inlineStr">
        <is>
          <t>n° 22 : 0,50 + n° 23 : 0,50</t>
        </is>
      </c>
      <c r="H2659" t="n">
        <v>1</v>
      </c>
    </row>
    <row r="2660">
      <c r="A2660" t="inlineStr">
        <is>
          <t>2023-2024</t>
        </is>
      </c>
      <c r="B2660" t="inlineStr">
        <is>
          <t>2023-09-03</t>
        </is>
      </c>
      <c r="C2660" t="inlineStr">
        <is>
          <t>20:00</t>
        </is>
      </c>
      <c r="D2660" t="inlineStr">
        <is>
          <t>n° 22 + n° 23</t>
        </is>
      </c>
      <c r="E2660" t="inlineStr">
        <is>
          <t>Mambo</t>
        </is>
      </c>
      <c r="F2660" t="n">
        <v>6.5</v>
      </c>
      <c r="G2660" t="inlineStr">
        <is>
          <t>n° 22 : 1,50 + n° 23 : 1,50</t>
        </is>
      </c>
      <c r="H2660" t="n">
        <v>3</v>
      </c>
    </row>
    <row r="2661">
      <c r="A2661" t="inlineStr">
        <is>
          <t>2023-2024</t>
        </is>
      </c>
      <c r="B2661" t="inlineStr">
        <is>
          <t>2023-09-03</t>
        </is>
      </c>
      <c r="C2661" t="inlineStr">
        <is>
          <t>20:00</t>
        </is>
      </c>
      <c r="D2661" t="inlineStr">
        <is>
          <t>n° 22 + n° 23</t>
        </is>
      </c>
      <c r="E2661" t="inlineStr">
        <is>
          <t>SAUCE JURASSIENNE</t>
        </is>
      </c>
      <c r="F2661" t="n">
        <v>6.1</v>
      </c>
      <c r="G2661" t="inlineStr">
        <is>
          <t>n° 22 : 0,50 + n° 23 : 0,50</t>
        </is>
      </c>
      <c r="H2661" t="n">
        <v>1</v>
      </c>
    </row>
    <row r="2662">
      <c r="A2662" t="inlineStr">
        <is>
          <t>2023-2024</t>
        </is>
      </c>
      <c r="B2662" t="inlineStr">
        <is>
          <t>2023-09-03</t>
        </is>
      </c>
      <c r="C2662" t="inlineStr">
        <is>
          <t>20:00</t>
        </is>
      </c>
      <c r="D2662" t="inlineStr">
        <is>
          <t>n° 22 + n° 23</t>
        </is>
      </c>
      <c r="E2662" t="inlineStr">
        <is>
          <t>Luna</t>
        </is>
      </c>
      <c r="F2662" t="n">
        <v>6</v>
      </c>
      <c r="G2662" t="inlineStr">
        <is>
          <t>n° 22 : 0,50 + n° 23 : 0,50</t>
        </is>
      </c>
      <c r="H2662" t="n">
        <v>1</v>
      </c>
    </row>
    <row r="2663">
      <c r="A2663" t="inlineStr">
        <is>
          <t>2023-2024</t>
        </is>
      </c>
      <c r="B2663" t="inlineStr">
        <is>
          <t>2023-09-03</t>
        </is>
      </c>
      <c r="C2663" t="inlineStr">
        <is>
          <t>20:00</t>
        </is>
      </c>
      <c r="D2663" t="inlineStr">
        <is>
          <t>n° 22 + n° 23</t>
        </is>
      </c>
      <c r="E2663" t="inlineStr">
        <is>
          <t>Crepe Chocolat</t>
        </is>
      </c>
      <c r="F2663" t="n">
        <v>5.9</v>
      </c>
      <c r="G2663" t="inlineStr">
        <is>
          <t>n° 22 : 0,50 + n° 23 : 0,50</t>
        </is>
      </c>
      <c r="H2663" t="n">
        <v>1</v>
      </c>
    </row>
    <row r="2664">
      <c r="A2664" t="inlineStr">
        <is>
          <t>2023-2024</t>
        </is>
      </c>
      <c r="B2664" t="inlineStr">
        <is>
          <t>2023-09-03</t>
        </is>
      </c>
      <c r="C2664" t="inlineStr">
        <is>
          <t>20:00</t>
        </is>
      </c>
      <c r="D2664" t="inlineStr">
        <is>
          <t>n° 22 + n° 23</t>
        </is>
      </c>
      <c r="E2664" t="inlineStr">
        <is>
          <t>Crêpe Confiture</t>
        </is>
      </c>
      <c r="F2664" t="n">
        <v>5.4</v>
      </c>
      <c r="G2664" t="inlineStr">
        <is>
          <t>n° 22 : 0,50 + n° 23 : 0,50</t>
        </is>
      </c>
      <c r="H2664" t="n">
        <v>1</v>
      </c>
    </row>
    <row r="2665">
      <c r="A2665" t="inlineStr">
        <is>
          <t>2023-2024</t>
        </is>
      </c>
      <c r="B2665" t="inlineStr">
        <is>
          <t>2023-09-03</t>
        </is>
      </c>
      <c r="C2665" t="inlineStr">
        <is>
          <t>20:00</t>
        </is>
      </c>
      <c r="D2665" t="inlineStr">
        <is>
          <t>n° 22 + n° 23</t>
        </is>
      </c>
      <c r="E2665" t="inlineStr">
        <is>
          <t>Galette nature</t>
        </is>
      </c>
      <c r="F2665" t="n">
        <v>3.9</v>
      </c>
      <c r="G2665" t="inlineStr">
        <is>
          <t>n° 22 : 0,50 + n° 23 : 0,50</t>
        </is>
      </c>
      <c r="H2665" t="n">
        <v>1</v>
      </c>
    </row>
    <row r="2666">
      <c r="A2666" t="inlineStr">
        <is>
          <t>2023-2024</t>
        </is>
      </c>
      <c r="B2666" t="inlineStr">
        <is>
          <t>2023-09-03</t>
        </is>
      </c>
      <c r="C2666" t="inlineStr">
        <is>
          <t>20:00</t>
        </is>
      </c>
      <c r="D2666" t="inlineStr">
        <is>
          <t>n° 22 + n° 23</t>
        </is>
      </c>
      <c r="E2666" t="inlineStr">
        <is>
          <t>Crêpe au sucre</t>
        </is>
      </c>
      <c r="F2666" t="n">
        <v>3.9</v>
      </c>
      <c r="G2666" t="inlineStr">
        <is>
          <t>n° 22 : 0,50 + n° 23 : 0,50</t>
        </is>
      </c>
      <c r="H2666" t="n">
        <v>1</v>
      </c>
    </row>
    <row r="2667">
      <c r="A2667" t="inlineStr">
        <is>
          <t>2023-2024</t>
        </is>
      </c>
      <c r="B2667" t="inlineStr">
        <is>
          <t>2023-09-03</t>
        </is>
      </c>
      <c r="C2667" t="inlineStr">
        <is>
          <t>20:00</t>
        </is>
      </c>
      <c r="D2667" t="inlineStr">
        <is>
          <t>n° 22 + n° 23</t>
        </is>
      </c>
      <c r="E2667" t="inlineStr">
        <is>
          <t>GLACE 1 BOULE</t>
        </is>
      </c>
      <c r="F2667" t="n">
        <v>3.5</v>
      </c>
      <c r="G2667" t="inlineStr">
        <is>
          <t>n° 22 : 0,50 + n° 23 : 0,50</t>
        </is>
      </c>
      <c r="H2667" t="n">
        <v>1</v>
      </c>
    </row>
    <row r="2668">
      <c r="A2668" t="inlineStr">
        <is>
          <t>2023-2024</t>
        </is>
      </c>
      <c r="B2668" t="inlineStr">
        <is>
          <t>2023-09-03</t>
        </is>
      </c>
      <c r="C2668" t="inlineStr">
        <is>
          <t>20:00</t>
        </is>
      </c>
      <c r="D2668" t="inlineStr">
        <is>
          <t>n° 22 + n° 23</t>
        </is>
      </c>
      <c r="E2668" t="inlineStr">
        <is>
          <t>Thé</t>
        </is>
      </c>
      <c r="F2668" t="n">
        <v>3.4</v>
      </c>
      <c r="G2668" t="inlineStr">
        <is>
          <t>n° 22 : 0,50 + n° 23 : 0,50</t>
        </is>
      </c>
      <c r="H2668" t="n">
        <v>1</v>
      </c>
    </row>
    <row r="2669">
      <c r="A2669" t="inlineStr">
        <is>
          <t>2023-2024</t>
        </is>
      </c>
      <c r="B2669" t="inlineStr">
        <is>
          <t>2023-09-03</t>
        </is>
      </c>
      <c r="C2669" t="inlineStr">
        <is>
          <t>20:00</t>
        </is>
      </c>
      <c r="D2669" t="inlineStr">
        <is>
          <t>n° 22 + n° 23</t>
        </is>
      </c>
      <c r="E2669" t="inlineStr">
        <is>
          <t>Expresso</t>
        </is>
      </c>
      <c r="F2669" t="n">
        <v>2.2</v>
      </c>
      <c r="G2669" t="inlineStr">
        <is>
          <t>n° 22 : 0,50 + n° 23 : 0,50</t>
        </is>
      </c>
      <c r="H2669" t="n">
        <v>1</v>
      </c>
    </row>
    <row r="2670">
      <c r="A2670" t="inlineStr">
        <is>
          <t>2023-2024</t>
        </is>
      </c>
      <c r="B2670" t="inlineStr">
        <is>
          <t>2023-09-03</t>
        </is>
      </c>
      <c r="C2670" t="inlineStr">
        <is>
          <t>20:00</t>
        </is>
      </c>
      <c r="D2670" t="inlineStr">
        <is>
          <t>n° 22 + n° 23</t>
        </is>
      </c>
      <c r="E2670" t="inlineStr">
        <is>
          <t>Noix de coco rapée</t>
        </is>
      </c>
      <c r="F2670" t="n">
        <v>1.4</v>
      </c>
      <c r="G2670" t="inlineStr">
        <is>
          <t>n° 22 : 0,50 + n° 23 : 0,50</t>
        </is>
      </c>
      <c r="H2670" t="n">
        <v>1</v>
      </c>
    </row>
    <row r="2671">
      <c r="A2671" t="inlineStr">
        <is>
          <t>2023-2024</t>
        </is>
      </c>
      <c r="B2671" t="inlineStr">
        <is>
          <t>2023-09-06</t>
        </is>
      </c>
      <c r="C2671" t="inlineStr">
        <is>
          <t>12:17</t>
        </is>
      </c>
      <c r="D2671" t="inlineStr">
        <is>
          <t>n° 10 + n° 11 + n° 14 + n° 15</t>
        </is>
      </c>
      <c r="E2671" t="inlineStr">
        <is>
          <t>Salade Végétarienne</t>
        </is>
      </c>
      <c r="F2671" t="n">
        <v>19.9</v>
      </c>
      <c r="G2671" t="inlineStr">
        <is>
          <t>n° 10 : 0,50 + n° 11 : 0,50</t>
        </is>
      </c>
      <c r="H2671" t="n">
        <v>1</v>
      </c>
    </row>
    <row r="2672">
      <c r="A2672" t="inlineStr">
        <is>
          <t>2023-2024</t>
        </is>
      </c>
      <c r="B2672" t="inlineStr">
        <is>
          <t>2023-09-06</t>
        </is>
      </c>
      <c r="C2672" t="inlineStr">
        <is>
          <t>12:17</t>
        </is>
      </c>
      <c r="D2672" t="inlineStr">
        <is>
          <t>n° 10 + n° 11 + n° 14 + n° 15</t>
        </is>
      </c>
      <c r="E2672" t="inlineStr">
        <is>
          <t>TRUITE JURASSIENNE</t>
        </is>
      </c>
      <c r="F2672" t="n">
        <v>18.6</v>
      </c>
      <c r="G2672" t="inlineStr">
        <is>
          <t>n° 10 : 0,50 + n° 11 : 0,50</t>
        </is>
      </c>
      <c r="H2672" t="n">
        <v>1</v>
      </c>
    </row>
    <row r="2673">
      <c r="A2673" t="inlineStr">
        <is>
          <t>2023-2024</t>
        </is>
      </c>
      <c r="B2673" t="inlineStr">
        <is>
          <t>2023-09-06</t>
        </is>
      </c>
      <c r="C2673" t="inlineStr">
        <is>
          <t>12:17</t>
        </is>
      </c>
      <c r="D2673" t="inlineStr">
        <is>
          <t>n° 10 + n° 11 + n° 14 + n° 15</t>
        </is>
      </c>
      <c r="E2673" t="inlineStr">
        <is>
          <t>PICHET ALIGOTE 50cL</t>
        </is>
      </c>
      <c r="F2673" t="n">
        <v>10.5</v>
      </c>
      <c r="G2673" t="inlineStr">
        <is>
          <t>n° 14 : 0,50 + n° 15 : 0,50</t>
        </is>
      </c>
      <c r="H2673" t="n">
        <v>1</v>
      </c>
    </row>
    <row r="2674">
      <c r="A2674" t="inlineStr">
        <is>
          <t>2023-2024</t>
        </is>
      </c>
      <c r="B2674" t="inlineStr">
        <is>
          <t>2023-09-06</t>
        </is>
      </c>
      <c r="C2674" t="inlineStr">
        <is>
          <t>12:17</t>
        </is>
      </c>
      <c r="D2674" t="inlineStr">
        <is>
          <t>n° 10 + n° 11 + n° 14 + n° 15</t>
        </is>
      </c>
      <c r="E2674" t="inlineStr">
        <is>
          <t>San Pelegrino</t>
        </is>
      </c>
      <c r="F2674" t="n">
        <v>5.9</v>
      </c>
      <c r="G2674" t="inlineStr">
        <is>
          <t>n° 10 : 0,50 + n° 11 : 0,50 + n° 14 : 0,50 + n° 15 : 0,50</t>
        </is>
      </c>
      <c r="H2674" t="n">
        <v>2</v>
      </c>
    </row>
    <row r="2675">
      <c r="A2675" t="inlineStr">
        <is>
          <t>2023-2024</t>
        </is>
      </c>
      <c r="B2675" t="inlineStr">
        <is>
          <t>2023-09-06</t>
        </is>
      </c>
      <c r="C2675" t="inlineStr">
        <is>
          <t>12:17</t>
        </is>
      </c>
      <c r="D2675" t="inlineStr">
        <is>
          <t>n° 10 + n° 11 + n° 14 + n° 15</t>
        </is>
      </c>
      <c r="E2675" t="inlineStr">
        <is>
          <t>Chat perché</t>
        </is>
      </c>
      <c r="F2675" t="n">
        <v>5.9</v>
      </c>
      <c r="G2675" t="inlineStr">
        <is>
          <t>n° 14 : 0,50 + n° 15 : 0,50</t>
        </is>
      </c>
      <c r="H2675" t="n">
        <v>1</v>
      </c>
    </row>
    <row r="2676">
      <c r="A2676" t="inlineStr">
        <is>
          <t>2023-2024</t>
        </is>
      </c>
      <c r="B2676" t="inlineStr">
        <is>
          <t>2023-09-06</t>
        </is>
      </c>
      <c r="C2676" t="inlineStr">
        <is>
          <t>12:17</t>
        </is>
      </c>
      <c r="D2676" t="inlineStr">
        <is>
          <t>n° 10 + n° 11 + n° 14 + n° 15</t>
        </is>
      </c>
      <c r="E2676" t="inlineStr">
        <is>
          <t>Père Gregoire</t>
        </is>
      </c>
      <c r="F2676" t="n">
        <v>5.9</v>
      </c>
      <c r="G2676" t="inlineStr">
        <is>
          <t>n° 14 : 0,50 + n° 15 : 0,50</t>
        </is>
      </c>
      <c r="H2676" t="n">
        <v>1</v>
      </c>
    </row>
    <row r="2677">
      <c r="A2677" t="inlineStr">
        <is>
          <t>2023-2024</t>
        </is>
      </c>
      <c r="B2677" t="inlineStr">
        <is>
          <t>2023-09-06</t>
        </is>
      </c>
      <c r="C2677" t="inlineStr">
        <is>
          <t>19:05</t>
        </is>
      </c>
      <c r="D2677" t="inlineStr">
        <is>
          <t>n° 23 + n° 24</t>
        </is>
      </c>
      <c r="E2677" t="inlineStr">
        <is>
          <t>Crêpe Nutella</t>
        </is>
      </c>
      <c r="F2677" t="n">
        <v>4.9</v>
      </c>
      <c r="G2677" t="inlineStr">
        <is>
          <t>n° 23 : 0,50 + n° 24 : 0,50</t>
        </is>
      </c>
      <c r="H2677" t="n">
        <v>1</v>
      </c>
    </row>
    <row r="2678">
      <c r="A2678" t="inlineStr">
        <is>
          <t>2023-2024</t>
        </is>
      </c>
      <c r="B2678" t="inlineStr">
        <is>
          <t>2023-09-06</t>
        </is>
      </c>
      <c r="C2678" t="inlineStr">
        <is>
          <t>19:05</t>
        </is>
      </c>
      <c r="D2678" t="inlineStr">
        <is>
          <t>n° 23 + n° 24</t>
        </is>
      </c>
      <c r="E2678" t="inlineStr">
        <is>
          <t>CHANTILLY</t>
        </is>
      </c>
      <c r="F2678" t="n">
        <v>2.5</v>
      </c>
      <c r="G2678" t="inlineStr">
        <is>
          <t>n° 23 : 0,50 + n° 24 : 0,50</t>
        </is>
      </c>
      <c r="H2678" t="n">
        <v>1</v>
      </c>
    </row>
    <row r="2679">
      <c r="A2679" t="inlineStr">
        <is>
          <t>2023-2024</t>
        </is>
      </c>
      <c r="B2679" t="inlineStr">
        <is>
          <t>2023-09-07</t>
        </is>
      </c>
      <c r="C2679" t="inlineStr">
        <is>
          <t>20:27</t>
        </is>
      </c>
      <c r="D2679" t="inlineStr">
        <is>
          <t>n° 31 + n° 32</t>
        </is>
      </c>
      <c r="E2679" t="inlineStr">
        <is>
          <t>Arbois Chardonnay Le</t>
        </is>
      </c>
      <c r="F2679" t="n">
        <v>29</v>
      </c>
      <c r="G2679" t="inlineStr">
        <is>
          <t>n° 31 : 0,50 + n° 32 : 0,50</t>
        </is>
      </c>
      <c r="H2679" t="n">
        <v>1</v>
      </c>
    </row>
    <row r="2680">
      <c r="A2680" t="inlineStr">
        <is>
          <t>2023-2024</t>
        </is>
      </c>
      <c r="B2680" t="inlineStr">
        <is>
          <t>2023-09-07</t>
        </is>
      </c>
      <c r="C2680" t="inlineStr">
        <is>
          <t>20:27</t>
        </is>
      </c>
      <c r="D2680" t="inlineStr">
        <is>
          <t>n° 31 + n° 32</t>
        </is>
      </c>
      <c r="E2680" t="inlineStr">
        <is>
          <t>Entrecôte grillée</t>
        </is>
      </c>
      <c r="F2680" t="n">
        <v>19.9</v>
      </c>
      <c r="G2680" t="inlineStr">
        <is>
          <t>n° 31 : 0,50 + n° 32 : 0,50</t>
        </is>
      </c>
      <c r="H2680" t="n">
        <v>1</v>
      </c>
    </row>
    <row r="2681">
      <c r="A2681" t="inlineStr">
        <is>
          <t>2023-2024</t>
        </is>
      </c>
      <c r="B2681" t="inlineStr">
        <is>
          <t>2023-09-07</t>
        </is>
      </c>
      <c r="C2681" t="inlineStr">
        <is>
          <t>20:27</t>
        </is>
      </c>
      <c r="D2681" t="inlineStr">
        <is>
          <t>n° 31 + n° 32</t>
        </is>
      </c>
      <c r="E2681" t="inlineStr">
        <is>
          <t>Crémeux du Jura</t>
        </is>
      </c>
      <c r="F2681" t="n">
        <v>19</v>
      </c>
      <c r="G2681" t="inlineStr">
        <is>
          <t>n° 31 : 0,50 + n° 32 : 0,50</t>
        </is>
      </c>
      <c r="H2681" t="n">
        <v>1</v>
      </c>
    </row>
    <row r="2682">
      <c r="A2682" t="inlineStr">
        <is>
          <t>2023-2024</t>
        </is>
      </c>
      <c r="B2682" t="inlineStr">
        <is>
          <t>2023-09-07</t>
        </is>
      </c>
      <c r="C2682" t="inlineStr">
        <is>
          <t>20:27</t>
        </is>
      </c>
      <c r="D2682" t="inlineStr">
        <is>
          <t>n° 31 + n° 32</t>
        </is>
      </c>
      <c r="E2682" t="inlineStr">
        <is>
          <t>CREME BRULEE</t>
        </is>
      </c>
      <c r="F2682" t="n">
        <v>7.9</v>
      </c>
      <c r="G2682" t="inlineStr">
        <is>
          <t>n° 31 : 0,50 + n° 32 : 0,50</t>
        </is>
      </c>
      <c r="H2682" t="n">
        <v>1</v>
      </c>
    </row>
    <row r="2683">
      <c r="A2683" t="inlineStr">
        <is>
          <t>2023-2024</t>
        </is>
      </c>
      <c r="B2683" t="inlineStr">
        <is>
          <t>2023-09-07</t>
        </is>
      </c>
      <c r="C2683" t="inlineStr">
        <is>
          <t>20:27</t>
        </is>
      </c>
      <c r="D2683" t="inlineStr">
        <is>
          <t>n° 31 + n° 32</t>
        </is>
      </c>
      <c r="E2683" t="inlineStr">
        <is>
          <t>Liqueur de Sapin</t>
        </is>
      </c>
      <c r="F2683" t="n">
        <v>6.5</v>
      </c>
      <c r="G2683" t="inlineStr">
        <is>
          <t>n° 31 : 0,50 + n° 32 : 0,50</t>
        </is>
      </c>
      <c r="H2683" t="n">
        <v>1</v>
      </c>
    </row>
    <row r="2684">
      <c r="A2684" t="inlineStr">
        <is>
          <t>2023-2024</t>
        </is>
      </c>
      <c r="B2684" t="inlineStr">
        <is>
          <t>2023-09-07</t>
        </is>
      </c>
      <c r="C2684" t="inlineStr">
        <is>
          <t>20:27</t>
        </is>
      </c>
      <c r="D2684" t="inlineStr">
        <is>
          <t>n° 31 + n° 32</t>
        </is>
      </c>
      <c r="E2684" t="inlineStr">
        <is>
          <t>Crêpe Salidou</t>
        </is>
      </c>
      <c r="F2684" t="n">
        <v>6.4</v>
      </c>
      <c r="G2684" t="inlineStr">
        <is>
          <t>n° 31 : 0,50 + n° 32 : 0,50</t>
        </is>
      </c>
      <c r="H2684" t="n">
        <v>1</v>
      </c>
    </row>
    <row r="2685">
      <c r="A2685" t="inlineStr">
        <is>
          <t>2023-2024</t>
        </is>
      </c>
      <c r="B2685" t="inlineStr">
        <is>
          <t>2023-09-08</t>
        </is>
      </c>
      <c r="C2685" t="inlineStr">
        <is>
          <t>13:01</t>
        </is>
      </c>
      <c r="D2685" t="inlineStr">
        <is>
          <t>n° 17 + n° 18</t>
        </is>
      </c>
      <c r="E2685" t="inlineStr">
        <is>
          <t>DADOULET</t>
        </is>
      </c>
      <c r="F2685" t="n">
        <v>18.1</v>
      </c>
      <c r="G2685" t="inlineStr">
        <is>
          <t>n° 17 : 0,50 + n° 18 : 0,50</t>
        </is>
      </c>
      <c r="H2685" t="n">
        <v>1</v>
      </c>
    </row>
    <row r="2686">
      <c r="A2686" t="inlineStr">
        <is>
          <t>2023-2024</t>
        </is>
      </c>
      <c r="B2686" t="inlineStr">
        <is>
          <t>2023-09-08</t>
        </is>
      </c>
      <c r="C2686" t="inlineStr">
        <is>
          <t>13:01</t>
        </is>
      </c>
      <c r="D2686" t="inlineStr">
        <is>
          <t>n° 17 + n° 18</t>
        </is>
      </c>
      <c r="E2686" t="inlineStr">
        <is>
          <t>LOURNETTE</t>
        </is>
      </c>
      <c r="F2686" t="n">
        <v>17.9</v>
      </c>
      <c r="G2686" t="inlineStr">
        <is>
          <t>n° 17 : 0,50 + n° 18 : 0,50</t>
        </is>
      </c>
      <c r="H2686" t="n">
        <v>1</v>
      </c>
    </row>
    <row r="2687">
      <c r="A2687" t="inlineStr">
        <is>
          <t>2023-2024</t>
        </is>
      </c>
      <c r="B2687" t="inlineStr">
        <is>
          <t>2023-09-08</t>
        </is>
      </c>
      <c r="C2687" t="inlineStr">
        <is>
          <t>13:01</t>
        </is>
      </c>
      <c r="D2687" t="inlineStr">
        <is>
          <t>n° 17 + n° 18</t>
        </is>
      </c>
      <c r="E2687" t="inlineStr">
        <is>
          <t>Coupe glacée</t>
        </is>
      </c>
      <c r="F2687" t="n">
        <v>9.300000000000001</v>
      </c>
      <c r="G2687" t="inlineStr">
        <is>
          <t>n° 17 : 0,50 + n° 18 : 0,50</t>
        </is>
      </c>
      <c r="H2687" t="n">
        <v>1</v>
      </c>
    </row>
    <row r="2688">
      <c r="A2688" t="inlineStr">
        <is>
          <t>2023-2024</t>
        </is>
      </c>
      <c r="B2688" t="inlineStr">
        <is>
          <t>2023-09-08</t>
        </is>
      </c>
      <c r="C2688" t="inlineStr">
        <is>
          <t>13:01</t>
        </is>
      </c>
      <c r="D2688" t="inlineStr">
        <is>
          <t>n° 17 + n° 18</t>
        </is>
      </c>
      <c r="E2688" t="inlineStr">
        <is>
          <t>GLACE 2 BOULES</t>
        </is>
      </c>
      <c r="F2688" t="n">
        <v>5.5</v>
      </c>
      <c r="G2688" t="inlineStr">
        <is>
          <t>n° 17 : 0,50 + n° 18 : 0,50</t>
        </is>
      </c>
      <c r="H2688" t="n">
        <v>1</v>
      </c>
    </row>
    <row r="2689">
      <c r="A2689" t="inlineStr">
        <is>
          <t>2023-2024</t>
        </is>
      </c>
      <c r="B2689" t="inlineStr">
        <is>
          <t>2023-09-08</t>
        </is>
      </c>
      <c r="C2689" t="inlineStr">
        <is>
          <t>13:01</t>
        </is>
      </c>
      <c r="D2689" t="inlineStr">
        <is>
          <t>n° 17 + n° 18</t>
        </is>
      </c>
      <c r="E2689" t="inlineStr">
        <is>
          <t>Perrier 33cl</t>
        </is>
      </c>
      <c r="F2689" t="n">
        <v>4</v>
      </c>
      <c r="G2689" t="inlineStr">
        <is>
          <t>n° 17 : 0,50 + n° 18 : 0,50</t>
        </is>
      </c>
      <c r="H2689" t="n">
        <v>1</v>
      </c>
    </row>
    <row r="2690">
      <c r="A2690" t="inlineStr">
        <is>
          <t>2023-2024</t>
        </is>
      </c>
      <c r="B2690" t="inlineStr">
        <is>
          <t>2023-09-08</t>
        </is>
      </c>
      <c r="C2690" t="inlineStr">
        <is>
          <t>13:01</t>
        </is>
      </c>
      <c r="D2690" t="inlineStr">
        <is>
          <t>n° 17 + n° 18</t>
        </is>
      </c>
      <c r="E2690" t="inlineStr">
        <is>
          <t>Verre Rosé</t>
        </is>
      </c>
      <c r="F2690" t="n">
        <v>3.9</v>
      </c>
      <c r="G2690" t="inlineStr">
        <is>
          <t>n° 17 : 0,50 + n° 18 : 0,50</t>
        </is>
      </c>
      <c r="H2690" t="n">
        <v>1</v>
      </c>
    </row>
    <row r="2691">
      <c r="A2691" t="inlineStr">
        <is>
          <t>2023-2024</t>
        </is>
      </c>
      <c r="B2691" t="inlineStr">
        <is>
          <t>2023-09-08</t>
        </is>
      </c>
      <c r="C2691" t="inlineStr">
        <is>
          <t>13:01</t>
        </is>
      </c>
      <c r="D2691" t="inlineStr">
        <is>
          <t>n° 17 + n° 18</t>
        </is>
      </c>
      <c r="E2691" t="inlineStr">
        <is>
          <t>COULIS FRAMBOISE</t>
        </is>
      </c>
      <c r="F2691" t="n">
        <v>2.4</v>
      </c>
      <c r="G2691" t="inlineStr">
        <is>
          <t>n° 17 : 0,50 + n° 18 : 0,50</t>
        </is>
      </c>
      <c r="H2691" t="n">
        <v>1</v>
      </c>
    </row>
    <row r="2692">
      <c r="A2692" t="inlineStr">
        <is>
          <t>2023-2024</t>
        </is>
      </c>
      <c r="B2692" t="inlineStr">
        <is>
          <t>2023-09-08</t>
        </is>
      </c>
      <c r="C2692" t="inlineStr">
        <is>
          <t>13:01</t>
        </is>
      </c>
      <c r="D2692" t="inlineStr">
        <is>
          <t>n° 17 + n° 18</t>
        </is>
      </c>
      <c r="E2692" t="inlineStr">
        <is>
          <t>Chantilly</t>
        </is>
      </c>
      <c r="F2692" t="n">
        <v>2</v>
      </c>
      <c r="G2692" t="inlineStr">
        <is>
          <t>n° 17 : 0,50 + n° 18 : 0,50</t>
        </is>
      </c>
      <c r="H2692" t="n">
        <v>1</v>
      </c>
    </row>
    <row r="2693">
      <c r="A2693" t="inlineStr">
        <is>
          <t>2023-2024</t>
        </is>
      </c>
      <c r="B2693" t="inlineStr">
        <is>
          <t>2023-09-08</t>
        </is>
      </c>
      <c r="C2693" t="inlineStr">
        <is>
          <t>20:27</t>
        </is>
      </c>
      <c r="D2693" t="inlineStr">
        <is>
          <t>n° 30 + n° 31</t>
        </is>
      </c>
      <c r="E2693" t="inlineStr">
        <is>
          <t>BARBEULENET</t>
        </is>
      </c>
      <c r="F2693" t="n">
        <v>17.4</v>
      </c>
      <c r="G2693" t="inlineStr">
        <is>
          <t>n° 30 : 0,50 + n° 31 : 0,50</t>
        </is>
      </c>
      <c r="H2693" t="n">
        <v>1</v>
      </c>
    </row>
    <row r="2694">
      <c r="A2694" t="inlineStr">
        <is>
          <t>2023-2024</t>
        </is>
      </c>
      <c r="B2694" t="inlineStr">
        <is>
          <t>2023-09-08</t>
        </is>
      </c>
      <c r="C2694" t="inlineStr">
        <is>
          <t>20:27</t>
        </is>
      </c>
      <c r="D2694" t="inlineStr">
        <is>
          <t>n° 30 + n° 31</t>
        </is>
      </c>
      <c r="E2694" t="inlineStr">
        <is>
          <t>TRUITE PESTO</t>
        </is>
      </c>
      <c r="F2694" t="n">
        <v>16.9</v>
      </c>
      <c r="G2694" t="inlineStr">
        <is>
          <t>n° 30 : 0,50 + n° 31 : 0,50</t>
        </is>
      </c>
      <c r="H2694" t="n">
        <v>1</v>
      </c>
    </row>
    <row r="2695">
      <c r="A2695" t="inlineStr">
        <is>
          <t>2023-2024</t>
        </is>
      </c>
      <c r="B2695" t="inlineStr">
        <is>
          <t>2023-09-08</t>
        </is>
      </c>
      <c r="C2695" t="inlineStr">
        <is>
          <t>20:27</t>
        </is>
      </c>
      <c r="D2695" t="inlineStr">
        <is>
          <t>n° 30 + n° 31</t>
        </is>
      </c>
      <c r="E2695" t="inlineStr">
        <is>
          <t>GLACE 2 BOULES</t>
        </is>
      </c>
      <c r="F2695" t="n">
        <v>5.5</v>
      </c>
      <c r="G2695" t="inlineStr">
        <is>
          <t>n° 30 : 0,50 + n° 31 : 0,50</t>
        </is>
      </c>
      <c r="H2695" t="n">
        <v>1</v>
      </c>
    </row>
    <row r="2696">
      <c r="A2696" t="inlineStr">
        <is>
          <t>2023-2024</t>
        </is>
      </c>
      <c r="B2696" t="inlineStr">
        <is>
          <t>2023-09-08</t>
        </is>
      </c>
      <c r="C2696" t="inlineStr">
        <is>
          <t>20:27</t>
        </is>
      </c>
      <c r="D2696" t="inlineStr">
        <is>
          <t>n° 30 + n° 31</t>
        </is>
      </c>
      <c r="E2696" t="inlineStr">
        <is>
          <t>GLACE 1 BOULE</t>
        </is>
      </c>
      <c r="F2696" t="n">
        <v>3.5</v>
      </c>
      <c r="G2696" t="inlineStr">
        <is>
          <t>n° 30 : 0,50 + n° 31 : 0,50</t>
        </is>
      </c>
      <c r="H2696" t="n">
        <v>1</v>
      </c>
    </row>
    <row r="2697">
      <c r="A2697" t="inlineStr">
        <is>
          <t>2023-2024</t>
        </is>
      </c>
      <c r="B2697" t="inlineStr">
        <is>
          <t>2023-09-09</t>
        </is>
      </c>
      <c r="C2697" t="inlineStr">
        <is>
          <t>11:30</t>
        </is>
      </c>
      <c r="D2697" t="inlineStr">
        <is>
          <t>n° 4 + n° 5</t>
        </is>
      </c>
      <c r="E2697" t="inlineStr">
        <is>
          <t>Entrecôte grillée</t>
        </is>
      </c>
      <c r="F2697" t="n">
        <v>19.9</v>
      </c>
      <c r="G2697" t="inlineStr">
        <is>
          <t>n° 4 : 0,50 + n° 5 : 0,50</t>
        </is>
      </c>
      <c r="H2697" t="n">
        <v>1</v>
      </c>
    </row>
    <row r="2698">
      <c r="A2698" t="inlineStr">
        <is>
          <t>2023-2024</t>
        </is>
      </c>
      <c r="B2698" t="inlineStr">
        <is>
          <t>2023-09-09</t>
        </is>
      </c>
      <c r="C2698" t="inlineStr">
        <is>
          <t>11:30</t>
        </is>
      </c>
      <c r="D2698" t="inlineStr">
        <is>
          <t>n° 4 + n° 5</t>
        </is>
      </c>
      <c r="E2698" t="inlineStr">
        <is>
          <t>ASSIETTE PERE GREGOI</t>
        </is>
      </c>
      <c r="F2698" t="n">
        <v>18.6</v>
      </c>
      <c r="G2698" t="inlineStr">
        <is>
          <t>n° 4 : 0,50 + n° 5 : 0,50</t>
        </is>
      </c>
      <c r="H2698" t="n">
        <v>1</v>
      </c>
    </row>
    <row r="2699">
      <c r="A2699" t="inlineStr">
        <is>
          <t>2023-2024</t>
        </is>
      </c>
      <c r="B2699" t="inlineStr">
        <is>
          <t>2023-09-09</t>
        </is>
      </c>
      <c r="C2699" t="inlineStr">
        <is>
          <t>11:30</t>
        </is>
      </c>
      <c r="D2699" t="inlineStr">
        <is>
          <t>n° 4 + n° 5</t>
        </is>
      </c>
      <c r="E2699" t="inlineStr">
        <is>
          <t>San Pelegrino</t>
        </is>
      </c>
      <c r="F2699" t="n">
        <v>5.9</v>
      </c>
      <c r="G2699" t="inlineStr">
        <is>
          <t>n° 4 : 0,50 + n° 5 : 0,50</t>
        </is>
      </c>
      <c r="H2699" t="n">
        <v>1</v>
      </c>
    </row>
    <row r="2700">
      <c r="A2700" t="inlineStr">
        <is>
          <t>2023-2024</t>
        </is>
      </c>
      <c r="B2700" t="inlineStr">
        <is>
          <t>2023-09-09</t>
        </is>
      </c>
      <c r="C2700" t="inlineStr">
        <is>
          <t>12:05</t>
        </is>
      </c>
      <c r="D2700" t="inlineStr">
        <is>
          <t>n° 9 + n° 10</t>
        </is>
      </c>
      <c r="E2700" t="inlineStr">
        <is>
          <t>Arbois Trousseau Bou</t>
        </is>
      </c>
      <c r="F2700" t="n">
        <v>36</v>
      </c>
      <c r="G2700" t="inlineStr">
        <is>
          <t>n° 9 : 0,50 + n° 10 : 0,50</t>
        </is>
      </c>
      <c r="H2700" t="n">
        <v>1</v>
      </c>
    </row>
    <row r="2701">
      <c r="A2701" t="inlineStr">
        <is>
          <t>2023-2024</t>
        </is>
      </c>
      <c r="B2701" t="inlineStr">
        <is>
          <t>2023-09-09</t>
        </is>
      </c>
      <c r="C2701" t="inlineStr">
        <is>
          <t>12:05</t>
        </is>
      </c>
      <c r="D2701" t="inlineStr">
        <is>
          <t>n° 9 + n° 10</t>
        </is>
      </c>
      <c r="E2701" t="inlineStr">
        <is>
          <t>Menu 'Galette'</t>
        </is>
      </c>
      <c r="F2701" t="n">
        <v>19.5</v>
      </c>
      <c r="G2701" t="inlineStr">
        <is>
          <t>n° 9 : 0,50 + n° 10 : 0,50</t>
        </is>
      </c>
      <c r="H2701" t="n">
        <v>1</v>
      </c>
    </row>
    <row r="2702">
      <c r="A2702" t="inlineStr">
        <is>
          <t>2023-2024</t>
        </is>
      </c>
      <c r="B2702" t="inlineStr">
        <is>
          <t>2023-09-09</t>
        </is>
      </c>
      <c r="C2702" t="inlineStr">
        <is>
          <t>12:05</t>
        </is>
      </c>
      <c r="D2702" t="inlineStr">
        <is>
          <t>n° 9 + n° 10</t>
        </is>
      </c>
      <c r="E2702" t="inlineStr">
        <is>
          <t>CABRICHOU</t>
        </is>
      </c>
      <c r="F2702" t="n">
        <v>16.9</v>
      </c>
      <c r="G2702" t="inlineStr">
        <is>
          <t>n° 9 : 0,50 + n° 10 : 0,50</t>
        </is>
      </c>
      <c r="H2702" t="n">
        <v>1</v>
      </c>
    </row>
    <row r="2703">
      <c r="A2703" t="inlineStr">
        <is>
          <t>2023-2024</t>
        </is>
      </c>
      <c r="B2703" t="inlineStr">
        <is>
          <t>2023-09-09</t>
        </is>
      </c>
      <c r="C2703" t="inlineStr">
        <is>
          <t>12:05</t>
        </is>
      </c>
      <c r="D2703" t="inlineStr">
        <is>
          <t>n° 9 + n° 10</t>
        </is>
      </c>
      <c r="E2703" t="inlineStr">
        <is>
          <t>Ambrée</t>
        </is>
      </c>
      <c r="F2703" t="n">
        <v>6.9</v>
      </c>
      <c r="G2703" t="inlineStr">
        <is>
          <t>n° 9 : 1,50 + n° 10 : 1,50</t>
        </is>
      </c>
      <c r="H2703" t="n">
        <v>3</v>
      </c>
    </row>
    <row r="2704">
      <c r="A2704" t="inlineStr">
        <is>
          <t>2023-2024</t>
        </is>
      </c>
      <c r="B2704" t="inlineStr">
        <is>
          <t>2023-09-09</t>
        </is>
      </c>
      <c r="C2704" t="inlineStr">
        <is>
          <t>12:05</t>
        </is>
      </c>
      <c r="D2704" t="inlineStr">
        <is>
          <t>n° 9 + n° 10</t>
        </is>
      </c>
      <c r="E2704" t="inlineStr">
        <is>
          <t>Mambo</t>
        </is>
      </c>
      <c r="F2704" t="n">
        <v>6.5</v>
      </c>
      <c r="G2704" t="inlineStr">
        <is>
          <t>n° 9 : 0,50 + n° 10 : 0,50</t>
        </is>
      </c>
      <c r="H2704" t="n">
        <v>1</v>
      </c>
    </row>
    <row r="2705">
      <c r="A2705" t="inlineStr">
        <is>
          <t>2023-2024</t>
        </is>
      </c>
      <c r="B2705" t="inlineStr">
        <is>
          <t>2023-09-09</t>
        </is>
      </c>
      <c r="C2705" t="inlineStr">
        <is>
          <t>12:05</t>
        </is>
      </c>
      <c r="D2705" t="inlineStr">
        <is>
          <t>n° 9 + n° 10</t>
        </is>
      </c>
      <c r="E2705" t="inlineStr">
        <is>
          <t>Café Lait</t>
        </is>
      </c>
      <c r="F2705" t="n">
        <v>4.2</v>
      </c>
      <c r="G2705" t="inlineStr">
        <is>
          <t>n° 9 : 0,50 + n° 10 : 0,50</t>
        </is>
      </c>
      <c r="H2705" t="n">
        <v>1</v>
      </c>
    </row>
    <row r="2706">
      <c r="A2706" t="inlineStr">
        <is>
          <t>2023-2024</t>
        </is>
      </c>
      <c r="B2706" t="inlineStr">
        <is>
          <t>2023-09-09</t>
        </is>
      </c>
      <c r="C2706" t="inlineStr">
        <is>
          <t>12:05</t>
        </is>
      </c>
      <c r="D2706" t="inlineStr">
        <is>
          <t>n° 9 + n° 10</t>
        </is>
      </c>
      <c r="E2706" t="inlineStr">
        <is>
          <t>Expresso</t>
        </is>
      </c>
      <c r="F2706" t="n">
        <v>2.2</v>
      </c>
      <c r="G2706" t="inlineStr">
        <is>
          <t>n° 9 : 1,50 + n° 10 : 1,50</t>
        </is>
      </c>
      <c r="H2706" t="n">
        <v>3</v>
      </c>
    </row>
    <row r="2707">
      <c r="A2707" t="inlineStr">
        <is>
          <t>2023-2024</t>
        </is>
      </c>
      <c r="B2707" t="inlineStr">
        <is>
          <t>2023-09-09</t>
        </is>
      </c>
      <c r="C2707" t="inlineStr">
        <is>
          <t>12:46</t>
        </is>
      </c>
      <c r="D2707" t="inlineStr">
        <is>
          <t>n° 16 + n° 17</t>
        </is>
      </c>
      <c r="E2707" t="inlineStr">
        <is>
          <t>Entrecôte grillée</t>
        </is>
      </c>
      <c r="F2707" t="n">
        <v>19.9</v>
      </c>
      <c r="G2707" t="inlineStr">
        <is>
          <t>n° 16 : 0,50 + n° 17 : 0,50</t>
        </is>
      </c>
      <c r="H2707" t="n">
        <v>1</v>
      </c>
    </row>
    <row r="2708">
      <c r="A2708" t="inlineStr">
        <is>
          <t>2023-2024</t>
        </is>
      </c>
      <c r="B2708" t="inlineStr">
        <is>
          <t>2023-09-09</t>
        </is>
      </c>
      <c r="C2708" t="inlineStr">
        <is>
          <t>12:46</t>
        </is>
      </c>
      <c r="D2708" t="inlineStr">
        <is>
          <t>n° 16 + n° 17</t>
        </is>
      </c>
      <c r="E2708" t="inlineStr">
        <is>
          <t>TRUITE JURASSIENNE</t>
        </is>
      </c>
      <c r="F2708" t="n">
        <v>18.6</v>
      </c>
      <c r="G2708" t="inlineStr">
        <is>
          <t>n° 16 : 0,50 + n° 17 : 0,50</t>
        </is>
      </c>
      <c r="H2708" t="n">
        <v>1</v>
      </c>
    </row>
    <row r="2709">
      <c r="A2709" t="inlineStr">
        <is>
          <t>2023-2024</t>
        </is>
      </c>
      <c r="B2709" t="inlineStr">
        <is>
          <t>2023-09-09</t>
        </is>
      </c>
      <c r="C2709" t="inlineStr">
        <is>
          <t>12:46</t>
        </is>
      </c>
      <c r="D2709" t="inlineStr">
        <is>
          <t>n° 16 + n° 17</t>
        </is>
      </c>
      <c r="E2709" t="inlineStr">
        <is>
          <t>Ambrée</t>
        </is>
      </c>
      <c r="F2709" t="n">
        <v>6.9</v>
      </c>
      <c r="G2709" t="inlineStr">
        <is>
          <t>n° 16 : 0,50 + n° 17 : 0,50</t>
        </is>
      </c>
      <c r="H2709" t="n">
        <v>1</v>
      </c>
    </row>
    <row r="2710">
      <c r="A2710" t="inlineStr">
        <is>
          <t>2023-2024</t>
        </is>
      </c>
      <c r="B2710" t="inlineStr">
        <is>
          <t>2023-09-09</t>
        </is>
      </c>
      <c r="C2710" t="inlineStr">
        <is>
          <t>12:46</t>
        </is>
      </c>
      <c r="D2710" t="inlineStr">
        <is>
          <t>n° 16 + n° 17</t>
        </is>
      </c>
      <c r="E2710" t="inlineStr">
        <is>
          <t>MACON VERRE</t>
        </is>
      </c>
      <c r="F2710" t="n">
        <v>6.3</v>
      </c>
      <c r="G2710" t="inlineStr">
        <is>
          <t>n° 16 : 0,50 + n° 17 : 0,50</t>
        </is>
      </c>
      <c r="H2710" t="n">
        <v>1</v>
      </c>
    </row>
    <row r="2711">
      <c r="A2711" t="inlineStr">
        <is>
          <t>2023-2024</t>
        </is>
      </c>
      <c r="B2711" t="inlineStr">
        <is>
          <t>2023-09-09</t>
        </is>
      </c>
      <c r="C2711" t="inlineStr">
        <is>
          <t>19:20</t>
        </is>
      </c>
      <c r="D2711" t="inlineStr">
        <is>
          <t>n° 21 + n° 22</t>
        </is>
      </c>
      <c r="E2711" t="inlineStr">
        <is>
          <t>PAYSANNE</t>
        </is>
      </c>
      <c r="F2711" t="n">
        <v>19.9</v>
      </c>
      <c r="G2711" t="inlineStr">
        <is>
          <t>n° 21 : 1,50 + n° 22 : 1,50</t>
        </is>
      </c>
      <c r="H2711" t="n">
        <v>3</v>
      </c>
    </row>
    <row r="2712">
      <c r="A2712" t="inlineStr">
        <is>
          <t>2023-2024</t>
        </is>
      </c>
      <c r="B2712" t="inlineStr">
        <is>
          <t>2023-09-09</t>
        </is>
      </c>
      <c r="C2712" t="inlineStr">
        <is>
          <t>19:20</t>
        </is>
      </c>
      <c r="D2712" t="inlineStr">
        <is>
          <t>n° 21 + n° 22</t>
        </is>
      </c>
      <c r="E2712" t="inlineStr">
        <is>
          <t>POULET JURASSIENNE</t>
        </is>
      </c>
      <c r="F2712" t="n">
        <v>18.6</v>
      </c>
      <c r="G2712" t="inlineStr">
        <is>
          <t>n° 21 : 0,50 + n° 22 : 0,50</t>
        </is>
      </c>
      <c r="H2712" t="n">
        <v>1</v>
      </c>
    </row>
    <row r="2713">
      <c r="A2713" t="inlineStr">
        <is>
          <t>2023-2024</t>
        </is>
      </c>
      <c r="B2713" t="inlineStr">
        <is>
          <t>2023-09-09</t>
        </is>
      </c>
      <c r="C2713" t="inlineStr">
        <is>
          <t>19:20</t>
        </is>
      </c>
      <c r="D2713" t="inlineStr">
        <is>
          <t>n° 21 + n° 22</t>
        </is>
      </c>
      <c r="E2713" t="inlineStr">
        <is>
          <t>Pavlova</t>
        </is>
      </c>
      <c r="F2713" t="n">
        <v>8.9</v>
      </c>
      <c r="G2713" t="inlineStr">
        <is>
          <t>n° 21 : 0,50 + n° 22 : 0,50</t>
        </is>
      </c>
      <c r="H2713" t="n">
        <v>1</v>
      </c>
    </row>
    <row r="2714">
      <c r="A2714" t="inlineStr">
        <is>
          <t>2023-2024</t>
        </is>
      </c>
      <c r="B2714" t="inlineStr">
        <is>
          <t>2023-09-09</t>
        </is>
      </c>
      <c r="C2714" t="inlineStr">
        <is>
          <t>19:20</t>
        </is>
      </c>
      <c r="D2714" t="inlineStr">
        <is>
          <t>n° 21 + n° 22</t>
        </is>
      </c>
      <c r="E2714" t="inlineStr">
        <is>
          <t>CREME BRULEE</t>
        </is>
      </c>
      <c r="F2714" t="n">
        <v>7.9</v>
      </c>
      <c r="G2714" t="inlineStr">
        <is>
          <t>n° 21 : 0,50 + n° 22 : 0,50</t>
        </is>
      </c>
      <c r="H2714" t="n">
        <v>1</v>
      </c>
    </row>
    <row r="2715">
      <c r="A2715" t="inlineStr">
        <is>
          <t>2023-2024</t>
        </is>
      </c>
      <c r="B2715" t="inlineStr">
        <is>
          <t>2023-09-09</t>
        </is>
      </c>
      <c r="C2715" t="inlineStr">
        <is>
          <t>19:20</t>
        </is>
      </c>
      <c r="D2715" t="inlineStr">
        <is>
          <t>n° 21 + n° 22</t>
        </is>
      </c>
      <c r="E2715" t="inlineStr">
        <is>
          <t>Panaché</t>
        </is>
      </c>
      <c r="F2715" t="n">
        <v>4.2</v>
      </c>
      <c r="G2715" t="inlineStr">
        <is>
          <t>n° 21 : 1,50 + n° 22 : 1,50</t>
        </is>
      </c>
      <c r="H2715" t="n">
        <v>3</v>
      </c>
    </row>
    <row r="2716">
      <c r="A2716" t="inlineStr">
        <is>
          <t>2023-2024</t>
        </is>
      </c>
      <c r="B2716" t="inlineStr">
        <is>
          <t>2023-09-09</t>
        </is>
      </c>
      <c r="C2716" t="inlineStr">
        <is>
          <t>20:38</t>
        </is>
      </c>
      <c r="D2716" t="inlineStr">
        <is>
          <t>n° 39 + n° 40</t>
        </is>
      </c>
      <c r="E2716" t="inlineStr">
        <is>
          <t>Saint Véran</t>
        </is>
      </c>
      <c r="F2716" t="n">
        <v>39.5</v>
      </c>
      <c r="G2716" t="inlineStr">
        <is>
          <t>n° 39 : 0,25 + n° 40 : 0,75</t>
        </is>
      </c>
      <c r="H2716" t="n">
        <v>1</v>
      </c>
    </row>
    <row r="2717">
      <c r="A2717" t="inlineStr">
        <is>
          <t>2023-2024</t>
        </is>
      </c>
      <c r="B2717" t="inlineStr">
        <is>
          <t>2023-09-09</t>
        </is>
      </c>
      <c r="C2717" t="inlineStr">
        <is>
          <t>20:38</t>
        </is>
      </c>
      <c r="D2717" t="inlineStr">
        <is>
          <t>n° 39 + n° 40</t>
        </is>
      </c>
      <c r="E2717" t="inlineStr">
        <is>
          <t>TRUITE JURASSIENNE</t>
        </is>
      </c>
      <c r="F2717" t="n">
        <v>18.6</v>
      </c>
      <c r="G2717" t="inlineStr">
        <is>
          <t>n° 39 : 0,25 + n° 40 : 0,75</t>
        </is>
      </c>
      <c r="H2717" t="n">
        <v>1</v>
      </c>
    </row>
    <row r="2718">
      <c r="A2718" t="inlineStr">
        <is>
          <t>2023-2024</t>
        </is>
      </c>
      <c r="B2718" t="inlineStr">
        <is>
          <t>2023-09-09</t>
        </is>
      </c>
      <c r="C2718" t="inlineStr">
        <is>
          <t>20:38</t>
        </is>
      </c>
      <c r="D2718" t="inlineStr">
        <is>
          <t>n° 39 + n° 40</t>
        </is>
      </c>
      <c r="E2718" t="inlineStr">
        <is>
          <t>BARBEULENET</t>
        </is>
      </c>
      <c r="F2718" t="n">
        <v>17.4</v>
      </c>
      <c r="G2718" t="inlineStr">
        <is>
          <t>n° 39 : 0,50 + n° 40 : 1,50</t>
        </is>
      </c>
      <c r="H2718" t="n">
        <v>2</v>
      </c>
    </row>
    <row r="2719">
      <c r="A2719" t="inlineStr">
        <is>
          <t>2023-2024</t>
        </is>
      </c>
      <c r="B2719" t="inlineStr">
        <is>
          <t>2023-09-09</t>
        </is>
      </c>
      <c r="C2719" t="inlineStr">
        <is>
          <t>20:38</t>
        </is>
      </c>
      <c r="D2719" t="inlineStr">
        <is>
          <t>n° 39 + n° 40</t>
        </is>
      </c>
      <c r="E2719" t="inlineStr">
        <is>
          <t>TRUITE PESTO</t>
        </is>
      </c>
      <c r="F2719" t="n">
        <v>16.9</v>
      </c>
      <c r="G2719" t="inlineStr">
        <is>
          <t>n° 39 : 0,25 + n° 40 : 0,75</t>
        </is>
      </c>
      <c r="H2719" t="n">
        <v>1</v>
      </c>
    </row>
    <row r="2720">
      <c r="A2720" t="inlineStr">
        <is>
          <t>2023-2024</t>
        </is>
      </c>
      <c r="B2720" t="inlineStr">
        <is>
          <t>2023-09-09</t>
        </is>
      </c>
      <c r="C2720" t="inlineStr">
        <is>
          <t>20:38</t>
        </is>
      </c>
      <c r="D2720" t="inlineStr">
        <is>
          <t>n° 39 + n° 40</t>
        </is>
      </c>
      <c r="E2720" t="inlineStr">
        <is>
          <t>Vittel litre</t>
        </is>
      </c>
      <c r="F2720" t="n">
        <v>0</v>
      </c>
      <c r="G2720" t="inlineStr">
        <is>
          <t>n° 39 : 0,25 + n° 40 : 0,75</t>
        </is>
      </c>
      <c r="H2720" t="n">
        <v>1</v>
      </c>
    </row>
    <row r="2721">
      <c r="A2721" t="inlineStr">
        <is>
          <t>2023-2024</t>
        </is>
      </c>
      <c r="B2721" t="inlineStr">
        <is>
          <t>2023-09-10</t>
        </is>
      </c>
      <c r="C2721" t="inlineStr">
        <is>
          <t>11:58</t>
        </is>
      </c>
      <c r="D2721" t="inlineStr">
        <is>
          <t>n° 5 + n° 6</t>
        </is>
      </c>
      <c r="E2721" t="inlineStr">
        <is>
          <t>Crémant</t>
        </is>
      </c>
      <c r="F2721" t="n">
        <v>5</v>
      </c>
      <c r="G2721" t="inlineStr">
        <is>
          <t>n° 5 : 0,50 + n° 6 : 0,50</t>
        </is>
      </c>
      <c r="H2721" t="n">
        <v>1</v>
      </c>
    </row>
    <row r="2722">
      <c r="A2722" t="inlineStr">
        <is>
          <t>2023-2024</t>
        </is>
      </c>
      <c r="B2722" t="inlineStr">
        <is>
          <t>2023-09-10</t>
        </is>
      </c>
      <c r="C2722" t="inlineStr">
        <is>
          <t>11:58</t>
        </is>
      </c>
      <c r="D2722" t="inlineStr">
        <is>
          <t>n° 5 + n° 6</t>
        </is>
      </c>
      <c r="E2722" t="inlineStr">
        <is>
          <t>Panaché</t>
        </is>
      </c>
      <c r="F2722" t="n">
        <v>4.2</v>
      </c>
      <c r="G2722" t="inlineStr">
        <is>
          <t>n° 5 : 0,50 + n° 6 : 0,50</t>
        </is>
      </c>
      <c r="H2722" t="n">
        <v>1</v>
      </c>
    </row>
    <row r="2723">
      <c r="A2723" t="inlineStr">
        <is>
          <t>2023-2024</t>
        </is>
      </c>
      <c r="B2723" t="inlineStr">
        <is>
          <t>2023-09-10</t>
        </is>
      </c>
      <c r="C2723" t="inlineStr">
        <is>
          <t>12:40</t>
        </is>
      </c>
      <c r="D2723" t="inlineStr">
        <is>
          <t>n° 12 + n° 13</t>
        </is>
      </c>
      <c r="E2723" t="inlineStr">
        <is>
          <t>Menu 'Galette'</t>
        </is>
      </c>
      <c r="F2723" t="n">
        <v>19.5</v>
      </c>
      <c r="G2723" t="inlineStr">
        <is>
          <t>n° 12 : 0,50 + n° 13 : 0,50</t>
        </is>
      </c>
      <c r="H2723" t="n">
        <v>1</v>
      </c>
    </row>
    <row r="2724">
      <c r="A2724" t="inlineStr">
        <is>
          <t>2023-2024</t>
        </is>
      </c>
      <c r="B2724" t="inlineStr">
        <is>
          <t>2023-09-10</t>
        </is>
      </c>
      <c r="C2724" t="inlineStr">
        <is>
          <t>12:40</t>
        </is>
      </c>
      <c r="D2724" t="inlineStr">
        <is>
          <t>n° 12 + n° 13</t>
        </is>
      </c>
      <c r="E2724" t="inlineStr">
        <is>
          <t>BURGER COMTOIS</t>
        </is>
      </c>
      <c r="F2724" t="n">
        <v>19</v>
      </c>
      <c r="G2724" t="inlineStr">
        <is>
          <t>n° 12 : 0,50 + n° 13 : 0,50</t>
        </is>
      </c>
      <c r="H2724" t="n">
        <v>1</v>
      </c>
    </row>
    <row r="2725">
      <c r="A2725" t="inlineStr">
        <is>
          <t>2023-2024</t>
        </is>
      </c>
      <c r="B2725" t="inlineStr">
        <is>
          <t>2023-09-10</t>
        </is>
      </c>
      <c r="C2725" t="inlineStr">
        <is>
          <t>19:02</t>
        </is>
      </c>
      <c r="D2725" t="inlineStr">
        <is>
          <t>n° 23 + n° 24</t>
        </is>
      </c>
      <c r="E2725" t="inlineStr">
        <is>
          <t>PAYSANNE</t>
        </is>
      </c>
      <c r="F2725" t="n">
        <v>19.9</v>
      </c>
      <c r="G2725" t="inlineStr">
        <is>
          <t>n° 23 : 0,50 + n° 24 : 0,50</t>
        </is>
      </c>
      <c r="H2725" t="n">
        <v>1</v>
      </c>
    </row>
    <row r="2726">
      <c r="A2726" t="inlineStr">
        <is>
          <t>2023-2024</t>
        </is>
      </c>
      <c r="B2726" t="inlineStr">
        <is>
          <t>2023-09-10</t>
        </is>
      </c>
      <c r="C2726" t="inlineStr">
        <is>
          <t>19:02</t>
        </is>
      </c>
      <c r="D2726" t="inlineStr">
        <is>
          <t>n° 23 + n° 24</t>
        </is>
      </c>
      <c r="E2726" t="inlineStr">
        <is>
          <t>Salade Végétarienne</t>
        </is>
      </c>
      <c r="F2726" t="n">
        <v>19.9</v>
      </c>
      <c r="G2726" t="inlineStr">
        <is>
          <t>n° 23 : 0,50 + n° 24 : 0,50</t>
        </is>
      </c>
      <c r="H2726" t="n">
        <v>1</v>
      </c>
    </row>
    <row r="2727">
      <c r="A2727" t="inlineStr">
        <is>
          <t>2023-2024</t>
        </is>
      </c>
      <c r="B2727" t="inlineStr">
        <is>
          <t>2023-09-10</t>
        </is>
      </c>
      <c r="C2727" t="inlineStr">
        <is>
          <t>19:02</t>
        </is>
      </c>
      <c r="D2727" t="inlineStr">
        <is>
          <t>n° 23 + n° 24</t>
        </is>
      </c>
      <c r="E2727" t="inlineStr">
        <is>
          <t>MORTEAU GRILLEE</t>
        </is>
      </c>
      <c r="F2727" t="n">
        <v>18.6</v>
      </c>
      <c r="G2727" t="inlineStr">
        <is>
          <t>n° 23 : 0,50 + n° 24 : 0,50</t>
        </is>
      </c>
      <c r="H2727" t="n">
        <v>1</v>
      </c>
    </row>
    <row r="2728">
      <c r="A2728" t="inlineStr">
        <is>
          <t>2023-2024</t>
        </is>
      </c>
      <c r="B2728" t="inlineStr">
        <is>
          <t>2023-09-10</t>
        </is>
      </c>
      <c r="C2728" t="inlineStr">
        <is>
          <t>19:02</t>
        </is>
      </c>
      <c r="D2728" t="inlineStr">
        <is>
          <t>n° 23 + n° 24</t>
        </is>
      </c>
      <c r="E2728" t="inlineStr">
        <is>
          <t>POULET JURASSIENNE</t>
        </is>
      </c>
      <c r="F2728" t="n">
        <v>18.6</v>
      </c>
      <c r="G2728" t="inlineStr">
        <is>
          <t>n° 23 : 0,50 + n° 24 : 0,50</t>
        </is>
      </c>
      <c r="H2728" t="n">
        <v>1</v>
      </c>
    </row>
    <row r="2729">
      <c r="A2729" t="inlineStr">
        <is>
          <t>2023-2024</t>
        </is>
      </c>
      <c r="B2729" t="inlineStr">
        <is>
          <t>2023-09-10</t>
        </is>
      </c>
      <c r="C2729" t="inlineStr">
        <is>
          <t>19:02</t>
        </is>
      </c>
      <c r="D2729" t="inlineStr">
        <is>
          <t>n° 23 + n° 24</t>
        </is>
      </c>
      <c r="E2729" t="inlineStr">
        <is>
          <t>Mambo</t>
        </is>
      </c>
      <c r="F2729" t="n">
        <v>6.5</v>
      </c>
      <c r="G2729" t="inlineStr">
        <is>
          <t>n° 23 : 0,50 + n° 24 : 0,50</t>
        </is>
      </c>
      <c r="H2729" t="n">
        <v>1</v>
      </c>
    </row>
    <row r="2730">
      <c r="A2730" t="inlineStr">
        <is>
          <t>2023-2024</t>
        </is>
      </c>
      <c r="B2730" t="inlineStr">
        <is>
          <t>2023-09-10</t>
        </is>
      </c>
      <c r="C2730" t="inlineStr">
        <is>
          <t>19:02</t>
        </is>
      </c>
      <c r="D2730" t="inlineStr">
        <is>
          <t>n° 23 + n° 24</t>
        </is>
      </c>
      <c r="E2730" t="inlineStr">
        <is>
          <t>GLACE 2 BOULES</t>
        </is>
      </c>
      <c r="F2730" t="n">
        <v>5.5</v>
      </c>
      <c r="G2730" t="inlineStr">
        <is>
          <t>n° 23 : 0,50 + n° 24 : 0,50</t>
        </is>
      </c>
      <c r="H2730" t="n">
        <v>1</v>
      </c>
    </row>
    <row r="2731">
      <c r="A2731" t="inlineStr">
        <is>
          <t>2023-2024</t>
        </is>
      </c>
      <c r="B2731" t="inlineStr">
        <is>
          <t>2023-09-10</t>
        </is>
      </c>
      <c r="C2731" t="inlineStr">
        <is>
          <t>19:02</t>
        </is>
      </c>
      <c r="D2731" t="inlineStr">
        <is>
          <t>n° 23 + n° 24</t>
        </is>
      </c>
      <c r="E2731" t="inlineStr">
        <is>
          <t>Perrier 33cl</t>
        </is>
      </c>
      <c r="F2731" t="n">
        <v>4</v>
      </c>
      <c r="G2731" t="inlineStr">
        <is>
          <t>n° 23 : 0,50 + n° 24 : 0,50</t>
        </is>
      </c>
      <c r="H2731" t="n">
        <v>1</v>
      </c>
    </row>
    <row r="2732">
      <c r="A2732" t="inlineStr">
        <is>
          <t>2023-2024</t>
        </is>
      </c>
      <c r="B2732" t="inlineStr">
        <is>
          <t>2023-09-10</t>
        </is>
      </c>
      <c r="C2732" t="inlineStr">
        <is>
          <t>19:02</t>
        </is>
      </c>
      <c r="D2732" t="inlineStr">
        <is>
          <t>n° 23 + n° 24</t>
        </is>
      </c>
      <c r="E2732" t="inlineStr">
        <is>
          <t>Galette nature</t>
        </is>
      </c>
      <c r="F2732" t="n">
        <v>3.9</v>
      </c>
      <c r="G2732" t="inlineStr">
        <is>
          <t>n° 23 : 0,50 + n° 24 : 0,50</t>
        </is>
      </c>
      <c r="H2732" t="n">
        <v>1</v>
      </c>
    </row>
    <row r="2733">
      <c r="A2733" t="inlineStr">
        <is>
          <t>2023-2024</t>
        </is>
      </c>
      <c r="B2733" t="inlineStr">
        <is>
          <t>2023-09-10</t>
        </is>
      </c>
      <c r="C2733" t="inlineStr">
        <is>
          <t>19:02</t>
        </is>
      </c>
      <c r="D2733" t="inlineStr">
        <is>
          <t>n° 23 + n° 24</t>
        </is>
      </c>
      <c r="E2733" t="inlineStr">
        <is>
          <t>GLACE 1 BOULE</t>
        </is>
      </c>
      <c r="F2733" t="n">
        <v>3.5</v>
      </c>
      <c r="G2733" t="inlineStr">
        <is>
          <t>n° 23 : 0,50 + n° 24 : 0,50</t>
        </is>
      </c>
      <c r="H2733" t="n">
        <v>1</v>
      </c>
    </row>
    <row r="2734">
      <c r="A2734" t="inlineStr">
        <is>
          <t>2023-2024</t>
        </is>
      </c>
      <c r="B2734" t="inlineStr">
        <is>
          <t>2023-09-10</t>
        </is>
      </c>
      <c r="C2734" t="inlineStr">
        <is>
          <t>19:02</t>
        </is>
      </c>
      <c r="D2734" t="inlineStr">
        <is>
          <t>n° 23 + n° 24</t>
        </is>
      </c>
      <c r="E2734" t="inlineStr">
        <is>
          <t>Thé</t>
        </is>
      </c>
      <c r="F2734" t="n">
        <v>3.4</v>
      </c>
      <c r="G2734" t="inlineStr">
        <is>
          <t>n° 23 : 0,50 + n° 24 : 0,50</t>
        </is>
      </c>
      <c r="H2734" t="n">
        <v>1</v>
      </c>
    </row>
    <row r="2735">
      <c r="A2735" t="inlineStr">
        <is>
          <t>2023-2024</t>
        </is>
      </c>
      <c r="B2735" t="inlineStr">
        <is>
          <t>2023-09-10</t>
        </is>
      </c>
      <c r="C2735" t="inlineStr">
        <is>
          <t>19:02</t>
        </is>
      </c>
      <c r="D2735" t="inlineStr">
        <is>
          <t>n° 23 + n° 24</t>
        </is>
      </c>
      <c r="E2735" t="inlineStr">
        <is>
          <t>Chantilly</t>
        </is>
      </c>
      <c r="F2735" t="n">
        <v>2</v>
      </c>
      <c r="G2735" t="inlineStr">
        <is>
          <t>n° 23 : 0,50 + n° 24 : 0,50</t>
        </is>
      </c>
      <c r="H2735" t="n">
        <v>1</v>
      </c>
    </row>
    <row r="2736">
      <c r="A2736" t="inlineStr">
        <is>
          <t>2023-2024</t>
        </is>
      </c>
      <c r="B2736" t="inlineStr">
        <is>
          <t>2023-09-10</t>
        </is>
      </c>
      <c r="C2736" t="inlineStr">
        <is>
          <t>20:11</t>
        </is>
      </c>
      <c r="D2736" t="inlineStr">
        <is>
          <t>n° 31 + n° 32</t>
        </is>
      </c>
      <c r="E2736" t="inlineStr">
        <is>
          <t>Arbois Béthanie</t>
        </is>
      </c>
      <c r="F2736" t="n">
        <v>36</v>
      </c>
      <c r="G2736" t="inlineStr">
        <is>
          <t>n° 31 : 0,50 + n° 32 : 0,50</t>
        </is>
      </c>
      <c r="H2736" t="n">
        <v>1</v>
      </c>
    </row>
    <row r="2737">
      <c r="A2737" t="inlineStr">
        <is>
          <t>2023-2024</t>
        </is>
      </c>
      <c r="B2737" t="inlineStr">
        <is>
          <t>2023-09-10</t>
        </is>
      </c>
      <c r="C2737" t="inlineStr">
        <is>
          <t>20:11</t>
        </is>
      </c>
      <c r="D2737" t="inlineStr">
        <is>
          <t>n° 31 + n° 32</t>
        </is>
      </c>
      <c r="E2737" t="inlineStr">
        <is>
          <t>Crémeux du Jura</t>
        </is>
      </c>
      <c r="F2737" t="n">
        <v>19</v>
      </c>
      <c r="G2737" t="inlineStr">
        <is>
          <t>n° 31 : 0,50 + n° 32 : 0,50</t>
        </is>
      </c>
      <c r="H2737" t="n">
        <v>1</v>
      </c>
    </row>
    <row r="2738">
      <c r="A2738" t="inlineStr">
        <is>
          <t>2023-2024</t>
        </is>
      </c>
      <c r="B2738" t="inlineStr">
        <is>
          <t>2023-09-10</t>
        </is>
      </c>
      <c r="C2738" t="inlineStr">
        <is>
          <t>20:11</t>
        </is>
      </c>
      <c r="D2738" t="inlineStr">
        <is>
          <t>n° 31 + n° 32</t>
        </is>
      </c>
      <c r="E2738" t="inlineStr">
        <is>
          <t>POULET JURASSIENNE</t>
        </is>
      </c>
      <c r="F2738" t="n">
        <v>18.6</v>
      </c>
      <c r="G2738" t="inlineStr">
        <is>
          <t>n° 31 : 1,50 + n° 32 : 1,50</t>
        </is>
      </c>
      <c r="H2738" t="n">
        <v>3</v>
      </c>
    </row>
    <row r="2739">
      <c r="A2739" t="inlineStr">
        <is>
          <t>2023-2024</t>
        </is>
      </c>
      <c r="B2739" t="inlineStr">
        <is>
          <t>2023-09-10</t>
        </is>
      </c>
      <c r="C2739" t="inlineStr">
        <is>
          <t>20:11</t>
        </is>
      </c>
      <c r="D2739" t="inlineStr">
        <is>
          <t>n° 31 + n° 32</t>
        </is>
      </c>
      <c r="E2739" t="inlineStr">
        <is>
          <t>Escargots de Bourgog</t>
        </is>
      </c>
      <c r="F2739" t="n">
        <v>16</v>
      </c>
      <c r="G2739" t="inlineStr">
        <is>
          <t>n° 31 : 0,50 + n° 32 : 0,50</t>
        </is>
      </c>
      <c r="H2739" t="n">
        <v>1</v>
      </c>
    </row>
    <row r="2740">
      <c r="A2740" t="inlineStr">
        <is>
          <t>2023-2024</t>
        </is>
      </c>
      <c r="B2740" t="inlineStr">
        <is>
          <t>2023-09-10</t>
        </is>
      </c>
      <c r="C2740" t="inlineStr">
        <is>
          <t>20:11</t>
        </is>
      </c>
      <c r="D2740" t="inlineStr">
        <is>
          <t>n° 31 + n° 32</t>
        </is>
      </c>
      <c r="E2740" t="inlineStr">
        <is>
          <t>Feuilleté Forestier</t>
        </is>
      </c>
      <c r="F2740" t="n">
        <v>10.9</v>
      </c>
      <c r="G2740" t="inlineStr">
        <is>
          <t>n° 31 : 0,50 + n° 32 : 0,50</t>
        </is>
      </c>
      <c r="H2740" t="n">
        <v>1</v>
      </c>
    </row>
    <row r="2741">
      <c r="A2741" t="inlineStr">
        <is>
          <t>2023-2024</t>
        </is>
      </c>
      <c r="B2741" t="inlineStr">
        <is>
          <t>2023-09-10</t>
        </is>
      </c>
      <c r="C2741" t="inlineStr">
        <is>
          <t>20:11</t>
        </is>
      </c>
      <c r="D2741" t="inlineStr">
        <is>
          <t>n° 31 + n° 32</t>
        </is>
      </c>
      <c r="E2741" t="inlineStr">
        <is>
          <t>Pinte Picon</t>
        </is>
      </c>
      <c r="F2741" t="n">
        <v>9</v>
      </c>
      <c r="G2741" t="inlineStr">
        <is>
          <t>n° 31 : 0,50 + n° 32 : 0,50</t>
        </is>
      </c>
      <c r="H2741" t="n">
        <v>1</v>
      </c>
    </row>
    <row r="2742">
      <c r="A2742" t="inlineStr">
        <is>
          <t>2023-2024</t>
        </is>
      </c>
      <c r="B2742" t="inlineStr">
        <is>
          <t>2023-09-10</t>
        </is>
      </c>
      <c r="C2742" t="inlineStr">
        <is>
          <t>20:11</t>
        </is>
      </c>
      <c r="D2742" t="inlineStr">
        <is>
          <t>n° 31 + n° 32</t>
        </is>
      </c>
      <c r="E2742" t="inlineStr">
        <is>
          <t>Escargots de Bourgog</t>
        </is>
      </c>
      <c r="F2742" t="n">
        <v>8</v>
      </c>
      <c r="G2742" t="inlineStr">
        <is>
          <t>n° 31 : 0,50 + n° 32 : 0,50</t>
        </is>
      </c>
      <c r="H2742" t="n">
        <v>1</v>
      </c>
    </row>
    <row r="2743">
      <c r="A2743" t="inlineStr">
        <is>
          <t>2023-2024</t>
        </is>
      </c>
      <c r="B2743" t="inlineStr">
        <is>
          <t>2023-09-10</t>
        </is>
      </c>
      <c r="C2743" t="inlineStr">
        <is>
          <t>20:11</t>
        </is>
      </c>
      <c r="D2743" t="inlineStr">
        <is>
          <t>n° 31 + n° 32</t>
        </is>
      </c>
      <c r="E2743" t="inlineStr">
        <is>
          <t>FROMAGES REGIONAUX</t>
        </is>
      </c>
      <c r="F2743" t="n">
        <v>7.9</v>
      </c>
      <c r="G2743" t="inlineStr">
        <is>
          <t>n° 31 : 0,50 + n° 32 : 0,50</t>
        </is>
      </c>
      <c r="H2743" t="n">
        <v>1</v>
      </c>
    </row>
    <row r="2744">
      <c r="A2744" t="inlineStr">
        <is>
          <t>2023-2024</t>
        </is>
      </c>
      <c r="B2744" t="inlineStr">
        <is>
          <t>2023-09-10</t>
        </is>
      </c>
      <c r="C2744" t="inlineStr">
        <is>
          <t>20:11</t>
        </is>
      </c>
      <c r="D2744" t="inlineStr">
        <is>
          <t>n° 31 + n° 32</t>
        </is>
      </c>
      <c r="E2744" t="inlineStr">
        <is>
          <t>Blanche des plateaux</t>
        </is>
      </c>
      <c r="F2744" t="n">
        <v>6.9</v>
      </c>
      <c r="G2744" t="inlineStr">
        <is>
          <t>n° 31 : 0,50 + n° 32 : 0,50</t>
        </is>
      </c>
      <c r="H2744" t="n">
        <v>1</v>
      </c>
    </row>
    <row r="2745">
      <c r="A2745" t="inlineStr">
        <is>
          <t>2023-2024</t>
        </is>
      </c>
      <c r="B2745" t="inlineStr">
        <is>
          <t>2023-09-10</t>
        </is>
      </c>
      <c r="C2745" t="inlineStr">
        <is>
          <t>20:11</t>
        </is>
      </c>
      <c r="D2745" t="inlineStr">
        <is>
          <t>n° 31 + n° 32</t>
        </is>
      </c>
      <c r="E2745" t="inlineStr">
        <is>
          <t>KITTYKIR</t>
        </is>
      </c>
      <c r="F2745" t="n">
        <v>5.2</v>
      </c>
      <c r="G2745" t="inlineStr">
        <is>
          <t>n° 31 : 0,50 + n° 32 : 0,50</t>
        </is>
      </c>
      <c r="H2745" t="n">
        <v>1</v>
      </c>
    </row>
    <row r="2746">
      <c r="A2746" t="inlineStr">
        <is>
          <t>2023-2024</t>
        </is>
      </c>
      <c r="B2746" t="inlineStr">
        <is>
          <t>2023-09-10</t>
        </is>
      </c>
      <c r="C2746" t="inlineStr">
        <is>
          <t>20:11</t>
        </is>
      </c>
      <c r="D2746" t="inlineStr">
        <is>
          <t>n° 31 + n° 32</t>
        </is>
      </c>
      <c r="E2746" t="inlineStr">
        <is>
          <t>Crémant</t>
        </is>
      </c>
      <c r="F2746" t="n">
        <v>5</v>
      </c>
      <c r="G2746" t="inlineStr">
        <is>
          <t>n° 31 : 0,50 + n° 32 : 0,50</t>
        </is>
      </c>
      <c r="H2746" t="n">
        <v>1</v>
      </c>
    </row>
    <row r="2747">
      <c r="A2747" t="inlineStr">
        <is>
          <t>2023-2024</t>
        </is>
      </c>
      <c r="B2747" t="inlineStr">
        <is>
          <t>2023-09-13</t>
        </is>
      </c>
      <c r="C2747" t="inlineStr">
        <is>
          <t>12:11</t>
        </is>
      </c>
      <c r="D2747" t="inlineStr">
        <is>
          <t>n° 3 + n° 4</t>
        </is>
      </c>
      <c r="E2747" t="inlineStr">
        <is>
          <t>FORMULE EXPRESS</t>
        </is>
      </c>
      <c r="F2747" t="n">
        <v>18.6</v>
      </c>
      <c r="G2747" t="inlineStr">
        <is>
          <t>n° 3 : 0,50 + n° 4 : 0,50</t>
        </is>
      </c>
      <c r="H2747" t="n">
        <v>1</v>
      </c>
    </row>
    <row r="2748">
      <c r="A2748" t="inlineStr">
        <is>
          <t>2023-2024</t>
        </is>
      </c>
      <c r="B2748" t="inlineStr">
        <is>
          <t>2023-09-13</t>
        </is>
      </c>
      <c r="C2748" t="inlineStr">
        <is>
          <t>12:11</t>
        </is>
      </c>
      <c r="D2748" t="inlineStr">
        <is>
          <t>n° 3 + n° 4</t>
        </is>
      </c>
      <c r="E2748" t="inlineStr">
        <is>
          <t>CAMEMBERT ROTI</t>
        </is>
      </c>
      <c r="F2748" t="n">
        <v>18.6</v>
      </c>
      <c r="G2748" t="inlineStr">
        <is>
          <t>n° 3 : 0,50 + n° 4 : 0,50</t>
        </is>
      </c>
      <c r="H2748" t="n">
        <v>1</v>
      </c>
    </row>
    <row r="2749">
      <c r="A2749" t="inlineStr">
        <is>
          <t>2023-2024</t>
        </is>
      </c>
      <c r="B2749" t="inlineStr">
        <is>
          <t>2023-09-13</t>
        </is>
      </c>
      <c r="C2749" t="inlineStr">
        <is>
          <t>12:11</t>
        </is>
      </c>
      <c r="D2749" t="inlineStr">
        <is>
          <t>n° 3 + n° 4</t>
        </is>
      </c>
      <c r="E2749" t="inlineStr">
        <is>
          <t>Pichet CdR CHUSCLAN</t>
        </is>
      </c>
      <c r="F2749" t="n">
        <v>9.5</v>
      </c>
      <c r="G2749" t="inlineStr">
        <is>
          <t>n° 3 : 0,50 + n° 4 : 0,50</t>
        </is>
      </c>
      <c r="H2749" t="n">
        <v>1</v>
      </c>
    </row>
    <row r="2750">
      <c r="A2750" t="inlineStr">
        <is>
          <t>2023-2024</t>
        </is>
      </c>
      <c r="B2750" t="inlineStr">
        <is>
          <t>2023-09-13</t>
        </is>
      </c>
      <c r="C2750" t="inlineStr">
        <is>
          <t>12:11</t>
        </is>
      </c>
      <c r="D2750" t="inlineStr">
        <is>
          <t>n° 3 + n° 4</t>
        </is>
      </c>
      <c r="E2750" t="inlineStr">
        <is>
          <t>GLACE 1 BOULE</t>
        </is>
      </c>
      <c r="F2750" t="n">
        <v>3.5</v>
      </c>
      <c r="G2750" t="inlineStr">
        <is>
          <t>n° 3 : 0,50 + n° 4 : 0,50</t>
        </is>
      </c>
      <c r="H2750" t="n">
        <v>1</v>
      </c>
    </row>
    <row r="2751">
      <c r="A2751" t="inlineStr">
        <is>
          <t>2023-2024</t>
        </is>
      </c>
      <c r="B2751" t="inlineStr">
        <is>
          <t>2023-09-13</t>
        </is>
      </c>
      <c r="C2751" t="inlineStr">
        <is>
          <t>12:11</t>
        </is>
      </c>
      <c r="D2751" t="inlineStr">
        <is>
          <t>n° 3 + n° 4</t>
        </is>
      </c>
      <c r="E2751" t="inlineStr">
        <is>
          <t>Expresso</t>
        </is>
      </c>
      <c r="F2751" t="n">
        <v>2.2</v>
      </c>
      <c r="G2751" t="inlineStr">
        <is>
          <t>n° 3 : 0,50 + n° 4 : 0,50</t>
        </is>
      </c>
      <c r="H2751" t="n">
        <v>1</v>
      </c>
    </row>
    <row r="2752">
      <c r="A2752" t="inlineStr">
        <is>
          <t>2023-2024</t>
        </is>
      </c>
      <c r="B2752" t="inlineStr">
        <is>
          <t>2023-09-13</t>
        </is>
      </c>
      <c r="C2752" t="inlineStr">
        <is>
          <t>12:31</t>
        </is>
      </c>
      <c r="D2752" t="inlineStr">
        <is>
          <t>n° 9 + n° 10 + n° 13 + n° 14</t>
        </is>
      </c>
      <c r="E2752" t="inlineStr">
        <is>
          <t>Ambrée</t>
        </is>
      </c>
      <c r="F2752" t="n">
        <v>6.9</v>
      </c>
      <c r="G2752" t="inlineStr">
        <is>
          <t>n° 13 : 0,50 + n° 14 : 0,50</t>
        </is>
      </c>
      <c r="H2752" t="n">
        <v>1</v>
      </c>
    </row>
    <row r="2753">
      <c r="A2753" t="inlineStr">
        <is>
          <t>2023-2024</t>
        </is>
      </c>
      <c r="B2753" t="inlineStr">
        <is>
          <t>2023-09-13</t>
        </is>
      </c>
      <c r="C2753" t="inlineStr">
        <is>
          <t>12:31</t>
        </is>
      </c>
      <c r="D2753" t="inlineStr">
        <is>
          <t>n° 9 + n° 10 + n° 13 + n° 14</t>
        </is>
      </c>
      <c r="E2753" t="inlineStr">
        <is>
          <t>Pommes grenailles</t>
        </is>
      </c>
      <c r="F2753" t="n">
        <v>3.9</v>
      </c>
      <c r="G2753" t="inlineStr">
        <is>
          <t>n° 9 : 0,50 + n° 10 : 0,50</t>
        </is>
      </c>
      <c r="H2753" t="n">
        <v>1</v>
      </c>
    </row>
    <row r="2754">
      <c r="A2754" t="inlineStr">
        <is>
          <t>2023-2024</t>
        </is>
      </c>
      <c r="B2754" t="inlineStr">
        <is>
          <t>2023-09-13</t>
        </is>
      </c>
      <c r="C2754" t="inlineStr">
        <is>
          <t>12:31</t>
        </is>
      </c>
      <c r="D2754" t="inlineStr">
        <is>
          <t>n° 9 + n° 10 + n° 13 + n° 14</t>
        </is>
      </c>
      <c r="E2754" t="inlineStr">
        <is>
          <t>Expresso</t>
        </is>
      </c>
      <c r="F2754" t="n">
        <v>2.2</v>
      </c>
      <c r="G2754" t="inlineStr">
        <is>
          <t>n° 13 : 1,50 + n° 14 : 1,50</t>
        </is>
      </c>
      <c r="H2754" t="n">
        <v>3</v>
      </c>
    </row>
    <row r="2755">
      <c r="A2755" t="inlineStr">
        <is>
          <t>2023-2024</t>
        </is>
      </c>
      <c r="B2755" t="inlineStr">
        <is>
          <t>2023-09-13</t>
        </is>
      </c>
      <c r="C2755" t="inlineStr">
        <is>
          <t>19:56</t>
        </is>
      </c>
      <c r="D2755" t="inlineStr">
        <is>
          <t>n° 31 + n° 32 + n° 33</t>
        </is>
      </c>
      <c r="E2755" t="inlineStr">
        <is>
          <t>Entrecôte grillée</t>
        </is>
      </c>
      <c r="F2755" t="n">
        <v>19.9</v>
      </c>
      <c r="G2755" t="inlineStr">
        <is>
          <t>n° 31 : 0,50 + n° 32 : 0,25 + n° 33 : 0,25</t>
        </is>
      </c>
      <c r="H2755" t="n">
        <v>1</v>
      </c>
    </row>
    <row r="2756">
      <c r="A2756" t="inlineStr">
        <is>
          <t>2023-2024</t>
        </is>
      </c>
      <c r="B2756" t="inlineStr">
        <is>
          <t>2023-09-13</t>
        </is>
      </c>
      <c r="C2756" t="inlineStr">
        <is>
          <t>19:56</t>
        </is>
      </c>
      <c r="D2756" t="inlineStr">
        <is>
          <t>n° 31 + n° 32 + n° 33</t>
        </is>
      </c>
      <c r="E2756" t="inlineStr">
        <is>
          <t>ASSIETTE FRANC-COMTO</t>
        </is>
      </c>
      <c r="F2756" t="n">
        <v>18.6</v>
      </c>
      <c r="G2756" t="inlineStr">
        <is>
          <t>n° 31 : 0,50 + n° 32 : 0,25 + n° 33 : 0,25</t>
        </is>
      </c>
      <c r="H2756" t="n">
        <v>1</v>
      </c>
    </row>
    <row r="2757">
      <c r="A2757" t="inlineStr">
        <is>
          <t>2023-2024</t>
        </is>
      </c>
      <c r="B2757" t="inlineStr">
        <is>
          <t>2023-09-13</t>
        </is>
      </c>
      <c r="C2757" t="inlineStr">
        <is>
          <t>19:56</t>
        </is>
      </c>
      <c r="D2757" t="inlineStr">
        <is>
          <t>n° 31 + n° 32 + n° 33</t>
        </is>
      </c>
      <c r="E2757" t="inlineStr">
        <is>
          <t>Sauce Forestière</t>
        </is>
      </c>
      <c r="F2757" t="n">
        <v>7.9</v>
      </c>
      <c r="G2757" t="inlineStr">
        <is>
          <t>n° 31 : 0,50 + n° 32 : 0,25 + n° 33 : 0,25</t>
        </is>
      </c>
      <c r="H2757" t="n">
        <v>1</v>
      </c>
    </row>
    <row r="2758">
      <c r="A2758" t="inlineStr">
        <is>
          <t>2023-2024</t>
        </is>
      </c>
      <c r="B2758" t="inlineStr">
        <is>
          <t>2023-09-13</t>
        </is>
      </c>
      <c r="C2758" t="inlineStr">
        <is>
          <t>19:56</t>
        </is>
      </c>
      <c r="D2758" t="inlineStr">
        <is>
          <t>n° 31 + n° 32 + n° 33</t>
        </is>
      </c>
      <c r="E2758" t="inlineStr">
        <is>
          <t>Blanche des plateaux</t>
        </is>
      </c>
      <c r="F2758" t="n">
        <v>6.9</v>
      </c>
      <c r="G2758" t="inlineStr">
        <is>
          <t>n° 31 : 0,50 + n° 32 : 0,25 + n° 33 : 0,25</t>
        </is>
      </c>
      <c r="H2758" t="n">
        <v>1</v>
      </c>
    </row>
    <row r="2759">
      <c r="A2759" t="inlineStr">
        <is>
          <t>2023-2024</t>
        </is>
      </c>
      <c r="B2759" t="inlineStr">
        <is>
          <t>2023-09-13</t>
        </is>
      </c>
      <c r="C2759" t="inlineStr">
        <is>
          <t>19:56</t>
        </is>
      </c>
      <c r="D2759" t="inlineStr">
        <is>
          <t>n° 31 + n° 32 + n° 33</t>
        </is>
      </c>
      <c r="E2759" t="inlineStr">
        <is>
          <t>Ambrée</t>
        </is>
      </c>
      <c r="F2759" t="n">
        <v>6.9</v>
      </c>
      <c r="G2759" t="inlineStr">
        <is>
          <t>n° 31 : 0,50 + n° 32 : 0,25 + n° 33 : 0,25</t>
        </is>
      </c>
      <c r="H2759" t="n">
        <v>1</v>
      </c>
    </row>
    <row r="2760">
      <c r="A2760" t="inlineStr">
        <is>
          <t>2023-2024</t>
        </is>
      </c>
      <c r="B2760" t="inlineStr">
        <is>
          <t>2023-09-13</t>
        </is>
      </c>
      <c r="C2760" t="inlineStr">
        <is>
          <t>19:56</t>
        </is>
      </c>
      <c r="D2760" t="inlineStr">
        <is>
          <t>n° 31 + n° 32 + n° 33</t>
        </is>
      </c>
      <c r="E2760" t="inlineStr">
        <is>
          <t>Martini Blanc</t>
        </is>
      </c>
      <c r="F2760" t="n">
        <v>4.9</v>
      </c>
      <c r="G2760" t="inlineStr">
        <is>
          <t>n° 31 : 0,50 + n° 32 : 0,25 + n° 33 : 0,25</t>
        </is>
      </c>
      <c r="H2760" t="n">
        <v>1</v>
      </c>
    </row>
    <row r="2761">
      <c r="A2761" t="inlineStr">
        <is>
          <t>2023-2024</t>
        </is>
      </c>
      <c r="B2761" t="inlineStr">
        <is>
          <t>2023-09-13</t>
        </is>
      </c>
      <c r="C2761" t="inlineStr">
        <is>
          <t>19:56</t>
        </is>
      </c>
      <c r="D2761" t="inlineStr">
        <is>
          <t>n° 31 + n° 32 + n° 33</t>
        </is>
      </c>
      <c r="E2761" t="inlineStr">
        <is>
          <t>Panaché</t>
        </is>
      </c>
      <c r="F2761" t="n">
        <v>4.2</v>
      </c>
      <c r="G2761" t="inlineStr">
        <is>
          <t>n° 31 : 0,50 + n° 32 : 0,25 + n° 33 : 0,25</t>
        </is>
      </c>
      <c r="H2761" t="n">
        <v>1</v>
      </c>
    </row>
    <row r="2762">
      <c r="A2762" t="inlineStr">
        <is>
          <t>2023-2024</t>
        </is>
      </c>
      <c r="B2762" t="inlineStr">
        <is>
          <t>2023-09-13</t>
        </is>
      </c>
      <c r="C2762" t="inlineStr">
        <is>
          <t>19:56</t>
        </is>
      </c>
      <c r="D2762" t="inlineStr">
        <is>
          <t>n° 31 + n° 32 + n° 33</t>
        </is>
      </c>
      <c r="E2762" t="inlineStr">
        <is>
          <t>Comté</t>
        </is>
      </c>
      <c r="F2762" t="n">
        <v>4</v>
      </c>
      <c r="G2762" t="inlineStr">
        <is>
          <t>n° 31 : 1,00 + n° 32 : 0,50 + n° 33 : 0,50</t>
        </is>
      </c>
      <c r="H2762" t="n">
        <v>2</v>
      </c>
    </row>
    <row r="2763">
      <c r="A2763" t="inlineStr">
        <is>
          <t>2023-2024</t>
        </is>
      </c>
      <c r="B2763" t="inlineStr">
        <is>
          <t>2023-09-13</t>
        </is>
      </c>
      <c r="C2763" t="inlineStr">
        <is>
          <t>19:56</t>
        </is>
      </c>
      <c r="D2763" t="inlineStr">
        <is>
          <t>n° 31 + n° 32 + n° 33</t>
        </is>
      </c>
      <c r="E2763" t="inlineStr">
        <is>
          <t>Galette nature</t>
        </is>
      </c>
      <c r="F2763" t="n">
        <v>3.9</v>
      </c>
      <c r="G2763" t="inlineStr">
        <is>
          <t>n° 31 : 1,00 + n° 32 : 0,50 + n° 33 : 0,50</t>
        </is>
      </c>
      <c r="H2763" t="n">
        <v>2</v>
      </c>
    </row>
    <row r="2764">
      <c r="A2764" t="inlineStr">
        <is>
          <t>2023-2024</t>
        </is>
      </c>
      <c r="B2764" t="inlineStr">
        <is>
          <t>2023-09-13</t>
        </is>
      </c>
      <c r="C2764" t="inlineStr">
        <is>
          <t>19:56</t>
        </is>
      </c>
      <c r="D2764" t="inlineStr">
        <is>
          <t>n° 31 + n° 32 + n° 33</t>
        </is>
      </c>
      <c r="E2764" t="inlineStr">
        <is>
          <t>Crêpe au sucre</t>
        </is>
      </c>
      <c r="F2764" t="n">
        <v>3.9</v>
      </c>
      <c r="G2764" t="inlineStr">
        <is>
          <t>n° 31 : 0,50 + n° 32 : 0,25 + n° 33 : 0,25</t>
        </is>
      </c>
      <c r="H2764" t="n">
        <v>1</v>
      </c>
    </row>
    <row r="2765">
      <c r="A2765" t="inlineStr">
        <is>
          <t>2023-2024</t>
        </is>
      </c>
      <c r="B2765" t="inlineStr">
        <is>
          <t>2023-09-13</t>
        </is>
      </c>
      <c r="C2765" t="inlineStr">
        <is>
          <t>19:56</t>
        </is>
      </c>
      <c r="D2765" t="inlineStr">
        <is>
          <t>n° 31 + n° 32 + n° 33</t>
        </is>
      </c>
      <c r="E2765" t="inlineStr">
        <is>
          <t>Jambon Blanc</t>
        </is>
      </c>
      <c r="F2765" t="n">
        <v>3.8</v>
      </c>
      <c r="G2765" t="inlineStr">
        <is>
          <t>n° 31 : 0,50 + n° 32 : 0,25 + n° 33 : 0,25</t>
        </is>
      </c>
      <c r="H2765" t="n">
        <v>1</v>
      </c>
    </row>
    <row r="2766">
      <c r="A2766" t="inlineStr">
        <is>
          <t>2023-2024</t>
        </is>
      </c>
      <c r="B2766" t="inlineStr">
        <is>
          <t>2023-09-13</t>
        </is>
      </c>
      <c r="C2766" t="inlineStr">
        <is>
          <t>19:56</t>
        </is>
      </c>
      <c r="D2766" t="inlineStr">
        <is>
          <t>n° 31 + n° 32 + n° 33</t>
        </is>
      </c>
      <c r="E2766" t="inlineStr">
        <is>
          <t>GLACE 1 BOULE</t>
        </is>
      </c>
      <c r="F2766" t="n">
        <v>3.5</v>
      </c>
      <c r="G2766" t="inlineStr">
        <is>
          <t>n° 31 : 1,00 + n° 32 : 0,50 + n° 33 : 0,50</t>
        </is>
      </c>
      <c r="H2766" t="n">
        <v>2</v>
      </c>
    </row>
    <row r="2767">
      <c r="A2767" t="inlineStr">
        <is>
          <t>2023-2024</t>
        </is>
      </c>
      <c r="B2767" t="inlineStr">
        <is>
          <t>2023-09-13</t>
        </is>
      </c>
      <c r="C2767" t="inlineStr">
        <is>
          <t>19:56</t>
        </is>
      </c>
      <c r="D2767" t="inlineStr">
        <is>
          <t>n° 31 + n° 32 + n° 33</t>
        </is>
      </c>
      <c r="E2767" t="inlineStr">
        <is>
          <t>Salade Verte</t>
        </is>
      </c>
      <c r="F2767" t="n">
        <v>2.9</v>
      </c>
      <c r="G2767" t="inlineStr">
        <is>
          <t>n° 31 : 0,50 + n° 32 : 0,25 + n° 33 : 0,25</t>
        </is>
      </c>
      <c r="H2767" t="n">
        <v>1</v>
      </c>
    </row>
    <row r="2768">
      <c r="A2768" t="inlineStr">
        <is>
          <t>2023-2024</t>
        </is>
      </c>
      <c r="B2768" t="inlineStr">
        <is>
          <t>2023-09-13</t>
        </is>
      </c>
      <c r="C2768" t="inlineStr">
        <is>
          <t>19:56</t>
        </is>
      </c>
      <c r="D2768" t="inlineStr">
        <is>
          <t>n° 31 + n° 32 + n° 33</t>
        </is>
      </c>
      <c r="E2768" t="inlineStr">
        <is>
          <t>Crème Fraîche</t>
        </is>
      </c>
      <c r="F2768" t="n">
        <v>1.4</v>
      </c>
      <c r="G2768" t="inlineStr">
        <is>
          <t>n° 31 : 1,00 + n° 32 : 0,50 + n° 33 : 0,50</t>
        </is>
      </c>
      <c r="H2768" t="n">
        <v>2</v>
      </c>
    </row>
    <row r="2769">
      <c r="A2769" t="inlineStr">
        <is>
          <t>2023-2024</t>
        </is>
      </c>
      <c r="B2769" t="inlineStr">
        <is>
          <t>2023-09-13</t>
        </is>
      </c>
      <c r="C2769" t="inlineStr">
        <is>
          <t>19:56</t>
        </is>
      </c>
      <c r="D2769" t="inlineStr">
        <is>
          <t>n° 31 + n° 32 + n° 33</t>
        </is>
      </c>
      <c r="E2769" t="inlineStr">
        <is>
          <t>Œuf</t>
        </is>
      </c>
      <c r="F2769" t="n">
        <v>0.9</v>
      </c>
      <c r="G2769" t="inlineStr">
        <is>
          <t>n° 31 : 0,50 + n° 32 : 0,25 + n° 33 : 0,25</t>
        </is>
      </c>
      <c r="H2769" t="n">
        <v>1</v>
      </c>
    </row>
    <row r="2770">
      <c r="A2770" t="inlineStr">
        <is>
          <t>2023-2024</t>
        </is>
      </c>
      <c r="B2770" t="inlineStr">
        <is>
          <t>2023-09-14</t>
        </is>
      </c>
      <c r="C2770" t="inlineStr">
        <is>
          <t>11:54</t>
        </is>
      </c>
      <c r="D2770" t="inlineStr">
        <is>
          <t>n° 5 + n° 6</t>
        </is>
      </c>
      <c r="E2770" t="inlineStr">
        <is>
          <t>Perrier 33cl</t>
        </is>
      </c>
      <c r="F2770" t="n">
        <v>4</v>
      </c>
      <c r="G2770" t="inlineStr">
        <is>
          <t>n° 5 : 0,50 + n° 6 : 0,50</t>
        </is>
      </c>
      <c r="H2770" t="n">
        <v>1</v>
      </c>
    </row>
    <row r="2771">
      <c r="A2771" t="inlineStr">
        <is>
          <t>2023-2024</t>
        </is>
      </c>
      <c r="B2771" t="inlineStr">
        <is>
          <t>2023-09-14</t>
        </is>
      </c>
      <c r="C2771" t="inlineStr">
        <is>
          <t>11:54</t>
        </is>
      </c>
      <c r="D2771" t="inlineStr">
        <is>
          <t>n° 5 + n° 6</t>
        </is>
      </c>
      <c r="E2771" t="inlineStr">
        <is>
          <t>Coca (25cl)</t>
        </is>
      </c>
      <c r="F2771" t="n">
        <v>3.9</v>
      </c>
      <c r="G2771" t="inlineStr">
        <is>
          <t>n° 5 : 0,50 + n° 6 : 0,50</t>
        </is>
      </c>
      <c r="H2771" t="n">
        <v>1</v>
      </c>
    </row>
    <row r="2772">
      <c r="A2772" t="inlineStr">
        <is>
          <t>2023-2024</t>
        </is>
      </c>
      <c r="B2772" t="inlineStr">
        <is>
          <t>2023-09-14</t>
        </is>
      </c>
      <c r="C2772" t="inlineStr">
        <is>
          <t>19:56</t>
        </is>
      </c>
      <c r="D2772" t="inlineStr">
        <is>
          <t>n° 33 + n° 34</t>
        </is>
      </c>
      <c r="E2772" t="inlineStr">
        <is>
          <t>TRUITE JURASSIENNE</t>
        </is>
      </c>
      <c r="F2772" t="n">
        <v>18.6</v>
      </c>
      <c r="G2772" t="inlineStr">
        <is>
          <t>n° 33 : 0,50 + n° 34 : 0,50</t>
        </is>
      </c>
      <c r="H2772" t="n">
        <v>1</v>
      </c>
    </row>
    <row r="2773">
      <c r="A2773" t="inlineStr">
        <is>
          <t>2023-2024</t>
        </is>
      </c>
      <c r="B2773" t="inlineStr">
        <is>
          <t>2023-09-14</t>
        </is>
      </c>
      <c r="C2773" t="inlineStr">
        <is>
          <t>19:56</t>
        </is>
      </c>
      <c r="D2773" t="inlineStr">
        <is>
          <t>n° 33 + n° 34</t>
        </is>
      </c>
      <c r="E2773" t="inlineStr">
        <is>
          <t>POULET JURASSIENNE</t>
        </is>
      </c>
      <c r="F2773" t="n">
        <v>18.6</v>
      </c>
      <c r="G2773" t="inlineStr">
        <is>
          <t>n° 33 : 0,50 + n° 34 : 0,50</t>
        </is>
      </c>
      <c r="H2773" t="n">
        <v>1</v>
      </c>
    </row>
    <row r="2774">
      <c r="A2774" t="inlineStr">
        <is>
          <t>2023-2024</t>
        </is>
      </c>
      <c r="B2774" t="inlineStr">
        <is>
          <t>2023-09-14</t>
        </is>
      </c>
      <c r="C2774" t="inlineStr">
        <is>
          <t>19:56</t>
        </is>
      </c>
      <c r="D2774" t="inlineStr">
        <is>
          <t>n° 33 + n° 34</t>
        </is>
      </c>
      <c r="E2774" t="inlineStr">
        <is>
          <t>Feuilleté Forestier</t>
        </is>
      </c>
      <c r="F2774" t="n">
        <v>10.9</v>
      </c>
      <c r="G2774" t="inlineStr">
        <is>
          <t>n° 33 : 0,50 + n° 34 : 0,50</t>
        </is>
      </c>
      <c r="H2774" t="n">
        <v>1</v>
      </c>
    </row>
    <row r="2775">
      <c r="A2775" t="inlineStr">
        <is>
          <t>2023-2024</t>
        </is>
      </c>
      <c r="B2775" t="inlineStr">
        <is>
          <t>2023-09-14</t>
        </is>
      </c>
      <c r="C2775" t="inlineStr">
        <is>
          <t>19:56</t>
        </is>
      </c>
      <c r="D2775" t="inlineStr">
        <is>
          <t>n° 33 + n° 34</t>
        </is>
      </c>
      <c r="E2775" t="inlineStr">
        <is>
          <t>PICHET ALIGOTE 50cL</t>
        </is>
      </c>
      <c r="F2775" t="n">
        <v>10.5</v>
      </c>
      <c r="G2775" t="inlineStr">
        <is>
          <t>n° 33 : 0,50 + n° 34 : 0,50</t>
        </is>
      </c>
      <c r="H2775" t="n">
        <v>1</v>
      </c>
    </row>
    <row r="2776">
      <c r="A2776" t="inlineStr">
        <is>
          <t>2023-2024</t>
        </is>
      </c>
      <c r="B2776" t="inlineStr">
        <is>
          <t>2023-09-14</t>
        </is>
      </c>
      <c r="C2776" t="inlineStr">
        <is>
          <t>19:56</t>
        </is>
      </c>
      <c r="D2776" t="inlineStr">
        <is>
          <t>n° 33 + n° 34</t>
        </is>
      </c>
      <c r="E2776" t="inlineStr">
        <is>
          <t>Escargots de Bourgog</t>
        </is>
      </c>
      <c r="F2776" t="n">
        <v>8</v>
      </c>
      <c r="G2776" t="inlineStr">
        <is>
          <t>n° 33 : 0,50 + n° 34 : 0,50</t>
        </is>
      </c>
      <c r="H2776" t="n">
        <v>1</v>
      </c>
    </row>
    <row r="2777">
      <c r="A2777" t="inlineStr">
        <is>
          <t>2023-2024</t>
        </is>
      </c>
      <c r="B2777" t="inlineStr">
        <is>
          <t>2023-09-15</t>
        </is>
      </c>
      <c r="C2777" t="inlineStr">
        <is>
          <t>18:31</t>
        </is>
      </c>
      <c r="D2777" t="inlineStr">
        <is>
          <t>n° 15 + n° 16</t>
        </is>
      </c>
      <c r="E2777" t="inlineStr">
        <is>
          <t>Entrecôte grillée</t>
        </is>
      </c>
      <c r="F2777" t="n">
        <v>19.9</v>
      </c>
      <c r="G2777" t="inlineStr">
        <is>
          <t>n° 15 : 0,50 + n° 16 : 0,50</t>
        </is>
      </c>
      <c r="H2777" t="n">
        <v>1</v>
      </c>
    </row>
    <row r="2778">
      <c r="A2778" t="inlineStr">
        <is>
          <t>2023-2024</t>
        </is>
      </c>
      <c r="B2778" t="inlineStr">
        <is>
          <t>2023-09-15</t>
        </is>
      </c>
      <c r="C2778" t="inlineStr">
        <is>
          <t>18:31</t>
        </is>
      </c>
      <c r="D2778" t="inlineStr">
        <is>
          <t>n° 15 + n° 16</t>
        </is>
      </c>
      <c r="E2778" t="inlineStr">
        <is>
          <t>BURGER COMTOIS</t>
        </is>
      </c>
      <c r="F2778" t="n">
        <v>19</v>
      </c>
      <c r="G2778" t="inlineStr">
        <is>
          <t>n° 15 : 0,50 + n° 16 : 0,50</t>
        </is>
      </c>
      <c r="H2778" t="n">
        <v>1</v>
      </c>
    </row>
    <row r="2779">
      <c r="A2779" t="inlineStr">
        <is>
          <t>2023-2024</t>
        </is>
      </c>
      <c r="B2779" t="inlineStr">
        <is>
          <t>2023-09-15</t>
        </is>
      </c>
      <c r="C2779" t="inlineStr">
        <is>
          <t>18:31</t>
        </is>
      </c>
      <c r="D2779" t="inlineStr">
        <is>
          <t>n° 15 + n° 16</t>
        </is>
      </c>
      <c r="E2779" t="inlineStr">
        <is>
          <t>Ambrée</t>
        </is>
      </c>
      <c r="F2779" t="n">
        <v>6.9</v>
      </c>
      <c r="G2779" t="inlineStr">
        <is>
          <t>n° 15 : 0,50 + n° 16 : 0,50</t>
        </is>
      </c>
      <c r="H2779" t="n">
        <v>1</v>
      </c>
    </row>
    <row r="2780">
      <c r="A2780" t="inlineStr">
        <is>
          <t>2023-2024</t>
        </is>
      </c>
      <c r="B2780" t="inlineStr">
        <is>
          <t>2023-09-15</t>
        </is>
      </c>
      <c r="C2780" t="inlineStr">
        <is>
          <t>18:31</t>
        </is>
      </c>
      <c r="D2780" t="inlineStr">
        <is>
          <t>n° 15 + n° 16</t>
        </is>
      </c>
      <c r="E2780" t="inlineStr">
        <is>
          <t>Blanche des plateaux</t>
        </is>
      </c>
      <c r="F2780" t="n">
        <v>6.9</v>
      </c>
      <c r="G2780" t="inlineStr">
        <is>
          <t>n° 15 : 0,50 + n° 16 : 0,50</t>
        </is>
      </c>
      <c r="H2780" t="n">
        <v>1</v>
      </c>
    </row>
    <row r="2781">
      <c r="A2781" t="inlineStr">
        <is>
          <t>2023-2024</t>
        </is>
      </c>
      <c r="B2781" t="inlineStr">
        <is>
          <t>2023-09-15</t>
        </is>
      </c>
      <c r="C2781" t="inlineStr">
        <is>
          <t>19:53</t>
        </is>
      </c>
      <c r="D2781" t="inlineStr">
        <is>
          <t>n° 26 + n° 27</t>
        </is>
      </c>
      <c r="E2781" t="inlineStr">
        <is>
          <t>Crémeux du Jura</t>
        </is>
      </c>
      <c r="F2781" t="n">
        <v>19</v>
      </c>
      <c r="G2781" t="inlineStr">
        <is>
          <t>n° 26 : 0,50 + n° 27 : 0,50</t>
        </is>
      </c>
      <c r="H2781" t="n">
        <v>1</v>
      </c>
    </row>
    <row r="2782">
      <c r="A2782" t="inlineStr">
        <is>
          <t>2023-2024</t>
        </is>
      </c>
      <c r="B2782" t="inlineStr">
        <is>
          <t>2023-09-15</t>
        </is>
      </c>
      <c r="C2782" t="inlineStr">
        <is>
          <t>19:53</t>
        </is>
      </c>
      <c r="D2782" t="inlineStr">
        <is>
          <t>n° 26 + n° 27</t>
        </is>
      </c>
      <c r="E2782" t="inlineStr">
        <is>
          <t>CAMEMBERT ROTI</t>
        </is>
      </c>
      <c r="F2782" t="n">
        <v>18.6</v>
      </c>
      <c r="G2782" t="inlineStr">
        <is>
          <t>n° 26 : 0,50 + n° 27 : 0,50</t>
        </is>
      </c>
      <c r="H2782" t="n">
        <v>1</v>
      </c>
    </row>
    <row r="2783">
      <c r="A2783" t="inlineStr">
        <is>
          <t>2023-2024</t>
        </is>
      </c>
      <c r="B2783" t="inlineStr">
        <is>
          <t>2023-09-15</t>
        </is>
      </c>
      <c r="C2783" t="inlineStr">
        <is>
          <t>19:53</t>
        </is>
      </c>
      <c r="D2783" t="inlineStr">
        <is>
          <t>n° 26 + n° 27</t>
        </is>
      </c>
      <c r="E2783" t="inlineStr">
        <is>
          <t>Jamhon Persillé</t>
        </is>
      </c>
      <c r="F2783" t="n">
        <v>7.2</v>
      </c>
      <c r="G2783" t="inlineStr">
        <is>
          <t>n° 26 : 0,50 + n° 27 : 0,50</t>
        </is>
      </c>
      <c r="H2783" t="n">
        <v>1</v>
      </c>
    </row>
    <row r="2784">
      <c r="A2784" t="inlineStr">
        <is>
          <t>2023-2024</t>
        </is>
      </c>
      <c r="B2784" t="inlineStr">
        <is>
          <t>2023-09-15</t>
        </is>
      </c>
      <c r="C2784" t="inlineStr">
        <is>
          <t>19:53</t>
        </is>
      </c>
      <c r="D2784" t="inlineStr">
        <is>
          <t>n° 26 + n° 27</t>
        </is>
      </c>
      <c r="E2784" t="inlineStr">
        <is>
          <t>VIN PAILLE</t>
        </is>
      </c>
      <c r="F2784" t="n">
        <v>6.9</v>
      </c>
      <c r="G2784" t="inlineStr">
        <is>
          <t>n° 26 : 0,50 + n° 27 : 0,50</t>
        </is>
      </c>
      <c r="H2784" t="n">
        <v>1</v>
      </c>
    </row>
    <row r="2785">
      <c r="A2785" t="inlineStr">
        <is>
          <t>2023-2024</t>
        </is>
      </c>
      <c r="B2785" t="inlineStr">
        <is>
          <t>2023-09-15</t>
        </is>
      </c>
      <c r="C2785" t="inlineStr">
        <is>
          <t>19:53</t>
        </is>
      </c>
      <c r="D2785" t="inlineStr">
        <is>
          <t>n° 26 + n° 27</t>
        </is>
      </c>
      <c r="E2785" t="inlineStr">
        <is>
          <t>Monaco</t>
        </is>
      </c>
      <c r="F2785" t="n">
        <v>4.2</v>
      </c>
      <c r="G2785" t="inlineStr">
        <is>
          <t>n° 26 : 0,50 + n° 27 : 0,50</t>
        </is>
      </c>
      <c r="H2785" t="n">
        <v>1</v>
      </c>
    </row>
    <row r="2786">
      <c r="A2786" t="inlineStr">
        <is>
          <t>2023-2024</t>
        </is>
      </c>
      <c r="B2786" t="inlineStr">
        <is>
          <t>2023-09-15</t>
        </is>
      </c>
      <c r="C2786" t="inlineStr">
        <is>
          <t>20:16</t>
        </is>
      </c>
      <c r="D2786" t="inlineStr">
        <is>
          <t>n° 31 + n° 32</t>
        </is>
      </c>
      <c r="E2786" t="inlineStr">
        <is>
          <t>Entrecôte grillée</t>
        </is>
      </c>
      <c r="F2786" t="n">
        <v>19.9</v>
      </c>
      <c r="G2786" t="inlineStr">
        <is>
          <t>n° 31 : 0,50 + n° 32 : 0,50</t>
        </is>
      </c>
      <c r="H2786" t="n">
        <v>1</v>
      </c>
    </row>
    <row r="2787">
      <c r="A2787" t="inlineStr">
        <is>
          <t>2023-2024</t>
        </is>
      </c>
      <c r="B2787" t="inlineStr">
        <is>
          <t>2023-09-15</t>
        </is>
      </c>
      <c r="C2787" t="inlineStr">
        <is>
          <t>20:16</t>
        </is>
      </c>
      <c r="D2787" t="inlineStr">
        <is>
          <t>n° 31 + n° 32</t>
        </is>
      </c>
      <c r="E2787" t="inlineStr">
        <is>
          <t>ASSIETTE FRANC-COMTO</t>
        </is>
      </c>
      <c r="F2787" t="n">
        <v>18.6</v>
      </c>
      <c r="G2787" t="inlineStr">
        <is>
          <t>n° 31 : 0,50 + n° 32 : 0,50</t>
        </is>
      </c>
      <c r="H2787" t="n">
        <v>1</v>
      </c>
    </row>
    <row r="2788">
      <c r="A2788" t="inlineStr">
        <is>
          <t>2023-2024</t>
        </is>
      </c>
      <c r="B2788" t="inlineStr">
        <is>
          <t>2023-09-15</t>
        </is>
      </c>
      <c r="C2788" t="inlineStr">
        <is>
          <t>20:16</t>
        </is>
      </c>
      <c r="D2788" t="inlineStr">
        <is>
          <t>n° 31 + n° 32</t>
        </is>
      </c>
      <c r="E2788" t="inlineStr">
        <is>
          <t>MAEVA</t>
        </is>
      </c>
      <c r="F2788" t="n">
        <v>9</v>
      </c>
      <c r="G2788" t="inlineStr">
        <is>
          <t>n° 31 : 0,50 + n° 32 : 0,50</t>
        </is>
      </c>
      <c r="H2788" t="n">
        <v>1</v>
      </c>
    </row>
    <row r="2789">
      <c r="A2789" t="inlineStr">
        <is>
          <t>2023-2024</t>
        </is>
      </c>
      <c r="B2789" t="inlineStr">
        <is>
          <t>2023-09-15</t>
        </is>
      </c>
      <c r="C2789" t="inlineStr">
        <is>
          <t>20:16</t>
        </is>
      </c>
      <c r="D2789" t="inlineStr">
        <is>
          <t>n° 31 + n° 32</t>
        </is>
      </c>
      <c r="E2789" t="inlineStr">
        <is>
          <t>Sprintz</t>
        </is>
      </c>
      <c r="F2789" t="n">
        <v>9</v>
      </c>
      <c r="G2789" t="inlineStr">
        <is>
          <t>n° 31 : 0,50 + n° 32 : 0,50</t>
        </is>
      </c>
      <c r="H2789" t="n">
        <v>1</v>
      </c>
    </row>
    <row r="2790">
      <c r="A2790" t="inlineStr">
        <is>
          <t>2023-2024</t>
        </is>
      </c>
      <c r="B2790" t="inlineStr">
        <is>
          <t>2023-09-15</t>
        </is>
      </c>
      <c r="C2790" t="inlineStr">
        <is>
          <t>20:33</t>
        </is>
      </c>
      <c r="D2790" t="inlineStr">
        <is>
          <t>n° 34 + n° 35</t>
        </is>
      </c>
      <c r="E2790" t="inlineStr">
        <is>
          <t>Truite Morilles</t>
        </is>
      </c>
      <c r="F2790" t="n">
        <v>27.8</v>
      </c>
      <c r="G2790" t="inlineStr">
        <is>
          <t>n° 34 : 0,50 + n° 35 : 0,50</t>
        </is>
      </c>
      <c r="H2790" t="n">
        <v>1</v>
      </c>
    </row>
    <row r="2791">
      <c r="A2791" t="inlineStr">
        <is>
          <t>2023-2024</t>
        </is>
      </c>
      <c r="B2791" t="inlineStr">
        <is>
          <t>2023-09-15</t>
        </is>
      </c>
      <c r="C2791" t="inlineStr">
        <is>
          <t>20:33</t>
        </is>
      </c>
      <c r="D2791" t="inlineStr">
        <is>
          <t>n° 34 + n° 35</t>
        </is>
      </c>
      <c r="E2791" t="inlineStr">
        <is>
          <t>MACHON GOURMET</t>
        </is>
      </c>
      <c r="F2791" t="n">
        <v>25</v>
      </c>
      <c r="G2791" t="inlineStr">
        <is>
          <t>n° 34 : 0,50 + n° 35 : 0,50</t>
        </is>
      </c>
      <c r="H2791" t="n">
        <v>1</v>
      </c>
    </row>
    <row r="2792">
      <c r="A2792" t="inlineStr">
        <is>
          <t>2023-2024</t>
        </is>
      </c>
      <c r="B2792" t="inlineStr">
        <is>
          <t>2023-09-16</t>
        </is>
      </c>
      <c r="C2792" t="inlineStr">
        <is>
          <t>12:56</t>
        </is>
      </c>
      <c r="D2792" t="inlineStr">
        <is>
          <t>n° 16 + n° 17</t>
        </is>
      </c>
      <c r="E2792" t="inlineStr">
        <is>
          <t>Sprintz</t>
        </is>
      </c>
      <c r="F2792" t="n">
        <v>9</v>
      </c>
      <c r="G2792" t="inlineStr">
        <is>
          <t>n° 16 : 0,50 + n° 17 : 0,50</t>
        </is>
      </c>
      <c r="H2792" t="n">
        <v>1</v>
      </c>
    </row>
    <row r="2793">
      <c r="A2793" t="inlineStr">
        <is>
          <t>2023-2024</t>
        </is>
      </c>
      <c r="B2793" t="inlineStr">
        <is>
          <t>2023-09-16</t>
        </is>
      </c>
      <c r="C2793" t="inlineStr">
        <is>
          <t>12:56</t>
        </is>
      </c>
      <c r="D2793" t="inlineStr">
        <is>
          <t>n° 16 + n° 17</t>
        </is>
      </c>
      <c r="E2793" t="inlineStr">
        <is>
          <t>SAUCE JURASSIENNE</t>
        </is>
      </c>
      <c r="F2793" t="n">
        <v>6.1</v>
      </c>
      <c r="G2793" t="inlineStr">
        <is>
          <t>n° 16 : 0,50 + n° 17 : 0,50</t>
        </is>
      </c>
      <c r="H2793" t="n">
        <v>1</v>
      </c>
    </row>
    <row r="2794">
      <c r="A2794" t="inlineStr">
        <is>
          <t>2023-2024</t>
        </is>
      </c>
      <c r="B2794" t="inlineStr">
        <is>
          <t>2023-09-16</t>
        </is>
      </c>
      <c r="C2794" t="inlineStr">
        <is>
          <t>12:56</t>
        </is>
      </c>
      <c r="D2794" t="inlineStr">
        <is>
          <t>n° 16 + n° 17</t>
        </is>
      </c>
      <c r="E2794" t="inlineStr">
        <is>
          <t>GLACE 2 BOULES</t>
        </is>
      </c>
      <c r="F2794" t="n">
        <v>5.5</v>
      </c>
      <c r="G2794" t="inlineStr">
        <is>
          <t>n° 16 : 0,50 + n° 17 : 0,50</t>
        </is>
      </c>
      <c r="H2794" t="n">
        <v>1</v>
      </c>
    </row>
    <row r="2795">
      <c r="A2795" t="inlineStr">
        <is>
          <t>2023-2024</t>
        </is>
      </c>
      <c r="B2795" t="inlineStr">
        <is>
          <t>2023-09-16</t>
        </is>
      </c>
      <c r="C2795" t="inlineStr">
        <is>
          <t>12:56</t>
        </is>
      </c>
      <c r="D2795" t="inlineStr">
        <is>
          <t>n° 16 + n° 17</t>
        </is>
      </c>
      <c r="E2795" t="inlineStr">
        <is>
          <t>pression</t>
        </is>
      </c>
      <c r="F2795" t="n">
        <v>4.2</v>
      </c>
      <c r="G2795" t="inlineStr">
        <is>
          <t>n° 16 : 0,50 + n° 17 : 0,50</t>
        </is>
      </c>
      <c r="H2795" t="n">
        <v>1</v>
      </c>
    </row>
    <row r="2796">
      <c r="A2796" t="inlineStr">
        <is>
          <t>2023-2024</t>
        </is>
      </c>
      <c r="B2796" t="inlineStr">
        <is>
          <t>2023-09-16</t>
        </is>
      </c>
      <c r="C2796" t="inlineStr">
        <is>
          <t>12:56</t>
        </is>
      </c>
      <c r="D2796" t="inlineStr">
        <is>
          <t>n° 16 + n° 17</t>
        </is>
      </c>
      <c r="E2796" t="inlineStr">
        <is>
          <t>Panaché</t>
        </is>
      </c>
      <c r="F2796" t="n">
        <v>4.2</v>
      </c>
      <c r="G2796" t="inlineStr">
        <is>
          <t>n° 16 : 0,50 + n° 17 : 0,50</t>
        </is>
      </c>
      <c r="H2796" t="n">
        <v>1</v>
      </c>
    </row>
    <row r="2797">
      <c r="A2797" t="inlineStr">
        <is>
          <t>2023-2024</t>
        </is>
      </c>
      <c r="B2797" t="inlineStr">
        <is>
          <t>2023-09-16</t>
        </is>
      </c>
      <c r="C2797" t="inlineStr">
        <is>
          <t>12:56</t>
        </is>
      </c>
      <c r="D2797" t="inlineStr">
        <is>
          <t>n° 16 + n° 17</t>
        </is>
      </c>
      <c r="E2797" t="inlineStr">
        <is>
          <t>Comté</t>
        </is>
      </c>
      <c r="F2797" t="n">
        <v>4</v>
      </c>
      <c r="G2797" t="inlineStr">
        <is>
          <t>n° 16 : 0,50 + n° 17 : 0,50</t>
        </is>
      </c>
      <c r="H2797" t="n">
        <v>1</v>
      </c>
    </row>
    <row r="2798">
      <c r="A2798" t="inlineStr">
        <is>
          <t>2023-2024</t>
        </is>
      </c>
      <c r="B2798" t="inlineStr">
        <is>
          <t>2023-09-16</t>
        </is>
      </c>
      <c r="C2798" t="inlineStr">
        <is>
          <t>12:56</t>
        </is>
      </c>
      <c r="D2798" t="inlineStr">
        <is>
          <t>n° 16 + n° 17</t>
        </is>
      </c>
      <c r="E2798" t="inlineStr">
        <is>
          <t>Morbier</t>
        </is>
      </c>
      <c r="F2798" t="n">
        <v>3.5</v>
      </c>
      <c r="G2798" t="inlineStr">
        <is>
          <t>n° 16 : 0,50 + n° 17 : 0,50</t>
        </is>
      </c>
      <c r="H2798" t="n">
        <v>1</v>
      </c>
    </row>
    <row r="2799">
      <c r="A2799" t="inlineStr">
        <is>
          <t>2023-2024</t>
        </is>
      </c>
      <c r="B2799" t="inlineStr">
        <is>
          <t>2023-09-16</t>
        </is>
      </c>
      <c r="C2799" t="inlineStr">
        <is>
          <t>12:56</t>
        </is>
      </c>
      <c r="D2799" t="inlineStr">
        <is>
          <t>n° 16 + n° 17</t>
        </is>
      </c>
      <c r="E2799" t="inlineStr">
        <is>
          <t>Bacon</t>
        </is>
      </c>
      <c r="F2799" t="n">
        <v>3.3</v>
      </c>
      <c r="G2799" t="inlineStr">
        <is>
          <t>n° 16 : 0,50 + n° 17 : 0,50</t>
        </is>
      </c>
      <c r="H2799" t="n">
        <v>1</v>
      </c>
    </row>
    <row r="2800">
      <c r="A2800" t="inlineStr">
        <is>
          <t>2023-2024</t>
        </is>
      </c>
      <c r="B2800" t="inlineStr">
        <is>
          <t>2023-09-16</t>
        </is>
      </c>
      <c r="C2800" t="inlineStr">
        <is>
          <t>12:56</t>
        </is>
      </c>
      <c r="D2800" t="inlineStr">
        <is>
          <t>n° 16 + n° 17</t>
        </is>
      </c>
      <c r="E2800" t="inlineStr">
        <is>
          <t>Champignons frais</t>
        </is>
      </c>
      <c r="F2800" t="n">
        <v>3.2</v>
      </c>
      <c r="G2800" t="inlineStr">
        <is>
          <t>n° 16 : 0,50 + n° 17 : 0,50</t>
        </is>
      </c>
      <c r="H2800" t="n">
        <v>1</v>
      </c>
    </row>
    <row r="2801">
      <c r="A2801" t="inlineStr">
        <is>
          <t>2023-2024</t>
        </is>
      </c>
      <c r="B2801" t="inlineStr">
        <is>
          <t>2023-09-16</t>
        </is>
      </c>
      <c r="C2801" t="inlineStr">
        <is>
          <t>12:56</t>
        </is>
      </c>
      <c r="D2801" t="inlineStr">
        <is>
          <t>n° 16 + n° 17</t>
        </is>
      </c>
      <c r="E2801" t="inlineStr">
        <is>
          <t>Œuf</t>
        </is>
      </c>
      <c r="F2801" t="n">
        <v>0.9</v>
      </c>
      <c r="G2801" t="inlineStr">
        <is>
          <t>n° 16 : 0,50 + n° 17 : 0,50</t>
        </is>
      </c>
      <c r="H2801" t="n">
        <v>1</v>
      </c>
    </row>
    <row r="2802">
      <c r="A2802" t="inlineStr">
        <is>
          <t>2023-2024</t>
        </is>
      </c>
      <c r="B2802" t="inlineStr">
        <is>
          <t>2023-09-16</t>
        </is>
      </c>
      <c r="C2802" t="inlineStr">
        <is>
          <t>18:44</t>
        </is>
      </c>
      <c r="D2802" t="inlineStr">
        <is>
          <t>n° 19 + n° 20</t>
        </is>
      </c>
      <c r="E2802" t="inlineStr">
        <is>
          <t>ASSIETTE FRANC-COMTO</t>
        </is>
      </c>
      <c r="F2802" t="n">
        <v>18.6</v>
      </c>
      <c r="G2802" t="inlineStr">
        <is>
          <t>n° 19 : 0,50 + n° 20 : 0,50</t>
        </is>
      </c>
      <c r="H2802" t="n">
        <v>1</v>
      </c>
    </row>
    <row r="2803">
      <c r="A2803" t="inlineStr">
        <is>
          <t>2023-2024</t>
        </is>
      </c>
      <c r="B2803" t="inlineStr">
        <is>
          <t>2023-09-16</t>
        </is>
      </c>
      <c r="C2803" t="inlineStr">
        <is>
          <t>18:44</t>
        </is>
      </c>
      <c r="D2803" t="inlineStr">
        <is>
          <t>n° 19 + n° 20</t>
        </is>
      </c>
      <c r="E2803" t="inlineStr">
        <is>
          <t>TRUITE PESTO</t>
        </is>
      </c>
      <c r="F2803" t="n">
        <v>16.9</v>
      </c>
      <c r="G2803" t="inlineStr">
        <is>
          <t>n° 19 : 0,50 + n° 20 : 0,50</t>
        </is>
      </c>
      <c r="H2803" t="n">
        <v>1</v>
      </c>
    </row>
    <row r="2804">
      <c r="A2804" t="inlineStr">
        <is>
          <t>2023-2024</t>
        </is>
      </c>
      <c r="B2804" t="inlineStr">
        <is>
          <t>2023-09-16</t>
        </is>
      </c>
      <c r="C2804" t="inlineStr">
        <is>
          <t>18:44</t>
        </is>
      </c>
      <c r="D2804" t="inlineStr">
        <is>
          <t>n° 19 + n° 20</t>
        </is>
      </c>
      <c r="E2804" t="inlineStr">
        <is>
          <t>Beaujolais Moulin à</t>
        </is>
      </c>
      <c r="F2804" t="n">
        <v>7.6</v>
      </c>
      <c r="G2804" t="inlineStr">
        <is>
          <t>n° 19 : 1,50 + n° 20 : 1,50</t>
        </is>
      </c>
      <c r="H2804" t="n">
        <v>3</v>
      </c>
    </row>
    <row r="2805">
      <c r="A2805" t="inlineStr">
        <is>
          <t>2023-2024</t>
        </is>
      </c>
      <c r="B2805" t="inlineStr">
        <is>
          <t>2023-09-16</t>
        </is>
      </c>
      <c r="C2805" t="inlineStr">
        <is>
          <t>18:44</t>
        </is>
      </c>
      <c r="D2805" t="inlineStr">
        <is>
          <t>n° 19 + n° 20</t>
        </is>
      </c>
      <c r="E2805" t="inlineStr">
        <is>
          <t>Whisky L.J (4cl)</t>
        </is>
      </c>
      <c r="F2805" t="n">
        <v>6.9</v>
      </c>
      <c r="G2805" t="inlineStr">
        <is>
          <t>n° 19 : 0,50 + n° 20 : 0,50</t>
        </is>
      </c>
      <c r="H2805" t="n">
        <v>1</v>
      </c>
    </row>
    <row r="2806">
      <c r="A2806" t="inlineStr">
        <is>
          <t>2023-2024</t>
        </is>
      </c>
      <c r="B2806" t="inlineStr">
        <is>
          <t>2023-09-16</t>
        </is>
      </c>
      <c r="C2806" t="inlineStr">
        <is>
          <t>18:44</t>
        </is>
      </c>
      <c r="D2806" t="inlineStr">
        <is>
          <t>n° 19 + n° 20</t>
        </is>
      </c>
      <c r="E2806" t="inlineStr">
        <is>
          <t>Crémant</t>
        </is>
      </c>
      <c r="F2806" t="n">
        <v>5</v>
      </c>
      <c r="G2806" t="inlineStr">
        <is>
          <t>n° 19 : 0,50 + n° 20 : 0,50</t>
        </is>
      </c>
      <c r="H2806" t="n">
        <v>1</v>
      </c>
    </row>
    <row r="2807">
      <c r="A2807" t="inlineStr">
        <is>
          <t>2023-2024</t>
        </is>
      </c>
      <c r="B2807" t="inlineStr">
        <is>
          <t>2023-09-16</t>
        </is>
      </c>
      <c r="C2807" t="inlineStr">
        <is>
          <t>19:58</t>
        </is>
      </c>
      <c r="D2807" t="inlineStr">
        <is>
          <t>n° 24 + n° 25</t>
        </is>
      </c>
      <c r="E2807" t="inlineStr">
        <is>
          <t>PICHET ALIGOTE 50cL</t>
        </is>
      </c>
      <c r="F2807" t="n">
        <v>10.5</v>
      </c>
      <c r="G2807" t="inlineStr">
        <is>
          <t>n° 24 : 0,50 + n° 25 : 0,50</t>
        </is>
      </c>
      <c r="H2807" t="n">
        <v>1</v>
      </c>
    </row>
    <row r="2808">
      <c r="A2808" t="inlineStr">
        <is>
          <t>2023-2024</t>
        </is>
      </c>
      <c r="B2808" t="inlineStr">
        <is>
          <t>2023-09-16</t>
        </is>
      </c>
      <c r="C2808" t="inlineStr">
        <is>
          <t>19:58</t>
        </is>
      </c>
      <c r="D2808" t="inlineStr">
        <is>
          <t>n° 24 + n° 25</t>
        </is>
      </c>
      <c r="E2808" t="inlineStr">
        <is>
          <t>Chèvre  chaud</t>
        </is>
      </c>
      <c r="F2808" t="n">
        <v>9.6</v>
      </c>
      <c r="G2808" t="inlineStr">
        <is>
          <t>n° 24 : 0,50 + n° 25 : 0,50</t>
        </is>
      </c>
      <c r="H2808" t="n">
        <v>1</v>
      </c>
    </row>
    <row r="2809">
      <c r="A2809" t="inlineStr">
        <is>
          <t>2023-2024</t>
        </is>
      </c>
      <c r="B2809" t="inlineStr">
        <is>
          <t>2023-09-16</t>
        </is>
      </c>
      <c r="C2809" t="inlineStr">
        <is>
          <t>19:58</t>
        </is>
      </c>
      <c r="D2809" t="inlineStr">
        <is>
          <t>n° 24 + n° 25</t>
        </is>
      </c>
      <c r="E2809" t="inlineStr">
        <is>
          <t>Rabasse</t>
        </is>
      </c>
      <c r="F2809" t="n">
        <v>9</v>
      </c>
      <c r="G2809" t="inlineStr">
        <is>
          <t>n° 24 : 0,50 + n° 25 : 0,50</t>
        </is>
      </c>
      <c r="H2809" t="n">
        <v>1</v>
      </c>
    </row>
    <row r="2810">
      <c r="A2810" t="inlineStr">
        <is>
          <t>2023-2024</t>
        </is>
      </c>
      <c r="B2810" t="inlineStr">
        <is>
          <t>2023-09-16</t>
        </is>
      </c>
      <c r="C2810" t="inlineStr">
        <is>
          <t>19:58</t>
        </is>
      </c>
      <c r="D2810" t="inlineStr">
        <is>
          <t>n° 24 + n° 25</t>
        </is>
      </c>
      <c r="E2810" t="inlineStr">
        <is>
          <t>Chat perché</t>
        </is>
      </c>
      <c r="F2810" t="n">
        <v>5.9</v>
      </c>
      <c r="G2810" t="inlineStr">
        <is>
          <t>n° 24 : 0,50 + n° 25 : 0,50</t>
        </is>
      </c>
      <c r="H2810" t="n">
        <v>1</v>
      </c>
    </row>
    <row r="2811">
      <c r="A2811" t="inlineStr">
        <is>
          <t>2023-2024</t>
        </is>
      </c>
      <c r="B2811" t="inlineStr">
        <is>
          <t>2023-09-16</t>
        </is>
      </c>
      <c r="C2811" t="inlineStr">
        <is>
          <t>19:58</t>
        </is>
      </c>
      <c r="D2811" t="inlineStr">
        <is>
          <t>n° 24 + n° 25</t>
        </is>
      </c>
      <c r="E2811" t="inlineStr">
        <is>
          <t>Limonade (25cl)</t>
        </is>
      </c>
      <c r="F2811" t="n">
        <v>3.9</v>
      </c>
      <c r="G2811" t="inlineStr">
        <is>
          <t>n° 24 : 0,50 + n° 25 : 0,50</t>
        </is>
      </c>
      <c r="H2811" t="n">
        <v>1</v>
      </c>
    </row>
    <row r="2812">
      <c r="A2812" t="inlineStr">
        <is>
          <t>2023-2024</t>
        </is>
      </c>
      <c r="B2812" t="inlineStr">
        <is>
          <t>2023-09-16</t>
        </is>
      </c>
      <c r="C2812" t="inlineStr">
        <is>
          <t>20:44</t>
        </is>
      </c>
      <c r="D2812" t="inlineStr">
        <is>
          <t>n° 30 + n° 31</t>
        </is>
      </c>
      <c r="E2812" t="inlineStr">
        <is>
          <t>C du Rhone St  Josep</t>
        </is>
      </c>
      <c r="F2812" t="n">
        <v>48.5</v>
      </c>
      <c r="G2812" t="inlineStr">
        <is>
          <t>n° 30 : 0,50 + n° 31 : 0,50</t>
        </is>
      </c>
      <c r="H2812" t="n">
        <v>1</v>
      </c>
    </row>
    <row r="2813">
      <c r="A2813" t="inlineStr">
        <is>
          <t>2023-2024</t>
        </is>
      </c>
      <c r="B2813" t="inlineStr">
        <is>
          <t>2023-09-16</t>
        </is>
      </c>
      <c r="C2813" t="inlineStr">
        <is>
          <t>20:44</t>
        </is>
      </c>
      <c r="D2813" t="inlineStr">
        <is>
          <t>n° 30 + n° 31</t>
        </is>
      </c>
      <c r="E2813" t="inlineStr">
        <is>
          <t>Entrecôte grillée</t>
        </is>
      </c>
      <c r="F2813" t="n">
        <v>19.9</v>
      </c>
      <c r="G2813" t="inlineStr">
        <is>
          <t>n° 30 : 0,50 + n° 31 : 0,50</t>
        </is>
      </c>
      <c r="H2813" t="n">
        <v>1</v>
      </c>
    </row>
    <row r="2814">
      <c r="A2814" t="inlineStr">
        <is>
          <t>2023-2024</t>
        </is>
      </c>
      <c r="B2814" t="inlineStr">
        <is>
          <t>2023-09-16</t>
        </is>
      </c>
      <c r="C2814" t="inlineStr">
        <is>
          <t>20:44</t>
        </is>
      </c>
      <c r="D2814" t="inlineStr">
        <is>
          <t>n° 30 + n° 31</t>
        </is>
      </c>
      <c r="E2814" t="inlineStr">
        <is>
          <t>BURGER COMTOIS</t>
        </is>
      </c>
      <c r="F2814" t="n">
        <v>19</v>
      </c>
      <c r="G2814" t="inlineStr">
        <is>
          <t>n° 30 : 0,50 + n° 31 : 0,50</t>
        </is>
      </c>
      <c r="H2814" t="n">
        <v>1</v>
      </c>
    </row>
    <row r="2815">
      <c r="A2815" t="inlineStr">
        <is>
          <t>2023-2024</t>
        </is>
      </c>
      <c r="B2815" t="inlineStr">
        <is>
          <t>2023-09-16</t>
        </is>
      </c>
      <c r="C2815" t="inlineStr">
        <is>
          <t>20:44</t>
        </is>
      </c>
      <c r="D2815" t="inlineStr">
        <is>
          <t>n° 30 + n° 31</t>
        </is>
      </c>
      <c r="E2815" t="inlineStr">
        <is>
          <t>TRUITE JURASSIENNE</t>
        </is>
      </c>
      <c r="F2815" t="n">
        <v>18.6</v>
      </c>
      <c r="G2815" t="inlineStr">
        <is>
          <t>n° 30 : 0,50 + n° 31 : 0,50</t>
        </is>
      </c>
      <c r="H2815" t="n">
        <v>1</v>
      </c>
    </row>
    <row r="2816">
      <c r="A2816" t="inlineStr">
        <is>
          <t>2023-2024</t>
        </is>
      </c>
      <c r="B2816" t="inlineStr">
        <is>
          <t>2023-09-16</t>
        </is>
      </c>
      <c r="C2816" t="inlineStr">
        <is>
          <t>20:44</t>
        </is>
      </c>
      <c r="D2816" t="inlineStr">
        <is>
          <t>n° 30 + n° 31</t>
        </is>
      </c>
      <c r="E2816" t="inlineStr">
        <is>
          <t>TRUITE PESTO</t>
        </is>
      </c>
      <c r="F2816" t="n">
        <v>16.9</v>
      </c>
      <c r="G2816" t="inlineStr">
        <is>
          <t>n° 30 : 0,50 + n° 31 : 0,50</t>
        </is>
      </c>
      <c r="H2816" t="n">
        <v>1</v>
      </c>
    </row>
    <row r="2817">
      <c r="A2817" t="inlineStr">
        <is>
          <t>2023-2024</t>
        </is>
      </c>
      <c r="B2817" t="inlineStr">
        <is>
          <t>2023-09-16</t>
        </is>
      </c>
      <c r="C2817" t="inlineStr">
        <is>
          <t>20:44</t>
        </is>
      </c>
      <c r="D2817" t="inlineStr">
        <is>
          <t>n° 30 + n° 31</t>
        </is>
      </c>
      <c r="E2817" t="inlineStr">
        <is>
          <t>Pavlova</t>
        </is>
      </c>
      <c r="F2817" t="n">
        <v>8.9</v>
      </c>
      <c r="G2817" t="inlineStr">
        <is>
          <t>n° 30 : 1,50 + n° 31 : 1,50</t>
        </is>
      </c>
      <c r="H2817" t="n">
        <v>3</v>
      </c>
    </row>
    <row r="2818">
      <c r="A2818" t="inlineStr">
        <is>
          <t>2023-2024</t>
        </is>
      </c>
      <c r="B2818" t="inlineStr">
        <is>
          <t>2023-09-16</t>
        </is>
      </c>
      <c r="C2818" t="inlineStr">
        <is>
          <t>20:44</t>
        </is>
      </c>
      <c r="D2818" t="inlineStr">
        <is>
          <t>n° 30 + n° 31</t>
        </is>
      </c>
      <c r="E2818" t="inlineStr">
        <is>
          <t>GLACE 2 BOULES</t>
        </is>
      </c>
      <c r="F2818" t="n">
        <v>5.5</v>
      </c>
      <c r="G2818" t="inlineStr">
        <is>
          <t>n° 30 : 0,50 + n° 31 : 0,50</t>
        </is>
      </c>
      <c r="H2818" t="n">
        <v>1</v>
      </c>
    </row>
    <row r="2819">
      <c r="A2819" t="inlineStr">
        <is>
          <t>2023-2024</t>
        </is>
      </c>
      <c r="B2819" t="inlineStr">
        <is>
          <t>2023-09-16</t>
        </is>
      </c>
      <c r="C2819" t="inlineStr">
        <is>
          <t>20:44</t>
        </is>
      </c>
      <c r="D2819" t="inlineStr">
        <is>
          <t>n° 30 + n° 31</t>
        </is>
      </c>
      <c r="E2819" t="inlineStr">
        <is>
          <t>Porto</t>
        </is>
      </c>
      <c r="F2819" t="n">
        <v>4.9</v>
      </c>
      <c r="G2819" t="inlineStr">
        <is>
          <t>n° 30 : 0,50 + n° 31 : 0,50</t>
        </is>
      </c>
      <c r="H2819" t="n">
        <v>1</v>
      </c>
    </row>
    <row r="2820">
      <c r="A2820" t="inlineStr">
        <is>
          <t>2023-2024</t>
        </is>
      </c>
      <c r="B2820" t="inlineStr">
        <is>
          <t>2023-09-16</t>
        </is>
      </c>
      <c r="C2820" t="inlineStr">
        <is>
          <t>20:44</t>
        </is>
      </c>
      <c r="D2820" t="inlineStr">
        <is>
          <t>n° 30 + n° 31</t>
        </is>
      </c>
      <c r="E2820" t="inlineStr">
        <is>
          <t>Thé</t>
        </is>
      </c>
      <c r="F2820" t="n">
        <v>3.4</v>
      </c>
      <c r="G2820" t="inlineStr">
        <is>
          <t>n° 30 : 0,50 + n° 31 : 0,50</t>
        </is>
      </c>
      <c r="H2820" t="n">
        <v>1</v>
      </c>
    </row>
    <row r="2821">
      <c r="A2821" t="inlineStr">
        <is>
          <t>2023-2024</t>
        </is>
      </c>
      <c r="B2821" t="inlineStr">
        <is>
          <t>2023-09-16</t>
        </is>
      </c>
      <c r="C2821" t="inlineStr">
        <is>
          <t>20:44</t>
        </is>
      </c>
      <c r="D2821" t="inlineStr">
        <is>
          <t>n° 30 + n° 31</t>
        </is>
      </c>
      <c r="E2821" t="inlineStr">
        <is>
          <t>Expresso</t>
        </is>
      </c>
      <c r="F2821" t="n">
        <v>2.2</v>
      </c>
      <c r="G2821" t="inlineStr">
        <is>
          <t>n° 30 : 0,50 + n° 31 : 0,50</t>
        </is>
      </c>
      <c r="H2821" t="n">
        <v>1</v>
      </c>
    </row>
    <row r="2822">
      <c r="A2822" t="inlineStr">
        <is>
          <t>2023-2024</t>
        </is>
      </c>
      <c r="B2822" t="inlineStr">
        <is>
          <t>2023-09-20</t>
        </is>
      </c>
      <c r="C2822" t="inlineStr">
        <is>
          <t>19:37</t>
        </is>
      </c>
      <c r="D2822" t="inlineStr">
        <is>
          <t>n° 24 + n° 25</t>
        </is>
      </c>
      <c r="E2822" t="inlineStr">
        <is>
          <t>Cidre Bouché Brut</t>
        </is>
      </c>
      <c r="F2822" t="n">
        <v>16</v>
      </c>
      <c r="G2822" t="inlineStr">
        <is>
          <t>n° 24 : 0,50 + n° 25 : 0,50</t>
        </is>
      </c>
      <c r="H2822" t="n">
        <v>1</v>
      </c>
    </row>
    <row r="2823">
      <c r="A2823" t="inlineStr">
        <is>
          <t>2023-2024</t>
        </is>
      </c>
      <c r="B2823" t="inlineStr">
        <is>
          <t>2023-09-21</t>
        </is>
      </c>
      <c r="C2823" t="inlineStr">
        <is>
          <t>20:15</t>
        </is>
      </c>
      <c r="D2823" t="inlineStr">
        <is>
          <t>n° 16 + n° 17</t>
        </is>
      </c>
      <c r="E2823" t="inlineStr">
        <is>
          <t>Arbois Chardonnay Le</t>
        </is>
      </c>
      <c r="F2823" t="n">
        <v>29</v>
      </c>
      <c r="G2823" t="inlineStr">
        <is>
          <t>n° 16 : 0,50 + n° 17 : 0,50</t>
        </is>
      </c>
      <c r="H2823" t="n">
        <v>1</v>
      </c>
    </row>
    <row r="2824">
      <c r="A2824" t="inlineStr">
        <is>
          <t>2023-2024</t>
        </is>
      </c>
      <c r="B2824" t="inlineStr">
        <is>
          <t>2023-09-21</t>
        </is>
      </c>
      <c r="C2824" t="inlineStr">
        <is>
          <t>20:15</t>
        </is>
      </c>
      <c r="D2824" t="inlineStr">
        <is>
          <t>n° 16 + n° 17</t>
        </is>
      </c>
      <c r="E2824" t="inlineStr">
        <is>
          <t>Crémeux du Jura</t>
        </is>
      </c>
      <c r="F2824" t="n">
        <v>19</v>
      </c>
      <c r="G2824" t="inlineStr">
        <is>
          <t>n° 16 : 0,50 + n° 17 : 0,50</t>
        </is>
      </c>
      <c r="H2824" t="n">
        <v>1</v>
      </c>
    </row>
    <row r="2825">
      <c r="A2825" t="inlineStr">
        <is>
          <t>2023-2024</t>
        </is>
      </c>
      <c r="B2825" t="inlineStr">
        <is>
          <t>2023-09-21</t>
        </is>
      </c>
      <c r="C2825" t="inlineStr">
        <is>
          <t>20:15</t>
        </is>
      </c>
      <c r="D2825" t="inlineStr">
        <is>
          <t>n° 16 + n° 17</t>
        </is>
      </c>
      <c r="E2825" t="inlineStr">
        <is>
          <t>POULET JURASSIENNE</t>
        </is>
      </c>
      <c r="F2825" t="n">
        <v>18.6</v>
      </c>
      <c r="G2825" t="inlineStr">
        <is>
          <t>n° 16 : 0,50 + n° 17 : 0,50</t>
        </is>
      </c>
      <c r="H2825" t="n">
        <v>1</v>
      </c>
    </row>
    <row r="2826">
      <c r="A2826" t="inlineStr">
        <is>
          <t>2023-2024</t>
        </is>
      </c>
      <c r="B2826" t="inlineStr">
        <is>
          <t>2023-09-21</t>
        </is>
      </c>
      <c r="C2826" t="inlineStr">
        <is>
          <t>20:15</t>
        </is>
      </c>
      <c r="D2826" t="inlineStr">
        <is>
          <t>n° 16 + n° 17</t>
        </is>
      </c>
      <c r="E2826" t="inlineStr">
        <is>
          <t>FOLIE</t>
        </is>
      </c>
      <c r="F2826" t="n">
        <v>13.3</v>
      </c>
      <c r="G2826" t="inlineStr">
        <is>
          <t>n° 16 : 0,50 + n° 17 : 0,50</t>
        </is>
      </c>
      <c r="H2826" t="n">
        <v>1</v>
      </c>
    </row>
    <row r="2827">
      <c r="A2827" t="inlineStr">
        <is>
          <t>2023-2024</t>
        </is>
      </c>
      <c r="B2827" t="inlineStr">
        <is>
          <t>2023-09-21</t>
        </is>
      </c>
      <c r="C2827" t="inlineStr">
        <is>
          <t>20:15</t>
        </is>
      </c>
      <c r="D2827" t="inlineStr">
        <is>
          <t>n° 16 + n° 17</t>
        </is>
      </c>
      <c r="E2827" t="inlineStr">
        <is>
          <t>Salade Verte aux Noi</t>
        </is>
      </c>
      <c r="F2827" t="n">
        <v>5.9</v>
      </c>
      <c r="G2827" t="inlineStr">
        <is>
          <t>n° 16 : 0,50 + n° 17 : 0,50</t>
        </is>
      </c>
      <c r="H2827" t="n">
        <v>1</v>
      </c>
    </row>
    <row r="2828">
      <c r="A2828" t="inlineStr">
        <is>
          <t>2023-2024</t>
        </is>
      </c>
      <c r="B2828" t="inlineStr">
        <is>
          <t>2023-09-21</t>
        </is>
      </c>
      <c r="C2828" t="inlineStr">
        <is>
          <t>20:15</t>
        </is>
      </c>
      <c r="D2828" t="inlineStr">
        <is>
          <t>n° 16 + n° 17</t>
        </is>
      </c>
      <c r="E2828" t="inlineStr">
        <is>
          <t>GLACE 2 BOULES</t>
        </is>
      </c>
      <c r="F2828" t="n">
        <v>5.5</v>
      </c>
      <c r="G2828" t="inlineStr">
        <is>
          <t>n° 16 : 1,50 + n° 17 : 1,50</t>
        </is>
      </c>
      <c r="H2828" t="n">
        <v>3</v>
      </c>
    </row>
    <row r="2829">
      <c r="A2829" t="inlineStr">
        <is>
          <t>2023-2024</t>
        </is>
      </c>
      <c r="B2829" t="inlineStr">
        <is>
          <t>2023-09-23</t>
        </is>
      </c>
      <c r="C2829" t="inlineStr">
        <is>
          <t>12:53</t>
        </is>
      </c>
      <c r="D2829" t="inlineStr">
        <is>
          <t>n° 9 + n° 10</t>
        </is>
      </c>
      <c r="E2829" t="inlineStr">
        <is>
          <t>FRELEE</t>
        </is>
      </c>
      <c r="F2829" t="n">
        <v>19.6</v>
      </c>
      <c r="G2829" t="inlineStr">
        <is>
          <t>n° 9 : 0,50 + n° 10 : 0,50</t>
        </is>
      </c>
      <c r="H2829" t="n">
        <v>1</v>
      </c>
    </row>
    <row r="2830">
      <c r="A2830" t="inlineStr">
        <is>
          <t>2023-2024</t>
        </is>
      </c>
      <c r="B2830" t="inlineStr">
        <is>
          <t>2023-09-23</t>
        </is>
      </c>
      <c r="C2830" t="inlineStr">
        <is>
          <t>12:53</t>
        </is>
      </c>
      <c r="D2830" t="inlineStr">
        <is>
          <t>n° 9 + n° 10</t>
        </is>
      </c>
      <c r="E2830" t="inlineStr">
        <is>
          <t>BARBEULENET</t>
        </is>
      </c>
      <c r="F2830" t="n">
        <v>17.4</v>
      </c>
      <c r="G2830" t="inlineStr">
        <is>
          <t>n° 9 : 0,50 + n° 10 : 0,50</t>
        </is>
      </c>
      <c r="H2830" t="n">
        <v>1</v>
      </c>
    </row>
    <row r="2831">
      <c r="A2831" t="inlineStr">
        <is>
          <t>2023-2024</t>
        </is>
      </c>
      <c r="B2831" t="inlineStr">
        <is>
          <t>2023-09-23</t>
        </is>
      </c>
      <c r="C2831" t="inlineStr">
        <is>
          <t>12:53</t>
        </is>
      </c>
      <c r="D2831" t="inlineStr">
        <is>
          <t>n° 9 + n° 10</t>
        </is>
      </c>
      <c r="E2831" t="inlineStr">
        <is>
          <t>Mambo</t>
        </is>
      </c>
      <c r="F2831" t="n">
        <v>6.5</v>
      </c>
      <c r="G2831" t="inlineStr">
        <is>
          <t>n° 9 : 0,50 + n° 10 : 0,50</t>
        </is>
      </c>
      <c r="H2831" t="n">
        <v>1</v>
      </c>
    </row>
    <row r="2832">
      <c r="A2832" t="inlineStr">
        <is>
          <t>2023-2024</t>
        </is>
      </c>
      <c r="B2832" t="inlineStr">
        <is>
          <t>2023-09-23</t>
        </is>
      </c>
      <c r="C2832" t="inlineStr">
        <is>
          <t>12:53</t>
        </is>
      </c>
      <c r="D2832" t="inlineStr">
        <is>
          <t>n° 9 + n° 10</t>
        </is>
      </c>
      <c r="E2832" t="inlineStr">
        <is>
          <t>Chat perché</t>
        </is>
      </c>
      <c r="F2832" t="n">
        <v>5.9</v>
      </c>
      <c r="G2832" t="inlineStr">
        <is>
          <t>n° 9 : 0,50 + n° 10 : 0,50</t>
        </is>
      </c>
      <c r="H2832" t="n">
        <v>1</v>
      </c>
    </row>
    <row r="2833">
      <c r="A2833" t="inlineStr">
        <is>
          <t>2023-2024</t>
        </is>
      </c>
      <c r="B2833" t="inlineStr">
        <is>
          <t>2023-09-23</t>
        </is>
      </c>
      <c r="C2833" t="inlineStr">
        <is>
          <t>12:53</t>
        </is>
      </c>
      <c r="D2833" t="inlineStr">
        <is>
          <t>n° 9 + n° 10</t>
        </is>
      </c>
      <c r="E2833" t="inlineStr">
        <is>
          <t>cidre la Mordue</t>
        </is>
      </c>
      <c r="F2833" t="n">
        <v>4.8</v>
      </c>
      <c r="G2833" t="inlineStr">
        <is>
          <t>n° 9 : 0,50 + n° 10 : 0,50</t>
        </is>
      </c>
      <c r="H2833" t="n">
        <v>1</v>
      </c>
    </row>
    <row r="2834">
      <c r="A2834" t="inlineStr">
        <is>
          <t>2023-2024</t>
        </is>
      </c>
      <c r="B2834" t="inlineStr">
        <is>
          <t>2023-09-23</t>
        </is>
      </c>
      <c r="C2834" t="inlineStr">
        <is>
          <t>12:53</t>
        </is>
      </c>
      <c r="D2834" t="inlineStr">
        <is>
          <t>n° 9 + n° 10</t>
        </is>
      </c>
      <c r="E2834" t="inlineStr">
        <is>
          <t>Expresso</t>
        </is>
      </c>
      <c r="F2834" t="n">
        <v>2.2</v>
      </c>
      <c r="G2834" t="inlineStr">
        <is>
          <t>n° 9 : 0,50 + n° 10 : 0,50</t>
        </is>
      </c>
      <c r="H2834" t="n">
        <v>1</v>
      </c>
    </row>
    <row r="2835">
      <c r="A2835" t="inlineStr">
        <is>
          <t>2023-2024</t>
        </is>
      </c>
      <c r="B2835" t="inlineStr">
        <is>
          <t>2023-09-23</t>
        </is>
      </c>
      <c r="C2835" t="inlineStr">
        <is>
          <t>13:17</t>
        </is>
      </c>
      <c r="D2835" t="inlineStr">
        <is>
          <t>n° 13 + n° 14</t>
        </is>
      </c>
      <c r="E2835" t="inlineStr">
        <is>
          <t>PICHET ROSE</t>
        </is>
      </c>
      <c r="F2835" t="n">
        <v>10.5</v>
      </c>
      <c r="G2835" t="inlineStr">
        <is>
          <t>n° 13 : 0,50 + n° 14 : 0,50</t>
        </is>
      </c>
      <c r="H2835" t="n">
        <v>1</v>
      </c>
    </row>
    <row r="2836">
      <c r="A2836" t="inlineStr">
        <is>
          <t>2023-2024</t>
        </is>
      </c>
      <c r="B2836" t="inlineStr">
        <is>
          <t>2023-09-23</t>
        </is>
      </c>
      <c r="C2836" t="inlineStr">
        <is>
          <t>13:17</t>
        </is>
      </c>
      <c r="D2836" t="inlineStr">
        <is>
          <t>n° 13 + n° 14</t>
        </is>
      </c>
      <c r="E2836" t="inlineStr">
        <is>
          <t>Jambon sec</t>
        </is>
      </c>
      <c r="F2836" t="n">
        <v>8.9</v>
      </c>
      <c r="G2836" t="inlineStr">
        <is>
          <t>n° 13 : 0,50 + n° 14 : 0,50</t>
        </is>
      </c>
      <c r="H2836" t="n">
        <v>1</v>
      </c>
    </row>
    <row r="2837">
      <c r="A2837" t="inlineStr">
        <is>
          <t>2023-2024</t>
        </is>
      </c>
      <c r="B2837" t="inlineStr">
        <is>
          <t>2023-09-23</t>
        </is>
      </c>
      <c r="C2837" t="inlineStr">
        <is>
          <t>13:17</t>
        </is>
      </c>
      <c r="D2837" t="inlineStr">
        <is>
          <t>n° 13 + n° 14</t>
        </is>
      </c>
      <c r="E2837" t="inlineStr">
        <is>
          <t>Expresso</t>
        </is>
      </c>
      <c r="F2837" t="n">
        <v>2.2</v>
      </c>
      <c r="G2837" t="inlineStr">
        <is>
          <t>n° 13 : 0,50 + n° 14 : 0,50</t>
        </is>
      </c>
      <c r="H2837" t="n">
        <v>1</v>
      </c>
    </row>
    <row r="2838">
      <c r="A2838" t="inlineStr">
        <is>
          <t>2023-2024</t>
        </is>
      </c>
      <c r="B2838" t="inlineStr">
        <is>
          <t>2023-09-23</t>
        </is>
      </c>
      <c r="C2838" t="inlineStr">
        <is>
          <t>19:39</t>
        </is>
      </c>
      <c r="D2838" t="inlineStr">
        <is>
          <t>n° 22 + n° 23</t>
        </is>
      </c>
      <c r="E2838" t="inlineStr">
        <is>
          <t>POULET JURASSIENNE</t>
        </is>
      </c>
      <c r="F2838" t="n">
        <v>18.6</v>
      </c>
      <c r="G2838" t="inlineStr">
        <is>
          <t>n° 22 : 0,50 + n° 23 : 0,50</t>
        </is>
      </c>
      <c r="H2838" t="n">
        <v>1</v>
      </c>
    </row>
    <row r="2839">
      <c r="A2839" t="inlineStr">
        <is>
          <t>2023-2024</t>
        </is>
      </c>
      <c r="B2839" t="inlineStr">
        <is>
          <t>2023-09-23</t>
        </is>
      </c>
      <c r="C2839" t="inlineStr">
        <is>
          <t>19:39</t>
        </is>
      </c>
      <c r="D2839" t="inlineStr">
        <is>
          <t>n° 22 + n° 23</t>
        </is>
      </c>
      <c r="E2839" t="inlineStr">
        <is>
          <t>TRUITE PESTO</t>
        </is>
      </c>
      <c r="F2839" t="n">
        <v>16.9</v>
      </c>
      <c r="G2839" t="inlineStr">
        <is>
          <t>n° 22 : 0,50 + n° 23 : 0,50</t>
        </is>
      </c>
      <c r="H2839" t="n">
        <v>1</v>
      </c>
    </row>
    <row r="2840">
      <c r="A2840" t="inlineStr">
        <is>
          <t>2023-2024</t>
        </is>
      </c>
      <c r="B2840" t="inlineStr">
        <is>
          <t>2023-09-24</t>
        </is>
      </c>
      <c r="C2840" t="inlineStr">
        <is>
          <t>12:05</t>
        </is>
      </c>
      <c r="D2840" t="inlineStr">
        <is>
          <t>n° 4 + n° 5</t>
        </is>
      </c>
      <c r="E2840" t="inlineStr">
        <is>
          <t>Crémeux du Jura</t>
        </is>
      </c>
      <c r="F2840" t="n">
        <v>19</v>
      </c>
      <c r="G2840" t="inlineStr">
        <is>
          <t>n° 4 : 0,50 + n° 5 : 0,50</t>
        </is>
      </c>
      <c r="H2840" t="n">
        <v>1</v>
      </c>
    </row>
    <row r="2841">
      <c r="A2841" t="inlineStr">
        <is>
          <t>2023-2024</t>
        </is>
      </c>
      <c r="B2841" t="inlineStr">
        <is>
          <t>2023-09-24</t>
        </is>
      </c>
      <c r="C2841" t="inlineStr">
        <is>
          <t>12:05</t>
        </is>
      </c>
      <c r="D2841" t="inlineStr">
        <is>
          <t>n° 4 + n° 5</t>
        </is>
      </c>
      <c r="E2841" t="inlineStr">
        <is>
          <t>Menu 'Enfant'</t>
        </is>
      </c>
      <c r="F2841" t="n">
        <v>9.9</v>
      </c>
      <c r="G2841" t="inlineStr">
        <is>
          <t>n° 4 : 0,50 + n° 5 : 0,50</t>
        </is>
      </c>
      <c r="H2841" t="n">
        <v>1</v>
      </c>
    </row>
    <row r="2842">
      <c r="A2842" t="inlineStr">
        <is>
          <t>2023-2024</t>
        </is>
      </c>
      <c r="B2842" t="inlineStr">
        <is>
          <t>2023-09-24</t>
        </is>
      </c>
      <c r="C2842" t="inlineStr">
        <is>
          <t>12:05</t>
        </is>
      </c>
      <c r="D2842" t="inlineStr">
        <is>
          <t>n° 4 + n° 5</t>
        </is>
      </c>
      <c r="E2842" t="inlineStr">
        <is>
          <t>Crêpe Nutella</t>
        </is>
      </c>
      <c r="F2842" t="n">
        <v>4.9</v>
      </c>
      <c r="G2842" t="inlineStr">
        <is>
          <t>n° 4 : 0,50 + n° 5 : 0,50</t>
        </is>
      </c>
      <c r="H2842" t="n">
        <v>1</v>
      </c>
    </row>
    <row r="2843">
      <c r="A2843" t="inlineStr">
        <is>
          <t>2023-2024</t>
        </is>
      </c>
      <c r="B2843" t="inlineStr">
        <is>
          <t>2023-09-24</t>
        </is>
      </c>
      <c r="C2843" t="inlineStr">
        <is>
          <t>12:05</t>
        </is>
      </c>
      <c r="D2843" t="inlineStr">
        <is>
          <t>n° 4 + n° 5</t>
        </is>
      </c>
      <c r="E2843" t="inlineStr">
        <is>
          <t>Monaco</t>
        </is>
      </c>
      <c r="F2843" t="n">
        <v>4.2</v>
      </c>
      <c r="G2843" t="inlineStr">
        <is>
          <t>n° 4 : 0,50 + n° 5 : 0,50</t>
        </is>
      </c>
      <c r="H2843" t="n">
        <v>1</v>
      </c>
    </row>
    <row r="2844">
      <c r="A2844" t="inlineStr">
        <is>
          <t>2023-2024</t>
        </is>
      </c>
      <c r="B2844" t="inlineStr">
        <is>
          <t>2023-09-24</t>
        </is>
      </c>
      <c r="C2844" t="inlineStr">
        <is>
          <t>12:05</t>
        </is>
      </c>
      <c r="D2844" t="inlineStr">
        <is>
          <t>n° 4 + n° 5</t>
        </is>
      </c>
      <c r="E2844" t="inlineStr">
        <is>
          <t>FANTA</t>
        </is>
      </c>
      <c r="F2844" t="n">
        <v>3.9</v>
      </c>
      <c r="G2844" t="inlineStr">
        <is>
          <t>n° 4 : 0,50 + n° 5 : 0,50</t>
        </is>
      </c>
      <c r="H2844" t="n">
        <v>1</v>
      </c>
    </row>
    <row r="2845">
      <c r="A2845" t="inlineStr">
        <is>
          <t>2023-2024</t>
        </is>
      </c>
      <c r="B2845" t="inlineStr">
        <is>
          <t>2023-09-24</t>
        </is>
      </c>
      <c r="C2845" t="inlineStr">
        <is>
          <t>12:05</t>
        </is>
      </c>
      <c r="D2845" t="inlineStr">
        <is>
          <t>n° 4 + n° 5</t>
        </is>
      </c>
      <c r="E2845" t="inlineStr">
        <is>
          <t>Verre Rosé</t>
        </is>
      </c>
      <c r="F2845" t="n">
        <v>3.9</v>
      </c>
      <c r="G2845" t="inlineStr">
        <is>
          <t>n° 4 : 0,50 + n° 5 : 0,50</t>
        </is>
      </c>
      <c r="H2845" t="n">
        <v>1</v>
      </c>
    </row>
    <row r="2846">
      <c r="A2846" t="inlineStr">
        <is>
          <t>2023-2024</t>
        </is>
      </c>
      <c r="B2846" t="inlineStr">
        <is>
          <t>2023-09-24</t>
        </is>
      </c>
      <c r="C2846" t="inlineStr">
        <is>
          <t>12:05</t>
        </is>
      </c>
      <c r="D2846" t="inlineStr">
        <is>
          <t>n° 4 + n° 5</t>
        </is>
      </c>
      <c r="E2846" t="inlineStr">
        <is>
          <t>GLACE 1 BOULE</t>
        </is>
      </c>
      <c r="F2846" t="n">
        <v>3.5</v>
      </c>
      <c r="G2846" t="inlineStr">
        <is>
          <t>n° 4 : 0,50 + n° 5 : 0,50</t>
        </is>
      </c>
      <c r="H2846" t="n">
        <v>1</v>
      </c>
    </row>
    <row r="2847">
      <c r="A2847" t="inlineStr">
        <is>
          <t>2023-2024</t>
        </is>
      </c>
      <c r="B2847" t="inlineStr">
        <is>
          <t>2023-09-24</t>
        </is>
      </c>
      <c r="C2847" t="inlineStr">
        <is>
          <t>12:05</t>
        </is>
      </c>
      <c r="D2847" t="inlineStr">
        <is>
          <t>n° 4 + n° 5</t>
        </is>
      </c>
      <c r="E2847" t="inlineStr">
        <is>
          <t>SAUCE CHOCO/CAFE/CAR</t>
        </is>
      </c>
      <c r="F2847" t="n">
        <v>2.4</v>
      </c>
      <c r="G2847" t="inlineStr">
        <is>
          <t>n° 4 : 0,50 + n° 5 : 0,50</t>
        </is>
      </c>
      <c r="H2847" t="n">
        <v>1</v>
      </c>
    </row>
    <row r="2848">
      <c r="A2848" t="inlineStr">
        <is>
          <t>2023-2024</t>
        </is>
      </c>
      <c r="B2848" t="inlineStr">
        <is>
          <t>2023-09-24</t>
        </is>
      </c>
      <c r="C2848" t="inlineStr">
        <is>
          <t>19:48</t>
        </is>
      </c>
      <c r="D2848" t="inlineStr">
        <is>
          <t>n° 25 + n° 26</t>
        </is>
      </c>
      <c r="E2848" t="inlineStr">
        <is>
          <t>PICHET ROSE</t>
        </is>
      </c>
      <c r="F2848" t="n">
        <v>10.5</v>
      </c>
      <c r="G2848" t="inlineStr">
        <is>
          <t>n° 25 : 0,50 + n° 26 : 0,50</t>
        </is>
      </c>
      <c r="H2848" t="n">
        <v>1</v>
      </c>
    </row>
    <row r="2849">
      <c r="A2849" t="inlineStr">
        <is>
          <t>2023-2024</t>
        </is>
      </c>
      <c r="B2849" t="inlineStr">
        <is>
          <t>2023-09-24</t>
        </is>
      </c>
      <c r="C2849" t="inlineStr">
        <is>
          <t>19:48</t>
        </is>
      </c>
      <c r="D2849" t="inlineStr">
        <is>
          <t>n° 25 + n° 26</t>
        </is>
      </c>
      <c r="E2849" t="inlineStr">
        <is>
          <t>Baba</t>
        </is>
      </c>
      <c r="F2849" t="n">
        <v>8.9</v>
      </c>
      <c r="G2849" t="inlineStr">
        <is>
          <t>n° 25 : 0,50 + n° 26 : 0,50</t>
        </is>
      </c>
      <c r="H2849" t="n">
        <v>1</v>
      </c>
    </row>
    <row r="2850">
      <c r="A2850" t="inlineStr">
        <is>
          <t>2023-2024</t>
        </is>
      </c>
      <c r="B2850" t="inlineStr">
        <is>
          <t>2023-09-24</t>
        </is>
      </c>
      <c r="C2850" t="inlineStr">
        <is>
          <t>19:48</t>
        </is>
      </c>
      <c r="D2850" t="inlineStr">
        <is>
          <t>n° 25 + n° 26</t>
        </is>
      </c>
      <c r="E2850" t="inlineStr">
        <is>
          <t>Père Gregoire</t>
        </is>
      </c>
      <c r="F2850" t="n">
        <v>5.9</v>
      </c>
      <c r="G2850" t="inlineStr">
        <is>
          <t>n° 25 : 1,50 + n° 26 : 1,50</t>
        </is>
      </c>
      <c r="H2850" t="n">
        <v>3</v>
      </c>
    </row>
    <row r="2851">
      <c r="A2851" t="inlineStr">
        <is>
          <t>2023-2024</t>
        </is>
      </c>
      <c r="B2851" t="inlineStr">
        <is>
          <t>2023-09-24</t>
        </is>
      </c>
      <c r="C2851" t="inlineStr">
        <is>
          <t>19:48</t>
        </is>
      </c>
      <c r="D2851" t="inlineStr">
        <is>
          <t>n° 25 + n° 26</t>
        </is>
      </c>
      <c r="E2851" t="inlineStr">
        <is>
          <t>Chat perché</t>
        </is>
      </c>
      <c r="F2851" t="n">
        <v>5.9</v>
      </c>
      <c r="G2851" t="inlineStr">
        <is>
          <t>n° 25 : 0,50 + n° 26 : 0,50</t>
        </is>
      </c>
      <c r="H2851" t="n">
        <v>1</v>
      </c>
    </row>
    <row r="2852">
      <c r="A2852" t="inlineStr">
        <is>
          <t>2023-2024</t>
        </is>
      </c>
      <c r="B2852" t="inlineStr">
        <is>
          <t>2023-09-27</t>
        </is>
      </c>
      <c r="C2852" t="inlineStr">
        <is>
          <t>19:28</t>
        </is>
      </c>
      <c r="D2852" t="inlineStr">
        <is>
          <t>n° 20 + n° 21</t>
        </is>
      </c>
      <c r="E2852" t="inlineStr">
        <is>
          <t>Crémeux du Jura</t>
        </is>
      </c>
      <c r="F2852" t="n">
        <v>19</v>
      </c>
      <c r="G2852" t="inlineStr">
        <is>
          <t>n° 20 : 0,50 + n° 21 : 0,50</t>
        </is>
      </c>
      <c r="H2852" t="n">
        <v>1</v>
      </c>
    </row>
    <row r="2853">
      <c r="A2853" t="inlineStr">
        <is>
          <t>2023-2024</t>
        </is>
      </c>
      <c r="B2853" t="inlineStr">
        <is>
          <t>2023-09-27</t>
        </is>
      </c>
      <c r="C2853" t="inlineStr">
        <is>
          <t>19:28</t>
        </is>
      </c>
      <c r="D2853" t="inlineStr">
        <is>
          <t>n° 20 + n° 21</t>
        </is>
      </c>
      <c r="E2853" t="inlineStr">
        <is>
          <t>ASSIETTE PERE GREGOI</t>
        </is>
      </c>
      <c r="F2853" t="n">
        <v>18.6</v>
      </c>
      <c r="G2853" t="inlineStr">
        <is>
          <t>n° 20 : 0,50 + n° 21 : 0,50</t>
        </is>
      </c>
      <c r="H2853" t="n">
        <v>1</v>
      </c>
    </row>
    <row r="2854">
      <c r="A2854" t="inlineStr">
        <is>
          <t>2023-2024</t>
        </is>
      </c>
      <c r="B2854" t="inlineStr">
        <is>
          <t>2023-09-27</t>
        </is>
      </c>
      <c r="C2854" t="inlineStr">
        <is>
          <t>19:28</t>
        </is>
      </c>
      <c r="D2854" t="inlineStr">
        <is>
          <t>n° 20 + n° 21</t>
        </is>
      </c>
      <c r="E2854" t="inlineStr">
        <is>
          <t>pression</t>
        </is>
      </c>
      <c r="F2854" t="n">
        <v>4.2</v>
      </c>
      <c r="G2854" t="inlineStr">
        <is>
          <t>n° 20 : 0,50 + n° 21 : 0,50</t>
        </is>
      </c>
      <c r="H2854" t="n">
        <v>1</v>
      </c>
    </row>
    <row r="2855">
      <c r="A2855" t="inlineStr">
        <is>
          <t>2023-2024</t>
        </is>
      </c>
      <c r="B2855" t="inlineStr">
        <is>
          <t>2023-09-27</t>
        </is>
      </c>
      <c r="C2855" t="inlineStr">
        <is>
          <t>19:28</t>
        </is>
      </c>
      <c r="D2855" t="inlineStr">
        <is>
          <t>n° 20 + n° 21</t>
        </is>
      </c>
      <c r="E2855" t="inlineStr">
        <is>
          <t>VERRE CHUSCLAN</t>
        </is>
      </c>
      <c r="F2855" t="n">
        <v>3.9</v>
      </c>
      <c r="G2855" t="inlineStr">
        <is>
          <t>n° 20 : 0,50 + n° 21 : 0,50</t>
        </is>
      </c>
      <c r="H2855" t="n">
        <v>1</v>
      </c>
    </row>
    <row r="2856">
      <c r="A2856" t="inlineStr">
        <is>
          <t>2023-2024</t>
        </is>
      </c>
      <c r="B2856" t="inlineStr">
        <is>
          <t>2023-09-30</t>
        </is>
      </c>
      <c r="C2856" t="inlineStr">
        <is>
          <t>12:58</t>
        </is>
      </c>
      <c r="D2856" t="inlineStr">
        <is>
          <t>n° 13 + n° 14</t>
        </is>
      </c>
      <c r="E2856" t="inlineStr">
        <is>
          <t>Beaujolais Moulin à</t>
        </is>
      </c>
      <c r="F2856" t="n">
        <v>38</v>
      </c>
      <c r="G2856" t="inlineStr">
        <is>
          <t>n° 13 : 0,50 + n° 14 : 0,50</t>
        </is>
      </c>
      <c r="H2856" t="n">
        <v>1</v>
      </c>
    </row>
    <row r="2857">
      <c r="A2857" t="inlineStr">
        <is>
          <t>2023-2024</t>
        </is>
      </c>
      <c r="B2857" t="inlineStr">
        <is>
          <t>2023-09-30</t>
        </is>
      </c>
      <c r="C2857" t="inlineStr">
        <is>
          <t>12:58</t>
        </is>
      </c>
      <c r="D2857" t="inlineStr">
        <is>
          <t>n° 13 + n° 14</t>
        </is>
      </c>
      <c r="E2857" t="inlineStr">
        <is>
          <t>Crémeux du Jura</t>
        </is>
      </c>
      <c r="F2857" t="n">
        <v>19</v>
      </c>
      <c r="G2857" t="inlineStr">
        <is>
          <t>n° 13 : 1,50 + n° 14 : 1,50</t>
        </is>
      </c>
      <c r="H2857" t="n">
        <v>3</v>
      </c>
    </row>
    <row r="2858">
      <c r="A2858" t="inlineStr">
        <is>
          <t>2023-2024</t>
        </is>
      </c>
      <c r="B2858" t="inlineStr">
        <is>
          <t>2023-09-30</t>
        </is>
      </c>
      <c r="C2858" t="inlineStr">
        <is>
          <t>12:58</t>
        </is>
      </c>
      <c r="D2858" t="inlineStr">
        <is>
          <t>n° 13 + n° 14</t>
        </is>
      </c>
      <c r="E2858" t="inlineStr">
        <is>
          <t>ASSIETTE VEGAN</t>
        </is>
      </c>
      <c r="F2858" t="n">
        <v>14</v>
      </c>
      <c r="G2858" t="inlineStr">
        <is>
          <t>n° 13 : 0,50 + n° 14 : 0,50</t>
        </is>
      </c>
      <c r="H2858" t="n">
        <v>1</v>
      </c>
    </row>
    <row r="2859">
      <c r="A2859" t="inlineStr">
        <is>
          <t>2023-2024</t>
        </is>
      </c>
      <c r="B2859" t="inlineStr">
        <is>
          <t>2023-09-30</t>
        </is>
      </c>
      <c r="C2859" t="inlineStr">
        <is>
          <t>12:58</t>
        </is>
      </c>
      <c r="D2859" t="inlineStr">
        <is>
          <t>n° 13 + n° 14</t>
        </is>
      </c>
      <c r="E2859" t="inlineStr">
        <is>
          <t>Crêpe Nutella</t>
        </is>
      </c>
      <c r="F2859" t="n">
        <v>4.9</v>
      </c>
      <c r="G2859" t="inlineStr">
        <is>
          <t>n° 13 : 0,50 + n° 14 : 0,50</t>
        </is>
      </c>
      <c r="H2859" t="n">
        <v>1</v>
      </c>
    </row>
    <row r="2860">
      <c r="A2860" t="inlineStr">
        <is>
          <t>2023-2024</t>
        </is>
      </c>
      <c r="B2860" t="inlineStr">
        <is>
          <t>2023-09-30</t>
        </is>
      </c>
      <c r="C2860" t="inlineStr">
        <is>
          <t>12:58</t>
        </is>
      </c>
      <c r="D2860" t="inlineStr">
        <is>
          <t>n° 13 + n° 14</t>
        </is>
      </c>
      <c r="E2860" t="inlineStr">
        <is>
          <t>Crêpe au sucre</t>
        </is>
      </c>
      <c r="F2860" t="n">
        <v>3.9</v>
      </c>
      <c r="G2860" t="inlineStr">
        <is>
          <t>n° 13 : 0,50 + n° 14 : 0,50</t>
        </is>
      </c>
      <c r="H2860" t="n">
        <v>1</v>
      </c>
    </row>
    <row r="2861">
      <c r="A2861" t="inlineStr">
        <is>
          <t>2023-2024</t>
        </is>
      </c>
      <c r="B2861" t="inlineStr">
        <is>
          <t>2023-09-30</t>
        </is>
      </c>
      <c r="C2861" t="inlineStr">
        <is>
          <t>20:32</t>
        </is>
      </c>
      <c r="D2861" t="inlineStr">
        <is>
          <t>n° 32 + n° 33</t>
        </is>
      </c>
      <c r="E2861" t="inlineStr">
        <is>
          <t>Arbois Trousseau Bou</t>
        </is>
      </c>
      <c r="F2861" t="n">
        <v>36</v>
      </c>
      <c r="G2861" t="inlineStr">
        <is>
          <t>n° 32 : 0,50 + n° 33 : 0,50</t>
        </is>
      </c>
      <c r="H2861" t="n">
        <v>1</v>
      </c>
    </row>
    <row r="2862">
      <c r="A2862" t="inlineStr">
        <is>
          <t>2023-2024</t>
        </is>
      </c>
      <c r="B2862" t="inlineStr">
        <is>
          <t>2023-09-30</t>
        </is>
      </c>
      <c r="C2862" t="inlineStr">
        <is>
          <t>20:32</t>
        </is>
      </c>
      <c r="D2862" t="inlineStr">
        <is>
          <t>n° 32 + n° 33</t>
        </is>
      </c>
      <c r="E2862" t="inlineStr">
        <is>
          <t>TRUITE JURASSIENNE</t>
        </is>
      </c>
      <c r="F2862" t="n">
        <v>18.6</v>
      </c>
      <c r="G2862" t="inlineStr">
        <is>
          <t>n° 32 : 0,50 + n° 33 : 0,50</t>
        </is>
      </c>
      <c r="H2862" t="n">
        <v>1</v>
      </c>
    </row>
    <row r="2863">
      <c r="A2863" t="inlineStr">
        <is>
          <t>2023-2024</t>
        </is>
      </c>
      <c r="B2863" t="inlineStr">
        <is>
          <t>2023-09-30</t>
        </is>
      </c>
      <c r="C2863" t="inlineStr">
        <is>
          <t>20:32</t>
        </is>
      </c>
      <c r="D2863" t="inlineStr">
        <is>
          <t>n° 32 + n° 33</t>
        </is>
      </c>
      <c r="E2863" t="inlineStr">
        <is>
          <t>TRUITE PESTO</t>
        </is>
      </c>
      <c r="F2863" t="n">
        <v>16.9</v>
      </c>
      <c r="G2863" t="inlineStr">
        <is>
          <t>n° 32 : 0,50 + n° 33 : 0,50</t>
        </is>
      </c>
      <c r="H2863" t="n">
        <v>1</v>
      </c>
    </row>
    <row r="2864">
      <c r="A2864" t="inlineStr">
        <is>
          <t>2023-2024</t>
        </is>
      </c>
      <c r="B2864" t="inlineStr">
        <is>
          <t>2023-09-30</t>
        </is>
      </c>
      <c r="C2864" t="inlineStr">
        <is>
          <t>20:32</t>
        </is>
      </c>
      <c r="D2864" t="inlineStr">
        <is>
          <t>n° 32 + n° 33</t>
        </is>
      </c>
      <c r="E2864" t="inlineStr">
        <is>
          <t>Rêve Bleu</t>
        </is>
      </c>
      <c r="F2864" t="n">
        <v>9</v>
      </c>
      <c r="G2864" t="inlineStr">
        <is>
          <t>n° 32 : 0,50 + n° 33 : 0,50</t>
        </is>
      </c>
      <c r="H2864" t="n">
        <v>1</v>
      </c>
    </row>
    <row r="2865">
      <c r="A2865" t="inlineStr">
        <is>
          <t>2023-2024</t>
        </is>
      </c>
      <c r="B2865" t="inlineStr">
        <is>
          <t>2023-09-30</t>
        </is>
      </c>
      <c r="C2865" t="inlineStr">
        <is>
          <t>20:32</t>
        </is>
      </c>
      <c r="D2865" t="inlineStr">
        <is>
          <t>n° 32 + n° 33</t>
        </is>
      </c>
      <c r="E2865" t="inlineStr">
        <is>
          <t>CREME BRULEE</t>
        </is>
      </c>
      <c r="F2865" t="n">
        <v>7.9</v>
      </c>
      <c r="G2865" t="inlineStr">
        <is>
          <t>n° 32 : 0,50 + n° 33 : 0,50</t>
        </is>
      </c>
      <c r="H2865" t="n">
        <v>1</v>
      </c>
    </row>
    <row r="2866">
      <c r="A2866" t="inlineStr">
        <is>
          <t>2023-2024</t>
        </is>
      </c>
      <c r="B2866" t="inlineStr">
        <is>
          <t>2023-09-30</t>
        </is>
      </c>
      <c r="C2866" t="inlineStr">
        <is>
          <t>20:32</t>
        </is>
      </c>
      <c r="D2866" t="inlineStr">
        <is>
          <t>n° 32 + n° 33</t>
        </is>
      </c>
      <c r="E2866" t="inlineStr">
        <is>
          <t>Kir Bourgogne</t>
        </is>
      </c>
      <c r="F2866" t="n">
        <v>4.2</v>
      </c>
      <c r="G2866" t="inlineStr">
        <is>
          <t>n° 32 : 0,50 + n° 33 : 0,50</t>
        </is>
      </c>
      <c r="H2866" t="n">
        <v>1</v>
      </c>
    </row>
    <row r="2867">
      <c r="A2867" t="inlineStr">
        <is>
          <t>2023-2024</t>
        </is>
      </c>
      <c r="B2867" t="inlineStr">
        <is>
          <t>2023-10-01</t>
        </is>
      </c>
      <c r="C2867" t="inlineStr">
        <is>
          <t>13:08</t>
        </is>
      </c>
      <c r="D2867" t="inlineStr">
        <is>
          <t>n° 10 + n° 11</t>
        </is>
      </c>
      <c r="E2867" t="inlineStr">
        <is>
          <t>POULET JURASSIENNE</t>
        </is>
      </c>
      <c r="F2867" t="n">
        <v>18.6</v>
      </c>
      <c r="G2867" t="inlineStr">
        <is>
          <t>n° 10 : 0,50 + n° 11 : 0,50</t>
        </is>
      </c>
      <c r="H2867" t="n">
        <v>1</v>
      </c>
    </row>
    <row r="2868">
      <c r="A2868" t="inlineStr">
        <is>
          <t>2023-2024</t>
        </is>
      </c>
      <c r="B2868" t="inlineStr">
        <is>
          <t>2023-10-01</t>
        </is>
      </c>
      <c r="C2868" t="inlineStr">
        <is>
          <t>13:08</t>
        </is>
      </c>
      <c r="D2868" t="inlineStr">
        <is>
          <t>n° 10 + n° 11</t>
        </is>
      </c>
      <c r="E2868" t="inlineStr">
        <is>
          <t>Clair de Rosé</t>
        </is>
      </c>
      <c r="F2868" t="n">
        <v>18</v>
      </c>
      <c r="G2868" t="inlineStr">
        <is>
          <t>n° 10 : 0,50 + n° 11 : 0,50</t>
        </is>
      </c>
      <c r="H2868" t="n">
        <v>1</v>
      </c>
    </row>
    <row r="2869">
      <c r="A2869" t="inlineStr">
        <is>
          <t>2023-2024</t>
        </is>
      </c>
      <c r="B2869" t="inlineStr">
        <is>
          <t>2023-10-01</t>
        </is>
      </c>
      <c r="C2869" t="inlineStr">
        <is>
          <t>13:08</t>
        </is>
      </c>
      <c r="D2869" t="inlineStr">
        <is>
          <t>n° 10 + n° 11</t>
        </is>
      </c>
      <c r="E2869" t="inlineStr">
        <is>
          <t>ECRESSI</t>
        </is>
      </c>
      <c r="F2869" t="n">
        <v>15.5</v>
      </c>
      <c r="G2869" t="inlineStr">
        <is>
          <t>n° 10 : 0,50 + n° 11 : 0,50</t>
        </is>
      </c>
      <c r="H2869" t="n">
        <v>1</v>
      </c>
    </row>
    <row r="2870">
      <c r="A2870" t="inlineStr">
        <is>
          <t>2023-2024</t>
        </is>
      </c>
      <c r="B2870" t="inlineStr">
        <is>
          <t>2023-10-01</t>
        </is>
      </c>
      <c r="C2870" t="inlineStr">
        <is>
          <t>13:08</t>
        </is>
      </c>
      <c r="D2870" t="inlineStr">
        <is>
          <t>n° 10 + n° 11</t>
        </is>
      </c>
      <c r="E2870" t="inlineStr">
        <is>
          <t>Salade Franc-Comptoi</t>
        </is>
      </c>
      <c r="F2870" t="n">
        <v>8.9</v>
      </c>
      <c r="G2870" t="inlineStr">
        <is>
          <t>n° 10 : 0,50 + n° 11 : 0,50</t>
        </is>
      </c>
      <c r="H2870" t="n">
        <v>1</v>
      </c>
    </row>
    <row r="2871">
      <c r="A2871" t="inlineStr">
        <is>
          <t>2023-2024</t>
        </is>
      </c>
      <c r="B2871" t="inlineStr">
        <is>
          <t>2023-10-01</t>
        </is>
      </c>
      <c r="C2871" t="inlineStr">
        <is>
          <t>13:08</t>
        </is>
      </c>
      <c r="D2871" t="inlineStr">
        <is>
          <t>n° 10 + n° 11</t>
        </is>
      </c>
      <c r="E2871" t="inlineStr">
        <is>
          <t>La Vouivre</t>
        </is>
      </c>
      <c r="F2871" t="n">
        <v>5.9</v>
      </c>
      <c r="G2871" t="inlineStr">
        <is>
          <t>n° 10 : 0,50 + n° 11 : 0,50</t>
        </is>
      </c>
      <c r="H2871" t="n">
        <v>1</v>
      </c>
    </row>
    <row r="2872">
      <c r="A2872" t="inlineStr">
        <is>
          <t>2023-2024</t>
        </is>
      </c>
      <c r="B2872" t="inlineStr">
        <is>
          <t>2023-10-01</t>
        </is>
      </c>
      <c r="C2872" t="inlineStr">
        <is>
          <t>13:08</t>
        </is>
      </c>
      <c r="D2872" t="inlineStr">
        <is>
          <t>n° 10 + n° 11</t>
        </is>
      </c>
      <c r="E2872" t="inlineStr">
        <is>
          <t>GLACE 2 BOULES</t>
        </is>
      </c>
      <c r="F2872" t="n">
        <v>5.5</v>
      </c>
      <c r="G2872" t="inlineStr">
        <is>
          <t>n° 10 : 0,50 + n° 11 : 0,50</t>
        </is>
      </c>
      <c r="H2872" t="n">
        <v>1</v>
      </c>
    </row>
    <row r="2873">
      <c r="A2873" t="inlineStr">
        <is>
          <t>2023-2024</t>
        </is>
      </c>
      <c r="B2873" t="inlineStr">
        <is>
          <t>2023-10-01</t>
        </is>
      </c>
      <c r="C2873" t="inlineStr">
        <is>
          <t>13:08</t>
        </is>
      </c>
      <c r="D2873" t="inlineStr">
        <is>
          <t>n° 10 + n° 11</t>
        </is>
      </c>
      <c r="E2873" t="inlineStr">
        <is>
          <t>Jus de Fruit</t>
        </is>
      </c>
      <c r="F2873" t="n">
        <v>4.2</v>
      </c>
      <c r="G2873" t="inlineStr">
        <is>
          <t>n° 10 : 0,50 + n° 11 : 0,50</t>
        </is>
      </c>
      <c r="H2873" t="n">
        <v>1</v>
      </c>
    </row>
    <row r="2874">
      <c r="A2874" t="inlineStr">
        <is>
          <t>2023-2024</t>
        </is>
      </c>
      <c r="B2874" t="inlineStr">
        <is>
          <t>2023-10-01</t>
        </is>
      </c>
      <c r="C2874" t="inlineStr">
        <is>
          <t>13:08</t>
        </is>
      </c>
      <c r="D2874" t="inlineStr">
        <is>
          <t>n° 10 + n° 11</t>
        </is>
      </c>
      <c r="E2874" t="inlineStr">
        <is>
          <t>GLACE 1 BOULE</t>
        </is>
      </c>
      <c r="F2874" t="n">
        <v>3.5</v>
      </c>
      <c r="G2874" t="inlineStr">
        <is>
          <t>n° 10 : 0,50 + n° 11 : 0,50</t>
        </is>
      </c>
      <c r="H2874" t="n">
        <v>1</v>
      </c>
    </row>
    <row r="2875">
      <c r="A2875" t="inlineStr">
        <is>
          <t>2023-2024</t>
        </is>
      </c>
      <c r="B2875" t="inlineStr">
        <is>
          <t>2023-10-01</t>
        </is>
      </c>
      <c r="C2875" t="inlineStr">
        <is>
          <t>19:53</t>
        </is>
      </c>
      <c r="D2875" t="inlineStr">
        <is>
          <t>n° 28 + n° 29 + n° 30 + n° 31</t>
        </is>
      </c>
      <c r="E2875" t="inlineStr">
        <is>
          <t>Crémeux du Jura</t>
        </is>
      </c>
      <c r="F2875" t="n">
        <v>19</v>
      </c>
      <c r="G2875" t="inlineStr">
        <is>
          <t>n° 28 : 0,50 + n° 29 : 0,50</t>
        </is>
      </c>
      <c r="H2875" t="n">
        <v>1</v>
      </c>
    </row>
    <row r="2876">
      <c r="A2876" t="inlineStr">
        <is>
          <t>2023-2024</t>
        </is>
      </c>
      <c r="B2876" t="inlineStr">
        <is>
          <t>2023-10-01</t>
        </is>
      </c>
      <c r="C2876" t="inlineStr">
        <is>
          <t>19:53</t>
        </is>
      </c>
      <c r="D2876" t="inlineStr">
        <is>
          <t>n° 28 + n° 29 + n° 30 + n° 31</t>
        </is>
      </c>
      <c r="E2876" t="inlineStr">
        <is>
          <t>CAMEMBERT ROTI</t>
        </is>
      </c>
      <c r="F2876" t="n">
        <v>18.6</v>
      </c>
      <c r="G2876" t="inlineStr">
        <is>
          <t>n° 30 : 0,50 + n° 31 : 0,50</t>
        </is>
      </c>
      <c r="H2876" t="n">
        <v>1</v>
      </c>
    </row>
    <row r="2877">
      <c r="A2877" t="inlineStr">
        <is>
          <t>2023-2024</t>
        </is>
      </c>
      <c r="B2877" t="inlineStr">
        <is>
          <t>2023-10-01</t>
        </is>
      </c>
      <c r="C2877" t="inlineStr">
        <is>
          <t>19:53</t>
        </is>
      </c>
      <c r="D2877" t="inlineStr">
        <is>
          <t>n° 28 + n° 29 + n° 30 + n° 31</t>
        </is>
      </c>
      <c r="E2877" t="inlineStr">
        <is>
          <t>ASSIETTE FRANC-COMTO</t>
        </is>
      </c>
      <c r="F2877" t="n">
        <v>18.6</v>
      </c>
      <c r="G2877" t="inlineStr">
        <is>
          <t>n° 30 : 0,50 + n° 31 : 0,50</t>
        </is>
      </c>
      <c r="H2877" t="n">
        <v>1</v>
      </c>
    </row>
    <row r="2878">
      <c r="A2878" t="inlineStr">
        <is>
          <t>2023-2024</t>
        </is>
      </c>
      <c r="B2878" t="inlineStr">
        <is>
          <t>2023-10-01</t>
        </is>
      </c>
      <c r="C2878" t="inlineStr">
        <is>
          <t>19:53</t>
        </is>
      </c>
      <c r="D2878" t="inlineStr">
        <is>
          <t>n° 28 + n° 29 + n° 30 + n° 31</t>
        </is>
      </c>
      <c r="E2878" t="inlineStr">
        <is>
          <t>PICHET ROSE</t>
        </is>
      </c>
      <c r="F2878" t="n">
        <v>10.5</v>
      </c>
      <c r="G2878" t="inlineStr">
        <is>
          <t>n° 30 : 0,50 + n° 31 : 0,50</t>
        </is>
      </c>
      <c r="H2878" t="n">
        <v>1</v>
      </c>
    </row>
    <row r="2879">
      <c r="A2879" t="inlineStr">
        <is>
          <t>2023-2024</t>
        </is>
      </c>
      <c r="B2879" t="inlineStr">
        <is>
          <t>2023-10-01</t>
        </is>
      </c>
      <c r="C2879" t="inlineStr">
        <is>
          <t>19:53</t>
        </is>
      </c>
      <c r="D2879" t="inlineStr">
        <is>
          <t>n° 28 + n° 29 + n° 30 + n° 31</t>
        </is>
      </c>
      <c r="E2879" t="inlineStr">
        <is>
          <t>BAGATELLE</t>
        </is>
      </c>
      <c r="F2879" t="n">
        <v>9.800000000000001</v>
      </c>
      <c r="G2879" t="inlineStr">
        <is>
          <t>n° 28 : 0,50 + n° 29 : 0,50</t>
        </is>
      </c>
      <c r="H2879" t="n">
        <v>1</v>
      </c>
    </row>
    <row r="2880">
      <c r="A2880" t="inlineStr">
        <is>
          <t>2023-2024</t>
        </is>
      </c>
      <c r="B2880" t="inlineStr">
        <is>
          <t>2023-10-01</t>
        </is>
      </c>
      <c r="C2880" t="inlineStr">
        <is>
          <t>19:53</t>
        </is>
      </c>
      <c r="D2880" t="inlineStr">
        <is>
          <t>n° 28 + n° 29 + n° 30 + n° 31</t>
        </is>
      </c>
      <c r="E2880" t="inlineStr">
        <is>
          <t>Sprintz</t>
        </is>
      </c>
      <c r="F2880" t="n">
        <v>9</v>
      </c>
      <c r="G2880" t="inlineStr">
        <is>
          <t>n° 30 : 0,50 + n° 31 : 0,50</t>
        </is>
      </c>
      <c r="H2880" t="n">
        <v>1</v>
      </c>
    </row>
    <row r="2881">
      <c r="A2881" t="inlineStr">
        <is>
          <t>2023-2024</t>
        </is>
      </c>
      <c r="B2881" t="inlineStr">
        <is>
          <t>2023-10-01</t>
        </is>
      </c>
      <c r="C2881" t="inlineStr">
        <is>
          <t>19:53</t>
        </is>
      </c>
      <c r="D2881" t="inlineStr">
        <is>
          <t>n° 28 + n° 29 + n° 30 + n° 31</t>
        </is>
      </c>
      <c r="E2881" t="inlineStr">
        <is>
          <t>Assortiment charcute</t>
        </is>
      </c>
      <c r="F2881" t="n">
        <v>8.9</v>
      </c>
      <c r="G2881" t="inlineStr">
        <is>
          <t>n° 30 : 0,50 + n° 31 : 0,50</t>
        </is>
      </c>
      <c r="H2881" t="n">
        <v>1</v>
      </c>
    </row>
    <row r="2882">
      <c r="A2882" t="inlineStr">
        <is>
          <t>2023-2024</t>
        </is>
      </c>
      <c r="B2882" t="inlineStr">
        <is>
          <t>2023-10-01</t>
        </is>
      </c>
      <c r="C2882" t="inlineStr">
        <is>
          <t>19:53</t>
        </is>
      </c>
      <c r="D2882" t="inlineStr">
        <is>
          <t>n° 28 + n° 29 + n° 30 + n° 31</t>
        </is>
      </c>
      <c r="E2882" t="inlineStr">
        <is>
          <t>Pinte</t>
        </is>
      </c>
      <c r="F2882" t="n">
        <v>8</v>
      </c>
      <c r="G2882" t="inlineStr">
        <is>
          <t>n° 28 : 1,50 + n° 29 : 1,50</t>
        </is>
      </c>
      <c r="H2882" t="n">
        <v>3</v>
      </c>
    </row>
    <row r="2883">
      <c r="A2883" t="inlineStr">
        <is>
          <t>2023-2024</t>
        </is>
      </c>
      <c r="B2883" t="inlineStr">
        <is>
          <t>2023-10-01</t>
        </is>
      </c>
      <c r="C2883" t="inlineStr">
        <is>
          <t>19:53</t>
        </is>
      </c>
      <c r="D2883" t="inlineStr">
        <is>
          <t>n° 28 + n° 29 + n° 30 + n° 31</t>
        </is>
      </c>
      <c r="E2883" t="inlineStr">
        <is>
          <t>Crêpe Marrons</t>
        </is>
      </c>
      <c r="F2883" t="n">
        <v>6.4</v>
      </c>
      <c r="G2883" t="inlineStr">
        <is>
          <t>n° 28 : 0,50 + n° 29 : 0,50</t>
        </is>
      </c>
      <c r="H2883" t="n">
        <v>1</v>
      </c>
    </row>
    <row r="2884">
      <c r="A2884" t="inlineStr">
        <is>
          <t>2023-2024</t>
        </is>
      </c>
      <c r="B2884" t="inlineStr">
        <is>
          <t>2023-10-01</t>
        </is>
      </c>
      <c r="C2884" t="inlineStr">
        <is>
          <t>19:53</t>
        </is>
      </c>
      <c r="D2884" t="inlineStr">
        <is>
          <t>n° 28 + n° 29 + n° 30 + n° 31</t>
        </is>
      </c>
      <c r="E2884" t="inlineStr">
        <is>
          <t>Crepe Chocolat</t>
        </is>
      </c>
      <c r="F2884" t="n">
        <v>5.9</v>
      </c>
      <c r="G2884" t="inlineStr">
        <is>
          <t>n° 28 : 0,50 + n° 29 : 0,50</t>
        </is>
      </c>
      <c r="H2884" t="n">
        <v>1</v>
      </c>
    </row>
    <row r="2885">
      <c r="A2885" t="inlineStr">
        <is>
          <t>2023-2024</t>
        </is>
      </c>
      <c r="B2885" t="inlineStr">
        <is>
          <t>2023-10-01</t>
        </is>
      </c>
      <c r="C2885" t="inlineStr">
        <is>
          <t>19:53</t>
        </is>
      </c>
      <c r="D2885" t="inlineStr">
        <is>
          <t>n° 28 + n° 29 + n° 30 + n° 31</t>
        </is>
      </c>
      <c r="E2885" t="inlineStr">
        <is>
          <t>Macvin du Jura</t>
        </is>
      </c>
      <c r="F2885" t="n">
        <v>5.9</v>
      </c>
      <c r="G2885" t="inlineStr">
        <is>
          <t>n° 30 : 0,50 + n° 31 : 0,50</t>
        </is>
      </c>
      <c r="H2885" t="n">
        <v>1</v>
      </c>
    </row>
    <row r="2886">
      <c r="A2886" t="inlineStr">
        <is>
          <t>2023-2024</t>
        </is>
      </c>
      <c r="B2886" t="inlineStr">
        <is>
          <t>2023-10-01</t>
        </is>
      </c>
      <c r="C2886" t="inlineStr">
        <is>
          <t>19:53</t>
        </is>
      </c>
      <c r="D2886" t="inlineStr">
        <is>
          <t>n° 28 + n° 29 + n° 30 + n° 31</t>
        </is>
      </c>
      <c r="E2886" t="inlineStr">
        <is>
          <t>Père Gregoire</t>
        </is>
      </c>
      <c r="F2886" t="n">
        <v>5.9</v>
      </c>
      <c r="G2886" t="inlineStr">
        <is>
          <t>n° 30 : 0,50 + n° 31 : 0,50</t>
        </is>
      </c>
      <c r="H2886" t="n">
        <v>1</v>
      </c>
    </row>
    <row r="2887">
      <c r="A2887" t="inlineStr">
        <is>
          <t>2023-2024</t>
        </is>
      </c>
      <c r="B2887" t="inlineStr">
        <is>
          <t>2023-10-01</t>
        </is>
      </c>
      <c r="C2887" t="inlineStr">
        <is>
          <t>19:53</t>
        </is>
      </c>
      <c r="D2887" t="inlineStr">
        <is>
          <t>n° 28 + n° 29 + n° 30 + n° 31</t>
        </is>
      </c>
      <c r="E2887" t="inlineStr">
        <is>
          <t>Salade Verte</t>
        </is>
      </c>
      <c r="F2887" t="n">
        <v>5.9</v>
      </c>
      <c r="G2887" t="inlineStr">
        <is>
          <t>n° 30 : 0,50 + n° 31 : 0,50</t>
        </is>
      </c>
      <c r="H2887" t="n">
        <v>1</v>
      </c>
    </row>
    <row r="2888">
      <c r="A2888" t="inlineStr">
        <is>
          <t>2023-2024</t>
        </is>
      </c>
      <c r="B2888" t="inlineStr">
        <is>
          <t>2023-10-01</t>
        </is>
      </c>
      <c r="C2888" t="inlineStr">
        <is>
          <t>19:53</t>
        </is>
      </c>
      <c r="D2888" t="inlineStr">
        <is>
          <t>n° 28 + n° 29 + n° 30 + n° 31</t>
        </is>
      </c>
      <c r="E2888" t="inlineStr">
        <is>
          <t>GLACE 2 BOULES</t>
        </is>
      </c>
      <c r="F2888" t="n">
        <v>5.5</v>
      </c>
      <c r="G2888" t="inlineStr">
        <is>
          <t>n° 30 : 1,50 + n° 31 : 1,50</t>
        </is>
      </c>
      <c r="H2888" t="n">
        <v>3</v>
      </c>
    </row>
    <row r="2889">
      <c r="A2889" t="inlineStr">
        <is>
          <t>2023-2024</t>
        </is>
      </c>
      <c r="B2889" t="inlineStr">
        <is>
          <t>2023-10-01</t>
        </is>
      </c>
      <c r="C2889" t="inlineStr">
        <is>
          <t>19:53</t>
        </is>
      </c>
      <c r="D2889" t="inlineStr">
        <is>
          <t>n° 28 + n° 29 + n° 30 + n° 31</t>
        </is>
      </c>
      <c r="E2889" t="inlineStr">
        <is>
          <t>Pastis</t>
        </is>
      </c>
      <c r="F2889" t="n">
        <v>4.2</v>
      </c>
      <c r="G2889" t="inlineStr">
        <is>
          <t>n° 30 : 0,50 + n° 31 : 0,50</t>
        </is>
      </c>
      <c r="H2889" t="n">
        <v>1</v>
      </c>
    </row>
    <row r="2890">
      <c r="A2890" t="inlineStr">
        <is>
          <t>2023-2024</t>
        </is>
      </c>
      <c r="B2890" t="inlineStr">
        <is>
          <t>2023-10-01</t>
        </is>
      </c>
      <c r="C2890" t="inlineStr">
        <is>
          <t>19:53</t>
        </is>
      </c>
      <c r="D2890" t="inlineStr">
        <is>
          <t>n° 28 + n° 29 + n° 30 + n° 31</t>
        </is>
      </c>
      <c r="E2890" t="inlineStr">
        <is>
          <t>Kir Bourgogne</t>
        </is>
      </c>
      <c r="F2890" t="n">
        <v>4.2</v>
      </c>
      <c r="G2890" t="inlineStr">
        <is>
          <t>n° 30 : 0,50 + n° 31 : 0,50</t>
        </is>
      </c>
      <c r="H2890" t="n">
        <v>1</v>
      </c>
    </row>
    <row r="2891">
      <c r="A2891" t="inlineStr">
        <is>
          <t>2023-2024</t>
        </is>
      </c>
      <c r="B2891" t="inlineStr">
        <is>
          <t>2023-10-01</t>
        </is>
      </c>
      <c r="C2891" t="inlineStr">
        <is>
          <t>19:53</t>
        </is>
      </c>
      <c r="D2891" t="inlineStr">
        <is>
          <t>n° 28 + n° 29 + n° 30 + n° 31</t>
        </is>
      </c>
      <c r="E2891" t="inlineStr">
        <is>
          <t>Coca (25cl)</t>
        </is>
      </c>
      <c r="F2891" t="n">
        <v>3.9</v>
      </c>
      <c r="G2891" t="inlineStr">
        <is>
          <t>n° 30 : 0,50 + n° 31 : 0,50</t>
        </is>
      </c>
      <c r="H2891" t="n">
        <v>1</v>
      </c>
    </row>
    <row r="2892">
      <c r="A2892" t="inlineStr">
        <is>
          <t>2023-2024</t>
        </is>
      </c>
      <c r="B2892" t="inlineStr">
        <is>
          <t>2023-10-01</t>
        </is>
      </c>
      <c r="C2892" t="inlineStr">
        <is>
          <t>19:53</t>
        </is>
      </c>
      <c r="D2892" t="inlineStr">
        <is>
          <t>n° 28 + n° 29 + n° 30 + n° 31</t>
        </is>
      </c>
      <c r="E2892" t="inlineStr">
        <is>
          <t>POMMES FRITES</t>
        </is>
      </c>
      <c r="F2892" t="n">
        <v>3.9</v>
      </c>
      <c r="G2892" t="inlineStr">
        <is>
          <t>n° 30 : 0,50 + n° 31 : 0,50</t>
        </is>
      </c>
      <c r="H2892" t="n">
        <v>1</v>
      </c>
    </row>
    <row r="2893">
      <c r="A2893" t="inlineStr">
        <is>
          <t>2023-2024</t>
        </is>
      </c>
      <c r="B2893" t="inlineStr">
        <is>
          <t>2023-10-01</t>
        </is>
      </c>
      <c r="C2893" t="inlineStr">
        <is>
          <t>19:53</t>
        </is>
      </c>
      <c r="D2893" t="inlineStr">
        <is>
          <t>n° 28 + n° 29 + n° 30 + n° 31</t>
        </is>
      </c>
      <c r="E2893" t="inlineStr">
        <is>
          <t>GLACE 1 BOULE</t>
        </is>
      </c>
      <c r="F2893" t="n">
        <v>3.5</v>
      </c>
      <c r="G2893" t="inlineStr">
        <is>
          <t>n° 30 : 0,50 + n° 31 : 0,50</t>
        </is>
      </c>
      <c r="H2893" t="n">
        <v>1</v>
      </c>
    </row>
    <row r="2894">
      <c r="A2894" t="inlineStr">
        <is>
          <t>2023-2024</t>
        </is>
      </c>
      <c r="B2894" t="inlineStr">
        <is>
          <t>2023-10-01</t>
        </is>
      </c>
      <c r="C2894" t="inlineStr">
        <is>
          <t>19:53</t>
        </is>
      </c>
      <c r="D2894" t="inlineStr">
        <is>
          <t>n° 28 + n° 29 + n° 30 + n° 31</t>
        </is>
      </c>
      <c r="E2894" t="inlineStr">
        <is>
          <t>SAUCE CHOCO/CAFE/CAR</t>
        </is>
      </c>
      <c r="F2894" t="n">
        <v>2.4</v>
      </c>
      <c r="G2894" t="inlineStr">
        <is>
          <t>n° 30 : 0,50 + n° 31 : 0,50</t>
        </is>
      </c>
      <c r="H2894" t="n">
        <v>1</v>
      </c>
    </row>
    <row r="2895">
      <c r="A2895" t="inlineStr">
        <is>
          <t>2023-2024</t>
        </is>
      </c>
      <c r="B2895" t="inlineStr">
        <is>
          <t>2023-10-05</t>
        </is>
      </c>
      <c r="C2895" t="inlineStr">
        <is>
          <t>19:18</t>
        </is>
      </c>
      <c r="D2895" t="inlineStr">
        <is>
          <t>n° 17 + n° 18</t>
        </is>
      </c>
      <c r="E2895" t="inlineStr">
        <is>
          <t>ASSIETTE FRANC-COMTO</t>
        </is>
      </c>
      <c r="F2895" t="n">
        <v>18.6</v>
      </c>
      <c r="G2895" t="inlineStr">
        <is>
          <t>n° 17 : 0,50 + n° 18 : 0,50</t>
        </is>
      </c>
      <c r="H2895" t="n">
        <v>1</v>
      </c>
    </row>
    <row r="2896">
      <c r="A2896" t="inlineStr">
        <is>
          <t>2023-2024</t>
        </is>
      </c>
      <c r="B2896" t="inlineStr">
        <is>
          <t>2023-10-05</t>
        </is>
      </c>
      <c r="C2896" t="inlineStr">
        <is>
          <t>19:18</t>
        </is>
      </c>
      <c r="D2896" t="inlineStr">
        <is>
          <t>n° 17 + n° 18</t>
        </is>
      </c>
      <c r="E2896" t="inlineStr">
        <is>
          <t>PEUTE</t>
        </is>
      </c>
      <c r="F2896" t="n">
        <v>17.8</v>
      </c>
      <c r="G2896" t="inlineStr">
        <is>
          <t>n° 17 : 0,50 + n° 18 : 0,50</t>
        </is>
      </c>
      <c r="H2896" t="n">
        <v>1</v>
      </c>
    </row>
    <row r="2897">
      <c r="A2897" t="inlineStr">
        <is>
          <t>2023-2024</t>
        </is>
      </c>
      <c r="B2897" t="inlineStr">
        <is>
          <t>2023-10-05</t>
        </is>
      </c>
      <c r="C2897" t="inlineStr">
        <is>
          <t>19:18</t>
        </is>
      </c>
      <c r="D2897" t="inlineStr">
        <is>
          <t>n° 17 + n° 18</t>
        </is>
      </c>
      <c r="E2897" t="inlineStr">
        <is>
          <t>Macvin du Jura</t>
        </is>
      </c>
      <c r="F2897" t="n">
        <v>5.9</v>
      </c>
      <c r="G2897" t="inlineStr">
        <is>
          <t>n° 17 : 0,50 + n° 18 : 0,50</t>
        </is>
      </c>
      <c r="H2897" t="n">
        <v>1</v>
      </c>
    </row>
    <row r="2898">
      <c r="A2898" t="inlineStr">
        <is>
          <t>2023-2024</t>
        </is>
      </c>
      <c r="B2898" t="inlineStr">
        <is>
          <t>2023-10-05</t>
        </is>
      </c>
      <c r="C2898" t="inlineStr">
        <is>
          <t>19:18</t>
        </is>
      </c>
      <c r="D2898" t="inlineStr">
        <is>
          <t>n° 17 + n° 18</t>
        </is>
      </c>
      <c r="E2898" t="inlineStr">
        <is>
          <t>Crepe Chocolat</t>
        </is>
      </c>
      <c r="F2898" t="n">
        <v>5.9</v>
      </c>
      <c r="G2898" t="inlineStr">
        <is>
          <t>n° 17 : 0,50 + n° 18 : 0,50</t>
        </is>
      </c>
      <c r="H2898" t="n">
        <v>1</v>
      </c>
    </row>
    <row r="2899">
      <c r="A2899" t="inlineStr">
        <is>
          <t>2023-2024</t>
        </is>
      </c>
      <c r="B2899" t="inlineStr">
        <is>
          <t>2023-10-05</t>
        </is>
      </c>
      <c r="C2899" t="inlineStr">
        <is>
          <t>19:18</t>
        </is>
      </c>
      <c r="D2899" t="inlineStr">
        <is>
          <t>n° 17 + n° 18</t>
        </is>
      </c>
      <c r="E2899" t="inlineStr">
        <is>
          <t>Crêpe Nutella</t>
        </is>
      </c>
      <c r="F2899" t="n">
        <v>4.9</v>
      </c>
      <c r="G2899" t="inlineStr">
        <is>
          <t>n° 17 : 0,50 + n° 18 : 0,50</t>
        </is>
      </c>
      <c r="H2899" t="n">
        <v>1</v>
      </c>
    </row>
    <row r="2900">
      <c r="A2900" t="inlineStr">
        <is>
          <t>2023-2024</t>
        </is>
      </c>
      <c r="B2900" t="inlineStr">
        <is>
          <t>2023-10-05</t>
        </is>
      </c>
      <c r="C2900" t="inlineStr">
        <is>
          <t>19:18</t>
        </is>
      </c>
      <c r="D2900" t="inlineStr">
        <is>
          <t>n° 17 + n° 18</t>
        </is>
      </c>
      <c r="E2900" t="inlineStr">
        <is>
          <t>Pontarlier</t>
        </is>
      </c>
      <c r="F2900" t="n">
        <v>4.2</v>
      </c>
      <c r="G2900" t="inlineStr">
        <is>
          <t>n° 17 : 0,50 + n° 18 : 0,50</t>
        </is>
      </c>
      <c r="H2900" t="n">
        <v>1</v>
      </c>
    </row>
    <row r="2901">
      <c r="A2901" t="inlineStr">
        <is>
          <t>2023-2024</t>
        </is>
      </c>
      <c r="B2901" t="inlineStr">
        <is>
          <t>2023-10-05</t>
        </is>
      </c>
      <c r="C2901" t="inlineStr">
        <is>
          <t>20:50</t>
        </is>
      </c>
      <c r="D2901" t="inlineStr">
        <is>
          <t>n° 26 + n° 27</t>
        </is>
      </c>
      <c r="E2901" t="inlineStr">
        <is>
          <t>H.C.B BEAUNE BTL</t>
        </is>
      </c>
      <c r="F2901" t="n">
        <v>49</v>
      </c>
      <c r="G2901" t="inlineStr">
        <is>
          <t>n° 26 : 0,50 + n° 27 : 0,50</t>
        </is>
      </c>
      <c r="H2901" t="n">
        <v>1</v>
      </c>
    </row>
    <row r="2902">
      <c r="A2902" t="inlineStr">
        <is>
          <t>2023-2024</t>
        </is>
      </c>
      <c r="B2902" t="inlineStr">
        <is>
          <t>2023-10-06</t>
        </is>
      </c>
      <c r="C2902" t="inlineStr">
        <is>
          <t>19:04</t>
        </is>
      </c>
      <c r="D2902" t="inlineStr">
        <is>
          <t>n° 9 + n° 10</t>
        </is>
      </c>
      <c r="E2902" t="inlineStr">
        <is>
          <t>BURGER COMTOIS</t>
        </is>
      </c>
      <c r="F2902" t="n">
        <v>19</v>
      </c>
      <c r="G2902" t="inlineStr">
        <is>
          <t>n° 9 : 0,50 + n° 10 : 0,50</t>
        </is>
      </c>
      <c r="H2902" t="n">
        <v>1</v>
      </c>
    </row>
    <row r="2903">
      <c r="A2903" t="inlineStr">
        <is>
          <t>2023-2024</t>
        </is>
      </c>
      <c r="B2903" t="inlineStr">
        <is>
          <t>2023-10-06</t>
        </is>
      </c>
      <c r="C2903" t="inlineStr">
        <is>
          <t>19:04</t>
        </is>
      </c>
      <c r="D2903" t="inlineStr">
        <is>
          <t>n° 9 + n° 10</t>
        </is>
      </c>
      <c r="E2903" t="inlineStr">
        <is>
          <t>ASSIETTE PERE GREGOI</t>
        </is>
      </c>
      <c r="F2903" t="n">
        <v>18.6</v>
      </c>
      <c r="G2903" t="inlineStr">
        <is>
          <t>n° 9 : 0,50 + n° 10 : 0,50</t>
        </is>
      </c>
      <c r="H2903" t="n">
        <v>1</v>
      </c>
    </row>
    <row r="2904">
      <c r="A2904" t="inlineStr">
        <is>
          <t>2023-2024</t>
        </is>
      </c>
      <c r="B2904" t="inlineStr">
        <is>
          <t>2023-10-06</t>
        </is>
      </c>
      <c r="C2904" t="inlineStr">
        <is>
          <t>19:04</t>
        </is>
      </c>
      <c r="D2904" t="inlineStr">
        <is>
          <t>n° 9 + n° 10</t>
        </is>
      </c>
      <c r="E2904" t="inlineStr">
        <is>
          <t>GLACE 2 BOULES</t>
        </is>
      </c>
      <c r="F2904" t="n">
        <v>5.5</v>
      </c>
      <c r="G2904" t="inlineStr">
        <is>
          <t>n° 9 : 0,50 + n° 10 : 0,50</t>
        </is>
      </c>
      <c r="H2904" t="n">
        <v>1</v>
      </c>
    </row>
    <row r="2905">
      <c r="A2905" t="inlineStr">
        <is>
          <t>2023-2024</t>
        </is>
      </c>
      <c r="B2905" t="inlineStr">
        <is>
          <t>2023-10-06</t>
        </is>
      </c>
      <c r="C2905" t="inlineStr">
        <is>
          <t>19:04</t>
        </is>
      </c>
      <c r="D2905" t="inlineStr">
        <is>
          <t>n° 9 + n° 10</t>
        </is>
      </c>
      <c r="E2905" t="inlineStr">
        <is>
          <t>Schweppes</t>
        </is>
      </c>
      <c r="F2905" t="n">
        <v>3.9</v>
      </c>
      <c r="G2905" t="inlineStr">
        <is>
          <t>n° 9 : 0,50 + n° 10 : 0,50</t>
        </is>
      </c>
      <c r="H2905" t="n">
        <v>1</v>
      </c>
    </row>
    <row r="2906">
      <c r="A2906" t="inlineStr">
        <is>
          <t>2023-2024</t>
        </is>
      </c>
      <c r="B2906" t="inlineStr">
        <is>
          <t>2023-10-06</t>
        </is>
      </c>
      <c r="C2906" t="inlineStr">
        <is>
          <t>19:04</t>
        </is>
      </c>
      <c r="D2906" t="inlineStr">
        <is>
          <t>n° 9 + n° 10</t>
        </is>
      </c>
      <c r="E2906" t="inlineStr">
        <is>
          <t>Diabolo (25cl)</t>
        </is>
      </c>
      <c r="F2906" t="n">
        <v>3.9</v>
      </c>
      <c r="G2906" t="inlineStr">
        <is>
          <t>n° 9 : 0,50 + n° 10 : 0,50</t>
        </is>
      </c>
      <c r="H2906" t="n">
        <v>1</v>
      </c>
    </row>
    <row r="2907">
      <c r="A2907" t="inlineStr">
        <is>
          <t>2023-2024</t>
        </is>
      </c>
      <c r="B2907" t="inlineStr">
        <is>
          <t>2023-10-08</t>
        </is>
      </c>
      <c r="C2907" t="inlineStr">
        <is>
          <t>12:12</t>
        </is>
      </c>
      <c r="D2907" t="inlineStr">
        <is>
          <t>n° 5 + n° 6</t>
        </is>
      </c>
      <c r="E2907" t="inlineStr">
        <is>
          <t>ASSIETTE FRANC-COMTO</t>
        </is>
      </c>
      <c r="F2907" t="n">
        <v>18.6</v>
      </c>
      <c r="G2907" t="inlineStr">
        <is>
          <t>n° 5 : 0,50 + n° 6 : 0,50</t>
        </is>
      </c>
      <c r="H2907" t="n">
        <v>1</v>
      </c>
    </row>
    <row r="2908">
      <c r="A2908" t="inlineStr">
        <is>
          <t>2023-2024</t>
        </is>
      </c>
      <c r="B2908" t="inlineStr">
        <is>
          <t>2023-10-08</t>
        </is>
      </c>
      <c r="C2908" t="inlineStr">
        <is>
          <t>12:12</t>
        </is>
      </c>
      <c r="D2908" t="inlineStr">
        <is>
          <t>n° 5 + n° 6</t>
        </is>
      </c>
      <c r="E2908" t="inlineStr">
        <is>
          <t>Comté</t>
        </is>
      </c>
      <c r="F2908" t="n">
        <v>4</v>
      </c>
      <c r="G2908" t="inlineStr">
        <is>
          <t>n° 5 : 0,50 + n° 6 : 0,50</t>
        </is>
      </c>
      <c r="H2908" t="n">
        <v>1</v>
      </c>
    </row>
    <row r="2909">
      <c r="A2909" t="inlineStr">
        <is>
          <t>2023-2024</t>
        </is>
      </c>
      <c r="B2909" t="inlineStr">
        <is>
          <t>2023-10-08</t>
        </is>
      </c>
      <c r="C2909" t="inlineStr">
        <is>
          <t>12:12</t>
        </is>
      </c>
      <c r="D2909" t="inlineStr">
        <is>
          <t>n° 5 + n° 6</t>
        </is>
      </c>
      <c r="E2909" t="inlineStr">
        <is>
          <t>Galette nature</t>
        </is>
      </c>
      <c r="F2909" t="n">
        <v>3.9</v>
      </c>
      <c r="G2909" t="inlineStr">
        <is>
          <t>n° 5 : 0,50 + n° 6 : 0,50</t>
        </is>
      </c>
      <c r="H2909" t="n">
        <v>1</v>
      </c>
    </row>
    <row r="2910">
      <c r="A2910" t="inlineStr">
        <is>
          <t>2023-2024</t>
        </is>
      </c>
      <c r="B2910" t="inlineStr">
        <is>
          <t>2023-10-08</t>
        </is>
      </c>
      <c r="C2910" t="inlineStr">
        <is>
          <t>12:12</t>
        </is>
      </c>
      <c r="D2910" t="inlineStr">
        <is>
          <t>n° 5 + n° 6</t>
        </is>
      </c>
      <c r="E2910" t="inlineStr">
        <is>
          <t>Jambon Blanc</t>
        </is>
      </c>
      <c r="F2910" t="n">
        <v>3.8</v>
      </c>
      <c r="G2910" t="inlineStr">
        <is>
          <t>n° 5 : 0,50 + n° 6 : 0,50</t>
        </is>
      </c>
      <c r="H2910" t="n">
        <v>1</v>
      </c>
    </row>
    <row r="2911">
      <c r="A2911" t="inlineStr">
        <is>
          <t>2023-2024</t>
        </is>
      </c>
      <c r="B2911" t="inlineStr">
        <is>
          <t>2023-10-08</t>
        </is>
      </c>
      <c r="C2911" t="inlineStr">
        <is>
          <t>12:12</t>
        </is>
      </c>
      <c r="D2911" t="inlineStr">
        <is>
          <t>n° 5 + n° 6</t>
        </is>
      </c>
      <c r="E2911" t="inlineStr">
        <is>
          <t>Champignons frais</t>
        </is>
      </c>
      <c r="F2911" t="n">
        <v>3.2</v>
      </c>
      <c r="G2911" t="inlineStr">
        <is>
          <t>n° 5 : 0,50 + n° 6 : 0,50</t>
        </is>
      </c>
      <c r="H2911" t="n">
        <v>1</v>
      </c>
    </row>
    <row r="2912">
      <c r="A2912" t="inlineStr">
        <is>
          <t>2023-2024</t>
        </is>
      </c>
      <c r="B2912" t="inlineStr">
        <is>
          <t>2023-10-08</t>
        </is>
      </c>
      <c r="C2912" t="inlineStr">
        <is>
          <t>12:12</t>
        </is>
      </c>
      <c r="D2912" t="inlineStr">
        <is>
          <t>n° 5 + n° 6</t>
        </is>
      </c>
      <c r="E2912" t="inlineStr">
        <is>
          <t>Œuf</t>
        </is>
      </c>
      <c r="F2912" t="n">
        <v>0.9</v>
      </c>
      <c r="G2912" t="inlineStr">
        <is>
          <t>n° 5 : 0,50 + n° 6 : 0,50</t>
        </is>
      </c>
      <c r="H2912" t="n">
        <v>1</v>
      </c>
    </row>
    <row r="2913">
      <c r="A2913" t="inlineStr">
        <is>
          <t>2023-2024</t>
        </is>
      </c>
      <c r="B2913" t="inlineStr">
        <is>
          <t>2023-10-08</t>
        </is>
      </c>
      <c r="C2913" t="inlineStr">
        <is>
          <t>19:44</t>
        </is>
      </c>
      <c r="D2913" t="inlineStr">
        <is>
          <t>n° 20 + n° 21</t>
        </is>
      </c>
      <c r="E2913" t="inlineStr">
        <is>
          <t>Macvin du Jura</t>
        </is>
      </c>
      <c r="F2913" t="n">
        <v>45</v>
      </c>
      <c r="G2913" t="inlineStr">
        <is>
          <t>n° 20 : 0,50 + n° 21 : 0,50</t>
        </is>
      </c>
      <c r="H2913" t="n">
        <v>1</v>
      </c>
    </row>
    <row r="2914">
      <c r="A2914" t="inlineStr">
        <is>
          <t>2023-2024</t>
        </is>
      </c>
      <c r="B2914" t="inlineStr">
        <is>
          <t>2023-10-08</t>
        </is>
      </c>
      <c r="C2914" t="inlineStr">
        <is>
          <t>19:44</t>
        </is>
      </c>
      <c r="D2914" t="inlineStr">
        <is>
          <t>n° 20 + n° 21</t>
        </is>
      </c>
      <c r="E2914" t="inlineStr">
        <is>
          <t>ENTRECOTE MORILLES</t>
        </is>
      </c>
      <c r="F2914" t="n">
        <v>34.8</v>
      </c>
      <c r="G2914" t="inlineStr">
        <is>
          <t>n° 20 : 0,50 + n° 21 : 0,50</t>
        </is>
      </c>
      <c r="H2914" t="n">
        <v>1</v>
      </c>
    </row>
    <row r="2915">
      <c r="A2915" t="inlineStr">
        <is>
          <t>2023-2024</t>
        </is>
      </c>
      <c r="B2915" t="inlineStr">
        <is>
          <t>2023-10-08</t>
        </is>
      </c>
      <c r="C2915" t="inlineStr">
        <is>
          <t>19:44</t>
        </is>
      </c>
      <c r="D2915" t="inlineStr">
        <is>
          <t>n° 20 + n° 21</t>
        </is>
      </c>
      <c r="E2915" t="inlineStr">
        <is>
          <t>Truite Morilles</t>
        </is>
      </c>
      <c r="F2915" t="n">
        <v>27.8</v>
      </c>
      <c r="G2915" t="inlineStr">
        <is>
          <t>n° 20 : 1,50 + n° 21 : 1,50</t>
        </is>
      </c>
      <c r="H2915" t="n">
        <v>3</v>
      </c>
    </row>
    <row r="2916">
      <c r="A2916" t="inlineStr">
        <is>
          <t>2023-2024</t>
        </is>
      </c>
      <c r="B2916" t="inlineStr">
        <is>
          <t>2023-10-08</t>
        </is>
      </c>
      <c r="C2916" t="inlineStr">
        <is>
          <t>19:44</t>
        </is>
      </c>
      <c r="D2916" t="inlineStr">
        <is>
          <t>n° 20 + n° 21</t>
        </is>
      </c>
      <c r="E2916" t="inlineStr">
        <is>
          <t>Pavlova</t>
        </is>
      </c>
      <c r="F2916" t="n">
        <v>8.9</v>
      </c>
      <c r="G2916" t="inlineStr">
        <is>
          <t>n° 20 : 0,50 + n° 21 : 0,50</t>
        </is>
      </c>
      <c r="H2916" t="n">
        <v>1</v>
      </c>
    </row>
    <row r="2917">
      <c r="A2917" t="inlineStr">
        <is>
          <t>2023-2024</t>
        </is>
      </c>
      <c r="B2917" t="inlineStr">
        <is>
          <t>2023-10-08</t>
        </is>
      </c>
      <c r="C2917" t="inlineStr">
        <is>
          <t>19:44</t>
        </is>
      </c>
      <c r="D2917" t="inlineStr">
        <is>
          <t>n° 20 + n° 21</t>
        </is>
      </c>
      <c r="E2917" t="inlineStr">
        <is>
          <t>bluette</t>
        </is>
      </c>
      <c r="F2917" t="n">
        <v>7.9</v>
      </c>
      <c r="G2917" t="inlineStr">
        <is>
          <t>n° 20 : 0,50 + n° 21 : 0,50</t>
        </is>
      </c>
      <c r="H2917" t="n">
        <v>1</v>
      </c>
    </row>
    <row r="2918">
      <c r="A2918" t="inlineStr">
        <is>
          <t>2023-2024</t>
        </is>
      </c>
      <c r="B2918" t="inlineStr">
        <is>
          <t>2023-10-08</t>
        </is>
      </c>
      <c r="C2918" t="inlineStr">
        <is>
          <t>19:44</t>
        </is>
      </c>
      <c r="D2918" t="inlineStr">
        <is>
          <t>n° 20 + n° 21</t>
        </is>
      </c>
      <c r="E2918" t="inlineStr">
        <is>
          <t>Fuze Tea</t>
        </is>
      </c>
      <c r="F2918" t="n">
        <v>3.9</v>
      </c>
      <c r="G2918" t="inlineStr">
        <is>
          <t>n° 20 : 0,50 + n° 21 : 0,50</t>
        </is>
      </c>
      <c r="H2918" t="n">
        <v>1</v>
      </c>
    </row>
    <row r="2919">
      <c r="A2919" t="inlineStr">
        <is>
          <t>2023-2024</t>
        </is>
      </c>
      <c r="B2919" t="inlineStr">
        <is>
          <t>2023-10-08</t>
        </is>
      </c>
      <c r="C2919" t="inlineStr">
        <is>
          <t>19:44</t>
        </is>
      </c>
      <c r="D2919" t="inlineStr">
        <is>
          <t>n° 20 + n° 21</t>
        </is>
      </c>
      <c r="E2919" t="inlineStr">
        <is>
          <t>Sirop à l'eau</t>
        </is>
      </c>
      <c r="F2919" t="n">
        <v>2.2</v>
      </c>
      <c r="G2919" t="inlineStr">
        <is>
          <t>n° 20 : 0,50 + n° 21 : 0,50</t>
        </is>
      </c>
      <c r="H2919" t="n">
        <v>1</v>
      </c>
    </row>
    <row r="2920">
      <c r="A2920" t="inlineStr">
        <is>
          <t>2023-2024</t>
        </is>
      </c>
      <c r="B2920" t="inlineStr">
        <is>
          <t>2023-10-08</t>
        </is>
      </c>
      <c r="C2920" t="inlineStr">
        <is>
          <t>19:44</t>
        </is>
      </c>
      <c r="D2920" t="inlineStr">
        <is>
          <t>n° 20 + n° 21</t>
        </is>
      </c>
      <c r="E2920" t="inlineStr">
        <is>
          <t>Expresso</t>
        </is>
      </c>
      <c r="F2920" t="n">
        <v>2.2</v>
      </c>
      <c r="G2920" t="inlineStr">
        <is>
          <t>n° 20 : 0,50 + n° 21 : 0,50</t>
        </is>
      </c>
      <c r="H2920" t="n">
        <v>1</v>
      </c>
    </row>
    <row r="2921">
      <c r="A2921" t="inlineStr">
        <is>
          <t>2023-2024</t>
        </is>
      </c>
      <c r="B2921" t="inlineStr">
        <is>
          <t>2023-10-12</t>
        </is>
      </c>
      <c r="C2921" t="inlineStr">
        <is>
          <t>11:52</t>
        </is>
      </c>
      <c r="D2921" t="inlineStr">
        <is>
          <t>n° 2 + n° 3 + n° 5 + n° 6</t>
        </is>
      </c>
      <c r="E2921" t="inlineStr">
        <is>
          <t>PICHET SAVAGNIN</t>
        </is>
      </c>
      <c r="F2921" t="n">
        <v>28</v>
      </c>
      <c r="G2921" t="inlineStr">
        <is>
          <t>n° 5 : 0,50 + n° 6 : 0,50</t>
        </is>
      </c>
      <c r="H2921" t="n">
        <v>1</v>
      </c>
    </row>
    <row r="2922">
      <c r="A2922" t="inlineStr">
        <is>
          <t>2023-2024</t>
        </is>
      </c>
      <c r="B2922" t="inlineStr">
        <is>
          <t>2023-10-12</t>
        </is>
      </c>
      <c r="C2922" t="inlineStr">
        <is>
          <t>11:52</t>
        </is>
      </c>
      <c r="D2922" t="inlineStr">
        <is>
          <t>n° 2 + n° 3 + n° 5 + n° 6</t>
        </is>
      </c>
      <c r="E2922" t="inlineStr">
        <is>
          <t>POULET JURASSIENNE</t>
        </is>
      </c>
      <c r="F2922" t="n">
        <v>18.6</v>
      </c>
      <c r="G2922" t="inlineStr">
        <is>
          <t>n° 2 : 0,50 + n° 3 : 0,50</t>
        </is>
      </c>
      <c r="H2922" t="n">
        <v>1</v>
      </c>
    </row>
    <row r="2923">
      <c r="A2923" t="inlineStr">
        <is>
          <t>2023-2024</t>
        </is>
      </c>
      <c r="B2923" t="inlineStr">
        <is>
          <t>2023-10-12</t>
        </is>
      </c>
      <c r="C2923" t="inlineStr">
        <is>
          <t>11:52</t>
        </is>
      </c>
      <c r="D2923" t="inlineStr">
        <is>
          <t>n° 2 + n° 3 + n° 5 + n° 6</t>
        </is>
      </c>
      <c r="E2923" t="inlineStr">
        <is>
          <t>MORTEAU GRILLEE</t>
        </is>
      </c>
      <c r="F2923" t="n">
        <v>18.6</v>
      </c>
      <c r="G2923" t="inlineStr">
        <is>
          <t>n° 5 : 1,50 + n° 6 : 1,50</t>
        </is>
      </c>
      <c r="H2923" t="n">
        <v>3</v>
      </c>
    </row>
    <row r="2924">
      <c r="A2924" t="inlineStr">
        <is>
          <t>2023-2024</t>
        </is>
      </c>
      <c r="B2924" t="inlineStr">
        <is>
          <t>2023-10-12</t>
        </is>
      </c>
      <c r="C2924" t="inlineStr">
        <is>
          <t>11:52</t>
        </is>
      </c>
      <c r="D2924" t="inlineStr">
        <is>
          <t>n° 2 + n° 3 + n° 5 + n° 6</t>
        </is>
      </c>
      <c r="E2924" t="inlineStr">
        <is>
          <t>BARBEULENET</t>
        </is>
      </c>
      <c r="F2924" t="n">
        <v>17.4</v>
      </c>
      <c r="G2924" t="inlineStr">
        <is>
          <t>n° 5 : 0,50 + n° 6 : 0,50</t>
        </is>
      </c>
      <c r="H2924" t="n">
        <v>1</v>
      </c>
    </row>
    <row r="2925">
      <c r="A2925" t="inlineStr">
        <is>
          <t>2023-2024</t>
        </is>
      </c>
      <c r="B2925" t="inlineStr">
        <is>
          <t>2023-10-12</t>
        </is>
      </c>
      <c r="C2925" t="inlineStr">
        <is>
          <t>11:52</t>
        </is>
      </c>
      <c r="D2925" t="inlineStr">
        <is>
          <t>n° 2 + n° 3 + n° 5 + n° 6</t>
        </is>
      </c>
      <c r="E2925" t="inlineStr">
        <is>
          <t>CABRICHOU</t>
        </is>
      </c>
      <c r="F2925" t="n">
        <v>16.9</v>
      </c>
      <c r="G2925" t="inlineStr">
        <is>
          <t>n° 2 : 0,50 + n° 3 : 0,50</t>
        </is>
      </c>
      <c r="H2925" t="n">
        <v>1</v>
      </c>
    </row>
    <row r="2926">
      <c r="A2926" t="inlineStr">
        <is>
          <t>2023-2024</t>
        </is>
      </c>
      <c r="B2926" t="inlineStr">
        <is>
          <t>2023-10-12</t>
        </is>
      </c>
      <c r="C2926" t="inlineStr">
        <is>
          <t>11:52</t>
        </is>
      </c>
      <c r="D2926" t="inlineStr">
        <is>
          <t>n° 2 + n° 3 + n° 5 + n° 6</t>
        </is>
      </c>
      <c r="E2926" t="inlineStr">
        <is>
          <t>CREME BRULEE</t>
        </is>
      </c>
      <c r="F2926" t="n">
        <v>7.9</v>
      </c>
      <c r="G2926" t="inlineStr">
        <is>
          <t>n° 5 : 0,50 + n° 6 : 0,50</t>
        </is>
      </c>
      <c r="H2926" t="n">
        <v>1</v>
      </c>
    </row>
    <row r="2927">
      <c r="A2927" t="inlineStr">
        <is>
          <t>2023-2024</t>
        </is>
      </c>
      <c r="B2927" t="inlineStr">
        <is>
          <t>2023-10-12</t>
        </is>
      </c>
      <c r="C2927" t="inlineStr">
        <is>
          <t>12:25</t>
        </is>
      </c>
      <c r="D2927" t="inlineStr">
        <is>
          <t>n° 11 + n° 12</t>
        </is>
      </c>
      <c r="E2927" t="inlineStr">
        <is>
          <t>1/2 Arbois Béthanie</t>
        </is>
      </c>
      <c r="F2927" t="n">
        <v>24</v>
      </c>
      <c r="G2927" t="inlineStr">
        <is>
          <t>n° 11 : 0,50 + n° 12 : 0,50</t>
        </is>
      </c>
      <c r="H2927" t="n">
        <v>1</v>
      </c>
    </row>
    <row r="2928">
      <c r="A2928" t="inlineStr">
        <is>
          <t>2023-2024</t>
        </is>
      </c>
      <c r="B2928" t="inlineStr">
        <is>
          <t>2023-10-12</t>
        </is>
      </c>
      <c r="C2928" t="inlineStr">
        <is>
          <t>12:25</t>
        </is>
      </c>
      <c r="D2928" t="inlineStr">
        <is>
          <t>n° 11 + n° 12</t>
        </is>
      </c>
      <c r="E2928" t="inlineStr">
        <is>
          <t>POULET JURASSIENNE</t>
        </is>
      </c>
      <c r="F2928" t="n">
        <v>18.6</v>
      </c>
      <c r="G2928" t="inlineStr">
        <is>
          <t>n° 11 : 0,50 + n° 12 : 0,50</t>
        </is>
      </c>
      <c r="H2928" t="n">
        <v>1</v>
      </c>
    </row>
    <row r="2929">
      <c r="A2929" t="inlineStr">
        <is>
          <t>2023-2024</t>
        </is>
      </c>
      <c r="B2929" t="inlineStr">
        <is>
          <t>2023-10-12</t>
        </is>
      </c>
      <c r="C2929" t="inlineStr">
        <is>
          <t>12:25</t>
        </is>
      </c>
      <c r="D2929" t="inlineStr">
        <is>
          <t>n° 11 + n° 12</t>
        </is>
      </c>
      <c r="E2929" t="inlineStr">
        <is>
          <t>TRUITE JURASSIENNE</t>
        </is>
      </c>
      <c r="F2929" t="n">
        <v>18.6</v>
      </c>
      <c r="G2929" t="inlineStr">
        <is>
          <t>n° 11 : 0,50 + n° 12 : 0,50</t>
        </is>
      </c>
      <c r="H2929" t="n">
        <v>1</v>
      </c>
    </row>
    <row r="2930">
      <c r="A2930" t="inlineStr">
        <is>
          <t>2023-2024</t>
        </is>
      </c>
      <c r="B2930" t="inlineStr">
        <is>
          <t>2023-10-12</t>
        </is>
      </c>
      <c r="C2930" t="inlineStr">
        <is>
          <t>12:25</t>
        </is>
      </c>
      <c r="D2930" t="inlineStr">
        <is>
          <t>n° 11 + n° 12</t>
        </is>
      </c>
      <c r="E2930" t="inlineStr">
        <is>
          <t>Salade Franc-Comptoi</t>
        </is>
      </c>
      <c r="F2930" t="n">
        <v>8.9</v>
      </c>
      <c r="G2930" t="inlineStr">
        <is>
          <t>n° 11 : 0,50 + n° 12 : 0,50</t>
        </is>
      </c>
      <c r="H2930" t="n">
        <v>1</v>
      </c>
    </row>
    <row r="2931">
      <c r="A2931" t="inlineStr">
        <is>
          <t>2023-2024</t>
        </is>
      </c>
      <c r="B2931" t="inlineStr">
        <is>
          <t>2023-10-12</t>
        </is>
      </c>
      <c r="C2931" t="inlineStr">
        <is>
          <t>12:25</t>
        </is>
      </c>
      <c r="D2931" t="inlineStr">
        <is>
          <t>n° 11 + n° 12</t>
        </is>
      </c>
      <c r="E2931" t="inlineStr">
        <is>
          <t>Chat perché</t>
        </is>
      </c>
      <c r="F2931" t="n">
        <v>5.9</v>
      </c>
      <c r="G2931" t="inlineStr">
        <is>
          <t>n° 11 : 0,50 + n° 12 : 0,50</t>
        </is>
      </c>
      <c r="H2931" t="n">
        <v>1</v>
      </c>
    </row>
    <row r="2932">
      <c r="A2932" t="inlineStr">
        <is>
          <t>2023-2024</t>
        </is>
      </c>
      <c r="B2932" t="inlineStr">
        <is>
          <t>2023-10-12</t>
        </is>
      </c>
      <c r="C2932" t="inlineStr">
        <is>
          <t>12:25</t>
        </is>
      </c>
      <c r="D2932" t="inlineStr">
        <is>
          <t>n° 11 + n° 12</t>
        </is>
      </c>
      <c r="E2932" t="inlineStr">
        <is>
          <t>Crémant</t>
        </is>
      </c>
      <c r="F2932" t="n">
        <v>5</v>
      </c>
      <c r="G2932" t="inlineStr">
        <is>
          <t>n° 11 : 0,50 + n° 12 : 0,50</t>
        </is>
      </c>
      <c r="H2932" t="n">
        <v>1</v>
      </c>
    </row>
    <row r="2933">
      <c r="A2933" t="inlineStr">
        <is>
          <t>2023-2024</t>
        </is>
      </c>
      <c r="B2933" t="inlineStr">
        <is>
          <t>2023-10-12</t>
        </is>
      </c>
      <c r="C2933" t="inlineStr">
        <is>
          <t>19:38</t>
        </is>
      </c>
      <c r="D2933" t="inlineStr">
        <is>
          <t>n° 24 + n° 25</t>
        </is>
      </c>
      <c r="E2933" t="inlineStr">
        <is>
          <t>Cidre Bouché Brut</t>
        </is>
      </c>
      <c r="F2933" t="n">
        <v>16</v>
      </c>
      <c r="G2933" t="inlineStr">
        <is>
          <t>n° 24 : 0,50 + n° 25 : 0,50</t>
        </is>
      </c>
      <c r="H2933" t="n">
        <v>1</v>
      </c>
    </row>
    <row r="2934">
      <c r="A2934" t="inlineStr">
        <is>
          <t>2023-2024</t>
        </is>
      </c>
      <c r="B2934" t="inlineStr">
        <is>
          <t>2023-10-13</t>
        </is>
      </c>
      <c r="C2934" t="inlineStr">
        <is>
          <t>19:35</t>
        </is>
      </c>
      <c r="D2934" t="inlineStr">
        <is>
          <t>n° 32 + n° 33</t>
        </is>
      </c>
      <c r="E2934" t="inlineStr">
        <is>
          <t>Truite Morilles</t>
        </is>
      </c>
      <c r="F2934" t="n">
        <v>27.8</v>
      </c>
      <c r="G2934" t="inlineStr">
        <is>
          <t>n° 32 : 0,50 + n° 33 : 0,50</t>
        </is>
      </c>
      <c r="H2934" t="n">
        <v>1</v>
      </c>
    </row>
    <row r="2935">
      <c r="A2935" t="inlineStr">
        <is>
          <t>2023-2024</t>
        </is>
      </c>
      <c r="B2935" t="inlineStr">
        <is>
          <t>2023-10-13</t>
        </is>
      </c>
      <c r="C2935" t="inlineStr">
        <is>
          <t>19:35</t>
        </is>
      </c>
      <c r="D2935" t="inlineStr">
        <is>
          <t>n° 32 + n° 33</t>
        </is>
      </c>
      <c r="E2935" t="inlineStr">
        <is>
          <t>CAMEMBERT ROTI</t>
        </is>
      </c>
      <c r="F2935" t="n">
        <v>18.6</v>
      </c>
      <c r="G2935" t="inlineStr">
        <is>
          <t>n° 32 : 0,50 + n° 33 : 0,50</t>
        </is>
      </c>
      <c r="H2935" t="n">
        <v>1</v>
      </c>
    </row>
    <row r="2936">
      <c r="A2936" t="inlineStr">
        <is>
          <t>2023-2024</t>
        </is>
      </c>
      <c r="B2936" t="inlineStr">
        <is>
          <t>2023-10-13</t>
        </is>
      </c>
      <c r="C2936" t="inlineStr">
        <is>
          <t>19:35</t>
        </is>
      </c>
      <c r="D2936" t="inlineStr">
        <is>
          <t>n° 32 + n° 33</t>
        </is>
      </c>
      <c r="E2936" t="inlineStr">
        <is>
          <t>PICHET ALIGOTE 50cL</t>
        </is>
      </c>
      <c r="F2936" t="n">
        <v>10.5</v>
      </c>
      <c r="G2936" t="inlineStr">
        <is>
          <t>n° 32 : 0,50 + n° 33 : 0,50</t>
        </is>
      </c>
      <c r="H2936" t="n">
        <v>1</v>
      </c>
    </row>
    <row r="2937">
      <c r="A2937" t="inlineStr">
        <is>
          <t>2023-2024</t>
        </is>
      </c>
      <c r="B2937" t="inlineStr">
        <is>
          <t>2023-10-13</t>
        </is>
      </c>
      <c r="C2937" t="inlineStr">
        <is>
          <t>19:35</t>
        </is>
      </c>
      <c r="D2937" t="inlineStr">
        <is>
          <t>n° 32 + n° 33</t>
        </is>
      </c>
      <c r="E2937" t="inlineStr">
        <is>
          <t>CREME BRULEE</t>
        </is>
      </c>
      <c r="F2937" t="n">
        <v>7.9</v>
      </c>
      <c r="G2937" t="inlineStr">
        <is>
          <t>n° 32 : 0,50 + n° 33 : 0,50</t>
        </is>
      </c>
      <c r="H2937" t="n">
        <v>1</v>
      </c>
    </row>
    <row r="2938">
      <c r="A2938" t="inlineStr">
        <is>
          <t>2023-2024</t>
        </is>
      </c>
      <c r="B2938" t="inlineStr">
        <is>
          <t>2023-10-13</t>
        </is>
      </c>
      <c r="C2938" t="inlineStr">
        <is>
          <t>19:35</t>
        </is>
      </c>
      <c r="D2938" t="inlineStr">
        <is>
          <t>n° 32 + n° 33</t>
        </is>
      </c>
      <c r="E2938" t="inlineStr">
        <is>
          <t>Crêpe Salidou</t>
        </is>
      </c>
      <c r="F2938" t="n">
        <v>6.4</v>
      </c>
      <c r="G2938" t="inlineStr">
        <is>
          <t>n° 32 : 1,50 + n° 33 : 1,50</t>
        </is>
      </c>
      <c r="H2938" t="n">
        <v>3</v>
      </c>
    </row>
    <row r="2939">
      <c r="A2939" t="inlineStr">
        <is>
          <t>2023-2024</t>
        </is>
      </c>
      <c r="B2939" t="inlineStr">
        <is>
          <t>2023-10-13</t>
        </is>
      </c>
      <c r="C2939" t="inlineStr">
        <is>
          <t>19:35</t>
        </is>
      </c>
      <c r="D2939" t="inlineStr">
        <is>
          <t>n° 32 + n° 33</t>
        </is>
      </c>
      <c r="E2939" t="inlineStr">
        <is>
          <t>Macvin du Jura</t>
        </is>
      </c>
      <c r="F2939" t="n">
        <v>5.9</v>
      </c>
      <c r="G2939" t="inlineStr">
        <is>
          <t>n° 32 : 0,50 + n° 33 : 0,50</t>
        </is>
      </c>
      <c r="H2939" t="n">
        <v>1</v>
      </c>
    </row>
    <row r="2940">
      <c r="A2940" t="inlineStr">
        <is>
          <t>2023-2024</t>
        </is>
      </c>
      <c r="B2940" t="inlineStr">
        <is>
          <t>2023-10-13</t>
        </is>
      </c>
      <c r="C2940" t="inlineStr">
        <is>
          <t>19:35</t>
        </is>
      </c>
      <c r="D2940" t="inlineStr">
        <is>
          <t>n° 32 + n° 33</t>
        </is>
      </c>
      <c r="E2940" t="inlineStr">
        <is>
          <t>La Vouivre</t>
        </is>
      </c>
      <c r="F2940" t="n">
        <v>5.9</v>
      </c>
      <c r="G2940" t="inlineStr">
        <is>
          <t>n° 32 : 0,50 + n° 33 : 0,50</t>
        </is>
      </c>
      <c r="H2940" t="n">
        <v>1</v>
      </c>
    </row>
    <row r="2941">
      <c r="A2941" t="inlineStr">
        <is>
          <t>2023-2024</t>
        </is>
      </c>
      <c r="B2941" t="inlineStr">
        <is>
          <t>2023-10-13</t>
        </is>
      </c>
      <c r="C2941" t="inlineStr">
        <is>
          <t>20:23</t>
        </is>
      </c>
      <c r="D2941" t="inlineStr">
        <is>
          <t>n° 36 + n° 37 + n° 38 + n° 40</t>
        </is>
      </c>
      <c r="E2941" t="inlineStr">
        <is>
          <t>TANTE ARIE</t>
        </is>
      </c>
      <c r="F2941" t="n">
        <v>11.9</v>
      </c>
      <c r="G2941" t="inlineStr">
        <is>
          <t>n° 36 : 0,50 + n° 37 : 0,50</t>
        </is>
      </c>
      <c r="H2941" t="n">
        <v>1</v>
      </c>
    </row>
    <row r="2942">
      <c r="A2942" t="inlineStr">
        <is>
          <t>2023-2024</t>
        </is>
      </c>
      <c r="B2942" t="inlineStr">
        <is>
          <t>2023-10-13</t>
        </is>
      </c>
      <c r="C2942" t="inlineStr">
        <is>
          <t>20:23</t>
        </is>
      </c>
      <c r="D2942" t="inlineStr">
        <is>
          <t>n° 36 + n° 37 + n° 38 + n° 40</t>
        </is>
      </c>
      <c r="E2942" t="inlineStr">
        <is>
          <t>BAGATELLE</t>
        </is>
      </c>
      <c r="F2942" t="n">
        <v>9.800000000000001</v>
      </c>
      <c r="G2942" t="inlineStr">
        <is>
          <t>n° 36 : 0,50 + n° 37 : 0,50</t>
        </is>
      </c>
      <c r="H2942" t="n">
        <v>1</v>
      </c>
    </row>
    <row r="2943">
      <c r="A2943" t="inlineStr">
        <is>
          <t>2023-2024</t>
        </is>
      </c>
      <c r="B2943" t="inlineStr">
        <is>
          <t>2023-10-13</t>
        </is>
      </c>
      <c r="C2943" t="inlineStr">
        <is>
          <t>20:23</t>
        </is>
      </c>
      <c r="D2943" t="inlineStr">
        <is>
          <t>n° 36 + n° 37 + n° 38 + n° 40</t>
        </is>
      </c>
      <c r="E2943" t="inlineStr">
        <is>
          <t>Pichet CHUSLAN</t>
        </is>
      </c>
      <c r="F2943" t="n">
        <v>9.5</v>
      </c>
      <c r="G2943" t="inlineStr">
        <is>
          <t>n° 38 : 0,50 + n° 40 : 0,50</t>
        </is>
      </c>
      <c r="H2943" t="n">
        <v>1</v>
      </c>
    </row>
    <row r="2944">
      <c r="A2944" t="inlineStr">
        <is>
          <t>2023-2024</t>
        </is>
      </c>
      <c r="B2944" t="inlineStr">
        <is>
          <t>2023-10-13</t>
        </is>
      </c>
      <c r="C2944" t="inlineStr">
        <is>
          <t>20:23</t>
        </is>
      </c>
      <c r="D2944" t="inlineStr">
        <is>
          <t>n° 36 + n° 37 + n° 38 + n° 40</t>
        </is>
      </c>
      <c r="E2944" t="inlineStr">
        <is>
          <t>Saucisse de Morteau</t>
        </is>
      </c>
      <c r="F2944" t="n">
        <v>8.9</v>
      </c>
      <c r="G2944" t="inlineStr">
        <is>
          <t>n° 36 : 0,50 + n° 37 : 0,50</t>
        </is>
      </c>
      <c r="H2944" t="n">
        <v>1</v>
      </c>
    </row>
    <row r="2945">
      <c r="A2945" t="inlineStr">
        <is>
          <t>2023-2024</t>
        </is>
      </c>
      <c r="B2945" t="inlineStr">
        <is>
          <t>2023-10-13</t>
        </is>
      </c>
      <c r="C2945" t="inlineStr">
        <is>
          <t>20:23</t>
        </is>
      </c>
      <c r="D2945" t="inlineStr">
        <is>
          <t>n° 36 + n° 37 + n° 38 + n° 40</t>
        </is>
      </c>
      <c r="E2945" t="inlineStr">
        <is>
          <t>GLACE 3 BOULES</t>
        </is>
      </c>
      <c r="F2945" t="n">
        <v>7.9</v>
      </c>
      <c r="G2945" t="inlineStr">
        <is>
          <t>n° 36 : 0,50 + n° 37 : 0,50</t>
        </is>
      </c>
      <c r="H2945" t="n">
        <v>1</v>
      </c>
    </row>
    <row r="2946">
      <c r="A2946" t="inlineStr">
        <is>
          <t>2023-2024</t>
        </is>
      </c>
      <c r="B2946" t="inlineStr">
        <is>
          <t>2023-10-13</t>
        </is>
      </c>
      <c r="C2946" t="inlineStr">
        <is>
          <t>20:23</t>
        </is>
      </c>
      <c r="D2946" t="inlineStr">
        <is>
          <t>n° 36 + n° 37 + n° 38 + n° 40</t>
        </is>
      </c>
      <c r="E2946" t="inlineStr">
        <is>
          <t>Mambo</t>
        </is>
      </c>
      <c r="F2946" t="n">
        <v>6.5</v>
      </c>
      <c r="G2946" t="inlineStr">
        <is>
          <t>n° 36 : 0,50 + n° 37 : 0,50</t>
        </is>
      </c>
      <c r="H2946" t="n">
        <v>1</v>
      </c>
    </row>
    <row r="2947">
      <c r="A2947" t="inlineStr">
        <is>
          <t>2023-2024</t>
        </is>
      </c>
      <c r="B2947" t="inlineStr">
        <is>
          <t>2023-10-13</t>
        </is>
      </c>
      <c r="C2947" t="inlineStr">
        <is>
          <t>20:23</t>
        </is>
      </c>
      <c r="D2947" t="inlineStr">
        <is>
          <t>n° 36 + n° 37 + n° 38 + n° 40</t>
        </is>
      </c>
      <c r="E2947" t="inlineStr">
        <is>
          <t>SAUCE JURASSIENNE</t>
        </is>
      </c>
      <c r="F2947" t="n">
        <v>6.1</v>
      </c>
      <c r="G2947" t="inlineStr">
        <is>
          <t>n° 36 : 0,50 + n° 37 : 0,50</t>
        </is>
      </c>
      <c r="H2947" t="n">
        <v>1</v>
      </c>
    </row>
    <row r="2948">
      <c r="A2948" t="inlineStr">
        <is>
          <t>2023-2024</t>
        </is>
      </c>
      <c r="B2948" t="inlineStr">
        <is>
          <t>2023-10-13</t>
        </is>
      </c>
      <c r="C2948" t="inlineStr">
        <is>
          <t>20:23</t>
        </is>
      </c>
      <c r="D2948" t="inlineStr">
        <is>
          <t>n° 36 + n° 37 + n° 38 + n° 40</t>
        </is>
      </c>
      <c r="E2948" t="inlineStr">
        <is>
          <t>Luna</t>
        </is>
      </c>
      <c r="F2948" t="n">
        <v>6</v>
      </c>
      <c r="G2948" t="inlineStr">
        <is>
          <t>n° 36 : 0,50 + n° 37 : 0,50</t>
        </is>
      </c>
      <c r="H2948" t="n">
        <v>1</v>
      </c>
    </row>
    <row r="2949">
      <c r="A2949" t="inlineStr">
        <is>
          <t>2023-2024</t>
        </is>
      </c>
      <c r="B2949" t="inlineStr">
        <is>
          <t>2023-10-13</t>
        </is>
      </c>
      <c r="C2949" t="inlineStr">
        <is>
          <t>20:23</t>
        </is>
      </c>
      <c r="D2949" t="inlineStr">
        <is>
          <t>n° 36 + n° 37 + n° 38 + n° 40</t>
        </is>
      </c>
      <c r="E2949" t="inlineStr">
        <is>
          <t>Crêpe Nutella</t>
        </is>
      </c>
      <c r="F2949" t="n">
        <v>4.9</v>
      </c>
      <c r="G2949" t="inlineStr">
        <is>
          <t>n° 36 : 0,50 + n° 37 : 0,50</t>
        </is>
      </c>
      <c r="H2949" t="n">
        <v>1</v>
      </c>
    </row>
    <row r="2950">
      <c r="A2950" t="inlineStr">
        <is>
          <t>2023-2024</t>
        </is>
      </c>
      <c r="B2950" t="inlineStr">
        <is>
          <t>2023-10-13</t>
        </is>
      </c>
      <c r="C2950" t="inlineStr">
        <is>
          <t>20:23</t>
        </is>
      </c>
      <c r="D2950" t="inlineStr">
        <is>
          <t>n° 36 + n° 37 + n° 38 + n° 40</t>
        </is>
      </c>
      <c r="E2950" t="inlineStr">
        <is>
          <t>Comté</t>
        </is>
      </c>
      <c r="F2950" t="n">
        <v>4</v>
      </c>
      <c r="G2950" t="inlineStr">
        <is>
          <t>n° 36 : 0,50 + n° 37 : 0,50</t>
        </is>
      </c>
      <c r="H2950" t="n">
        <v>1</v>
      </c>
    </row>
    <row r="2951">
      <c r="A2951" t="inlineStr">
        <is>
          <t>2023-2024</t>
        </is>
      </c>
      <c r="B2951" t="inlineStr">
        <is>
          <t>2023-10-13</t>
        </is>
      </c>
      <c r="C2951" t="inlineStr">
        <is>
          <t>20:23</t>
        </is>
      </c>
      <c r="D2951" t="inlineStr">
        <is>
          <t>n° 36 + n° 37 + n° 38 + n° 40</t>
        </is>
      </c>
      <c r="E2951" t="inlineStr">
        <is>
          <t>Cancoillotte</t>
        </is>
      </c>
      <c r="F2951" t="n">
        <v>3.9</v>
      </c>
      <c r="G2951" t="inlineStr">
        <is>
          <t>n° 36 : 0,50 + n° 37 : 0,50</t>
        </is>
      </c>
      <c r="H2951" t="n">
        <v>1</v>
      </c>
    </row>
    <row r="2952">
      <c r="A2952" t="inlineStr">
        <is>
          <t>2023-2024</t>
        </is>
      </c>
      <c r="B2952" t="inlineStr">
        <is>
          <t>2023-10-13</t>
        </is>
      </c>
      <c r="C2952" t="inlineStr">
        <is>
          <t>20:23</t>
        </is>
      </c>
      <c r="D2952" t="inlineStr">
        <is>
          <t>n° 36 + n° 37 + n° 38 + n° 40</t>
        </is>
      </c>
      <c r="E2952" t="inlineStr">
        <is>
          <t>Crêpe au sucre</t>
        </is>
      </c>
      <c r="F2952" t="n">
        <v>3.9</v>
      </c>
      <c r="G2952" t="inlineStr">
        <is>
          <t>n° 36 : 0,50 + n° 37 : 0,50</t>
        </is>
      </c>
      <c r="H2952" t="n">
        <v>1</v>
      </c>
    </row>
    <row r="2953">
      <c r="A2953" t="inlineStr">
        <is>
          <t>2023-2024</t>
        </is>
      </c>
      <c r="B2953" t="inlineStr">
        <is>
          <t>2023-10-13</t>
        </is>
      </c>
      <c r="C2953" t="inlineStr">
        <is>
          <t>20:23</t>
        </is>
      </c>
      <c r="D2953" t="inlineStr">
        <is>
          <t>n° 36 + n° 37 + n° 38 + n° 40</t>
        </is>
      </c>
      <c r="E2953" t="inlineStr">
        <is>
          <t>Pommes de Terre</t>
        </is>
      </c>
      <c r="F2953" t="n">
        <v>3.2</v>
      </c>
      <c r="G2953" t="inlineStr">
        <is>
          <t>n° 36 : 0,50 + n° 37 : 0,50</t>
        </is>
      </c>
      <c r="H2953" t="n">
        <v>1</v>
      </c>
    </row>
    <row r="2954">
      <c r="A2954" t="inlineStr">
        <is>
          <t>2023-2024</t>
        </is>
      </c>
      <c r="B2954" t="inlineStr">
        <is>
          <t>2023-10-13</t>
        </is>
      </c>
      <c r="C2954" t="inlineStr">
        <is>
          <t>20:23</t>
        </is>
      </c>
      <c r="D2954" t="inlineStr">
        <is>
          <t>n° 36 + n° 37 + n° 38 + n° 40</t>
        </is>
      </c>
      <c r="E2954" t="inlineStr">
        <is>
          <t>Noix</t>
        </is>
      </c>
      <c r="F2954" t="n">
        <v>1.4</v>
      </c>
      <c r="G2954" t="inlineStr">
        <is>
          <t>n° 36 : 0,50 + n° 37 : 0,50</t>
        </is>
      </c>
      <c r="H2954" t="n">
        <v>1</v>
      </c>
    </row>
    <row r="2955">
      <c r="A2955" t="inlineStr">
        <is>
          <t>2023-2024</t>
        </is>
      </c>
      <c r="B2955" t="inlineStr">
        <is>
          <t>2023-10-14</t>
        </is>
      </c>
      <c r="C2955" t="inlineStr">
        <is>
          <t>12:48</t>
        </is>
      </c>
      <c r="D2955" t="inlineStr">
        <is>
          <t>n° 8 + n° 9 + n° 12 + n° 13</t>
        </is>
      </c>
      <c r="E2955" t="inlineStr">
        <is>
          <t>Menu 'Galette'</t>
        </is>
      </c>
      <c r="F2955" t="n">
        <v>19.5</v>
      </c>
      <c r="G2955" t="inlineStr">
        <is>
          <t>n° 8 : 0,50 + n° 9 : 0,50</t>
        </is>
      </c>
      <c r="H2955" t="n">
        <v>1</v>
      </c>
    </row>
    <row r="2956">
      <c r="A2956" t="inlineStr">
        <is>
          <t>2023-2024</t>
        </is>
      </c>
      <c r="B2956" t="inlineStr">
        <is>
          <t>2023-10-14</t>
        </is>
      </c>
      <c r="C2956" t="inlineStr">
        <is>
          <t>12:48</t>
        </is>
      </c>
      <c r="D2956" t="inlineStr">
        <is>
          <t>n° 8 + n° 9 + n° 12 + n° 13</t>
        </is>
      </c>
      <c r="E2956" t="inlineStr">
        <is>
          <t>ASSIETTE FRANC-COMTO</t>
        </is>
      </c>
      <c r="F2956" t="n">
        <v>18.6</v>
      </c>
      <c r="G2956" t="inlineStr">
        <is>
          <t>n° 12 : 0,50 + n° 13 : 0,50</t>
        </is>
      </c>
      <c r="H2956" t="n">
        <v>1</v>
      </c>
    </row>
    <row r="2957">
      <c r="A2957" t="inlineStr">
        <is>
          <t>2023-2024</t>
        </is>
      </c>
      <c r="B2957" t="inlineStr">
        <is>
          <t>2023-10-14</t>
        </is>
      </c>
      <c r="C2957" t="inlineStr">
        <is>
          <t>12:48</t>
        </is>
      </c>
      <c r="D2957" t="inlineStr">
        <is>
          <t>n° 8 + n° 9 + n° 12 + n° 13</t>
        </is>
      </c>
      <c r="E2957" t="inlineStr">
        <is>
          <t>BARBEULENET</t>
        </is>
      </c>
      <c r="F2957" t="n">
        <v>17.4</v>
      </c>
      <c r="G2957" t="inlineStr">
        <is>
          <t>n° 12 : 0,50 + n° 13 : 0,50</t>
        </is>
      </c>
      <c r="H2957" t="n">
        <v>1</v>
      </c>
    </row>
    <row r="2958">
      <c r="A2958" t="inlineStr">
        <is>
          <t>2023-2024</t>
        </is>
      </c>
      <c r="B2958" t="inlineStr">
        <is>
          <t>2023-10-14</t>
        </is>
      </c>
      <c r="C2958" t="inlineStr">
        <is>
          <t>12:48</t>
        </is>
      </c>
      <c r="D2958" t="inlineStr">
        <is>
          <t>n° 8 + n° 9 + n° 12 + n° 13</t>
        </is>
      </c>
      <c r="E2958" t="inlineStr">
        <is>
          <t>TRUITE PESTO</t>
        </is>
      </c>
      <c r="F2958" t="n">
        <v>16.9</v>
      </c>
      <c r="G2958" t="inlineStr">
        <is>
          <t>n° 8 : 0,50 + n° 9 : 0,50</t>
        </is>
      </c>
      <c r="H2958" t="n">
        <v>1</v>
      </c>
    </row>
    <row r="2959">
      <c r="A2959" t="inlineStr">
        <is>
          <t>2023-2024</t>
        </is>
      </c>
      <c r="B2959" t="inlineStr">
        <is>
          <t>2023-10-14</t>
        </is>
      </c>
      <c r="C2959" t="inlineStr">
        <is>
          <t>12:48</t>
        </is>
      </c>
      <c r="D2959" t="inlineStr">
        <is>
          <t>n° 8 + n° 9 + n° 12 + n° 13</t>
        </is>
      </c>
      <c r="E2959" t="inlineStr">
        <is>
          <t>Luna</t>
        </is>
      </c>
      <c r="F2959" t="n">
        <v>6</v>
      </c>
      <c r="G2959" t="inlineStr">
        <is>
          <t>n° 8 : 0,50 + n° 9 : 0,50</t>
        </is>
      </c>
      <c r="H2959" t="n">
        <v>1</v>
      </c>
    </row>
    <row r="2960">
      <c r="A2960" t="inlineStr">
        <is>
          <t>2023-2024</t>
        </is>
      </c>
      <c r="B2960" t="inlineStr">
        <is>
          <t>2023-10-14</t>
        </is>
      </c>
      <c r="C2960" t="inlineStr">
        <is>
          <t>12:48</t>
        </is>
      </c>
      <c r="D2960" t="inlineStr">
        <is>
          <t>n° 8 + n° 9 + n° 12 + n° 13</t>
        </is>
      </c>
      <c r="E2960" t="inlineStr">
        <is>
          <t>La Vouivre</t>
        </is>
      </c>
      <c r="F2960" t="n">
        <v>5.9</v>
      </c>
      <c r="G2960" t="inlineStr">
        <is>
          <t>n° 8 : 0,50 + n° 9 : 0,50</t>
        </is>
      </c>
      <c r="H2960" t="n">
        <v>1</v>
      </c>
    </row>
    <row r="2961">
      <c r="A2961" t="inlineStr">
        <is>
          <t>2023-2024</t>
        </is>
      </c>
      <c r="B2961" t="inlineStr">
        <is>
          <t>2023-10-14</t>
        </is>
      </c>
      <c r="C2961" t="inlineStr">
        <is>
          <t>12:48</t>
        </is>
      </c>
      <c r="D2961" t="inlineStr">
        <is>
          <t>n° 8 + n° 9 + n° 12 + n° 13</t>
        </is>
      </c>
      <c r="E2961" t="inlineStr">
        <is>
          <t>GLACE 2 BOULES</t>
        </is>
      </c>
      <c r="F2961" t="n">
        <v>5.5</v>
      </c>
      <c r="G2961" t="inlineStr">
        <is>
          <t>n° 12 : 0,50 + n° 13 : 0,50</t>
        </is>
      </c>
      <c r="H2961" t="n">
        <v>1</v>
      </c>
    </row>
    <row r="2962">
      <c r="A2962" t="inlineStr">
        <is>
          <t>2023-2024</t>
        </is>
      </c>
      <c r="B2962" t="inlineStr">
        <is>
          <t>2023-10-14</t>
        </is>
      </c>
      <c r="C2962" t="inlineStr">
        <is>
          <t>12:48</t>
        </is>
      </c>
      <c r="D2962" t="inlineStr">
        <is>
          <t>n° 8 + n° 9 + n° 12 + n° 13</t>
        </is>
      </c>
      <c r="E2962" t="inlineStr">
        <is>
          <t>Crêpe Nutella</t>
        </is>
      </c>
      <c r="F2962" t="n">
        <v>4.9</v>
      </c>
      <c r="G2962" t="inlineStr">
        <is>
          <t>n° 12 : 0,50 + n° 13 : 0,50</t>
        </is>
      </c>
      <c r="H2962" t="n">
        <v>1</v>
      </c>
    </row>
    <row r="2963">
      <c r="A2963" t="inlineStr">
        <is>
          <t>2023-2024</t>
        </is>
      </c>
      <c r="B2963" t="inlineStr">
        <is>
          <t>2023-10-14</t>
        </is>
      </c>
      <c r="C2963" t="inlineStr">
        <is>
          <t>12:48</t>
        </is>
      </c>
      <c r="D2963" t="inlineStr">
        <is>
          <t>n° 8 + n° 9 + n° 12 + n° 13</t>
        </is>
      </c>
      <c r="E2963" t="inlineStr">
        <is>
          <t>pression</t>
        </is>
      </c>
      <c r="F2963" t="n">
        <v>4.2</v>
      </c>
      <c r="G2963" t="inlineStr">
        <is>
          <t>n° 8 : 0,50 + n° 9 : 0,50</t>
        </is>
      </c>
      <c r="H2963" t="n">
        <v>1</v>
      </c>
    </row>
    <row r="2964">
      <c r="A2964" t="inlineStr">
        <is>
          <t>2023-2024</t>
        </is>
      </c>
      <c r="B2964" t="inlineStr">
        <is>
          <t>2023-10-14</t>
        </is>
      </c>
      <c r="C2964" t="inlineStr">
        <is>
          <t>12:48</t>
        </is>
      </c>
      <c r="D2964" t="inlineStr">
        <is>
          <t>n° 8 + n° 9 + n° 12 + n° 13</t>
        </is>
      </c>
      <c r="E2964" t="inlineStr">
        <is>
          <t>Limonade (25cl)</t>
        </is>
      </c>
      <c r="F2964" t="n">
        <v>3.9</v>
      </c>
      <c r="G2964" t="inlineStr">
        <is>
          <t>n° 12 : 0,50 + n° 13 : 0,50</t>
        </is>
      </c>
      <c r="H2964" t="n">
        <v>1</v>
      </c>
    </row>
    <row r="2965">
      <c r="A2965" t="inlineStr">
        <is>
          <t>2023-2024</t>
        </is>
      </c>
      <c r="B2965" t="inlineStr">
        <is>
          <t>2023-10-14</t>
        </is>
      </c>
      <c r="C2965" t="inlineStr">
        <is>
          <t>12:48</t>
        </is>
      </c>
      <c r="D2965" t="inlineStr">
        <is>
          <t>n° 8 + n° 9 + n° 12 + n° 13</t>
        </is>
      </c>
      <c r="E2965" t="inlineStr">
        <is>
          <t>Fuze Tea</t>
        </is>
      </c>
      <c r="F2965" t="n">
        <v>3.9</v>
      </c>
      <c r="G2965" t="inlineStr">
        <is>
          <t>n° 12 : 0,50 + n° 13 : 0,50</t>
        </is>
      </c>
      <c r="H2965" t="n">
        <v>1</v>
      </c>
    </row>
    <row r="2966">
      <c r="A2966" t="inlineStr">
        <is>
          <t>2023-2024</t>
        </is>
      </c>
      <c r="B2966" t="inlineStr">
        <is>
          <t>2023-10-14</t>
        </is>
      </c>
      <c r="C2966" t="inlineStr">
        <is>
          <t>12:48</t>
        </is>
      </c>
      <c r="D2966" t="inlineStr">
        <is>
          <t>n° 8 + n° 9 + n° 12 + n° 13</t>
        </is>
      </c>
      <c r="E2966" t="inlineStr">
        <is>
          <t>Thé</t>
        </is>
      </c>
      <c r="F2966" t="n">
        <v>3.4</v>
      </c>
      <c r="G2966" t="inlineStr">
        <is>
          <t>n° 8 : 0,50 + n° 9 : 0,50</t>
        </is>
      </c>
      <c r="H2966" t="n">
        <v>1</v>
      </c>
    </row>
    <row r="2967">
      <c r="A2967" t="inlineStr">
        <is>
          <t>2023-2024</t>
        </is>
      </c>
      <c r="B2967" t="inlineStr">
        <is>
          <t>2023-10-14</t>
        </is>
      </c>
      <c r="C2967" t="inlineStr">
        <is>
          <t>12:48</t>
        </is>
      </c>
      <c r="D2967" t="inlineStr">
        <is>
          <t>n° 8 + n° 9 + n° 12 + n° 13</t>
        </is>
      </c>
      <c r="E2967" t="inlineStr">
        <is>
          <t>Expresso</t>
        </is>
      </c>
      <c r="F2967" t="n">
        <v>2.2</v>
      </c>
      <c r="G2967" t="inlineStr">
        <is>
          <t>n° 8 : 1,50 + n° 9 : 1,50 + n° 12 : 0,50 + n° 13 : 0,50</t>
        </is>
      </c>
      <c r="H2967" t="n">
        <v>4</v>
      </c>
    </row>
    <row r="2968">
      <c r="A2968" t="inlineStr">
        <is>
          <t>2023-2024</t>
        </is>
      </c>
      <c r="B2968" t="inlineStr">
        <is>
          <t>2023-10-15</t>
        </is>
      </c>
      <c r="C2968" t="inlineStr">
        <is>
          <t>13:09</t>
        </is>
      </c>
      <c r="D2968" t="inlineStr">
        <is>
          <t>n° 9 + n° 10</t>
        </is>
      </c>
      <c r="E2968" t="inlineStr">
        <is>
          <t>ENTRECOTE MORILLES</t>
        </is>
      </c>
      <c r="F2968" t="n">
        <v>34.8</v>
      </c>
      <c r="G2968" t="inlineStr">
        <is>
          <t>n° 9 : 0,50 + n° 10 : 0,50</t>
        </is>
      </c>
      <c r="H2968" t="n">
        <v>1</v>
      </c>
    </row>
    <row r="2969">
      <c r="A2969" t="inlineStr">
        <is>
          <t>2023-2024</t>
        </is>
      </c>
      <c r="B2969" t="inlineStr">
        <is>
          <t>2023-10-15</t>
        </is>
      </c>
      <c r="C2969" t="inlineStr">
        <is>
          <t>13:09</t>
        </is>
      </c>
      <c r="D2969" t="inlineStr">
        <is>
          <t>n° 9 + n° 10</t>
        </is>
      </c>
      <c r="E2969" t="inlineStr">
        <is>
          <t>PICHET HCB</t>
        </is>
      </c>
      <c r="F2969" t="n">
        <v>32</v>
      </c>
      <c r="G2969" t="inlineStr">
        <is>
          <t>n° 9 : 0,50 + n° 10 : 0,50</t>
        </is>
      </c>
      <c r="H2969" t="n">
        <v>1</v>
      </c>
    </row>
    <row r="2970">
      <c r="A2970" t="inlineStr">
        <is>
          <t>2023-2024</t>
        </is>
      </c>
      <c r="B2970" t="inlineStr">
        <is>
          <t>2023-10-15</t>
        </is>
      </c>
      <c r="C2970" t="inlineStr">
        <is>
          <t>13:09</t>
        </is>
      </c>
      <c r="D2970" t="inlineStr">
        <is>
          <t>n° 9 + n° 10</t>
        </is>
      </c>
      <c r="E2970" t="inlineStr">
        <is>
          <t>Entrecôte Forestiére</t>
        </is>
      </c>
      <c r="F2970" t="n">
        <v>27.8</v>
      </c>
      <c r="G2970" t="inlineStr">
        <is>
          <t>n° 9 : 0,50 + n° 10 : 0,50</t>
        </is>
      </c>
      <c r="H2970" t="n">
        <v>1</v>
      </c>
    </row>
    <row r="2971">
      <c r="A2971" t="inlineStr">
        <is>
          <t>2023-2024</t>
        </is>
      </c>
      <c r="B2971" t="inlineStr">
        <is>
          <t>2023-10-15</t>
        </is>
      </c>
      <c r="C2971" t="inlineStr">
        <is>
          <t>13:09</t>
        </is>
      </c>
      <c r="D2971" t="inlineStr">
        <is>
          <t>n° 9 + n° 10</t>
        </is>
      </c>
      <c r="E2971" t="inlineStr">
        <is>
          <t>Crémeux du Jura</t>
        </is>
      </c>
      <c r="F2971" t="n">
        <v>19</v>
      </c>
      <c r="G2971" t="inlineStr">
        <is>
          <t>n° 9 : 0,50 + n° 10 : 0,50</t>
        </is>
      </c>
      <c r="H2971" t="n">
        <v>1</v>
      </c>
    </row>
    <row r="2972">
      <c r="A2972" t="inlineStr">
        <is>
          <t>2023-2024</t>
        </is>
      </c>
      <c r="B2972" t="inlineStr">
        <is>
          <t>2023-10-15</t>
        </is>
      </c>
      <c r="C2972" t="inlineStr">
        <is>
          <t>13:09</t>
        </is>
      </c>
      <c r="D2972" t="inlineStr">
        <is>
          <t>n° 9 + n° 10</t>
        </is>
      </c>
      <c r="E2972" t="inlineStr">
        <is>
          <t>CAMEMBERT ROTI</t>
        </is>
      </c>
      <c r="F2972" t="n">
        <v>18.6</v>
      </c>
      <c r="G2972" t="inlineStr">
        <is>
          <t>n° 9 : 0,50 + n° 10 : 0,50</t>
        </is>
      </c>
      <c r="H2972" t="n">
        <v>1</v>
      </c>
    </row>
    <row r="2973">
      <c r="A2973" t="inlineStr">
        <is>
          <t>2023-2024</t>
        </is>
      </c>
      <c r="B2973" t="inlineStr">
        <is>
          <t>2023-10-15</t>
        </is>
      </c>
      <c r="C2973" t="inlineStr">
        <is>
          <t>13:09</t>
        </is>
      </c>
      <c r="D2973" t="inlineStr">
        <is>
          <t>n° 9 + n° 10</t>
        </is>
      </c>
      <c r="E2973" t="inlineStr">
        <is>
          <t>Baba</t>
        </is>
      </c>
      <c r="F2973" t="n">
        <v>8.9</v>
      </c>
      <c r="G2973" t="inlineStr">
        <is>
          <t>n° 9 : 0,50 + n° 10 : 0,50</t>
        </is>
      </c>
      <c r="H2973" t="n">
        <v>1</v>
      </c>
    </row>
    <row r="2974">
      <c r="A2974" t="inlineStr">
        <is>
          <t>2023-2024</t>
        </is>
      </c>
      <c r="B2974" t="inlineStr">
        <is>
          <t>2023-10-15</t>
        </is>
      </c>
      <c r="C2974" t="inlineStr">
        <is>
          <t>13:09</t>
        </is>
      </c>
      <c r="D2974" t="inlineStr">
        <is>
          <t>n° 9 + n° 10</t>
        </is>
      </c>
      <c r="E2974" t="inlineStr">
        <is>
          <t>NOIRAUD</t>
        </is>
      </c>
      <c r="F2974" t="n">
        <v>7.9</v>
      </c>
      <c r="G2974" t="inlineStr">
        <is>
          <t>n° 9 : 0,50 + n° 10 : 0,50</t>
        </is>
      </c>
      <c r="H2974" t="n">
        <v>1</v>
      </c>
    </row>
    <row r="2975">
      <c r="A2975" t="inlineStr">
        <is>
          <t>2023-2024</t>
        </is>
      </c>
      <c r="B2975" t="inlineStr">
        <is>
          <t>2023-10-15</t>
        </is>
      </c>
      <c r="C2975" t="inlineStr">
        <is>
          <t>13:09</t>
        </is>
      </c>
      <c r="D2975" t="inlineStr">
        <is>
          <t>n° 9 + n° 10</t>
        </is>
      </c>
      <c r="E2975" t="inlineStr">
        <is>
          <t>Mambo</t>
        </is>
      </c>
      <c r="F2975" t="n">
        <v>6.5</v>
      </c>
      <c r="G2975" t="inlineStr">
        <is>
          <t>n° 9 : 0,50 + n° 10 : 0,50</t>
        </is>
      </c>
      <c r="H2975" t="n">
        <v>1</v>
      </c>
    </row>
    <row r="2976">
      <c r="A2976" t="inlineStr">
        <is>
          <t>2023-2024</t>
        </is>
      </c>
      <c r="B2976" t="inlineStr">
        <is>
          <t>2023-10-15</t>
        </is>
      </c>
      <c r="C2976" t="inlineStr">
        <is>
          <t>13:09</t>
        </is>
      </c>
      <c r="D2976" t="inlineStr">
        <is>
          <t>n° 9 + n° 10</t>
        </is>
      </c>
      <c r="E2976" t="inlineStr">
        <is>
          <t>Macvin du Jura</t>
        </is>
      </c>
      <c r="F2976" t="n">
        <v>5.9</v>
      </c>
      <c r="G2976" t="inlineStr">
        <is>
          <t>n° 9 : 0,50 + n° 10 : 0,50</t>
        </is>
      </c>
      <c r="H2976" t="n">
        <v>1</v>
      </c>
    </row>
    <row r="2977">
      <c r="A2977" t="inlineStr">
        <is>
          <t>2023-2024</t>
        </is>
      </c>
      <c r="B2977" t="inlineStr">
        <is>
          <t>2023-10-15</t>
        </is>
      </c>
      <c r="C2977" t="inlineStr">
        <is>
          <t>13:09</t>
        </is>
      </c>
      <c r="D2977" t="inlineStr">
        <is>
          <t>n° 9 + n° 10</t>
        </is>
      </c>
      <c r="E2977" t="inlineStr">
        <is>
          <t>KITTYKIR</t>
        </is>
      </c>
      <c r="F2977" t="n">
        <v>5.2</v>
      </c>
      <c r="G2977" t="inlineStr">
        <is>
          <t>n° 9 : 0,50 + n° 10 : 0,50</t>
        </is>
      </c>
      <c r="H2977" t="n">
        <v>1</v>
      </c>
    </row>
    <row r="2978">
      <c r="A2978" t="inlineStr">
        <is>
          <t>2023-2024</t>
        </is>
      </c>
      <c r="B2978" t="inlineStr">
        <is>
          <t>2023-10-15</t>
        </is>
      </c>
      <c r="C2978" t="inlineStr">
        <is>
          <t>13:09</t>
        </is>
      </c>
      <c r="D2978" t="inlineStr">
        <is>
          <t>n° 9 + n° 10</t>
        </is>
      </c>
      <c r="E2978" t="inlineStr">
        <is>
          <t>Crêpe Nutella</t>
        </is>
      </c>
      <c r="F2978" t="n">
        <v>4.9</v>
      </c>
      <c r="G2978" t="inlineStr">
        <is>
          <t>n° 9 : 0,50 + n° 10 : 0,50</t>
        </is>
      </c>
      <c r="H2978" t="n">
        <v>1</v>
      </c>
    </row>
    <row r="2979">
      <c r="A2979" t="inlineStr">
        <is>
          <t>2023-2024</t>
        </is>
      </c>
      <c r="B2979" t="inlineStr">
        <is>
          <t>2023-10-15</t>
        </is>
      </c>
      <c r="C2979" t="inlineStr">
        <is>
          <t>13:09</t>
        </is>
      </c>
      <c r="D2979" t="inlineStr">
        <is>
          <t>n° 9 + n° 10</t>
        </is>
      </c>
      <c r="E2979" t="inlineStr">
        <is>
          <t>Pontarlier</t>
        </is>
      </c>
      <c r="F2979" t="n">
        <v>4.2</v>
      </c>
      <c r="G2979" t="inlineStr">
        <is>
          <t>n° 9 : 0,50 + n° 10 : 0,50</t>
        </is>
      </c>
      <c r="H2979" t="n">
        <v>1</v>
      </c>
    </row>
    <row r="2980">
      <c r="A2980" t="inlineStr">
        <is>
          <t>2023-2024</t>
        </is>
      </c>
      <c r="B2980" t="inlineStr">
        <is>
          <t>2023-10-15</t>
        </is>
      </c>
      <c r="C2980" t="inlineStr">
        <is>
          <t>13:09</t>
        </is>
      </c>
      <c r="D2980" t="inlineStr">
        <is>
          <t>n° 9 + n° 10</t>
        </is>
      </c>
      <c r="E2980" t="inlineStr">
        <is>
          <t>BANANE</t>
        </is>
      </c>
      <c r="F2980" t="n">
        <v>2.7</v>
      </c>
      <c r="G2980" t="inlineStr">
        <is>
          <t>n° 9 : 0,50 + n° 10 : 0,50</t>
        </is>
      </c>
      <c r="H2980" t="n">
        <v>1</v>
      </c>
    </row>
    <row r="2981">
      <c r="A2981" t="inlineStr">
        <is>
          <t>2023-2024</t>
        </is>
      </c>
      <c r="B2981" t="inlineStr">
        <is>
          <t>2023-10-15</t>
        </is>
      </c>
      <c r="C2981" t="inlineStr">
        <is>
          <t>13:09</t>
        </is>
      </c>
      <c r="D2981" t="inlineStr">
        <is>
          <t>n° 9 + n° 10</t>
        </is>
      </c>
      <c r="E2981" t="inlineStr">
        <is>
          <t>CHANTILLY</t>
        </is>
      </c>
      <c r="F2981" t="n">
        <v>2.5</v>
      </c>
      <c r="G2981" t="inlineStr">
        <is>
          <t>n° 9 : 0,50 + n° 10 : 0,50</t>
        </is>
      </c>
      <c r="H2981" t="n">
        <v>1</v>
      </c>
    </row>
    <row r="2982">
      <c r="A2982" t="inlineStr">
        <is>
          <t>2023-2024</t>
        </is>
      </c>
      <c r="B2982" t="inlineStr">
        <is>
          <t>2023-10-15</t>
        </is>
      </c>
      <c r="C2982" t="inlineStr">
        <is>
          <t>13:27</t>
        </is>
      </c>
      <c r="D2982" t="inlineStr">
        <is>
          <t>n° 13 + n° 14</t>
        </is>
      </c>
      <c r="E2982" t="inlineStr">
        <is>
          <t>CANCOINE</t>
        </is>
      </c>
      <c r="F2982" t="n">
        <v>25.5</v>
      </c>
      <c r="G2982" t="inlineStr">
        <is>
          <t>n° 13 : 0,50 + n° 14 : 0,50</t>
        </is>
      </c>
      <c r="H2982" t="n">
        <v>1</v>
      </c>
    </row>
    <row r="2983">
      <c r="A2983" t="inlineStr">
        <is>
          <t>2023-2024</t>
        </is>
      </c>
      <c r="B2983" t="inlineStr">
        <is>
          <t>2023-10-15</t>
        </is>
      </c>
      <c r="C2983" t="inlineStr">
        <is>
          <t>13:27</t>
        </is>
      </c>
      <c r="D2983" t="inlineStr">
        <is>
          <t>n° 13 + n° 14</t>
        </is>
      </c>
      <c r="E2983" t="inlineStr">
        <is>
          <t>MACHON GOURMET</t>
        </is>
      </c>
      <c r="F2983" t="n">
        <v>25</v>
      </c>
      <c r="G2983" t="inlineStr">
        <is>
          <t>n° 13 : 0,50 + n° 14 : 0,50</t>
        </is>
      </c>
      <c r="H2983" t="n">
        <v>1</v>
      </c>
    </row>
    <row r="2984">
      <c r="A2984" t="inlineStr">
        <is>
          <t>2023-2024</t>
        </is>
      </c>
      <c r="B2984" t="inlineStr">
        <is>
          <t>2023-10-15</t>
        </is>
      </c>
      <c r="C2984" t="inlineStr">
        <is>
          <t>13:27</t>
        </is>
      </c>
      <c r="D2984" t="inlineStr">
        <is>
          <t>n° 13 + n° 14</t>
        </is>
      </c>
      <c r="E2984" t="inlineStr">
        <is>
          <t>POULET JURASSIENNE</t>
        </is>
      </c>
      <c r="F2984" t="n">
        <v>18.6</v>
      </c>
      <c r="G2984" t="inlineStr">
        <is>
          <t>n° 13 : 0,50 + n° 14 : 0,50</t>
        </is>
      </c>
      <c r="H2984" t="n">
        <v>1</v>
      </c>
    </row>
    <row r="2985">
      <c r="A2985" t="inlineStr">
        <is>
          <t>2023-2024</t>
        </is>
      </c>
      <c r="B2985" t="inlineStr">
        <is>
          <t>2023-10-15</t>
        </is>
      </c>
      <c r="C2985" t="inlineStr">
        <is>
          <t>13:27</t>
        </is>
      </c>
      <c r="D2985" t="inlineStr">
        <is>
          <t>n° 13 + n° 14</t>
        </is>
      </c>
      <c r="E2985" t="inlineStr">
        <is>
          <t>BARBEULENET</t>
        </is>
      </c>
      <c r="F2985" t="n">
        <v>17.4</v>
      </c>
      <c r="G2985" t="inlineStr">
        <is>
          <t>n° 13 : 0,50 + n° 14 : 0,50</t>
        </is>
      </c>
      <c r="H2985" t="n">
        <v>1</v>
      </c>
    </row>
    <row r="2986">
      <c r="A2986" t="inlineStr">
        <is>
          <t>2023-2024</t>
        </is>
      </c>
      <c r="B2986" t="inlineStr">
        <is>
          <t>2023-10-15</t>
        </is>
      </c>
      <c r="C2986" t="inlineStr">
        <is>
          <t>13:27</t>
        </is>
      </c>
      <c r="D2986" t="inlineStr">
        <is>
          <t>n° 13 + n° 14</t>
        </is>
      </c>
      <c r="E2986" t="inlineStr">
        <is>
          <t>ECRESSI</t>
        </is>
      </c>
      <c r="F2986" t="n">
        <v>15.5</v>
      </c>
      <c r="G2986" t="inlineStr">
        <is>
          <t>n° 13 : 0,50 + n° 14 : 0,50</t>
        </is>
      </c>
      <c r="H2986" t="n">
        <v>1</v>
      </c>
    </row>
    <row r="2987">
      <c r="A2987" t="inlineStr">
        <is>
          <t>2023-2024</t>
        </is>
      </c>
      <c r="B2987" t="inlineStr">
        <is>
          <t>2023-10-15</t>
        </is>
      </c>
      <c r="C2987" t="inlineStr">
        <is>
          <t>13:27</t>
        </is>
      </c>
      <c r="D2987" t="inlineStr">
        <is>
          <t>n° 13 + n° 14</t>
        </is>
      </c>
      <c r="E2987" t="inlineStr">
        <is>
          <t>Pavlova</t>
        </is>
      </c>
      <c r="F2987" t="n">
        <v>8.9</v>
      </c>
      <c r="G2987" t="inlineStr">
        <is>
          <t>n° 13 : 0,50 + n° 14 : 0,50</t>
        </is>
      </c>
      <c r="H2987" t="n">
        <v>1</v>
      </c>
    </row>
    <row r="2988">
      <c r="A2988" t="inlineStr">
        <is>
          <t>2023-2024</t>
        </is>
      </c>
      <c r="B2988" t="inlineStr">
        <is>
          <t>2023-10-15</t>
        </is>
      </c>
      <c r="C2988" t="inlineStr">
        <is>
          <t>13:27</t>
        </is>
      </c>
      <c r="D2988" t="inlineStr">
        <is>
          <t>n° 13 + n° 14</t>
        </is>
      </c>
      <c r="E2988" t="inlineStr">
        <is>
          <t>PASSION</t>
        </is>
      </c>
      <c r="F2988" t="n">
        <v>7.3</v>
      </c>
      <c r="G2988" t="inlineStr">
        <is>
          <t>n° 13 : 0,50 + n° 14 : 0,50</t>
        </is>
      </c>
      <c r="H2988" t="n">
        <v>1</v>
      </c>
    </row>
    <row r="2989">
      <c r="A2989" t="inlineStr">
        <is>
          <t>2023-2024</t>
        </is>
      </c>
      <c r="B2989" t="inlineStr">
        <is>
          <t>2023-10-15</t>
        </is>
      </c>
      <c r="C2989" t="inlineStr">
        <is>
          <t>13:27</t>
        </is>
      </c>
      <c r="D2989" t="inlineStr">
        <is>
          <t>n° 13 + n° 14</t>
        </is>
      </c>
      <c r="E2989" t="inlineStr">
        <is>
          <t>GLACE 1 BOULE</t>
        </is>
      </c>
      <c r="F2989" t="n">
        <v>3.5</v>
      </c>
      <c r="G2989" t="inlineStr">
        <is>
          <t>n° 13 : 0,50 + n° 14 : 0,50</t>
        </is>
      </c>
      <c r="H2989" t="n">
        <v>1</v>
      </c>
    </row>
    <row r="2990">
      <c r="A2990" t="inlineStr">
        <is>
          <t>2023-2024</t>
        </is>
      </c>
      <c r="B2990" t="inlineStr">
        <is>
          <t>2023-10-15</t>
        </is>
      </c>
      <c r="C2990" t="inlineStr">
        <is>
          <t>13:27</t>
        </is>
      </c>
      <c r="D2990" t="inlineStr">
        <is>
          <t>n° 13 + n° 14</t>
        </is>
      </c>
      <c r="E2990" t="inlineStr">
        <is>
          <t>Expresso</t>
        </is>
      </c>
      <c r="F2990" t="n">
        <v>2.2</v>
      </c>
      <c r="G2990" t="inlineStr">
        <is>
          <t>n° 13 : 1,50 + n° 14 : 1,50</t>
        </is>
      </c>
      <c r="H2990" t="n">
        <v>3</v>
      </c>
    </row>
    <row r="2991">
      <c r="A2991" t="inlineStr">
        <is>
          <t>2023-2024</t>
        </is>
      </c>
      <c r="B2991" t="inlineStr">
        <is>
          <t>2023-10-18</t>
        </is>
      </c>
      <c r="C2991" t="inlineStr">
        <is>
          <t>20:01</t>
        </is>
      </c>
      <c r="D2991" t="inlineStr">
        <is>
          <t>n° 18 + n° 19</t>
        </is>
      </c>
      <c r="E2991" t="inlineStr">
        <is>
          <t>La Vouivre</t>
        </is>
      </c>
      <c r="F2991" t="n">
        <v>5.9</v>
      </c>
      <c r="G2991" t="inlineStr">
        <is>
          <t>n° 18 : 0,50 + n° 19 : 0,50</t>
        </is>
      </c>
      <c r="H2991" t="n">
        <v>1</v>
      </c>
    </row>
    <row r="2992">
      <c r="A2992" t="inlineStr">
        <is>
          <t>2023-2024</t>
        </is>
      </c>
      <c r="B2992" t="inlineStr">
        <is>
          <t>2023-10-18</t>
        </is>
      </c>
      <c r="C2992" t="inlineStr">
        <is>
          <t>20:01</t>
        </is>
      </c>
      <c r="D2992" t="inlineStr">
        <is>
          <t>n° 18 + n° 19</t>
        </is>
      </c>
      <c r="E2992" t="inlineStr">
        <is>
          <t>Père Gregoire</t>
        </is>
      </c>
      <c r="F2992" t="n">
        <v>5.9</v>
      </c>
      <c r="G2992" t="inlineStr">
        <is>
          <t>n° 18 : 0,50 + n° 19 : 0,50</t>
        </is>
      </c>
      <c r="H2992" t="n">
        <v>1</v>
      </c>
    </row>
    <row r="2993">
      <c r="A2993" t="inlineStr">
        <is>
          <t>2023-2024</t>
        </is>
      </c>
      <c r="B2993" t="inlineStr">
        <is>
          <t>2023-10-19</t>
        </is>
      </c>
      <c r="C2993" t="inlineStr">
        <is>
          <t>19:59</t>
        </is>
      </c>
      <c r="D2993" t="inlineStr">
        <is>
          <t>n° 12 + n° 13 + n° 16</t>
        </is>
      </c>
      <c r="E2993" t="inlineStr">
        <is>
          <t>Menu du Dahu</t>
        </is>
      </c>
      <c r="F2993" t="n">
        <v>29.9</v>
      </c>
      <c r="G2993" t="inlineStr">
        <is>
          <t>n° 16 : 1,50</t>
        </is>
      </c>
      <c r="H2993" t="n">
        <v>1.5</v>
      </c>
    </row>
    <row r="2994">
      <c r="A2994" t="inlineStr">
        <is>
          <t>2023-2024</t>
        </is>
      </c>
      <c r="B2994" t="inlineStr">
        <is>
          <t>2023-10-19</t>
        </is>
      </c>
      <c r="C2994" t="inlineStr">
        <is>
          <t>19:59</t>
        </is>
      </c>
      <c r="D2994" t="inlineStr">
        <is>
          <t>n° 12 + n° 13 + n° 16</t>
        </is>
      </c>
      <c r="E2994" t="inlineStr">
        <is>
          <t>PICHET SAVAGNIN</t>
        </is>
      </c>
      <c r="F2994" t="n">
        <v>28</v>
      </c>
      <c r="G2994" t="inlineStr">
        <is>
          <t>n° 16 : 0,50</t>
        </is>
      </c>
      <c r="H2994" t="n">
        <v>0.5</v>
      </c>
    </row>
    <row r="2995">
      <c r="A2995" t="inlineStr">
        <is>
          <t>2023-2024</t>
        </is>
      </c>
      <c r="B2995" t="inlineStr">
        <is>
          <t>2023-10-19</t>
        </is>
      </c>
      <c r="C2995" t="inlineStr">
        <is>
          <t>19:59</t>
        </is>
      </c>
      <c r="D2995" t="inlineStr">
        <is>
          <t>n° 12 + n° 13 + n° 16</t>
        </is>
      </c>
      <c r="E2995" t="inlineStr">
        <is>
          <t>Macvin du Jura</t>
        </is>
      </c>
      <c r="F2995" t="n">
        <v>5.9</v>
      </c>
      <c r="G2995" t="inlineStr">
        <is>
          <t>n° 16 : 0,50</t>
        </is>
      </c>
      <c r="H2995" t="n">
        <v>0.5</v>
      </c>
    </row>
    <row r="2996">
      <c r="A2996" t="inlineStr">
        <is>
          <t>2023-2024</t>
        </is>
      </c>
      <c r="B2996" t="inlineStr">
        <is>
          <t>2023-10-19</t>
        </is>
      </c>
      <c r="C2996" t="inlineStr">
        <is>
          <t>19:59</t>
        </is>
      </c>
      <c r="D2996" t="inlineStr">
        <is>
          <t>n° 12 + n° 13 + n° 16</t>
        </is>
      </c>
      <c r="E2996" t="inlineStr">
        <is>
          <t>Kir Bourgogne</t>
        </is>
      </c>
      <c r="F2996" t="n">
        <v>4.2</v>
      </c>
      <c r="G2996" t="inlineStr">
        <is>
          <t>n° 12 : 0,50 + n° 13 : 0,50</t>
        </is>
      </c>
      <c r="H2996" t="n">
        <v>1</v>
      </c>
    </row>
    <row r="2997">
      <c r="A2997" t="inlineStr">
        <is>
          <t>2023-2024</t>
        </is>
      </c>
      <c r="B2997" t="inlineStr">
        <is>
          <t>2023-10-19</t>
        </is>
      </c>
      <c r="C2997" t="inlineStr">
        <is>
          <t>19:59</t>
        </is>
      </c>
      <c r="D2997" t="inlineStr">
        <is>
          <t>n° 12 + n° 13 + n° 16</t>
        </is>
      </c>
      <c r="E2997" t="inlineStr">
        <is>
          <t>Ricard</t>
        </is>
      </c>
      <c r="F2997" t="n">
        <v>4.2</v>
      </c>
      <c r="G2997" t="inlineStr">
        <is>
          <t>n° 12 : 0,50 + n° 13 : 0,50</t>
        </is>
      </c>
      <c r="H2997" t="n">
        <v>1</v>
      </c>
    </row>
    <row r="2998">
      <c r="A2998" t="inlineStr">
        <is>
          <t>2023-2024</t>
        </is>
      </c>
      <c r="B2998" t="inlineStr">
        <is>
          <t>2023-10-19</t>
        </is>
      </c>
      <c r="C2998" t="inlineStr">
        <is>
          <t>19:59</t>
        </is>
      </c>
      <c r="D2998" t="inlineStr">
        <is>
          <t>n° 12 + n° 13 + n° 16</t>
        </is>
      </c>
      <c r="E2998" t="inlineStr">
        <is>
          <t>San Pelegrino 50cl</t>
        </is>
      </c>
      <c r="F2998" t="n">
        <v>4</v>
      </c>
      <c r="G2998" t="inlineStr">
        <is>
          <t>n° 16 : 0,50</t>
        </is>
      </c>
      <c r="H2998" t="n">
        <v>0.5</v>
      </c>
    </row>
    <row r="2999">
      <c r="A2999" t="inlineStr">
        <is>
          <t>2023-2024</t>
        </is>
      </c>
      <c r="B2999" t="inlineStr">
        <is>
          <t>2023-10-19</t>
        </is>
      </c>
      <c r="C2999" t="inlineStr">
        <is>
          <t>19:59</t>
        </is>
      </c>
      <c r="D2999" t="inlineStr">
        <is>
          <t>n° 12 + n° 13 + n° 16</t>
        </is>
      </c>
      <c r="E2999" t="inlineStr">
        <is>
          <t>Expresso</t>
        </is>
      </c>
      <c r="F2999" t="n">
        <v>2.2</v>
      </c>
      <c r="G2999" t="inlineStr">
        <is>
          <t>n° 16 : 0,50</t>
        </is>
      </c>
      <c r="H2999" t="n">
        <v>0.5</v>
      </c>
    </row>
    <row r="3000">
      <c r="A3000" t="inlineStr">
        <is>
          <t>2023-2024</t>
        </is>
      </c>
      <c r="B3000" t="inlineStr">
        <is>
          <t>2023-10-21</t>
        </is>
      </c>
      <c r="C3000" t="inlineStr">
        <is>
          <t>13:27</t>
        </is>
      </c>
      <c r="D3000" t="inlineStr">
        <is>
          <t>n° 13 + n° 14</t>
        </is>
      </c>
      <c r="E3000" t="inlineStr">
        <is>
          <t>Truite Morilles</t>
        </is>
      </c>
      <c r="F3000" t="n">
        <v>27.8</v>
      </c>
      <c r="G3000" t="inlineStr">
        <is>
          <t>n° 13 : 0,50 + n° 14 : 0,50</t>
        </is>
      </c>
      <c r="H3000" t="n">
        <v>1</v>
      </c>
    </row>
    <row r="3001">
      <c r="A3001" t="inlineStr">
        <is>
          <t>2023-2024</t>
        </is>
      </c>
      <c r="B3001" t="inlineStr">
        <is>
          <t>2023-10-21</t>
        </is>
      </c>
      <c r="C3001" t="inlineStr">
        <is>
          <t>13:27</t>
        </is>
      </c>
      <c r="D3001" t="inlineStr">
        <is>
          <t>n° 13 + n° 14</t>
        </is>
      </c>
      <c r="E3001" t="inlineStr">
        <is>
          <t>BURGER COMTOIS</t>
        </is>
      </c>
      <c r="F3001" t="n">
        <v>19</v>
      </c>
      <c r="G3001" t="inlineStr">
        <is>
          <t>n° 13 : 0,50 + n° 14 : 0,50</t>
        </is>
      </c>
      <c r="H3001" t="n">
        <v>1</v>
      </c>
    </row>
    <row r="3002">
      <c r="A3002" t="inlineStr">
        <is>
          <t>2023-2024</t>
        </is>
      </c>
      <c r="B3002" t="inlineStr">
        <is>
          <t>2023-10-21</t>
        </is>
      </c>
      <c r="C3002" t="inlineStr">
        <is>
          <t>13:27</t>
        </is>
      </c>
      <c r="D3002" t="inlineStr">
        <is>
          <t>n° 13 + n° 14</t>
        </is>
      </c>
      <c r="E3002" t="inlineStr">
        <is>
          <t>CAMEMBERT ROTI</t>
        </is>
      </c>
      <c r="F3002" t="n">
        <v>18.6</v>
      </c>
      <c r="G3002" t="inlineStr">
        <is>
          <t>n° 13 : 0,50 + n° 14 : 0,50</t>
        </is>
      </c>
      <c r="H3002" t="n">
        <v>1</v>
      </c>
    </row>
    <row r="3003">
      <c r="A3003" t="inlineStr">
        <is>
          <t>2023-2024</t>
        </is>
      </c>
      <c r="B3003" t="inlineStr">
        <is>
          <t>2023-10-21</t>
        </is>
      </c>
      <c r="C3003" t="inlineStr">
        <is>
          <t>13:27</t>
        </is>
      </c>
      <c r="D3003" t="inlineStr">
        <is>
          <t>n° 13 + n° 14</t>
        </is>
      </c>
      <c r="E3003" t="inlineStr">
        <is>
          <t>MORTEAU GRILLEE</t>
        </is>
      </c>
      <c r="F3003" t="n">
        <v>18.6</v>
      </c>
      <c r="G3003" t="inlineStr">
        <is>
          <t>n° 13 : 0,50 + n° 14 : 0,50</t>
        </is>
      </c>
      <c r="H3003" t="n">
        <v>1</v>
      </c>
    </row>
    <row r="3004">
      <c r="A3004" t="inlineStr">
        <is>
          <t>2023-2024</t>
        </is>
      </c>
      <c r="B3004" t="inlineStr">
        <is>
          <t>2023-10-21</t>
        </is>
      </c>
      <c r="C3004" t="inlineStr">
        <is>
          <t>13:27</t>
        </is>
      </c>
      <c r="D3004" t="inlineStr">
        <is>
          <t>n° 13 + n° 14</t>
        </is>
      </c>
      <c r="E3004" t="inlineStr">
        <is>
          <t>Croûtes Morilles</t>
        </is>
      </c>
      <c r="F3004" t="n">
        <v>16.9</v>
      </c>
      <c r="G3004" t="inlineStr">
        <is>
          <t>n° 13 : 0,50 + n° 14 : 0,50</t>
        </is>
      </c>
      <c r="H3004" t="n">
        <v>1</v>
      </c>
    </row>
    <row r="3005">
      <c r="A3005" t="inlineStr">
        <is>
          <t>2023-2024</t>
        </is>
      </c>
      <c r="B3005" t="inlineStr">
        <is>
          <t>2023-10-21</t>
        </is>
      </c>
      <c r="C3005" t="inlineStr">
        <is>
          <t>13:27</t>
        </is>
      </c>
      <c r="D3005" t="inlineStr">
        <is>
          <t>n° 13 + n° 14</t>
        </is>
      </c>
      <c r="E3005" t="inlineStr">
        <is>
          <t>BALIDOU</t>
        </is>
      </c>
      <c r="F3005" t="n">
        <v>9</v>
      </c>
      <c r="G3005" t="inlineStr">
        <is>
          <t>n° 13 : 0,50 + n° 14 : 0,50</t>
        </is>
      </c>
      <c r="H3005" t="n">
        <v>1</v>
      </c>
    </row>
    <row r="3006">
      <c r="A3006" t="inlineStr">
        <is>
          <t>2023-2024</t>
        </is>
      </c>
      <c r="B3006" t="inlineStr">
        <is>
          <t>2023-10-21</t>
        </is>
      </c>
      <c r="C3006" t="inlineStr">
        <is>
          <t>13:27</t>
        </is>
      </c>
      <c r="D3006" t="inlineStr">
        <is>
          <t>n° 13 + n° 14</t>
        </is>
      </c>
      <c r="E3006" t="inlineStr">
        <is>
          <t>Baba</t>
        </is>
      </c>
      <c r="F3006" t="n">
        <v>8.9</v>
      </c>
      <c r="G3006" t="inlineStr">
        <is>
          <t>n° 13 : 0,50 + n° 14 : 0,50</t>
        </is>
      </c>
      <c r="H3006" t="n">
        <v>1</v>
      </c>
    </row>
    <row r="3007">
      <c r="A3007" t="inlineStr">
        <is>
          <t>2023-2024</t>
        </is>
      </c>
      <c r="B3007" t="inlineStr">
        <is>
          <t>2023-10-21</t>
        </is>
      </c>
      <c r="C3007" t="inlineStr">
        <is>
          <t>13:27</t>
        </is>
      </c>
      <c r="D3007" t="inlineStr">
        <is>
          <t>n° 13 + n° 14</t>
        </is>
      </c>
      <c r="E3007" t="inlineStr">
        <is>
          <t>pression</t>
        </is>
      </c>
      <c r="F3007" t="n">
        <v>4.2</v>
      </c>
      <c r="G3007" t="inlineStr">
        <is>
          <t>n° 13 : 0,50 + n° 14 : 0,50</t>
        </is>
      </c>
      <c r="H3007" t="n">
        <v>1</v>
      </c>
    </row>
    <row r="3008">
      <c r="A3008" t="inlineStr">
        <is>
          <t>2023-2024</t>
        </is>
      </c>
      <c r="B3008" t="inlineStr">
        <is>
          <t>2023-10-21</t>
        </is>
      </c>
      <c r="C3008" t="inlineStr">
        <is>
          <t>13:27</t>
        </is>
      </c>
      <c r="D3008" t="inlineStr">
        <is>
          <t>n° 13 + n° 14</t>
        </is>
      </c>
      <c r="E3008" t="inlineStr">
        <is>
          <t>GLACE 1 BOULE</t>
        </is>
      </c>
      <c r="F3008" t="n">
        <v>3.5</v>
      </c>
      <c r="G3008" t="inlineStr">
        <is>
          <t>n° 13 : 0,50 + n° 14 : 0,50</t>
        </is>
      </c>
      <c r="H3008" t="n">
        <v>1</v>
      </c>
    </row>
    <row r="3009">
      <c r="A3009" t="inlineStr">
        <is>
          <t>2023-2024</t>
        </is>
      </c>
      <c r="B3009" t="inlineStr">
        <is>
          <t>2023-10-25</t>
        </is>
      </c>
      <c r="C3009" t="inlineStr">
        <is>
          <t>13:17</t>
        </is>
      </c>
      <c r="D3009" t="inlineStr">
        <is>
          <t>n° 13 + n° 14</t>
        </is>
      </c>
      <c r="E3009" t="inlineStr">
        <is>
          <t>BURGER COMTOIS</t>
        </is>
      </c>
      <c r="F3009" t="n">
        <v>19</v>
      </c>
      <c r="G3009" t="inlineStr">
        <is>
          <t>n° 13 : 0,50 + n° 14 : 0,50</t>
        </is>
      </c>
      <c r="H3009" t="n">
        <v>1</v>
      </c>
    </row>
    <row r="3010">
      <c r="A3010" t="inlineStr">
        <is>
          <t>2023-2024</t>
        </is>
      </c>
      <c r="B3010" t="inlineStr">
        <is>
          <t>2023-10-25</t>
        </is>
      </c>
      <c r="C3010" t="inlineStr">
        <is>
          <t>13:17</t>
        </is>
      </c>
      <c r="D3010" t="inlineStr">
        <is>
          <t>n° 13 + n° 14</t>
        </is>
      </c>
      <c r="E3010" t="inlineStr">
        <is>
          <t>TANTELIN</t>
        </is>
      </c>
      <c r="F3010" t="n">
        <v>17.4</v>
      </c>
      <c r="G3010" t="inlineStr">
        <is>
          <t>n° 13 : 0,50 + n° 14 : 0,50</t>
        </is>
      </c>
      <c r="H3010" t="n">
        <v>1</v>
      </c>
    </row>
    <row r="3011">
      <c r="A3011" t="inlineStr">
        <is>
          <t>2023-2024</t>
        </is>
      </c>
      <c r="B3011" t="inlineStr">
        <is>
          <t>2023-10-25</t>
        </is>
      </c>
      <c r="C3011" t="inlineStr">
        <is>
          <t>13:17</t>
        </is>
      </c>
      <c r="D3011" t="inlineStr">
        <is>
          <t>n° 13 + n° 14</t>
        </is>
      </c>
      <c r="E3011" t="inlineStr">
        <is>
          <t>GLACE 2 BOULES</t>
        </is>
      </c>
      <c r="F3011" t="n">
        <v>5.5</v>
      </c>
      <c r="G3011" t="inlineStr">
        <is>
          <t>n° 13 : 0,50 + n° 14 : 0,50</t>
        </is>
      </c>
      <c r="H3011" t="n">
        <v>1</v>
      </c>
    </row>
    <row r="3012">
      <c r="A3012" t="inlineStr">
        <is>
          <t>2023-2024</t>
        </is>
      </c>
      <c r="B3012" t="inlineStr">
        <is>
          <t>2023-10-25</t>
        </is>
      </c>
      <c r="C3012" t="inlineStr">
        <is>
          <t>13:17</t>
        </is>
      </c>
      <c r="D3012" t="inlineStr">
        <is>
          <t>n° 13 + n° 14</t>
        </is>
      </c>
      <c r="E3012" t="inlineStr">
        <is>
          <t>GLACE 1 BOULE</t>
        </is>
      </c>
      <c r="F3012" t="n">
        <v>3.5</v>
      </c>
      <c r="G3012" t="inlineStr">
        <is>
          <t>n° 13 : 0,50 + n° 14 : 0,50</t>
        </is>
      </c>
      <c r="H3012" t="n">
        <v>1</v>
      </c>
    </row>
    <row r="3013">
      <c r="A3013" t="inlineStr">
        <is>
          <t>2023-2024</t>
        </is>
      </c>
      <c r="B3013" t="inlineStr">
        <is>
          <t>2023-10-25</t>
        </is>
      </c>
      <c r="C3013" t="inlineStr">
        <is>
          <t>13:17</t>
        </is>
      </c>
      <c r="D3013" t="inlineStr">
        <is>
          <t>n° 13 + n° 14</t>
        </is>
      </c>
      <c r="E3013" t="inlineStr">
        <is>
          <t>Expresso</t>
        </is>
      </c>
      <c r="F3013" t="n">
        <v>2.2</v>
      </c>
      <c r="G3013" t="inlineStr">
        <is>
          <t>n° 13 : 1,50 + n° 14 : 1,50</t>
        </is>
      </c>
      <c r="H3013" t="n">
        <v>3</v>
      </c>
    </row>
    <row r="3014">
      <c r="A3014" t="inlineStr">
        <is>
          <t>2023-2024</t>
        </is>
      </c>
      <c r="B3014" t="inlineStr">
        <is>
          <t>2023-10-25</t>
        </is>
      </c>
      <c r="C3014" t="inlineStr">
        <is>
          <t>20:01</t>
        </is>
      </c>
      <c r="D3014" t="inlineStr">
        <is>
          <t>n° 24 + n° 25</t>
        </is>
      </c>
      <c r="E3014" t="inlineStr">
        <is>
          <t>Chat perché</t>
        </is>
      </c>
      <c r="F3014" t="n">
        <v>5.9</v>
      </c>
      <c r="G3014" t="inlineStr">
        <is>
          <t>n° 24 : 0,50 + n° 25 : 0,50</t>
        </is>
      </c>
      <c r="H3014" t="n">
        <v>1</v>
      </c>
    </row>
    <row r="3015">
      <c r="A3015" t="inlineStr">
        <is>
          <t>2023-2024</t>
        </is>
      </c>
      <c r="B3015" t="inlineStr">
        <is>
          <t>2023-10-25</t>
        </is>
      </c>
      <c r="C3015" t="inlineStr">
        <is>
          <t>20:01</t>
        </is>
      </c>
      <c r="D3015" t="inlineStr">
        <is>
          <t>n° 24 + n° 25</t>
        </is>
      </c>
      <c r="E3015" t="inlineStr">
        <is>
          <t>Père Gregoire</t>
        </is>
      </c>
      <c r="F3015" t="n">
        <v>5.9</v>
      </c>
      <c r="G3015" t="inlineStr">
        <is>
          <t>n° 24 : 0,50 + n° 25 : 0,50</t>
        </is>
      </c>
      <c r="H3015" t="n">
        <v>1</v>
      </c>
    </row>
    <row r="3016">
      <c r="A3016" t="inlineStr">
        <is>
          <t>2023-2024</t>
        </is>
      </c>
      <c r="B3016" t="inlineStr">
        <is>
          <t>2023-10-27</t>
        </is>
      </c>
      <c r="C3016" t="inlineStr">
        <is>
          <t>18:25</t>
        </is>
      </c>
      <c r="D3016" t="inlineStr">
        <is>
          <t>n° 11 + n° 12</t>
        </is>
      </c>
      <c r="E3016" t="inlineStr">
        <is>
          <t>GLACE 2 BOULES</t>
        </is>
      </c>
      <c r="F3016" t="n">
        <v>5.5</v>
      </c>
      <c r="G3016" t="inlineStr">
        <is>
          <t>n° 11 : 0,50 + n° 12 : 0,50</t>
        </is>
      </c>
      <c r="H3016" t="n">
        <v>1</v>
      </c>
    </row>
    <row r="3017">
      <c r="A3017" t="inlineStr">
        <is>
          <t>2023-2024</t>
        </is>
      </c>
      <c r="B3017" t="inlineStr">
        <is>
          <t>2023-10-27</t>
        </is>
      </c>
      <c r="C3017" t="inlineStr">
        <is>
          <t>18:25</t>
        </is>
      </c>
      <c r="D3017" t="inlineStr">
        <is>
          <t>n° 11 + n° 12</t>
        </is>
      </c>
      <c r="E3017" t="inlineStr">
        <is>
          <t>GLACE 1 BOULE</t>
        </is>
      </c>
      <c r="F3017" t="n">
        <v>3.5</v>
      </c>
      <c r="G3017" t="inlineStr">
        <is>
          <t>n° 11 : 0,50 + n° 12 : 0,50</t>
        </is>
      </c>
      <c r="H3017" t="n">
        <v>1</v>
      </c>
    </row>
    <row r="3018">
      <c r="A3018" t="inlineStr">
        <is>
          <t>2023-2024</t>
        </is>
      </c>
      <c r="B3018" t="inlineStr">
        <is>
          <t>2023-10-28</t>
        </is>
      </c>
      <c r="C3018" t="inlineStr">
        <is>
          <t>12:34</t>
        </is>
      </c>
      <c r="D3018" t="inlineStr">
        <is>
          <t>n° 5 + n° 6 + n° 8 + n° 9</t>
        </is>
      </c>
      <c r="E3018" t="inlineStr">
        <is>
          <t>Arbois Béthanie</t>
        </is>
      </c>
      <c r="F3018" t="n">
        <v>36</v>
      </c>
      <c r="G3018" t="inlineStr">
        <is>
          <t>n° 8 : 0,50 + n° 9 : 0,50</t>
        </is>
      </c>
      <c r="H3018" t="n">
        <v>1</v>
      </c>
    </row>
    <row r="3019">
      <c r="A3019" t="inlineStr">
        <is>
          <t>2023-2024</t>
        </is>
      </c>
      <c r="B3019" t="inlineStr">
        <is>
          <t>2023-10-28</t>
        </is>
      </c>
      <c r="C3019" t="inlineStr">
        <is>
          <t>12:34</t>
        </is>
      </c>
      <c r="D3019" t="inlineStr">
        <is>
          <t>n° 5 + n° 6 + n° 8 + n° 9</t>
        </is>
      </c>
      <c r="E3019" t="inlineStr">
        <is>
          <t>Entrecôte grillée</t>
        </is>
      </c>
      <c r="F3019" t="n">
        <v>19.9</v>
      </c>
      <c r="G3019" t="inlineStr">
        <is>
          <t>n° 8 : 0,50 + n° 9 : 0,50</t>
        </is>
      </c>
      <c r="H3019" t="n">
        <v>1</v>
      </c>
    </row>
    <row r="3020">
      <c r="A3020" t="inlineStr">
        <is>
          <t>2023-2024</t>
        </is>
      </c>
      <c r="B3020" t="inlineStr">
        <is>
          <t>2023-10-28</t>
        </is>
      </c>
      <c r="C3020" t="inlineStr">
        <is>
          <t>12:34</t>
        </is>
      </c>
      <c r="D3020" t="inlineStr">
        <is>
          <t>n° 5 + n° 6 + n° 8 + n° 9</t>
        </is>
      </c>
      <c r="E3020" t="inlineStr">
        <is>
          <t>POULET JURASSIENNE</t>
        </is>
      </c>
      <c r="F3020" t="n">
        <v>18.6</v>
      </c>
      <c r="G3020" t="inlineStr">
        <is>
          <t>n° 5 : 0,50 + n° 6 : 0,50</t>
        </is>
      </c>
      <c r="H3020" t="n">
        <v>1</v>
      </c>
    </row>
    <row r="3021">
      <c r="A3021" t="inlineStr">
        <is>
          <t>2023-2024</t>
        </is>
      </c>
      <c r="B3021" t="inlineStr">
        <is>
          <t>2023-10-28</t>
        </is>
      </c>
      <c r="C3021" t="inlineStr">
        <is>
          <t>12:34</t>
        </is>
      </c>
      <c r="D3021" t="inlineStr">
        <is>
          <t>n° 5 + n° 6 + n° 8 + n° 9</t>
        </is>
      </c>
      <c r="E3021" t="inlineStr">
        <is>
          <t>CAMEMBERT ROTI</t>
        </is>
      </c>
      <c r="F3021" t="n">
        <v>18.6</v>
      </c>
      <c r="G3021" t="inlineStr">
        <is>
          <t>n° 5 : 0,50 + n° 6 : 0,50 + n° 8 : 0,50 + n° 9 : 0,50</t>
        </is>
      </c>
      <c r="H3021" t="n">
        <v>2</v>
      </c>
    </row>
    <row r="3022">
      <c r="A3022" t="inlineStr">
        <is>
          <t>2023-2024</t>
        </is>
      </c>
      <c r="B3022" t="inlineStr">
        <is>
          <t>2023-10-28</t>
        </is>
      </c>
      <c r="C3022" t="inlineStr">
        <is>
          <t>12:34</t>
        </is>
      </c>
      <c r="D3022" t="inlineStr">
        <is>
          <t>n° 5 + n° 6 + n° 8 + n° 9</t>
        </is>
      </c>
      <c r="E3022" t="inlineStr">
        <is>
          <t>ASSIETTE PERE GREGOI</t>
        </is>
      </c>
      <c r="F3022" t="n">
        <v>18.6</v>
      </c>
      <c r="G3022" t="inlineStr">
        <is>
          <t>n° 8 : 0,50 + n° 9 : 0,50</t>
        </is>
      </c>
      <c r="H3022" t="n">
        <v>1</v>
      </c>
    </row>
    <row r="3023">
      <c r="A3023" t="inlineStr">
        <is>
          <t>2023-2024</t>
        </is>
      </c>
      <c r="B3023" t="inlineStr">
        <is>
          <t>2023-10-28</t>
        </is>
      </c>
      <c r="C3023" t="inlineStr">
        <is>
          <t>12:34</t>
        </is>
      </c>
      <c r="D3023" t="inlineStr">
        <is>
          <t>n° 5 + n° 6 + n° 8 + n° 9</t>
        </is>
      </c>
      <c r="E3023" t="inlineStr">
        <is>
          <t>ASSIETTE VEGAN</t>
        </is>
      </c>
      <c r="F3023" t="n">
        <v>14</v>
      </c>
      <c r="G3023" t="inlineStr">
        <is>
          <t>n° 8 : 0,50 + n° 9 : 0,50</t>
        </is>
      </c>
      <c r="H3023" t="n">
        <v>1</v>
      </c>
    </row>
    <row r="3024">
      <c r="A3024" t="inlineStr">
        <is>
          <t>2023-2024</t>
        </is>
      </c>
      <c r="B3024" t="inlineStr">
        <is>
          <t>2023-10-28</t>
        </is>
      </c>
      <c r="C3024" t="inlineStr">
        <is>
          <t>12:34</t>
        </is>
      </c>
      <c r="D3024" t="inlineStr">
        <is>
          <t>n° 5 + n° 6 + n° 8 + n° 9</t>
        </is>
      </c>
      <c r="E3024" t="inlineStr">
        <is>
          <t>Savagnin verre</t>
        </is>
      </c>
      <c r="F3024" t="n">
        <v>8.300000000000001</v>
      </c>
      <c r="G3024" t="inlineStr">
        <is>
          <t>n° 5 : 0,50 + n° 6 : 0,50</t>
        </is>
      </c>
      <c r="H3024" t="n">
        <v>1</v>
      </c>
    </row>
    <row r="3025">
      <c r="A3025" t="inlineStr">
        <is>
          <t>2023-2024</t>
        </is>
      </c>
      <c r="B3025" t="inlineStr">
        <is>
          <t>2023-10-28</t>
        </is>
      </c>
      <c r="C3025" t="inlineStr">
        <is>
          <t>12:34</t>
        </is>
      </c>
      <c r="D3025" t="inlineStr">
        <is>
          <t>n° 5 + n° 6 + n° 8 + n° 9</t>
        </is>
      </c>
      <c r="E3025" t="inlineStr">
        <is>
          <t>Pinte</t>
        </is>
      </c>
      <c r="F3025" t="n">
        <v>8</v>
      </c>
      <c r="G3025" t="inlineStr">
        <is>
          <t>n° 8 : 0,50 + n° 9 : 0,50</t>
        </is>
      </c>
      <c r="H3025" t="n">
        <v>1</v>
      </c>
    </row>
    <row r="3026">
      <c r="A3026" t="inlineStr">
        <is>
          <t>2023-2024</t>
        </is>
      </c>
      <c r="B3026" t="inlineStr">
        <is>
          <t>2023-10-28</t>
        </is>
      </c>
      <c r="C3026" t="inlineStr">
        <is>
          <t>12:34</t>
        </is>
      </c>
      <c r="D3026" t="inlineStr">
        <is>
          <t>n° 5 + n° 6 + n° 8 + n° 9</t>
        </is>
      </c>
      <c r="E3026" t="inlineStr">
        <is>
          <t>MACON VERRE</t>
        </is>
      </c>
      <c r="F3026" t="n">
        <v>6.3</v>
      </c>
      <c r="G3026" t="inlineStr">
        <is>
          <t>n° 5 : 0,50 + n° 6 : 0,50</t>
        </is>
      </c>
      <c r="H3026" t="n">
        <v>1</v>
      </c>
    </row>
    <row r="3027">
      <c r="A3027" t="inlineStr">
        <is>
          <t>2023-2024</t>
        </is>
      </c>
      <c r="B3027" t="inlineStr">
        <is>
          <t>2023-10-28</t>
        </is>
      </c>
      <c r="C3027" t="inlineStr">
        <is>
          <t>12:34</t>
        </is>
      </c>
      <c r="D3027" t="inlineStr">
        <is>
          <t>n° 5 + n° 6 + n° 8 + n° 9</t>
        </is>
      </c>
      <c r="E3027" t="inlineStr">
        <is>
          <t>Crepe Chocolat</t>
        </is>
      </c>
      <c r="F3027" t="n">
        <v>5.9</v>
      </c>
      <c r="G3027" t="inlineStr">
        <is>
          <t>n° 8 : 0,50 + n° 9 : 0,50</t>
        </is>
      </c>
      <c r="H3027" t="n">
        <v>1</v>
      </c>
    </row>
    <row r="3028">
      <c r="A3028" t="inlineStr">
        <is>
          <t>2023-2024</t>
        </is>
      </c>
      <c r="B3028" t="inlineStr">
        <is>
          <t>2023-10-28</t>
        </is>
      </c>
      <c r="C3028" t="inlineStr">
        <is>
          <t>12:34</t>
        </is>
      </c>
      <c r="D3028" t="inlineStr">
        <is>
          <t>n° 5 + n° 6 + n° 8 + n° 9</t>
        </is>
      </c>
      <c r="E3028" t="inlineStr">
        <is>
          <t>Crêpe Confiture</t>
        </is>
      </c>
      <c r="F3028" t="n">
        <v>5.4</v>
      </c>
      <c r="G3028" t="inlineStr">
        <is>
          <t>n° 8 : 0,50 + n° 9 : 0,50</t>
        </is>
      </c>
      <c r="H3028" t="n">
        <v>1</v>
      </c>
    </row>
    <row r="3029">
      <c r="A3029" t="inlineStr">
        <is>
          <t>2023-2024</t>
        </is>
      </c>
      <c r="B3029" t="inlineStr">
        <is>
          <t>2023-10-28</t>
        </is>
      </c>
      <c r="C3029" t="inlineStr">
        <is>
          <t>12:34</t>
        </is>
      </c>
      <c r="D3029" t="inlineStr">
        <is>
          <t>n° 5 + n° 6 + n° 8 + n° 9</t>
        </is>
      </c>
      <c r="E3029" t="inlineStr">
        <is>
          <t>Jus de Fruit</t>
        </is>
      </c>
      <c r="F3029" t="n">
        <v>4.2</v>
      </c>
      <c r="G3029" t="inlineStr">
        <is>
          <t>n° 8 : 0,50 + n° 9 : 0,50</t>
        </is>
      </c>
      <c r="H3029" t="n">
        <v>1</v>
      </c>
    </row>
    <row r="3030">
      <c r="A3030" t="inlineStr">
        <is>
          <t>2023-2024</t>
        </is>
      </c>
      <c r="B3030" t="inlineStr">
        <is>
          <t>2023-10-28</t>
        </is>
      </c>
      <c r="C3030" t="inlineStr">
        <is>
          <t>12:34</t>
        </is>
      </c>
      <c r="D3030" t="inlineStr">
        <is>
          <t>n° 5 + n° 6 + n° 8 + n° 9</t>
        </is>
      </c>
      <c r="E3030" t="inlineStr">
        <is>
          <t>Double Expresso</t>
        </is>
      </c>
      <c r="F3030" t="n">
        <v>3.8</v>
      </c>
      <c r="G3030" t="inlineStr">
        <is>
          <t>n° 5 : 0,50 + n° 6 : 0,50</t>
        </is>
      </c>
      <c r="H3030" t="n">
        <v>1</v>
      </c>
    </row>
    <row r="3031">
      <c r="A3031" t="inlineStr">
        <is>
          <t>2023-2024</t>
        </is>
      </c>
      <c r="B3031" t="inlineStr">
        <is>
          <t>2023-10-28</t>
        </is>
      </c>
      <c r="C3031" t="inlineStr">
        <is>
          <t>12:34</t>
        </is>
      </c>
      <c r="D3031" t="inlineStr">
        <is>
          <t>n° 5 + n° 6 + n° 8 + n° 9</t>
        </is>
      </c>
      <c r="E3031" t="inlineStr">
        <is>
          <t>Expresso</t>
        </is>
      </c>
      <c r="F3031" t="n">
        <v>2.2</v>
      </c>
      <c r="G3031" t="inlineStr">
        <is>
          <t>n° 5 : 0,50 + n° 6 : 0,50 + n° 8 : 2,50 + n° 9 : 2,50</t>
        </is>
      </c>
      <c r="H3031" t="n">
        <v>6</v>
      </c>
    </row>
    <row r="3032">
      <c r="A3032" t="inlineStr">
        <is>
          <t>2023-2024</t>
        </is>
      </c>
      <c r="B3032" t="inlineStr">
        <is>
          <t>2023-10-28</t>
        </is>
      </c>
      <c r="C3032" t="inlineStr">
        <is>
          <t>19:27</t>
        </is>
      </c>
      <c r="D3032" t="inlineStr">
        <is>
          <t>n° 17 + n° 19</t>
        </is>
      </c>
      <c r="E3032" t="inlineStr">
        <is>
          <t>Arbois Trousseau Bou</t>
        </is>
      </c>
      <c r="F3032" t="n">
        <v>36</v>
      </c>
      <c r="G3032" t="inlineStr">
        <is>
          <t>n° 17 : 0,50 + n° 19 : 0,50</t>
        </is>
      </c>
      <c r="H3032" t="n">
        <v>1</v>
      </c>
    </row>
    <row r="3033">
      <c r="A3033" t="inlineStr">
        <is>
          <t>2023-2024</t>
        </is>
      </c>
      <c r="B3033" t="inlineStr">
        <is>
          <t>2023-10-28</t>
        </is>
      </c>
      <c r="C3033" t="inlineStr">
        <is>
          <t>19:27</t>
        </is>
      </c>
      <c r="D3033" t="inlineStr">
        <is>
          <t>n° 17 + n° 19</t>
        </is>
      </c>
      <c r="E3033" t="inlineStr">
        <is>
          <t>Truite Morilles</t>
        </is>
      </c>
      <c r="F3033" t="n">
        <v>27.8</v>
      </c>
      <c r="G3033" t="inlineStr">
        <is>
          <t>n° 17 : 0,50 + n° 19 : 0,50</t>
        </is>
      </c>
      <c r="H3033" t="n">
        <v>1</v>
      </c>
    </row>
    <row r="3034">
      <c r="A3034" t="inlineStr">
        <is>
          <t>2023-2024</t>
        </is>
      </c>
      <c r="B3034" t="inlineStr">
        <is>
          <t>2023-10-28</t>
        </is>
      </c>
      <c r="C3034" t="inlineStr">
        <is>
          <t>19:27</t>
        </is>
      </c>
      <c r="D3034" t="inlineStr">
        <is>
          <t>n° 17 + n° 19</t>
        </is>
      </c>
      <c r="E3034" t="inlineStr">
        <is>
          <t>MACHON GOURMET</t>
        </is>
      </c>
      <c r="F3034" t="n">
        <v>25</v>
      </c>
      <c r="G3034" t="inlineStr">
        <is>
          <t>n° 17 : 0,50 + n° 19 : 0,50</t>
        </is>
      </c>
      <c r="H3034" t="n">
        <v>1</v>
      </c>
    </row>
    <row r="3035">
      <c r="A3035" t="inlineStr">
        <is>
          <t>2023-2024</t>
        </is>
      </c>
      <c r="B3035" t="inlineStr">
        <is>
          <t>2023-10-28</t>
        </is>
      </c>
      <c r="C3035" t="inlineStr">
        <is>
          <t>19:27</t>
        </is>
      </c>
      <c r="D3035" t="inlineStr">
        <is>
          <t>n° 17 + n° 19</t>
        </is>
      </c>
      <c r="E3035" t="inlineStr">
        <is>
          <t>Menu 'Galette'</t>
        </is>
      </c>
      <c r="F3035" t="n">
        <v>19.5</v>
      </c>
      <c r="G3035" t="inlineStr">
        <is>
          <t>n° 17 : 0,50 + n° 19 : 0,50</t>
        </is>
      </c>
      <c r="H3035" t="n">
        <v>1</v>
      </c>
    </row>
    <row r="3036">
      <c r="A3036" t="inlineStr">
        <is>
          <t>2023-2024</t>
        </is>
      </c>
      <c r="B3036" t="inlineStr">
        <is>
          <t>2023-10-28</t>
        </is>
      </c>
      <c r="C3036" t="inlineStr">
        <is>
          <t>19:27</t>
        </is>
      </c>
      <c r="D3036" t="inlineStr">
        <is>
          <t>n° 17 + n° 19</t>
        </is>
      </c>
      <c r="E3036" t="inlineStr">
        <is>
          <t>POULET JURASSIENNE</t>
        </is>
      </c>
      <c r="F3036" t="n">
        <v>18.6</v>
      </c>
      <c r="G3036" t="inlineStr">
        <is>
          <t>n° 17 : 0,50 + n° 19 : 0,50</t>
        </is>
      </c>
      <c r="H3036" t="n">
        <v>1</v>
      </c>
    </row>
    <row r="3037">
      <c r="A3037" t="inlineStr">
        <is>
          <t>2023-2024</t>
        </is>
      </c>
      <c r="B3037" t="inlineStr">
        <is>
          <t>2023-10-28</t>
        </is>
      </c>
      <c r="C3037" t="inlineStr">
        <is>
          <t>19:27</t>
        </is>
      </c>
      <c r="D3037" t="inlineStr">
        <is>
          <t>n° 17 + n° 19</t>
        </is>
      </c>
      <c r="E3037" t="inlineStr">
        <is>
          <t>Croûtes Morilles</t>
        </is>
      </c>
      <c r="F3037" t="n">
        <v>16.9</v>
      </c>
      <c r="G3037" t="inlineStr">
        <is>
          <t>n° 17 : 0,50 + n° 19 : 0,50</t>
        </is>
      </c>
      <c r="H3037" t="n">
        <v>1</v>
      </c>
    </row>
    <row r="3038">
      <c r="A3038" t="inlineStr">
        <is>
          <t>2023-2024</t>
        </is>
      </c>
      <c r="B3038" t="inlineStr">
        <is>
          <t>2023-10-28</t>
        </is>
      </c>
      <c r="C3038" t="inlineStr">
        <is>
          <t>19:27</t>
        </is>
      </c>
      <c r="D3038" t="inlineStr">
        <is>
          <t>n° 17 + n° 19</t>
        </is>
      </c>
      <c r="E3038" t="inlineStr">
        <is>
          <t>Feuilleté Forestier</t>
        </is>
      </c>
      <c r="F3038" t="n">
        <v>10.9</v>
      </c>
      <c r="G3038" t="inlineStr">
        <is>
          <t>n° 17 : 0,50 + n° 19 : 0,50</t>
        </is>
      </c>
      <c r="H3038" t="n">
        <v>1</v>
      </c>
    </row>
    <row r="3039">
      <c r="A3039" t="inlineStr">
        <is>
          <t>2023-2024</t>
        </is>
      </c>
      <c r="B3039" t="inlineStr">
        <is>
          <t>2023-10-28</t>
        </is>
      </c>
      <c r="C3039" t="inlineStr">
        <is>
          <t>19:27</t>
        </is>
      </c>
      <c r="D3039" t="inlineStr">
        <is>
          <t>n° 17 + n° 19</t>
        </is>
      </c>
      <c r="E3039" t="inlineStr">
        <is>
          <t>Jamhon Persillé</t>
        </is>
      </c>
      <c r="F3039" t="n">
        <v>7.2</v>
      </c>
      <c r="G3039" t="inlineStr">
        <is>
          <t>n° 17 : 0,50 + n° 19 : 0,50</t>
        </is>
      </c>
      <c r="H3039" t="n">
        <v>1</v>
      </c>
    </row>
    <row r="3040">
      <c r="A3040" t="inlineStr">
        <is>
          <t>2023-2024</t>
        </is>
      </c>
      <c r="B3040" t="inlineStr">
        <is>
          <t>2023-10-28</t>
        </is>
      </c>
      <c r="C3040" t="inlineStr">
        <is>
          <t>20:15</t>
        </is>
      </c>
      <c r="D3040" t="inlineStr">
        <is>
          <t>n° 21 + n° 22</t>
        </is>
      </c>
      <c r="E3040" t="inlineStr">
        <is>
          <t>ENTRECOTE MORILLES</t>
        </is>
      </c>
      <c r="F3040" t="n">
        <v>34.8</v>
      </c>
      <c r="G3040" t="inlineStr">
        <is>
          <t>n° 21 : 0,50 + n° 22 : 0,50</t>
        </is>
      </c>
      <c r="H3040" t="n">
        <v>1</v>
      </c>
    </row>
    <row r="3041">
      <c r="A3041" t="inlineStr">
        <is>
          <t>2023-2024</t>
        </is>
      </c>
      <c r="B3041" t="inlineStr">
        <is>
          <t>2023-10-28</t>
        </is>
      </c>
      <c r="C3041" t="inlineStr">
        <is>
          <t>20:15</t>
        </is>
      </c>
      <c r="D3041" t="inlineStr">
        <is>
          <t>n° 21 + n° 22</t>
        </is>
      </c>
      <c r="E3041" t="inlineStr">
        <is>
          <t>Baba</t>
        </is>
      </c>
      <c r="F3041" t="n">
        <v>8.9</v>
      </c>
      <c r="G3041" t="inlineStr">
        <is>
          <t>n° 21 : 0,50 + n° 22 : 0,50</t>
        </is>
      </c>
      <c r="H3041" t="n">
        <v>1</v>
      </c>
    </row>
    <row r="3042">
      <c r="A3042" t="inlineStr">
        <is>
          <t>2023-2024</t>
        </is>
      </c>
      <c r="B3042" t="inlineStr">
        <is>
          <t>2023-10-28</t>
        </is>
      </c>
      <c r="C3042" t="inlineStr">
        <is>
          <t>20:15</t>
        </is>
      </c>
      <c r="D3042" t="inlineStr">
        <is>
          <t>n° 21 + n° 22</t>
        </is>
      </c>
      <c r="E3042" t="inlineStr">
        <is>
          <t>Crémant</t>
        </is>
      </c>
      <c r="F3042" t="n">
        <v>5</v>
      </c>
      <c r="G3042" t="inlineStr">
        <is>
          <t>n° 21 : 1,50 + n° 22 : 1,50</t>
        </is>
      </c>
      <c r="H3042" t="n">
        <v>3</v>
      </c>
    </row>
    <row r="3043">
      <c r="A3043" t="inlineStr">
        <is>
          <t>2023-2024</t>
        </is>
      </c>
      <c r="B3043" t="inlineStr">
        <is>
          <t>2023-10-28</t>
        </is>
      </c>
      <c r="C3043" t="inlineStr">
        <is>
          <t>20:15</t>
        </is>
      </c>
      <c r="D3043" t="inlineStr">
        <is>
          <t>n° 21 + n° 22</t>
        </is>
      </c>
      <c r="E3043" t="inlineStr">
        <is>
          <t>Expresso</t>
        </is>
      </c>
      <c r="F3043" t="n">
        <v>2.2</v>
      </c>
      <c r="G3043" t="inlineStr">
        <is>
          <t>n° 21 : 0,50 + n° 22 : 0,50</t>
        </is>
      </c>
      <c r="H3043" t="n">
        <v>1</v>
      </c>
    </row>
    <row r="3044">
      <c r="A3044" t="inlineStr">
        <is>
          <t>2023-2024</t>
        </is>
      </c>
      <c r="B3044" t="inlineStr">
        <is>
          <t>2023-10-29</t>
        </is>
      </c>
      <c r="C3044" t="inlineStr">
        <is>
          <t>12:47</t>
        </is>
      </c>
      <c r="D3044" t="inlineStr">
        <is>
          <t>n° 3 + n° 4</t>
        </is>
      </c>
      <c r="E3044" t="inlineStr">
        <is>
          <t>MACHON GOURMET</t>
        </is>
      </c>
      <c r="F3044" t="n">
        <v>25</v>
      </c>
      <c r="G3044" t="inlineStr">
        <is>
          <t>n° 3 : 0,50 + n° 4 : 0,50</t>
        </is>
      </c>
      <c r="H3044" t="n">
        <v>1</v>
      </c>
    </row>
    <row r="3045">
      <c r="A3045" t="inlineStr">
        <is>
          <t>2023-2024</t>
        </is>
      </c>
      <c r="B3045" t="inlineStr">
        <is>
          <t>2023-10-29</t>
        </is>
      </c>
      <c r="C3045" t="inlineStr">
        <is>
          <t>12:47</t>
        </is>
      </c>
      <c r="D3045" t="inlineStr">
        <is>
          <t>n° 3 + n° 4</t>
        </is>
      </c>
      <c r="E3045" t="inlineStr">
        <is>
          <t>Crémeux du Jura</t>
        </is>
      </c>
      <c r="F3045" t="n">
        <v>19</v>
      </c>
      <c r="G3045" t="inlineStr">
        <is>
          <t>n° 3 : 0,50 + n° 4 : 0,50</t>
        </is>
      </c>
      <c r="H3045" t="n">
        <v>1</v>
      </c>
    </row>
    <row r="3046">
      <c r="A3046" t="inlineStr">
        <is>
          <t>2023-2024</t>
        </is>
      </c>
      <c r="B3046" t="inlineStr">
        <is>
          <t>2023-10-29</t>
        </is>
      </c>
      <c r="C3046" t="inlineStr">
        <is>
          <t>12:47</t>
        </is>
      </c>
      <c r="D3046" t="inlineStr">
        <is>
          <t>n° 3 + n° 4</t>
        </is>
      </c>
      <c r="E3046" t="inlineStr">
        <is>
          <t>BURGER COMTOIS</t>
        </is>
      </c>
      <c r="F3046" t="n">
        <v>19</v>
      </c>
      <c r="G3046" t="inlineStr">
        <is>
          <t>n° 3 : 0,50 + n° 4 : 0,50</t>
        </is>
      </c>
      <c r="H3046" t="n">
        <v>1</v>
      </c>
    </row>
    <row r="3047">
      <c r="A3047" t="inlineStr">
        <is>
          <t>2023-2024</t>
        </is>
      </c>
      <c r="B3047" t="inlineStr">
        <is>
          <t>2023-10-29</t>
        </is>
      </c>
      <c r="C3047" t="inlineStr">
        <is>
          <t>12:47</t>
        </is>
      </c>
      <c r="D3047" t="inlineStr">
        <is>
          <t>n° 3 + n° 4</t>
        </is>
      </c>
      <c r="E3047" t="inlineStr">
        <is>
          <t>ASSIETTE FRANC-COMTO</t>
        </is>
      </c>
      <c r="F3047" t="n">
        <v>18.6</v>
      </c>
      <c r="G3047" t="inlineStr">
        <is>
          <t>n° 3 : 0,50 + n° 4 : 0,50</t>
        </is>
      </c>
      <c r="H3047" t="n">
        <v>1</v>
      </c>
    </row>
    <row r="3048">
      <c r="A3048" t="inlineStr">
        <is>
          <t>2023-2024</t>
        </is>
      </c>
      <c r="B3048" t="inlineStr">
        <is>
          <t>2023-10-29</t>
        </is>
      </c>
      <c r="C3048" t="inlineStr">
        <is>
          <t>12:47</t>
        </is>
      </c>
      <c r="D3048" t="inlineStr">
        <is>
          <t>n° 3 + n° 4</t>
        </is>
      </c>
      <c r="E3048" t="inlineStr">
        <is>
          <t>CAMEMBERT ROTI</t>
        </is>
      </c>
      <c r="F3048" t="n">
        <v>18.6</v>
      </c>
      <c r="G3048" t="inlineStr">
        <is>
          <t>n° 3 : 0,50 + n° 4 : 0,50</t>
        </is>
      </c>
      <c r="H3048" t="n">
        <v>1</v>
      </c>
    </row>
    <row r="3049">
      <c r="A3049" t="inlineStr">
        <is>
          <t>2023-2024</t>
        </is>
      </c>
      <c r="B3049" t="inlineStr">
        <is>
          <t>2023-10-29</t>
        </is>
      </c>
      <c r="C3049" t="inlineStr">
        <is>
          <t>12:47</t>
        </is>
      </c>
      <c r="D3049" t="inlineStr">
        <is>
          <t>n° 3 + n° 4</t>
        </is>
      </c>
      <c r="E3049" t="inlineStr">
        <is>
          <t>Clair de Rosé</t>
        </is>
      </c>
      <c r="F3049" t="n">
        <v>18</v>
      </c>
      <c r="G3049" t="inlineStr">
        <is>
          <t>n° 3 : 0,50 + n° 4 : 0,50</t>
        </is>
      </c>
      <c r="H3049" t="n">
        <v>1</v>
      </c>
    </row>
    <row r="3050">
      <c r="A3050" t="inlineStr">
        <is>
          <t>2023-2024</t>
        </is>
      </c>
      <c r="B3050" t="inlineStr">
        <is>
          <t>2023-10-29</t>
        </is>
      </c>
      <c r="C3050" t="inlineStr">
        <is>
          <t>12:47</t>
        </is>
      </c>
      <c r="D3050" t="inlineStr">
        <is>
          <t>n° 3 + n° 4</t>
        </is>
      </c>
      <c r="E3050" t="inlineStr">
        <is>
          <t>BASILIC</t>
        </is>
      </c>
      <c r="F3050" t="n">
        <v>12.4</v>
      </c>
      <c r="G3050" t="inlineStr">
        <is>
          <t>n° 3 : 0,50 + n° 4 : 0,50</t>
        </is>
      </c>
      <c r="H3050" t="n">
        <v>1</v>
      </c>
    </row>
    <row r="3051">
      <c r="A3051" t="inlineStr">
        <is>
          <t>2023-2024</t>
        </is>
      </c>
      <c r="B3051" t="inlineStr">
        <is>
          <t>2023-10-29</t>
        </is>
      </c>
      <c r="C3051" t="inlineStr">
        <is>
          <t>12:47</t>
        </is>
      </c>
      <c r="D3051" t="inlineStr">
        <is>
          <t>n° 3 + n° 4</t>
        </is>
      </c>
      <c r="E3051" t="inlineStr">
        <is>
          <t>DAMES VERTES</t>
        </is>
      </c>
      <c r="F3051" t="n">
        <v>9.699999999999999</v>
      </c>
      <c r="G3051" t="inlineStr">
        <is>
          <t>n° 3 : 0,50 + n° 4 : 0,50</t>
        </is>
      </c>
      <c r="H3051" t="n">
        <v>1</v>
      </c>
    </row>
    <row r="3052">
      <c r="A3052" t="inlineStr">
        <is>
          <t>2023-2024</t>
        </is>
      </c>
      <c r="B3052" t="inlineStr">
        <is>
          <t>2023-10-29</t>
        </is>
      </c>
      <c r="C3052" t="inlineStr">
        <is>
          <t>12:47</t>
        </is>
      </c>
      <c r="D3052" t="inlineStr">
        <is>
          <t>n° 3 + n° 4</t>
        </is>
      </c>
      <c r="E3052" t="inlineStr">
        <is>
          <t>Luna</t>
        </is>
      </c>
      <c r="F3052" t="n">
        <v>6</v>
      </c>
      <c r="G3052" t="inlineStr">
        <is>
          <t>n° 3 : 0,50 + n° 4 : 0,50</t>
        </is>
      </c>
      <c r="H3052" t="n">
        <v>1</v>
      </c>
    </row>
    <row r="3053">
      <c r="A3053" t="inlineStr">
        <is>
          <t>2023-2024</t>
        </is>
      </c>
      <c r="B3053" t="inlineStr">
        <is>
          <t>2023-10-29</t>
        </is>
      </c>
      <c r="C3053" t="inlineStr">
        <is>
          <t>12:47</t>
        </is>
      </c>
      <c r="D3053" t="inlineStr">
        <is>
          <t>n° 3 + n° 4</t>
        </is>
      </c>
      <c r="E3053" t="inlineStr">
        <is>
          <t>Chat perché</t>
        </is>
      </c>
      <c r="F3053" t="n">
        <v>5.9</v>
      </c>
      <c r="G3053" t="inlineStr">
        <is>
          <t>n° 3 : 0,50 + n° 4 : 0,50</t>
        </is>
      </c>
      <c r="H3053" t="n">
        <v>1</v>
      </c>
    </row>
    <row r="3054">
      <c r="A3054" t="inlineStr">
        <is>
          <t>2023-2024</t>
        </is>
      </c>
      <c r="B3054" t="inlineStr">
        <is>
          <t>2023-10-29</t>
        </is>
      </c>
      <c r="C3054" t="inlineStr">
        <is>
          <t>12:47</t>
        </is>
      </c>
      <c r="D3054" t="inlineStr">
        <is>
          <t>n° 3 + n° 4</t>
        </is>
      </c>
      <c r="E3054" t="inlineStr">
        <is>
          <t>La Vouivre</t>
        </is>
      </c>
      <c r="F3054" t="n">
        <v>5.9</v>
      </c>
      <c r="G3054" t="inlineStr">
        <is>
          <t>n° 3 : 0,50 + n° 4 : 0,50</t>
        </is>
      </c>
      <c r="H3054" t="n">
        <v>1</v>
      </c>
    </row>
    <row r="3055">
      <c r="A3055" t="inlineStr">
        <is>
          <t>2023-2024</t>
        </is>
      </c>
      <c r="B3055" t="inlineStr">
        <is>
          <t>2023-10-29</t>
        </is>
      </c>
      <c r="C3055" t="inlineStr">
        <is>
          <t>12:47</t>
        </is>
      </c>
      <c r="D3055" t="inlineStr">
        <is>
          <t>n° 3 + n° 4</t>
        </is>
      </c>
      <c r="E3055" t="inlineStr">
        <is>
          <t>GLACE 2 BOULES</t>
        </is>
      </c>
      <c r="F3055" t="n">
        <v>5.5</v>
      </c>
      <c r="G3055" t="inlineStr">
        <is>
          <t>n° 3 : 0,50 + n° 4 : 0,50</t>
        </is>
      </c>
      <c r="H3055" t="n">
        <v>1</v>
      </c>
    </row>
    <row r="3056">
      <c r="A3056" t="inlineStr">
        <is>
          <t>2023-2024</t>
        </is>
      </c>
      <c r="B3056" t="inlineStr">
        <is>
          <t>2023-10-29</t>
        </is>
      </c>
      <c r="C3056" t="inlineStr">
        <is>
          <t>12:47</t>
        </is>
      </c>
      <c r="D3056" t="inlineStr">
        <is>
          <t>n° 3 + n° 4</t>
        </is>
      </c>
      <c r="E3056" t="inlineStr">
        <is>
          <t>Expresso</t>
        </is>
      </c>
      <c r="F3056" t="n">
        <v>2.2</v>
      </c>
      <c r="G3056" t="inlineStr">
        <is>
          <t>n° 3 : 1,50 + n° 4 : 1,50</t>
        </is>
      </c>
      <c r="H3056" t="n">
        <v>3</v>
      </c>
    </row>
    <row r="3057">
      <c r="A3057" t="inlineStr">
        <is>
          <t>2023-2024</t>
        </is>
      </c>
      <c r="B3057" t="inlineStr">
        <is>
          <t>2023-10-29</t>
        </is>
      </c>
      <c r="C3057" t="inlineStr">
        <is>
          <t>19:11</t>
        </is>
      </c>
      <c r="D3057" t="inlineStr">
        <is>
          <t>n° 16 + n° 17</t>
        </is>
      </c>
      <c r="E3057" t="inlineStr">
        <is>
          <t>Assortiment charcute</t>
        </is>
      </c>
      <c r="F3057" t="n">
        <v>8.9</v>
      </c>
      <c r="G3057" t="inlineStr">
        <is>
          <t>n° 16 : 0,50 + n° 17 : 0,50</t>
        </is>
      </c>
      <c r="H3057" t="n">
        <v>1</v>
      </c>
    </row>
    <row r="3058">
      <c r="A3058" t="inlineStr">
        <is>
          <t>2023-2024</t>
        </is>
      </c>
      <c r="B3058" t="inlineStr">
        <is>
          <t>2023-10-29</t>
        </is>
      </c>
      <c r="C3058" t="inlineStr">
        <is>
          <t>19:11</t>
        </is>
      </c>
      <c r="D3058" t="inlineStr">
        <is>
          <t>n° 16 + n° 17</t>
        </is>
      </c>
      <c r="E3058" t="inlineStr">
        <is>
          <t>FANTA</t>
        </is>
      </c>
      <c r="F3058" t="n">
        <v>3.9</v>
      </c>
      <c r="G3058" t="inlineStr">
        <is>
          <t>n° 16 : 0,50 + n° 17 : 0,50</t>
        </is>
      </c>
      <c r="H3058" t="n">
        <v>1</v>
      </c>
    </row>
    <row r="3059">
      <c r="A3059" t="inlineStr">
        <is>
          <t>2023-2024</t>
        </is>
      </c>
      <c r="B3059" t="inlineStr">
        <is>
          <t>2023-10-29</t>
        </is>
      </c>
      <c r="C3059" t="inlineStr">
        <is>
          <t>19:11</t>
        </is>
      </c>
      <c r="D3059" t="inlineStr">
        <is>
          <t>n° 16 + n° 17</t>
        </is>
      </c>
      <c r="E3059" t="inlineStr">
        <is>
          <t>POMMES FRITES</t>
        </is>
      </c>
      <c r="F3059" t="n">
        <v>3.9</v>
      </c>
      <c r="G3059" t="inlineStr">
        <is>
          <t>n° 16 : 0,50 + n° 17 : 0,50</t>
        </is>
      </c>
      <c r="H3059" t="n">
        <v>1</v>
      </c>
    </row>
    <row r="3060">
      <c r="A3060" t="inlineStr">
        <is>
          <t>2023-2024</t>
        </is>
      </c>
      <c r="B3060" t="inlineStr">
        <is>
          <t>2023-10-29</t>
        </is>
      </c>
      <c r="C3060" t="inlineStr">
        <is>
          <t>19:11</t>
        </is>
      </c>
      <c r="D3060" t="inlineStr">
        <is>
          <t>n° 16 + n° 17</t>
        </is>
      </c>
      <c r="E3060" t="inlineStr">
        <is>
          <t>Sirop à l'eau</t>
        </is>
      </c>
      <c r="F3060" t="n">
        <v>2.2</v>
      </c>
      <c r="G3060" t="inlineStr">
        <is>
          <t>n° 16 : 0,50 + n° 17 : 0,50</t>
        </is>
      </c>
      <c r="H3060" t="n">
        <v>1</v>
      </c>
    </row>
    <row r="3061">
      <c r="A3061" t="inlineStr">
        <is>
          <t>2023-2024</t>
        </is>
      </c>
      <c r="B3061" t="inlineStr">
        <is>
          <t>2023-10-29</t>
        </is>
      </c>
      <c r="C3061" t="inlineStr">
        <is>
          <t>19:35</t>
        </is>
      </c>
      <c r="D3061" t="inlineStr">
        <is>
          <t>n° 21 + n° 22</t>
        </is>
      </c>
      <c r="E3061" t="inlineStr">
        <is>
          <t>Jus de Fruit</t>
        </is>
      </c>
      <c r="F3061" t="n">
        <v>4.2</v>
      </c>
      <c r="G3061" t="inlineStr">
        <is>
          <t>n° 21 : 0,50 + n° 22 : 0,50</t>
        </is>
      </c>
      <c r="H3061" t="n">
        <v>1</v>
      </c>
    </row>
    <row r="3062">
      <c r="A3062" t="inlineStr">
        <is>
          <t>2023-2024</t>
        </is>
      </c>
      <c r="B3062" t="inlineStr">
        <is>
          <t>2023-10-29</t>
        </is>
      </c>
      <c r="C3062" t="inlineStr">
        <is>
          <t>19:35</t>
        </is>
      </c>
      <c r="D3062" t="inlineStr">
        <is>
          <t>n° 21 + n° 22</t>
        </is>
      </c>
      <c r="E3062" t="inlineStr">
        <is>
          <t>Schweppes</t>
        </is>
      </c>
      <c r="F3062" t="n">
        <v>3.9</v>
      </c>
      <c r="G3062" t="inlineStr">
        <is>
          <t>n° 21 : 0,50 + n° 22 : 0,50</t>
        </is>
      </c>
      <c r="H3062" t="n">
        <v>1</v>
      </c>
    </row>
    <row r="3063">
      <c r="A3063" t="inlineStr">
        <is>
          <t>2023-2024</t>
        </is>
      </c>
      <c r="B3063" t="inlineStr">
        <is>
          <t>2023-11-02</t>
        </is>
      </c>
      <c r="C3063" t="inlineStr">
        <is>
          <t>12:09</t>
        </is>
      </c>
      <c r="D3063" t="inlineStr">
        <is>
          <t>n° 2 + n° 3</t>
        </is>
      </c>
      <c r="E3063" t="inlineStr">
        <is>
          <t>1/2 Arbois Béthanie</t>
        </is>
      </c>
      <c r="F3063" t="n">
        <v>24</v>
      </c>
      <c r="G3063" t="inlineStr">
        <is>
          <t>n° 2 : 0,50 + n° 3 : 0,50</t>
        </is>
      </c>
      <c r="H3063" t="n">
        <v>1</v>
      </c>
    </row>
    <row r="3064">
      <c r="A3064" t="inlineStr">
        <is>
          <t>2023-2024</t>
        </is>
      </c>
      <c r="B3064" t="inlineStr">
        <is>
          <t>2023-11-02</t>
        </is>
      </c>
      <c r="C3064" t="inlineStr">
        <is>
          <t>12:09</t>
        </is>
      </c>
      <c r="D3064" t="inlineStr">
        <is>
          <t>n° 2 + n° 3</t>
        </is>
      </c>
      <c r="E3064" t="inlineStr">
        <is>
          <t>POULET JURASSIENNE</t>
        </is>
      </c>
      <c r="F3064" t="n">
        <v>18.6</v>
      </c>
      <c r="G3064" t="inlineStr">
        <is>
          <t>n° 2 : 0,50 + n° 3 : 0,50</t>
        </is>
      </c>
      <c r="H3064" t="n">
        <v>1</v>
      </c>
    </row>
    <row r="3065">
      <c r="A3065" t="inlineStr">
        <is>
          <t>2023-2024</t>
        </is>
      </c>
      <c r="B3065" t="inlineStr">
        <is>
          <t>2023-11-02</t>
        </is>
      </c>
      <c r="C3065" t="inlineStr">
        <is>
          <t>12:09</t>
        </is>
      </c>
      <c r="D3065" t="inlineStr">
        <is>
          <t>n° 2 + n° 3</t>
        </is>
      </c>
      <c r="E3065" t="inlineStr">
        <is>
          <t>Salade Verte</t>
        </is>
      </c>
      <c r="F3065" t="n">
        <v>5.9</v>
      </c>
      <c r="G3065" t="inlineStr">
        <is>
          <t>n° 2 : 0,50 + n° 3 : 0,50</t>
        </is>
      </c>
      <c r="H3065" t="n">
        <v>1</v>
      </c>
    </row>
    <row r="3066">
      <c r="A3066" t="inlineStr">
        <is>
          <t>2023-2024</t>
        </is>
      </c>
      <c r="B3066" t="inlineStr">
        <is>
          <t>2023-11-02</t>
        </is>
      </c>
      <c r="C3066" t="inlineStr">
        <is>
          <t>12:09</t>
        </is>
      </c>
      <c r="D3066" t="inlineStr">
        <is>
          <t>n° 2 + n° 3</t>
        </is>
      </c>
      <c r="E3066" t="inlineStr">
        <is>
          <t>POMMES FRITES</t>
        </is>
      </c>
      <c r="F3066" t="n">
        <v>3.9</v>
      </c>
      <c r="G3066" t="inlineStr">
        <is>
          <t>n° 2 : 0,50 + n° 3 : 0,50</t>
        </is>
      </c>
      <c r="H3066" t="n">
        <v>1</v>
      </c>
    </row>
    <row r="3067">
      <c r="A3067" t="inlineStr">
        <is>
          <t>2023-2024</t>
        </is>
      </c>
      <c r="B3067" t="inlineStr">
        <is>
          <t>2023-11-03</t>
        </is>
      </c>
      <c r="C3067" t="inlineStr">
        <is>
          <t>12:52</t>
        </is>
      </c>
      <c r="D3067" t="inlineStr">
        <is>
          <t>n° 13 + n° 14</t>
        </is>
      </c>
      <c r="E3067" t="inlineStr">
        <is>
          <t>Menu Végétarien</t>
        </is>
      </c>
      <c r="F3067" t="n">
        <v>26.5</v>
      </c>
      <c r="G3067" t="inlineStr">
        <is>
          <t>n° 13 : 0,50 + n° 14 : 0,50</t>
        </is>
      </c>
      <c r="H3067" t="n">
        <v>1</v>
      </c>
    </row>
    <row r="3068">
      <c r="A3068" t="inlineStr">
        <is>
          <t>2023-2024</t>
        </is>
      </c>
      <c r="B3068" t="inlineStr">
        <is>
          <t>2023-11-03</t>
        </is>
      </c>
      <c r="C3068" t="inlineStr">
        <is>
          <t>12:52</t>
        </is>
      </c>
      <c r="D3068" t="inlineStr">
        <is>
          <t>n° 13 + n° 14</t>
        </is>
      </c>
      <c r="E3068" t="inlineStr">
        <is>
          <t>Crémeux du Jura</t>
        </is>
      </c>
      <c r="F3068" t="n">
        <v>19</v>
      </c>
      <c r="G3068" t="inlineStr">
        <is>
          <t>n° 13 : 0,50 + n° 14 : 0,50</t>
        </is>
      </c>
      <c r="H3068" t="n">
        <v>1</v>
      </c>
    </row>
    <row r="3069">
      <c r="A3069" t="inlineStr">
        <is>
          <t>2023-2024</t>
        </is>
      </c>
      <c r="B3069" t="inlineStr">
        <is>
          <t>2023-11-03</t>
        </is>
      </c>
      <c r="C3069" t="inlineStr">
        <is>
          <t>12:52</t>
        </is>
      </c>
      <c r="D3069" t="inlineStr">
        <is>
          <t>n° 13 + n° 14</t>
        </is>
      </c>
      <c r="E3069" t="inlineStr">
        <is>
          <t>Luna</t>
        </is>
      </c>
      <c r="F3069" t="n">
        <v>6</v>
      </c>
      <c r="G3069" t="inlineStr">
        <is>
          <t>n° 13 : 0,50 + n° 14 : 0,50</t>
        </is>
      </c>
      <c r="H3069" t="n">
        <v>1</v>
      </c>
    </row>
    <row r="3070">
      <c r="A3070" t="inlineStr">
        <is>
          <t>2023-2024</t>
        </is>
      </c>
      <c r="B3070" t="inlineStr">
        <is>
          <t>2023-11-03</t>
        </is>
      </c>
      <c r="C3070" t="inlineStr">
        <is>
          <t>12:52</t>
        </is>
      </c>
      <c r="D3070" t="inlineStr">
        <is>
          <t>n° 13 + n° 14</t>
        </is>
      </c>
      <c r="E3070" t="inlineStr">
        <is>
          <t>La Vouivre</t>
        </is>
      </c>
      <c r="F3070" t="n">
        <v>5.9</v>
      </c>
      <c r="G3070" t="inlineStr">
        <is>
          <t>n° 13 : 0,50 + n° 14 : 0,50</t>
        </is>
      </c>
      <c r="H3070" t="n">
        <v>1</v>
      </c>
    </row>
    <row r="3071">
      <c r="A3071" t="inlineStr">
        <is>
          <t>2023-2024</t>
        </is>
      </c>
      <c r="B3071" t="inlineStr">
        <is>
          <t>2023-11-03</t>
        </is>
      </c>
      <c r="C3071" t="inlineStr">
        <is>
          <t>19:52</t>
        </is>
      </c>
      <c r="D3071" t="inlineStr">
        <is>
          <t>n° 24 + n° 25</t>
        </is>
      </c>
      <c r="E3071" t="inlineStr">
        <is>
          <t>POULET JURASSIENNE</t>
        </is>
      </c>
      <c r="F3071" t="n">
        <v>18.6</v>
      </c>
      <c r="G3071" t="inlineStr">
        <is>
          <t>n° 24 : 0,50 + n° 25 : 0,50</t>
        </is>
      </c>
      <c r="H3071" t="n">
        <v>1</v>
      </c>
    </row>
    <row r="3072">
      <c r="A3072" t="inlineStr">
        <is>
          <t>2023-2024</t>
        </is>
      </c>
      <c r="B3072" t="inlineStr">
        <is>
          <t>2023-11-03</t>
        </is>
      </c>
      <c r="C3072" t="inlineStr">
        <is>
          <t>19:52</t>
        </is>
      </c>
      <c r="D3072" t="inlineStr">
        <is>
          <t>n° 24 + n° 25</t>
        </is>
      </c>
      <c r="E3072" t="inlineStr">
        <is>
          <t>Menu 'Enfant'</t>
        </is>
      </c>
      <c r="F3072" t="n">
        <v>9.9</v>
      </c>
      <c r="G3072" t="inlineStr">
        <is>
          <t>n° 24 : 0,50 + n° 25 : 0,50</t>
        </is>
      </c>
      <c r="H3072" t="n">
        <v>1</v>
      </c>
    </row>
    <row r="3073">
      <c r="A3073" t="inlineStr">
        <is>
          <t>2023-2024</t>
        </is>
      </c>
      <c r="B3073" t="inlineStr">
        <is>
          <t>2023-11-03</t>
        </is>
      </c>
      <c r="C3073" t="inlineStr">
        <is>
          <t>19:52</t>
        </is>
      </c>
      <c r="D3073" t="inlineStr">
        <is>
          <t>n° 24 + n° 25</t>
        </is>
      </c>
      <c r="E3073" t="inlineStr">
        <is>
          <t>Jus de Fruit</t>
        </is>
      </c>
      <c r="F3073" t="n">
        <v>4.2</v>
      </c>
      <c r="G3073" t="inlineStr">
        <is>
          <t>n° 24 : 0,50 + n° 25 : 0,50</t>
        </is>
      </c>
      <c r="H3073" t="n">
        <v>1</v>
      </c>
    </row>
    <row r="3074">
      <c r="A3074" t="inlineStr">
        <is>
          <t>2023-2024</t>
        </is>
      </c>
      <c r="B3074" t="inlineStr">
        <is>
          <t>2023-11-03</t>
        </is>
      </c>
      <c r="C3074" t="inlineStr">
        <is>
          <t>19:52</t>
        </is>
      </c>
      <c r="D3074" t="inlineStr">
        <is>
          <t>n° 24 + n° 25</t>
        </is>
      </c>
      <c r="E3074" t="inlineStr">
        <is>
          <t>Crêpe au sucre</t>
        </is>
      </c>
      <c r="F3074" t="n">
        <v>3.9</v>
      </c>
      <c r="G3074" t="inlineStr">
        <is>
          <t>n° 24 : 0,50 + n° 25 : 0,50</t>
        </is>
      </c>
      <c r="H3074" t="n">
        <v>1</v>
      </c>
    </row>
    <row r="3075">
      <c r="A3075" t="inlineStr">
        <is>
          <t>2023-2024</t>
        </is>
      </c>
      <c r="B3075" t="inlineStr">
        <is>
          <t>2023-11-03</t>
        </is>
      </c>
      <c r="C3075" t="inlineStr">
        <is>
          <t>20:57</t>
        </is>
      </c>
      <c r="D3075" t="inlineStr">
        <is>
          <t>n° 30 + n° 31</t>
        </is>
      </c>
      <c r="E3075" t="inlineStr">
        <is>
          <t>pichet Saint Joseph</t>
        </is>
      </c>
      <c r="F3075" t="n">
        <v>32.2</v>
      </c>
      <c r="G3075" t="inlineStr">
        <is>
          <t>n° 30 : 0,50 + n° 31 : 0,50</t>
        </is>
      </c>
      <c r="H3075" t="n">
        <v>1</v>
      </c>
    </row>
    <row r="3076">
      <c r="A3076" t="inlineStr">
        <is>
          <t>2023-2024</t>
        </is>
      </c>
      <c r="B3076" t="inlineStr">
        <is>
          <t>2023-11-03</t>
        </is>
      </c>
      <c r="C3076" t="inlineStr">
        <is>
          <t>20:57</t>
        </is>
      </c>
      <c r="D3076" t="inlineStr">
        <is>
          <t>n° 30 + n° 31</t>
        </is>
      </c>
      <c r="E3076" t="inlineStr">
        <is>
          <t>Entrecôte grillée</t>
        </is>
      </c>
      <c r="F3076" t="n">
        <v>19.9</v>
      </c>
      <c r="G3076" t="inlineStr">
        <is>
          <t>n° 30 : 0,50 + n° 31 : 0,50</t>
        </is>
      </c>
      <c r="H3076" t="n">
        <v>1</v>
      </c>
    </row>
    <row r="3077">
      <c r="A3077" t="inlineStr">
        <is>
          <t>2023-2024</t>
        </is>
      </c>
      <c r="B3077" t="inlineStr">
        <is>
          <t>2023-11-03</t>
        </is>
      </c>
      <c r="C3077" t="inlineStr">
        <is>
          <t>20:57</t>
        </is>
      </c>
      <c r="D3077" t="inlineStr">
        <is>
          <t>n° 30 + n° 31</t>
        </is>
      </c>
      <c r="E3077" t="inlineStr">
        <is>
          <t>Crémeux du Jura</t>
        </is>
      </c>
      <c r="F3077" t="n">
        <v>19</v>
      </c>
      <c r="G3077" t="inlineStr">
        <is>
          <t>n° 30 : 0,50 + n° 31 : 0,50</t>
        </is>
      </c>
      <c r="H3077" t="n">
        <v>1</v>
      </c>
    </row>
    <row r="3078">
      <c r="A3078" t="inlineStr">
        <is>
          <t>2023-2024</t>
        </is>
      </c>
      <c r="B3078" t="inlineStr">
        <is>
          <t>2023-11-03</t>
        </is>
      </c>
      <c r="C3078" t="inlineStr">
        <is>
          <t>20:57</t>
        </is>
      </c>
      <c r="D3078" t="inlineStr">
        <is>
          <t>n° 30 + n° 31</t>
        </is>
      </c>
      <c r="E3078" t="inlineStr">
        <is>
          <t>BASILIC</t>
        </is>
      </c>
      <c r="F3078" t="n">
        <v>12.4</v>
      </c>
      <c r="G3078" t="inlineStr">
        <is>
          <t>n° 30 : 0,50 + n° 31 : 0,50</t>
        </is>
      </c>
      <c r="H3078" t="n">
        <v>1</v>
      </c>
    </row>
    <row r="3079">
      <c r="A3079" t="inlineStr">
        <is>
          <t>2023-2024</t>
        </is>
      </c>
      <c r="B3079" t="inlineStr">
        <is>
          <t>2023-11-03</t>
        </is>
      </c>
      <c r="C3079" t="inlineStr">
        <is>
          <t>20:57</t>
        </is>
      </c>
      <c r="D3079" t="inlineStr">
        <is>
          <t>n° 30 + n° 31</t>
        </is>
      </c>
      <c r="E3079" t="inlineStr">
        <is>
          <t>FLIRT</t>
        </is>
      </c>
      <c r="F3079" t="n">
        <v>12</v>
      </c>
      <c r="G3079" t="inlineStr">
        <is>
          <t>n° 30 : 0,50 + n° 31 : 0,50</t>
        </is>
      </c>
      <c r="H3079" t="n">
        <v>1</v>
      </c>
    </row>
    <row r="3080">
      <c r="A3080" t="inlineStr">
        <is>
          <t>2023-2024</t>
        </is>
      </c>
      <c r="B3080" t="inlineStr">
        <is>
          <t>2023-11-03</t>
        </is>
      </c>
      <c r="C3080" t="inlineStr">
        <is>
          <t>20:57</t>
        </is>
      </c>
      <c r="D3080" t="inlineStr">
        <is>
          <t>n° 30 + n° 31</t>
        </is>
      </c>
      <c r="E3080" t="inlineStr">
        <is>
          <t>FLAMME</t>
        </is>
      </c>
      <c r="F3080" t="n">
        <v>9.300000000000001</v>
      </c>
      <c r="G3080" t="inlineStr">
        <is>
          <t>n° 30 : 0,50 + n° 31 : 0,50</t>
        </is>
      </c>
      <c r="H3080" t="n">
        <v>1</v>
      </c>
    </row>
    <row r="3081">
      <c r="A3081" t="inlineStr">
        <is>
          <t>2023-2024</t>
        </is>
      </c>
      <c r="B3081" t="inlineStr">
        <is>
          <t>2023-11-03</t>
        </is>
      </c>
      <c r="C3081" t="inlineStr">
        <is>
          <t>20:57</t>
        </is>
      </c>
      <c r="D3081" t="inlineStr">
        <is>
          <t>n° 30 + n° 31</t>
        </is>
      </c>
      <c r="E3081" t="inlineStr">
        <is>
          <t>BALIDOU</t>
        </is>
      </c>
      <c r="F3081" t="n">
        <v>9</v>
      </c>
      <c r="G3081" t="inlineStr">
        <is>
          <t>n° 30 : 0,50 + n° 31 : 0,50</t>
        </is>
      </c>
      <c r="H3081" t="n">
        <v>1</v>
      </c>
    </row>
    <row r="3082">
      <c r="A3082" t="inlineStr">
        <is>
          <t>2023-2024</t>
        </is>
      </c>
      <c r="B3082" t="inlineStr">
        <is>
          <t>2023-11-03</t>
        </is>
      </c>
      <c r="C3082" t="inlineStr">
        <is>
          <t>20:57</t>
        </is>
      </c>
      <c r="D3082" t="inlineStr">
        <is>
          <t>n° 30 + n° 31</t>
        </is>
      </c>
      <c r="E3082" t="inlineStr">
        <is>
          <t>Saucisse de Morteau</t>
        </is>
      </c>
      <c r="F3082" t="n">
        <v>8.9</v>
      </c>
      <c r="G3082" t="inlineStr">
        <is>
          <t>n° 30 : 0,50 + n° 31 : 0,50</t>
        </is>
      </c>
      <c r="H3082" t="n">
        <v>1</v>
      </c>
    </row>
    <row r="3083">
      <c r="A3083" t="inlineStr">
        <is>
          <t>2023-2024</t>
        </is>
      </c>
      <c r="B3083" t="inlineStr">
        <is>
          <t>2023-11-03</t>
        </is>
      </c>
      <c r="C3083" t="inlineStr">
        <is>
          <t>20:57</t>
        </is>
      </c>
      <c r="D3083" t="inlineStr">
        <is>
          <t>n° 30 + n° 31</t>
        </is>
      </c>
      <c r="E3083" t="inlineStr">
        <is>
          <t>Salade Verte</t>
        </is>
      </c>
      <c r="F3083" t="n">
        <v>5.9</v>
      </c>
      <c r="G3083" t="inlineStr">
        <is>
          <t>n° 30 : 0,50 + n° 31 : 0,50</t>
        </is>
      </c>
      <c r="H3083" t="n">
        <v>1</v>
      </c>
    </row>
    <row r="3084">
      <c r="A3084" t="inlineStr">
        <is>
          <t>2023-2024</t>
        </is>
      </c>
      <c r="B3084" t="inlineStr">
        <is>
          <t>2023-11-03</t>
        </is>
      </c>
      <c r="C3084" t="inlineStr">
        <is>
          <t>20:57</t>
        </is>
      </c>
      <c r="D3084" t="inlineStr">
        <is>
          <t>n° 30 + n° 31</t>
        </is>
      </c>
      <c r="E3084" t="inlineStr">
        <is>
          <t>KITTYKIR</t>
        </is>
      </c>
      <c r="F3084" t="n">
        <v>5.2</v>
      </c>
      <c r="G3084" t="inlineStr">
        <is>
          <t>n° 30 : 0,50 + n° 31 : 0,50</t>
        </is>
      </c>
      <c r="H3084" t="n">
        <v>1</v>
      </c>
    </row>
    <row r="3085">
      <c r="A3085" t="inlineStr">
        <is>
          <t>2023-2024</t>
        </is>
      </c>
      <c r="B3085" t="inlineStr">
        <is>
          <t>2023-11-03</t>
        </is>
      </c>
      <c r="C3085" t="inlineStr">
        <is>
          <t>20:57</t>
        </is>
      </c>
      <c r="D3085" t="inlineStr">
        <is>
          <t>n° 30 + n° 31</t>
        </is>
      </c>
      <c r="E3085" t="inlineStr">
        <is>
          <t>GLACE 1 BOULE</t>
        </is>
      </c>
      <c r="F3085" t="n">
        <v>3.5</v>
      </c>
      <c r="G3085" t="inlineStr">
        <is>
          <t>n° 30 : 0,50 + n° 31 : 0,50</t>
        </is>
      </c>
      <c r="H3085" t="n">
        <v>1</v>
      </c>
    </row>
    <row r="3086">
      <c r="A3086" t="inlineStr">
        <is>
          <t>2023-2024</t>
        </is>
      </c>
      <c r="B3086" t="inlineStr">
        <is>
          <t>2023-11-04</t>
        </is>
      </c>
      <c r="C3086" t="inlineStr">
        <is>
          <t>21:21</t>
        </is>
      </c>
      <c r="D3086" t="inlineStr">
        <is>
          <t>n° 22 + n° 23</t>
        </is>
      </c>
      <c r="E3086" t="inlineStr">
        <is>
          <t>Thé</t>
        </is>
      </c>
      <c r="F3086" t="n">
        <v>3.4</v>
      </c>
      <c r="G3086" t="inlineStr">
        <is>
          <t>n° 22 : 0,50 + n° 23 : 0,50</t>
        </is>
      </c>
      <c r="H3086" t="n">
        <v>1</v>
      </c>
    </row>
    <row r="3087">
      <c r="A3087" t="inlineStr">
        <is>
          <t>2023-2024</t>
        </is>
      </c>
      <c r="B3087" t="inlineStr">
        <is>
          <t>2023-11-04</t>
        </is>
      </c>
      <c r="C3087" t="inlineStr">
        <is>
          <t>21:21</t>
        </is>
      </c>
      <c r="D3087" t="inlineStr">
        <is>
          <t>n° 22 + n° 23</t>
        </is>
      </c>
      <c r="E3087" t="inlineStr">
        <is>
          <t>Expresso</t>
        </is>
      </c>
      <c r="F3087" t="n">
        <v>2.2</v>
      </c>
      <c r="G3087" t="inlineStr">
        <is>
          <t>n° 22 : 0,50 + n° 23 : 0,50</t>
        </is>
      </c>
      <c r="H3087" t="n">
        <v>1</v>
      </c>
    </row>
    <row r="3088">
      <c r="A3088" t="inlineStr">
        <is>
          <t>2023-2024</t>
        </is>
      </c>
      <c r="B3088" t="inlineStr">
        <is>
          <t>2023-11-08</t>
        </is>
      </c>
      <c r="C3088" t="inlineStr">
        <is>
          <t>12:06</t>
        </is>
      </c>
      <c r="D3088" t="inlineStr">
        <is>
          <t>n° 4 + n° 5</t>
        </is>
      </c>
      <c r="E3088" t="inlineStr">
        <is>
          <t>Pichet CHUSLAN</t>
        </is>
      </c>
      <c r="F3088" t="n">
        <v>9.5</v>
      </c>
      <c r="G3088" t="inlineStr">
        <is>
          <t>n° 4 : 0,50 + n° 5 : 0,50</t>
        </is>
      </c>
      <c r="H3088" t="n">
        <v>1</v>
      </c>
    </row>
    <row r="3089">
      <c r="A3089" t="inlineStr">
        <is>
          <t>2023-2024</t>
        </is>
      </c>
      <c r="B3089" t="inlineStr">
        <is>
          <t>2023-11-08</t>
        </is>
      </c>
      <c r="C3089" t="inlineStr">
        <is>
          <t>12:06</t>
        </is>
      </c>
      <c r="D3089" t="inlineStr">
        <is>
          <t>n° 4 + n° 5</t>
        </is>
      </c>
      <c r="E3089" t="inlineStr">
        <is>
          <t>Crepe Chocolat</t>
        </is>
      </c>
      <c r="F3089" t="n">
        <v>5.9</v>
      </c>
      <c r="G3089" t="inlineStr">
        <is>
          <t>n° 4 : 0,50 + n° 5 : 0,50</t>
        </is>
      </c>
      <c r="H3089" t="n">
        <v>1</v>
      </c>
    </row>
    <row r="3090">
      <c r="A3090" t="inlineStr">
        <is>
          <t>2023-2024</t>
        </is>
      </c>
      <c r="B3090" t="inlineStr">
        <is>
          <t>2023-11-08</t>
        </is>
      </c>
      <c r="C3090" t="inlineStr">
        <is>
          <t>12:06</t>
        </is>
      </c>
      <c r="D3090" t="inlineStr">
        <is>
          <t>n° 4 + n° 5</t>
        </is>
      </c>
      <c r="E3090" t="inlineStr">
        <is>
          <t>Crêpe Confiture</t>
        </is>
      </c>
      <c r="F3090" t="n">
        <v>5.4</v>
      </c>
      <c r="G3090" t="inlineStr">
        <is>
          <t>n° 4 : 0,50 + n° 5 : 0,50</t>
        </is>
      </c>
      <c r="H3090" t="n">
        <v>1</v>
      </c>
    </row>
    <row r="3091">
      <c r="A3091" t="inlineStr">
        <is>
          <t>2023-2024</t>
        </is>
      </c>
      <c r="B3091" t="inlineStr">
        <is>
          <t>2023-11-08</t>
        </is>
      </c>
      <c r="C3091" t="inlineStr">
        <is>
          <t>12:06</t>
        </is>
      </c>
      <c r="D3091" t="inlineStr">
        <is>
          <t>n° 4 + n° 5</t>
        </is>
      </c>
      <c r="E3091" t="inlineStr">
        <is>
          <t>Expresso</t>
        </is>
      </c>
      <c r="F3091" t="n">
        <v>2.2</v>
      </c>
      <c r="G3091" t="inlineStr">
        <is>
          <t>n° 4 : 0,50 + n° 5 : 0,50</t>
        </is>
      </c>
      <c r="H3091" t="n">
        <v>1</v>
      </c>
    </row>
    <row r="3092">
      <c r="A3092" t="inlineStr">
        <is>
          <t>2023-2024</t>
        </is>
      </c>
      <c r="B3092" t="inlineStr">
        <is>
          <t>2023-11-08</t>
        </is>
      </c>
      <c r="C3092" t="inlineStr">
        <is>
          <t>20:08</t>
        </is>
      </c>
      <c r="D3092" t="inlineStr">
        <is>
          <t>n° 16 + n° 17</t>
        </is>
      </c>
      <c r="E3092" t="inlineStr">
        <is>
          <t>Entrecôte grillée</t>
        </is>
      </c>
      <c r="F3092" t="n">
        <v>19.9</v>
      </c>
      <c r="G3092" t="inlineStr">
        <is>
          <t>n° 16 : 0,50 + n° 17 : 0,50</t>
        </is>
      </c>
      <c r="H3092" t="n">
        <v>1</v>
      </c>
    </row>
    <row r="3093">
      <c r="A3093" t="inlineStr">
        <is>
          <t>2023-2024</t>
        </is>
      </c>
      <c r="B3093" t="inlineStr">
        <is>
          <t>2023-11-08</t>
        </is>
      </c>
      <c r="C3093" t="inlineStr">
        <is>
          <t>20:08</t>
        </is>
      </c>
      <c r="D3093" t="inlineStr">
        <is>
          <t>n° 16 + n° 17</t>
        </is>
      </c>
      <c r="E3093" t="inlineStr">
        <is>
          <t>Mambo</t>
        </is>
      </c>
      <c r="F3093" t="n">
        <v>6.5</v>
      </c>
      <c r="G3093" t="inlineStr">
        <is>
          <t>n° 16 : 0,50 + n° 17 : 0,50</t>
        </is>
      </c>
      <c r="H3093" t="n">
        <v>1</v>
      </c>
    </row>
    <row r="3094">
      <c r="A3094" t="inlineStr">
        <is>
          <t>2023-2024</t>
        </is>
      </c>
      <c r="B3094" t="inlineStr">
        <is>
          <t>2023-11-08</t>
        </is>
      </c>
      <c r="C3094" t="inlineStr">
        <is>
          <t>20:08</t>
        </is>
      </c>
      <c r="D3094" t="inlineStr">
        <is>
          <t>n° 16 + n° 17</t>
        </is>
      </c>
      <c r="E3094" t="inlineStr">
        <is>
          <t>Crêpe Nutella</t>
        </is>
      </c>
      <c r="F3094" t="n">
        <v>4.9</v>
      </c>
      <c r="G3094" t="inlineStr">
        <is>
          <t>n° 16 : 1,50 + n° 17 : 1,50</t>
        </is>
      </c>
      <c r="H3094" t="n">
        <v>3</v>
      </c>
    </row>
    <row r="3095">
      <c r="A3095" t="inlineStr">
        <is>
          <t>2023-2024</t>
        </is>
      </c>
      <c r="B3095" t="inlineStr">
        <is>
          <t>2023-11-08</t>
        </is>
      </c>
      <c r="C3095" t="inlineStr">
        <is>
          <t>20:08</t>
        </is>
      </c>
      <c r="D3095" t="inlineStr">
        <is>
          <t>n° 16 + n° 17</t>
        </is>
      </c>
      <c r="E3095" t="inlineStr">
        <is>
          <t>Fuze Tea</t>
        </is>
      </c>
      <c r="F3095" t="n">
        <v>3.9</v>
      </c>
      <c r="G3095" t="inlineStr">
        <is>
          <t>n° 16 : 0,50 + n° 17 : 0,50</t>
        </is>
      </c>
      <c r="H3095" t="n">
        <v>1</v>
      </c>
    </row>
    <row r="3096">
      <c r="A3096" t="inlineStr">
        <is>
          <t>2023-2024</t>
        </is>
      </c>
      <c r="B3096" t="inlineStr">
        <is>
          <t>2023-11-08</t>
        </is>
      </c>
      <c r="C3096" t="inlineStr">
        <is>
          <t>20:08</t>
        </is>
      </c>
      <c r="D3096" t="inlineStr">
        <is>
          <t>n° 16 + n° 17</t>
        </is>
      </c>
      <c r="E3096" t="inlineStr">
        <is>
          <t>Sirop à l'eau</t>
        </is>
      </c>
      <c r="F3096" t="n">
        <v>2.2</v>
      </c>
      <c r="G3096" t="inlineStr">
        <is>
          <t>n° 16 : 0,50 + n° 17 : 0,50</t>
        </is>
      </c>
      <c r="H3096" t="n">
        <v>1</v>
      </c>
    </row>
    <row r="3097">
      <c r="A3097" t="inlineStr">
        <is>
          <t>2023-2024</t>
        </is>
      </c>
      <c r="B3097" t="inlineStr">
        <is>
          <t>2023-11-09</t>
        </is>
      </c>
      <c r="C3097" t="inlineStr">
        <is>
          <t>12:59</t>
        </is>
      </c>
      <c r="D3097" t="inlineStr">
        <is>
          <t>n° 5 + n° 6 + n° 7 + n° 8 + n° 9 + n° 10</t>
        </is>
      </c>
      <c r="E3097" t="inlineStr">
        <is>
          <t>Alsace Gewurztramine</t>
        </is>
      </c>
      <c r="F3097" t="n">
        <v>35</v>
      </c>
      <c r="G3097" t="inlineStr">
        <is>
          <t>n° 5 : 0,17 + n° 6 : 0,17 + n° 7 : 0,17 + n° 8 : 0,16 + n° 9 : 0,17 + n° 10 : 0,16</t>
        </is>
      </c>
      <c r="H3097" t="n">
        <v>1</v>
      </c>
    </row>
    <row r="3098">
      <c r="A3098" t="inlineStr">
        <is>
          <t>2023-2024</t>
        </is>
      </c>
      <c r="B3098" t="inlineStr">
        <is>
          <t>2023-11-09</t>
        </is>
      </c>
      <c r="C3098" t="inlineStr">
        <is>
          <t>21:16</t>
        </is>
      </c>
      <c r="D3098" t="inlineStr">
        <is>
          <t>n° 13 + n° 14</t>
        </is>
      </c>
      <c r="E3098" t="inlineStr">
        <is>
          <t>PEUTE</t>
        </is>
      </c>
      <c r="F3098" t="n">
        <v>17.8</v>
      </c>
      <c r="G3098" t="inlineStr">
        <is>
          <t>n° 13 : 0,50 + n° 14 : 0,50</t>
        </is>
      </c>
      <c r="H3098" t="n">
        <v>1</v>
      </c>
    </row>
    <row r="3099">
      <c r="A3099" t="inlineStr">
        <is>
          <t>2023-2024</t>
        </is>
      </c>
      <c r="B3099" t="inlineStr">
        <is>
          <t>2023-11-09</t>
        </is>
      </c>
      <c r="C3099" t="inlineStr">
        <is>
          <t>21:16</t>
        </is>
      </c>
      <c r="D3099" t="inlineStr">
        <is>
          <t>n° 13 + n° 14</t>
        </is>
      </c>
      <c r="E3099" t="inlineStr">
        <is>
          <t>BARBEULENET</t>
        </is>
      </c>
      <c r="F3099" t="n">
        <v>17.4</v>
      </c>
      <c r="G3099" t="inlineStr">
        <is>
          <t>n° 13 : 0,50 + n° 14 : 0,50</t>
        </is>
      </c>
      <c r="H3099" t="n">
        <v>1</v>
      </c>
    </row>
    <row r="3100">
      <c r="A3100" t="inlineStr">
        <is>
          <t>2023-2024</t>
        </is>
      </c>
      <c r="B3100" t="inlineStr">
        <is>
          <t>2023-11-09</t>
        </is>
      </c>
      <c r="C3100" t="inlineStr">
        <is>
          <t>21:16</t>
        </is>
      </c>
      <c r="D3100" t="inlineStr">
        <is>
          <t>n° 13 + n° 14</t>
        </is>
      </c>
      <c r="E3100" t="inlineStr">
        <is>
          <t>VERDELET</t>
        </is>
      </c>
      <c r="F3100" t="n">
        <v>9.800000000000001</v>
      </c>
      <c r="G3100" t="inlineStr">
        <is>
          <t>n° 13 : 0,50 + n° 14 : 0,50</t>
        </is>
      </c>
      <c r="H3100" t="n">
        <v>1</v>
      </c>
    </row>
    <row r="3101">
      <c r="A3101" t="inlineStr">
        <is>
          <t>2023-2024</t>
        </is>
      </c>
      <c r="B3101" t="inlineStr">
        <is>
          <t>2023-11-09</t>
        </is>
      </c>
      <c r="C3101" t="inlineStr">
        <is>
          <t>21:16</t>
        </is>
      </c>
      <c r="D3101" t="inlineStr">
        <is>
          <t>n° 13 + n° 14</t>
        </is>
      </c>
      <c r="E3101" t="inlineStr">
        <is>
          <t>Gewurztraminer Le ve</t>
        </is>
      </c>
      <c r="F3101" t="n">
        <v>7</v>
      </c>
      <c r="G3101" t="inlineStr">
        <is>
          <t>n° 13 : 0,50 + n° 14 : 0,50</t>
        </is>
      </c>
      <c r="H3101" t="n">
        <v>1</v>
      </c>
    </row>
    <row r="3102">
      <c r="A3102" t="inlineStr">
        <is>
          <t>2023-2024</t>
        </is>
      </c>
      <c r="B3102" t="inlineStr">
        <is>
          <t>2023-11-09</t>
        </is>
      </c>
      <c r="C3102" t="inlineStr">
        <is>
          <t>21:16</t>
        </is>
      </c>
      <c r="D3102" t="inlineStr">
        <is>
          <t>n° 13 + n° 14</t>
        </is>
      </c>
      <c r="E3102" t="inlineStr">
        <is>
          <t>Mambo</t>
        </is>
      </c>
      <c r="F3102" t="n">
        <v>6.5</v>
      </c>
      <c r="G3102" t="inlineStr">
        <is>
          <t>n° 13 : 0,50 + n° 14 : 0,50</t>
        </is>
      </c>
      <c r="H3102" t="n">
        <v>1</v>
      </c>
    </row>
    <row r="3103">
      <c r="A3103" t="inlineStr">
        <is>
          <t>2023-2024</t>
        </is>
      </c>
      <c r="B3103" t="inlineStr">
        <is>
          <t>2023-11-09</t>
        </is>
      </c>
      <c r="C3103" t="inlineStr">
        <is>
          <t>21:16</t>
        </is>
      </c>
      <c r="D3103" t="inlineStr">
        <is>
          <t>n° 13 + n° 14</t>
        </is>
      </c>
      <c r="E3103" t="inlineStr">
        <is>
          <t>Crêpe Salidou</t>
        </is>
      </c>
      <c r="F3103" t="n">
        <v>6.4</v>
      </c>
      <c r="G3103" t="inlineStr">
        <is>
          <t>n° 13 : 0,50 + n° 14 : 0,50</t>
        </is>
      </c>
      <c r="H3103" t="n">
        <v>1</v>
      </c>
    </row>
    <row r="3104">
      <c r="A3104" t="inlineStr">
        <is>
          <t>2023-2024</t>
        </is>
      </c>
      <c r="B3104" t="inlineStr">
        <is>
          <t>2023-11-09</t>
        </is>
      </c>
      <c r="C3104" t="inlineStr">
        <is>
          <t>21:16</t>
        </is>
      </c>
      <c r="D3104" t="inlineStr">
        <is>
          <t>n° 13 + n° 14</t>
        </is>
      </c>
      <c r="E3104" t="inlineStr">
        <is>
          <t>CHANTILLY</t>
        </is>
      </c>
      <c r="F3104" t="n">
        <v>2.5</v>
      </c>
      <c r="G3104" t="inlineStr">
        <is>
          <t>n° 13 : 0,50 + n° 14 : 0,50</t>
        </is>
      </c>
      <c r="H3104" t="n">
        <v>1</v>
      </c>
    </row>
    <row r="3105">
      <c r="A3105" t="inlineStr">
        <is>
          <t>2023-2024</t>
        </is>
      </c>
      <c r="B3105" t="inlineStr">
        <is>
          <t>2023-11-09</t>
        </is>
      </c>
      <c r="C3105" t="inlineStr">
        <is>
          <t>21:16</t>
        </is>
      </c>
      <c r="D3105" t="inlineStr">
        <is>
          <t>n° 13 + n° 14</t>
        </is>
      </c>
      <c r="E3105" t="inlineStr">
        <is>
          <t>Expresso</t>
        </is>
      </c>
      <c r="F3105" t="n">
        <v>2.2</v>
      </c>
      <c r="G3105" t="inlineStr">
        <is>
          <t>n° 13 : 0,50 + n° 14 : 0,50</t>
        </is>
      </c>
      <c r="H3105" t="n">
        <v>1</v>
      </c>
    </row>
    <row r="3106">
      <c r="A3106" t="inlineStr">
        <is>
          <t>2023-2024</t>
        </is>
      </c>
      <c r="B3106" t="inlineStr">
        <is>
          <t>2023-11-12</t>
        </is>
      </c>
      <c r="C3106" t="inlineStr">
        <is>
          <t>12:12</t>
        </is>
      </c>
      <c r="D3106" t="inlineStr">
        <is>
          <t>n° 4 + n° 5</t>
        </is>
      </c>
      <c r="E3106" t="inlineStr">
        <is>
          <t>Arbois Chardonnay Le</t>
        </is>
      </c>
      <c r="F3106" t="n">
        <v>29</v>
      </c>
      <c r="G3106" t="inlineStr">
        <is>
          <t>n° 4 : 0,50 + n° 5 : 0,50</t>
        </is>
      </c>
      <c r="H3106" t="n">
        <v>1</v>
      </c>
    </row>
    <row r="3107">
      <c r="A3107" t="inlineStr">
        <is>
          <t>2023-2024</t>
        </is>
      </c>
      <c r="B3107" t="inlineStr">
        <is>
          <t>2023-11-12</t>
        </is>
      </c>
      <c r="C3107" t="inlineStr">
        <is>
          <t>12:12</t>
        </is>
      </c>
      <c r="D3107" t="inlineStr">
        <is>
          <t>n° 4 + n° 5</t>
        </is>
      </c>
      <c r="E3107" t="inlineStr">
        <is>
          <t>Saucisse de Morteau</t>
        </is>
      </c>
      <c r="F3107" t="n">
        <v>8.9</v>
      </c>
      <c r="G3107" t="inlineStr">
        <is>
          <t>n° 4 : 0,50 + n° 5 : 0,50</t>
        </is>
      </c>
      <c r="H3107" t="n">
        <v>1</v>
      </c>
    </row>
    <row r="3108">
      <c r="A3108" t="inlineStr">
        <is>
          <t>2023-2024</t>
        </is>
      </c>
      <c r="B3108" t="inlineStr">
        <is>
          <t>2023-11-12</t>
        </is>
      </c>
      <c r="C3108" t="inlineStr">
        <is>
          <t>12:12</t>
        </is>
      </c>
      <c r="D3108" t="inlineStr">
        <is>
          <t>n° 4 + n° 5</t>
        </is>
      </c>
      <c r="E3108" t="inlineStr">
        <is>
          <t>Macvin du Jura</t>
        </is>
      </c>
      <c r="F3108" t="n">
        <v>5.9</v>
      </c>
      <c r="G3108" t="inlineStr">
        <is>
          <t>n° 4 : 0,50 + n° 5 : 0,50</t>
        </is>
      </c>
      <c r="H3108" t="n">
        <v>1</v>
      </c>
    </row>
    <row r="3109">
      <c r="A3109" t="inlineStr">
        <is>
          <t>2023-2024</t>
        </is>
      </c>
      <c r="B3109" t="inlineStr">
        <is>
          <t>2023-11-12</t>
        </is>
      </c>
      <c r="C3109" t="inlineStr">
        <is>
          <t>12:12</t>
        </is>
      </c>
      <c r="D3109" t="inlineStr">
        <is>
          <t>n° 4 + n° 5</t>
        </is>
      </c>
      <c r="E3109" t="inlineStr">
        <is>
          <t>Perrier 33cl</t>
        </is>
      </c>
      <c r="F3109" t="n">
        <v>4</v>
      </c>
      <c r="G3109" t="inlineStr">
        <is>
          <t>n° 4 : 0,50 + n° 5 : 0,50</t>
        </is>
      </c>
      <c r="H3109" t="n">
        <v>1</v>
      </c>
    </row>
    <row r="3110">
      <c r="A3110" t="inlineStr">
        <is>
          <t>2023-2024</t>
        </is>
      </c>
      <c r="B3110" t="inlineStr">
        <is>
          <t>2023-11-12</t>
        </is>
      </c>
      <c r="C3110" t="inlineStr">
        <is>
          <t>12:12</t>
        </is>
      </c>
      <c r="D3110" t="inlineStr">
        <is>
          <t>n° 4 + n° 5</t>
        </is>
      </c>
      <c r="E3110" t="inlineStr">
        <is>
          <t>POMMES FRITES</t>
        </is>
      </c>
      <c r="F3110" t="n">
        <v>3.9</v>
      </c>
      <c r="G3110" t="inlineStr">
        <is>
          <t>n° 4 : 0,50 + n° 5 : 0,50</t>
        </is>
      </c>
      <c r="H3110" t="n">
        <v>1</v>
      </c>
    </row>
    <row r="3111">
      <c r="A3111" t="inlineStr">
        <is>
          <t>2023-2024</t>
        </is>
      </c>
      <c r="B3111" t="inlineStr">
        <is>
          <t>2023-11-18</t>
        </is>
      </c>
      <c r="C3111" t="inlineStr">
        <is>
          <t>21:13</t>
        </is>
      </c>
      <c r="D3111" t="inlineStr">
        <is>
          <t>n° 20 + n° 21 + n° 22 + n° 23 + n° 24</t>
        </is>
      </c>
      <c r="E3111" t="inlineStr">
        <is>
          <t>Arbois Trousseau Bou</t>
        </is>
      </c>
      <c r="F3111" t="n">
        <v>36</v>
      </c>
      <c r="G3111" t="inlineStr">
        <is>
          <t>n° 20 : 0,33 + n° 21 : 0,34 + n° 22 : 0,33</t>
        </is>
      </c>
      <c r="H3111" t="n">
        <v>1</v>
      </c>
    </row>
    <row r="3112">
      <c r="A3112" t="inlineStr">
        <is>
          <t>2023-2024</t>
        </is>
      </c>
      <c r="B3112" t="inlineStr">
        <is>
          <t>2023-11-18</t>
        </is>
      </c>
      <c r="C3112" t="inlineStr">
        <is>
          <t>21:13</t>
        </is>
      </c>
      <c r="D3112" t="inlineStr">
        <is>
          <t>n° 20 + n° 21 + n° 22 + n° 23 + n° 24</t>
        </is>
      </c>
      <c r="E3112" t="inlineStr">
        <is>
          <t>Poulet aux Morilles</t>
        </is>
      </c>
      <c r="F3112" t="n">
        <v>28.6</v>
      </c>
      <c r="G3112" t="inlineStr">
        <is>
          <t>n° 23 : 0,50 + n° 24 : 0,50</t>
        </is>
      </c>
      <c r="H3112" t="n">
        <v>1</v>
      </c>
    </row>
    <row r="3113">
      <c r="A3113" t="inlineStr">
        <is>
          <t>2023-2024</t>
        </is>
      </c>
      <c r="B3113" t="inlineStr">
        <is>
          <t>2023-11-18</t>
        </is>
      </c>
      <c r="C3113" t="inlineStr">
        <is>
          <t>21:13</t>
        </is>
      </c>
      <c r="D3113" t="inlineStr">
        <is>
          <t>n° 20 + n° 21 + n° 22 + n° 23 + n° 24</t>
        </is>
      </c>
      <c r="E3113" t="inlineStr">
        <is>
          <t>1/2 Arbois Béthanie</t>
        </is>
      </c>
      <c r="F3113" t="n">
        <v>24</v>
      </c>
      <c r="G3113" t="inlineStr">
        <is>
          <t>n° 23 : 0,50 + n° 24 : 0,50</t>
        </is>
      </c>
      <c r="H3113" t="n">
        <v>1</v>
      </c>
    </row>
    <row r="3114">
      <c r="A3114" t="inlineStr">
        <is>
          <t>2023-2024</t>
        </is>
      </c>
      <c r="B3114" t="inlineStr">
        <is>
          <t>2023-11-18</t>
        </is>
      </c>
      <c r="C3114" t="inlineStr">
        <is>
          <t>21:13</t>
        </is>
      </c>
      <c r="D3114" t="inlineStr">
        <is>
          <t>n° 20 + n° 21 + n° 22 + n° 23 + n° 24</t>
        </is>
      </c>
      <c r="E3114" t="inlineStr">
        <is>
          <t>FRELEE</t>
        </is>
      </c>
      <c r="F3114" t="n">
        <v>19.6</v>
      </c>
      <c r="G3114" t="inlineStr">
        <is>
          <t>n° 20 : 0,33 + n° 21 : 0,34 + n° 22 : 0,33</t>
        </is>
      </c>
      <c r="H3114" t="n">
        <v>1</v>
      </c>
    </row>
    <row r="3115">
      <c r="A3115" t="inlineStr">
        <is>
          <t>2023-2024</t>
        </is>
      </c>
      <c r="B3115" t="inlineStr">
        <is>
          <t>2023-11-18</t>
        </is>
      </c>
      <c r="C3115" t="inlineStr">
        <is>
          <t>21:13</t>
        </is>
      </c>
      <c r="D3115" t="inlineStr">
        <is>
          <t>n° 20 + n° 21 + n° 22 + n° 23 + n° 24</t>
        </is>
      </c>
      <c r="E3115" t="inlineStr">
        <is>
          <t>BURGER COMTOIS</t>
        </is>
      </c>
      <c r="F3115" t="n">
        <v>19</v>
      </c>
      <c r="G3115" t="inlineStr">
        <is>
          <t>n° 20 : 0,33 + n° 21 : 0,34 + n° 22 : 0,33</t>
        </is>
      </c>
      <c r="H3115" t="n">
        <v>1</v>
      </c>
    </row>
    <row r="3116">
      <c r="A3116" t="inlineStr">
        <is>
          <t>2023-2024</t>
        </is>
      </c>
      <c r="B3116" t="inlineStr">
        <is>
          <t>2023-11-18</t>
        </is>
      </c>
      <c r="C3116" t="inlineStr">
        <is>
          <t>21:13</t>
        </is>
      </c>
      <c r="D3116" t="inlineStr">
        <is>
          <t>n° 20 + n° 21 + n° 22 + n° 23 + n° 24</t>
        </is>
      </c>
      <c r="E3116" t="inlineStr">
        <is>
          <t>POULET JURASSIENNE</t>
        </is>
      </c>
      <c r="F3116" t="n">
        <v>18.6</v>
      </c>
      <c r="G3116" t="inlineStr">
        <is>
          <t>n° 20 : 0,33 + n° 21 : 0,34 + n° 22 : 0,33</t>
        </is>
      </c>
      <c r="H3116" t="n">
        <v>1</v>
      </c>
    </row>
    <row r="3117">
      <c r="A3117" t="inlineStr">
        <is>
          <t>2023-2024</t>
        </is>
      </c>
      <c r="B3117" t="inlineStr">
        <is>
          <t>2023-11-18</t>
        </is>
      </c>
      <c r="C3117" t="inlineStr">
        <is>
          <t>21:13</t>
        </is>
      </c>
      <c r="D3117" t="inlineStr">
        <is>
          <t>n° 20 + n° 21 + n° 22 + n° 23 + n° 24</t>
        </is>
      </c>
      <c r="E3117" t="inlineStr">
        <is>
          <t>CAMEMBERT ROTI</t>
        </is>
      </c>
      <c r="F3117" t="n">
        <v>18.6</v>
      </c>
      <c r="G3117" t="inlineStr">
        <is>
          <t>n° 23 : 0,50 + n° 24 : 0,50</t>
        </is>
      </c>
      <c r="H3117" t="n">
        <v>1</v>
      </c>
    </row>
    <row r="3118">
      <c r="A3118" t="inlineStr">
        <is>
          <t>2023-2024</t>
        </is>
      </c>
      <c r="B3118" t="inlineStr">
        <is>
          <t>2023-11-18</t>
        </is>
      </c>
      <c r="C3118" t="inlineStr">
        <is>
          <t>21:13</t>
        </is>
      </c>
      <c r="D3118" t="inlineStr">
        <is>
          <t>n° 20 + n° 21 + n° 22 + n° 23 + n° 24</t>
        </is>
      </c>
      <c r="E3118" t="inlineStr">
        <is>
          <t>Baileys</t>
        </is>
      </c>
      <c r="F3118" t="n">
        <v>6.5</v>
      </c>
      <c r="G3118" t="inlineStr">
        <is>
          <t>n° 23 : 0,50 + n° 24 : 0,50</t>
        </is>
      </c>
      <c r="H3118" t="n">
        <v>1</v>
      </c>
    </row>
    <row r="3119">
      <c r="A3119" t="inlineStr">
        <is>
          <t>2023-2024</t>
        </is>
      </c>
      <c r="B3119" t="inlineStr">
        <is>
          <t>2023-11-18</t>
        </is>
      </c>
      <c r="C3119" t="inlineStr">
        <is>
          <t>21:13</t>
        </is>
      </c>
      <c r="D3119" t="inlineStr">
        <is>
          <t>n° 20 + n° 21 + n° 22 + n° 23 + n° 24</t>
        </is>
      </c>
      <c r="E3119" t="inlineStr">
        <is>
          <t>Get 27 (4cl)</t>
        </is>
      </c>
      <c r="F3119" t="n">
        <v>6.5</v>
      </c>
      <c r="G3119" t="inlineStr">
        <is>
          <t>n° 23 : 0,50 + n° 24 : 0,50</t>
        </is>
      </c>
      <c r="H3119" t="n">
        <v>1</v>
      </c>
    </row>
    <row r="3120">
      <c r="A3120" t="inlineStr">
        <is>
          <t>2023-2024</t>
        </is>
      </c>
      <c r="B3120" t="inlineStr">
        <is>
          <t>2023-11-18</t>
        </is>
      </c>
      <c r="C3120" t="inlineStr">
        <is>
          <t>21:13</t>
        </is>
      </c>
      <c r="D3120" t="inlineStr">
        <is>
          <t>n° 20 + n° 21 + n° 22 + n° 23 + n° 24</t>
        </is>
      </c>
      <c r="E3120" t="inlineStr">
        <is>
          <t>Macvin du Jura</t>
        </is>
      </c>
      <c r="F3120" t="n">
        <v>5.9</v>
      </c>
      <c r="G3120" t="inlineStr">
        <is>
          <t>n° 23 : 0,50 + n° 24 : 0,50</t>
        </is>
      </c>
      <c r="H3120" t="n">
        <v>1</v>
      </c>
    </row>
    <row r="3121">
      <c r="A3121" t="inlineStr">
        <is>
          <t>2023-2024</t>
        </is>
      </c>
      <c r="B3121" t="inlineStr">
        <is>
          <t>2023-11-18</t>
        </is>
      </c>
      <c r="C3121" t="inlineStr">
        <is>
          <t>21:13</t>
        </is>
      </c>
      <c r="D3121" t="inlineStr">
        <is>
          <t>n° 20 + n° 21 + n° 22 + n° 23 + n° 24</t>
        </is>
      </c>
      <c r="E3121" t="inlineStr">
        <is>
          <t>KITTYKIR</t>
        </is>
      </c>
      <c r="F3121" t="n">
        <v>5.2</v>
      </c>
      <c r="G3121" t="inlineStr">
        <is>
          <t>n° 23 : 0,50 + n° 24 : 0,50</t>
        </is>
      </c>
      <c r="H3121" t="n">
        <v>1</v>
      </c>
    </row>
    <row r="3122">
      <c r="A3122" t="inlineStr">
        <is>
          <t>2023-2024</t>
        </is>
      </c>
      <c r="B3122" t="inlineStr">
        <is>
          <t>2023-11-18</t>
        </is>
      </c>
      <c r="C3122" t="inlineStr">
        <is>
          <t>21:13</t>
        </is>
      </c>
      <c r="D3122" t="inlineStr">
        <is>
          <t>n° 20 + n° 21 + n° 22 + n° 23 + n° 24</t>
        </is>
      </c>
      <c r="E3122" t="inlineStr">
        <is>
          <t>Crêpe Nutella</t>
        </is>
      </c>
      <c r="F3122" t="n">
        <v>4.9</v>
      </c>
      <c r="G3122" t="inlineStr">
        <is>
          <t>n° 20 : 0,33 + n° 21 : 0,34 + n° 22 : 0,33</t>
        </is>
      </c>
      <c r="H3122" t="n">
        <v>1</v>
      </c>
    </row>
    <row r="3123">
      <c r="A3123" t="inlineStr">
        <is>
          <t>2023-2024</t>
        </is>
      </c>
      <c r="B3123" t="inlineStr">
        <is>
          <t>2023-11-18</t>
        </is>
      </c>
      <c r="C3123" t="inlineStr">
        <is>
          <t>21:13</t>
        </is>
      </c>
      <c r="D3123" t="inlineStr">
        <is>
          <t>n° 20 + n° 21 + n° 22 + n° 23 + n° 24</t>
        </is>
      </c>
      <c r="E3123" t="inlineStr">
        <is>
          <t>Crêpe au sucre</t>
        </is>
      </c>
      <c r="F3123" t="n">
        <v>3.9</v>
      </c>
      <c r="G3123" t="inlineStr">
        <is>
          <t>n° 20 : 0,33 + n° 21 : 0,34 + n° 22 : 0,33</t>
        </is>
      </c>
      <c r="H3123" t="n">
        <v>1</v>
      </c>
    </row>
    <row r="3124">
      <c r="A3124" t="inlineStr">
        <is>
          <t>2023-2024</t>
        </is>
      </c>
      <c r="B3124" t="inlineStr">
        <is>
          <t>2023-11-18</t>
        </is>
      </c>
      <c r="C3124" t="inlineStr">
        <is>
          <t>21:13</t>
        </is>
      </c>
      <c r="D3124" t="inlineStr">
        <is>
          <t>n° 20 + n° 21 + n° 22 + n° 23 + n° 24</t>
        </is>
      </c>
      <c r="E3124" t="inlineStr">
        <is>
          <t>Expresso</t>
        </is>
      </c>
      <c r="F3124" t="n">
        <v>2.2</v>
      </c>
      <c r="G3124" t="inlineStr">
        <is>
          <t>n° 20 : 0,67 + n° 21 : 0,67 + n° 22 : 0,66</t>
        </is>
      </c>
      <c r="H3124" t="n">
        <v>2</v>
      </c>
    </row>
    <row r="3125">
      <c r="A3125" t="inlineStr">
        <is>
          <t>2023-2024</t>
        </is>
      </c>
      <c r="B3125" t="inlineStr">
        <is>
          <t>2023-11-18</t>
        </is>
      </c>
      <c r="C3125" t="inlineStr">
        <is>
          <t>21:13</t>
        </is>
      </c>
      <c r="D3125" t="inlineStr">
        <is>
          <t>n° 20 + n° 21 + n° 22 + n° 23 + n° 24</t>
        </is>
      </c>
      <c r="E3125" t="inlineStr">
        <is>
          <t>Œuf</t>
        </is>
      </c>
      <c r="F3125" t="n">
        <v>0.9</v>
      </c>
      <c r="G3125" t="inlineStr">
        <is>
          <t>n° 20 : 0,33 + n° 21 : 0,34 + n° 22 : 0,33</t>
        </is>
      </c>
      <c r="H3125" t="n">
        <v>1</v>
      </c>
    </row>
    <row r="3126">
      <c r="A3126" t="inlineStr">
        <is>
          <t>2023-2024</t>
        </is>
      </c>
      <c r="B3126" t="inlineStr">
        <is>
          <t>2023-11-19</t>
        </is>
      </c>
      <c r="C3126" t="inlineStr">
        <is>
          <t>12:33</t>
        </is>
      </c>
      <c r="D3126" t="inlineStr">
        <is>
          <t>n° 8 + n° 9</t>
        </is>
      </c>
      <c r="E3126" t="inlineStr">
        <is>
          <t>ASSIETTE FRANC-COMTO</t>
        </is>
      </c>
      <c r="F3126" t="n">
        <v>18.6</v>
      </c>
      <c r="G3126" t="inlineStr">
        <is>
          <t>n° 8 : 0,50 + n° 9 : 0,50</t>
        </is>
      </c>
      <c r="H3126" t="n">
        <v>1</v>
      </c>
    </row>
    <row r="3127">
      <c r="A3127" t="inlineStr">
        <is>
          <t>2023-2024</t>
        </is>
      </c>
      <c r="B3127" t="inlineStr">
        <is>
          <t>2023-11-19</t>
        </is>
      </c>
      <c r="C3127" t="inlineStr">
        <is>
          <t>12:33</t>
        </is>
      </c>
      <c r="D3127" t="inlineStr">
        <is>
          <t>n° 8 + n° 9</t>
        </is>
      </c>
      <c r="E3127" t="inlineStr">
        <is>
          <t>TRUITE PESTO</t>
        </is>
      </c>
      <c r="F3127" t="n">
        <v>16.9</v>
      </c>
      <c r="G3127" t="inlineStr">
        <is>
          <t>n° 8 : 0,50 + n° 9 : 0,50</t>
        </is>
      </c>
      <c r="H3127" t="n">
        <v>1</v>
      </c>
    </row>
    <row r="3128">
      <c r="A3128" t="inlineStr">
        <is>
          <t>2023-2024</t>
        </is>
      </c>
      <c r="B3128" t="inlineStr">
        <is>
          <t>2023-11-19</t>
        </is>
      </c>
      <c r="C3128" t="inlineStr">
        <is>
          <t>12:33</t>
        </is>
      </c>
      <c r="D3128" t="inlineStr">
        <is>
          <t>n° 8 + n° 9</t>
        </is>
      </c>
      <c r="E3128" t="inlineStr">
        <is>
          <t>Baba</t>
        </is>
      </c>
      <c r="F3128" t="n">
        <v>8.9</v>
      </c>
      <c r="G3128" t="inlineStr">
        <is>
          <t>n° 8 : 0,50 + n° 9 : 0,50</t>
        </is>
      </c>
      <c r="H3128" t="n">
        <v>1</v>
      </c>
    </row>
    <row r="3129">
      <c r="A3129" t="inlineStr">
        <is>
          <t>2023-2024</t>
        </is>
      </c>
      <c r="B3129" t="inlineStr">
        <is>
          <t>2023-11-19</t>
        </is>
      </c>
      <c r="C3129" t="inlineStr">
        <is>
          <t>13:28</t>
        </is>
      </c>
      <c r="D3129" t="inlineStr">
        <is>
          <t>n° 14 + n° 15</t>
        </is>
      </c>
      <c r="E3129" t="inlineStr">
        <is>
          <t>DOMAINE LE PIVE</t>
        </is>
      </c>
      <c r="F3129" t="n">
        <v>29</v>
      </c>
      <c r="G3129" t="inlineStr">
        <is>
          <t>n° 14 : 0,50 + n° 15 : 0,50</t>
        </is>
      </c>
      <c r="H3129" t="n">
        <v>1</v>
      </c>
    </row>
    <row r="3130">
      <c r="A3130" t="inlineStr">
        <is>
          <t>2023-2024</t>
        </is>
      </c>
      <c r="B3130" t="inlineStr">
        <is>
          <t>2023-11-19</t>
        </is>
      </c>
      <c r="C3130" t="inlineStr">
        <is>
          <t>13:28</t>
        </is>
      </c>
      <c r="D3130" t="inlineStr">
        <is>
          <t>n° 14 + n° 15</t>
        </is>
      </c>
      <c r="E3130" t="inlineStr">
        <is>
          <t>CAPRICE</t>
        </is>
      </c>
      <c r="F3130" t="n">
        <v>12</v>
      </c>
      <c r="G3130" t="inlineStr">
        <is>
          <t>n° 14 : 0,50 + n° 15 : 0,50</t>
        </is>
      </c>
      <c r="H3130" t="n">
        <v>1</v>
      </c>
    </row>
    <row r="3131">
      <c r="A3131" t="inlineStr">
        <is>
          <t>2023-2024</t>
        </is>
      </c>
      <c r="B3131" t="inlineStr">
        <is>
          <t>2023-11-19</t>
        </is>
      </c>
      <c r="C3131" t="inlineStr">
        <is>
          <t>13:28</t>
        </is>
      </c>
      <c r="D3131" t="inlineStr">
        <is>
          <t>n° 14 + n° 15</t>
        </is>
      </c>
      <c r="E3131" t="inlineStr">
        <is>
          <t>CREME BRULEE</t>
        </is>
      </c>
      <c r="F3131" t="n">
        <v>7.9</v>
      </c>
      <c r="G3131" t="inlineStr">
        <is>
          <t>n° 14 : 0,50 + n° 15 : 0,50</t>
        </is>
      </c>
      <c r="H3131" t="n">
        <v>1</v>
      </c>
    </row>
    <row r="3132">
      <c r="A3132" t="inlineStr">
        <is>
          <t>2023-2024</t>
        </is>
      </c>
      <c r="B3132" t="inlineStr">
        <is>
          <t>2023-11-19</t>
        </is>
      </c>
      <c r="C3132" t="inlineStr">
        <is>
          <t>13:28</t>
        </is>
      </c>
      <c r="D3132" t="inlineStr">
        <is>
          <t>n° 14 + n° 15</t>
        </is>
      </c>
      <c r="E3132" t="inlineStr">
        <is>
          <t>Macvin du Jura</t>
        </is>
      </c>
      <c r="F3132" t="n">
        <v>5.9</v>
      </c>
      <c r="G3132" t="inlineStr">
        <is>
          <t>n° 14 : 0,50 + n° 15 : 0,50</t>
        </is>
      </c>
      <c r="H3132" t="n">
        <v>1</v>
      </c>
    </row>
    <row r="3133">
      <c r="A3133" t="inlineStr">
        <is>
          <t>2023-2024</t>
        </is>
      </c>
      <c r="B3133" t="inlineStr">
        <is>
          <t>2023-11-24</t>
        </is>
      </c>
      <c r="C3133" t="inlineStr">
        <is>
          <t>12:13</t>
        </is>
      </c>
      <c r="D3133" t="inlineStr">
        <is>
          <t>n° 1 + n° 2</t>
        </is>
      </c>
      <c r="E3133" t="inlineStr">
        <is>
          <t>VOUIVRE</t>
        </is>
      </c>
      <c r="F3133" t="n">
        <v>14.6</v>
      </c>
      <c r="G3133" t="inlineStr">
        <is>
          <t>n° 1 : 0,50 + n° 2 : 0,50</t>
        </is>
      </c>
      <c r="H3133" t="n">
        <v>1</v>
      </c>
    </row>
    <row r="3134">
      <c r="A3134" t="inlineStr">
        <is>
          <t>2023-2024</t>
        </is>
      </c>
      <c r="B3134" t="inlineStr">
        <is>
          <t>2023-11-24</t>
        </is>
      </c>
      <c r="C3134" t="inlineStr">
        <is>
          <t>12:13</t>
        </is>
      </c>
      <c r="D3134" t="inlineStr">
        <is>
          <t>n° 1 + n° 2</t>
        </is>
      </c>
      <c r="E3134" t="inlineStr">
        <is>
          <t>FOULETOT</t>
        </is>
      </c>
      <c r="F3134" t="n">
        <v>11.5</v>
      </c>
      <c r="G3134" t="inlineStr">
        <is>
          <t>n° 1 : 0,50 + n° 2 : 0,50</t>
        </is>
      </c>
      <c r="H3134" t="n">
        <v>1</v>
      </c>
    </row>
    <row r="3135">
      <c r="A3135" t="inlineStr">
        <is>
          <t>2023-2024</t>
        </is>
      </c>
      <c r="B3135" t="inlineStr">
        <is>
          <t>2023-11-24</t>
        </is>
      </c>
      <c r="C3135" t="inlineStr">
        <is>
          <t>12:13</t>
        </is>
      </c>
      <c r="D3135" t="inlineStr">
        <is>
          <t>n° 1 + n° 2</t>
        </is>
      </c>
      <c r="E3135" t="inlineStr">
        <is>
          <t>Rêve Bleu</t>
        </is>
      </c>
      <c r="F3135" t="n">
        <v>9</v>
      </c>
      <c r="G3135" t="inlineStr">
        <is>
          <t>n° 1 : 0,50 + n° 2 : 0,50</t>
        </is>
      </c>
      <c r="H3135" t="n">
        <v>1</v>
      </c>
    </row>
    <row r="3136">
      <c r="A3136" t="inlineStr">
        <is>
          <t>2023-2024</t>
        </is>
      </c>
      <c r="B3136" t="inlineStr">
        <is>
          <t>2023-11-24</t>
        </is>
      </c>
      <c r="C3136" t="inlineStr">
        <is>
          <t>12:13</t>
        </is>
      </c>
      <c r="D3136" t="inlineStr">
        <is>
          <t>n° 1 + n° 2</t>
        </is>
      </c>
      <c r="E3136" t="inlineStr">
        <is>
          <t>Mambo</t>
        </is>
      </c>
      <c r="F3136" t="n">
        <v>6.5</v>
      </c>
      <c r="G3136" t="inlineStr">
        <is>
          <t>n° 1 : 0,50 + n° 2 : 0,50</t>
        </is>
      </c>
      <c r="H3136" t="n">
        <v>1</v>
      </c>
    </row>
    <row r="3137">
      <c r="A3137" t="inlineStr">
        <is>
          <t>2023-2024</t>
        </is>
      </c>
      <c r="B3137" t="inlineStr">
        <is>
          <t>2023-11-24</t>
        </is>
      </c>
      <c r="C3137" t="inlineStr">
        <is>
          <t>12:13</t>
        </is>
      </c>
      <c r="D3137" t="inlineStr">
        <is>
          <t>n° 1 + n° 2</t>
        </is>
      </c>
      <c r="E3137" t="inlineStr">
        <is>
          <t>Crème Fraîche</t>
        </is>
      </c>
      <c r="F3137" t="n">
        <v>1.4</v>
      </c>
      <c r="G3137" t="inlineStr">
        <is>
          <t>n° 1 : 0,50 + n° 2 : 0,50</t>
        </is>
      </c>
      <c r="H3137" t="n">
        <v>1</v>
      </c>
    </row>
    <row r="3138">
      <c r="A3138" t="inlineStr">
        <is>
          <t>2023-2024</t>
        </is>
      </c>
      <c r="B3138" t="inlineStr">
        <is>
          <t>2023-11-24</t>
        </is>
      </c>
      <c r="C3138" t="inlineStr">
        <is>
          <t>12:51</t>
        </is>
      </c>
      <c r="D3138" t="inlineStr">
        <is>
          <t>n° 3 + n° 4</t>
        </is>
      </c>
      <c r="E3138" t="inlineStr">
        <is>
          <t>POULET JURASSIENNE</t>
        </is>
      </c>
      <c r="F3138" t="n">
        <v>18.6</v>
      </c>
      <c r="G3138" t="inlineStr">
        <is>
          <t>n° 3 : 0,50 + n° 4 : 0,50</t>
        </is>
      </c>
      <c r="H3138" t="n">
        <v>1</v>
      </c>
    </row>
    <row r="3139">
      <c r="A3139" t="inlineStr">
        <is>
          <t>2023-2024</t>
        </is>
      </c>
      <c r="B3139" t="inlineStr">
        <is>
          <t>2023-11-24</t>
        </is>
      </c>
      <c r="C3139" t="inlineStr">
        <is>
          <t>12:51</t>
        </is>
      </c>
      <c r="D3139" t="inlineStr">
        <is>
          <t>n° 3 + n° 4</t>
        </is>
      </c>
      <c r="E3139" t="inlineStr">
        <is>
          <t>BAGATELLE</t>
        </is>
      </c>
      <c r="F3139" t="n">
        <v>9.800000000000001</v>
      </c>
      <c r="G3139" t="inlineStr">
        <is>
          <t>n° 3 : 0,50 + n° 4 : 0,50</t>
        </is>
      </c>
      <c r="H3139" t="n">
        <v>1</v>
      </c>
    </row>
    <row r="3140">
      <c r="A3140" t="inlineStr">
        <is>
          <t>2023-2024</t>
        </is>
      </c>
      <c r="B3140" t="inlineStr">
        <is>
          <t>2023-11-24</t>
        </is>
      </c>
      <c r="C3140" t="inlineStr">
        <is>
          <t>12:51</t>
        </is>
      </c>
      <c r="D3140" t="inlineStr">
        <is>
          <t>n° 3 + n° 4</t>
        </is>
      </c>
      <c r="E3140" t="inlineStr">
        <is>
          <t>pression</t>
        </is>
      </c>
      <c r="F3140" t="n">
        <v>4.2</v>
      </c>
      <c r="G3140" t="inlineStr">
        <is>
          <t>n° 3 : 0,50 + n° 4 : 0,50</t>
        </is>
      </c>
      <c r="H3140" t="n">
        <v>1</v>
      </c>
    </row>
    <row r="3141">
      <c r="A3141" t="inlineStr">
        <is>
          <t>2023-2024</t>
        </is>
      </c>
      <c r="B3141" t="inlineStr">
        <is>
          <t>2023-11-24</t>
        </is>
      </c>
      <c r="C3141" t="inlineStr">
        <is>
          <t>20:12</t>
        </is>
      </c>
      <c r="D3141" t="inlineStr">
        <is>
          <t>n° 13 + n° 14</t>
        </is>
      </c>
      <c r="E3141" t="inlineStr">
        <is>
          <t>Crêpe Pommes</t>
        </is>
      </c>
      <c r="F3141" t="n">
        <v>7.1</v>
      </c>
      <c r="G3141" t="inlineStr">
        <is>
          <t>n° 13 : 0,50 + n° 14 : 0,50</t>
        </is>
      </c>
      <c r="H3141" t="n">
        <v>1</v>
      </c>
    </row>
    <row r="3142">
      <c r="A3142" t="inlineStr">
        <is>
          <t>2023-2024</t>
        </is>
      </c>
      <c r="B3142" t="inlineStr">
        <is>
          <t>2023-11-24</t>
        </is>
      </c>
      <c r="C3142" t="inlineStr">
        <is>
          <t>20:12</t>
        </is>
      </c>
      <c r="D3142" t="inlineStr">
        <is>
          <t>n° 13 + n° 14</t>
        </is>
      </c>
      <c r="E3142" t="inlineStr">
        <is>
          <t>Infusion</t>
        </is>
      </c>
      <c r="F3142" t="n">
        <v>3.4</v>
      </c>
      <c r="G3142" t="inlineStr">
        <is>
          <t>n° 13 : 0,50 + n° 14 : 0,50</t>
        </is>
      </c>
      <c r="H3142" t="n">
        <v>1</v>
      </c>
    </row>
    <row r="3143">
      <c r="A3143" t="inlineStr">
        <is>
          <t>2023-2024</t>
        </is>
      </c>
      <c r="B3143" t="inlineStr">
        <is>
          <t>2023-11-25</t>
        </is>
      </c>
      <c r="C3143" t="inlineStr">
        <is>
          <t>19:56</t>
        </is>
      </c>
      <c r="D3143" t="inlineStr">
        <is>
          <t>n° 8 + n° 9</t>
        </is>
      </c>
      <c r="E3143" t="inlineStr">
        <is>
          <t>Truite Morilles</t>
        </is>
      </c>
      <c r="F3143" t="n">
        <v>27.8</v>
      </c>
      <c r="G3143" t="inlineStr">
        <is>
          <t>n° 8 : 0,50 + n° 9 : 0,50</t>
        </is>
      </c>
      <c r="H3143" t="n">
        <v>1</v>
      </c>
    </row>
    <row r="3144">
      <c r="A3144" t="inlineStr">
        <is>
          <t>2023-2024</t>
        </is>
      </c>
      <c r="B3144" t="inlineStr">
        <is>
          <t>2023-11-25</t>
        </is>
      </c>
      <c r="C3144" t="inlineStr">
        <is>
          <t>19:56</t>
        </is>
      </c>
      <c r="D3144" t="inlineStr">
        <is>
          <t>n° 8 + n° 9</t>
        </is>
      </c>
      <c r="E3144" t="inlineStr">
        <is>
          <t>ASSIETTE FRANC-COMTO</t>
        </is>
      </c>
      <c r="F3144" t="n">
        <v>18.6</v>
      </c>
      <c r="G3144" t="inlineStr">
        <is>
          <t>n° 8 : 0,50 + n° 9 : 0,50</t>
        </is>
      </c>
      <c r="H3144" t="n">
        <v>1</v>
      </c>
    </row>
    <row r="3145">
      <c r="A3145" t="inlineStr">
        <is>
          <t>2023-2024</t>
        </is>
      </c>
      <c r="B3145" t="inlineStr">
        <is>
          <t>2023-11-25</t>
        </is>
      </c>
      <c r="C3145" t="inlineStr">
        <is>
          <t>19:56</t>
        </is>
      </c>
      <c r="D3145" t="inlineStr">
        <is>
          <t>n° 8 + n° 9</t>
        </is>
      </c>
      <c r="E3145" t="inlineStr">
        <is>
          <t>VERDELET</t>
        </is>
      </c>
      <c r="F3145" t="n">
        <v>9.800000000000001</v>
      </c>
      <c r="G3145" t="inlineStr">
        <is>
          <t>n° 8 : 0,50 + n° 9 : 0,50</t>
        </is>
      </c>
      <c r="H3145" t="n">
        <v>1</v>
      </c>
    </row>
    <row r="3146">
      <c r="A3146" t="inlineStr">
        <is>
          <t>2023-2024</t>
        </is>
      </c>
      <c r="B3146" t="inlineStr">
        <is>
          <t>2023-11-25</t>
        </is>
      </c>
      <c r="C3146" t="inlineStr">
        <is>
          <t>19:56</t>
        </is>
      </c>
      <c r="D3146" t="inlineStr">
        <is>
          <t>n° 8 + n° 9</t>
        </is>
      </c>
      <c r="E3146" t="inlineStr">
        <is>
          <t>Chèvre  chaud</t>
        </is>
      </c>
      <c r="F3146" t="n">
        <v>9.6</v>
      </c>
      <c r="G3146" t="inlineStr">
        <is>
          <t>n° 8 : 0,50 + n° 9 : 0,50</t>
        </is>
      </c>
      <c r="H3146" t="n">
        <v>1</v>
      </c>
    </row>
    <row r="3147">
      <c r="A3147" t="inlineStr">
        <is>
          <t>2023-2024</t>
        </is>
      </c>
      <c r="B3147" t="inlineStr">
        <is>
          <t>2023-11-25</t>
        </is>
      </c>
      <c r="C3147" t="inlineStr">
        <is>
          <t>19:56</t>
        </is>
      </c>
      <c r="D3147" t="inlineStr">
        <is>
          <t>n° 8 + n° 9</t>
        </is>
      </c>
      <c r="E3147" t="inlineStr">
        <is>
          <t>Pichet CdR CHUSCLAN</t>
        </is>
      </c>
      <c r="F3147" t="n">
        <v>9.5</v>
      </c>
      <c r="G3147" t="inlineStr">
        <is>
          <t>n° 8 : 0,50 + n° 9 : 0,50</t>
        </is>
      </c>
      <c r="H3147" t="n">
        <v>1</v>
      </c>
    </row>
    <row r="3148">
      <c r="A3148" t="inlineStr">
        <is>
          <t>2023-2024</t>
        </is>
      </c>
      <c r="B3148" t="inlineStr">
        <is>
          <t>2023-11-25</t>
        </is>
      </c>
      <c r="C3148" t="inlineStr">
        <is>
          <t>19:56</t>
        </is>
      </c>
      <c r="D3148" t="inlineStr">
        <is>
          <t>n° 8 + n° 9</t>
        </is>
      </c>
      <c r="E3148" t="inlineStr">
        <is>
          <t>Pinte Picon</t>
        </is>
      </c>
      <c r="F3148" t="n">
        <v>9</v>
      </c>
      <c r="G3148" t="inlineStr">
        <is>
          <t>n° 8 : 0,50 + n° 9 : 0,50</t>
        </is>
      </c>
      <c r="H3148" t="n">
        <v>1</v>
      </c>
    </row>
    <row r="3149">
      <c r="A3149" t="inlineStr">
        <is>
          <t>2023-2024</t>
        </is>
      </c>
      <c r="B3149" t="inlineStr">
        <is>
          <t>2023-11-25</t>
        </is>
      </c>
      <c r="C3149" t="inlineStr">
        <is>
          <t>19:56</t>
        </is>
      </c>
      <c r="D3149" t="inlineStr">
        <is>
          <t>n° 8 + n° 9</t>
        </is>
      </c>
      <c r="E3149" t="inlineStr">
        <is>
          <t>Pavlova</t>
        </is>
      </c>
      <c r="F3149" t="n">
        <v>8.9</v>
      </c>
      <c r="G3149" t="inlineStr">
        <is>
          <t>n° 8 : 0,50 + n° 9 : 0,50</t>
        </is>
      </c>
      <c r="H3149" t="n">
        <v>1</v>
      </c>
    </row>
    <row r="3150">
      <c r="A3150" t="inlineStr">
        <is>
          <t>2023-2024</t>
        </is>
      </c>
      <c r="B3150" t="inlineStr">
        <is>
          <t>2023-11-25</t>
        </is>
      </c>
      <c r="C3150" t="inlineStr">
        <is>
          <t>19:56</t>
        </is>
      </c>
      <c r="D3150" t="inlineStr">
        <is>
          <t>n° 8 + n° 9</t>
        </is>
      </c>
      <c r="E3150" t="inlineStr">
        <is>
          <t>pression</t>
        </is>
      </c>
      <c r="F3150" t="n">
        <v>4.2</v>
      </c>
      <c r="G3150" t="inlineStr">
        <is>
          <t>n° 8 : 0,50 + n° 9 : 0,50</t>
        </is>
      </c>
      <c r="H3150" t="n">
        <v>1</v>
      </c>
    </row>
    <row r="3151">
      <c r="A3151" t="inlineStr">
        <is>
          <t>2023-2024</t>
        </is>
      </c>
      <c r="B3151" t="inlineStr">
        <is>
          <t>2023-11-25</t>
        </is>
      </c>
      <c r="C3151" t="inlineStr">
        <is>
          <t>19:56</t>
        </is>
      </c>
      <c r="D3151" t="inlineStr">
        <is>
          <t>n° 8 + n° 9</t>
        </is>
      </c>
      <c r="E3151" t="inlineStr">
        <is>
          <t>Kir Bourgogne</t>
        </is>
      </c>
      <c r="F3151" t="n">
        <v>4.2</v>
      </c>
      <c r="G3151" t="inlineStr">
        <is>
          <t>n° 8 : 0,50 + n° 9 : 0,50</t>
        </is>
      </c>
      <c r="H3151" t="n">
        <v>1</v>
      </c>
    </row>
    <row r="3152">
      <c r="A3152" t="inlineStr">
        <is>
          <t>2023-2024</t>
        </is>
      </c>
      <c r="B3152" t="inlineStr">
        <is>
          <t>2023-11-25</t>
        </is>
      </c>
      <c r="C3152" t="inlineStr">
        <is>
          <t>19:56</t>
        </is>
      </c>
      <c r="D3152" t="inlineStr">
        <is>
          <t>n° 8 + n° 9</t>
        </is>
      </c>
      <c r="E3152" t="inlineStr">
        <is>
          <t>Diabolo (25cl)</t>
        </is>
      </c>
      <c r="F3152" t="n">
        <v>3.9</v>
      </c>
      <c r="G3152" t="inlineStr">
        <is>
          <t>n° 8 : 0,50 + n° 9 : 0,50</t>
        </is>
      </c>
      <c r="H3152" t="n">
        <v>1</v>
      </c>
    </row>
    <row r="3153">
      <c r="A3153" t="inlineStr">
        <is>
          <t>2023-2024</t>
        </is>
      </c>
      <c r="B3153" t="inlineStr">
        <is>
          <t>2023-11-25</t>
        </is>
      </c>
      <c r="C3153" t="inlineStr">
        <is>
          <t>19:56</t>
        </is>
      </c>
      <c r="D3153" t="inlineStr">
        <is>
          <t>n° 8 + n° 9</t>
        </is>
      </c>
      <c r="E3153" t="inlineStr">
        <is>
          <t>FANTA</t>
        </is>
      </c>
      <c r="F3153" t="n">
        <v>3.9</v>
      </c>
      <c r="G3153" t="inlineStr">
        <is>
          <t>n° 8 : 0,50 + n° 9 : 0,50</t>
        </is>
      </c>
      <c r="H3153" t="n">
        <v>1</v>
      </c>
    </row>
    <row r="3154">
      <c r="A3154" t="inlineStr">
        <is>
          <t>2023-2024</t>
        </is>
      </c>
      <c r="B3154" t="inlineStr">
        <is>
          <t>2023-11-25</t>
        </is>
      </c>
      <c r="C3154" t="inlineStr">
        <is>
          <t>20:19</t>
        </is>
      </c>
      <c r="D3154" t="inlineStr">
        <is>
          <t>n° 12 + n° 13</t>
        </is>
      </c>
      <c r="E3154" t="inlineStr">
        <is>
          <t>Cidre Bouché Doux</t>
        </is>
      </c>
      <c r="F3154" t="n">
        <v>16</v>
      </c>
      <c r="G3154" t="inlineStr">
        <is>
          <t>n° 12 : 0,50 + n° 13 : 0,50</t>
        </is>
      </c>
      <c r="H3154" t="n">
        <v>1</v>
      </c>
    </row>
    <row r="3155">
      <c r="A3155" t="inlineStr">
        <is>
          <t>2023-2024</t>
        </is>
      </c>
      <c r="B3155" t="inlineStr">
        <is>
          <t>2023-11-25</t>
        </is>
      </c>
      <c r="C3155" t="inlineStr">
        <is>
          <t>20:19</t>
        </is>
      </c>
      <c r="D3155" t="inlineStr">
        <is>
          <t>n° 12 + n° 13</t>
        </is>
      </c>
      <c r="E3155" t="inlineStr">
        <is>
          <t>Arbois Trousseau Le</t>
        </is>
      </c>
      <c r="F3155" t="n">
        <v>7.2</v>
      </c>
      <c r="G3155" t="inlineStr">
        <is>
          <t>n° 12 : 1,50 + n° 13 : 1,50</t>
        </is>
      </c>
      <c r="H3155" t="n">
        <v>3</v>
      </c>
    </row>
    <row r="3156">
      <c r="A3156" t="inlineStr">
        <is>
          <t>2023-2024</t>
        </is>
      </c>
      <c r="B3156" t="inlineStr">
        <is>
          <t>2023-11-25</t>
        </is>
      </c>
      <c r="C3156" t="inlineStr">
        <is>
          <t>20:19</t>
        </is>
      </c>
      <c r="D3156" t="inlineStr">
        <is>
          <t>n° 12 + n° 13</t>
        </is>
      </c>
      <c r="E3156" t="inlineStr">
        <is>
          <t>Kir Bourgogne</t>
        </is>
      </c>
      <c r="F3156" t="n">
        <v>4.2</v>
      </c>
      <c r="G3156" t="inlineStr">
        <is>
          <t>n° 12 : 0,50 + n° 13 : 0,50</t>
        </is>
      </c>
      <c r="H3156" t="n">
        <v>1</v>
      </c>
    </row>
    <row r="3157">
      <c r="A3157" t="inlineStr">
        <is>
          <t>2023-2024</t>
        </is>
      </c>
      <c r="B3157" t="inlineStr">
        <is>
          <t>2023-11-25</t>
        </is>
      </c>
      <c r="C3157" t="inlineStr">
        <is>
          <t>21:20</t>
        </is>
      </c>
      <c r="D3157" t="inlineStr">
        <is>
          <t>n° 14 + n° 15</t>
        </is>
      </c>
      <c r="E3157" t="inlineStr">
        <is>
          <t>Arbois Chardonnay Le</t>
        </is>
      </c>
      <c r="F3157" t="n">
        <v>29</v>
      </c>
      <c r="G3157" t="inlineStr">
        <is>
          <t>n° 14 : 0,50 + n° 15 : 0,50</t>
        </is>
      </c>
      <c r="H3157" t="n">
        <v>1</v>
      </c>
    </row>
    <row r="3158">
      <c r="A3158" t="inlineStr">
        <is>
          <t>2023-2024</t>
        </is>
      </c>
      <c r="B3158" t="inlineStr">
        <is>
          <t>2023-11-30</t>
        </is>
      </c>
      <c r="C3158" t="inlineStr">
        <is>
          <t>20:55</t>
        </is>
      </c>
      <c r="D3158" t="inlineStr">
        <is>
          <t>n° 5 + n° 6</t>
        </is>
      </c>
      <c r="E3158" t="inlineStr">
        <is>
          <t>FOULETOT</t>
        </is>
      </c>
      <c r="F3158" t="n">
        <v>11.5</v>
      </c>
      <c r="G3158" t="inlineStr">
        <is>
          <t>n° 5 : 0,50 + n° 6 : 0,50</t>
        </is>
      </c>
      <c r="H3158" t="n">
        <v>1</v>
      </c>
    </row>
    <row r="3159">
      <c r="A3159" t="inlineStr">
        <is>
          <t>2023-2024</t>
        </is>
      </c>
      <c r="B3159" t="inlineStr">
        <is>
          <t>2023-11-30</t>
        </is>
      </c>
      <c r="C3159" t="inlineStr">
        <is>
          <t>20:55</t>
        </is>
      </c>
      <c r="D3159" t="inlineStr">
        <is>
          <t>n° 5 + n° 6</t>
        </is>
      </c>
      <c r="E3159" t="inlineStr">
        <is>
          <t>VERDELET</t>
        </is>
      </c>
      <c r="F3159" t="n">
        <v>9.800000000000001</v>
      </c>
      <c r="G3159" t="inlineStr">
        <is>
          <t>n° 5 : 0,50 + n° 6 : 0,50</t>
        </is>
      </c>
      <c r="H3159" t="n">
        <v>1</v>
      </c>
    </row>
    <row r="3160">
      <c r="A3160" t="inlineStr">
        <is>
          <t>2023-2024</t>
        </is>
      </c>
      <c r="B3160" t="inlineStr">
        <is>
          <t>2023-11-30</t>
        </is>
      </c>
      <c r="C3160" t="inlineStr">
        <is>
          <t>20:55</t>
        </is>
      </c>
      <c r="D3160" t="inlineStr">
        <is>
          <t>n° 5 + n° 6</t>
        </is>
      </c>
      <c r="E3160" t="inlineStr">
        <is>
          <t>Père Gregoire</t>
        </is>
      </c>
      <c r="F3160" t="n">
        <v>5.9</v>
      </c>
      <c r="G3160" t="inlineStr">
        <is>
          <t>n° 5 : 0,50 + n° 6 : 0,50</t>
        </is>
      </c>
      <c r="H3160" t="n">
        <v>1</v>
      </c>
    </row>
    <row r="3161">
      <c r="A3161" t="inlineStr">
        <is>
          <t>2023-2024</t>
        </is>
      </c>
      <c r="B3161" t="inlineStr">
        <is>
          <t>2023-11-30</t>
        </is>
      </c>
      <c r="C3161" t="inlineStr">
        <is>
          <t>20:55</t>
        </is>
      </c>
      <c r="D3161" t="inlineStr">
        <is>
          <t>n° 5 + n° 6</t>
        </is>
      </c>
      <c r="E3161" t="inlineStr">
        <is>
          <t>Chat perché</t>
        </is>
      </c>
      <c r="F3161" t="n">
        <v>5.9</v>
      </c>
      <c r="G3161" t="inlineStr">
        <is>
          <t>n° 5 : 0,50 + n° 6 : 0,50</t>
        </is>
      </c>
      <c r="H3161" t="n">
        <v>1</v>
      </c>
    </row>
    <row r="3162">
      <c r="A3162" t="inlineStr">
        <is>
          <t>2023-2024</t>
        </is>
      </c>
      <c r="B3162" t="inlineStr">
        <is>
          <t>2023-12-01</t>
        </is>
      </c>
      <c r="C3162" t="inlineStr">
        <is>
          <t>19:53</t>
        </is>
      </c>
      <c r="D3162" t="inlineStr">
        <is>
          <t>n° 16 + n° 17</t>
        </is>
      </c>
      <c r="E3162" t="inlineStr">
        <is>
          <t>Limonade (25cl)</t>
        </is>
      </c>
      <c r="F3162" t="n">
        <v>3.9</v>
      </c>
      <c r="G3162" t="inlineStr">
        <is>
          <t>n° 16 : 0,50 + n° 17 : 0,50</t>
        </is>
      </c>
      <c r="H3162" t="n">
        <v>1</v>
      </c>
    </row>
    <row r="3163">
      <c r="A3163" t="inlineStr">
        <is>
          <t>2023-2024</t>
        </is>
      </c>
      <c r="B3163" t="inlineStr">
        <is>
          <t>2023-12-01</t>
        </is>
      </c>
      <c r="C3163" t="inlineStr">
        <is>
          <t>19:53</t>
        </is>
      </c>
      <c r="D3163" t="inlineStr">
        <is>
          <t>n° 16 + n° 17</t>
        </is>
      </c>
      <c r="E3163" t="inlineStr">
        <is>
          <t>Schweppes</t>
        </is>
      </c>
      <c r="F3163" t="n">
        <v>3.9</v>
      </c>
      <c r="G3163" t="inlineStr">
        <is>
          <t>n° 16 : 0,50 + n° 17 : 0,50</t>
        </is>
      </c>
      <c r="H3163" t="n">
        <v>1</v>
      </c>
    </row>
    <row r="3164">
      <c r="A3164" t="inlineStr">
        <is>
          <t>2023-2024</t>
        </is>
      </c>
      <c r="B3164" t="inlineStr">
        <is>
          <t>2023-12-02</t>
        </is>
      </c>
      <c r="C3164" t="inlineStr">
        <is>
          <t>20:17</t>
        </is>
      </c>
      <c r="D3164" t="inlineStr">
        <is>
          <t>n° 8 + n° 9</t>
        </is>
      </c>
      <c r="E3164" t="inlineStr">
        <is>
          <t>PICHET SAINT VERAN</t>
        </is>
      </c>
      <c r="F3164" t="n">
        <v>30</v>
      </c>
      <c r="G3164" t="inlineStr">
        <is>
          <t>n° 8 : 0,50 + n° 9 : 0,50</t>
        </is>
      </c>
      <c r="H3164" t="n">
        <v>1</v>
      </c>
    </row>
    <row r="3165">
      <c r="A3165" t="inlineStr">
        <is>
          <t>2023-2024</t>
        </is>
      </c>
      <c r="B3165" t="inlineStr">
        <is>
          <t>2023-12-02</t>
        </is>
      </c>
      <c r="C3165" t="inlineStr">
        <is>
          <t>20:17</t>
        </is>
      </c>
      <c r="D3165" t="inlineStr">
        <is>
          <t>n° 8 + n° 9</t>
        </is>
      </c>
      <c r="E3165" t="inlineStr">
        <is>
          <t>Saucisse de Morteau</t>
        </is>
      </c>
      <c r="F3165" t="n">
        <v>8.9</v>
      </c>
      <c r="G3165" t="inlineStr">
        <is>
          <t>n° 8 : 0,50 + n° 9 : 0,50</t>
        </is>
      </c>
      <c r="H3165" t="n">
        <v>1</v>
      </c>
    </row>
    <row r="3166">
      <c r="A3166" t="inlineStr">
        <is>
          <t>2023-2024</t>
        </is>
      </c>
      <c r="B3166" t="inlineStr">
        <is>
          <t>2023-12-02</t>
        </is>
      </c>
      <c r="C3166" t="inlineStr">
        <is>
          <t>20:17</t>
        </is>
      </c>
      <c r="D3166" t="inlineStr">
        <is>
          <t>n° 8 + n° 9</t>
        </is>
      </c>
      <c r="E3166" t="inlineStr">
        <is>
          <t>Père Gregoire</t>
        </is>
      </c>
      <c r="F3166" t="n">
        <v>5.9</v>
      </c>
      <c r="G3166" t="inlineStr">
        <is>
          <t>n° 8 : 0,50 + n° 9 : 0,50</t>
        </is>
      </c>
      <c r="H3166" t="n">
        <v>1</v>
      </c>
    </row>
    <row r="3167">
      <c r="A3167" t="inlineStr">
        <is>
          <t>2023-2024</t>
        </is>
      </c>
      <c r="B3167" t="inlineStr">
        <is>
          <t>2023-12-02</t>
        </is>
      </c>
      <c r="C3167" t="inlineStr">
        <is>
          <t>20:17</t>
        </is>
      </c>
      <c r="D3167" t="inlineStr">
        <is>
          <t>n° 8 + n° 9</t>
        </is>
      </c>
      <c r="E3167" t="inlineStr">
        <is>
          <t>Coca (25cl)</t>
        </is>
      </c>
      <c r="F3167" t="n">
        <v>3.9</v>
      </c>
      <c r="G3167" t="inlineStr">
        <is>
          <t>n° 8 : 0,50 + n° 9 : 0,50</t>
        </is>
      </c>
      <c r="H3167" t="n">
        <v>1</v>
      </c>
    </row>
    <row r="3168">
      <c r="A3168" t="inlineStr">
        <is>
          <t>2023-2024</t>
        </is>
      </c>
      <c r="B3168" t="inlineStr">
        <is>
          <t>2023-12-02</t>
        </is>
      </c>
      <c r="C3168" t="inlineStr">
        <is>
          <t>20:17</t>
        </is>
      </c>
      <c r="D3168" t="inlineStr">
        <is>
          <t>n° 8 + n° 9</t>
        </is>
      </c>
      <c r="E3168" t="inlineStr">
        <is>
          <t>POMMES FRITES</t>
        </is>
      </c>
      <c r="F3168" t="n">
        <v>3.9</v>
      </c>
      <c r="G3168" t="inlineStr">
        <is>
          <t>n° 8 : 0,50 + n° 9 : 0,50</t>
        </is>
      </c>
      <c r="H3168" t="n">
        <v>1</v>
      </c>
    </row>
    <row r="3169">
      <c r="A3169" t="inlineStr">
        <is>
          <t>2023-2024</t>
        </is>
      </c>
      <c r="B3169" t="inlineStr">
        <is>
          <t>2023-12-02</t>
        </is>
      </c>
      <c r="C3169" t="inlineStr">
        <is>
          <t>20:54</t>
        </is>
      </c>
      <c r="D3169" t="inlineStr">
        <is>
          <t>n° 17 + n° 18</t>
        </is>
      </c>
      <c r="E3169" t="inlineStr">
        <is>
          <t>ENTRECOTE MORILLES</t>
        </is>
      </c>
      <c r="F3169" t="n">
        <v>34.8</v>
      </c>
      <c r="G3169" t="inlineStr">
        <is>
          <t>n° 17 : 0,50 + n° 18 : 0,50</t>
        </is>
      </c>
      <c r="H3169" t="n">
        <v>1</v>
      </c>
    </row>
    <row r="3170">
      <c r="A3170" t="inlineStr">
        <is>
          <t>2023-2024</t>
        </is>
      </c>
      <c r="B3170" t="inlineStr">
        <is>
          <t>2023-12-02</t>
        </is>
      </c>
      <c r="C3170" t="inlineStr">
        <is>
          <t>20:54</t>
        </is>
      </c>
      <c r="D3170" t="inlineStr">
        <is>
          <t>n° 17 + n° 18</t>
        </is>
      </c>
      <c r="E3170" t="inlineStr">
        <is>
          <t>PICHET SAVAGNIN</t>
        </is>
      </c>
      <c r="F3170" t="n">
        <v>28</v>
      </c>
      <c r="G3170" t="inlineStr">
        <is>
          <t>n° 17 : 0,50 + n° 18 : 0,50</t>
        </is>
      </c>
      <c r="H3170" t="n">
        <v>1</v>
      </c>
    </row>
    <row r="3171">
      <c r="A3171" t="inlineStr">
        <is>
          <t>2023-2024</t>
        </is>
      </c>
      <c r="B3171" t="inlineStr">
        <is>
          <t>2023-12-02</t>
        </is>
      </c>
      <c r="C3171" t="inlineStr">
        <is>
          <t>20:54</t>
        </is>
      </c>
      <c r="D3171" t="inlineStr">
        <is>
          <t>n° 17 + n° 18</t>
        </is>
      </c>
      <c r="E3171" t="inlineStr">
        <is>
          <t>Entrecôte Forestiére</t>
        </is>
      </c>
      <c r="F3171" t="n">
        <v>27.8</v>
      </c>
      <c r="G3171" t="inlineStr">
        <is>
          <t>n° 17 : 0,50 + n° 18 : 0,50</t>
        </is>
      </c>
      <c r="H3171" t="n">
        <v>1</v>
      </c>
    </row>
    <row r="3172">
      <c r="A3172" t="inlineStr">
        <is>
          <t>2023-2024</t>
        </is>
      </c>
      <c r="B3172" t="inlineStr">
        <is>
          <t>2023-12-02</t>
        </is>
      </c>
      <c r="C3172" t="inlineStr">
        <is>
          <t>20:54</t>
        </is>
      </c>
      <c r="D3172" t="inlineStr">
        <is>
          <t>n° 17 + n° 18</t>
        </is>
      </c>
      <c r="E3172" t="inlineStr">
        <is>
          <t>CAMEMBERT ROTI</t>
        </is>
      </c>
      <c r="F3172" t="n">
        <v>18.6</v>
      </c>
      <c r="G3172" t="inlineStr">
        <is>
          <t>n° 17 : 0,50 + n° 18 : 0,50</t>
        </is>
      </c>
      <c r="H3172" t="n">
        <v>1</v>
      </c>
    </row>
    <row r="3173">
      <c r="A3173" t="inlineStr">
        <is>
          <t>2023-2024</t>
        </is>
      </c>
      <c r="B3173" t="inlineStr">
        <is>
          <t>2023-12-02</t>
        </is>
      </c>
      <c r="C3173" t="inlineStr">
        <is>
          <t>20:54</t>
        </is>
      </c>
      <c r="D3173" t="inlineStr">
        <is>
          <t>n° 17 + n° 18</t>
        </is>
      </c>
      <c r="E3173" t="inlineStr">
        <is>
          <t>ASSIETTE PERE GREGOI</t>
        </is>
      </c>
      <c r="F3173" t="n">
        <v>18.6</v>
      </c>
      <c r="G3173" t="inlineStr">
        <is>
          <t>n° 17 : 0,50 + n° 18 : 0,50</t>
        </is>
      </c>
      <c r="H3173" t="n">
        <v>1</v>
      </c>
    </row>
    <row r="3174">
      <c r="A3174" t="inlineStr">
        <is>
          <t>2023-2024</t>
        </is>
      </c>
      <c r="B3174" t="inlineStr">
        <is>
          <t>2023-12-02</t>
        </is>
      </c>
      <c r="C3174" t="inlineStr">
        <is>
          <t>20:54</t>
        </is>
      </c>
      <c r="D3174" t="inlineStr">
        <is>
          <t>n° 17 + n° 18</t>
        </is>
      </c>
      <c r="E3174" t="inlineStr">
        <is>
          <t>Baba</t>
        </is>
      </c>
      <c r="F3174" t="n">
        <v>8.9</v>
      </c>
      <c r="G3174" t="inlineStr">
        <is>
          <t>n° 17 : 0,50 + n° 18 : 0,50</t>
        </is>
      </c>
      <c r="H3174" t="n">
        <v>1</v>
      </c>
    </row>
    <row r="3175">
      <c r="A3175" t="inlineStr">
        <is>
          <t>2023-2024</t>
        </is>
      </c>
      <c r="B3175" t="inlineStr">
        <is>
          <t>2023-12-02</t>
        </is>
      </c>
      <c r="C3175" t="inlineStr">
        <is>
          <t>20:54</t>
        </is>
      </c>
      <c r="D3175" t="inlineStr">
        <is>
          <t>n° 17 + n° 18</t>
        </is>
      </c>
      <c r="E3175" t="inlineStr">
        <is>
          <t>Crêpe Salidou</t>
        </is>
      </c>
      <c r="F3175" t="n">
        <v>6.4</v>
      </c>
      <c r="G3175" t="inlineStr">
        <is>
          <t>n° 17 : 0,50 + n° 18 : 0,50</t>
        </is>
      </c>
      <c r="H3175" t="n">
        <v>1</v>
      </c>
    </row>
    <row r="3176">
      <c r="A3176" t="inlineStr">
        <is>
          <t>2023-2024</t>
        </is>
      </c>
      <c r="B3176" t="inlineStr">
        <is>
          <t>2023-12-02</t>
        </is>
      </c>
      <c r="C3176" t="inlineStr">
        <is>
          <t>20:54</t>
        </is>
      </c>
      <c r="D3176" t="inlineStr">
        <is>
          <t>n° 17 + n° 18</t>
        </is>
      </c>
      <c r="E3176" t="inlineStr">
        <is>
          <t>Crêpe Nutella</t>
        </is>
      </c>
      <c r="F3176" t="n">
        <v>4.9</v>
      </c>
      <c r="G3176" t="inlineStr">
        <is>
          <t>n° 17 : 0,50 + n° 18 : 0,50</t>
        </is>
      </c>
      <c r="H3176" t="n">
        <v>1</v>
      </c>
    </row>
    <row r="3177">
      <c r="A3177" t="inlineStr">
        <is>
          <t>2023-2024</t>
        </is>
      </c>
      <c r="B3177" t="inlineStr">
        <is>
          <t>2023-12-02</t>
        </is>
      </c>
      <c r="C3177" t="inlineStr">
        <is>
          <t>20:54</t>
        </is>
      </c>
      <c r="D3177" t="inlineStr">
        <is>
          <t>n° 17 + n° 18</t>
        </is>
      </c>
      <c r="E3177" t="inlineStr">
        <is>
          <t>pression</t>
        </is>
      </c>
      <c r="F3177" t="n">
        <v>4.2</v>
      </c>
      <c r="G3177" t="inlineStr">
        <is>
          <t>n° 17 : 0,50 + n° 18 : 0,50</t>
        </is>
      </c>
      <c r="H3177" t="n">
        <v>1</v>
      </c>
    </row>
    <row r="3178">
      <c r="A3178" t="inlineStr">
        <is>
          <t>2023-2024</t>
        </is>
      </c>
      <c r="B3178" t="inlineStr">
        <is>
          <t>2023-12-02</t>
        </is>
      </c>
      <c r="C3178" t="inlineStr">
        <is>
          <t>20:54</t>
        </is>
      </c>
      <c r="D3178" t="inlineStr">
        <is>
          <t>n° 17 + n° 18</t>
        </is>
      </c>
      <c r="E3178" t="inlineStr">
        <is>
          <t>GLACE 1 BOULE</t>
        </is>
      </c>
      <c r="F3178" t="n">
        <v>3.5</v>
      </c>
      <c r="G3178" t="inlineStr">
        <is>
          <t>n° 17 : 0,50 + n° 18 : 0,50</t>
        </is>
      </c>
      <c r="H3178" t="n">
        <v>1</v>
      </c>
    </row>
    <row r="3179">
      <c r="A3179" t="inlineStr">
        <is>
          <t>2023-2024</t>
        </is>
      </c>
      <c r="B3179" t="inlineStr">
        <is>
          <t>2023-12-02</t>
        </is>
      </c>
      <c r="C3179" t="inlineStr">
        <is>
          <t>20:54</t>
        </is>
      </c>
      <c r="D3179" t="inlineStr">
        <is>
          <t>n° 17 + n° 18</t>
        </is>
      </c>
      <c r="E3179" t="inlineStr">
        <is>
          <t>Expresso</t>
        </is>
      </c>
      <c r="F3179" t="n">
        <v>2.2</v>
      </c>
      <c r="G3179" t="inlineStr">
        <is>
          <t>n° 17 : 0,50 + n° 18 : 0,50</t>
        </is>
      </c>
      <c r="H3179" t="n">
        <v>1</v>
      </c>
    </row>
    <row r="3180">
      <c r="A3180" t="inlineStr">
        <is>
          <t>2023-2024</t>
        </is>
      </c>
      <c r="B3180" t="inlineStr">
        <is>
          <t>2023-12-03</t>
        </is>
      </c>
      <c r="C3180" t="inlineStr">
        <is>
          <t>12:53</t>
        </is>
      </c>
      <c r="D3180" t="inlineStr">
        <is>
          <t>n° 1 + n° 2</t>
        </is>
      </c>
      <c r="E3180" t="inlineStr">
        <is>
          <t>Menu 'Galette'</t>
        </is>
      </c>
      <c r="F3180" t="n">
        <v>19.5</v>
      </c>
      <c r="G3180" t="inlineStr">
        <is>
          <t>n° 1 : 1,50 + n° 2 : 1,50</t>
        </is>
      </c>
      <c r="H3180" t="n">
        <v>3</v>
      </c>
    </row>
    <row r="3181">
      <c r="A3181" t="inlineStr">
        <is>
          <t>2023-2024</t>
        </is>
      </c>
      <c r="B3181" t="inlineStr">
        <is>
          <t>2023-12-03</t>
        </is>
      </c>
      <c r="C3181" t="inlineStr">
        <is>
          <t>12:53</t>
        </is>
      </c>
      <c r="D3181" t="inlineStr">
        <is>
          <t>n° 1 + n° 2</t>
        </is>
      </c>
      <c r="E3181" t="inlineStr">
        <is>
          <t>POULET JURASSIENNE</t>
        </is>
      </c>
      <c r="F3181" t="n">
        <v>18.6</v>
      </c>
      <c r="G3181" t="inlineStr">
        <is>
          <t>n° 1 : 0,50 + n° 2 : 0,50</t>
        </is>
      </c>
      <c r="H3181" t="n">
        <v>1</v>
      </c>
    </row>
    <row r="3182">
      <c r="A3182" t="inlineStr">
        <is>
          <t>2023-2024</t>
        </is>
      </c>
      <c r="B3182" t="inlineStr">
        <is>
          <t>2023-12-03</t>
        </is>
      </c>
      <c r="C3182" t="inlineStr">
        <is>
          <t>12:53</t>
        </is>
      </c>
      <c r="D3182" t="inlineStr">
        <is>
          <t>n° 1 + n° 2</t>
        </is>
      </c>
      <c r="E3182" t="inlineStr">
        <is>
          <t>Cidre Bouché Brut</t>
        </is>
      </c>
      <c r="F3182" t="n">
        <v>16</v>
      </c>
      <c r="G3182" t="inlineStr">
        <is>
          <t>n° 1 : 0,50 + n° 2 : 0,50</t>
        </is>
      </c>
      <c r="H3182" t="n">
        <v>1</v>
      </c>
    </row>
    <row r="3183">
      <c r="A3183" t="inlineStr">
        <is>
          <t>2023-2024</t>
        </is>
      </c>
      <c r="B3183" t="inlineStr">
        <is>
          <t>2023-12-03</t>
        </is>
      </c>
      <c r="C3183" t="inlineStr">
        <is>
          <t>12:53</t>
        </is>
      </c>
      <c r="D3183" t="inlineStr">
        <is>
          <t>n° 1 + n° 2</t>
        </is>
      </c>
      <c r="E3183" t="inlineStr">
        <is>
          <t>Crêpe Flambée</t>
        </is>
      </c>
      <c r="F3183" t="n">
        <v>8.4</v>
      </c>
      <c r="G3183" t="inlineStr">
        <is>
          <t>n° 1 : 0,50 + n° 2 : 0,50</t>
        </is>
      </c>
      <c r="H3183" t="n">
        <v>1</v>
      </c>
    </row>
    <row r="3184">
      <c r="A3184" t="inlineStr">
        <is>
          <t>2023-2024</t>
        </is>
      </c>
      <c r="B3184" t="inlineStr">
        <is>
          <t>2023-12-03</t>
        </is>
      </c>
      <c r="C3184" t="inlineStr">
        <is>
          <t>12:53</t>
        </is>
      </c>
      <c r="D3184" t="inlineStr">
        <is>
          <t>n° 1 + n° 2</t>
        </is>
      </c>
      <c r="E3184" t="inlineStr">
        <is>
          <t>Sauce Forestière</t>
        </is>
      </c>
      <c r="F3184" t="n">
        <v>7.9</v>
      </c>
      <c r="G3184" t="inlineStr">
        <is>
          <t>n° 1 : 0,50 + n° 2 : 0,50</t>
        </is>
      </c>
      <c r="H3184" t="n">
        <v>1</v>
      </c>
    </row>
    <row r="3185">
      <c r="A3185" t="inlineStr">
        <is>
          <t>2023-2024</t>
        </is>
      </c>
      <c r="B3185" t="inlineStr">
        <is>
          <t>2023-12-03</t>
        </is>
      </c>
      <c r="C3185" t="inlineStr">
        <is>
          <t>12:53</t>
        </is>
      </c>
      <c r="D3185" t="inlineStr">
        <is>
          <t>n° 1 + n° 2</t>
        </is>
      </c>
      <c r="E3185" t="inlineStr">
        <is>
          <t>pression</t>
        </is>
      </c>
      <c r="F3185" t="n">
        <v>4.2</v>
      </c>
      <c r="G3185" t="inlineStr">
        <is>
          <t>n° 1 : 0,50 + n° 2 : 0,50</t>
        </is>
      </c>
      <c r="H3185" t="n">
        <v>1</v>
      </c>
    </row>
    <row r="3186">
      <c r="A3186" t="inlineStr">
        <is>
          <t>2023-2024</t>
        </is>
      </c>
      <c r="B3186" t="inlineStr">
        <is>
          <t>2023-12-03</t>
        </is>
      </c>
      <c r="C3186" t="inlineStr">
        <is>
          <t>12:53</t>
        </is>
      </c>
      <c r="D3186" t="inlineStr">
        <is>
          <t>n° 1 + n° 2</t>
        </is>
      </c>
      <c r="E3186" t="inlineStr">
        <is>
          <t>Galette nature</t>
        </is>
      </c>
      <c r="F3186" t="n">
        <v>3.9</v>
      </c>
      <c r="G3186" t="inlineStr">
        <is>
          <t>n° 1 : 0,50 + n° 2 : 0,50</t>
        </is>
      </c>
      <c r="H3186" t="n">
        <v>1</v>
      </c>
    </row>
    <row r="3187">
      <c r="A3187" t="inlineStr">
        <is>
          <t>2023-2024</t>
        </is>
      </c>
      <c r="B3187" t="inlineStr">
        <is>
          <t>2023-12-03</t>
        </is>
      </c>
      <c r="C3187" t="inlineStr">
        <is>
          <t>12:53</t>
        </is>
      </c>
      <c r="D3187" t="inlineStr">
        <is>
          <t>n° 1 + n° 2</t>
        </is>
      </c>
      <c r="E3187" t="inlineStr">
        <is>
          <t>Jambon Blanc</t>
        </is>
      </c>
      <c r="F3187" t="n">
        <v>3.8</v>
      </c>
      <c r="G3187" t="inlineStr">
        <is>
          <t>n° 1 : 0,50 + n° 2 : 0,50</t>
        </is>
      </c>
      <c r="H3187" t="n">
        <v>1</v>
      </c>
    </row>
    <row r="3188">
      <c r="A3188" t="inlineStr">
        <is>
          <t>2023-2024</t>
        </is>
      </c>
      <c r="B3188" t="inlineStr">
        <is>
          <t>2023-12-03</t>
        </is>
      </c>
      <c r="C3188" t="inlineStr">
        <is>
          <t>12:53</t>
        </is>
      </c>
      <c r="D3188" t="inlineStr">
        <is>
          <t>n° 1 + n° 2</t>
        </is>
      </c>
      <c r="E3188" t="inlineStr">
        <is>
          <t>Morbier</t>
        </is>
      </c>
      <c r="F3188" t="n">
        <v>3.5</v>
      </c>
      <c r="G3188" t="inlineStr">
        <is>
          <t>n° 1 : 0,50 + n° 2 : 0,50</t>
        </is>
      </c>
      <c r="H3188" t="n">
        <v>1</v>
      </c>
    </row>
    <row r="3189">
      <c r="A3189" t="inlineStr">
        <is>
          <t>2023-2024</t>
        </is>
      </c>
      <c r="B3189" t="inlineStr">
        <is>
          <t>2023-12-03</t>
        </is>
      </c>
      <c r="C3189" t="inlineStr">
        <is>
          <t>12:53</t>
        </is>
      </c>
      <c r="D3189" t="inlineStr">
        <is>
          <t>n° 1 + n° 2</t>
        </is>
      </c>
      <c r="E3189" t="inlineStr">
        <is>
          <t>Œuf</t>
        </is>
      </c>
      <c r="F3189" t="n">
        <v>0.9</v>
      </c>
      <c r="G3189" t="inlineStr">
        <is>
          <t>n° 1 : 0,50 + n° 2 : 0,50</t>
        </is>
      </c>
      <c r="H3189" t="n">
        <v>1</v>
      </c>
    </row>
    <row r="3190">
      <c r="A3190" t="inlineStr">
        <is>
          <t>2023-2024</t>
        </is>
      </c>
      <c r="B3190" t="inlineStr">
        <is>
          <t>2023-12-06</t>
        </is>
      </c>
      <c r="C3190" t="inlineStr">
        <is>
          <t>12:37</t>
        </is>
      </c>
      <c r="D3190" t="inlineStr">
        <is>
          <t>n° 1 + n° 2</t>
        </is>
      </c>
      <c r="E3190" t="inlineStr">
        <is>
          <t>pichet Saint Joseph</t>
        </is>
      </c>
      <c r="F3190" t="n">
        <v>32.2</v>
      </c>
      <c r="G3190" t="inlineStr">
        <is>
          <t>n° 1 : 0,50 + n° 2 : 0,50</t>
        </is>
      </c>
      <c r="H3190" t="n">
        <v>1</v>
      </c>
    </row>
    <row r="3191">
      <c r="A3191" t="inlineStr">
        <is>
          <t>2023-2024</t>
        </is>
      </c>
      <c r="B3191" t="inlineStr">
        <is>
          <t>2023-12-06</t>
        </is>
      </c>
      <c r="C3191" t="inlineStr">
        <is>
          <t>13:42</t>
        </is>
      </c>
      <c r="D3191" t="inlineStr">
        <is>
          <t>n° 5 + n° 6</t>
        </is>
      </c>
      <c r="E3191" t="inlineStr">
        <is>
          <t>Entrecôte grillée</t>
        </is>
      </c>
      <c r="F3191" t="n">
        <v>19.9</v>
      </c>
      <c r="G3191" t="inlineStr">
        <is>
          <t>n° 5 : 1,50 + n° 6 : 1,50</t>
        </is>
      </c>
      <c r="H3191" t="n">
        <v>3</v>
      </c>
    </row>
    <row r="3192">
      <c r="A3192" t="inlineStr">
        <is>
          <t>2023-2024</t>
        </is>
      </c>
      <c r="B3192" t="inlineStr">
        <is>
          <t>2023-12-06</t>
        </is>
      </c>
      <c r="C3192" t="inlineStr">
        <is>
          <t>13:42</t>
        </is>
      </c>
      <c r="D3192" t="inlineStr">
        <is>
          <t>n° 5 + n° 6</t>
        </is>
      </c>
      <c r="E3192" t="inlineStr">
        <is>
          <t>MORTEAU GRILLEE</t>
        </is>
      </c>
      <c r="F3192" t="n">
        <v>18.6</v>
      </c>
      <c r="G3192" t="inlineStr">
        <is>
          <t>n° 5 : 0,50 + n° 6 : 0,50</t>
        </is>
      </c>
      <c r="H3192" t="n">
        <v>1</v>
      </c>
    </row>
    <row r="3193">
      <c r="A3193" t="inlineStr">
        <is>
          <t>2023-2024</t>
        </is>
      </c>
      <c r="B3193" t="inlineStr">
        <is>
          <t>2023-12-06</t>
        </is>
      </c>
      <c r="C3193" t="inlineStr">
        <is>
          <t>13:42</t>
        </is>
      </c>
      <c r="D3193" t="inlineStr">
        <is>
          <t>n° 5 + n° 6</t>
        </is>
      </c>
      <c r="E3193" t="inlineStr">
        <is>
          <t>Ré</t>
        </is>
      </c>
      <c r="F3193" t="n">
        <v>9</v>
      </c>
      <c r="G3193" t="inlineStr">
        <is>
          <t>n° 5 : 0,50 + n° 6 : 0,50</t>
        </is>
      </c>
      <c r="H3193" t="n">
        <v>1</v>
      </c>
    </row>
    <row r="3194">
      <c r="A3194" t="inlineStr">
        <is>
          <t>2023-2024</t>
        </is>
      </c>
      <c r="B3194" t="inlineStr">
        <is>
          <t>2023-12-06</t>
        </is>
      </c>
      <c r="C3194" t="inlineStr">
        <is>
          <t>13:42</t>
        </is>
      </c>
      <c r="D3194" t="inlineStr">
        <is>
          <t>n° 5 + n° 6</t>
        </is>
      </c>
      <c r="E3194" t="inlineStr">
        <is>
          <t>Beaujolais Moulin à</t>
        </is>
      </c>
      <c r="F3194" t="n">
        <v>7.6</v>
      </c>
      <c r="G3194" t="inlineStr">
        <is>
          <t>n° 5 : 0,50 + n° 6 : 0,50</t>
        </is>
      </c>
      <c r="H3194" t="n">
        <v>1</v>
      </c>
    </row>
    <row r="3195">
      <c r="A3195" t="inlineStr">
        <is>
          <t>2023-2024</t>
        </is>
      </c>
      <c r="B3195" t="inlineStr">
        <is>
          <t>2023-12-06</t>
        </is>
      </c>
      <c r="C3195" t="inlineStr">
        <is>
          <t>13:42</t>
        </is>
      </c>
      <c r="D3195" t="inlineStr">
        <is>
          <t>n° 5 + n° 6</t>
        </is>
      </c>
      <c r="E3195" t="inlineStr">
        <is>
          <t>Crêpe Pommes</t>
        </is>
      </c>
      <c r="F3195" t="n">
        <v>7.1</v>
      </c>
      <c r="G3195" t="inlineStr">
        <is>
          <t>n° 5 : 0,50 + n° 6 : 0,50</t>
        </is>
      </c>
      <c r="H3195" t="n">
        <v>1</v>
      </c>
    </row>
    <row r="3196">
      <c r="A3196" t="inlineStr">
        <is>
          <t>2023-2024</t>
        </is>
      </c>
      <c r="B3196" t="inlineStr">
        <is>
          <t>2023-12-06</t>
        </is>
      </c>
      <c r="C3196" t="inlineStr">
        <is>
          <t>13:42</t>
        </is>
      </c>
      <c r="D3196" t="inlineStr">
        <is>
          <t>n° 5 + n° 6</t>
        </is>
      </c>
      <c r="E3196" t="inlineStr">
        <is>
          <t>Crêpe Nutella</t>
        </is>
      </c>
      <c r="F3196" t="n">
        <v>4.9</v>
      </c>
      <c r="G3196" t="inlineStr">
        <is>
          <t>n° 5 : 1,50 + n° 6 : 1,50</t>
        </is>
      </c>
      <c r="H3196" t="n">
        <v>3</v>
      </c>
    </row>
    <row r="3197">
      <c r="A3197" t="inlineStr">
        <is>
          <t>2023-2024</t>
        </is>
      </c>
      <c r="B3197" t="inlineStr">
        <is>
          <t>2023-12-06</t>
        </is>
      </c>
      <c r="C3197" t="inlineStr">
        <is>
          <t>13:42</t>
        </is>
      </c>
      <c r="D3197" t="inlineStr">
        <is>
          <t>n° 5 + n° 6</t>
        </is>
      </c>
      <c r="E3197" t="inlineStr">
        <is>
          <t>Coca (25cl)</t>
        </is>
      </c>
      <c r="F3197" t="n">
        <v>3.9</v>
      </c>
      <c r="G3197" t="inlineStr">
        <is>
          <t>n° 5 : 1,50 + n° 6 : 1,50</t>
        </is>
      </c>
      <c r="H3197" t="n">
        <v>3</v>
      </c>
    </row>
    <row r="3198">
      <c r="A3198" t="inlineStr">
        <is>
          <t>2023-2024</t>
        </is>
      </c>
      <c r="B3198" t="inlineStr">
        <is>
          <t>2023-12-06</t>
        </is>
      </c>
      <c r="C3198" t="inlineStr">
        <is>
          <t>13:42</t>
        </is>
      </c>
      <c r="D3198" t="inlineStr">
        <is>
          <t>n° 5 + n° 6</t>
        </is>
      </c>
      <c r="E3198" t="inlineStr">
        <is>
          <t>Expresso</t>
        </is>
      </c>
      <c r="F3198" t="n">
        <v>2.2</v>
      </c>
      <c r="G3198" t="inlineStr">
        <is>
          <t>n° 5 : 0,50 + n° 6 : 0,50</t>
        </is>
      </c>
      <c r="H3198" t="n">
        <v>1</v>
      </c>
    </row>
    <row r="3199">
      <c r="A3199" t="inlineStr">
        <is>
          <t>2023-2024</t>
        </is>
      </c>
      <c r="B3199" t="inlineStr">
        <is>
          <t>2023-12-06</t>
        </is>
      </c>
      <c r="C3199" t="inlineStr">
        <is>
          <t>19:57</t>
        </is>
      </c>
      <c r="D3199" t="inlineStr">
        <is>
          <t>n° 14 + n° 15</t>
        </is>
      </c>
      <c r="E3199" t="inlineStr">
        <is>
          <t>Crémeux du Jura</t>
        </is>
      </c>
      <c r="F3199" t="n">
        <v>19</v>
      </c>
      <c r="G3199" t="inlineStr">
        <is>
          <t>n° 14 : 0,50 + n° 15 : 0,50</t>
        </is>
      </c>
      <c r="H3199" t="n">
        <v>1</v>
      </c>
    </row>
    <row r="3200">
      <c r="A3200" t="inlineStr">
        <is>
          <t>2023-2024</t>
        </is>
      </c>
      <c r="B3200" t="inlineStr">
        <is>
          <t>2023-12-06</t>
        </is>
      </c>
      <c r="C3200" t="inlineStr">
        <is>
          <t>19:57</t>
        </is>
      </c>
      <c r="D3200" t="inlineStr">
        <is>
          <t>n° 14 + n° 15</t>
        </is>
      </c>
      <c r="E3200" t="inlineStr">
        <is>
          <t>Saucisse de Morteau</t>
        </is>
      </c>
      <c r="F3200" t="n">
        <v>8.9</v>
      </c>
      <c r="G3200" t="inlineStr">
        <is>
          <t>n° 14 : 0,50 + n° 15 : 0,50</t>
        </is>
      </c>
      <c r="H3200" t="n">
        <v>1</v>
      </c>
    </row>
    <row r="3201">
      <c r="A3201" t="inlineStr">
        <is>
          <t>2023-2024</t>
        </is>
      </c>
      <c r="B3201" t="inlineStr">
        <is>
          <t>2023-12-06</t>
        </is>
      </c>
      <c r="C3201" t="inlineStr">
        <is>
          <t>19:57</t>
        </is>
      </c>
      <c r="D3201" t="inlineStr">
        <is>
          <t>n° 14 + n° 15</t>
        </is>
      </c>
      <c r="E3201" t="inlineStr">
        <is>
          <t>Crêpe Salidou</t>
        </is>
      </c>
      <c r="F3201" t="n">
        <v>6.4</v>
      </c>
      <c r="G3201" t="inlineStr">
        <is>
          <t>n° 14 : 0,50 + n° 15 : 0,50</t>
        </is>
      </c>
      <c r="H3201" t="n">
        <v>1</v>
      </c>
    </row>
    <row r="3202">
      <c r="A3202" t="inlineStr">
        <is>
          <t>2023-2024</t>
        </is>
      </c>
      <c r="B3202" t="inlineStr">
        <is>
          <t>2023-12-06</t>
        </is>
      </c>
      <c r="C3202" t="inlineStr">
        <is>
          <t>19:57</t>
        </is>
      </c>
      <c r="D3202" t="inlineStr">
        <is>
          <t>n° 14 + n° 15</t>
        </is>
      </c>
      <c r="E3202" t="inlineStr">
        <is>
          <t>GLACE 2 BOULES</t>
        </is>
      </c>
      <c r="F3202" t="n">
        <v>5.5</v>
      </c>
      <c r="G3202" t="inlineStr">
        <is>
          <t>n° 14 : 0,50 + n° 15 : 0,50</t>
        </is>
      </c>
      <c r="H3202" t="n">
        <v>1</v>
      </c>
    </row>
    <row r="3203">
      <c r="A3203" t="inlineStr">
        <is>
          <t>2023-2024</t>
        </is>
      </c>
      <c r="B3203" t="inlineStr">
        <is>
          <t>2023-12-06</t>
        </is>
      </c>
      <c r="C3203" t="inlineStr">
        <is>
          <t>19:57</t>
        </is>
      </c>
      <c r="D3203" t="inlineStr">
        <is>
          <t>n° 14 + n° 15</t>
        </is>
      </c>
      <c r="E3203" t="inlineStr">
        <is>
          <t>pression</t>
        </is>
      </c>
      <c r="F3203" t="n">
        <v>4.2</v>
      </c>
      <c r="G3203" t="inlineStr">
        <is>
          <t>n° 14 : 0,50 + n° 15 : 0,50</t>
        </is>
      </c>
      <c r="H3203" t="n">
        <v>1</v>
      </c>
    </row>
    <row r="3204">
      <c r="A3204" t="inlineStr">
        <is>
          <t>2023-2024</t>
        </is>
      </c>
      <c r="B3204" t="inlineStr">
        <is>
          <t>2023-12-06</t>
        </is>
      </c>
      <c r="C3204" t="inlineStr">
        <is>
          <t>19:57</t>
        </is>
      </c>
      <c r="D3204" t="inlineStr">
        <is>
          <t>n° 14 + n° 15</t>
        </is>
      </c>
      <c r="E3204" t="inlineStr">
        <is>
          <t>Verre ALIGOTE</t>
        </is>
      </c>
      <c r="F3204" t="n">
        <v>3.9</v>
      </c>
      <c r="G3204" t="inlineStr">
        <is>
          <t>n° 14 : 0,50 + n° 15 : 0,50</t>
        </is>
      </c>
      <c r="H3204" t="n">
        <v>1</v>
      </c>
    </row>
    <row r="3205">
      <c r="A3205" t="inlineStr">
        <is>
          <t>2023-2024</t>
        </is>
      </c>
      <c r="B3205" t="inlineStr">
        <is>
          <t>2023-12-06</t>
        </is>
      </c>
      <c r="C3205" t="inlineStr">
        <is>
          <t>19:57</t>
        </is>
      </c>
      <c r="D3205" t="inlineStr">
        <is>
          <t>n° 14 + n° 15</t>
        </is>
      </c>
      <c r="E3205" t="inlineStr">
        <is>
          <t>Galette nature</t>
        </is>
      </c>
      <c r="F3205" t="n">
        <v>3.9</v>
      </c>
      <c r="G3205" t="inlineStr">
        <is>
          <t>n° 14 : 0,50 + n° 15 : 0,50</t>
        </is>
      </c>
      <c r="H3205" t="n">
        <v>1</v>
      </c>
    </row>
    <row r="3206">
      <c r="A3206" t="inlineStr">
        <is>
          <t>2023-2024</t>
        </is>
      </c>
      <c r="B3206" t="inlineStr">
        <is>
          <t>2023-12-06</t>
        </is>
      </c>
      <c r="C3206" t="inlineStr">
        <is>
          <t>19:57</t>
        </is>
      </c>
      <c r="D3206" t="inlineStr">
        <is>
          <t>n° 14 + n° 15</t>
        </is>
      </c>
      <c r="E3206" t="inlineStr">
        <is>
          <t>Morbier</t>
        </is>
      </c>
      <c r="F3206" t="n">
        <v>3.5</v>
      </c>
      <c r="G3206" t="inlineStr">
        <is>
          <t>n° 14 : 0,50 + n° 15 : 0,50</t>
        </is>
      </c>
      <c r="H3206" t="n">
        <v>1</v>
      </c>
    </row>
    <row r="3207">
      <c r="A3207" t="inlineStr">
        <is>
          <t>2023-2024</t>
        </is>
      </c>
      <c r="B3207" t="inlineStr">
        <is>
          <t>2023-12-06</t>
        </is>
      </c>
      <c r="C3207" t="inlineStr">
        <is>
          <t>19:57</t>
        </is>
      </c>
      <c r="D3207" t="inlineStr">
        <is>
          <t>n° 14 + n° 15</t>
        </is>
      </c>
      <c r="E3207" t="inlineStr">
        <is>
          <t>Expresso</t>
        </is>
      </c>
      <c r="F3207" t="n">
        <v>2.2</v>
      </c>
      <c r="G3207" t="inlineStr">
        <is>
          <t>n° 14 : 0,50 + n° 15 : 0,50</t>
        </is>
      </c>
      <c r="H3207" t="n">
        <v>1</v>
      </c>
    </row>
    <row r="3208">
      <c r="A3208" t="inlineStr">
        <is>
          <t>2023-2024</t>
        </is>
      </c>
      <c r="B3208" t="inlineStr">
        <is>
          <t>2023-12-13</t>
        </is>
      </c>
      <c r="C3208" t="inlineStr">
        <is>
          <t>20:40</t>
        </is>
      </c>
      <c r="D3208" t="inlineStr">
        <is>
          <t>n° 15 + n° 16</t>
        </is>
      </c>
      <c r="E3208" t="inlineStr">
        <is>
          <t>Arbois Trousseau Le</t>
        </is>
      </c>
      <c r="F3208" t="n">
        <v>7.2</v>
      </c>
      <c r="G3208" t="inlineStr">
        <is>
          <t>n° 15 : 0,50 + n° 16 : 0,50</t>
        </is>
      </c>
      <c r="H3208" t="n">
        <v>1</v>
      </c>
    </row>
    <row r="3209">
      <c r="A3209" t="inlineStr">
        <is>
          <t>2023-2024</t>
        </is>
      </c>
      <c r="B3209" t="inlineStr">
        <is>
          <t>2023-12-13</t>
        </is>
      </c>
      <c r="C3209" t="inlineStr">
        <is>
          <t>20:40</t>
        </is>
      </c>
      <c r="D3209" t="inlineStr">
        <is>
          <t>n° 15 + n° 16</t>
        </is>
      </c>
      <c r="E3209" t="inlineStr">
        <is>
          <t>VERRE CHUSCLAN</t>
        </is>
      </c>
      <c r="F3209" t="n">
        <v>3.9</v>
      </c>
      <c r="G3209" t="inlineStr">
        <is>
          <t>n° 15 : 0,50 + n° 16 : 0,50</t>
        </is>
      </c>
      <c r="H3209" t="n">
        <v>1</v>
      </c>
    </row>
    <row r="3210">
      <c r="A3210" t="inlineStr">
        <is>
          <t>2023-2024</t>
        </is>
      </c>
      <c r="B3210" t="inlineStr">
        <is>
          <t>2023-12-16</t>
        </is>
      </c>
      <c r="C3210" t="inlineStr">
        <is>
          <t>20:00</t>
        </is>
      </c>
      <c r="D3210" t="inlineStr">
        <is>
          <t>n° 16 + n° 17 + n° 18 + n° 19</t>
        </is>
      </c>
      <c r="E3210" t="inlineStr">
        <is>
          <t>1/2 Arbois Béthanie</t>
        </is>
      </c>
      <c r="F3210" t="n">
        <v>24</v>
      </c>
      <c r="G3210" t="inlineStr">
        <is>
          <t>n° 18 : 0,50 + n° 19 : 0,50</t>
        </is>
      </c>
      <c r="H3210" t="n">
        <v>1</v>
      </c>
    </row>
    <row r="3211">
      <c r="A3211" t="inlineStr">
        <is>
          <t>2023-2024</t>
        </is>
      </c>
      <c r="B3211" t="inlineStr">
        <is>
          <t>2023-12-16</t>
        </is>
      </c>
      <c r="C3211" t="inlineStr">
        <is>
          <t>20:00</t>
        </is>
      </c>
      <c r="D3211" t="inlineStr">
        <is>
          <t>n° 16 + n° 17 + n° 18 + n° 19</t>
        </is>
      </c>
      <c r="E3211" t="inlineStr">
        <is>
          <t>Assortiment charcute</t>
        </is>
      </c>
      <c r="F3211" t="n">
        <v>8.9</v>
      </c>
      <c r="G3211" t="inlineStr">
        <is>
          <t>n° 18 : 0,50 + n° 19 : 0,50</t>
        </is>
      </c>
      <c r="H3211" t="n">
        <v>1</v>
      </c>
    </row>
    <row r="3212">
      <c r="A3212" t="inlineStr">
        <is>
          <t>2023-2024</t>
        </is>
      </c>
      <c r="B3212" t="inlineStr">
        <is>
          <t>2023-12-16</t>
        </is>
      </c>
      <c r="C3212" t="inlineStr">
        <is>
          <t>20:00</t>
        </is>
      </c>
      <c r="D3212" t="inlineStr">
        <is>
          <t>n° 16 + n° 17 + n° 18 + n° 19</t>
        </is>
      </c>
      <c r="E3212" t="inlineStr">
        <is>
          <t>Chat perché</t>
        </is>
      </c>
      <c r="F3212" t="n">
        <v>5.9</v>
      </c>
      <c r="G3212" t="inlineStr">
        <is>
          <t>n° 16 : 1,50 + n° 17 : 1,50 + n° 18 : 0,50 + n° 19 : 0,50</t>
        </is>
      </c>
      <c r="H3212" t="n">
        <v>4</v>
      </c>
    </row>
    <row r="3213">
      <c r="A3213" t="inlineStr">
        <is>
          <t>2023-2024</t>
        </is>
      </c>
      <c r="B3213" t="inlineStr">
        <is>
          <t>2023-12-16</t>
        </is>
      </c>
      <c r="C3213" t="inlineStr">
        <is>
          <t>20:00</t>
        </is>
      </c>
      <c r="D3213" t="inlineStr">
        <is>
          <t>n° 16 + n° 17 + n° 18 + n° 19</t>
        </is>
      </c>
      <c r="E3213" t="inlineStr">
        <is>
          <t>pression</t>
        </is>
      </c>
      <c r="F3213" t="n">
        <v>4.2</v>
      </c>
      <c r="G3213" t="inlineStr">
        <is>
          <t>n° 16 : 1,00 + n° 17 : 1,00 + n° 18 : 0,50 + n° 19 : 0,50</t>
        </is>
      </c>
      <c r="H3213" t="n">
        <v>3</v>
      </c>
    </row>
    <row r="3214">
      <c r="A3214" t="inlineStr">
        <is>
          <t>2023-2024</t>
        </is>
      </c>
      <c r="B3214" t="inlineStr">
        <is>
          <t>2023-12-16</t>
        </is>
      </c>
      <c r="C3214" t="inlineStr">
        <is>
          <t>20:00</t>
        </is>
      </c>
      <c r="D3214" t="inlineStr">
        <is>
          <t>n° 16 + n° 17 + n° 18 + n° 19</t>
        </is>
      </c>
      <c r="E3214" t="inlineStr">
        <is>
          <t>Pastis</t>
        </is>
      </c>
      <c r="F3214" t="n">
        <v>4.2</v>
      </c>
      <c r="G3214" t="inlineStr">
        <is>
          <t>n° 18 : 0,50 + n° 19 : 0,50</t>
        </is>
      </c>
      <c r="H3214" t="n">
        <v>1</v>
      </c>
    </row>
    <row r="3215">
      <c r="A3215" t="inlineStr">
        <is>
          <t>2023-2024</t>
        </is>
      </c>
      <c r="B3215" t="inlineStr">
        <is>
          <t>2023-12-16</t>
        </is>
      </c>
      <c r="C3215" t="inlineStr">
        <is>
          <t>20:00</t>
        </is>
      </c>
      <c r="D3215" t="inlineStr">
        <is>
          <t>n° 16 + n° 17 + n° 18 + n° 19</t>
        </is>
      </c>
      <c r="E3215" t="inlineStr">
        <is>
          <t>Verre ALIGOTE</t>
        </is>
      </c>
      <c r="F3215" t="n">
        <v>3.9</v>
      </c>
      <c r="G3215" t="inlineStr">
        <is>
          <t>n° 16 : 0,50 + n° 17 : 0,50</t>
        </is>
      </c>
      <c r="H3215" t="n">
        <v>1</v>
      </c>
    </row>
    <row r="3216">
      <c r="A3216" t="inlineStr">
        <is>
          <t>2023-2024</t>
        </is>
      </c>
      <c r="B3216" t="inlineStr">
        <is>
          <t>2023-12-16</t>
        </is>
      </c>
      <c r="C3216" t="inlineStr">
        <is>
          <t>20:00</t>
        </is>
      </c>
      <c r="D3216" t="inlineStr">
        <is>
          <t>n° 16 + n° 17 + n° 18 + n° 19</t>
        </is>
      </c>
      <c r="E3216" t="inlineStr">
        <is>
          <t>Pommes grenailles</t>
        </is>
      </c>
      <c r="F3216" t="n">
        <v>3.9</v>
      </c>
      <c r="G3216" t="inlineStr">
        <is>
          <t>n° 18 : 0,50 + n° 19 : 0,50</t>
        </is>
      </c>
      <c r="H3216" t="n">
        <v>1</v>
      </c>
    </row>
    <row r="3217">
      <c r="A3217" t="inlineStr">
        <is>
          <t>2023-2024</t>
        </is>
      </c>
      <c r="B3217" t="inlineStr">
        <is>
          <t>2023-12-22</t>
        </is>
      </c>
      <c r="C3217" t="inlineStr">
        <is>
          <t>20:42</t>
        </is>
      </c>
      <c r="D3217" t="inlineStr">
        <is>
          <t>n° 14 + n° 15</t>
        </is>
      </c>
      <c r="E3217" t="inlineStr">
        <is>
          <t>Crémeux du Jura</t>
        </is>
      </c>
      <c r="F3217" t="n">
        <v>19</v>
      </c>
      <c r="G3217" t="inlineStr">
        <is>
          <t>n° 14 : 0,50 + n° 15 : 0,50</t>
        </is>
      </c>
      <c r="H3217" t="n">
        <v>1</v>
      </c>
    </row>
    <row r="3218">
      <c r="A3218" t="inlineStr">
        <is>
          <t>2023-2024</t>
        </is>
      </c>
      <c r="B3218" t="inlineStr">
        <is>
          <t>2023-12-22</t>
        </is>
      </c>
      <c r="C3218" t="inlineStr">
        <is>
          <t>20:42</t>
        </is>
      </c>
      <c r="D3218" t="inlineStr">
        <is>
          <t>n° 14 + n° 15</t>
        </is>
      </c>
      <c r="E3218" t="inlineStr">
        <is>
          <t>MORTEAU GRILLEE</t>
        </is>
      </c>
      <c r="F3218" t="n">
        <v>18.6</v>
      </c>
      <c r="G3218" t="inlineStr">
        <is>
          <t>n° 14 : 0,50 + n° 15 : 0,50</t>
        </is>
      </c>
      <c r="H3218" t="n">
        <v>1</v>
      </c>
    </row>
    <row r="3219">
      <c r="A3219" t="inlineStr">
        <is>
          <t>2023-2024</t>
        </is>
      </c>
      <c r="B3219" t="inlineStr">
        <is>
          <t>2023-12-22</t>
        </is>
      </c>
      <c r="C3219" t="inlineStr">
        <is>
          <t>20:42</t>
        </is>
      </c>
      <c r="D3219" t="inlineStr">
        <is>
          <t>n° 14 + n° 15</t>
        </is>
      </c>
      <c r="E3219" t="inlineStr">
        <is>
          <t>C du  Rhone St Josep</t>
        </is>
      </c>
      <c r="F3219" t="n">
        <v>9.699999999999999</v>
      </c>
      <c r="G3219" t="inlineStr">
        <is>
          <t>n° 14 : 0,50 + n° 15 : 0,50</t>
        </is>
      </c>
      <c r="H3219" t="n">
        <v>1</v>
      </c>
    </row>
    <row r="3220">
      <c r="A3220" t="inlineStr">
        <is>
          <t>2023-2024</t>
        </is>
      </c>
      <c r="B3220" t="inlineStr">
        <is>
          <t>2023-12-22</t>
        </is>
      </c>
      <c r="C3220" t="inlineStr">
        <is>
          <t>20:42</t>
        </is>
      </c>
      <c r="D3220" t="inlineStr">
        <is>
          <t>n° 14 + n° 15</t>
        </is>
      </c>
      <c r="E3220" t="inlineStr">
        <is>
          <t>Saint Véran Verre</t>
        </is>
      </c>
      <c r="F3220" t="n">
        <v>7.9</v>
      </c>
      <c r="G3220" t="inlineStr">
        <is>
          <t>n° 14 : 0,50 + n° 15 : 0,50</t>
        </is>
      </c>
      <c r="H3220" t="n">
        <v>1</v>
      </c>
    </row>
    <row r="3221">
      <c r="A3221" t="inlineStr">
        <is>
          <t>2023-2024</t>
        </is>
      </c>
      <c r="B3221" t="inlineStr">
        <is>
          <t>2023-12-22</t>
        </is>
      </c>
      <c r="C3221" t="inlineStr">
        <is>
          <t>20:42</t>
        </is>
      </c>
      <c r="D3221" t="inlineStr">
        <is>
          <t>n° 14 + n° 15</t>
        </is>
      </c>
      <c r="E3221" t="inlineStr">
        <is>
          <t>GLACE 2 BOULES</t>
        </is>
      </c>
      <c r="F3221" t="n">
        <v>5.5</v>
      </c>
      <c r="G3221" t="inlineStr">
        <is>
          <t>n° 14 : 0,50 + n° 15 : 0,50</t>
        </is>
      </c>
      <c r="H3221" t="n">
        <v>1</v>
      </c>
    </row>
    <row r="3222">
      <c r="A3222" t="inlineStr">
        <is>
          <t>2023-2024</t>
        </is>
      </c>
      <c r="B3222" t="inlineStr">
        <is>
          <t>2023-12-22</t>
        </is>
      </c>
      <c r="C3222" t="inlineStr">
        <is>
          <t>20:42</t>
        </is>
      </c>
      <c r="D3222" t="inlineStr">
        <is>
          <t>n° 14 + n° 15</t>
        </is>
      </c>
      <c r="E3222" t="inlineStr">
        <is>
          <t>Crêpe Confiture</t>
        </is>
      </c>
      <c r="F3222" t="n">
        <v>5.4</v>
      </c>
      <c r="G3222" t="inlineStr">
        <is>
          <t>n° 14 : 0,50 + n° 15 : 0,50</t>
        </is>
      </c>
      <c r="H3222" t="n">
        <v>1</v>
      </c>
    </row>
    <row r="3223">
      <c r="A3223" t="inlineStr">
        <is>
          <t>2023-2024</t>
        </is>
      </c>
      <c r="B3223" t="inlineStr">
        <is>
          <t>2023-12-27</t>
        </is>
      </c>
      <c r="C3223" t="inlineStr">
        <is>
          <t>18:30</t>
        </is>
      </c>
      <c r="D3223" t="inlineStr">
        <is>
          <t>n° 7 + n° 8</t>
        </is>
      </c>
      <c r="E3223" t="inlineStr">
        <is>
          <t>DADOULET</t>
        </is>
      </c>
      <c r="F3223" t="n">
        <v>18.1</v>
      </c>
      <c r="G3223" t="inlineStr">
        <is>
          <t>n° 7 : 0,50 + n° 8 : 0,50</t>
        </is>
      </c>
      <c r="H3223" t="n">
        <v>1</v>
      </c>
    </row>
    <row r="3224">
      <c r="A3224" t="inlineStr">
        <is>
          <t>2023-2024</t>
        </is>
      </c>
      <c r="B3224" t="inlineStr">
        <is>
          <t>2023-12-27</t>
        </is>
      </c>
      <c r="C3224" t="inlineStr">
        <is>
          <t>18:30</t>
        </is>
      </c>
      <c r="D3224" t="inlineStr">
        <is>
          <t>n° 7 + n° 8</t>
        </is>
      </c>
      <c r="E3224" t="inlineStr">
        <is>
          <t>LIGOUSE</t>
        </is>
      </c>
      <c r="F3224" t="n">
        <v>16.6</v>
      </c>
      <c r="G3224" t="inlineStr">
        <is>
          <t>n° 7 : 0,50 + n° 8 : 0,50</t>
        </is>
      </c>
      <c r="H3224" t="n">
        <v>1</v>
      </c>
    </row>
    <row r="3225">
      <c r="A3225" t="inlineStr">
        <is>
          <t>2023-2024</t>
        </is>
      </c>
      <c r="B3225" t="inlineStr">
        <is>
          <t>2023-12-27</t>
        </is>
      </c>
      <c r="C3225" t="inlineStr">
        <is>
          <t>20:58</t>
        </is>
      </c>
      <c r="D3225" t="inlineStr">
        <is>
          <t>n° 18 + n° 19</t>
        </is>
      </c>
      <c r="E3225" t="inlineStr">
        <is>
          <t>PiCHET TROUSSEAU</t>
        </is>
      </c>
      <c r="F3225" t="n">
        <v>28</v>
      </c>
      <c r="G3225" t="inlineStr">
        <is>
          <t>n° 18 : 0,50 + n° 19 : 0,50</t>
        </is>
      </c>
      <c r="H3225" t="n">
        <v>1</v>
      </c>
    </row>
    <row r="3226">
      <c r="A3226" t="inlineStr">
        <is>
          <t>2023-2024</t>
        </is>
      </c>
      <c r="B3226" t="inlineStr">
        <is>
          <t>2023-12-28</t>
        </is>
      </c>
      <c r="C3226" t="inlineStr">
        <is>
          <t>12:32</t>
        </is>
      </c>
      <c r="D3226" t="inlineStr">
        <is>
          <t>n° 6 + n° 7</t>
        </is>
      </c>
      <c r="E3226" t="inlineStr">
        <is>
          <t>Crêpe Flambée</t>
        </is>
      </c>
      <c r="F3226" t="n">
        <v>8.4</v>
      </c>
      <c r="G3226" t="inlineStr">
        <is>
          <t>n° 6 : 0,50 + n° 7 : 0,50</t>
        </is>
      </c>
      <c r="H3226" t="n">
        <v>1</v>
      </c>
    </row>
    <row r="3227">
      <c r="A3227" t="inlineStr">
        <is>
          <t>2023-2024</t>
        </is>
      </c>
      <c r="B3227" t="inlineStr">
        <is>
          <t>2023-12-28</t>
        </is>
      </c>
      <c r="C3227" t="inlineStr">
        <is>
          <t>12:32</t>
        </is>
      </c>
      <c r="D3227" t="inlineStr">
        <is>
          <t>n° 6 + n° 7</t>
        </is>
      </c>
      <c r="E3227" t="inlineStr">
        <is>
          <t>Chat perché</t>
        </is>
      </c>
      <c r="F3227" t="n">
        <v>5.9</v>
      </c>
      <c r="G3227" t="inlineStr">
        <is>
          <t>n° 6 : 0,50 + n° 7 : 0,50</t>
        </is>
      </c>
      <c r="H3227" t="n">
        <v>1</v>
      </c>
    </row>
    <row r="3228">
      <c r="A3228" t="inlineStr">
        <is>
          <t>2023-2024</t>
        </is>
      </c>
      <c r="B3228" t="inlineStr">
        <is>
          <t>2023-12-28</t>
        </is>
      </c>
      <c r="C3228" t="inlineStr">
        <is>
          <t>12:32</t>
        </is>
      </c>
      <c r="D3228" t="inlineStr">
        <is>
          <t>n° 6 + n° 7</t>
        </is>
      </c>
      <c r="E3228" t="inlineStr">
        <is>
          <t>Macvin du Jura</t>
        </is>
      </c>
      <c r="F3228" t="n">
        <v>5.9</v>
      </c>
      <c r="G3228" t="inlineStr">
        <is>
          <t>n° 6 : 0,50 + n° 7 : 0,50</t>
        </is>
      </c>
      <c r="H3228" t="n">
        <v>1</v>
      </c>
    </row>
    <row r="3229">
      <c r="A3229" t="inlineStr">
        <is>
          <t>2023-2024</t>
        </is>
      </c>
      <c r="B3229" t="inlineStr">
        <is>
          <t>2023-12-28</t>
        </is>
      </c>
      <c r="C3229" t="inlineStr">
        <is>
          <t>12:32</t>
        </is>
      </c>
      <c r="D3229" t="inlineStr">
        <is>
          <t>n° 6 + n° 7</t>
        </is>
      </c>
      <c r="E3229" t="inlineStr">
        <is>
          <t>Crêpe Confiture</t>
        </is>
      </c>
      <c r="F3229" t="n">
        <v>5.4</v>
      </c>
      <c r="G3229" t="inlineStr">
        <is>
          <t>n° 6 : 0,50 + n° 7 : 0,50</t>
        </is>
      </c>
      <c r="H3229" t="n">
        <v>1</v>
      </c>
    </row>
    <row r="3230">
      <c r="A3230" t="inlineStr">
        <is>
          <t>2023-2024</t>
        </is>
      </c>
      <c r="B3230" t="inlineStr">
        <is>
          <t>2023-12-28</t>
        </is>
      </c>
      <c r="C3230" t="inlineStr">
        <is>
          <t>19:05</t>
        </is>
      </c>
      <c r="D3230" t="inlineStr">
        <is>
          <t>n° 10 + n° 11</t>
        </is>
      </c>
      <c r="E3230" t="inlineStr">
        <is>
          <t>FANTA</t>
        </is>
      </c>
      <c r="F3230" t="n">
        <v>3.9</v>
      </c>
      <c r="G3230" t="inlineStr">
        <is>
          <t>n° 10 : 0,50 + n° 11 : 0,50</t>
        </is>
      </c>
      <c r="H3230" t="n">
        <v>1</v>
      </c>
    </row>
    <row r="3231">
      <c r="A3231" t="inlineStr">
        <is>
          <t>2023-2024</t>
        </is>
      </c>
      <c r="B3231" t="inlineStr">
        <is>
          <t>2023-12-28</t>
        </is>
      </c>
      <c r="C3231" t="inlineStr">
        <is>
          <t>19:05</t>
        </is>
      </c>
      <c r="D3231" t="inlineStr">
        <is>
          <t>n° 10 + n° 11</t>
        </is>
      </c>
      <c r="E3231" t="inlineStr">
        <is>
          <t>Galette nature</t>
        </is>
      </c>
      <c r="F3231" t="n">
        <v>3.9</v>
      </c>
      <c r="G3231" t="inlineStr">
        <is>
          <t>n° 10 : 0,50 + n° 11 : 0,50</t>
        </is>
      </c>
      <c r="H3231" t="n">
        <v>1</v>
      </c>
    </row>
    <row r="3232">
      <c r="A3232" t="inlineStr">
        <is>
          <t>2023-2024</t>
        </is>
      </c>
      <c r="B3232" t="inlineStr">
        <is>
          <t>2023-12-28</t>
        </is>
      </c>
      <c r="C3232" t="inlineStr">
        <is>
          <t>19:05</t>
        </is>
      </c>
      <c r="D3232" t="inlineStr">
        <is>
          <t>n° 10 + n° 11</t>
        </is>
      </c>
      <c r="E3232" t="inlineStr">
        <is>
          <t>Bacon</t>
        </is>
      </c>
      <c r="F3232" t="n">
        <v>3.3</v>
      </c>
      <c r="G3232" t="inlineStr">
        <is>
          <t>n° 10 : 0,50 + n° 11 : 0,50</t>
        </is>
      </c>
      <c r="H3232" t="n">
        <v>1</v>
      </c>
    </row>
    <row r="3233">
      <c r="A3233" t="inlineStr">
        <is>
          <t>2023-2024</t>
        </is>
      </c>
      <c r="B3233" t="inlineStr">
        <is>
          <t>2023-12-28</t>
        </is>
      </c>
      <c r="C3233" t="inlineStr">
        <is>
          <t>19:05</t>
        </is>
      </c>
      <c r="D3233" t="inlineStr">
        <is>
          <t>n° 10 + n° 11</t>
        </is>
      </c>
      <c r="E3233" t="inlineStr">
        <is>
          <t>Sirop à l'eau</t>
        </is>
      </c>
      <c r="F3233" t="n">
        <v>2.2</v>
      </c>
      <c r="G3233" t="inlineStr">
        <is>
          <t>n° 10 : 0,50 + n° 11 : 0,50</t>
        </is>
      </c>
      <c r="H3233" t="n">
        <v>1</v>
      </c>
    </row>
    <row r="3234">
      <c r="A3234" t="inlineStr">
        <is>
          <t>2023-2024</t>
        </is>
      </c>
      <c r="B3234" t="inlineStr">
        <is>
          <t>2023-12-28</t>
        </is>
      </c>
      <c r="C3234" t="inlineStr">
        <is>
          <t>19:05</t>
        </is>
      </c>
      <c r="D3234" t="inlineStr">
        <is>
          <t>n° 10 + n° 11</t>
        </is>
      </c>
      <c r="E3234" t="inlineStr">
        <is>
          <t>Noix</t>
        </is>
      </c>
      <c r="F3234" t="n">
        <v>1.4</v>
      </c>
      <c r="G3234" t="inlineStr">
        <is>
          <t>n° 10 : 0,50 + n° 11 : 0,50</t>
        </is>
      </c>
      <c r="H3234" t="n">
        <v>1</v>
      </c>
    </row>
    <row r="3235">
      <c r="A3235" t="inlineStr">
        <is>
          <t>2023-2024</t>
        </is>
      </c>
      <c r="B3235" t="inlineStr">
        <is>
          <t>2023-12-28</t>
        </is>
      </c>
      <c r="C3235" t="inlineStr">
        <is>
          <t>19:05</t>
        </is>
      </c>
      <c r="D3235" t="inlineStr">
        <is>
          <t>n° 10 + n° 11</t>
        </is>
      </c>
      <c r="E3235" t="inlineStr">
        <is>
          <t>Œuf</t>
        </is>
      </c>
      <c r="F3235" t="n">
        <v>0.9</v>
      </c>
      <c r="G3235" t="inlineStr">
        <is>
          <t>n° 10 : 0,50 + n° 11 : 0,50</t>
        </is>
      </c>
      <c r="H3235" t="n">
        <v>1</v>
      </c>
    </row>
    <row r="3236">
      <c r="A3236" t="inlineStr">
        <is>
          <t>2023-2024</t>
        </is>
      </c>
      <c r="B3236" t="inlineStr">
        <is>
          <t>2023-12-28</t>
        </is>
      </c>
      <c r="C3236" t="inlineStr">
        <is>
          <t>19:43</t>
        </is>
      </c>
      <c r="D3236" t="inlineStr">
        <is>
          <t>n° 13 + n° 14</t>
        </is>
      </c>
      <c r="E3236" t="inlineStr">
        <is>
          <t>POULET JURASSIENNE</t>
        </is>
      </c>
      <c r="F3236" t="n">
        <v>18.6</v>
      </c>
      <c r="G3236" t="inlineStr">
        <is>
          <t>n° 13 : 0,50 + n° 14 : 0,50</t>
        </is>
      </c>
      <c r="H3236" t="n">
        <v>1</v>
      </c>
    </row>
    <row r="3237">
      <c r="A3237" t="inlineStr">
        <is>
          <t>2023-2024</t>
        </is>
      </c>
      <c r="B3237" t="inlineStr">
        <is>
          <t>2023-12-28</t>
        </is>
      </c>
      <c r="C3237" t="inlineStr">
        <is>
          <t>19:43</t>
        </is>
      </c>
      <c r="D3237" t="inlineStr">
        <is>
          <t>n° 13 + n° 14</t>
        </is>
      </c>
      <c r="E3237" t="inlineStr">
        <is>
          <t>CAMEMBERT ROTI</t>
        </is>
      </c>
      <c r="F3237" t="n">
        <v>18.6</v>
      </c>
      <c r="G3237" t="inlineStr">
        <is>
          <t>n° 13 : 0,50 + n° 14 : 0,50</t>
        </is>
      </c>
      <c r="H3237" t="n">
        <v>1</v>
      </c>
    </row>
    <row r="3238">
      <c r="A3238" t="inlineStr">
        <is>
          <t>2023-2024</t>
        </is>
      </c>
      <c r="B3238" t="inlineStr">
        <is>
          <t>2023-12-28</t>
        </is>
      </c>
      <c r="C3238" t="inlineStr">
        <is>
          <t>19:43</t>
        </is>
      </c>
      <c r="D3238" t="inlineStr">
        <is>
          <t>n° 13 + n° 14</t>
        </is>
      </c>
      <c r="E3238" t="inlineStr">
        <is>
          <t>Rabasse</t>
        </is>
      </c>
      <c r="F3238" t="n">
        <v>9</v>
      </c>
      <c r="G3238" t="inlineStr">
        <is>
          <t>n° 13 : 0,50 + n° 14 : 0,50</t>
        </is>
      </c>
      <c r="H3238" t="n">
        <v>1</v>
      </c>
    </row>
    <row r="3239">
      <c r="A3239" t="inlineStr">
        <is>
          <t>2023-2024</t>
        </is>
      </c>
      <c r="B3239" t="inlineStr">
        <is>
          <t>2023-12-28</t>
        </is>
      </c>
      <c r="C3239" t="inlineStr">
        <is>
          <t>19:43</t>
        </is>
      </c>
      <c r="D3239" t="inlineStr">
        <is>
          <t>n° 13 + n° 14</t>
        </is>
      </c>
      <c r="E3239" t="inlineStr">
        <is>
          <t>CREME BRULEE</t>
        </is>
      </c>
      <c r="F3239" t="n">
        <v>7.9</v>
      </c>
      <c r="G3239" t="inlineStr">
        <is>
          <t>n° 13 : 0,50 + n° 14 : 0,50</t>
        </is>
      </c>
      <c r="H3239" t="n">
        <v>1</v>
      </c>
    </row>
    <row r="3240">
      <c r="A3240" t="inlineStr">
        <is>
          <t>2023-2024</t>
        </is>
      </c>
      <c r="B3240" t="inlineStr">
        <is>
          <t>2023-12-28</t>
        </is>
      </c>
      <c r="C3240" t="inlineStr">
        <is>
          <t>19:43</t>
        </is>
      </c>
      <c r="D3240" t="inlineStr">
        <is>
          <t>n° 13 + n° 14</t>
        </is>
      </c>
      <c r="E3240" t="inlineStr">
        <is>
          <t>Arbois Trousseau Le</t>
        </is>
      </c>
      <c r="F3240" t="n">
        <v>7.2</v>
      </c>
      <c r="G3240" t="inlineStr">
        <is>
          <t>n° 13 : 0,50 + n° 14 : 0,50</t>
        </is>
      </c>
      <c r="H3240" t="n">
        <v>1</v>
      </c>
    </row>
    <row r="3241">
      <c r="A3241" t="inlineStr">
        <is>
          <t>2023-2024</t>
        </is>
      </c>
      <c r="B3241" t="inlineStr">
        <is>
          <t>2023-12-28</t>
        </is>
      </c>
      <c r="C3241" t="inlineStr">
        <is>
          <t>19:43</t>
        </is>
      </c>
      <c r="D3241" t="inlineStr">
        <is>
          <t>n° 13 + n° 14</t>
        </is>
      </c>
      <c r="E3241" t="inlineStr">
        <is>
          <t>Père Gregoire</t>
        </is>
      </c>
      <c r="F3241" t="n">
        <v>5.9</v>
      </c>
      <c r="G3241" t="inlineStr">
        <is>
          <t>n° 13 : 0,50 + n° 14 : 0,50</t>
        </is>
      </c>
      <c r="H3241" t="n">
        <v>1</v>
      </c>
    </row>
    <row r="3242">
      <c r="A3242" t="inlineStr">
        <is>
          <t>2023-2024</t>
        </is>
      </c>
      <c r="B3242" t="inlineStr">
        <is>
          <t>2023-12-28</t>
        </is>
      </c>
      <c r="C3242" t="inlineStr">
        <is>
          <t>19:43</t>
        </is>
      </c>
      <c r="D3242" t="inlineStr">
        <is>
          <t>n° 13 + n° 14</t>
        </is>
      </c>
      <c r="E3242" t="inlineStr">
        <is>
          <t>GLACE 2 BOULES</t>
        </is>
      </c>
      <c r="F3242" t="n">
        <v>5.5</v>
      </c>
      <c r="G3242" t="inlineStr">
        <is>
          <t>n° 13 : 0,50 + n° 14 : 0,50</t>
        </is>
      </c>
      <c r="H3242" t="n">
        <v>1</v>
      </c>
    </row>
    <row r="3243">
      <c r="A3243" t="inlineStr">
        <is>
          <t>2023-2024</t>
        </is>
      </c>
      <c r="B3243" t="inlineStr">
        <is>
          <t>2023-12-28</t>
        </is>
      </c>
      <c r="C3243" t="inlineStr">
        <is>
          <t>19:43</t>
        </is>
      </c>
      <c r="D3243" t="inlineStr">
        <is>
          <t>n° 13 + n° 14</t>
        </is>
      </c>
      <c r="E3243" t="inlineStr">
        <is>
          <t>SAUCE CHOCO/CAFE/CAR</t>
        </is>
      </c>
      <c r="F3243" t="n">
        <v>2.4</v>
      </c>
      <c r="G3243" t="inlineStr">
        <is>
          <t>n° 13 : 0,50 + n° 14 : 0,50</t>
        </is>
      </c>
      <c r="H3243" t="n">
        <v>1</v>
      </c>
    </row>
    <row r="3244">
      <c r="A3244" t="inlineStr">
        <is>
          <t>2023-2024</t>
        </is>
      </c>
      <c r="B3244" t="inlineStr">
        <is>
          <t>2023-12-28</t>
        </is>
      </c>
      <c r="C3244" t="inlineStr">
        <is>
          <t>19:43</t>
        </is>
      </c>
      <c r="D3244" t="inlineStr">
        <is>
          <t>n° 13 + n° 14</t>
        </is>
      </c>
      <c r="E3244" t="inlineStr">
        <is>
          <t>Chantilly</t>
        </is>
      </c>
      <c r="F3244" t="n">
        <v>2</v>
      </c>
      <c r="G3244" t="inlineStr">
        <is>
          <t>n° 13 : 0,50 + n° 14 : 0,50</t>
        </is>
      </c>
      <c r="H3244" t="n">
        <v>1</v>
      </c>
    </row>
    <row r="3245">
      <c r="A3245" t="inlineStr">
        <is>
          <t>2023-2024</t>
        </is>
      </c>
      <c r="B3245" t="inlineStr">
        <is>
          <t>2023-12-29</t>
        </is>
      </c>
      <c r="C3245" t="inlineStr">
        <is>
          <t>12:30</t>
        </is>
      </c>
      <c r="D3245" t="inlineStr">
        <is>
          <t>n° 8 + n° 9</t>
        </is>
      </c>
      <c r="E3245" t="inlineStr">
        <is>
          <t>H.C.DE BEAUNE  VERRE</t>
        </is>
      </c>
      <c r="F3245" t="n">
        <v>9.5</v>
      </c>
      <c r="G3245" t="inlineStr">
        <is>
          <t>n° 8 : 0,50 + n° 9 : 0,50</t>
        </is>
      </c>
      <c r="H3245" t="n">
        <v>1</v>
      </c>
    </row>
    <row r="3246">
      <c r="A3246" t="inlineStr">
        <is>
          <t>2023-2024</t>
        </is>
      </c>
      <c r="B3246" t="inlineStr">
        <is>
          <t>2023-12-29</t>
        </is>
      </c>
      <c r="C3246" t="inlineStr">
        <is>
          <t>12:30</t>
        </is>
      </c>
      <c r="D3246" t="inlineStr">
        <is>
          <t>n° 8 + n° 9</t>
        </is>
      </c>
      <c r="E3246" t="inlineStr">
        <is>
          <t>Assortiment charcute</t>
        </is>
      </c>
      <c r="F3246" t="n">
        <v>8.9</v>
      </c>
      <c r="G3246" t="inlineStr">
        <is>
          <t>n° 8 : 0,50 + n° 9 : 0,50</t>
        </is>
      </c>
      <c r="H3246" t="n">
        <v>1</v>
      </c>
    </row>
    <row r="3247">
      <c r="A3247" t="inlineStr">
        <is>
          <t>2023-2024</t>
        </is>
      </c>
      <c r="B3247" t="inlineStr">
        <is>
          <t>2023-12-29</t>
        </is>
      </c>
      <c r="C3247" t="inlineStr">
        <is>
          <t>12:30</t>
        </is>
      </c>
      <c r="D3247" t="inlineStr">
        <is>
          <t>n° 8 + n° 9</t>
        </is>
      </c>
      <c r="E3247" t="inlineStr">
        <is>
          <t>Saucisse de Morteau</t>
        </is>
      </c>
      <c r="F3247" t="n">
        <v>8.9</v>
      </c>
      <c r="G3247" t="inlineStr">
        <is>
          <t>n° 8 : 0,50 + n° 9 : 0,50</t>
        </is>
      </c>
      <c r="H3247" t="n">
        <v>1</v>
      </c>
    </row>
    <row r="3248">
      <c r="A3248" t="inlineStr">
        <is>
          <t>2023-2024</t>
        </is>
      </c>
      <c r="B3248" t="inlineStr">
        <is>
          <t>2023-12-29</t>
        </is>
      </c>
      <c r="C3248" t="inlineStr">
        <is>
          <t>12:30</t>
        </is>
      </c>
      <c r="D3248" t="inlineStr">
        <is>
          <t>n° 8 + n° 9</t>
        </is>
      </c>
      <c r="E3248" t="inlineStr">
        <is>
          <t>Pontarlier</t>
        </is>
      </c>
      <c r="F3248" t="n">
        <v>4.2</v>
      </c>
      <c r="G3248" t="inlineStr">
        <is>
          <t>n° 8 : 0,50 + n° 9 : 0,50</t>
        </is>
      </c>
      <c r="H3248" t="n">
        <v>1</v>
      </c>
    </row>
    <row r="3249">
      <c r="A3249" t="inlineStr">
        <is>
          <t>2023-2024</t>
        </is>
      </c>
      <c r="B3249" t="inlineStr">
        <is>
          <t>2023-12-30</t>
        </is>
      </c>
      <c r="C3249" t="inlineStr">
        <is>
          <t>13:23</t>
        </is>
      </c>
      <c r="D3249" t="inlineStr">
        <is>
          <t>n° 12 + n° 13</t>
        </is>
      </c>
      <c r="E3249" t="inlineStr">
        <is>
          <t>MACHON GOURMET</t>
        </is>
      </c>
      <c r="F3249" t="n">
        <v>25</v>
      </c>
      <c r="G3249" t="inlineStr">
        <is>
          <t>n° 12 : 0,50 + n° 13 : 0,50</t>
        </is>
      </c>
      <c r="H3249" t="n">
        <v>1</v>
      </c>
    </row>
    <row r="3250">
      <c r="A3250" t="inlineStr">
        <is>
          <t>2023-2024</t>
        </is>
      </c>
      <c r="B3250" t="inlineStr">
        <is>
          <t>2023-12-30</t>
        </is>
      </c>
      <c r="C3250" t="inlineStr">
        <is>
          <t>13:23</t>
        </is>
      </c>
      <c r="D3250" t="inlineStr">
        <is>
          <t>n° 12 + n° 13</t>
        </is>
      </c>
      <c r="E3250" t="inlineStr">
        <is>
          <t>TRUITE JURASSIENNE</t>
        </is>
      </c>
      <c r="F3250" t="n">
        <v>18.6</v>
      </c>
      <c r="G3250" t="inlineStr">
        <is>
          <t>n° 12 : 0,50 + n° 13 : 0,50</t>
        </is>
      </c>
      <c r="H3250" t="n">
        <v>1</v>
      </c>
    </row>
    <row r="3251">
      <c r="A3251" t="inlineStr">
        <is>
          <t>2023-2024</t>
        </is>
      </c>
      <c r="B3251" t="inlineStr">
        <is>
          <t>2023-12-30</t>
        </is>
      </c>
      <c r="C3251" t="inlineStr">
        <is>
          <t>13:23</t>
        </is>
      </c>
      <c r="D3251" t="inlineStr">
        <is>
          <t>n° 12 + n° 13</t>
        </is>
      </c>
      <c r="E3251" t="inlineStr">
        <is>
          <t>Pavlova</t>
        </is>
      </c>
      <c r="F3251" t="n">
        <v>8.9</v>
      </c>
      <c r="G3251" t="inlineStr">
        <is>
          <t>n° 12 : 0,50 + n° 13 : 0,50</t>
        </is>
      </c>
      <c r="H3251" t="n">
        <v>1</v>
      </c>
    </row>
    <row r="3252">
      <c r="A3252" t="inlineStr">
        <is>
          <t>2023-2024</t>
        </is>
      </c>
      <c r="B3252" t="inlineStr">
        <is>
          <t>2023-12-30</t>
        </is>
      </c>
      <c r="C3252" t="inlineStr">
        <is>
          <t>13:23</t>
        </is>
      </c>
      <c r="D3252" t="inlineStr">
        <is>
          <t>n° 12 + n° 13</t>
        </is>
      </c>
      <c r="E3252" t="inlineStr">
        <is>
          <t>VIN PAILLE</t>
        </is>
      </c>
      <c r="F3252" t="n">
        <v>6.9</v>
      </c>
      <c r="G3252" t="inlineStr">
        <is>
          <t>n° 12 : 0,50 + n° 13 : 0,50</t>
        </is>
      </c>
      <c r="H3252" t="n">
        <v>1</v>
      </c>
    </row>
    <row r="3253">
      <c r="A3253" t="inlineStr">
        <is>
          <t>2023-2024</t>
        </is>
      </c>
      <c r="B3253" t="inlineStr">
        <is>
          <t>2023-12-30</t>
        </is>
      </c>
      <c r="C3253" t="inlineStr">
        <is>
          <t>13:23</t>
        </is>
      </c>
      <c r="D3253" t="inlineStr">
        <is>
          <t>n° 12 + n° 13</t>
        </is>
      </c>
      <c r="E3253" t="inlineStr">
        <is>
          <t>MACON VERRE</t>
        </is>
      </c>
      <c r="F3253" t="n">
        <v>6.3</v>
      </c>
      <c r="G3253" t="inlineStr">
        <is>
          <t>n° 12 : 0,50 + n° 13 : 0,50</t>
        </is>
      </c>
      <c r="H3253" t="n">
        <v>1</v>
      </c>
    </row>
    <row r="3254">
      <c r="A3254" t="inlineStr">
        <is>
          <t>2023-2024</t>
        </is>
      </c>
      <c r="B3254" t="inlineStr">
        <is>
          <t>2023-12-30</t>
        </is>
      </c>
      <c r="C3254" t="inlineStr">
        <is>
          <t>13:23</t>
        </is>
      </c>
      <c r="D3254" t="inlineStr">
        <is>
          <t>n° 12 + n° 13</t>
        </is>
      </c>
      <c r="E3254" t="inlineStr">
        <is>
          <t>GLACE 2 BOULES</t>
        </is>
      </c>
      <c r="F3254" t="n">
        <v>5.5</v>
      </c>
      <c r="G3254" t="inlineStr">
        <is>
          <t>n° 12 : 0,50 + n° 13 : 0,50</t>
        </is>
      </c>
      <c r="H3254" t="n">
        <v>1</v>
      </c>
    </row>
    <row r="3255">
      <c r="A3255" t="inlineStr">
        <is>
          <t>2023-2024</t>
        </is>
      </c>
      <c r="B3255" t="inlineStr">
        <is>
          <t>2023-12-30</t>
        </is>
      </c>
      <c r="C3255" t="inlineStr">
        <is>
          <t>13:23</t>
        </is>
      </c>
      <c r="D3255" t="inlineStr">
        <is>
          <t>n° 12 + n° 13</t>
        </is>
      </c>
      <c r="E3255" t="inlineStr">
        <is>
          <t>Expresso</t>
        </is>
      </c>
      <c r="F3255" t="n">
        <v>2.2</v>
      </c>
      <c r="G3255" t="inlineStr">
        <is>
          <t>n° 12 : 0,50 + n° 13 : 0,50</t>
        </is>
      </c>
      <c r="H3255" t="n">
        <v>1</v>
      </c>
    </row>
    <row r="3256">
      <c r="A3256" t="inlineStr">
        <is>
          <t>2023-2024</t>
        </is>
      </c>
      <c r="B3256" t="inlineStr">
        <is>
          <t>2023-12-31</t>
        </is>
      </c>
      <c r="C3256" t="inlineStr">
        <is>
          <t>21:18</t>
        </is>
      </c>
      <c r="D3256" t="inlineStr">
        <is>
          <t>n° 19 + n° 20</t>
        </is>
      </c>
      <c r="E3256" t="inlineStr">
        <is>
          <t>NOIRAUD</t>
        </is>
      </c>
      <c r="F3256" t="n">
        <v>7.9</v>
      </c>
      <c r="G3256" t="inlineStr">
        <is>
          <t>n° 19 : 0,50 + n° 20 : 0,50</t>
        </is>
      </c>
      <c r="H3256" t="n">
        <v>1</v>
      </c>
    </row>
    <row r="3257">
      <c r="A3257" t="inlineStr">
        <is>
          <t>2023-2024</t>
        </is>
      </c>
      <c r="B3257" t="inlineStr">
        <is>
          <t>2023-12-31</t>
        </is>
      </c>
      <c r="C3257" t="inlineStr">
        <is>
          <t>21:18</t>
        </is>
      </c>
      <c r="D3257" t="inlineStr">
        <is>
          <t>n° 19 + n° 20</t>
        </is>
      </c>
      <c r="E3257" t="inlineStr">
        <is>
          <t>San Pelegrino</t>
        </is>
      </c>
      <c r="F3257" t="n">
        <v>5.9</v>
      </c>
      <c r="G3257" t="inlineStr">
        <is>
          <t>n° 19 : 0,50 + n° 20 : 0,50</t>
        </is>
      </c>
      <c r="H3257" t="n">
        <v>1</v>
      </c>
    </row>
    <row r="3258">
      <c r="A3258" t="inlineStr">
        <is>
          <t>2023-2024</t>
        </is>
      </c>
      <c r="B3258" t="inlineStr">
        <is>
          <t>2023-12-31</t>
        </is>
      </c>
      <c r="C3258" t="inlineStr">
        <is>
          <t>21:18</t>
        </is>
      </c>
      <c r="D3258" t="inlineStr">
        <is>
          <t>n° 19 + n° 20</t>
        </is>
      </c>
      <c r="E3258" t="inlineStr">
        <is>
          <t>GLACE 2 BOULES</t>
        </is>
      </c>
      <c r="F3258" t="n">
        <v>5.5</v>
      </c>
      <c r="G3258" t="inlineStr">
        <is>
          <t>n° 19 : 0,50 + n° 20 : 0,50</t>
        </is>
      </c>
      <c r="H3258" t="n">
        <v>1</v>
      </c>
    </row>
    <row r="3259">
      <c r="A3259" t="inlineStr">
        <is>
          <t>2023-2024</t>
        </is>
      </c>
      <c r="B3259" t="inlineStr">
        <is>
          <t>2023-12-31</t>
        </is>
      </c>
      <c r="C3259" t="inlineStr">
        <is>
          <t>21:54</t>
        </is>
      </c>
      <c r="D3259" t="inlineStr">
        <is>
          <t>n° 22 + n° 23</t>
        </is>
      </c>
      <c r="E3259" t="inlineStr">
        <is>
          <t>ENTRECOTE MORILLES</t>
        </is>
      </c>
      <c r="F3259" t="n">
        <v>34.8</v>
      </c>
      <c r="G3259" t="inlineStr">
        <is>
          <t>n° 22 : 0,50 + n° 23 : 0,50</t>
        </is>
      </c>
      <c r="H3259" t="n">
        <v>1</v>
      </c>
    </row>
    <row r="3260">
      <c r="A3260" t="inlineStr">
        <is>
          <t>2023-2024</t>
        </is>
      </c>
      <c r="B3260" t="inlineStr">
        <is>
          <t>2023-12-31</t>
        </is>
      </c>
      <c r="C3260" t="inlineStr">
        <is>
          <t>21:54</t>
        </is>
      </c>
      <c r="D3260" t="inlineStr">
        <is>
          <t>n° 22 + n° 23</t>
        </is>
      </c>
      <c r="E3260" t="inlineStr">
        <is>
          <t>DOMAINE LE PIVE</t>
        </is>
      </c>
      <c r="F3260" t="n">
        <v>29</v>
      </c>
      <c r="G3260" t="inlineStr">
        <is>
          <t>n° 22 : 0,50 + n° 23 : 0,50</t>
        </is>
      </c>
      <c r="H3260" t="n">
        <v>1</v>
      </c>
    </row>
    <row r="3261">
      <c r="A3261" t="inlineStr">
        <is>
          <t>2023-2024</t>
        </is>
      </c>
      <c r="B3261" t="inlineStr">
        <is>
          <t>2023-12-31</t>
        </is>
      </c>
      <c r="C3261" t="inlineStr">
        <is>
          <t>21:54</t>
        </is>
      </c>
      <c r="D3261" t="inlineStr">
        <is>
          <t>n° 22 + n° 23</t>
        </is>
      </c>
      <c r="E3261" t="inlineStr">
        <is>
          <t>TRUITE PESTO</t>
        </is>
      </c>
      <c r="F3261" t="n">
        <v>16.9</v>
      </c>
      <c r="G3261" t="inlineStr">
        <is>
          <t>n° 22 : 0,50 + n° 23 : 0,50</t>
        </is>
      </c>
      <c r="H3261" t="n">
        <v>1</v>
      </c>
    </row>
    <row r="3262">
      <c r="A3262" t="inlineStr">
        <is>
          <t>2023-2024</t>
        </is>
      </c>
      <c r="B3262" t="inlineStr">
        <is>
          <t>2023-12-31</t>
        </is>
      </c>
      <c r="C3262" t="inlineStr">
        <is>
          <t>21:54</t>
        </is>
      </c>
      <c r="D3262" t="inlineStr">
        <is>
          <t>n° 22 + n° 23</t>
        </is>
      </c>
      <c r="E3262" t="inlineStr">
        <is>
          <t>Chèvre  chaud</t>
        </is>
      </c>
      <c r="F3262" t="n">
        <v>9.6</v>
      </c>
      <c r="G3262" t="inlineStr">
        <is>
          <t>n° 22 : 0,50 + n° 23 : 0,50</t>
        </is>
      </c>
      <c r="H3262" t="n">
        <v>1</v>
      </c>
    </row>
    <row r="3263">
      <c r="A3263" t="inlineStr">
        <is>
          <t>2023-2024</t>
        </is>
      </c>
      <c r="B3263" t="inlineStr">
        <is>
          <t>2023-12-31</t>
        </is>
      </c>
      <c r="C3263" t="inlineStr">
        <is>
          <t>21:54</t>
        </is>
      </c>
      <c r="D3263" t="inlineStr">
        <is>
          <t>n° 22 + n° 23</t>
        </is>
      </c>
      <c r="E3263" t="inlineStr">
        <is>
          <t>Baba</t>
        </is>
      </c>
      <c r="F3263" t="n">
        <v>8.9</v>
      </c>
      <c r="G3263" t="inlineStr">
        <is>
          <t>n° 22 : 0,50 + n° 23 : 0,50</t>
        </is>
      </c>
      <c r="H3263" t="n">
        <v>1</v>
      </c>
    </row>
    <row r="3264">
      <c r="A3264" t="inlineStr">
        <is>
          <t>2023-2024</t>
        </is>
      </c>
      <c r="B3264" t="inlineStr">
        <is>
          <t>2023-12-31</t>
        </is>
      </c>
      <c r="C3264" t="inlineStr">
        <is>
          <t>21:54</t>
        </is>
      </c>
      <c r="D3264" t="inlineStr">
        <is>
          <t>n° 22 + n° 23</t>
        </is>
      </c>
      <c r="E3264" t="inlineStr">
        <is>
          <t>bluette</t>
        </is>
      </c>
      <c r="F3264" t="n">
        <v>7.9</v>
      </c>
      <c r="G3264" t="inlineStr">
        <is>
          <t>n° 22 : 0,50 + n° 23 : 0,50</t>
        </is>
      </c>
      <c r="H3264" t="n">
        <v>1</v>
      </c>
    </row>
    <row r="3265">
      <c r="A3265" t="inlineStr">
        <is>
          <t>2023-2024</t>
        </is>
      </c>
      <c r="B3265" t="inlineStr">
        <is>
          <t>2023-12-31</t>
        </is>
      </c>
      <c r="C3265" t="inlineStr">
        <is>
          <t>21:54</t>
        </is>
      </c>
      <c r="D3265" t="inlineStr">
        <is>
          <t>n° 22 + n° 23</t>
        </is>
      </c>
      <c r="E3265" t="inlineStr">
        <is>
          <t>Salade Verte aux Noi</t>
        </is>
      </c>
      <c r="F3265" t="n">
        <v>5.9</v>
      </c>
      <c r="G3265" t="inlineStr">
        <is>
          <t>n° 22 : 0,50 + n° 23 : 0,50</t>
        </is>
      </c>
      <c r="H3265" t="n">
        <v>1</v>
      </c>
    </row>
    <row r="3266">
      <c r="A3266" t="inlineStr">
        <is>
          <t>2023-2024</t>
        </is>
      </c>
      <c r="B3266" t="inlineStr">
        <is>
          <t>2024-01-03</t>
        </is>
      </c>
      <c r="C3266" t="inlineStr">
        <is>
          <t>19:29</t>
        </is>
      </c>
      <c r="D3266" t="inlineStr">
        <is>
          <t>n° 11 + n° 12</t>
        </is>
      </c>
      <c r="E3266" t="inlineStr">
        <is>
          <t>Entrecôte grillée</t>
        </is>
      </c>
      <c r="F3266" t="n">
        <v>19.9</v>
      </c>
      <c r="G3266" t="inlineStr">
        <is>
          <t>n° 11 : 0,50 + n° 12 : 0,50</t>
        </is>
      </c>
      <c r="H3266" t="n">
        <v>1</v>
      </c>
    </row>
    <row r="3267">
      <c r="A3267" t="inlineStr">
        <is>
          <t>2023-2024</t>
        </is>
      </c>
      <c r="B3267" t="inlineStr">
        <is>
          <t>2024-01-03</t>
        </is>
      </c>
      <c r="C3267" t="inlineStr">
        <is>
          <t>19:29</t>
        </is>
      </c>
      <c r="D3267" t="inlineStr">
        <is>
          <t>n° 11 + n° 12</t>
        </is>
      </c>
      <c r="E3267" t="inlineStr">
        <is>
          <t>BURGER COMTOIS</t>
        </is>
      </c>
      <c r="F3267" t="n">
        <v>19</v>
      </c>
      <c r="G3267" t="inlineStr">
        <is>
          <t>n° 11 : 0,50 + n° 12 : 0,50</t>
        </is>
      </c>
      <c r="H3267" t="n">
        <v>1</v>
      </c>
    </row>
    <row r="3268">
      <c r="A3268" t="inlineStr">
        <is>
          <t>2023-2024</t>
        </is>
      </c>
      <c r="B3268" t="inlineStr">
        <is>
          <t>2024-01-03</t>
        </is>
      </c>
      <c r="C3268" t="inlineStr">
        <is>
          <t>19:29</t>
        </is>
      </c>
      <c r="D3268" t="inlineStr">
        <is>
          <t>n° 11 + n° 12</t>
        </is>
      </c>
      <c r="E3268" t="inlineStr">
        <is>
          <t>Menu Bambin</t>
        </is>
      </c>
      <c r="F3268" t="n">
        <v>6.9</v>
      </c>
      <c r="G3268" t="inlineStr">
        <is>
          <t>n° 11 : 0,50 + n° 12 : 0,50</t>
        </is>
      </c>
      <c r="H3268" t="n">
        <v>1</v>
      </c>
    </row>
    <row r="3269">
      <c r="A3269" t="inlineStr">
        <is>
          <t>2023-2024</t>
        </is>
      </c>
      <c r="B3269" t="inlineStr">
        <is>
          <t>2024-01-03</t>
        </is>
      </c>
      <c r="C3269" t="inlineStr">
        <is>
          <t>20:43</t>
        </is>
      </c>
      <c r="D3269" t="inlineStr">
        <is>
          <t>n° 18 + n° 19</t>
        </is>
      </c>
      <c r="E3269" t="inlineStr">
        <is>
          <t>MACHON GOURMET</t>
        </is>
      </c>
      <c r="F3269" t="n">
        <v>25</v>
      </c>
      <c r="G3269" t="inlineStr">
        <is>
          <t>n° 18 : 0,50 + n° 19 : 0,50</t>
        </is>
      </c>
      <c r="H3269" t="n">
        <v>1</v>
      </c>
    </row>
    <row r="3270">
      <c r="A3270" t="inlineStr">
        <is>
          <t>2023-2024</t>
        </is>
      </c>
      <c r="B3270" t="inlineStr">
        <is>
          <t>2024-01-03</t>
        </is>
      </c>
      <c r="C3270" t="inlineStr">
        <is>
          <t>20:43</t>
        </is>
      </c>
      <c r="D3270" t="inlineStr">
        <is>
          <t>n° 18 + n° 19</t>
        </is>
      </c>
      <c r="E3270" t="inlineStr">
        <is>
          <t>BURGER COMTOIS</t>
        </is>
      </c>
      <c r="F3270" t="n">
        <v>19</v>
      </c>
      <c r="G3270" t="inlineStr">
        <is>
          <t>n° 18 : 0,50 + n° 19 : 0,50</t>
        </is>
      </c>
      <c r="H3270" t="n">
        <v>1</v>
      </c>
    </row>
    <row r="3271">
      <c r="A3271" t="inlineStr">
        <is>
          <t>2023-2024</t>
        </is>
      </c>
      <c r="B3271" t="inlineStr">
        <is>
          <t>2024-01-03</t>
        </is>
      </c>
      <c r="C3271" t="inlineStr">
        <is>
          <t>20:43</t>
        </is>
      </c>
      <c r="D3271" t="inlineStr">
        <is>
          <t>n° 18 + n° 19</t>
        </is>
      </c>
      <c r="E3271" t="inlineStr">
        <is>
          <t>Arbois Trousseau Le</t>
        </is>
      </c>
      <c r="F3271" t="n">
        <v>7.2</v>
      </c>
      <c r="G3271" t="inlineStr">
        <is>
          <t>n° 18 : 0,50 + n° 19 : 0,50</t>
        </is>
      </c>
      <c r="H3271" t="n">
        <v>1</v>
      </c>
    </row>
    <row r="3272">
      <c r="A3272" t="inlineStr">
        <is>
          <t>2023-2024</t>
        </is>
      </c>
      <c r="B3272" t="inlineStr">
        <is>
          <t>2024-01-03</t>
        </is>
      </c>
      <c r="C3272" t="inlineStr">
        <is>
          <t>20:43</t>
        </is>
      </c>
      <c r="D3272" t="inlineStr">
        <is>
          <t>n° 18 + n° 19</t>
        </is>
      </c>
      <c r="E3272" t="inlineStr">
        <is>
          <t>Diabolo (25cl)</t>
        </is>
      </c>
      <c r="F3272" t="n">
        <v>3.9</v>
      </c>
      <c r="G3272" t="inlineStr">
        <is>
          <t>n° 18 : 0,50 + n° 19 : 0,50</t>
        </is>
      </c>
      <c r="H3272" t="n">
        <v>1</v>
      </c>
    </row>
    <row r="3273">
      <c r="A3273" t="inlineStr">
        <is>
          <t>2023-2024</t>
        </is>
      </c>
      <c r="B3273" t="inlineStr">
        <is>
          <t>2024-01-03</t>
        </is>
      </c>
      <c r="C3273" t="inlineStr">
        <is>
          <t>20:43</t>
        </is>
      </c>
      <c r="D3273" t="inlineStr">
        <is>
          <t>n° 18 + n° 19</t>
        </is>
      </c>
      <c r="E3273" t="inlineStr">
        <is>
          <t>Expresso</t>
        </is>
      </c>
      <c r="F3273" t="n">
        <v>2.2</v>
      </c>
      <c r="G3273" t="inlineStr">
        <is>
          <t>n° 18 : 0,50 + n° 19 : 0,50</t>
        </is>
      </c>
      <c r="H3273" t="n">
        <v>1</v>
      </c>
    </row>
    <row r="3274">
      <c r="A3274" t="inlineStr">
        <is>
          <t>2023-2024</t>
        </is>
      </c>
      <c r="B3274" t="inlineStr">
        <is>
          <t>2024-01-04</t>
        </is>
      </c>
      <c r="C3274" t="inlineStr">
        <is>
          <t>12:51</t>
        </is>
      </c>
      <c r="D3274" t="inlineStr">
        <is>
          <t>n° 10 + n° 11</t>
        </is>
      </c>
      <c r="E3274" t="inlineStr">
        <is>
          <t>Schweppes</t>
        </is>
      </c>
      <c r="F3274" t="n">
        <v>3.9</v>
      </c>
      <c r="G3274" t="inlineStr">
        <is>
          <t>n° 10 : 0,50 + n° 11 : 0,50</t>
        </is>
      </c>
      <c r="H3274" t="n">
        <v>1</v>
      </c>
    </row>
    <row r="3275">
      <c r="A3275" t="inlineStr">
        <is>
          <t>2023-2024</t>
        </is>
      </c>
      <c r="B3275" t="inlineStr">
        <is>
          <t>2024-01-04</t>
        </is>
      </c>
      <c r="C3275" t="inlineStr">
        <is>
          <t>12:51</t>
        </is>
      </c>
      <c r="D3275" t="inlineStr">
        <is>
          <t>n° 10 + n° 11</t>
        </is>
      </c>
      <c r="E3275" t="inlineStr">
        <is>
          <t>Fuze Tea</t>
        </is>
      </c>
      <c r="F3275" t="n">
        <v>3.9</v>
      </c>
      <c r="G3275" t="inlineStr">
        <is>
          <t>n° 10 : 0,50 + n° 11 : 0,50</t>
        </is>
      </c>
      <c r="H3275" t="n">
        <v>1</v>
      </c>
    </row>
    <row r="3276">
      <c r="A3276" t="inlineStr">
        <is>
          <t>2023-2024</t>
        </is>
      </c>
      <c r="B3276" t="inlineStr">
        <is>
          <t>2024-01-05</t>
        </is>
      </c>
      <c r="C3276" t="inlineStr">
        <is>
          <t>12:33</t>
        </is>
      </c>
      <c r="D3276" t="inlineStr">
        <is>
          <t>n° 3 + n° 4</t>
        </is>
      </c>
      <c r="E3276" t="inlineStr">
        <is>
          <t>Truite Morilles</t>
        </is>
      </c>
      <c r="F3276" t="n">
        <v>27.8</v>
      </c>
      <c r="G3276" t="inlineStr">
        <is>
          <t>n° 3 : 0,50 + n° 4 : 0,50</t>
        </is>
      </c>
      <c r="H3276" t="n">
        <v>1</v>
      </c>
    </row>
    <row r="3277">
      <c r="A3277" t="inlineStr">
        <is>
          <t>2023-2024</t>
        </is>
      </c>
      <c r="B3277" t="inlineStr">
        <is>
          <t>2024-01-05</t>
        </is>
      </c>
      <c r="C3277" t="inlineStr">
        <is>
          <t>12:33</t>
        </is>
      </c>
      <c r="D3277" t="inlineStr">
        <is>
          <t>n° 3 + n° 4</t>
        </is>
      </c>
      <c r="E3277" t="inlineStr">
        <is>
          <t>BURGER COMTOIS</t>
        </is>
      </c>
      <c r="F3277" t="n">
        <v>19</v>
      </c>
      <c r="G3277" t="inlineStr">
        <is>
          <t>n° 3 : 0,50 + n° 4 : 0,50</t>
        </is>
      </c>
      <c r="H3277" t="n">
        <v>1</v>
      </c>
    </row>
    <row r="3278">
      <c r="A3278" t="inlineStr">
        <is>
          <t>2023-2024</t>
        </is>
      </c>
      <c r="B3278" t="inlineStr">
        <is>
          <t>2024-01-05</t>
        </is>
      </c>
      <c r="C3278" t="inlineStr">
        <is>
          <t>12:33</t>
        </is>
      </c>
      <c r="D3278" t="inlineStr">
        <is>
          <t>n° 3 + n° 4</t>
        </is>
      </c>
      <c r="E3278" t="inlineStr">
        <is>
          <t>Jambon sec</t>
        </is>
      </c>
      <c r="F3278" t="n">
        <v>8.9</v>
      </c>
      <c r="G3278" t="inlineStr">
        <is>
          <t>n° 3 : 0,50 + n° 4 : 0,50</t>
        </is>
      </c>
      <c r="H3278" t="n">
        <v>1</v>
      </c>
    </row>
    <row r="3279">
      <c r="A3279" t="inlineStr">
        <is>
          <t>2023-2024</t>
        </is>
      </c>
      <c r="B3279" t="inlineStr">
        <is>
          <t>2024-01-05</t>
        </is>
      </c>
      <c r="C3279" t="inlineStr">
        <is>
          <t>12:33</t>
        </is>
      </c>
      <c r="D3279" t="inlineStr">
        <is>
          <t>n° 3 + n° 4</t>
        </is>
      </c>
      <c r="E3279" t="inlineStr">
        <is>
          <t>Escargots de Bourgog</t>
        </is>
      </c>
      <c r="F3279" t="n">
        <v>8</v>
      </c>
      <c r="G3279" t="inlineStr">
        <is>
          <t>n° 3 : 0,50 + n° 4 : 0,50</t>
        </is>
      </c>
      <c r="H3279" t="n">
        <v>1</v>
      </c>
    </row>
    <row r="3280">
      <c r="A3280" t="inlineStr">
        <is>
          <t>2023-2024</t>
        </is>
      </c>
      <c r="B3280" t="inlineStr">
        <is>
          <t>2024-01-05</t>
        </is>
      </c>
      <c r="C3280" t="inlineStr">
        <is>
          <t>12:33</t>
        </is>
      </c>
      <c r="D3280" t="inlineStr">
        <is>
          <t>n° 3 + n° 4</t>
        </is>
      </c>
      <c r="E3280" t="inlineStr">
        <is>
          <t>Chat perché</t>
        </is>
      </c>
      <c r="F3280" t="n">
        <v>5.9</v>
      </c>
      <c r="G3280" t="inlineStr">
        <is>
          <t>n° 3 : 0,50 + n° 4 : 0,50</t>
        </is>
      </c>
      <c r="H3280" t="n">
        <v>1</v>
      </c>
    </row>
    <row r="3281">
      <c r="A3281" t="inlineStr">
        <is>
          <t>2023-2024</t>
        </is>
      </c>
      <c r="B3281" t="inlineStr">
        <is>
          <t>2024-01-05</t>
        </is>
      </c>
      <c r="C3281" t="inlineStr">
        <is>
          <t>12:33</t>
        </is>
      </c>
      <c r="D3281" t="inlineStr">
        <is>
          <t>n° 3 + n° 4</t>
        </is>
      </c>
      <c r="E3281" t="inlineStr">
        <is>
          <t>Jus de Fruit</t>
        </is>
      </c>
      <c r="F3281" t="n">
        <v>4.2</v>
      </c>
      <c r="G3281" t="inlineStr">
        <is>
          <t>n° 3 : 0,50 + n° 4 : 0,50</t>
        </is>
      </c>
      <c r="H3281" t="n">
        <v>1</v>
      </c>
    </row>
    <row r="3282">
      <c r="A3282" t="inlineStr">
        <is>
          <t>2023-2024</t>
        </is>
      </c>
      <c r="B3282" t="inlineStr">
        <is>
          <t>2024-01-05</t>
        </is>
      </c>
      <c r="C3282" t="inlineStr">
        <is>
          <t>12:33</t>
        </is>
      </c>
      <c r="D3282" t="inlineStr">
        <is>
          <t>n° 3 + n° 4</t>
        </is>
      </c>
      <c r="E3282" t="inlineStr">
        <is>
          <t>Coca (25cl)</t>
        </is>
      </c>
      <c r="F3282" t="n">
        <v>3.9</v>
      </c>
      <c r="G3282" t="inlineStr">
        <is>
          <t>n° 3 : 0,50 + n° 4 : 0,50</t>
        </is>
      </c>
      <c r="H3282" t="n">
        <v>1</v>
      </c>
    </row>
    <row r="3283">
      <c r="A3283" t="inlineStr">
        <is>
          <t>2023-2024</t>
        </is>
      </c>
      <c r="B3283" t="inlineStr">
        <is>
          <t>2024-01-05</t>
        </is>
      </c>
      <c r="C3283" t="inlineStr">
        <is>
          <t>12:33</t>
        </is>
      </c>
      <c r="D3283" t="inlineStr">
        <is>
          <t>n° 3 + n° 4</t>
        </is>
      </c>
      <c r="E3283" t="inlineStr">
        <is>
          <t>Fuze Tea</t>
        </is>
      </c>
      <c r="F3283" t="n">
        <v>3.9</v>
      </c>
      <c r="G3283" t="inlineStr">
        <is>
          <t>n° 3 : 0,50 + n° 4 : 0,50</t>
        </is>
      </c>
      <c r="H3283" t="n">
        <v>1</v>
      </c>
    </row>
    <row r="3284">
      <c r="A3284" t="inlineStr">
        <is>
          <t>2023-2024</t>
        </is>
      </c>
      <c r="B3284" t="inlineStr">
        <is>
          <t>2024-01-05</t>
        </is>
      </c>
      <c r="C3284" t="inlineStr">
        <is>
          <t>18:31</t>
        </is>
      </c>
      <c r="D3284" t="inlineStr">
        <is>
          <t>n° 16 + n° 17</t>
        </is>
      </c>
      <c r="E3284" t="inlineStr">
        <is>
          <t>MACHON GOURMET</t>
        </is>
      </c>
      <c r="F3284" t="n">
        <v>25</v>
      </c>
      <c r="G3284" t="inlineStr">
        <is>
          <t>n° 16 : 0,50 + n° 17 : 0,50</t>
        </is>
      </c>
      <c r="H3284" t="n">
        <v>1</v>
      </c>
    </row>
    <row r="3285">
      <c r="A3285" t="inlineStr">
        <is>
          <t>2023-2024</t>
        </is>
      </c>
      <c r="B3285" t="inlineStr">
        <is>
          <t>2024-01-05</t>
        </is>
      </c>
      <c r="C3285" t="inlineStr">
        <is>
          <t>18:31</t>
        </is>
      </c>
      <c r="D3285" t="inlineStr">
        <is>
          <t>n° 16 + n° 17</t>
        </is>
      </c>
      <c r="E3285" t="inlineStr">
        <is>
          <t>BURGER COMTOIS</t>
        </is>
      </c>
      <c r="F3285" t="n">
        <v>19</v>
      </c>
      <c r="G3285" t="inlineStr">
        <is>
          <t>n° 16 : 0,50 + n° 17 : 0,50</t>
        </is>
      </c>
      <c r="H3285" t="n">
        <v>1</v>
      </c>
    </row>
    <row r="3286">
      <c r="A3286" t="inlineStr">
        <is>
          <t>2023-2024</t>
        </is>
      </c>
      <c r="B3286" t="inlineStr">
        <is>
          <t>2024-01-05</t>
        </is>
      </c>
      <c r="C3286" t="inlineStr">
        <is>
          <t>18:31</t>
        </is>
      </c>
      <c r="D3286" t="inlineStr">
        <is>
          <t>n° 16 + n° 17</t>
        </is>
      </c>
      <c r="E3286" t="inlineStr">
        <is>
          <t>Mambo</t>
        </is>
      </c>
      <c r="F3286" t="n">
        <v>6.5</v>
      </c>
      <c r="G3286" t="inlineStr">
        <is>
          <t>n° 16 : 0,50 + n° 17 : 0,50</t>
        </is>
      </c>
      <c r="H3286" t="n">
        <v>1</v>
      </c>
    </row>
    <row r="3287">
      <c r="A3287" t="inlineStr">
        <is>
          <t>2023-2024</t>
        </is>
      </c>
      <c r="B3287" t="inlineStr">
        <is>
          <t>2024-01-06</t>
        </is>
      </c>
      <c r="C3287" t="inlineStr">
        <is>
          <t>12:44</t>
        </is>
      </c>
      <c r="D3287" t="inlineStr">
        <is>
          <t>n° 7 + n° 8</t>
        </is>
      </c>
      <c r="E3287" t="inlineStr">
        <is>
          <t>Entrecôte Forestiére</t>
        </is>
      </c>
      <c r="F3287" t="n">
        <v>27.8</v>
      </c>
      <c r="G3287" t="inlineStr">
        <is>
          <t>n° 7 : 0,50 + n° 8 : 0,50</t>
        </is>
      </c>
      <c r="H3287" t="n">
        <v>1</v>
      </c>
    </row>
    <row r="3288">
      <c r="A3288" t="inlineStr">
        <is>
          <t>2023-2024</t>
        </is>
      </c>
      <c r="B3288" t="inlineStr">
        <is>
          <t>2024-01-06</t>
        </is>
      </c>
      <c r="C3288" t="inlineStr">
        <is>
          <t>12:44</t>
        </is>
      </c>
      <c r="D3288" t="inlineStr">
        <is>
          <t>n° 7 + n° 8</t>
        </is>
      </c>
      <c r="E3288" t="inlineStr">
        <is>
          <t>MORTEAU GRILLEE</t>
        </is>
      </c>
      <c r="F3288" t="n">
        <v>18.6</v>
      </c>
      <c r="G3288" t="inlineStr">
        <is>
          <t>n° 7 : 0,50 + n° 8 : 0,50</t>
        </is>
      </c>
      <c r="H3288" t="n">
        <v>1</v>
      </c>
    </row>
    <row r="3289">
      <c r="A3289" t="inlineStr">
        <is>
          <t>2023-2024</t>
        </is>
      </c>
      <c r="B3289" t="inlineStr">
        <is>
          <t>2024-01-06</t>
        </is>
      </c>
      <c r="C3289" t="inlineStr">
        <is>
          <t>12:44</t>
        </is>
      </c>
      <c r="D3289" t="inlineStr">
        <is>
          <t>n° 7 + n° 8</t>
        </is>
      </c>
      <c r="E3289" t="inlineStr">
        <is>
          <t>LOURNETTE</t>
        </is>
      </c>
      <c r="F3289" t="n">
        <v>17.9</v>
      </c>
      <c r="G3289" t="inlineStr">
        <is>
          <t>n° 7 : 0,50 + n° 8 : 0,50</t>
        </is>
      </c>
      <c r="H3289" t="n">
        <v>1</v>
      </c>
    </row>
    <row r="3290">
      <c r="A3290" t="inlineStr">
        <is>
          <t>2023-2024</t>
        </is>
      </c>
      <c r="B3290" t="inlineStr">
        <is>
          <t>2024-01-06</t>
        </is>
      </c>
      <c r="C3290" t="inlineStr">
        <is>
          <t>12:44</t>
        </is>
      </c>
      <c r="D3290" t="inlineStr">
        <is>
          <t>n° 7 + n° 8</t>
        </is>
      </c>
      <c r="E3290" t="inlineStr">
        <is>
          <t>BARBEULENET</t>
        </is>
      </c>
      <c r="F3290" t="n">
        <v>17.4</v>
      </c>
      <c r="G3290" t="inlineStr">
        <is>
          <t>n° 7 : 0,50 + n° 8 : 0,50</t>
        </is>
      </c>
      <c r="H3290" t="n">
        <v>1</v>
      </c>
    </row>
    <row r="3291">
      <c r="A3291" t="inlineStr">
        <is>
          <t>2023-2024</t>
        </is>
      </c>
      <c r="B3291" t="inlineStr">
        <is>
          <t>2024-01-06</t>
        </is>
      </c>
      <c r="C3291" t="inlineStr">
        <is>
          <t>12:44</t>
        </is>
      </c>
      <c r="D3291" t="inlineStr">
        <is>
          <t>n° 7 + n° 8</t>
        </is>
      </c>
      <c r="E3291" t="inlineStr">
        <is>
          <t>CUPIDON</t>
        </is>
      </c>
      <c r="F3291" t="n">
        <v>9.300000000000001</v>
      </c>
      <c r="G3291" t="inlineStr">
        <is>
          <t>n° 7 : 0,50 + n° 8 : 0,50</t>
        </is>
      </c>
      <c r="H3291" t="n">
        <v>1</v>
      </c>
    </row>
    <row r="3292">
      <c r="A3292" t="inlineStr">
        <is>
          <t>2023-2024</t>
        </is>
      </c>
      <c r="B3292" t="inlineStr">
        <is>
          <t>2024-01-06</t>
        </is>
      </c>
      <c r="C3292" t="inlineStr">
        <is>
          <t>12:44</t>
        </is>
      </c>
      <c r="D3292" t="inlineStr">
        <is>
          <t>n° 7 + n° 8</t>
        </is>
      </c>
      <c r="E3292" t="inlineStr">
        <is>
          <t>Baba</t>
        </is>
      </c>
      <c r="F3292" t="n">
        <v>8.9</v>
      </c>
      <c r="G3292" t="inlineStr">
        <is>
          <t>n° 7 : 0,50 + n° 8 : 0,50</t>
        </is>
      </c>
      <c r="H3292" t="n">
        <v>1</v>
      </c>
    </row>
    <row r="3293">
      <c r="A3293" t="inlineStr">
        <is>
          <t>2023-2024</t>
        </is>
      </c>
      <c r="B3293" t="inlineStr">
        <is>
          <t>2024-01-06</t>
        </is>
      </c>
      <c r="C3293" t="inlineStr">
        <is>
          <t>12:44</t>
        </is>
      </c>
      <c r="D3293" t="inlineStr">
        <is>
          <t>n° 7 + n° 8</t>
        </is>
      </c>
      <c r="E3293" t="inlineStr">
        <is>
          <t>Crêpe Salidou</t>
        </is>
      </c>
      <c r="F3293" t="n">
        <v>6.4</v>
      </c>
      <c r="G3293" t="inlineStr">
        <is>
          <t>n° 7 : 0,50 + n° 8 : 0,50</t>
        </is>
      </c>
      <c r="H3293" t="n">
        <v>1</v>
      </c>
    </row>
    <row r="3294">
      <c r="A3294" t="inlineStr">
        <is>
          <t>2023-2024</t>
        </is>
      </c>
      <c r="B3294" t="inlineStr">
        <is>
          <t>2024-01-06</t>
        </is>
      </c>
      <c r="C3294" t="inlineStr">
        <is>
          <t>12:44</t>
        </is>
      </c>
      <c r="D3294" t="inlineStr">
        <is>
          <t>n° 7 + n° 8</t>
        </is>
      </c>
      <c r="E3294" t="inlineStr">
        <is>
          <t>Crêpe Confiture</t>
        </is>
      </c>
      <c r="F3294" t="n">
        <v>5.4</v>
      </c>
      <c r="G3294" t="inlineStr">
        <is>
          <t>n° 7 : 0,50 + n° 8 : 0,50</t>
        </is>
      </c>
      <c r="H3294" t="n">
        <v>1</v>
      </c>
    </row>
    <row r="3295">
      <c r="A3295" t="inlineStr">
        <is>
          <t>2023-2024</t>
        </is>
      </c>
      <c r="B3295" t="inlineStr">
        <is>
          <t>2024-01-06</t>
        </is>
      </c>
      <c r="C3295" t="inlineStr">
        <is>
          <t>12:44</t>
        </is>
      </c>
      <c r="D3295" t="inlineStr">
        <is>
          <t>n° 7 + n° 8</t>
        </is>
      </c>
      <c r="E3295" t="inlineStr">
        <is>
          <t>1 Boule Glace</t>
        </is>
      </c>
      <c r="F3295" t="n">
        <v>3.5</v>
      </c>
      <c r="G3295" t="inlineStr">
        <is>
          <t>n° 7 : 0,50 + n° 8 : 0,50</t>
        </is>
      </c>
      <c r="H3295" t="n">
        <v>1</v>
      </c>
    </row>
    <row r="3296">
      <c r="A3296" t="inlineStr">
        <is>
          <t>2023-2024</t>
        </is>
      </c>
      <c r="B3296" t="inlineStr">
        <is>
          <t>2024-01-06</t>
        </is>
      </c>
      <c r="C3296" t="inlineStr">
        <is>
          <t>12:44</t>
        </is>
      </c>
      <c r="D3296" t="inlineStr">
        <is>
          <t>n° 7 + n° 8</t>
        </is>
      </c>
      <c r="E3296" t="inlineStr">
        <is>
          <t>Expresso</t>
        </is>
      </c>
      <c r="F3296" t="n">
        <v>2.2</v>
      </c>
      <c r="G3296" t="inlineStr">
        <is>
          <t>n° 7 : 1,50 + n° 8 : 1,50</t>
        </is>
      </c>
      <c r="H3296" t="n">
        <v>3</v>
      </c>
    </row>
    <row r="3297">
      <c r="A3297" t="inlineStr">
        <is>
          <t>2023-2024</t>
        </is>
      </c>
      <c r="B3297" t="inlineStr">
        <is>
          <t>2024-01-06</t>
        </is>
      </c>
      <c r="C3297" t="inlineStr">
        <is>
          <t>20:37</t>
        </is>
      </c>
      <c r="D3297" t="inlineStr">
        <is>
          <t>n° 17 + n° 18 + n° 19 + n° 20</t>
        </is>
      </c>
      <c r="E3297" t="inlineStr">
        <is>
          <t>Poulet aux Morilles</t>
        </is>
      </c>
      <c r="F3297" t="n">
        <v>28.6</v>
      </c>
      <c r="G3297" t="inlineStr">
        <is>
          <t>n° 19 : 0,50 + n° 20 : 0,50</t>
        </is>
      </c>
      <c r="H3297" t="n">
        <v>1</v>
      </c>
    </row>
    <row r="3298">
      <c r="A3298" t="inlineStr">
        <is>
          <t>2023-2024</t>
        </is>
      </c>
      <c r="B3298" t="inlineStr">
        <is>
          <t>2024-01-06</t>
        </is>
      </c>
      <c r="C3298" t="inlineStr">
        <is>
          <t>20:37</t>
        </is>
      </c>
      <c r="D3298" t="inlineStr">
        <is>
          <t>n° 17 + n° 18 + n° 19 + n° 20</t>
        </is>
      </c>
      <c r="E3298" t="inlineStr">
        <is>
          <t>Entrecôte Forestiére</t>
        </is>
      </c>
      <c r="F3298" t="n">
        <v>27.8</v>
      </c>
      <c r="G3298" t="inlineStr">
        <is>
          <t>n° 17 : 0,50 + n° 18 : 0,50 + n° 19 : 0,50 + n° 20 : 0,50</t>
        </is>
      </c>
      <c r="H3298" t="n">
        <v>2</v>
      </c>
    </row>
    <row r="3299">
      <c r="A3299" t="inlineStr">
        <is>
          <t>2023-2024</t>
        </is>
      </c>
      <c r="B3299" t="inlineStr">
        <is>
          <t>2024-01-06</t>
        </is>
      </c>
      <c r="C3299" t="inlineStr">
        <is>
          <t>20:37</t>
        </is>
      </c>
      <c r="D3299" t="inlineStr">
        <is>
          <t>n° 17 + n° 18 + n° 19 + n° 20</t>
        </is>
      </c>
      <c r="E3299" t="inlineStr">
        <is>
          <t>Entrecôte grillée</t>
        </is>
      </c>
      <c r="F3299" t="n">
        <v>19.9</v>
      </c>
      <c r="G3299" t="inlineStr">
        <is>
          <t>n° 17 : 0,50 + n° 18 : 0,50</t>
        </is>
      </c>
      <c r="H3299" t="n">
        <v>1</v>
      </c>
    </row>
    <row r="3300">
      <c r="A3300" t="inlineStr">
        <is>
          <t>2023-2024</t>
        </is>
      </c>
      <c r="B3300" t="inlineStr">
        <is>
          <t>2024-01-06</t>
        </is>
      </c>
      <c r="C3300" t="inlineStr">
        <is>
          <t>20:37</t>
        </is>
      </c>
      <c r="D3300" t="inlineStr">
        <is>
          <t>n° 17 + n° 18 + n° 19 + n° 20</t>
        </is>
      </c>
      <c r="E3300" t="inlineStr">
        <is>
          <t>Menu 'Enfant'</t>
        </is>
      </c>
      <c r="F3300" t="n">
        <v>9.9</v>
      </c>
      <c r="G3300" t="inlineStr">
        <is>
          <t>n° 17 : 0,50 + n° 18 : 0,50</t>
        </is>
      </c>
      <c r="H3300" t="n">
        <v>1</v>
      </c>
    </row>
    <row r="3301">
      <c r="A3301" t="inlineStr">
        <is>
          <t>2023-2024</t>
        </is>
      </c>
      <c r="B3301" t="inlineStr">
        <is>
          <t>2024-01-06</t>
        </is>
      </c>
      <c r="C3301" t="inlineStr">
        <is>
          <t>20:37</t>
        </is>
      </c>
      <c r="D3301" t="inlineStr">
        <is>
          <t>n° 17 + n° 18 + n° 19 + n° 20</t>
        </is>
      </c>
      <c r="E3301" t="inlineStr">
        <is>
          <t>Baba</t>
        </is>
      </c>
      <c r="F3301" t="n">
        <v>8.9</v>
      </c>
      <c r="G3301" t="inlineStr">
        <is>
          <t>n° 17 : 0,50 + n° 18 : 0,50</t>
        </is>
      </c>
      <c r="H3301" t="n">
        <v>1</v>
      </c>
    </row>
    <row r="3302">
      <c r="A3302" t="inlineStr">
        <is>
          <t>2023-2024</t>
        </is>
      </c>
      <c r="B3302" t="inlineStr">
        <is>
          <t>2024-01-06</t>
        </is>
      </c>
      <c r="C3302" t="inlineStr">
        <is>
          <t>20:37</t>
        </is>
      </c>
      <c r="D3302" t="inlineStr">
        <is>
          <t>n° 17 + n° 18 + n° 19 + n° 20</t>
        </is>
      </c>
      <c r="E3302" t="inlineStr">
        <is>
          <t>CREME BRULEE</t>
        </is>
      </c>
      <c r="F3302" t="n">
        <v>7.9</v>
      </c>
      <c r="G3302" t="inlineStr">
        <is>
          <t>n° 17 : 0,50 + n° 18 : 0,50 + n° 19 : 1,00 + n° 20 : 1,00</t>
        </is>
      </c>
      <c r="H3302" t="n">
        <v>3</v>
      </c>
    </row>
    <row r="3303">
      <c r="A3303" t="inlineStr">
        <is>
          <t>2023-2024</t>
        </is>
      </c>
      <c r="B3303" t="inlineStr">
        <is>
          <t>2024-01-06</t>
        </is>
      </c>
      <c r="C3303" t="inlineStr">
        <is>
          <t>20:37</t>
        </is>
      </c>
      <c r="D3303" t="inlineStr">
        <is>
          <t>n° 17 + n° 18 + n° 19 + n° 20</t>
        </is>
      </c>
      <c r="E3303" t="inlineStr">
        <is>
          <t>Menu Bambin</t>
        </is>
      </c>
      <c r="F3303" t="n">
        <v>6.9</v>
      </c>
      <c r="G3303" t="inlineStr">
        <is>
          <t>n° 17 : 1,50 + n° 18 : 1,50</t>
        </is>
      </c>
      <c r="H3303" t="n">
        <v>3</v>
      </c>
    </row>
    <row r="3304">
      <c r="A3304" t="inlineStr">
        <is>
          <t>2023-2024</t>
        </is>
      </c>
      <c r="B3304" t="inlineStr">
        <is>
          <t>2024-01-06</t>
        </is>
      </c>
      <c r="C3304" t="inlineStr">
        <is>
          <t>20:37</t>
        </is>
      </c>
      <c r="D3304" t="inlineStr">
        <is>
          <t>n° 17 + n° 18 + n° 19 + n° 20</t>
        </is>
      </c>
      <c r="E3304" t="inlineStr">
        <is>
          <t>Macvin du Jura</t>
        </is>
      </c>
      <c r="F3304" t="n">
        <v>5.9</v>
      </c>
      <c r="G3304" t="inlineStr">
        <is>
          <t>n° 17 : 0,50 + n° 18 : 0,50</t>
        </is>
      </c>
      <c r="H3304" t="n">
        <v>1</v>
      </c>
    </row>
    <row r="3305">
      <c r="A3305" t="inlineStr">
        <is>
          <t>2023-2024</t>
        </is>
      </c>
      <c r="B3305" t="inlineStr">
        <is>
          <t>2024-01-06</t>
        </is>
      </c>
      <c r="C3305" t="inlineStr">
        <is>
          <t>20:37</t>
        </is>
      </c>
      <c r="D3305" t="inlineStr">
        <is>
          <t>n° 17 + n° 18 + n° 19 + n° 20</t>
        </is>
      </c>
      <c r="E3305" t="inlineStr">
        <is>
          <t>Jus de Fruit</t>
        </is>
      </c>
      <c r="F3305" t="n">
        <v>4.2</v>
      </c>
      <c r="G3305" t="inlineStr">
        <is>
          <t>n° 17 : 0,50 + n° 18 : 0,50</t>
        </is>
      </c>
      <c r="H3305" t="n">
        <v>1</v>
      </c>
    </row>
    <row r="3306">
      <c r="A3306" t="inlineStr">
        <is>
          <t>2023-2024</t>
        </is>
      </c>
      <c r="B3306" t="inlineStr">
        <is>
          <t>2024-01-06</t>
        </is>
      </c>
      <c r="C3306" t="inlineStr">
        <is>
          <t>20:37</t>
        </is>
      </c>
      <c r="D3306" t="inlineStr">
        <is>
          <t>n° 17 + n° 18 + n° 19 + n° 20</t>
        </is>
      </c>
      <c r="E3306" t="inlineStr">
        <is>
          <t>Limonade (25cl)</t>
        </is>
      </c>
      <c r="F3306" t="n">
        <v>3.9</v>
      </c>
      <c r="G3306" t="inlineStr">
        <is>
          <t>n° 17 : 0,50 + n° 18 : 0,50</t>
        </is>
      </c>
      <c r="H3306" t="n">
        <v>1</v>
      </c>
    </row>
    <row r="3307">
      <c r="A3307" t="inlineStr">
        <is>
          <t>2023-2024</t>
        </is>
      </c>
      <c r="B3307" t="inlineStr">
        <is>
          <t>2024-01-06</t>
        </is>
      </c>
      <c r="C3307" t="inlineStr">
        <is>
          <t>20:37</t>
        </is>
      </c>
      <c r="D3307" t="inlineStr">
        <is>
          <t>n° 17 + n° 18 + n° 19 + n° 20</t>
        </is>
      </c>
      <c r="E3307" t="inlineStr">
        <is>
          <t>Sirop à l'eau</t>
        </is>
      </c>
      <c r="F3307" t="n">
        <v>2.2</v>
      </c>
      <c r="G3307" t="inlineStr">
        <is>
          <t>n° 17 : 1,50 + n° 18 : 1,50</t>
        </is>
      </c>
      <c r="H3307" t="n">
        <v>3</v>
      </c>
    </row>
    <row r="3308">
      <c r="A3308" t="inlineStr">
        <is>
          <t>2023-2024</t>
        </is>
      </c>
      <c r="B3308" t="inlineStr">
        <is>
          <t>2024-03-01</t>
        </is>
      </c>
      <c r="C3308" t="inlineStr">
        <is>
          <t>11:53</t>
        </is>
      </c>
      <c r="D3308" t="inlineStr">
        <is>
          <t>n° 2 + n° 3</t>
        </is>
      </c>
      <c r="E3308" t="inlineStr">
        <is>
          <t>Rêve Bleu</t>
        </is>
      </c>
      <c r="F3308" t="n">
        <v>9</v>
      </c>
      <c r="G3308" t="inlineStr">
        <is>
          <t>n° 2 : 0,50 + n° 3 : 0,50</t>
        </is>
      </c>
      <c r="H3308" t="n">
        <v>1</v>
      </c>
    </row>
    <row r="3309">
      <c r="A3309" t="inlineStr">
        <is>
          <t>2023-2024</t>
        </is>
      </c>
      <c r="B3309" t="inlineStr">
        <is>
          <t>2024-03-01</t>
        </is>
      </c>
      <c r="C3309" t="inlineStr">
        <is>
          <t>11:53</t>
        </is>
      </c>
      <c r="D3309" t="inlineStr">
        <is>
          <t>n° 2 + n° 3</t>
        </is>
      </c>
      <c r="E3309" t="inlineStr">
        <is>
          <t>Mambo</t>
        </is>
      </c>
      <c r="F3309" t="n">
        <v>6.5</v>
      </c>
      <c r="G3309" t="inlineStr">
        <is>
          <t>n° 2 : 0,50 + n° 3 : 0,50</t>
        </is>
      </c>
      <c r="H3309" t="n">
        <v>1</v>
      </c>
    </row>
    <row r="3310">
      <c r="A3310" t="inlineStr">
        <is>
          <t>2023-2024</t>
        </is>
      </c>
      <c r="B3310" t="inlineStr">
        <is>
          <t>2024-03-01</t>
        </is>
      </c>
      <c r="C3310" t="inlineStr">
        <is>
          <t>11:53</t>
        </is>
      </c>
      <c r="D3310" t="inlineStr">
        <is>
          <t>n° 2 + n° 3</t>
        </is>
      </c>
      <c r="E3310" t="inlineStr">
        <is>
          <t>Crêpe Nutella</t>
        </is>
      </c>
      <c r="F3310" t="n">
        <v>4.9</v>
      </c>
      <c r="G3310" t="inlineStr">
        <is>
          <t>n° 2 : 0,50 + n° 3 : 0,50</t>
        </is>
      </c>
      <c r="H3310" t="n">
        <v>1</v>
      </c>
    </row>
    <row r="3311">
      <c r="A3311" t="inlineStr">
        <is>
          <t>2023-2024</t>
        </is>
      </c>
      <c r="B3311" t="inlineStr">
        <is>
          <t>2024-03-01</t>
        </is>
      </c>
      <c r="C3311" t="inlineStr">
        <is>
          <t>11:53</t>
        </is>
      </c>
      <c r="D3311" t="inlineStr">
        <is>
          <t>n° 2 + n° 3</t>
        </is>
      </c>
      <c r="E3311" t="inlineStr">
        <is>
          <t>Fromage de Chèvre</t>
        </is>
      </c>
      <c r="F3311" t="n">
        <v>3.9</v>
      </c>
      <c r="G3311" t="inlineStr">
        <is>
          <t>n° 2 : 0,50 + n° 3 : 0,50</t>
        </is>
      </c>
      <c r="H3311" t="n">
        <v>1</v>
      </c>
    </row>
    <row r="3312">
      <c r="A3312" t="inlineStr">
        <is>
          <t>2023-2024</t>
        </is>
      </c>
      <c r="B3312" t="inlineStr">
        <is>
          <t>2024-03-01</t>
        </is>
      </c>
      <c r="C3312" t="inlineStr">
        <is>
          <t>11:53</t>
        </is>
      </c>
      <c r="D3312" t="inlineStr">
        <is>
          <t>n° 2 + n° 3</t>
        </is>
      </c>
      <c r="E3312" t="inlineStr">
        <is>
          <t>Cancoillotte</t>
        </is>
      </c>
      <c r="F3312" t="n">
        <v>3.9</v>
      </c>
      <c r="G3312" t="inlineStr">
        <is>
          <t>n° 2 : 0,50 + n° 3 : 0,50</t>
        </is>
      </c>
      <c r="H3312" t="n">
        <v>1</v>
      </c>
    </row>
    <row r="3313">
      <c r="A3313" t="inlineStr">
        <is>
          <t>2023-2024</t>
        </is>
      </c>
      <c r="B3313" t="inlineStr">
        <is>
          <t>2024-03-01</t>
        </is>
      </c>
      <c r="C3313" t="inlineStr">
        <is>
          <t>11:53</t>
        </is>
      </c>
      <c r="D3313" t="inlineStr">
        <is>
          <t>n° 2 + n° 3</t>
        </is>
      </c>
      <c r="E3313" t="inlineStr">
        <is>
          <t>Pommes de Terre</t>
        </is>
      </c>
      <c r="F3313" t="n">
        <v>3.2</v>
      </c>
      <c r="G3313" t="inlineStr">
        <is>
          <t>n° 2 : 0,50 + n° 3 : 0,50</t>
        </is>
      </c>
      <c r="H3313" t="n">
        <v>1</v>
      </c>
    </row>
    <row r="3314">
      <c r="A3314" t="inlineStr">
        <is>
          <t>2023-2024</t>
        </is>
      </c>
      <c r="B3314" t="inlineStr">
        <is>
          <t>2024-03-02</t>
        </is>
      </c>
      <c r="C3314" t="inlineStr">
        <is>
          <t>20:29</t>
        </is>
      </c>
      <c r="D3314" t="inlineStr">
        <is>
          <t>n° 19 + n° 20</t>
        </is>
      </c>
      <c r="E3314" t="inlineStr">
        <is>
          <t>SAUCE JURASSIENNE</t>
        </is>
      </c>
      <c r="F3314" t="n">
        <v>6.1</v>
      </c>
      <c r="G3314" t="inlineStr">
        <is>
          <t>n° 19 : 0,50 + n° 20 : 0,50</t>
        </is>
      </c>
      <c r="H3314" t="n">
        <v>1</v>
      </c>
    </row>
    <row r="3315">
      <c r="A3315" t="inlineStr">
        <is>
          <t>2023-2024</t>
        </is>
      </c>
      <c r="B3315" t="inlineStr">
        <is>
          <t>2024-03-02</t>
        </is>
      </c>
      <c r="C3315" t="inlineStr">
        <is>
          <t>20:29</t>
        </is>
      </c>
      <c r="D3315" t="inlineStr">
        <is>
          <t>n° 19 + n° 20</t>
        </is>
      </c>
      <c r="E3315" t="inlineStr">
        <is>
          <t>Jambon Sec</t>
        </is>
      </c>
      <c r="F3315" t="n">
        <v>5.4</v>
      </c>
      <c r="G3315" t="inlineStr">
        <is>
          <t>n° 19 : 0,50 + n° 20 : 0,50</t>
        </is>
      </c>
      <c r="H3315" t="n">
        <v>1</v>
      </c>
    </row>
    <row r="3316">
      <c r="A3316" t="inlineStr">
        <is>
          <t>2023-2024</t>
        </is>
      </c>
      <c r="B3316" t="inlineStr">
        <is>
          <t>2024-03-02</t>
        </is>
      </c>
      <c r="C3316" t="inlineStr">
        <is>
          <t>20:29</t>
        </is>
      </c>
      <c r="D3316" t="inlineStr">
        <is>
          <t>n° 19 + n° 20</t>
        </is>
      </c>
      <c r="E3316" t="inlineStr">
        <is>
          <t>Cancoillotte</t>
        </is>
      </c>
      <c r="F3316" t="n">
        <v>3.9</v>
      </c>
      <c r="G3316" t="inlineStr">
        <is>
          <t>n° 19 : 0,50 + n° 20 : 0,50</t>
        </is>
      </c>
      <c r="H3316" t="n">
        <v>1</v>
      </c>
    </row>
    <row r="3317">
      <c r="A3317" t="inlineStr">
        <is>
          <t>2023-2024</t>
        </is>
      </c>
      <c r="B3317" t="inlineStr">
        <is>
          <t>2024-03-02</t>
        </is>
      </c>
      <c r="C3317" t="inlineStr">
        <is>
          <t>20:29</t>
        </is>
      </c>
      <c r="D3317" t="inlineStr">
        <is>
          <t>n° 19 + n° 20</t>
        </is>
      </c>
      <c r="E3317" t="inlineStr">
        <is>
          <t>Bacon</t>
        </is>
      </c>
      <c r="F3317" t="n">
        <v>3.3</v>
      </c>
      <c r="G3317" t="inlineStr">
        <is>
          <t>n° 19 : 0,50 + n° 20 : 0,50</t>
        </is>
      </c>
      <c r="H3317" t="n">
        <v>1</v>
      </c>
    </row>
    <row r="3318">
      <c r="A3318" t="inlineStr">
        <is>
          <t>2023-2024</t>
        </is>
      </c>
      <c r="B3318" t="inlineStr">
        <is>
          <t>2024-03-02</t>
        </is>
      </c>
      <c r="C3318" t="inlineStr">
        <is>
          <t>20:29</t>
        </is>
      </c>
      <c r="D3318" t="inlineStr">
        <is>
          <t>n° 19 + n° 20</t>
        </is>
      </c>
      <c r="E3318" t="inlineStr">
        <is>
          <t>Pommes de Terre</t>
        </is>
      </c>
      <c r="F3318" t="n">
        <v>3.2</v>
      </c>
      <c r="G3318" t="inlineStr">
        <is>
          <t>n° 19 : 0,50 + n° 20 : 0,50</t>
        </is>
      </c>
      <c r="H3318" t="n">
        <v>1</v>
      </c>
    </row>
    <row r="3319">
      <c r="A3319" t="inlineStr">
        <is>
          <t>2023-2024</t>
        </is>
      </c>
      <c r="B3319" t="inlineStr">
        <is>
          <t>2024-03-02</t>
        </is>
      </c>
      <c r="C3319" t="inlineStr">
        <is>
          <t>20:29</t>
        </is>
      </c>
      <c r="D3319" t="inlineStr">
        <is>
          <t>n° 19 + n° 20</t>
        </is>
      </c>
      <c r="E3319" t="inlineStr">
        <is>
          <t>PIGNONS PIN</t>
        </is>
      </c>
      <c r="F3319" t="n">
        <v>1.4</v>
      </c>
      <c r="G3319" t="inlineStr">
        <is>
          <t>n° 19 : 0,50 + n° 20 : 0,50</t>
        </is>
      </c>
      <c r="H3319" t="n">
        <v>1</v>
      </c>
    </row>
    <row r="3320">
      <c r="A3320" t="inlineStr">
        <is>
          <t>2023-2024</t>
        </is>
      </c>
      <c r="B3320" t="inlineStr">
        <is>
          <t>2024-03-02</t>
        </is>
      </c>
      <c r="C3320" t="inlineStr">
        <is>
          <t>21:14</t>
        </is>
      </c>
      <c r="D3320" t="inlineStr">
        <is>
          <t>n° 24 + n° 25</t>
        </is>
      </c>
      <c r="E3320" t="inlineStr">
        <is>
          <t>PiCHET TROUSSEAU</t>
        </is>
      </c>
      <c r="F3320" t="n">
        <v>28</v>
      </c>
      <c r="G3320" t="inlineStr">
        <is>
          <t>n° 24 : 0,50 + n° 25 : 0,50</t>
        </is>
      </c>
      <c r="H3320" t="n">
        <v>1</v>
      </c>
    </row>
    <row r="3321">
      <c r="A3321" t="inlineStr">
        <is>
          <t>2023-2024</t>
        </is>
      </c>
      <c r="B3321" t="inlineStr">
        <is>
          <t>2024-03-02</t>
        </is>
      </c>
      <c r="C3321" t="inlineStr">
        <is>
          <t>21:14</t>
        </is>
      </c>
      <c r="D3321" t="inlineStr">
        <is>
          <t>n° 24 + n° 25</t>
        </is>
      </c>
      <c r="E3321" t="inlineStr">
        <is>
          <t>Saucisse de Morteau</t>
        </is>
      </c>
      <c r="F3321" t="n">
        <v>8.9</v>
      </c>
      <c r="G3321" t="inlineStr">
        <is>
          <t>n° 24 : 0,50 + n° 25 : 0,50</t>
        </is>
      </c>
      <c r="H3321" t="n">
        <v>1</v>
      </c>
    </row>
    <row r="3322">
      <c r="A3322" t="inlineStr">
        <is>
          <t>2023-2024</t>
        </is>
      </c>
      <c r="B3322" t="inlineStr">
        <is>
          <t>2024-03-02</t>
        </is>
      </c>
      <c r="C3322" t="inlineStr">
        <is>
          <t>21:14</t>
        </is>
      </c>
      <c r="D3322" t="inlineStr">
        <is>
          <t>n° 24 + n° 25</t>
        </is>
      </c>
      <c r="E3322" t="inlineStr">
        <is>
          <t>SAUCE CHOCO/CAFE/CAR</t>
        </is>
      </c>
      <c r="F3322" t="n">
        <v>2.4</v>
      </c>
      <c r="G3322" t="inlineStr">
        <is>
          <t>n° 24 : 0,50 + n° 25 : 0,50</t>
        </is>
      </c>
      <c r="H3322" t="n">
        <v>1</v>
      </c>
    </row>
    <row r="3323">
      <c r="A3323" t="inlineStr">
        <is>
          <t>2023-2024</t>
        </is>
      </c>
      <c r="B3323" t="inlineStr">
        <is>
          <t>2024-03-03</t>
        </is>
      </c>
      <c r="C3323" t="inlineStr">
        <is>
          <t>12:48</t>
        </is>
      </c>
      <c r="D3323" t="inlineStr">
        <is>
          <t>n° 5 + n° 6</t>
        </is>
      </c>
      <c r="E3323" t="inlineStr">
        <is>
          <t>Salade Végétarienne</t>
        </is>
      </c>
      <c r="F3323" t="n">
        <v>19.9</v>
      </c>
      <c r="G3323" t="inlineStr">
        <is>
          <t>n° 5 : 0,50 + n° 6 : 0,50</t>
        </is>
      </c>
      <c r="H3323" t="n">
        <v>1</v>
      </c>
    </row>
    <row r="3324">
      <c r="A3324" t="inlineStr">
        <is>
          <t>2023-2024</t>
        </is>
      </c>
      <c r="B3324" t="inlineStr">
        <is>
          <t>2024-03-03</t>
        </is>
      </c>
      <c r="C3324" t="inlineStr">
        <is>
          <t>12:48</t>
        </is>
      </c>
      <c r="D3324" t="inlineStr">
        <is>
          <t>n° 5 + n° 6</t>
        </is>
      </c>
      <c r="E3324" t="inlineStr">
        <is>
          <t>CABRICHOU</t>
        </is>
      </c>
      <c r="F3324" t="n">
        <v>16.9</v>
      </c>
      <c r="G3324" t="inlineStr">
        <is>
          <t>n° 5 : 0,50 + n° 6 : 0,50</t>
        </is>
      </c>
      <c r="H3324" t="n">
        <v>1</v>
      </c>
    </row>
    <row r="3325">
      <c r="A3325" t="inlineStr">
        <is>
          <t>2023-2024</t>
        </is>
      </c>
      <c r="B3325" t="inlineStr">
        <is>
          <t>2024-03-03</t>
        </is>
      </c>
      <c r="C3325" t="inlineStr">
        <is>
          <t>20:14</t>
        </is>
      </c>
      <c r="D3325" t="inlineStr">
        <is>
          <t>n° 17 + n° 18</t>
        </is>
      </c>
      <c r="E3325" t="inlineStr">
        <is>
          <t>Menu 'Galette'</t>
        </is>
      </c>
      <c r="F3325" t="n">
        <v>19.5</v>
      </c>
      <c r="G3325" t="inlineStr">
        <is>
          <t>n° 17 : 0,50 + n° 18 : 0,50</t>
        </is>
      </c>
      <c r="H3325" t="n">
        <v>1</v>
      </c>
    </row>
    <row r="3326">
      <c r="A3326" t="inlineStr">
        <is>
          <t>2023-2024</t>
        </is>
      </c>
      <c r="B3326" t="inlineStr">
        <is>
          <t>2024-03-03</t>
        </is>
      </c>
      <c r="C3326" t="inlineStr">
        <is>
          <t>20:14</t>
        </is>
      </c>
      <c r="D3326" t="inlineStr">
        <is>
          <t>n° 17 + n° 18</t>
        </is>
      </c>
      <c r="E3326" t="inlineStr">
        <is>
          <t>Crémeux du Jura</t>
        </is>
      </c>
      <c r="F3326" t="n">
        <v>19</v>
      </c>
      <c r="G3326" t="inlineStr">
        <is>
          <t>n° 17 : 0,50 + n° 18 : 0,50</t>
        </is>
      </c>
      <c r="H3326" t="n">
        <v>1</v>
      </c>
    </row>
    <row r="3327">
      <c r="A3327" t="inlineStr">
        <is>
          <t>2023-2024</t>
        </is>
      </c>
      <c r="B3327" t="inlineStr">
        <is>
          <t>2024-03-03</t>
        </is>
      </c>
      <c r="C3327" t="inlineStr">
        <is>
          <t>20:14</t>
        </is>
      </c>
      <c r="D3327" t="inlineStr">
        <is>
          <t>n° 17 + n° 18</t>
        </is>
      </c>
      <c r="E3327" t="inlineStr">
        <is>
          <t>CAMEMBERT ROTI</t>
        </is>
      </c>
      <c r="F3327" t="n">
        <v>18.6</v>
      </c>
      <c r="G3327" t="inlineStr">
        <is>
          <t>n° 17 : 0,50 + n° 18 : 0,50</t>
        </is>
      </c>
      <c r="H3327" t="n">
        <v>1</v>
      </c>
    </row>
    <row r="3328">
      <c r="A3328" t="inlineStr">
        <is>
          <t>2023-2024</t>
        </is>
      </c>
      <c r="B3328" t="inlineStr">
        <is>
          <t>2024-03-03</t>
        </is>
      </c>
      <c r="C3328" t="inlineStr">
        <is>
          <t>20:14</t>
        </is>
      </c>
      <c r="D3328" t="inlineStr">
        <is>
          <t>n° 17 + n° 18</t>
        </is>
      </c>
      <c r="E3328" t="inlineStr">
        <is>
          <t>Père Gregoire</t>
        </is>
      </c>
      <c r="F3328" t="n">
        <v>5.9</v>
      </c>
      <c r="G3328" t="inlineStr">
        <is>
          <t>n° 17 : 0,50 + n° 18 : 0,50</t>
        </is>
      </c>
      <c r="H3328" t="n">
        <v>1</v>
      </c>
    </row>
    <row r="3329">
      <c r="A3329" t="inlineStr">
        <is>
          <t>2023-2024</t>
        </is>
      </c>
      <c r="B3329" t="inlineStr">
        <is>
          <t>2024-03-03</t>
        </is>
      </c>
      <c r="C3329" t="inlineStr">
        <is>
          <t>20:14</t>
        </is>
      </c>
      <c r="D3329" t="inlineStr">
        <is>
          <t>n° 17 + n° 18</t>
        </is>
      </c>
      <c r="E3329" t="inlineStr">
        <is>
          <t>Crepe Chocolat</t>
        </is>
      </c>
      <c r="F3329" t="n">
        <v>5.9</v>
      </c>
      <c r="G3329" t="inlineStr">
        <is>
          <t>n° 17 : 0,50 + n° 18 : 0,50</t>
        </is>
      </c>
      <c r="H3329" t="n">
        <v>1</v>
      </c>
    </row>
    <row r="3330">
      <c r="A3330" t="inlineStr">
        <is>
          <t>2023-2024</t>
        </is>
      </c>
      <c r="B3330" t="inlineStr">
        <is>
          <t>2024-03-03</t>
        </is>
      </c>
      <c r="C3330" t="inlineStr">
        <is>
          <t>20:14</t>
        </is>
      </c>
      <c r="D3330" t="inlineStr">
        <is>
          <t>n° 17 + n° 18</t>
        </is>
      </c>
      <c r="E3330" t="inlineStr">
        <is>
          <t>Martini Blanc</t>
        </is>
      </c>
      <c r="F3330" t="n">
        <v>4.9</v>
      </c>
      <c r="G3330" t="inlineStr">
        <is>
          <t>n° 17 : 0,50 + n° 18 : 0,50</t>
        </is>
      </c>
      <c r="H3330" t="n">
        <v>1</v>
      </c>
    </row>
    <row r="3331">
      <c r="A3331" t="inlineStr">
        <is>
          <t>2023-2024</t>
        </is>
      </c>
      <c r="B3331" t="inlineStr">
        <is>
          <t>2024-03-03</t>
        </is>
      </c>
      <c r="C3331" t="inlineStr">
        <is>
          <t>20:14</t>
        </is>
      </c>
      <c r="D3331" t="inlineStr">
        <is>
          <t>n° 17 + n° 18</t>
        </is>
      </c>
      <c r="E3331" t="inlineStr">
        <is>
          <t>Verre ALIGOTE</t>
        </is>
      </c>
      <c r="F3331" t="n">
        <v>3.9</v>
      </c>
      <c r="G3331" t="inlineStr">
        <is>
          <t>n° 17 : 0,50 + n° 18 : 0,50</t>
        </is>
      </c>
      <c r="H3331" t="n">
        <v>1</v>
      </c>
    </row>
    <row r="3332">
      <c r="A3332" t="inlineStr">
        <is>
          <t>2023-2024</t>
        </is>
      </c>
      <c r="B3332" t="inlineStr">
        <is>
          <t>2024-03-03</t>
        </is>
      </c>
      <c r="C3332" t="inlineStr">
        <is>
          <t>20:14</t>
        </is>
      </c>
      <c r="D3332" t="inlineStr">
        <is>
          <t>n° 17 + n° 18</t>
        </is>
      </c>
      <c r="E3332" t="inlineStr">
        <is>
          <t>Coca (25cl)</t>
        </is>
      </c>
      <c r="F3332" t="n">
        <v>3.9</v>
      </c>
      <c r="G3332" t="inlineStr">
        <is>
          <t>n° 17 : 0,50 + n° 18 : 0,50</t>
        </is>
      </c>
      <c r="H3332" t="n">
        <v>1</v>
      </c>
    </row>
    <row r="3333">
      <c r="A3333" t="inlineStr">
        <is>
          <t>2023-2024</t>
        </is>
      </c>
      <c r="B3333" t="inlineStr">
        <is>
          <t>2024-03-03</t>
        </is>
      </c>
      <c r="C3333" t="inlineStr">
        <is>
          <t>20:14</t>
        </is>
      </c>
      <c r="D3333" t="inlineStr">
        <is>
          <t>n° 17 + n° 18</t>
        </is>
      </c>
      <c r="E3333" t="inlineStr">
        <is>
          <t>CHANTILLY</t>
        </is>
      </c>
      <c r="F3333" t="n">
        <v>2.5</v>
      </c>
      <c r="G3333" t="inlineStr">
        <is>
          <t>n° 17 : 0,50 + n° 18 : 0,50</t>
        </is>
      </c>
      <c r="H3333" t="n">
        <v>1</v>
      </c>
    </row>
    <row r="3334">
      <c r="A3334" t="inlineStr">
        <is>
          <t>2023-2024</t>
        </is>
      </c>
      <c r="B3334" t="inlineStr">
        <is>
          <t>2024-03-03</t>
        </is>
      </c>
      <c r="C3334" t="inlineStr">
        <is>
          <t>20:14</t>
        </is>
      </c>
      <c r="D3334" t="inlineStr">
        <is>
          <t>n° 17 + n° 18</t>
        </is>
      </c>
      <c r="E3334" t="inlineStr">
        <is>
          <t>Sirop à l'eau</t>
        </is>
      </c>
      <c r="F3334" t="n">
        <v>2.2</v>
      </c>
      <c r="G3334" t="inlineStr">
        <is>
          <t>n° 17 : 0,50 + n° 18 : 0,50</t>
        </is>
      </c>
      <c r="H3334" t="n">
        <v>1</v>
      </c>
    </row>
    <row r="3335">
      <c r="A3335" t="inlineStr">
        <is>
          <t>2023-2024</t>
        </is>
      </c>
      <c r="B3335" t="inlineStr">
        <is>
          <t>2024-03-06</t>
        </is>
      </c>
      <c r="C3335" t="inlineStr">
        <is>
          <t>20:49</t>
        </is>
      </c>
      <c r="D3335" t="inlineStr">
        <is>
          <t>n° 26 + n° 27</t>
        </is>
      </c>
      <c r="E3335" t="inlineStr">
        <is>
          <t>Truite Morilles</t>
        </is>
      </c>
      <c r="F3335" t="n">
        <v>27.8</v>
      </c>
      <c r="G3335" t="inlineStr">
        <is>
          <t>n° 26 : 0,50 + n° 27 : 0,50</t>
        </is>
      </c>
      <c r="H3335" t="n">
        <v>1</v>
      </c>
    </row>
    <row r="3336">
      <c r="A3336" t="inlineStr">
        <is>
          <t>2023-2024</t>
        </is>
      </c>
      <c r="B3336" t="inlineStr">
        <is>
          <t>2024-03-06</t>
        </is>
      </c>
      <c r="C3336" t="inlineStr">
        <is>
          <t>20:49</t>
        </is>
      </c>
      <c r="D3336" t="inlineStr">
        <is>
          <t>n° 26 + n° 27</t>
        </is>
      </c>
      <c r="E3336" t="inlineStr">
        <is>
          <t>BURGER COMTOIS</t>
        </is>
      </c>
      <c r="F3336" t="n">
        <v>19</v>
      </c>
      <c r="G3336" t="inlineStr">
        <is>
          <t>n° 26 : 0,50 + n° 27 : 0,50</t>
        </is>
      </c>
      <c r="H3336" t="n">
        <v>1</v>
      </c>
    </row>
    <row r="3337">
      <c r="A3337" t="inlineStr">
        <is>
          <t>2023-2024</t>
        </is>
      </c>
      <c r="B3337" t="inlineStr">
        <is>
          <t>2024-03-06</t>
        </is>
      </c>
      <c r="C3337" t="inlineStr">
        <is>
          <t>20:49</t>
        </is>
      </c>
      <c r="D3337" t="inlineStr">
        <is>
          <t>n° 26 + n° 27</t>
        </is>
      </c>
      <c r="E3337" t="inlineStr">
        <is>
          <t>Sprintz</t>
        </is>
      </c>
      <c r="F3337" t="n">
        <v>9</v>
      </c>
      <c r="G3337" t="inlineStr">
        <is>
          <t>n° 26 : 0,50 + n° 27 : 0,50</t>
        </is>
      </c>
      <c r="H3337" t="n">
        <v>1</v>
      </c>
    </row>
    <row r="3338">
      <c r="A3338" t="inlineStr">
        <is>
          <t>2023-2024</t>
        </is>
      </c>
      <c r="B3338" t="inlineStr">
        <is>
          <t>2024-03-06</t>
        </is>
      </c>
      <c r="C3338" t="inlineStr">
        <is>
          <t>20:49</t>
        </is>
      </c>
      <c r="D3338" t="inlineStr">
        <is>
          <t>n° 26 + n° 27</t>
        </is>
      </c>
      <c r="E3338" t="inlineStr">
        <is>
          <t>Saint Véran Verre</t>
        </is>
      </c>
      <c r="F3338" t="n">
        <v>7.9</v>
      </c>
      <c r="G3338" t="inlineStr">
        <is>
          <t>n° 26 : 0,50 + n° 27 : 0,50</t>
        </is>
      </c>
      <c r="H3338" t="n">
        <v>1</v>
      </c>
    </row>
    <row r="3339">
      <c r="A3339" t="inlineStr">
        <is>
          <t>2023-2024</t>
        </is>
      </c>
      <c r="B3339" t="inlineStr">
        <is>
          <t>2024-03-06</t>
        </is>
      </c>
      <c r="C3339" t="inlineStr">
        <is>
          <t>20:49</t>
        </is>
      </c>
      <c r="D3339" t="inlineStr">
        <is>
          <t>n° 26 + n° 27</t>
        </is>
      </c>
      <c r="E3339" t="inlineStr">
        <is>
          <t>CREME BRULEE</t>
        </is>
      </c>
      <c r="F3339" t="n">
        <v>7.9</v>
      </c>
      <c r="G3339" t="inlineStr">
        <is>
          <t>n° 26 : 0,50 + n° 27 : 0,50</t>
        </is>
      </c>
      <c r="H3339" t="n">
        <v>1</v>
      </c>
    </row>
    <row r="3340">
      <c r="A3340" t="inlineStr">
        <is>
          <t>2023-2024</t>
        </is>
      </c>
      <c r="B3340" t="inlineStr">
        <is>
          <t>2024-03-06</t>
        </is>
      </c>
      <c r="C3340" t="inlineStr">
        <is>
          <t>20:49</t>
        </is>
      </c>
      <c r="D3340" t="inlineStr">
        <is>
          <t>n° 26 + n° 27</t>
        </is>
      </c>
      <c r="E3340" t="inlineStr">
        <is>
          <t>Beaujolais Moulin à</t>
        </is>
      </c>
      <c r="F3340" t="n">
        <v>7.6</v>
      </c>
      <c r="G3340" t="inlineStr">
        <is>
          <t>n° 26 : 0,50 + n° 27 : 0,50</t>
        </is>
      </c>
      <c r="H3340" t="n">
        <v>1</v>
      </c>
    </row>
    <row r="3341">
      <c r="A3341" t="inlineStr">
        <is>
          <t>2023-2024</t>
        </is>
      </c>
      <c r="B3341" t="inlineStr">
        <is>
          <t>2024-03-06</t>
        </is>
      </c>
      <c r="C3341" t="inlineStr">
        <is>
          <t>20:49</t>
        </is>
      </c>
      <c r="D3341" t="inlineStr">
        <is>
          <t>n° 26 + n° 27</t>
        </is>
      </c>
      <c r="E3341" t="inlineStr">
        <is>
          <t>GLACE 2 BOULES</t>
        </is>
      </c>
      <c r="F3341" t="n">
        <v>5.5</v>
      </c>
      <c r="G3341" t="inlineStr">
        <is>
          <t>n° 26 : 0,50 + n° 27 : 0,50</t>
        </is>
      </c>
      <c r="H3341" t="n">
        <v>1</v>
      </c>
    </row>
    <row r="3342">
      <c r="A3342" t="inlineStr">
        <is>
          <t>2023-2024</t>
        </is>
      </c>
      <c r="B3342" t="inlineStr">
        <is>
          <t>2024-03-06</t>
        </is>
      </c>
      <c r="C3342" t="inlineStr">
        <is>
          <t>20:49</t>
        </is>
      </c>
      <c r="D3342" t="inlineStr">
        <is>
          <t>n° 26 + n° 27</t>
        </is>
      </c>
      <c r="E3342" t="inlineStr">
        <is>
          <t>Kir Bourgogne</t>
        </is>
      </c>
      <c r="F3342" t="n">
        <v>4.2</v>
      </c>
      <c r="G3342" t="inlineStr">
        <is>
          <t>n° 26 : 0,50 + n° 27 : 0,50</t>
        </is>
      </c>
      <c r="H3342" t="n">
        <v>1</v>
      </c>
    </row>
    <row r="3343">
      <c r="A3343" t="inlineStr">
        <is>
          <t>2023-2024</t>
        </is>
      </c>
      <c r="B3343" t="inlineStr">
        <is>
          <t>2024-03-06</t>
        </is>
      </c>
      <c r="C3343" t="inlineStr">
        <is>
          <t>20:49</t>
        </is>
      </c>
      <c r="D3343" t="inlineStr">
        <is>
          <t>n° 26 + n° 27</t>
        </is>
      </c>
      <c r="E3343" t="inlineStr">
        <is>
          <t>Expresso</t>
        </is>
      </c>
      <c r="F3343" t="n">
        <v>2.2</v>
      </c>
      <c r="G3343" t="inlineStr">
        <is>
          <t>n° 26 : 0,50 + n° 27 : 0,50</t>
        </is>
      </c>
      <c r="H3343" t="n">
        <v>1</v>
      </c>
    </row>
    <row r="3344">
      <c r="A3344" t="inlineStr">
        <is>
          <t>2023-2024</t>
        </is>
      </c>
      <c r="B3344" t="inlineStr">
        <is>
          <t>2024-03-07</t>
        </is>
      </c>
      <c r="C3344" t="inlineStr">
        <is>
          <t>11:53</t>
        </is>
      </c>
      <c r="D3344" t="inlineStr">
        <is>
          <t>n° 1 + n° 2</t>
        </is>
      </c>
      <c r="E3344" t="inlineStr">
        <is>
          <t>Picon bière</t>
        </is>
      </c>
      <c r="F3344" t="n">
        <v>4.8</v>
      </c>
      <c r="G3344" t="inlineStr">
        <is>
          <t>n° 1 : 0,50 + n° 2 : 0,50</t>
        </is>
      </c>
      <c r="H3344" t="n">
        <v>1</v>
      </c>
    </row>
    <row r="3345">
      <c r="A3345" t="inlineStr">
        <is>
          <t>2023-2024</t>
        </is>
      </c>
      <c r="B3345" t="inlineStr">
        <is>
          <t>2024-03-07</t>
        </is>
      </c>
      <c r="C3345" t="inlineStr">
        <is>
          <t>11:53</t>
        </is>
      </c>
      <c r="D3345" t="inlineStr">
        <is>
          <t>n° 1 + n° 2</t>
        </is>
      </c>
      <c r="E3345" t="inlineStr">
        <is>
          <t>Diabolo (25cl)</t>
        </is>
      </c>
      <c r="F3345" t="n">
        <v>3.9</v>
      </c>
      <c r="G3345" t="inlineStr">
        <is>
          <t>n° 1 : 0,50 + n° 2 : 0,50</t>
        </is>
      </c>
      <c r="H3345" t="n">
        <v>1</v>
      </c>
    </row>
    <row r="3346">
      <c r="A3346" t="inlineStr">
        <is>
          <t>2023-2024</t>
        </is>
      </c>
      <c r="B3346" t="inlineStr">
        <is>
          <t>2024-03-08</t>
        </is>
      </c>
      <c r="C3346" t="inlineStr">
        <is>
          <t>12:19</t>
        </is>
      </c>
      <c r="D3346" t="inlineStr">
        <is>
          <t>n° 3 + n° 4 + n° 5 + n° 6</t>
        </is>
      </c>
      <c r="E3346" t="inlineStr">
        <is>
          <t>PiCHET TROUSSEAU</t>
        </is>
      </c>
      <c r="F3346" t="n">
        <v>28</v>
      </c>
      <c r="G3346" t="inlineStr">
        <is>
          <t>n° 5 : 0,50 + n° 6 : 0,50</t>
        </is>
      </c>
      <c r="H3346" t="n">
        <v>1</v>
      </c>
    </row>
    <row r="3347">
      <c r="A3347" t="inlineStr">
        <is>
          <t>2023-2024</t>
        </is>
      </c>
      <c r="B3347" t="inlineStr">
        <is>
          <t>2024-03-08</t>
        </is>
      </c>
      <c r="C3347" t="inlineStr">
        <is>
          <t>12:19</t>
        </is>
      </c>
      <c r="D3347" t="inlineStr">
        <is>
          <t>n° 3 + n° 4 + n° 5 + n° 6</t>
        </is>
      </c>
      <c r="E3347" t="inlineStr">
        <is>
          <t>Savagnin verre</t>
        </is>
      </c>
      <c r="F3347" t="n">
        <v>8.300000000000001</v>
      </c>
      <c r="G3347" t="inlineStr">
        <is>
          <t>n° 3 : 0,50 + n° 4 : 0,50</t>
        </is>
      </c>
      <c r="H3347" t="n">
        <v>1</v>
      </c>
    </row>
    <row r="3348">
      <c r="A3348" t="inlineStr">
        <is>
          <t>2023-2024</t>
        </is>
      </c>
      <c r="B3348" t="inlineStr">
        <is>
          <t>2024-03-08</t>
        </is>
      </c>
      <c r="C3348" t="inlineStr">
        <is>
          <t>12:19</t>
        </is>
      </c>
      <c r="D3348" t="inlineStr">
        <is>
          <t>n° 3 + n° 4 + n° 5 + n° 6</t>
        </is>
      </c>
      <c r="E3348" t="inlineStr">
        <is>
          <t>Menu Bambin</t>
        </is>
      </c>
      <c r="F3348" t="n">
        <v>6.9</v>
      </c>
      <c r="G3348" t="inlineStr">
        <is>
          <t>n° 5 : 0,50 + n° 6 : 0,50</t>
        </is>
      </c>
      <c r="H3348" t="n">
        <v>1</v>
      </c>
    </row>
    <row r="3349">
      <c r="A3349" t="inlineStr">
        <is>
          <t>2023-2024</t>
        </is>
      </c>
      <c r="B3349" t="inlineStr">
        <is>
          <t>2024-03-08</t>
        </is>
      </c>
      <c r="C3349" t="inlineStr">
        <is>
          <t>12:19</t>
        </is>
      </c>
      <c r="D3349" t="inlineStr">
        <is>
          <t>n° 3 + n° 4 + n° 5 + n° 6</t>
        </is>
      </c>
      <c r="E3349" t="inlineStr">
        <is>
          <t>Chat perché</t>
        </is>
      </c>
      <c r="F3349" t="n">
        <v>5.9</v>
      </c>
      <c r="G3349" t="inlineStr">
        <is>
          <t>n° 5 : 1,50 + n° 6 : 0,50</t>
        </is>
      </c>
      <c r="H3349" t="n">
        <v>2</v>
      </c>
    </row>
    <row r="3350">
      <c r="A3350" t="inlineStr">
        <is>
          <t>2023-2024</t>
        </is>
      </c>
      <c r="B3350" t="inlineStr">
        <is>
          <t>2024-03-08</t>
        </is>
      </c>
      <c r="C3350" t="inlineStr">
        <is>
          <t>12:19</t>
        </is>
      </c>
      <c r="D3350" t="inlineStr">
        <is>
          <t>n° 3 + n° 4 + n° 5 + n° 6</t>
        </is>
      </c>
      <c r="E3350" t="inlineStr">
        <is>
          <t>cidre la Mordue</t>
        </is>
      </c>
      <c r="F3350" t="n">
        <v>4.8</v>
      </c>
      <c r="G3350" t="inlineStr">
        <is>
          <t>n° 3 : 0,50 + n° 4 : 0,50</t>
        </is>
      </c>
      <c r="H3350" t="n">
        <v>1</v>
      </c>
    </row>
    <row r="3351">
      <c r="A3351" t="inlineStr">
        <is>
          <t>2023-2024</t>
        </is>
      </c>
      <c r="B3351" t="inlineStr">
        <is>
          <t>2024-03-08</t>
        </is>
      </c>
      <c r="C3351" t="inlineStr">
        <is>
          <t>20:26</t>
        </is>
      </c>
      <c r="D3351" t="inlineStr">
        <is>
          <t>n° 12 + n° 13 + n° 14 + n° 15</t>
        </is>
      </c>
      <c r="E3351" t="inlineStr">
        <is>
          <t>Menu 'Demi Lune'</t>
        </is>
      </c>
      <c r="F3351" t="n">
        <v>45</v>
      </c>
      <c r="G3351" t="inlineStr">
        <is>
          <t>n° 14 : 0,50 + n° 15 : 0,50</t>
        </is>
      </c>
      <c r="H3351" t="n">
        <v>1</v>
      </c>
    </row>
    <row r="3352">
      <c r="A3352" t="inlineStr">
        <is>
          <t>2023-2024</t>
        </is>
      </c>
      <c r="B3352" t="inlineStr">
        <is>
          <t>2024-03-08</t>
        </is>
      </c>
      <c r="C3352" t="inlineStr">
        <is>
          <t>20:26</t>
        </is>
      </c>
      <c r="D3352" t="inlineStr">
        <is>
          <t>n° 12 + n° 13 + n° 14 + n° 15</t>
        </is>
      </c>
      <c r="E3352" t="inlineStr">
        <is>
          <t>ENTRECOTE MORILLES</t>
        </is>
      </c>
      <c r="F3352" t="n">
        <v>34.8</v>
      </c>
      <c r="G3352" t="inlineStr">
        <is>
          <t>n° 12 : 0,50 + n° 13 : 0,50</t>
        </is>
      </c>
      <c r="H3352" t="n">
        <v>1</v>
      </c>
    </row>
    <row r="3353">
      <c r="A3353" t="inlineStr">
        <is>
          <t>2023-2024</t>
        </is>
      </c>
      <c r="B3353" t="inlineStr">
        <is>
          <t>2024-03-08</t>
        </is>
      </c>
      <c r="C3353" t="inlineStr">
        <is>
          <t>20:26</t>
        </is>
      </c>
      <c r="D3353" t="inlineStr">
        <is>
          <t>n° 12 + n° 13 + n° 14 + n° 15</t>
        </is>
      </c>
      <c r="E3353" t="inlineStr">
        <is>
          <t>Menu Bourguignon</t>
        </is>
      </c>
      <c r="F3353" t="n">
        <v>34</v>
      </c>
      <c r="G3353" t="inlineStr">
        <is>
          <t>n° 14 : 0,50 + n° 15 : 0,50</t>
        </is>
      </c>
      <c r="H3353" t="n">
        <v>1</v>
      </c>
    </row>
    <row r="3354">
      <c r="A3354" t="inlineStr">
        <is>
          <t>2023-2024</t>
        </is>
      </c>
      <c r="B3354" t="inlineStr">
        <is>
          <t>2024-03-08</t>
        </is>
      </c>
      <c r="C3354" t="inlineStr">
        <is>
          <t>20:26</t>
        </is>
      </c>
      <c r="D3354" t="inlineStr">
        <is>
          <t>n° 12 + n° 13 + n° 14 + n° 15</t>
        </is>
      </c>
      <c r="E3354" t="inlineStr">
        <is>
          <t>Entrecôte Forestiére</t>
        </is>
      </c>
      <c r="F3354" t="n">
        <v>27.8</v>
      </c>
      <c r="G3354" t="inlineStr">
        <is>
          <t>n° 12 : 0,50 + n° 13 : 0,50</t>
        </is>
      </c>
      <c r="H3354" t="n">
        <v>1</v>
      </c>
    </row>
    <row r="3355">
      <c r="A3355" t="inlineStr">
        <is>
          <t>2023-2024</t>
        </is>
      </c>
      <c r="B3355" t="inlineStr">
        <is>
          <t>2024-03-08</t>
        </is>
      </c>
      <c r="C3355" t="inlineStr">
        <is>
          <t>20:26</t>
        </is>
      </c>
      <c r="D3355" t="inlineStr">
        <is>
          <t>n° 12 + n° 13 + n° 14 + n° 15</t>
        </is>
      </c>
      <c r="E3355" t="inlineStr">
        <is>
          <t>Croûtes Morilles</t>
        </is>
      </c>
      <c r="F3355" t="n">
        <v>16.9</v>
      </c>
      <c r="G3355" t="inlineStr">
        <is>
          <t>n° 12 : 0,50 + n° 13 : 0,50</t>
        </is>
      </c>
      <c r="H3355" t="n">
        <v>1</v>
      </c>
    </row>
    <row r="3356">
      <c r="A3356" t="inlineStr">
        <is>
          <t>2023-2024</t>
        </is>
      </c>
      <c r="B3356" t="inlineStr">
        <is>
          <t>2024-03-08</t>
        </is>
      </c>
      <c r="C3356" t="inlineStr">
        <is>
          <t>20:26</t>
        </is>
      </c>
      <c r="D3356" t="inlineStr">
        <is>
          <t>n° 12 + n° 13 + n° 14 + n° 15</t>
        </is>
      </c>
      <c r="E3356" t="inlineStr">
        <is>
          <t>BALIDOU</t>
        </is>
      </c>
      <c r="F3356" t="n">
        <v>9</v>
      </c>
      <c r="G3356" t="inlineStr">
        <is>
          <t>n° 14 : 0,50 + n° 15 : 0,50</t>
        </is>
      </c>
      <c r="H3356" t="n">
        <v>1</v>
      </c>
    </row>
    <row r="3357">
      <c r="A3357" t="inlineStr">
        <is>
          <t>2023-2024</t>
        </is>
      </c>
      <c r="B3357" t="inlineStr">
        <is>
          <t>2024-03-08</t>
        </is>
      </c>
      <c r="C3357" t="inlineStr">
        <is>
          <t>20:26</t>
        </is>
      </c>
      <c r="D3357" t="inlineStr">
        <is>
          <t>n° 12 + n° 13 + n° 14 + n° 15</t>
        </is>
      </c>
      <c r="E3357" t="inlineStr">
        <is>
          <t>Savagnin verre</t>
        </is>
      </c>
      <c r="F3357" t="n">
        <v>8.300000000000001</v>
      </c>
      <c r="G3357" t="inlineStr">
        <is>
          <t>n° 12 : 1,50 + n° 13 : 1,50</t>
        </is>
      </c>
      <c r="H3357" t="n">
        <v>3</v>
      </c>
    </row>
    <row r="3358">
      <c r="A3358" t="inlineStr">
        <is>
          <t>2023-2024</t>
        </is>
      </c>
      <c r="B3358" t="inlineStr">
        <is>
          <t>2024-03-08</t>
        </is>
      </c>
      <c r="C3358" t="inlineStr">
        <is>
          <t>20:26</t>
        </is>
      </c>
      <c r="D3358" t="inlineStr">
        <is>
          <t>n° 12 + n° 13 + n° 14 + n° 15</t>
        </is>
      </c>
      <c r="E3358" t="inlineStr">
        <is>
          <t>Saint Véran Verre</t>
        </is>
      </c>
      <c r="F3358" t="n">
        <v>7.9</v>
      </c>
      <c r="G3358" t="inlineStr">
        <is>
          <t>n° 12 : 1,00 + n° 13 : 1,00 + n° 14 : 0,50 + n° 15 : 0,50</t>
        </is>
      </c>
      <c r="H3358" t="n">
        <v>3</v>
      </c>
    </row>
    <row r="3359">
      <c r="A3359" t="inlineStr">
        <is>
          <t>2023-2024</t>
        </is>
      </c>
      <c r="B3359" t="inlineStr">
        <is>
          <t>2024-03-08</t>
        </is>
      </c>
      <c r="C3359" t="inlineStr">
        <is>
          <t>20:26</t>
        </is>
      </c>
      <c r="D3359" t="inlineStr">
        <is>
          <t>n° 12 + n° 13 + n° 14 + n° 15</t>
        </is>
      </c>
      <c r="E3359" t="inlineStr">
        <is>
          <t>Gewurztraminer Le ve</t>
        </is>
      </c>
      <c r="F3359" t="n">
        <v>7</v>
      </c>
      <c r="G3359" t="inlineStr">
        <is>
          <t>n° 14 : 0,50 + n° 15 : 0,50</t>
        </is>
      </c>
      <c r="H3359" t="n">
        <v>1</v>
      </c>
    </row>
    <row r="3360">
      <c r="A3360" t="inlineStr">
        <is>
          <t>2023-2024</t>
        </is>
      </c>
      <c r="B3360" t="inlineStr">
        <is>
          <t>2024-03-08</t>
        </is>
      </c>
      <c r="C3360" t="inlineStr">
        <is>
          <t>20:26</t>
        </is>
      </c>
      <c r="D3360" t="inlineStr">
        <is>
          <t>n° 12 + n° 13 + n° 14 + n° 15</t>
        </is>
      </c>
      <c r="E3360" t="inlineStr">
        <is>
          <t>Mambo</t>
        </is>
      </c>
      <c r="F3360" t="n">
        <v>6.5</v>
      </c>
      <c r="G3360" t="inlineStr">
        <is>
          <t>n° 14 : 0,50 + n° 15 : 0,50</t>
        </is>
      </c>
      <c r="H3360" t="n">
        <v>1</v>
      </c>
    </row>
    <row r="3361">
      <c r="A3361" t="inlineStr">
        <is>
          <t>2023-2024</t>
        </is>
      </c>
      <c r="B3361" t="inlineStr">
        <is>
          <t>2024-03-08</t>
        </is>
      </c>
      <c r="C3361" t="inlineStr">
        <is>
          <t>20:26</t>
        </is>
      </c>
      <c r="D3361" t="inlineStr">
        <is>
          <t>n° 12 + n° 13 + n° 14 + n° 15</t>
        </is>
      </c>
      <c r="E3361" t="inlineStr">
        <is>
          <t>Crêpe Confiture</t>
        </is>
      </c>
      <c r="F3361" t="n">
        <v>5.4</v>
      </c>
      <c r="G3361" t="inlineStr">
        <is>
          <t>n° 12 : 0,50 + n° 13 : 0,50</t>
        </is>
      </c>
      <c r="H3361" t="n">
        <v>1</v>
      </c>
    </row>
    <row r="3362">
      <c r="A3362" t="inlineStr">
        <is>
          <t>2023-2024</t>
        </is>
      </c>
      <c r="B3362" t="inlineStr">
        <is>
          <t>2024-03-09</t>
        </is>
      </c>
      <c r="C3362" t="inlineStr">
        <is>
          <t>18:52</t>
        </is>
      </c>
      <c r="D3362" t="inlineStr">
        <is>
          <t>n° 13 + n° 14</t>
        </is>
      </c>
      <c r="E3362" t="inlineStr">
        <is>
          <t>Salade Régionale</t>
        </is>
      </c>
      <c r="F3362" t="n">
        <v>19.9</v>
      </c>
      <c r="G3362" t="inlineStr">
        <is>
          <t>n° 13 : 0,50 + n° 14 : 0,50</t>
        </is>
      </c>
      <c r="H3362" t="n">
        <v>1</v>
      </c>
    </row>
    <row r="3363">
      <c r="A3363" t="inlineStr">
        <is>
          <t>2023-2024</t>
        </is>
      </c>
      <c r="B3363" t="inlineStr">
        <is>
          <t>2024-03-09</t>
        </is>
      </c>
      <c r="C3363" t="inlineStr">
        <is>
          <t>18:52</t>
        </is>
      </c>
      <c r="D3363" t="inlineStr">
        <is>
          <t>n° 13 + n° 14</t>
        </is>
      </c>
      <c r="E3363" t="inlineStr">
        <is>
          <t>Croûtes Morilles</t>
        </is>
      </c>
      <c r="F3363" t="n">
        <v>16.9</v>
      </c>
      <c r="G3363" t="inlineStr">
        <is>
          <t>n° 13 : 0,50 + n° 14 : 0,50</t>
        </is>
      </c>
      <c r="H3363" t="n">
        <v>1</v>
      </c>
    </row>
    <row r="3364">
      <c r="A3364" t="inlineStr">
        <is>
          <t>2023-2024</t>
        </is>
      </c>
      <c r="B3364" t="inlineStr">
        <is>
          <t>2024-03-09</t>
        </is>
      </c>
      <c r="C3364" t="inlineStr">
        <is>
          <t>18:52</t>
        </is>
      </c>
      <c r="D3364" t="inlineStr">
        <is>
          <t>n° 13 + n° 14</t>
        </is>
      </c>
      <c r="E3364" t="inlineStr">
        <is>
          <t>MACON VERRE</t>
        </is>
      </c>
      <c r="F3364" t="n">
        <v>6.3</v>
      </c>
      <c r="G3364" t="inlineStr">
        <is>
          <t>n° 13 : 0,50 + n° 14 : 0,50</t>
        </is>
      </c>
      <c r="H3364" t="n">
        <v>1</v>
      </c>
    </row>
    <row r="3365">
      <c r="A3365" t="inlineStr">
        <is>
          <t>2023-2024</t>
        </is>
      </c>
      <c r="B3365" t="inlineStr">
        <is>
          <t>2024-03-09</t>
        </is>
      </c>
      <c r="C3365" t="inlineStr">
        <is>
          <t>18:52</t>
        </is>
      </c>
      <c r="D3365" t="inlineStr">
        <is>
          <t>n° 13 + n° 14</t>
        </is>
      </c>
      <c r="E3365" t="inlineStr">
        <is>
          <t>GLACE 2 BOULES</t>
        </is>
      </c>
      <c r="F3365" t="n">
        <v>5.5</v>
      </c>
      <c r="G3365" t="inlineStr">
        <is>
          <t>n° 13 : 0,50 + n° 14 : 0,50</t>
        </is>
      </c>
      <c r="H3365" t="n">
        <v>1</v>
      </c>
    </row>
    <row r="3366">
      <c r="A3366" t="inlineStr">
        <is>
          <t>2023-2024</t>
        </is>
      </c>
      <c r="B3366" t="inlineStr">
        <is>
          <t>2024-03-09</t>
        </is>
      </c>
      <c r="C3366" t="inlineStr">
        <is>
          <t>18:52</t>
        </is>
      </c>
      <c r="D3366" t="inlineStr">
        <is>
          <t>n° 13 + n° 14</t>
        </is>
      </c>
      <c r="E3366" t="inlineStr">
        <is>
          <t>Crêpe nature</t>
        </is>
      </c>
      <c r="F3366" t="n">
        <v>3.9</v>
      </c>
      <c r="G3366" t="inlineStr">
        <is>
          <t>n° 13 : 0,50 + n° 14 : 0,50</t>
        </is>
      </c>
      <c r="H3366" t="n">
        <v>1</v>
      </c>
    </row>
    <row r="3367">
      <c r="A3367" t="inlineStr">
        <is>
          <t>2023-2024</t>
        </is>
      </c>
      <c r="B3367" t="inlineStr">
        <is>
          <t>2024-03-09</t>
        </is>
      </c>
      <c r="C3367" t="inlineStr">
        <is>
          <t>18:52</t>
        </is>
      </c>
      <c r="D3367" t="inlineStr">
        <is>
          <t>n° 13 + n° 14</t>
        </is>
      </c>
      <c r="E3367" t="inlineStr">
        <is>
          <t>SAUCE CHOCO/CAFE/CAR</t>
        </is>
      </c>
      <c r="F3367" t="n">
        <v>2.4</v>
      </c>
      <c r="G3367" t="inlineStr">
        <is>
          <t>n° 13 : 0,50 + n° 14 : 0,50</t>
        </is>
      </c>
      <c r="H3367" t="n">
        <v>1</v>
      </c>
    </row>
    <row r="3368">
      <c r="A3368" t="inlineStr">
        <is>
          <t>2023-2024</t>
        </is>
      </c>
      <c r="B3368" t="inlineStr">
        <is>
          <t>2024-03-09</t>
        </is>
      </c>
      <c r="C3368" t="inlineStr">
        <is>
          <t>18:52</t>
        </is>
      </c>
      <c r="D3368" t="inlineStr">
        <is>
          <t>n° 13 + n° 14</t>
        </is>
      </c>
      <c r="E3368" t="inlineStr">
        <is>
          <t>Expresso</t>
        </is>
      </c>
      <c r="F3368" t="n">
        <v>2.2</v>
      </c>
      <c r="G3368" t="inlineStr">
        <is>
          <t>n° 13 : 0,50 + n° 14 : 0,50</t>
        </is>
      </c>
      <c r="H3368" t="n">
        <v>1</v>
      </c>
    </row>
    <row r="3369">
      <c r="A3369" t="inlineStr">
        <is>
          <t>2023-2024</t>
        </is>
      </c>
      <c r="B3369" t="inlineStr">
        <is>
          <t>2024-03-09</t>
        </is>
      </c>
      <c r="C3369" t="inlineStr">
        <is>
          <t>20:27</t>
        </is>
      </c>
      <c r="D3369" t="inlineStr">
        <is>
          <t>n° 23 + n° 24</t>
        </is>
      </c>
      <c r="E3369" t="inlineStr">
        <is>
          <t>PICHET MOULIN A VENT</t>
        </is>
      </c>
      <c r="F3369" t="n">
        <v>26</v>
      </c>
      <c r="G3369" t="inlineStr">
        <is>
          <t>n° 23 : 0,50 + n° 24 : 0,50</t>
        </is>
      </c>
      <c r="H3369" t="n">
        <v>1</v>
      </c>
    </row>
    <row r="3370">
      <c r="A3370" t="inlineStr">
        <is>
          <t>2023-2024</t>
        </is>
      </c>
      <c r="B3370" t="inlineStr">
        <is>
          <t>2024-03-09</t>
        </is>
      </c>
      <c r="C3370" t="inlineStr">
        <is>
          <t>20:27</t>
        </is>
      </c>
      <c r="D3370" t="inlineStr">
        <is>
          <t>n° 23 + n° 24</t>
        </is>
      </c>
      <c r="E3370" t="inlineStr">
        <is>
          <t>CANCOINE</t>
        </is>
      </c>
      <c r="F3370" t="n">
        <v>25.5</v>
      </c>
      <c r="G3370" t="inlineStr">
        <is>
          <t>n° 23 : 0,50 + n° 24 : 0,50</t>
        </is>
      </c>
      <c r="H3370" t="n">
        <v>1</v>
      </c>
    </row>
    <row r="3371">
      <c r="A3371" t="inlineStr">
        <is>
          <t>2023-2024</t>
        </is>
      </c>
      <c r="B3371" t="inlineStr">
        <is>
          <t>2024-03-09</t>
        </is>
      </c>
      <c r="C3371" t="inlineStr">
        <is>
          <t>20:27</t>
        </is>
      </c>
      <c r="D3371" t="inlineStr">
        <is>
          <t>n° 23 + n° 24</t>
        </is>
      </c>
      <c r="E3371" t="inlineStr">
        <is>
          <t>MACHON GOURMET</t>
        </is>
      </c>
      <c r="F3371" t="n">
        <v>25</v>
      </c>
      <c r="G3371" t="inlineStr">
        <is>
          <t>n° 23 : 0,50 + n° 24 : 0,50</t>
        </is>
      </c>
      <c r="H3371" t="n">
        <v>1</v>
      </c>
    </row>
    <row r="3372">
      <c r="A3372" t="inlineStr">
        <is>
          <t>2023-2024</t>
        </is>
      </c>
      <c r="B3372" t="inlineStr">
        <is>
          <t>2024-03-09</t>
        </is>
      </c>
      <c r="C3372" t="inlineStr">
        <is>
          <t>20:27</t>
        </is>
      </c>
      <c r="D3372" t="inlineStr">
        <is>
          <t>n° 23 + n° 24</t>
        </is>
      </c>
      <c r="E3372" t="inlineStr">
        <is>
          <t>MORTEAU GRILLEE</t>
        </is>
      </c>
      <c r="F3372" t="n">
        <v>18.6</v>
      </c>
      <c r="G3372" t="inlineStr">
        <is>
          <t>n° 23 : 0,50 + n° 24 : 0,50</t>
        </is>
      </c>
      <c r="H3372" t="n">
        <v>1</v>
      </c>
    </row>
    <row r="3373">
      <c r="A3373" t="inlineStr">
        <is>
          <t>2023-2024</t>
        </is>
      </c>
      <c r="B3373" t="inlineStr">
        <is>
          <t>2024-03-09</t>
        </is>
      </c>
      <c r="C3373" t="inlineStr">
        <is>
          <t>20:27</t>
        </is>
      </c>
      <c r="D3373" t="inlineStr">
        <is>
          <t>n° 23 + n° 24</t>
        </is>
      </c>
      <c r="E3373" t="inlineStr">
        <is>
          <t>CABRICHOU</t>
        </is>
      </c>
      <c r="F3373" t="n">
        <v>16.9</v>
      </c>
      <c r="G3373" t="inlineStr">
        <is>
          <t>n° 23 : 0,50 + n° 24 : 0,50</t>
        </is>
      </c>
      <c r="H3373" t="n">
        <v>1</v>
      </c>
    </row>
    <row r="3374">
      <c r="A3374" t="inlineStr">
        <is>
          <t>2023-2024</t>
        </is>
      </c>
      <c r="B3374" t="inlineStr">
        <is>
          <t>2024-03-09</t>
        </is>
      </c>
      <c r="C3374" t="inlineStr">
        <is>
          <t>20:27</t>
        </is>
      </c>
      <c r="D3374" t="inlineStr">
        <is>
          <t>n° 23 + n° 24</t>
        </is>
      </c>
      <c r="E3374" t="inlineStr">
        <is>
          <t>MAEVA</t>
        </is>
      </c>
      <c r="F3374" t="n">
        <v>9</v>
      </c>
      <c r="G3374" t="inlineStr">
        <is>
          <t>n° 23 : 0,50 + n° 24 : 0,50</t>
        </is>
      </c>
      <c r="H3374" t="n">
        <v>1</v>
      </c>
    </row>
    <row r="3375">
      <c r="A3375" t="inlineStr">
        <is>
          <t>2023-2024</t>
        </is>
      </c>
      <c r="B3375" t="inlineStr">
        <is>
          <t>2024-03-09</t>
        </is>
      </c>
      <c r="C3375" t="inlineStr">
        <is>
          <t>20:27</t>
        </is>
      </c>
      <c r="D3375" t="inlineStr">
        <is>
          <t>n° 23 + n° 24</t>
        </is>
      </c>
      <c r="E3375" t="inlineStr">
        <is>
          <t>Savagnin verre</t>
        </is>
      </c>
      <c r="F3375" t="n">
        <v>8.300000000000001</v>
      </c>
      <c r="G3375" t="inlineStr">
        <is>
          <t>n° 23 : 0,50 + n° 24 : 0,50</t>
        </is>
      </c>
      <c r="H3375" t="n">
        <v>1</v>
      </c>
    </row>
    <row r="3376">
      <c r="A3376" t="inlineStr">
        <is>
          <t>2023-2024</t>
        </is>
      </c>
      <c r="B3376" t="inlineStr">
        <is>
          <t>2024-03-09</t>
        </is>
      </c>
      <c r="C3376" t="inlineStr">
        <is>
          <t>20:27</t>
        </is>
      </c>
      <c r="D3376" t="inlineStr">
        <is>
          <t>n° 23 + n° 24</t>
        </is>
      </c>
      <c r="E3376" t="inlineStr">
        <is>
          <t>Escargots de Bourgog</t>
        </is>
      </c>
      <c r="F3376" t="n">
        <v>8</v>
      </c>
      <c r="G3376" t="inlineStr">
        <is>
          <t>n° 23 : 0,50 + n° 24 : 0,50</t>
        </is>
      </c>
      <c r="H3376" t="n">
        <v>1</v>
      </c>
    </row>
    <row r="3377">
      <c r="A3377" t="inlineStr">
        <is>
          <t>2023-2024</t>
        </is>
      </c>
      <c r="B3377" t="inlineStr">
        <is>
          <t>2024-03-09</t>
        </is>
      </c>
      <c r="C3377" t="inlineStr">
        <is>
          <t>20:27</t>
        </is>
      </c>
      <c r="D3377" t="inlineStr">
        <is>
          <t>n° 23 + n° 24</t>
        </is>
      </c>
      <c r="E3377" t="inlineStr">
        <is>
          <t>CREME BRULEE</t>
        </is>
      </c>
      <c r="F3377" t="n">
        <v>7.9</v>
      </c>
      <c r="G3377" t="inlineStr">
        <is>
          <t>n° 23 : 0,50 + n° 24 : 0,50</t>
        </is>
      </c>
      <c r="H3377" t="n">
        <v>1</v>
      </c>
    </row>
    <row r="3378">
      <c r="A3378" t="inlineStr">
        <is>
          <t>2023-2024</t>
        </is>
      </c>
      <c r="B3378" t="inlineStr">
        <is>
          <t>2024-03-09</t>
        </is>
      </c>
      <c r="C3378" t="inlineStr">
        <is>
          <t>20:27</t>
        </is>
      </c>
      <c r="D3378" t="inlineStr">
        <is>
          <t>n° 23 + n° 24</t>
        </is>
      </c>
      <c r="E3378" t="inlineStr">
        <is>
          <t>Ambrée</t>
        </is>
      </c>
      <c r="F3378" t="n">
        <v>6.9</v>
      </c>
      <c r="G3378" t="inlineStr">
        <is>
          <t>n° 23 : 0,50 + n° 24 : 0,50</t>
        </is>
      </c>
      <c r="H3378" t="n">
        <v>1</v>
      </c>
    </row>
    <row r="3379">
      <c r="A3379" t="inlineStr">
        <is>
          <t>2023-2024</t>
        </is>
      </c>
      <c r="B3379" t="inlineStr">
        <is>
          <t>2024-03-09</t>
        </is>
      </c>
      <c r="C3379" t="inlineStr">
        <is>
          <t>20:27</t>
        </is>
      </c>
      <c r="D3379" t="inlineStr">
        <is>
          <t>n° 23 + n° 24</t>
        </is>
      </c>
      <c r="E3379" t="inlineStr">
        <is>
          <t>Kir Bourgogne</t>
        </is>
      </c>
      <c r="F3379" t="n">
        <v>4.2</v>
      </c>
      <c r="G3379" t="inlineStr">
        <is>
          <t>n° 23 : 0,50 + n° 24 : 0,50</t>
        </is>
      </c>
      <c r="H3379" t="n">
        <v>1</v>
      </c>
    </row>
    <row r="3380">
      <c r="A3380" t="inlineStr">
        <is>
          <t>2023-2024</t>
        </is>
      </c>
      <c r="B3380" t="inlineStr">
        <is>
          <t>2024-03-10</t>
        </is>
      </c>
      <c r="C3380" t="inlineStr">
        <is>
          <t>13:15</t>
        </is>
      </c>
      <c r="D3380" t="inlineStr">
        <is>
          <t>n° 10 + n° 11</t>
        </is>
      </c>
      <c r="E3380" t="inlineStr">
        <is>
          <t>Entrecôte Forestiére</t>
        </is>
      </c>
      <c r="F3380" t="n">
        <v>27.8</v>
      </c>
      <c r="G3380" t="inlineStr">
        <is>
          <t>n° 10 : 0,50 + n° 11 : 0,50</t>
        </is>
      </c>
      <c r="H3380" t="n">
        <v>1</v>
      </c>
    </row>
    <row r="3381">
      <c r="A3381" t="inlineStr">
        <is>
          <t>2023-2024</t>
        </is>
      </c>
      <c r="B3381" t="inlineStr">
        <is>
          <t>2024-03-10</t>
        </is>
      </c>
      <c r="C3381" t="inlineStr">
        <is>
          <t>13:15</t>
        </is>
      </c>
      <c r="D3381" t="inlineStr">
        <is>
          <t>n° 10 + n° 11</t>
        </is>
      </c>
      <c r="E3381" t="inlineStr">
        <is>
          <t>POULET JURASSIENNE</t>
        </is>
      </c>
      <c r="F3381" t="n">
        <v>18.6</v>
      </c>
      <c r="G3381" t="inlineStr">
        <is>
          <t>n° 10 : 0,50 + n° 11 : 0,50</t>
        </is>
      </c>
      <c r="H3381" t="n">
        <v>1</v>
      </c>
    </row>
    <row r="3382">
      <c r="A3382" t="inlineStr">
        <is>
          <t>2023-2024</t>
        </is>
      </c>
      <c r="B3382" t="inlineStr">
        <is>
          <t>2024-03-10</t>
        </is>
      </c>
      <c r="C3382" t="inlineStr">
        <is>
          <t>13:15</t>
        </is>
      </c>
      <c r="D3382" t="inlineStr">
        <is>
          <t>n° 10 + n° 11</t>
        </is>
      </c>
      <c r="E3382" t="inlineStr">
        <is>
          <t>SAUCE CHOCO/CAFE/CAR</t>
        </is>
      </c>
      <c r="F3382" t="n">
        <v>2.4</v>
      </c>
      <c r="G3382" t="inlineStr">
        <is>
          <t>n° 10 : 0,50 + n° 11 : 0,50</t>
        </is>
      </c>
      <c r="H3382" t="n">
        <v>1</v>
      </c>
    </row>
    <row r="3383">
      <c r="A3383" t="inlineStr">
        <is>
          <t>2023-2024</t>
        </is>
      </c>
      <c r="B3383" t="inlineStr">
        <is>
          <t>2024-03-10</t>
        </is>
      </c>
      <c r="C3383" t="inlineStr">
        <is>
          <t>19:58</t>
        </is>
      </c>
      <c r="D3383" t="inlineStr">
        <is>
          <t>n° 18 + n° 19</t>
        </is>
      </c>
      <c r="E3383" t="inlineStr">
        <is>
          <t>Poulet aux Morilles</t>
        </is>
      </c>
      <c r="F3383" t="n">
        <v>28.6</v>
      </c>
      <c r="G3383" t="inlineStr">
        <is>
          <t>n° 18 : 0,50 + n° 19 : 0,50</t>
        </is>
      </c>
      <c r="H3383" t="n">
        <v>1</v>
      </c>
    </row>
    <row r="3384">
      <c r="A3384" t="inlineStr">
        <is>
          <t>2023-2024</t>
        </is>
      </c>
      <c r="B3384" t="inlineStr">
        <is>
          <t>2024-03-10</t>
        </is>
      </c>
      <c r="C3384" t="inlineStr">
        <is>
          <t>19:58</t>
        </is>
      </c>
      <c r="D3384" t="inlineStr">
        <is>
          <t>n° 18 + n° 19</t>
        </is>
      </c>
      <c r="E3384" t="inlineStr">
        <is>
          <t>MORTEAU GRILLEE</t>
        </is>
      </c>
      <c r="F3384" t="n">
        <v>18.6</v>
      </c>
      <c r="G3384" t="inlineStr">
        <is>
          <t>n° 18 : 0,50 + n° 19 : 0,50</t>
        </is>
      </c>
      <c r="H3384" t="n">
        <v>1</v>
      </c>
    </row>
    <row r="3385">
      <c r="A3385" t="inlineStr">
        <is>
          <t>2023-2024</t>
        </is>
      </c>
      <c r="B3385" t="inlineStr">
        <is>
          <t>2024-03-10</t>
        </is>
      </c>
      <c r="C3385" t="inlineStr">
        <is>
          <t>19:58</t>
        </is>
      </c>
      <c r="D3385" t="inlineStr">
        <is>
          <t>n° 18 + n° 19</t>
        </is>
      </c>
      <c r="E3385" t="inlineStr">
        <is>
          <t>Pavlova</t>
        </is>
      </c>
      <c r="F3385" t="n">
        <v>8.9</v>
      </c>
      <c r="G3385" t="inlineStr">
        <is>
          <t>n° 18 : 0,50 + n° 19 : 0,50</t>
        </is>
      </c>
      <c r="H3385" t="n">
        <v>1</v>
      </c>
    </row>
    <row r="3386">
      <c r="A3386" t="inlineStr">
        <is>
          <t>2023-2024</t>
        </is>
      </c>
      <c r="B3386" t="inlineStr">
        <is>
          <t>2024-03-10</t>
        </is>
      </c>
      <c r="C3386" t="inlineStr">
        <is>
          <t>19:58</t>
        </is>
      </c>
      <c r="D3386" t="inlineStr">
        <is>
          <t>n° 18 + n° 19</t>
        </is>
      </c>
      <c r="E3386" t="inlineStr">
        <is>
          <t>CREME BRULEE</t>
        </is>
      </c>
      <c r="F3386" t="n">
        <v>7.9</v>
      </c>
      <c r="G3386" t="inlineStr">
        <is>
          <t>n° 18 : 0,50 + n° 19 : 0,50</t>
        </is>
      </c>
      <c r="H3386" t="n">
        <v>1</v>
      </c>
    </row>
    <row r="3387">
      <c r="A3387" t="inlineStr">
        <is>
          <t>2023-2024</t>
        </is>
      </c>
      <c r="B3387" t="inlineStr">
        <is>
          <t>2024-03-10</t>
        </is>
      </c>
      <c r="C3387" t="inlineStr">
        <is>
          <t>19:58</t>
        </is>
      </c>
      <c r="D3387" t="inlineStr">
        <is>
          <t>n° 18 + n° 19</t>
        </is>
      </c>
      <c r="E3387" t="inlineStr">
        <is>
          <t>Macvin du Jura</t>
        </is>
      </c>
      <c r="F3387" t="n">
        <v>5.9</v>
      </c>
      <c r="G3387" t="inlineStr">
        <is>
          <t>n° 18 : 1,50 + n° 19 : 1,50</t>
        </is>
      </c>
      <c r="H3387" t="n">
        <v>3</v>
      </c>
    </row>
    <row r="3388">
      <c r="A3388" t="inlineStr">
        <is>
          <t>2023-2024</t>
        </is>
      </c>
      <c r="B3388" t="inlineStr">
        <is>
          <t>2024-03-10</t>
        </is>
      </c>
      <c r="C3388" t="inlineStr">
        <is>
          <t>19:58</t>
        </is>
      </c>
      <c r="D3388" t="inlineStr">
        <is>
          <t>n° 18 + n° 19</t>
        </is>
      </c>
      <c r="E3388" t="inlineStr">
        <is>
          <t>pression</t>
        </is>
      </c>
      <c r="F3388" t="n">
        <v>4.2</v>
      </c>
      <c r="G3388" t="inlineStr">
        <is>
          <t>n° 18 : 0,50 + n° 19 : 0,50</t>
        </is>
      </c>
      <c r="H3388" t="n">
        <v>1</v>
      </c>
    </row>
    <row r="3389">
      <c r="A3389" t="inlineStr">
        <is>
          <t>2023-2024</t>
        </is>
      </c>
      <c r="B3389" t="inlineStr">
        <is>
          <t>2024-03-14</t>
        </is>
      </c>
      <c r="C3389" t="inlineStr">
        <is>
          <t>12:31</t>
        </is>
      </c>
      <c r="D3389" t="inlineStr">
        <is>
          <t>n° 7 + n° 8</t>
        </is>
      </c>
      <c r="E3389" t="inlineStr">
        <is>
          <t>MACHON GOURMET</t>
        </is>
      </c>
      <c r="F3389" t="n">
        <v>25</v>
      </c>
      <c r="G3389" t="inlineStr">
        <is>
          <t>n° 7 : 0,50 + n° 8 : 0,50</t>
        </is>
      </c>
      <c r="H3389" t="n">
        <v>1</v>
      </c>
    </row>
    <row r="3390">
      <c r="A3390" t="inlineStr">
        <is>
          <t>2023-2024</t>
        </is>
      </c>
      <c r="B3390" t="inlineStr">
        <is>
          <t>2024-03-14</t>
        </is>
      </c>
      <c r="C3390" t="inlineStr">
        <is>
          <t>12:31</t>
        </is>
      </c>
      <c r="D3390" t="inlineStr">
        <is>
          <t>n° 7 + n° 8</t>
        </is>
      </c>
      <c r="E3390" t="inlineStr">
        <is>
          <t>CAMEMBERT ROTI</t>
        </is>
      </c>
      <c r="F3390" t="n">
        <v>18.6</v>
      </c>
      <c r="G3390" t="inlineStr">
        <is>
          <t>n° 7 : 0,50 + n° 8 : 0,50</t>
        </is>
      </c>
      <c r="H3390" t="n">
        <v>1</v>
      </c>
    </row>
    <row r="3391">
      <c r="A3391" t="inlineStr">
        <is>
          <t>2023-2024</t>
        </is>
      </c>
      <c r="B3391" t="inlineStr">
        <is>
          <t>2024-03-14</t>
        </is>
      </c>
      <c r="C3391" t="inlineStr">
        <is>
          <t>12:31</t>
        </is>
      </c>
      <c r="D3391" t="inlineStr">
        <is>
          <t>n° 7 + n° 8</t>
        </is>
      </c>
      <c r="E3391" t="inlineStr">
        <is>
          <t>Saint Véran Verre</t>
        </is>
      </c>
      <c r="F3391" t="n">
        <v>7.9</v>
      </c>
      <c r="G3391" t="inlineStr">
        <is>
          <t>n° 7 : 0,50 + n° 8 : 0,50</t>
        </is>
      </c>
      <c r="H3391" t="n">
        <v>1</v>
      </c>
    </row>
    <row r="3392">
      <c r="A3392" t="inlineStr">
        <is>
          <t>2023-2024</t>
        </is>
      </c>
      <c r="B3392" t="inlineStr">
        <is>
          <t>2024-03-14</t>
        </is>
      </c>
      <c r="C3392" t="inlineStr">
        <is>
          <t>12:31</t>
        </is>
      </c>
      <c r="D3392" t="inlineStr">
        <is>
          <t>n° 7 + n° 8</t>
        </is>
      </c>
      <c r="E3392" t="inlineStr">
        <is>
          <t>Arbois Trousseau Le</t>
        </is>
      </c>
      <c r="F3392" t="n">
        <v>7.2</v>
      </c>
      <c r="G3392" t="inlineStr">
        <is>
          <t>n° 7 : 0,50 + n° 8 : 0,50</t>
        </is>
      </c>
      <c r="H3392" t="n">
        <v>1</v>
      </c>
    </row>
    <row r="3393">
      <c r="A3393" t="inlineStr">
        <is>
          <t>2023-2024</t>
        </is>
      </c>
      <c r="B3393" t="inlineStr">
        <is>
          <t>2024-03-14</t>
        </is>
      </c>
      <c r="C3393" t="inlineStr">
        <is>
          <t>12:31</t>
        </is>
      </c>
      <c r="D3393" t="inlineStr">
        <is>
          <t>n° 7 + n° 8</t>
        </is>
      </c>
      <c r="E3393" t="inlineStr">
        <is>
          <t>Marc du Jura (4cl)</t>
        </is>
      </c>
      <c r="F3393" t="n">
        <v>6.5</v>
      </c>
      <c r="G3393" t="inlineStr">
        <is>
          <t>n° 7 : 0,50 + n° 8 : 0,50</t>
        </is>
      </c>
      <c r="H3393" t="n">
        <v>1</v>
      </c>
    </row>
    <row r="3394">
      <c r="A3394" t="inlineStr">
        <is>
          <t>2023-2024</t>
        </is>
      </c>
      <c r="B3394" t="inlineStr">
        <is>
          <t>2024-03-14</t>
        </is>
      </c>
      <c r="C3394" t="inlineStr">
        <is>
          <t>12:31</t>
        </is>
      </c>
      <c r="D3394" t="inlineStr">
        <is>
          <t>n° 7 + n° 8</t>
        </is>
      </c>
      <c r="E3394" t="inlineStr">
        <is>
          <t>Crepe Chocolat</t>
        </is>
      </c>
      <c r="F3394" t="n">
        <v>5.9</v>
      </c>
      <c r="G3394" t="inlineStr">
        <is>
          <t>n° 7 : 0,50 + n° 8 : 0,50</t>
        </is>
      </c>
      <c r="H3394" t="n">
        <v>1</v>
      </c>
    </row>
    <row r="3395">
      <c r="A3395" t="inlineStr">
        <is>
          <t>2023-2024</t>
        </is>
      </c>
      <c r="B3395" t="inlineStr">
        <is>
          <t>2024-03-15</t>
        </is>
      </c>
      <c r="C3395" t="inlineStr">
        <is>
          <t>13:04</t>
        </is>
      </c>
      <c r="D3395" t="inlineStr">
        <is>
          <t>n° 15 + n° 16</t>
        </is>
      </c>
      <c r="E3395" t="inlineStr">
        <is>
          <t>La Vouivre</t>
        </is>
      </c>
      <c r="F3395" t="n">
        <v>5.9</v>
      </c>
      <c r="G3395" t="inlineStr">
        <is>
          <t>n° 15 : 0,50 + n° 16 : 0,50</t>
        </is>
      </c>
      <c r="H3395" t="n">
        <v>1</v>
      </c>
    </row>
    <row r="3396">
      <c r="A3396" t="inlineStr">
        <is>
          <t>2023-2024</t>
        </is>
      </c>
      <c r="B3396" t="inlineStr">
        <is>
          <t>2024-03-15</t>
        </is>
      </c>
      <c r="C3396" t="inlineStr">
        <is>
          <t>13:04</t>
        </is>
      </c>
      <c r="D3396" t="inlineStr">
        <is>
          <t>n° 15 + n° 16</t>
        </is>
      </c>
      <c r="E3396" t="inlineStr">
        <is>
          <t>KITTYKIR</t>
        </is>
      </c>
      <c r="F3396" t="n">
        <v>5.2</v>
      </c>
      <c r="G3396" t="inlineStr">
        <is>
          <t>n° 15 : 0,50 + n° 16 : 0,50</t>
        </is>
      </c>
      <c r="H3396" t="n">
        <v>1</v>
      </c>
    </row>
    <row r="3397">
      <c r="A3397" t="inlineStr">
        <is>
          <t>2023-2024</t>
        </is>
      </c>
      <c r="B3397" t="inlineStr">
        <is>
          <t>2024-03-15</t>
        </is>
      </c>
      <c r="C3397" t="inlineStr">
        <is>
          <t>18:47</t>
        </is>
      </c>
      <c r="D3397" t="inlineStr">
        <is>
          <t>n° 18 + n° 19</t>
        </is>
      </c>
      <c r="E3397" t="inlineStr">
        <is>
          <t>Croûtes Morilles</t>
        </is>
      </c>
      <c r="F3397" t="n">
        <v>16.9</v>
      </c>
      <c r="G3397" t="inlineStr">
        <is>
          <t>n° 18 : 0,50 + n° 19 : 0,50</t>
        </is>
      </c>
      <c r="H3397" t="n">
        <v>1</v>
      </c>
    </row>
    <row r="3398">
      <c r="A3398" t="inlineStr">
        <is>
          <t>2023-2024</t>
        </is>
      </c>
      <c r="B3398" t="inlineStr">
        <is>
          <t>2024-03-15</t>
        </is>
      </c>
      <c r="C3398" t="inlineStr">
        <is>
          <t>18:47</t>
        </is>
      </c>
      <c r="D3398" t="inlineStr">
        <is>
          <t>n° 18 + n° 19</t>
        </is>
      </c>
      <c r="E3398" t="inlineStr">
        <is>
          <t>Feuilleté Forestier</t>
        </is>
      </c>
      <c r="F3398" t="n">
        <v>10.9</v>
      </c>
      <c r="G3398" t="inlineStr">
        <is>
          <t>n° 18 : 0,50 + n° 19 : 0,50</t>
        </is>
      </c>
      <c r="H3398" t="n">
        <v>1</v>
      </c>
    </row>
    <row r="3399">
      <c r="A3399" t="inlineStr">
        <is>
          <t>2023-2024</t>
        </is>
      </c>
      <c r="B3399" t="inlineStr">
        <is>
          <t>2024-03-15</t>
        </is>
      </c>
      <c r="C3399" t="inlineStr">
        <is>
          <t>18:47</t>
        </is>
      </c>
      <c r="D3399" t="inlineStr">
        <is>
          <t>n° 18 + n° 19</t>
        </is>
      </c>
      <c r="E3399" t="inlineStr">
        <is>
          <t>Savagnin verre</t>
        </is>
      </c>
      <c r="F3399" t="n">
        <v>8.300000000000001</v>
      </c>
      <c r="G3399" t="inlineStr">
        <is>
          <t>n° 18 : 0,50 + n° 19 : 0,50</t>
        </is>
      </c>
      <c r="H3399" t="n">
        <v>1</v>
      </c>
    </row>
    <row r="3400">
      <c r="A3400" t="inlineStr">
        <is>
          <t>2023-2024</t>
        </is>
      </c>
      <c r="B3400" t="inlineStr">
        <is>
          <t>2024-03-15</t>
        </is>
      </c>
      <c r="C3400" t="inlineStr">
        <is>
          <t>18:47</t>
        </is>
      </c>
      <c r="D3400" t="inlineStr">
        <is>
          <t>n° 18 + n° 19</t>
        </is>
      </c>
      <c r="E3400" t="inlineStr">
        <is>
          <t>MACON VERRE</t>
        </is>
      </c>
      <c r="F3400" t="n">
        <v>6.3</v>
      </c>
      <c r="G3400" t="inlineStr">
        <is>
          <t>n° 18 : 0,50 + n° 19 : 0,50</t>
        </is>
      </c>
      <c r="H3400" t="n">
        <v>1</v>
      </c>
    </row>
    <row r="3401">
      <c r="A3401" t="inlineStr">
        <is>
          <t>2023-2024</t>
        </is>
      </c>
      <c r="B3401" t="inlineStr">
        <is>
          <t>2024-03-15</t>
        </is>
      </c>
      <c r="C3401" t="inlineStr">
        <is>
          <t>18:47</t>
        </is>
      </c>
      <c r="D3401" t="inlineStr">
        <is>
          <t>n° 18 + n° 19</t>
        </is>
      </c>
      <c r="E3401" t="inlineStr">
        <is>
          <t>Crêpe nature</t>
        </is>
      </c>
      <c r="F3401" t="n">
        <v>3.9</v>
      </c>
      <c r="G3401" t="inlineStr">
        <is>
          <t>n° 18 : 0,50 + n° 19 : 0,50</t>
        </is>
      </c>
      <c r="H3401" t="n">
        <v>1</v>
      </c>
    </row>
    <row r="3402">
      <c r="A3402" t="inlineStr">
        <is>
          <t>2023-2024</t>
        </is>
      </c>
      <c r="B3402" t="inlineStr">
        <is>
          <t>2024-03-15</t>
        </is>
      </c>
      <c r="C3402" t="inlineStr">
        <is>
          <t>18:47</t>
        </is>
      </c>
      <c r="D3402" t="inlineStr">
        <is>
          <t>n° 18 + n° 19</t>
        </is>
      </c>
      <c r="E3402" t="inlineStr">
        <is>
          <t>Chantilly</t>
        </is>
      </c>
      <c r="F3402" t="n">
        <v>2</v>
      </c>
      <c r="G3402" t="inlineStr">
        <is>
          <t>n° 18 : 0,50 + n° 19 : 0,50</t>
        </is>
      </c>
      <c r="H3402" t="n">
        <v>1</v>
      </c>
    </row>
    <row r="3403">
      <c r="A3403" t="inlineStr">
        <is>
          <t>2023-2024</t>
        </is>
      </c>
      <c r="B3403" t="inlineStr">
        <is>
          <t>2024-03-16</t>
        </is>
      </c>
      <c r="C3403" t="inlineStr">
        <is>
          <t>13:34</t>
        </is>
      </c>
      <c r="D3403" t="inlineStr">
        <is>
          <t>n° 10 + n° 11</t>
        </is>
      </c>
      <c r="E3403" t="inlineStr">
        <is>
          <t>MACHON GOURMET</t>
        </is>
      </c>
      <c r="F3403" t="n">
        <v>25</v>
      </c>
      <c r="G3403" t="inlineStr">
        <is>
          <t>n° 10 : 0,50 + n° 11 : 0,50</t>
        </is>
      </c>
      <c r="H3403" t="n">
        <v>1</v>
      </c>
    </row>
    <row r="3404">
      <c r="A3404" t="inlineStr">
        <is>
          <t>2023-2024</t>
        </is>
      </c>
      <c r="B3404" t="inlineStr">
        <is>
          <t>2024-03-16</t>
        </is>
      </c>
      <c r="C3404" t="inlineStr">
        <is>
          <t>13:34</t>
        </is>
      </c>
      <c r="D3404" t="inlineStr">
        <is>
          <t>n° 10 + n° 11</t>
        </is>
      </c>
      <c r="E3404" t="inlineStr">
        <is>
          <t>ASSIETTE FRANC-COMTO</t>
        </is>
      </c>
      <c r="F3404" t="n">
        <v>18.6</v>
      </c>
      <c r="G3404" t="inlineStr">
        <is>
          <t>n° 10 : 0,50 + n° 11 : 0,50</t>
        </is>
      </c>
      <c r="H3404" t="n">
        <v>1</v>
      </c>
    </row>
    <row r="3405">
      <c r="A3405" t="inlineStr">
        <is>
          <t>2023-2024</t>
        </is>
      </c>
      <c r="B3405" t="inlineStr">
        <is>
          <t>2024-03-16</t>
        </is>
      </c>
      <c r="C3405" t="inlineStr">
        <is>
          <t>13:34</t>
        </is>
      </c>
      <c r="D3405" t="inlineStr">
        <is>
          <t>n° 10 + n° 11</t>
        </is>
      </c>
      <c r="E3405" t="inlineStr">
        <is>
          <t>Croûtes Morilles</t>
        </is>
      </c>
      <c r="F3405" t="n">
        <v>16.9</v>
      </c>
      <c r="G3405" t="inlineStr">
        <is>
          <t>n° 10 : 0,50 + n° 11 : 0,50</t>
        </is>
      </c>
      <c r="H3405" t="n">
        <v>1</v>
      </c>
    </row>
    <row r="3406">
      <c r="A3406" t="inlineStr">
        <is>
          <t>2023-2024</t>
        </is>
      </c>
      <c r="B3406" t="inlineStr">
        <is>
          <t>2024-03-16</t>
        </is>
      </c>
      <c r="C3406" t="inlineStr">
        <is>
          <t>13:34</t>
        </is>
      </c>
      <c r="D3406" t="inlineStr">
        <is>
          <t>n° 10 + n° 11</t>
        </is>
      </c>
      <c r="E3406" t="inlineStr">
        <is>
          <t>TANTE ARIE</t>
        </is>
      </c>
      <c r="F3406" t="n">
        <v>11.9</v>
      </c>
      <c r="G3406" t="inlineStr">
        <is>
          <t>n° 10 : 0,50 + n° 11 : 0,50</t>
        </is>
      </c>
      <c r="H3406" t="n">
        <v>1</v>
      </c>
    </row>
    <row r="3407">
      <c r="A3407" t="inlineStr">
        <is>
          <t>2023-2024</t>
        </is>
      </c>
      <c r="B3407" t="inlineStr">
        <is>
          <t>2024-03-16</t>
        </is>
      </c>
      <c r="C3407" t="inlineStr">
        <is>
          <t>13:34</t>
        </is>
      </c>
      <c r="D3407" t="inlineStr">
        <is>
          <t>n° 10 + n° 11</t>
        </is>
      </c>
      <c r="E3407" t="inlineStr">
        <is>
          <t>GLACE 2 BOULES</t>
        </is>
      </c>
      <c r="F3407" t="n">
        <v>5.5</v>
      </c>
      <c r="G3407" t="inlineStr">
        <is>
          <t>n° 10 : 0,50 + n° 11 : 0,50</t>
        </is>
      </c>
      <c r="H3407" t="n">
        <v>1</v>
      </c>
    </row>
    <row r="3408">
      <c r="A3408" t="inlineStr">
        <is>
          <t>2023-2024</t>
        </is>
      </c>
      <c r="B3408" t="inlineStr">
        <is>
          <t>2024-03-16</t>
        </is>
      </c>
      <c r="C3408" t="inlineStr">
        <is>
          <t>13:34</t>
        </is>
      </c>
      <c r="D3408" t="inlineStr">
        <is>
          <t>n° 10 + n° 11</t>
        </is>
      </c>
      <c r="E3408" t="inlineStr">
        <is>
          <t>Limonade (25cl)</t>
        </is>
      </c>
      <c r="F3408" t="n">
        <v>3.9</v>
      </c>
      <c r="G3408" t="inlineStr">
        <is>
          <t>n° 10 : 0,50 + n° 11 : 0,50</t>
        </is>
      </c>
      <c r="H3408" t="n">
        <v>1</v>
      </c>
    </row>
    <row r="3409">
      <c r="A3409" t="inlineStr">
        <is>
          <t>2023-2024</t>
        </is>
      </c>
      <c r="B3409" t="inlineStr">
        <is>
          <t>2024-03-16</t>
        </is>
      </c>
      <c r="C3409" t="inlineStr">
        <is>
          <t>13:34</t>
        </is>
      </c>
      <c r="D3409" t="inlineStr">
        <is>
          <t>n° 10 + n° 11</t>
        </is>
      </c>
      <c r="E3409" t="inlineStr">
        <is>
          <t>BANANE</t>
        </is>
      </c>
      <c r="F3409" t="n">
        <v>2.7</v>
      </c>
      <c r="G3409" t="inlineStr">
        <is>
          <t>n° 10 : 0,50 + n° 11 : 0,50</t>
        </is>
      </c>
      <c r="H3409" t="n">
        <v>1</v>
      </c>
    </row>
    <row r="3410">
      <c r="A3410" t="inlineStr">
        <is>
          <t>2023-2024</t>
        </is>
      </c>
      <c r="B3410" t="inlineStr">
        <is>
          <t>2024-03-16</t>
        </is>
      </c>
      <c r="C3410" t="inlineStr">
        <is>
          <t>13:34</t>
        </is>
      </c>
      <c r="D3410" t="inlineStr">
        <is>
          <t>n° 10 + n° 11</t>
        </is>
      </c>
      <c r="E3410" t="inlineStr">
        <is>
          <t>Sirop à l'eau</t>
        </is>
      </c>
      <c r="F3410" t="n">
        <v>2.2</v>
      </c>
      <c r="G3410" t="inlineStr">
        <is>
          <t>n° 10 : 0,50 + n° 11 : 0,50</t>
        </is>
      </c>
      <c r="H3410" t="n">
        <v>1</v>
      </c>
    </row>
    <row r="3411">
      <c r="A3411" t="inlineStr">
        <is>
          <t>2023-2024</t>
        </is>
      </c>
      <c r="B3411" t="inlineStr">
        <is>
          <t>2024-03-16</t>
        </is>
      </c>
      <c r="C3411" t="inlineStr">
        <is>
          <t>20:40</t>
        </is>
      </c>
      <c r="D3411" t="inlineStr">
        <is>
          <t>n° 20 + n° 21</t>
        </is>
      </c>
      <c r="E3411" t="inlineStr">
        <is>
          <t>Arbois Béthanie</t>
        </is>
      </c>
      <c r="F3411" t="n">
        <v>36</v>
      </c>
      <c r="G3411" t="inlineStr">
        <is>
          <t>n° 20 : 0,50 + n° 21 : 0,50</t>
        </is>
      </c>
      <c r="H3411" t="n">
        <v>1</v>
      </c>
    </row>
    <row r="3412">
      <c r="A3412" t="inlineStr">
        <is>
          <t>2023-2024</t>
        </is>
      </c>
      <c r="B3412" t="inlineStr">
        <is>
          <t>2024-03-16</t>
        </is>
      </c>
      <c r="C3412" t="inlineStr">
        <is>
          <t>20:40</t>
        </is>
      </c>
      <c r="D3412" t="inlineStr">
        <is>
          <t>n° 20 + n° 21</t>
        </is>
      </c>
      <c r="E3412" t="inlineStr">
        <is>
          <t>MACHON GOURMET</t>
        </is>
      </c>
      <c r="F3412" t="n">
        <v>25</v>
      </c>
      <c r="G3412" t="inlineStr">
        <is>
          <t>n° 20 : 1,50 + n° 21 : 1,50</t>
        </is>
      </c>
      <c r="H3412" t="n">
        <v>3</v>
      </c>
    </row>
    <row r="3413">
      <c r="A3413" t="inlineStr">
        <is>
          <t>2023-2024</t>
        </is>
      </c>
      <c r="B3413" t="inlineStr">
        <is>
          <t>2024-03-16</t>
        </is>
      </c>
      <c r="C3413" t="inlineStr">
        <is>
          <t>20:40</t>
        </is>
      </c>
      <c r="D3413" t="inlineStr">
        <is>
          <t>n° 20 + n° 21</t>
        </is>
      </c>
      <c r="E3413" t="inlineStr">
        <is>
          <t>CAMEMBERT ROTI</t>
        </is>
      </c>
      <c r="F3413" t="n">
        <v>18.6</v>
      </c>
      <c r="G3413" t="inlineStr">
        <is>
          <t>n° 20 : 0,50 + n° 21 : 0,50</t>
        </is>
      </c>
      <c r="H3413" t="n">
        <v>1</v>
      </c>
    </row>
    <row r="3414">
      <c r="A3414" t="inlineStr">
        <is>
          <t>2023-2024</t>
        </is>
      </c>
      <c r="B3414" t="inlineStr">
        <is>
          <t>2024-03-16</t>
        </is>
      </c>
      <c r="C3414" t="inlineStr">
        <is>
          <t>20:40</t>
        </is>
      </c>
      <c r="D3414" t="inlineStr">
        <is>
          <t>n° 20 + n° 21</t>
        </is>
      </c>
      <c r="E3414" t="inlineStr">
        <is>
          <t>VOUIVRE</t>
        </is>
      </c>
      <c r="F3414" t="n">
        <v>14.6</v>
      </c>
      <c r="G3414" t="inlineStr">
        <is>
          <t>n° 20 : 0,50 + n° 21 : 0,50</t>
        </is>
      </c>
      <c r="H3414" t="n">
        <v>1</v>
      </c>
    </row>
    <row r="3415">
      <c r="A3415" t="inlineStr">
        <is>
          <t>2023-2024</t>
        </is>
      </c>
      <c r="B3415" t="inlineStr">
        <is>
          <t>2024-03-16</t>
        </is>
      </c>
      <c r="C3415" t="inlineStr">
        <is>
          <t>20:40</t>
        </is>
      </c>
      <c r="D3415" t="inlineStr">
        <is>
          <t>n° 20 + n° 21</t>
        </is>
      </c>
      <c r="E3415" t="inlineStr">
        <is>
          <t>Baba</t>
        </is>
      </c>
      <c r="F3415" t="n">
        <v>8.9</v>
      </c>
      <c r="G3415" t="inlineStr">
        <is>
          <t>n° 20 : 1,50 + n° 21 : 1,50</t>
        </is>
      </c>
      <c r="H3415" t="n">
        <v>3</v>
      </c>
    </row>
    <row r="3416">
      <c r="A3416" t="inlineStr">
        <is>
          <t>2023-2024</t>
        </is>
      </c>
      <c r="B3416" t="inlineStr">
        <is>
          <t>2024-03-16</t>
        </is>
      </c>
      <c r="C3416" t="inlineStr">
        <is>
          <t>20:40</t>
        </is>
      </c>
      <c r="D3416" t="inlineStr">
        <is>
          <t>n° 20 + n° 21</t>
        </is>
      </c>
      <c r="E3416" t="inlineStr">
        <is>
          <t>San Pelegrino</t>
        </is>
      </c>
      <c r="F3416" t="n">
        <v>5.9</v>
      </c>
      <c r="G3416" t="inlineStr">
        <is>
          <t>n° 20 : 0,50 + n° 21 : 0,50</t>
        </is>
      </c>
      <c r="H3416" t="n">
        <v>1</v>
      </c>
    </row>
    <row r="3417">
      <c r="A3417" t="inlineStr">
        <is>
          <t>2023-2024</t>
        </is>
      </c>
      <c r="B3417" t="inlineStr">
        <is>
          <t>2024-03-20</t>
        </is>
      </c>
      <c r="C3417" t="inlineStr">
        <is>
          <t>19:37</t>
        </is>
      </c>
      <c r="D3417" t="inlineStr">
        <is>
          <t>n° 5 + n° 6</t>
        </is>
      </c>
      <c r="E3417" t="inlineStr">
        <is>
          <t>ASSIETTE PERE GREGOI</t>
        </is>
      </c>
      <c r="F3417" t="n">
        <v>18.6</v>
      </c>
      <c r="G3417" t="inlineStr">
        <is>
          <t>n° 5 : 0,50 + n° 6 : 0,50</t>
        </is>
      </c>
      <c r="H3417" t="n">
        <v>1</v>
      </c>
    </row>
    <row r="3418">
      <c r="A3418" t="inlineStr">
        <is>
          <t>2023-2024</t>
        </is>
      </c>
      <c r="B3418" t="inlineStr">
        <is>
          <t>2024-03-20</t>
        </is>
      </c>
      <c r="C3418" t="inlineStr">
        <is>
          <t>19:37</t>
        </is>
      </c>
      <c r="D3418" t="inlineStr">
        <is>
          <t>n° 5 + n° 6</t>
        </is>
      </c>
      <c r="E3418" t="inlineStr">
        <is>
          <t>TRUITE PESTO</t>
        </is>
      </c>
      <c r="F3418" t="n">
        <v>16.9</v>
      </c>
      <c r="G3418" t="inlineStr">
        <is>
          <t>n° 5 : 0,50 + n° 6 : 0,50</t>
        </is>
      </c>
      <c r="H3418" t="n">
        <v>1</v>
      </c>
    </row>
    <row r="3419">
      <c r="A3419" t="inlineStr">
        <is>
          <t>2023-2024</t>
        </is>
      </c>
      <c r="B3419" t="inlineStr">
        <is>
          <t>2024-03-20</t>
        </is>
      </c>
      <c r="C3419" t="inlineStr">
        <is>
          <t>19:37</t>
        </is>
      </c>
      <c r="D3419" t="inlineStr">
        <is>
          <t>n° 5 + n° 6</t>
        </is>
      </c>
      <c r="E3419" t="inlineStr">
        <is>
          <t>Jambon sec</t>
        </is>
      </c>
      <c r="F3419" t="n">
        <v>8.9</v>
      </c>
      <c r="G3419" t="inlineStr">
        <is>
          <t>n° 5 : 0,50 + n° 6 : 0,50</t>
        </is>
      </c>
      <c r="H3419" t="n">
        <v>1</v>
      </c>
    </row>
    <row r="3420">
      <c r="A3420" t="inlineStr">
        <is>
          <t>2023-2024</t>
        </is>
      </c>
      <c r="B3420" t="inlineStr">
        <is>
          <t>2024-03-20</t>
        </is>
      </c>
      <c r="C3420" t="inlineStr">
        <is>
          <t>19:37</t>
        </is>
      </c>
      <c r="D3420" t="inlineStr">
        <is>
          <t>n° 5 + n° 6</t>
        </is>
      </c>
      <c r="E3420" t="inlineStr">
        <is>
          <t>Salade Verte aux Noi</t>
        </is>
      </c>
      <c r="F3420" t="n">
        <v>5.9</v>
      </c>
      <c r="G3420" t="inlineStr">
        <is>
          <t>n° 5 : 0,50 + n° 6 : 0,50</t>
        </is>
      </c>
      <c r="H3420" t="n">
        <v>1</v>
      </c>
    </row>
    <row r="3421">
      <c r="A3421" t="inlineStr">
        <is>
          <t>2023-2024</t>
        </is>
      </c>
      <c r="B3421" t="inlineStr">
        <is>
          <t>2024-03-20</t>
        </is>
      </c>
      <c r="C3421" t="inlineStr">
        <is>
          <t>20:11</t>
        </is>
      </c>
      <c r="D3421" t="inlineStr">
        <is>
          <t>n° 12 + n° 13</t>
        </is>
      </c>
      <c r="E3421" t="inlineStr">
        <is>
          <t>Entrecôte grillée</t>
        </is>
      </c>
      <c r="F3421" t="n">
        <v>19.9</v>
      </c>
      <c r="G3421" t="inlineStr">
        <is>
          <t>n° 12 : 0,50 + n° 13 : 0,50</t>
        </is>
      </c>
      <c r="H3421" t="n">
        <v>1</v>
      </c>
    </row>
    <row r="3422">
      <c r="A3422" t="inlineStr">
        <is>
          <t>2023-2024</t>
        </is>
      </c>
      <c r="B3422" t="inlineStr">
        <is>
          <t>2024-03-20</t>
        </is>
      </c>
      <c r="C3422" t="inlineStr">
        <is>
          <t>20:11</t>
        </is>
      </c>
      <c r="D3422" t="inlineStr">
        <is>
          <t>n° 12 + n° 13</t>
        </is>
      </c>
      <c r="E3422" t="inlineStr">
        <is>
          <t>FRELEE</t>
        </is>
      </c>
      <c r="F3422" t="n">
        <v>19.6</v>
      </c>
      <c r="G3422" t="inlineStr">
        <is>
          <t>n° 12 : 0,50 + n° 13 : 0,50</t>
        </is>
      </c>
      <c r="H3422" t="n">
        <v>1</v>
      </c>
    </row>
    <row r="3423">
      <c r="A3423" t="inlineStr">
        <is>
          <t>2023-2024</t>
        </is>
      </c>
      <c r="B3423" t="inlineStr">
        <is>
          <t>2024-03-20</t>
        </is>
      </c>
      <c r="C3423" t="inlineStr">
        <is>
          <t>20:11</t>
        </is>
      </c>
      <c r="D3423" t="inlineStr">
        <is>
          <t>n° 12 + n° 13</t>
        </is>
      </c>
      <c r="E3423" t="inlineStr">
        <is>
          <t>CAMEMBERT ROTI</t>
        </is>
      </c>
      <c r="F3423" t="n">
        <v>18.6</v>
      </c>
      <c r="G3423" t="inlineStr">
        <is>
          <t>n° 12 : 0,50 + n° 13 : 0,50</t>
        </is>
      </c>
      <c r="H3423" t="n">
        <v>1</v>
      </c>
    </row>
    <row r="3424">
      <c r="A3424" t="inlineStr">
        <is>
          <t>2023-2024</t>
        </is>
      </c>
      <c r="B3424" t="inlineStr">
        <is>
          <t>2024-03-20</t>
        </is>
      </c>
      <c r="C3424" t="inlineStr">
        <is>
          <t>20:11</t>
        </is>
      </c>
      <c r="D3424" t="inlineStr">
        <is>
          <t>n° 12 + n° 13</t>
        </is>
      </c>
      <c r="E3424" t="inlineStr">
        <is>
          <t>Croûtes Morilles</t>
        </is>
      </c>
      <c r="F3424" t="n">
        <v>16.9</v>
      </c>
      <c r="G3424" t="inlineStr">
        <is>
          <t>n° 12 : 0,50 + n° 13 : 0,50</t>
        </is>
      </c>
      <c r="H3424" t="n">
        <v>1</v>
      </c>
    </row>
    <row r="3425">
      <c r="A3425" t="inlineStr">
        <is>
          <t>2023-2024</t>
        </is>
      </c>
      <c r="B3425" t="inlineStr">
        <is>
          <t>2024-03-20</t>
        </is>
      </c>
      <c r="C3425" t="inlineStr">
        <is>
          <t>20:11</t>
        </is>
      </c>
      <c r="D3425" t="inlineStr">
        <is>
          <t>n° 12 + n° 13</t>
        </is>
      </c>
      <c r="E3425" t="inlineStr">
        <is>
          <t>Baba</t>
        </is>
      </c>
      <c r="F3425" t="n">
        <v>8.9</v>
      </c>
      <c r="G3425" t="inlineStr">
        <is>
          <t>n° 12 : 0,50 + n° 13 : 0,50</t>
        </is>
      </c>
      <c r="H3425" t="n">
        <v>1</v>
      </c>
    </row>
    <row r="3426">
      <c r="A3426" t="inlineStr">
        <is>
          <t>2023-2024</t>
        </is>
      </c>
      <c r="B3426" t="inlineStr">
        <is>
          <t>2024-03-20</t>
        </is>
      </c>
      <c r="C3426" t="inlineStr">
        <is>
          <t>20:11</t>
        </is>
      </c>
      <c r="D3426" t="inlineStr">
        <is>
          <t>n° 12 + n° 13</t>
        </is>
      </c>
      <c r="E3426" t="inlineStr">
        <is>
          <t>CREME BRULEE</t>
        </is>
      </c>
      <c r="F3426" t="n">
        <v>7.9</v>
      </c>
      <c r="G3426" t="inlineStr">
        <is>
          <t>n° 12 : 0,50 + n° 13 : 0,50</t>
        </is>
      </c>
      <c r="H3426" t="n">
        <v>1</v>
      </c>
    </row>
    <row r="3427">
      <c r="A3427" t="inlineStr">
        <is>
          <t>2023-2024</t>
        </is>
      </c>
      <c r="B3427" t="inlineStr">
        <is>
          <t>2024-03-20</t>
        </is>
      </c>
      <c r="C3427" t="inlineStr">
        <is>
          <t>21:13</t>
        </is>
      </c>
      <c r="D3427" t="inlineStr">
        <is>
          <t>n° 15 + n° 16 + n° 17 + n° 18</t>
        </is>
      </c>
      <c r="E3427" t="inlineStr">
        <is>
          <t>Vin jaune</t>
        </is>
      </c>
      <c r="F3427" t="n">
        <v>72</v>
      </c>
      <c r="G3427" t="inlineStr">
        <is>
          <t>n° 15 : 0,25 + n° 16 : 0,25 + n° 17 : 0,25 + n° 18 : 0,25</t>
        </is>
      </c>
      <c r="H3427" t="n">
        <v>1</v>
      </c>
    </row>
    <row r="3428">
      <c r="A3428" t="inlineStr">
        <is>
          <t>2023-2024</t>
        </is>
      </c>
      <c r="B3428" t="inlineStr">
        <is>
          <t>2024-03-20</t>
        </is>
      </c>
      <c r="C3428" t="inlineStr">
        <is>
          <t>21:13</t>
        </is>
      </c>
      <c r="D3428" t="inlineStr">
        <is>
          <t>n° 15 + n° 16 + n° 17 + n° 18</t>
        </is>
      </c>
      <c r="E3428" t="inlineStr">
        <is>
          <t>Beaujolais Moulin à</t>
        </is>
      </c>
      <c r="F3428" t="n">
        <v>38</v>
      </c>
      <c r="G3428" t="inlineStr">
        <is>
          <t>n° 15 : 0,25 + n° 16 : 0,25 + n° 17 : 0,25 + n° 18 : 0,25</t>
        </is>
      </c>
      <c r="H3428" t="n">
        <v>1</v>
      </c>
    </row>
    <row r="3429">
      <c r="A3429" t="inlineStr">
        <is>
          <t>2023-2024</t>
        </is>
      </c>
      <c r="B3429" t="inlineStr">
        <is>
          <t>2024-03-20</t>
        </is>
      </c>
      <c r="C3429" t="inlineStr">
        <is>
          <t>21:13</t>
        </is>
      </c>
      <c r="D3429" t="inlineStr">
        <is>
          <t>n° 15 + n° 16 + n° 17 + n° 18</t>
        </is>
      </c>
      <c r="E3429" t="inlineStr">
        <is>
          <t>Menu Franc-Comtois</t>
        </is>
      </c>
      <c r="F3429" t="n">
        <v>34</v>
      </c>
      <c r="G3429" t="inlineStr">
        <is>
          <t>n° 15 : 0,75 + n° 16 : 0,75 + n° 17 : 0,75 + n° 18 : 0,75</t>
        </is>
      </c>
      <c r="H3429" t="n">
        <v>3</v>
      </c>
    </row>
    <row r="3430">
      <c r="A3430" t="inlineStr">
        <is>
          <t>2023-2024</t>
        </is>
      </c>
      <c r="B3430" t="inlineStr">
        <is>
          <t>2024-03-20</t>
        </is>
      </c>
      <c r="C3430" t="inlineStr">
        <is>
          <t>21:13</t>
        </is>
      </c>
      <c r="D3430" t="inlineStr">
        <is>
          <t>n° 15 + n° 16 + n° 17 + n° 18</t>
        </is>
      </c>
      <c r="E3430" t="inlineStr">
        <is>
          <t>ASSIETTE FRANC-COMTO</t>
        </is>
      </c>
      <c r="F3430" t="n">
        <v>18.6</v>
      </c>
      <c r="G3430" t="inlineStr">
        <is>
          <t>n° 15 : 0,25 + n° 16 : 0,25 + n° 17 : 0,25 + n° 18 : 0,25</t>
        </is>
      </c>
      <c r="H3430" t="n">
        <v>1</v>
      </c>
    </row>
    <row r="3431">
      <c r="A3431" t="inlineStr">
        <is>
          <t>2023-2024</t>
        </is>
      </c>
      <c r="B3431" t="inlineStr">
        <is>
          <t>2024-03-21</t>
        </is>
      </c>
      <c r="C3431" t="inlineStr">
        <is>
          <t>19:58</t>
        </is>
      </c>
      <c r="D3431" t="inlineStr">
        <is>
          <t>n° 13 + n° 14</t>
        </is>
      </c>
      <c r="E3431" t="inlineStr">
        <is>
          <t>PAYSANNE</t>
        </is>
      </c>
      <c r="F3431" t="n">
        <v>19.9</v>
      </c>
      <c r="G3431" t="inlineStr">
        <is>
          <t>n° 13 : 0,25 + n° 14 : 0,75</t>
        </is>
      </c>
      <c r="H3431" t="n">
        <v>1</v>
      </c>
    </row>
    <row r="3432">
      <c r="A3432" t="inlineStr">
        <is>
          <t>2023-2024</t>
        </is>
      </c>
      <c r="B3432" t="inlineStr">
        <is>
          <t>2024-03-21</t>
        </is>
      </c>
      <c r="C3432" t="inlineStr">
        <is>
          <t>19:58</t>
        </is>
      </c>
      <c r="D3432" t="inlineStr">
        <is>
          <t>n° 13 + n° 14</t>
        </is>
      </c>
      <c r="E3432" t="inlineStr">
        <is>
          <t>Menu 'Galette'</t>
        </is>
      </c>
      <c r="F3432" t="n">
        <v>19.5</v>
      </c>
      <c r="G3432" t="inlineStr">
        <is>
          <t>n° 13 : 0,25 + n° 14 : 0,75</t>
        </is>
      </c>
      <c r="H3432" t="n">
        <v>1</v>
      </c>
    </row>
    <row r="3433">
      <c r="A3433" t="inlineStr">
        <is>
          <t>2023-2024</t>
        </is>
      </c>
      <c r="B3433" t="inlineStr">
        <is>
          <t>2024-03-21</t>
        </is>
      </c>
      <c r="C3433" t="inlineStr">
        <is>
          <t>19:58</t>
        </is>
      </c>
      <c r="D3433" t="inlineStr">
        <is>
          <t>n° 13 + n° 14</t>
        </is>
      </c>
      <c r="E3433" t="inlineStr">
        <is>
          <t>TRUITE JURASSIENNE</t>
        </is>
      </c>
      <c r="F3433" t="n">
        <v>18.6</v>
      </c>
      <c r="G3433" t="inlineStr">
        <is>
          <t>n° 13 : 0,25 + n° 14 : 0,75</t>
        </is>
      </c>
      <c r="H3433" t="n">
        <v>1</v>
      </c>
    </row>
    <row r="3434">
      <c r="A3434" t="inlineStr">
        <is>
          <t>2023-2024</t>
        </is>
      </c>
      <c r="B3434" t="inlineStr">
        <is>
          <t>2024-03-21</t>
        </is>
      </c>
      <c r="C3434" t="inlineStr">
        <is>
          <t>19:58</t>
        </is>
      </c>
      <c r="D3434" t="inlineStr">
        <is>
          <t>n° 13 + n° 14</t>
        </is>
      </c>
      <c r="E3434" t="inlineStr">
        <is>
          <t>Baba</t>
        </is>
      </c>
      <c r="F3434" t="n">
        <v>8.9</v>
      </c>
      <c r="G3434" t="inlineStr">
        <is>
          <t>n° 13 : 0,25 + n° 14 : 0,75</t>
        </is>
      </c>
      <c r="H3434" t="n">
        <v>1</v>
      </c>
    </row>
    <row r="3435">
      <c r="A3435" t="inlineStr">
        <is>
          <t>2023-2024</t>
        </is>
      </c>
      <c r="B3435" t="inlineStr">
        <is>
          <t>2024-03-21</t>
        </is>
      </c>
      <c r="C3435" t="inlineStr">
        <is>
          <t>19:58</t>
        </is>
      </c>
      <c r="D3435" t="inlineStr">
        <is>
          <t>n° 13 + n° 14</t>
        </is>
      </c>
      <c r="E3435" t="inlineStr">
        <is>
          <t>Savagnin verre</t>
        </is>
      </c>
      <c r="F3435" t="n">
        <v>8.300000000000001</v>
      </c>
      <c r="G3435" t="inlineStr">
        <is>
          <t>n° 13 : 1,25 + n° 14 : 1,75</t>
        </is>
      </c>
      <c r="H3435" t="n">
        <v>3</v>
      </c>
    </row>
    <row r="3436">
      <c r="A3436" t="inlineStr">
        <is>
          <t>2023-2024</t>
        </is>
      </c>
      <c r="B3436" t="inlineStr">
        <is>
          <t>2024-03-21</t>
        </is>
      </c>
      <c r="C3436" t="inlineStr">
        <is>
          <t>19:58</t>
        </is>
      </c>
      <c r="D3436" t="inlineStr">
        <is>
          <t>n° 13 + n° 14</t>
        </is>
      </c>
      <c r="E3436" t="inlineStr">
        <is>
          <t>Macvin du Jura</t>
        </is>
      </c>
      <c r="F3436" t="n">
        <v>5.9</v>
      </c>
      <c r="G3436" t="inlineStr">
        <is>
          <t>n° 13 : 0,50 + n° 14 : 1,50</t>
        </is>
      </c>
      <c r="H3436" t="n">
        <v>2</v>
      </c>
    </row>
    <row r="3437">
      <c r="A3437" t="inlineStr">
        <is>
          <t>2023-2024</t>
        </is>
      </c>
      <c r="B3437" t="inlineStr">
        <is>
          <t>2024-03-21</t>
        </is>
      </c>
      <c r="C3437" t="inlineStr">
        <is>
          <t>19:58</t>
        </is>
      </c>
      <c r="D3437" t="inlineStr">
        <is>
          <t>n° 13 + n° 14</t>
        </is>
      </c>
      <c r="E3437" t="inlineStr">
        <is>
          <t>GLACE 2 BOULES</t>
        </is>
      </c>
      <c r="F3437" t="n">
        <v>5.5</v>
      </c>
      <c r="G3437" t="inlineStr">
        <is>
          <t>n° 13 : 0,25 + n° 14 : 0,75</t>
        </is>
      </c>
      <c r="H3437" t="n">
        <v>1</v>
      </c>
    </row>
    <row r="3438">
      <c r="A3438" t="inlineStr">
        <is>
          <t>2023-2024</t>
        </is>
      </c>
      <c r="B3438" t="inlineStr">
        <is>
          <t>2024-03-21</t>
        </is>
      </c>
      <c r="C3438" t="inlineStr">
        <is>
          <t>19:58</t>
        </is>
      </c>
      <c r="D3438" t="inlineStr">
        <is>
          <t>n° 13 + n° 14</t>
        </is>
      </c>
      <c r="E3438" t="inlineStr">
        <is>
          <t>Galette nature</t>
        </is>
      </c>
      <c r="F3438" t="n">
        <v>3.9</v>
      </c>
      <c r="G3438" t="inlineStr">
        <is>
          <t>n° 13 : 0,25 + n° 14 : 0,75</t>
        </is>
      </c>
      <c r="H3438" t="n">
        <v>1</v>
      </c>
    </row>
    <row r="3439">
      <c r="A3439" t="inlineStr">
        <is>
          <t>2023-2024</t>
        </is>
      </c>
      <c r="B3439" t="inlineStr">
        <is>
          <t>2024-03-21</t>
        </is>
      </c>
      <c r="C3439" t="inlineStr">
        <is>
          <t>19:58</t>
        </is>
      </c>
      <c r="D3439" t="inlineStr">
        <is>
          <t>n° 13 + n° 14</t>
        </is>
      </c>
      <c r="E3439" t="inlineStr">
        <is>
          <t>Ratatouille</t>
        </is>
      </c>
      <c r="F3439" t="n">
        <v>3.2</v>
      </c>
      <c r="G3439" t="inlineStr">
        <is>
          <t>n° 13 : 0,25 + n° 14 : 0,75</t>
        </is>
      </c>
      <c r="H3439" t="n">
        <v>1</v>
      </c>
    </row>
    <row r="3440">
      <c r="A3440" t="inlineStr">
        <is>
          <t>2023-2024</t>
        </is>
      </c>
      <c r="B3440" t="inlineStr">
        <is>
          <t>2024-03-21</t>
        </is>
      </c>
      <c r="C3440" t="inlineStr">
        <is>
          <t>19:58</t>
        </is>
      </c>
      <c r="D3440" t="inlineStr">
        <is>
          <t>n° 13 + n° 14</t>
        </is>
      </c>
      <c r="E3440" t="inlineStr">
        <is>
          <t>Champignons frais</t>
        </is>
      </c>
      <c r="F3440" t="n">
        <v>3.2</v>
      </c>
      <c r="G3440" t="inlineStr">
        <is>
          <t>n° 13 : 0,25 + n° 14 : 0,75</t>
        </is>
      </c>
      <c r="H3440" t="n">
        <v>1</v>
      </c>
    </row>
    <row r="3441">
      <c r="A3441" t="inlineStr">
        <is>
          <t>2023-2024</t>
        </is>
      </c>
      <c r="B3441" t="inlineStr">
        <is>
          <t>2024-03-21</t>
        </is>
      </c>
      <c r="C3441" t="inlineStr">
        <is>
          <t>19:58</t>
        </is>
      </c>
      <c r="D3441" t="inlineStr">
        <is>
          <t>n° 13 + n° 14</t>
        </is>
      </c>
      <c r="E3441" t="inlineStr">
        <is>
          <t>Salade Verte</t>
        </is>
      </c>
      <c r="F3441" t="n">
        <v>2.9</v>
      </c>
      <c r="G3441" t="inlineStr">
        <is>
          <t>n° 13 : 0,25 + n° 14 : 0,75</t>
        </is>
      </c>
      <c r="H3441" t="n">
        <v>1</v>
      </c>
    </row>
    <row r="3442">
      <c r="A3442" t="inlineStr">
        <is>
          <t>2023-2024</t>
        </is>
      </c>
      <c r="B3442" t="inlineStr">
        <is>
          <t>2024-03-21</t>
        </is>
      </c>
      <c r="C3442" t="inlineStr">
        <is>
          <t>19:58</t>
        </is>
      </c>
      <c r="D3442" t="inlineStr">
        <is>
          <t>n° 13 + n° 14</t>
        </is>
      </c>
      <c r="E3442" t="inlineStr">
        <is>
          <t>PIGNONS PIN</t>
        </is>
      </c>
      <c r="F3442" t="n">
        <v>1.4</v>
      </c>
      <c r="G3442" t="inlineStr">
        <is>
          <t>n° 13 : 0,25 + n° 14 : 0,75</t>
        </is>
      </c>
      <c r="H3442" t="n">
        <v>1</v>
      </c>
    </row>
    <row r="3443">
      <c r="A3443" t="inlineStr">
        <is>
          <t>2023-2024</t>
        </is>
      </c>
      <c r="B3443" t="inlineStr">
        <is>
          <t>2024-03-22</t>
        </is>
      </c>
      <c r="C3443" t="inlineStr">
        <is>
          <t>12:58</t>
        </is>
      </c>
      <c r="D3443" t="inlineStr">
        <is>
          <t>n° 5 + n° 6 + n° 7 + n° 8</t>
        </is>
      </c>
      <c r="E3443" t="inlineStr">
        <is>
          <t>Arbois Trousseau Bou</t>
        </is>
      </c>
      <c r="F3443" t="n">
        <v>36</v>
      </c>
      <c r="G3443" t="inlineStr">
        <is>
          <t>n° 5 : 0,50 + n° 6 : 0,50</t>
        </is>
      </c>
      <c r="H3443" t="n">
        <v>1</v>
      </c>
    </row>
    <row r="3444">
      <c r="A3444" t="inlineStr">
        <is>
          <t>2023-2024</t>
        </is>
      </c>
      <c r="B3444" t="inlineStr">
        <is>
          <t>2024-03-22</t>
        </is>
      </c>
      <c r="C3444" t="inlineStr">
        <is>
          <t>12:58</t>
        </is>
      </c>
      <c r="D3444" t="inlineStr">
        <is>
          <t>n° 5 + n° 6 + n° 7 + n° 8</t>
        </is>
      </c>
      <c r="E3444" t="inlineStr">
        <is>
          <t>Menu Bourguignon</t>
        </is>
      </c>
      <c r="F3444" t="n">
        <v>34</v>
      </c>
      <c r="G3444" t="inlineStr">
        <is>
          <t>n° 5 : 0,50 + n° 6 : 0,50</t>
        </is>
      </c>
      <c r="H3444" t="n">
        <v>1</v>
      </c>
    </row>
    <row r="3445">
      <c r="A3445" t="inlineStr">
        <is>
          <t>2023-2024</t>
        </is>
      </c>
      <c r="B3445" t="inlineStr">
        <is>
          <t>2024-03-22</t>
        </is>
      </c>
      <c r="C3445" t="inlineStr">
        <is>
          <t>12:58</t>
        </is>
      </c>
      <c r="D3445" t="inlineStr">
        <is>
          <t>n° 5 + n° 6 + n° 7 + n° 8</t>
        </is>
      </c>
      <c r="E3445" t="inlineStr">
        <is>
          <t>Menu Franc-Comtois</t>
        </is>
      </c>
      <c r="F3445" t="n">
        <v>34</v>
      </c>
      <c r="G3445" t="inlineStr">
        <is>
          <t>n° 5 : 1,50 + n° 6 : 1,50</t>
        </is>
      </c>
      <c r="H3445" t="n">
        <v>3</v>
      </c>
    </row>
    <row r="3446">
      <c r="A3446" t="inlineStr">
        <is>
          <t>2023-2024</t>
        </is>
      </c>
      <c r="B3446" t="inlineStr">
        <is>
          <t>2024-03-22</t>
        </is>
      </c>
      <c r="C3446" t="inlineStr">
        <is>
          <t>12:58</t>
        </is>
      </c>
      <c r="D3446" t="inlineStr">
        <is>
          <t>n° 5 + n° 6 + n° 7 + n° 8</t>
        </is>
      </c>
      <c r="E3446" t="inlineStr">
        <is>
          <t>Truite Morilles</t>
        </is>
      </c>
      <c r="F3446" t="n">
        <v>27.8</v>
      </c>
      <c r="G3446" t="inlineStr">
        <is>
          <t>n° 7 : 0,50 + n° 8 : 0,50</t>
        </is>
      </c>
      <c r="H3446" t="n">
        <v>1</v>
      </c>
    </row>
    <row r="3447">
      <c r="A3447" t="inlineStr">
        <is>
          <t>2023-2024</t>
        </is>
      </c>
      <c r="B3447" t="inlineStr">
        <is>
          <t>2024-03-22</t>
        </is>
      </c>
      <c r="C3447" t="inlineStr">
        <is>
          <t>12:58</t>
        </is>
      </c>
      <c r="D3447" t="inlineStr">
        <is>
          <t>n° 5 + n° 6 + n° 7 + n° 8</t>
        </is>
      </c>
      <c r="E3447" t="inlineStr">
        <is>
          <t>ASSIETTE VEGAN</t>
        </is>
      </c>
      <c r="F3447" t="n">
        <v>14</v>
      </c>
      <c r="G3447" t="inlineStr">
        <is>
          <t>n° 7 : 0,50 + n° 8 : 0,50</t>
        </is>
      </c>
      <c r="H3447" t="n">
        <v>1</v>
      </c>
    </row>
    <row r="3448">
      <c r="A3448" t="inlineStr">
        <is>
          <t>2023-2024</t>
        </is>
      </c>
      <c r="B3448" t="inlineStr">
        <is>
          <t>2024-03-22</t>
        </is>
      </c>
      <c r="C3448" t="inlineStr">
        <is>
          <t>12:58</t>
        </is>
      </c>
      <c r="D3448" t="inlineStr">
        <is>
          <t>n° 5 + n° 6 + n° 7 + n° 8</t>
        </is>
      </c>
      <c r="E3448" t="inlineStr">
        <is>
          <t>Pinte Picon</t>
        </is>
      </c>
      <c r="F3448" t="n">
        <v>9</v>
      </c>
      <c r="G3448" t="inlineStr">
        <is>
          <t>n° 5 : 0,50 + n° 6 : 0,50</t>
        </is>
      </c>
      <c r="H3448" t="n">
        <v>1</v>
      </c>
    </row>
    <row r="3449">
      <c r="A3449" t="inlineStr">
        <is>
          <t>2023-2024</t>
        </is>
      </c>
      <c r="B3449" t="inlineStr">
        <is>
          <t>2024-03-22</t>
        </is>
      </c>
      <c r="C3449" t="inlineStr">
        <is>
          <t>12:58</t>
        </is>
      </c>
      <c r="D3449" t="inlineStr">
        <is>
          <t>n° 5 + n° 6 + n° 7 + n° 8</t>
        </is>
      </c>
      <c r="E3449" t="inlineStr">
        <is>
          <t>Crêpe Flambée</t>
        </is>
      </c>
      <c r="F3449" t="n">
        <v>8.4</v>
      </c>
      <c r="G3449" t="inlineStr">
        <is>
          <t>n° 7 : 0,50 + n° 8 : 0,50</t>
        </is>
      </c>
      <c r="H3449" t="n">
        <v>1</v>
      </c>
    </row>
    <row r="3450">
      <c r="A3450" t="inlineStr">
        <is>
          <t>2023-2024</t>
        </is>
      </c>
      <c r="B3450" t="inlineStr">
        <is>
          <t>2024-03-22</t>
        </is>
      </c>
      <c r="C3450" t="inlineStr">
        <is>
          <t>12:58</t>
        </is>
      </c>
      <c r="D3450" t="inlineStr">
        <is>
          <t>n° 5 + n° 6 + n° 7 + n° 8</t>
        </is>
      </c>
      <c r="E3450" t="inlineStr">
        <is>
          <t>Whisky L.J (4cl)</t>
        </is>
      </c>
      <c r="F3450" t="n">
        <v>6.9</v>
      </c>
      <c r="G3450" t="inlineStr">
        <is>
          <t>n° 5 : 0,50 + n° 6 : 0,50</t>
        </is>
      </c>
      <c r="H3450" t="n">
        <v>1</v>
      </c>
    </row>
    <row r="3451">
      <c r="A3451" t="inlineStr">
        <is>
          <t>2023-2024</t>
        </is>
      </c>
      <c r="B3451" t="inlineStr">
        <is>
          <t>2024-03-22</t>
        </is>
      </c>
      <c r="C3451" t="inlineStr">
        <is>
          <t>12:58</t>
        </is>
      </c>
      <c r="D3451" t="inlineStr">
        <is>
          <t>n° 5 + n° 6 + n° 7 + n° 8</t>
        </is>
      </c>
      <c r="E3451" t="inlineStr">
        <is>
          <t>Mambo</t>
        </is>
      </c>
      <c r="F3451" t="n">
        <v>6.5</v>
      </c>
      <c r="G3451" t="inlineStr">
        <is>
          <t>n° 7 : 0,50 + n° 8 : 0,50</t>
        </is>
      </c>
      <c r="H3451" t="n">
        <v>1</v>
      </c>
    </row>
    <row r="3452">
      <c r="A3452" t="inlineStr">
        <is>
          <t>2023-2024</t>
        </is>
      </c>
      <c r="B3452" t="inlineStr">
        <is>
          <t>2024-03-22</t>
        </is>
      </c>
      <c r="C3452" t="inlineStr">
        <is>
          <t>12:58</t>
        </is>
      </c>
      <c r="D3452" t="inlineStr">
        <is>
          <t>n° 5 + n° 6 + n° 7 + n° 8</t>
        </is>
      </c>
      <c r="E3452" t="inlineStr">
        <is>
          <t>Crêpe Nutella</t>
        </is>
      </c>
      <c r="F3452" t="n">
        <v>4.9</v>
      </c>
      <c r="G3452" t="inlineStr">
        <is>
          <t>n° 7 : 0,50 + n° 8 : 0,50</t>
        </is>
      </c>
      <c r="H3452" t="n">
        <v>1</v>
      </c>
    </row>
    <row r="3453">
      <c r="A3453" t="inlineStr">
        <is>
          <t>2023-2024</t>
        </is>
      </c>
      <c r="B3453" t="inlineStr">
        <is>
          <t>2024-03-22</t>
        </is>
      </c>
      <c r="C3453" t="inlineStr">
        <is>
          <t>12:58</t>
        </is>
      </c>
      <c r="D3453" t="inlineStr">
        <is>
          <t>n° 5 + n° 6 + n° 7 + n° 8</t>
        </is>
      </c>
      <c r="E3453" t="inlineStr">
        <is>
          <t>Jus de Fruit</t>
        </is>
      </c>
      <c r="F3453" t="n">
        <v>4.2</v>
      </c>
      <c r="G3453" t="inlineStr">
        <is>
          <t>n° 7 : 0,50 + n° 8 : 0,50</t>
        </is>
      </c>
      <c r="H3453" t="n">
        <v>1</v>
      </c>
    </row>
    <row r="3454">
      <c r="A3454" t="inlineStr">
        <is>
          <t>2023-2024</t>
        </is>
      </c>
      <c r="B3454" t="inlineStr">
        <is>
          <t>2024-03-23</t>
        </is>
      </c>
      <c r="C3454" t="inlineStr">
        <is>
          <t>12:42</t>
        </is>
      </c>
      <c r="D3454" t="inlineStr">
        <is>
          <t>n° 5 + n° 6 + n° 7 + n° 8</t>
        </is>
      </c>
      <c r="E3454" t="inlineStr">
        <is>
          <t>Entrecôte Forestiére</t>
        </is>
      </c>
      <c r="F3454" t="n">
        <v>27.8</v>
      </c>
      <c r="G3454" t="inlineStr">
        <is>
          <t>n° 7 : 0,50 + n° 8 : 0,50</t>
        </is>
      </c>
      <c r="H3454" t="n">
        <v>1</v>
      </c>
    </row>
    <row r="3455">
      <c r="A3455" t="inlineStr">
        <is>
          <t>2023-2024</t>
        </is>
      </c>
      <c r="B3455" t="inlineStr">
        <is>
          <t>2024-03-23</t>
        </is>
      </c>
      <c r="C3455" t="inlineStr">
        <is>
          <t>12:42</t>
        </is>
      </c>
      <c r="D3455" t="inlineStr">
        <is>
          <t>n° 5 + n° 6 + n° 7 + n° 8</t>
        </is>
      </c>
      <c r="E3455" t="inlineStr">
        <is>
          <t>Crémeux du Jura</t>
        </is>
      </c>
      <c r="F3455" t="n">
        <v>19</v>
      </c>
      <c r="G3455" t="inlineStr">
        <is>
          <t>n° 5 : 0,50 + n° 6 : 0,50</t>
        </is>
      </c>
      <c r="H3455" t="n">
        <v>1</v>
      </c>
    </row>
    <row r="3456">
      <c r="A3456" t="inlineStr">
        <is>
          <t>2023-2024</t>
        </is>
      </c>
      <c r="B3456" t="inlineStr">
        <is>
          <t>2024-03-23</t>
        </is>
      </c>
      <c r="C3456" t="inlineStr">
        <is>
          <t>12:42</t>
        </is>
      </c>
      <c r="D3456" t="inlineStr">
        <is>
          <t>n° 5 + n° 6 + n° 7 + n° 8</t>
        </is>
      </c>
      <c r="E3456" t="inlineStr">
        <is>
          <t>ASSIETTE PERE GREGOI</t>
        </is>
      </c>
      <c r="F3456" t="n">
        <v>18.6</v>
      </c>
      <c r="G3456" t="inlineStr">
        <is>
          <t>n° 5 : 0,50 + n° 6 : 0,50</t>
        </is>
      </c>
      <c r="H3456" t="n">
        <v>1</v>
      </c>
    </row>
    <row r="3457">
      <c r="A3457" t="inlineStr">
        <is>
          <t>2023-2024</t>
        </is>
      </c>
      <c r="B3457" t="inlineStr">
        <is>
          <t>2024-03-23</t>
        </is>
      </c>
      <c r="C3457" t="inlineStr">
        <is>
          <t>12:42</t>
        </is>
      </c>
      <c r="D3457" t="inlineStr">
        <is>
          <t>n° 5 + n° 6 + n° 7 + n° 8</t>
        </is>
      </c>
      <c r="E3457" t="inlineStr">
        <is>
          <t>POULET JURASSIENNE</t>
        </is>
      </c>
      <c r="F3457" t="n">
        <v>18.6</v>
      </c>
      <c r="G3457" t="inlineStr">
        <is>
          <t>n° 7 : 0,50 + n° 8 : 0,50</t>
        </is>
      </c>
      <c r="H3457" t="n">
        <v>1</v>
      </c>
    </row>
    <row r="3458">
      <c r="A3458" t="inlineStr">
        <is>
          <t>2023-2024</t>
        </is>
      </c>
      <c r="B3458" t="inlineStr">
        <is>
          <t>2024-03-23</t>
        </is>
      </c>
      <c r="C3458" t="inlineStr">
        <is>
          <t>12:42</t>
        </is>
      </c>
      <c r="D3458" t="inlineStr">
        <is>
          <t>n° 5 + n° 6 + n° 7 + n° 8</t>
        </is>
      </c>
      <c r="E3458" t="inlineStr">
        <is>
          <t>Menu Bambin</t>
        </is>
      </c>
      <c r="F3458" t="n">
        <v>6.9</v>
      </c>
      <c r="G3458" t="inlineStr">
        <is>
          <t>n° 5 : 0,50 + n° 6 : 0,50</t>
        </is>
      </c>
      <c r="H3458" t="n">
        <v>1</v>
      </c>
    </row>
    <row r="3459">
      <c r="A3459" t="inlineStr">
        <is>
          <t>2023-2024</t>
        </is>
      </c>
      <c r="B3459" t="inlineStr">
        <is>
          <t>2024-03-23</t>
        </is>
      </c>
      <c r="C3459" t="inlineStr">
        <is>
          <t>12:42</t>
        </is>
      </c>
      <c r="D3459" t="inlineStr">
        <is>
          <t>n° 5 + n° 6 + n° 7 + n° 8</t>
        </is>
      </c>
      <c r="E3459" t="inlineStr">
        <is>
          <t>Mambo</t>
        </is>
      </c>
      <c r="F3459" t="n">
        <v>6.5</v>
      </c>
      <c r="G3459" t="inlineStr">
        <is>
          <t>n° 5 : 0,50 + n° 6 : 0,50</t>
        </is>
      </c>
      <c r="H3459" t="n">
        <v>1</v>
      </c>
    </row>
    <row r="3460">
      <c r="A3460" t="inlineStr">
        <is>
          <t>2023-2024</t>
        </is>
      </c>
      <c r="B3460" t="inlineStr">
        <is>
          <t>2024-03-23</t>
        </is>
      </c>
      <c r="C3460" t="inlineStr">
        <is>
          <t>12:42</t>
        </is>
      </c>
      <c r="D3460" t="inlineStr">
        <is>
          <t>n° 5 + n° 6 + n° 7 + n° 8</t>
        </is>
      </c>
      <c r="E3460" t="inlineStr">
        <is>
          <t>Crêpe Salidou</t>
        </is>
      </c>
      <c r="F3460" t="n">
        <v>6.4</v>
      </c>
      <c r="G3460" t="inlineStr">
        <is>
          <t>n° 5 : 0,50 + n° 6 : 0,50 + n° 7 : 0,50 + n° 8 : 0,50</t>
        </is>
      </c>
      <c r="H3460" t="n">
        <v>2</v>
      </c>
    </row>
    <row r="3461">
      <c r="A3461" t="inlineStr">
        <is>
          <t>2023-2024</t>
        </is>
      </c>
      <c r="B3461" t="inlineStr">
        <is>
          <t>2024-03-23</t>
        </is>
      </c>
      <c r="C3461" t="inlineStr">
        <is>
          <t>12:42</t>
        </is>
      </c>
      <c r="D3461" t="inlineStr">
        <is>
          <t>n° 5 + n° 6 + n° 7 + n° 8</t>
        </is>
      </c>
      <c r="E3461" t="inlineStr">
        <is>
          <t>Crepe Chocolat</t>
        </is>
      </c>
      <c r="F3461" t="n">
        <v>5.9</v>
      </c>
      <c r="G3461" t="inlineStr">
        <is>
          <t>n° 5 : 0,50 + n° 6 : 0,50</t>
        </is>
      </c>
      <c r="H3461" t="n">
        <v>1</v>
      </c>
    </row>
    <row r="3462">
      <c r="A3462" t="inlineStr">
        <is>
          <t>2023-2024</t>
        </is>
      </c>
      <c r="B3462" t="inlineStr">
        <is>
          <t>2024-03-23</t>
        </is>
      </c>
      <c r="C3462" t="inlineStr">
        <is>
          <t>12:42</t>
        </is>
      </c>
      <c r="D3462" t="inlineStr">
        <is>
          <t>n° 5 + n° 6 + n° 7 + n° 8</t>
        </is>
      </c>
      <c r="E3462" t="inlineStr">
        <is>
          <t>Expresso</t>
        </is>
      </c>
      <c r="F3462" t="n">
        <v>2.2</v>
      </c>
      <c r="G3462" t="inlineStr">
        <is>
          <t>n° 7 : 0,50 + n° 8 : 0,50</t>
        </is>
      </c>
      <c r="H3462" t="n">
        <v>1</v>
      </c>
    </row>
    <row r="3463">
      <c r="A3463" t="inlineStr">
        <is>
          <t>2023-2024</t>
        </is>
      </c>
      <c r="B3463" t="inlineStr">
        <is>
          <t>2024-03-24</t>
        </is>
      </c>
      <c r="C3463" t="inlineStr">
        <is>
          <t>12:04</t>
        </is>
      </c>
      <c r="D3463" t="inlineStr">
        <is>
          <t>n° 1 + n° 2</t>
        </is>
      </c>
      <c r="E3463" t="inlineStr">
        <is>
          <t>MORTEAU GRILLEE</t>
        </is>
      </c>
      <c r="F3463" t="n">
        <v>18.6</v>
      </c>
      <c r="G3463" t="inlineStr">
        <is>
          <t>n° 1 : 0,50 + n° 2 : 0,50</t>
        </is>
      </c>
      <c r="H3463" t="n">
        <v>1</v>
      </c>
    </row>
    <row r="3464">
      <c r="A3464" t="inlineStr">
        <is>
          <t>2023-2024</t>
        </is>
      </c>
      <c r="B3464" t="inlineStr">
        <is>
          <t>2024-03-24</t>
        </is>
      </c>
      <c r="C3464" t="inlineStr">
        <is>
          <t>12:04</t>
        </is>
      </c>
      <c r="D3464" t="inlineStr">
        <is>
          <t>n° 1 + n° 2</t>
        </is>
      </c>
      <c r="E3464" t="inlineStr">
        <is>
          <t>LOURNETTE</t>
        </is>
      </c>
      <c r="F3464" t="n">
        <v>17.9</v>
      </c>
      <c r="G3464" t="inlineStr">
        <is>
          <t>n° 1 : 0,50 + n° 2 : 0,50</t>
        </is>
      </c>
      <c r="H3464" t="n">
        <v>1</v>
      </c>
    </row>
    <row r="3465">
      <c r="A3465" t="inlineStr">
        <is>
          <t>2023-2024</t>
        </is>
      </c>
      <c r="B3465" t="inlineStr">
        <is>
          <t>2024-03-28</t>
        </is>
      </c>
      <c r="C3465" t="inlineStr">
        <is>
          <t>20:59</t>
        </is>
      </c>
      <c r="D3465" t="inlineStr">
        <is>
          <t>n° 12 + n° 13</t>
        </is>
      </c>
      <c r="E3465" t="inlineStr">
        <is>
          <t>PAYSANNE</t>
        </is>
      </c>
      <c r="F3465" t="n">
        <v>19.9</v>
      </c>
      <c r="G3465" t="inlineStr">
        <is>
          <t>n° 12 : 0,50 + n° 13 : 0,50</t>
        </is>
      </c>
      <c r="H3465" t="n">
        <v>1</v>
      </c>
    </row>
    <row r="3466">
      <c r="A3466" t="inlineStr">
        <is>
          <t>2023-2024</t>
        </is>
      </c>
      <c r="B3466" t="inlineStr">
        <is>
          <t>2024-03-28</t>
        </is>
      </c>
      <c r="C3466" t="inlineStr">
        <is>
          <t>20:59</t>
        </is>
      </c>
      <c r="D3466" t="inlineStr">
        <is>
          <t>n° 12 + n° 13</t>
        </is>
      </c>
      <c r="E3466" t="inlineStr">
        <is>
          <t>FRELEE</t>
        </is>
      </c>
      <c r="F3466" t="n">
        <v>19.6</v>
      </c>
      <c r="G3466" t="inlineStr">
        <is>
          <t>n° 12 : 0,50 + n° 13 : 0,50</t>
        </is>
      </c>
      <c r="H3466" t="n">
        <v>1</v>
      </c>
    </row>
    <row r="3467">
      <c r="A3467" t="inlineStr">
        <is>
          <t>2023-2024</t>
        </is>
      </c>
      <c r="B3467" t="inlineStr">
        <is>
          <t>2024-03-28</t>
        </is>
      </c>
      <c r="C3467" t="inlineStr">
        <is>
          <t>20:59</t>
        </is>
      </c>
      <c r="D3467" t="inlineStr">
        <is>
          <t>n° 12 + n° 13</t>
        </is>
      </c>
      <c r="E3467" t="inlineStr">
        <is>
          <t>C du  Rhone St Josep</t>
        </is>
      </c>
      <c r="F3467" t="n">
        <v>9.699999999999999</v>
      </c>
      <c r="G3467" t="inlineStr">
        <is>
          <t>n° 12 : 0,50 + n° 13 : 0,50</t>
        </is>
      </c>
      <c r="H3467" t="n">
        <v>1</v>
      </c>
    </row>
    <row r="3468">
      <c r="A3468" t="inlineStr">
        <is>
          <t>2023-2024</t>
        </is>
      </c>
      <c r="B3468" t="inlineStr">
        <is>
          <t>2024-03-28</t>
        </is>
      </c>
      <c r="C3468" t="inlineStr">
        <is>
          <t>20:59</t>
        </is>
      </c>
      <c r="D3468" t="inlineStr">
        <is>
          <t>n° 12 + n° 13</t>
        </is>
      </c>
      <c r="E3468" t="inlineStr">
        <is>
          <t>H.C.DE BEAUNE  VERRE</t>
        </is>
      </c>
      <c r="F3468" t="n">
        <v>9.5</v>
      </c>
      <c r="G3468" t="inlineStr">
        <is>
          <t>n° 12 : 0,50 + n° 13 : 0,50</t>
        </is>
      </c>
      <c r="H3468" t="n">
        <v>1</v>
      </c>
    </row>
    <row r="3469">
      <c r="A3469" t="inlineStr">
        <is>
          <t>2023-2024</t>
        </is>
      </c>
      <c r="B3469" t="inlineStr">
        <is>
          <t>2024-03-28</t>
        </is>
      </c>
      <c r="C3469" t="inlineStr">
        <is>
          <t>20:59</t>
        </is>
      </c>
      <c r="D3469" t="inlineStr">
        <is>
          <t>n° 12 + n° 13</t>
        </is>
      </c>
      <c r="E3469" t="inlineStr">
        <is>
          <t>CUPIDON</t>
        </is>
      </c>
      <c r="F3469" t="n">
        <v>9.300000000000001</v>
      </c>
      <c r="G3469" t="inlineStr">
        <is>
          <t>n° 12 : 0,50 + n° 13 : 0,50</t>
        </is>
      </c>
      <c r="H3469" t="n">
        <v>1</v>
      </c>
    </row>
    <row r="3470">
      <c r="A3470" t="inlineStr">
        <is>
          <t>2023-2024</t>
        </is>
      </c>
      <c r="B3470" t="inlineStr">
        <is>
          <t>2024-03-28</t>
        </is>
      </c>
      <c r="C3470" t="inlineStr">
        <is>
          <t>20:59</t>
        </is>
      </c>
      <c r="D3470" t="inlineStr">
        <is>
          <t>n° 12 + n° 13</t>
        </is>
      </c>
      <c r="E3470" t="inlineStr">
        <is>
          <t>GLACE 2 BOULES</t>
        </is>
      </c>
      <c r="F3470" t="n">
        <v>5.5</v>
      </c>
      <c r="G3470" t="inlineStr">
        <is>
          <t>n° 12 : 0,50 + n° 13 : 0,50</t>
        </is>
      </c>
      <c r="H3470" t="n">
        <v>1</v>
      </c>
    </row>
    <row r="3471">
      <c r="A3471" t="inlineStr">
        <is>
          <t>2023-2024</t>
        </is>
      </c>
      <c r="B3471" t="inlineStr">
        <is>
          <t>2024-03-29</t>
        </is>
      </c>
      <c r="C3471" t="inlineStr">
        <is>
          <t>20:55</t>
        </is>
      </c>
      <c r="D3471" t="inlineStr">
        <is>
          <t>n° 18 + n° 19 + n° 20 + n° 21</t>
        </is>
      </c>
      <c r="E3471" t="inlineStr">
        <is>
          <t>Saint Véran</t>
        </is>
      </c>
      <c r="F3471" t="n">
        <v>39.5</v>
      </c>
      <c r="G3471" t="inlineStr">
        <is>
          <t>n° 18 : 0,25 + n° 19 : 0,25 + n° 20 : 0,25 + n° 21 : 0,25</t>
        </is>
      </c>
      <c r="H3471" t="n">
        <v>1</v>
      </c>
    </row>
    <row r="3472">
      <c r="A3472" t="inlineStr">
        <is>
          <t>2023-2024</t>
        </is>
      </c>
      <c r="B3472" t="inlineStr">
        <is>
          <t>2024-03-30</t>
        </is>
      </c>
      <c r="C3472" t="inlineStr">
        <is>
          <t>12:20</t>
        </is>
      </c>
      <c r="D3472" t="inlineStr">
        <is>
          <t>n° 1 + n° 2</t>
        </is>
      </c>
      <c r="E3472" t="inlineStr">
        <is>
          <t>Crémeux du Jura</t>
        </is>
      </c>
      <c r="F3472" t="n">
        <v>19</v>
      </c>
      <c r="G3472" t="inlineStr">
        <is>
          <t>n° 1 : 0,50 + n° 2 : 0,50</t>
        </is>
      </c>
      <c r="H3472" t="n">
        <v>1</v>
      </c>
    </row>
    <row r="3473">
      <c r="A3473" t="inlineStr">
        <is>
          <t>2023-2024</t>
        </is>
      </c>
      <c r="B3473" t="inlineStr">
        <is>
          <t>2024-03-30</t>
        </is>
      </c>
      <c r="C3473" t="inlineStr">
        <is>
          <t>12:20</t>
        </is>
      </c>
      <c r="D3473" t="inlineStr">
        <is>
          <t>n° 1 + n° 2</t>
        </is>
      </c>
      <c r="E3473" t="inlineStr">
        <is>
          <t>ASSIETTE FRANC-COMTO</t>
        </is>
      </c>
      <c r="F3473" t="n">
        <v>18.6</v>
      </c>
      <c r="G3473" t="inlineStr">
        <is>
          <t>n° 1 : 0,50 + n° 2 : 0,50</t>
        </is>
      </c>
      <c r="H3473" t="n">
        <v>1</v>
      </c>
    </row>
    <row r="3474">
      <c r="A3474" t="inlineStr">
        <is>
          <t>2023-2024</t>
        </is>
      </c>
      <c r="B3474" t="inlineStr">
        <is>
          <t>2024-03-30</t>
        </is>
      </c>
      <c r="C3474" t="inlineStr">
        <is>
          <t>12:20</t>
        </is>
      </c>
      <c r="D3474" t="inlineStr">
        <is>
          <t>n° 1 + n° 2</t>
        </is>
      </c>
      <c r="E3474" t="inlineStr">
        <is>
          <t>TRUITE JURASSIENNE</t>
        </is>
      </c>
      <c r="F3474" t="n">
        <v>18.6</v>
      </c>
      <c r="G3474" t="inlineStr">
        <is>
          <t>n° 1 : 0,50 + n° 2 : 0,50</t>
        </is>
      </c>
      <c r="H3474" t="n">
        <v>1</v>
      </c>
    </row>
    <row r="3475">
      <c r="A3475" t="inlineStr">
        <is>
          <t>2023-2024</t>
        </is>
      </c>
      <c r="B3475" t="inlineStr">
        <is>
          <t>2024-03-30</t>
        </is>
      </c>
      <c r="C3475" t="inlineStr">
        <is>
          <t>12:20</t>
        </is>
      </c>
      <c r="D3475" t="inlineStr">
        <is>
          <t>n° 1 + n° 2</t>
        </is>
      </c>
      <c r="E3475" t="inlineStr">
        <is>
          <t>Luna</t>
        </is>
      </c>
      <c r="F3475" t="n">
        <v>6</v>
      </c>
      <c r="G3475" t="inlineStr">
        <is>
          <t>n° 1 : 0,50 + n° 2 : 0,50</t>
        </is>
      </c>
      <c r="H3475" t="n">
        <v>1</v>
      </c>
    </row>
    <row r="3476">
      <c r="A3476" t="inlineStr">
        <is>
          <t>2023-2024</t>
        </is>
      </c>
      <c r="B3476" t="inlineStr">
        <is>
          <t>2024-03-30</t>
        </is>
      </c>
      <c r="C3476" t="inlineStr">
        <is>
          <t>12:20</t>
        </is>
      </c>
      <c r="D3476" t="inlineStr">
        <is>
          <t>n° 1 + n° 2</t>
        </is>
      </c>
      <c r="E3476" t="inlineStr">
        <is>
          <t>Chat perché</t>
        </is>
      </c>
      <c r="F3476" t="n">
        <v>5.9</v>
      </c>
      <c r="G3476" t="inlineStr">
        <is>
          <t>n° 1 : 0,50 + n° 2 : 0,50</t>
        </is>
      </c>
      <c r="H3476" t="n">
        <v>1</v>
      </c>
    </row>
    <row r="3477">
      <c r="A3477" t="inlineStr">
        <is>
          <t>2023-2024</t>
        </is>
      </c>
      <c r="B3477" t="inlineStr">
        <is>
          <t>2024-03-30</t>
        </is>
      </c>
      <c r="C3477" t="inlineStr">
        <is>
          <t>12:20</t>
        </is>
      </c>
      <c r="D3477" t="inlineStr">
        <is>
          <t>n° 1 + n° 2</t>
        </is>
      </c>
      <c r="E3477" t="inlineStr">
        <is>
          <t>Kir Bourgogne</t>
        </is>
      </c>
      <c r="F3477" t="n">
        <v>4.2</v>
      </c>
      <c r="G3477" t="inlineStr">
        <is>
          <t>n° 1 : 0,50 + n° 2 : 0,50</t>
        </is>
      </c>
      <c r="H3477" t="n">
        <v>1</v>
      </c>
    </row>
    <row r="3478">
      <c r="A3478" t="inlineStr">
        <is>
          <t>2023-2024</t>
        </is>
      </c>
      <c r="B3478" t="inlineStr">
        <is>
          <t>2024-03-30</t>
        </is>
      </c>
      <c r="C3478" t="inlineStr">
        <is>
          <t>12:20</t>
        </is>
      </c>
      <c r="D3478" t="inlineStr">
        <is>
          <t>n° 1 + n° 2</t>
        </is>
      </c>
      <c r="E3478" t="inlineStr">
        <is>
          <t>Expresso</t>
        </is>
      </c>
      <c r="F3478" t="n">
        <v>2.2</v>
      </c>
      <c r="G3478" t="inlineStr">
        <is>
          <t>n° 1 : 0,50 + n° 2 : 0,50</t>
        </is>
      </c>
      <c r="H3478" t="n">
        <v>1</v>
      </c>
    </row>
    <row r="3479">
      <c r="A3479" t="inlineStr">
        <is>
          <t>2023-2024</t>
        </is>
      </c>
      <c r="B3479" t="inlineStr">
        <is>
          <t>2024-03-31</t>
        </is>
      </c>
      <c r="C3479" t="inlineStr">
        <is>
          <t>13:00</t>
        </is>
      </c>
      <c r="D3479" t="inlineStr">
        <is>
          <t>n° 6 + n° 7</t>
        </is>
      </c>
      <c r="E3479" t="inlineStr">
        <is>
          <t>Menu du Dahu</t>
        </is>
      </c>
      <c r="F3479" t="n">
        <v>29.9</v>
      </c>
      <c r="G3479" t="inlineStr">
        <is>
          <t>n° 6 : 1,50 + n° 7 : 1,50</t>
        </is>
      </c>
      <c r="H3479" t="n">
        <v>3</v>
      </c>
    </row>
    <row r="3480">
      <c r="A3480" t="inlineStr">
        <is>
          <t>2023-2024</t>
        </is>
      </c>
      <c r="B3480" t="inlineStr">
        <is>
          <t>2024-03-31</t>
        </is>
      </c>
      <c r="C3480" t="inlineStr">
        <is>
          <t>13:00</t>
        </is>
      </c>
      <c r="D3480" t="inlineStr">
        <is>
          <t>n° 6 + n° 7</t>
        </is>
      </c>
      <c r="E3480" t="inlineStr">
        <is>
          <t>La Vouivre</t>
        </is>
      </c>
      <c r="F3480" t="n">
        <v>5.9</v>
      </c>
      <c r="G3480" t="inlineStr">
        <is>
          <t>n° 6 : 1,50 + n° 7 : 1,50</t>
        </is>
      </c>
      <c r="H3480" t="n">
        <v>3</v>
      </c>
    </row>
    <row r="3481">
      <c r="A3481" t="inlineStr">
        <is>
          <t>2023-2024</t>
        </is>
      </c>
      <c r="B3481" t="inlineStr">
        <is>
          <t>2024-03-31</t>
        </is>
      </c>
      <c r="C3481" t="inlineStr">
        <is>
          <t>13:00</t>
        </is>
      </c>
      <c r="D3481" t="inlineStr">
        <is>
          <t>n° 6 + n° 7</t>
        </is>
      </c>
      <c r="E3481" t="inlineStr">
        <is>
          <t>Expresso</t>
        </is>
      </c>
      <c r="F3481" t="n">
        <v>2.2</v>
      </c>
      <c r="G3481" t="inlineStr">
        <is>
          <t>n° 6 : 1,50 + n° 7 : 1,50</t>
        </is>
      </c>
      <c r="H3481" t="n">
        <v>3</v>
      </c>
    </row>
    <row r="3482">
      <c r="A3482" t="inlineStr">
        <is>
          <t>2024-2025</t>
        </is>
      </c>
      <c r="B3482" t="inlineStr">
        <is>
          <t>2024-04-04</t>
        </is>
      </c>
      <c r="C3482" t="inlineStr">
        <is>
          <t>19:46</t>
        </is>
      </c>
      <c r="D3482" t="inlineStr">
        <is>
          <t>n° 11 + n° 12</t>
        </is>
      </c>
      <c r="E3482" t="inlineStr">
        <is>
          <t>Crémeux du Jura</t>
        </is>
      </c>
      <c r="F3482" t="n">
        <v>19</v>
      </c>
      <c r="G3482" t="inlineStr">
        <is>
          <t>n° 11 : 0,50 + n° 12 : 0,50</t>
        </is>
      </c>
      <c r="H3482" t="n">
        <v>1</v>
      </c>
    </row>
    <row r="3483">
      <c r="A3483" t="inlineStr">
        <is>
          <t>2024-2025</t>
        </is>
      </c>
      <c r="B3483" t="inlineStr">
        <is>
          <t>2024-04-04</t>
        </is>
      </c>
      <c r="C3483" t="inlineStr">
        <is>
          <t>19:46</t>
        </is>
      </c>
      <c r="D3483" t="inlineStr">
        <is>
          <t>n° 11 + n° 12</t>
        </is>
      </c>
      <c r="E3483" t="inlineStr">
        <is>
          <t>CAMEMBERT ROTI</t>
        </is>
      </c>
      <c r="F3483" t="n">
        <v>18.6</v>
      </c>
      <c r="G3483" t="inlineStr">
        <is>
          <t>n° 11 : 0,50 + n° 12 : 0,50</t>
        </is>
      </c>
      <c r="H3483" t="n">
        <v>1</v>
      </c>
    </row>
    <row r="3484">
      <c r="A3484" t="inlineStr">
        <is>
          <t>2024-2025</t>
        </is>
      </c>
      <c r="B3484" t="inlineStr">
        <is>
          <t>2024-04-05</t>
        </is>
      </c>
      <c r="C3484" t="inlineStr">
        <is>
          <t>19:54</t>
        </is>
      </c>
      <c r="D3484" t="inlineStr">
        <is>
          <t>n° 13 + n° 14</t>
        </is>
      </c>
      <c r="E3484" t="inlineStr">
        <is>
          <t>1/2 Arbois Béthanie</t>
        </is>
      </c>
      <c r="F3484" t="n">
        <v>24</v>
      </c>
      <c r="G3484" t="inlineStr">
        <is>
          <t>n° 13 : 0,50 + n° 14 : 0,50</t>
        </is>
      </c>
      <c r="H3484" t="n">
        <v>1</v>
      </c>
    </row>
    <row r="3485">
      <c r="A3485" t="inlineStr">
        <is>
          <t>2024-2025</t>
        </is>
      </c>
      <c r="B3485" t="inlineStr">
        <is>
          <t>2024-04-05</t>
        </is>
      </c>
      <c r="C3485" t="inlineStr">
        <is>
          <t>19:54</t>
        </is>
      </c>
      <c r="D3485" t="inlineStr">
        <is>
          <t>n° 13 + n° 14</t>
        </is>
      </c>
      <c r="E3485" t="inlineStr">
        <is>
          <t>PEUTE</t>
        </is>
      </c>
      <c r="F3485" t="n">
        <v>17.8</v>
      </c>
      <c r="G3485" t="inlineStr">
        <is>
          <t>n° 13 : 0,50 + n° 14 : 0,50</t>
        </is>
      </c>
      <c r="H3485" t="n">
        <v>1</v>
      </c>
    </row>
    <row r="3486">
      <c r="A3486" t="inlineStr">
        <is>
          <t>2024-2025</t>
        </is>
      </c>
      <c r="B3486" t="inlineStr">
        <is>
          <t>2024-04-05</t>
        </is>
      </c>
      <c r="C3486" t="inlineStr">
        <is>
          <t>19:54</t>
        </is>
      </c>
      <c r="D3486" t="inlineStr">
        <is>
          <t>n° 13 + n° 14</t>
        </is>
      </c>
      <c r="E3486" t="inlineStr">
        <is>
          <t>LIGOUSE</t>
        </is>
      </c>
      <c r="F3486" t="n">
        <v>16.6</v>
      </c>
      <c r="G3486" t="inlineStr">
        <is>
          <t>n° 13 : 0,50 + n° 14 : 0,50</t>
        </is>
      </c>
      <c r="H3486" t="n">
        <v>1</v>
      </c>
    </row>
    <row r="3487">
      <c r="A3487" t="inlineStr">
        <is>
          <t>2024-2025</t>
        </is>
      </c>
      <c r="B3487" t="inlineStr">
        <is>
          <t>2024-04-05</t>
        </is>
      </c>
      <c r="C3487" t="inlineStr">
        <is>
          <t>19:54</t>
        </is>
      </c>
      <c r="D3487" t="inlineStr">
        <is>
          <t>n° 13 + n° 14</t>
        </is>
      </c>
      <c r="E3487" t="inlineStr">
        <is>
          <t>CREME BRULEE</t>
        </is>
      </c>
      <c r="F3487" t="n">
        <v>7.9</v>
      </c>
      <c r="G3487" t="inlineStr">
        <is>
          <t>n° 13 : 0,50 + n° 14 : 0,50</t>
        </is>
      </c>
      <c r="H3487" t="n">
        <v>1</v>
      </c>
    </row>
    <row r="3488">
      <c r="A3488" t="inlineStr">
        <is>
          <t>2024-2025</t>
        </is>
      </c>
      <c r="B3488" t="inlineStr">
        <is>
          <t>2024-04-05</t>
        </is>
      </c>
      <c r="C3488" t="inlineStr">
        <is>
          <t>19:54</t>
        </is>
      </c>
      <c r="D3488" t="inlineStr">
        <is>
          <t>n° 13 + n° 14</t>
        </is>
      </c>
      <c r="E3488" t="inlineStr">
        <is>
          <t>Père Gregoire</t>
        </is>
      </c>
      <c r="F3488" t="n">
        <v>5.9</v>
      </c>
      <c r="G3488" t="inlineStr">
        <is>
          <t>n° 13 : 0,50 + n° 14 : 0,50</t>
        </is>
      </c>
      <c r="H3488" t="n">
        <v>1</v>
      </c>
    </row>
    <row r="3489">
      <c r="A3489" t="inlineStr">
        <is>
          <t>2024-2025</t>
        </is>
      </c>
      <c r="B3489" t="inlineStr">
        <is>
          <t>2024-04-05</t>
        </is>
      </c>
      <c r="C3489" t="inlineStr">
        <is>
          <t>19:54</t>
        </is>
      </c>
      <c r="D3489" t="inlineStr">
        <is>
          <t>n° 13 + n° 14</t>
        </is>
      </c>
      <c r="E3489" t="inlineStr">
        <is>
          <t>Chat perché</t>
        </is>
      </c>
      <c r="F3489" t="n">
        <v>5.9</v>
      </c>
      <c r="G3489" t="inlineStr">
        <is>
          <t>n° 13 : 0,50 + n° 14 : 0,50</t>
        </is>
      </c>
      <c r="H3489" t="n">
        <v>1</v>
      </c>
    </row>
    <row r="3490">
      <c r="A3490" t="inlineStr">
        <is>
          <t>2024-2025</t>
        </is>
      </c>
      <c r="B3490" t="inlineStr">
        <is>
          <t>2024-04-05</t>
        </is>
      </c>
      <c r="C3490" t="inlineStr">
        <is>
          <t>20:32</t>
        </is>
      </c>
      <c r="D3490" t="inlineStr">
        <is>
          <t>n° 20 + n° 21</t>
        </is>
      </c>
      <c r="E3490" t="inlineStr">
        <is>
          <t>Ambrée</t>
        </is>
      </c>
      <c r="F3490" t="n">
        <v>6.9</v>
      </c>
      <c r="G3490" t="inlineStr">
        <is>
          <t>n° 20 : 0,50 + n° 21 : 0,50</t>
        </is>
      </c>
      <c r="H3490" t="n">
        <v>1</v>
      </c>
    </row>
    <row r="3491">
      <c r="A3491" t="inlineStr">
        <is>
          <t>2024-2025</t>
        </is>
      </c>
      <c r="B3491" t="inlineStr">
        <is>
          <t>2024-04-05</t>
        </is>
      </c>
      <c r="C3491" t="inlineStr">
        <is>
          <t>20:32</t>
        </is>
      </c>
      <c r="D3491" t="inlineStr">
        <is>
          <t>n° 20 + n° 21</t>
        </is>
      </c>
      <c r="E3491" t="inlineStr">
        <is>
          <t>Jus de Fruit</t>
        </is>
      </c>
      <c r="F3491" t="n">
        <v>4.2</v>
      </c>
      <c r="G3491" t="inlineStr">
        <is>
          <t>n° 20 : 0,50 + n° 21 : 0,50</t>
        </is>
      </c>
      <c r="H3491" t="n">
        <v>1</v>
      </c>
    </row>
    <row r="3492">
      <c r="A3492" t="inlineStr">
        <is>
          <t>2024-2025</t>
        </is>
      </c>
      <c r="B3492" t="inlineStr">
        <is>
          <t>2024-04-05</t>
        </is>
      </c>
      <c r="C3492" t="inlineStr">
        <is>
          <t>21:05</t>
        </is>
      </c>
      <c r="D3492" t="inlineStr">
        <is>
          <t>n° 22 + n° 23 + n° 24</t>
        </is>
      </c>
      <c r="E3492" t="inlineStr">
        <is>
          <t>DAHU</t>
        </is>
      </c>
      <c r="F3492" t="n">
        <v>11.9</v>
      </c>
      <c r="G3492" t="inlineStr">
        <is>
          <t>n° 22 : 0,33 + n° 23 : 0,34 + n° 24 : 0,33</t>
        </is>
      </c>
      <c r="H3492" t="n">
        <v>1</v>
      </c>
    </row>
    <row r="3493">
      <c r="A3493" t="inlineStr">
        <is>
          <t>2024-2025</t>
        </is>
      </c>
      <c r="B3493" t="inlineStr">
        <is>
          <t>2024-04-05</t>
        </is>
      </c>
      <c r="C3493" t="inlineStr">
        <is>
          <t>21:05</t>
        </is>
      </c>
      <c r="D3493" t="inlineStr">
        <is>
          <t>n° 22 + n° 23 + n° 24</t>
        </is>
      </c>
      <c r="E3493" t="inlineStr">
        <is>
          <t>TANTE ARIE</t>
        </is>
      </c>
      <c r="F3493" t="n">
        <v>11.9</v>
      </c>
      <c r="G3493" t="inlineStr">
        <is>
          <t>n° 22 : 0,33 + n° 23 : 0,34 + n° 24 : 0,33</t>
        </is>
      </c>
      <c r="H3493" t="n">
        <v>1</v>
      </c>
    </row>
    <row r="3494">
      <c r="A3494" t="inlineStr">
        <is>
          <t>2024-2025</t>
        </is>
      </c>
      <c r="B3494" t="inlineStr">
        <is>
          <t>2024-04-05</t>
        </is>
      </c>
      <c r="C3494" t="inlineStr">
        <is>
          <t>21:05</t>
        </is>
      </c>
      <c r="D3494" t="inlineStr">
        <is>
          <t>n° 22 + n° 23 + n° 24</t>
        </is>
      </c>
      <c r="E3494" t="inlineStr">
        <is>
          <t>Arbois Trousseau Le</t>
        </is>
      </c>
      <c r="F3494" t="n">
        <v>7.2</v>
      </c>
      <c r="G3494" t="inlineStr">
        <is>
          <t>n° 22 : 0,67 + n° 23 : 0,67 + n° 24 : 0,66</t>
        </is>
      </c>
      <c r="H3494" t="n">
        <v>2</v>
      </c>
    </row>
    <row r="3495">
      <c r="A3495" t="inlineStr">
        <is>
          <t>2024-2025</t>
        </is>
      </c>
      <c r="B3495" t="inlineStr">
        <is>
          <t>2024-04-05</t>
        </is>
      </c>
      <c r="C3495" t="inlineStr">
        <is>
          <t>21:05</t>
        </is>
      </c>
      <c r="D3495" t="inlineStr">
        <is>
          <t>n° 22 + n° 23 + n° 24</t>
        </is>
      </c>
      <c r="E3495" t="inlineStr">
        <is>
          <t>Mambo</t>
        </is>
      </c>
      <c r="F3495" t="n">
        <v>6.5</v>
      </c>
      <c r="G3495" t="inlineStr">
        <is>
          <t>n° 22 : 0,33 + n° 23 : 0,34 + n° 24 : 0,33</t>
        </is>
      </c>
      <c r="H3495" t="n">
        <v>1</v>
      </c>
    </row>
    <row r="3496">
      <c r="A3496" t="inlineStr">
        <is>
          <t>2024-2025</t>
        </is>
      </c>
      <c r="B3496" t="inlineStr">
        <is>
          <t>2024-04-05</t>
        </is>
      </c>
      <c r="C3496" t="inlineStr">
        <is>
          <t>21:05</t>
        </is>
      </c>
      <c r="D3496" t="inlineStr">
        <is>
          <t>n° 22 + n° 23 + n° 24</t>
        </is>
      </c>
      <c r="E3496" t="inlineStr">
        <is>
          <t>La Vouivre</t>
        </is>
      </c>
      <c r="F3496" t="n">
        <v>5.9</v>
      </c>
      <c r="G3496" t="inlineStr">
        <is>
          <t>n° 22 : 0,33 + n° 23 : 0,34 + n° 24 : 0,33</t>
        </is>
      </c>
      <c r="H3496" t="n">
        <v>1</v>
      </c>
    </row>
    <row r="3497">
      <c r="A3497" t="inlineStr">
        <is>
          <t>2024-2025</t>
        </is>
      </c>
      <c r="B3497" t="inlineStr">
        <is>
          <t>2024-04-05</t>
        </is>
      </c>
      <c r="C3497" t="inlineStr">
        <is>
          <t>21:05</t>
        </is>
      </c>
      <c r="D3497" t="inlineStr">
        <is>
          <t>n° 22 + n° 23 + n° 24</t>
        </is>
      </c>
      <c r="E3497" t="inlineStr">
        <is>
          <t>Crêpe Confiture</t>
        </is>
      </c>
      <c r="F3497" t="n">
        <v>5.4</v>
      </c>
      <c r="G3497" t="inlineStr">
        <is>
          <t>n° 22 : 0,33 + n° 23 : 0,34 + n° 24 : 0,33</t>
        </is>
      </c>
      <c r="H3497" t="n">
        <v>1</v>
      </c>
    </row>
    <row r="3498">
      <c r="A3498" t="inlineStr">
        <is>
          <t>2024-2025</t>
        </is>
      </c>
      <c r="B3498" t="inlineStr">
        <is>
          <t>2024-04-05</t>
        </is>
      </c>
      <c r="C3498" t="inlineStr">
        <is>
          <t>21:05</t>
        </is>
      </c>
      <c r="D3498" t="inlineStr">
        <is>
          <t>n° 22 + n° 23 + n° 24</t>
        </is>
      </c>
      <c r="E3498" t="inlineStr">
        <is>
          <t>KITTYKIR</t>
        </is>
      </c>
      <c r="F3498" t="n">
        <v>5.2</v>
      </c>
      <c r="G3498" t="inlineStr">
        <is>
          <t>n° 22 : 0,33 + n° 23 : 0,34 + n° 24 : 0,33</t>
        </is>
      </c>
      <c r="H3498" t="n">
        <v>1</v>
      </c>
    </row>
    <row r="3499">
      <c r="A3499" t="inlineStr">
        <is>
          <t>2024-2025</t>
        </is>
      </c>
      <c r="B3499" t="inlineStr">
        <is>
          <t>2024-04-05</t>
        </is>
      </c>
      <c r="C3499" t="inlineStr">
        <is>
          <t>21:41</t>
        </is>
      </c>
      <c r="D3499" t="inlineStr">
        <is>
          <t>n° 28 + n° 29</t>
        </is>
      </c>
      <c r="E3499" t="inlineStr">
        <is>
          <t>ENTRECOTE MORILLES</t>
        </is>
      </c>
      <c r="F3499" t="n">
        <v>34.8</v>
      </c>
      <c r="G3499" t="inlineStr">
        <is>
          <t>n° 28 : 0,50 + n° 29 : 0,50</t>
        </is>
      </c>
      <c r="H3499" t="n">
        <v>1</v>
      </c>
    </row>
    <row r="3500">
      <c r="A3500" t="inlineStr">
        <is>
          <t>2024-2025</t>
        </is>
      </c>
      <c r="B3500" t="inlineStr">
        <is>
          <t>2024-04-05</t>
        </is>
      </c>
      <c r="C3500" t="inlineStr">
        <is>
          <t>21:41</t>
        </is>
      </c>
      <c r="D3500" t="inlineStr">
        <is>
          <t>n° 28 + n° 29</t>
        </is>
      </c>
      <c r="E3500" t="inlineStr">
        <is>
          <t>ASSIETTE FRANC-COMTO</t>
        </is>
      </c>
      <c r="F3500" t="n">
        <v>18.6</v>
      </c>
      <c r="G3500" t="inlineStr">
        <is>
          <t>n° 28 : 0,50 + n° 29 : 0,50</t>
        </is>
      </c>
      <c r="H3500" t="n">
        <v>1</v>
      </c>
    </row>
    <row r="3501">
      <c r="A3501" t="inlineStr">
        <is>
          <t>2024-2025</t>
        </is>
      </c>
      <c r="B3501" t="inlineStr">
        <is>
          <t>2024-04-05</t>
        </is>
      </c>
      <c r="C3501" t="inlineStr">
        <is>
          <t>21:41</t>
        </is>
      </c>
      <c r="D3501" t="inlineStr">
        <is>
          <t>n° 28 + n° 29</t>
        </is>
      </c>
      <c r="E3501" t="inlineStr">
        <is>
          <t>Croûtes Morilles</t>
        </is>
      </c>
      <c r="F3501" t="n">
        <v>16.9</v>
      </c>
      <c r="G3501" t="inlineStr">
        <is>
          <t>n° 28 : 0,50 + n° 29 : 0,50</t>
        </is>
      </c>
      <c r="H3501" t="n">
        <v>1</v>
      </c>
    </row>
    <row r="3502">
      <c r="A3502" t="inlineStr">
        <is>
          <t>2024-2025</t>
        </is>
      </c>
      <c r="B3502" t="inlineStr">
        <is>
          <t>2024-04-05</t>
        </is>
      </c>
      <c r="C3502" t="inlineStr">
        <is>
          <t>21:41</t>
        </is>
      </c>
      <c r="D3502" t="inlineStr">
        <is>
          <t>n° 28 + n° 29</t>
        </is>
      </c>
      <c r="E3502" t="inlineStr">
        <is>
          <t>Si</t>
        </is>
      </c>
      <c r="F3502" t="n">
        <v>9</v>
      </c>
      <c r="G3502" t="inlineStr">
        <is>
          <t>n° 28 : 0,50 + n° 29 : 0,50</t>
        </is>
      </c>
      <c r="H3502" t="n">
        <v>1</v>
      </c>
    </row>
    <row r="3503">
      <c r="A3503" t="inlineStr">
        <is>
          <t>2024-2025</t>
        </is>
      </c>
      <c r="B3503" t="inlineStr">
        <is>
          <t>2024-04-05</t>
        </is>
      </c>
      <c r="C3503" t="inlineStr">
        <is>
          <t>21:41</t>
        </is>
      </c>
      <c r="D3503" t="inlineStr">
        <is>
          <t>n° 28 + n° 29</t>
        </is>
      </c>
      <c r="E3503" t="inlineStr">
        <is>
          <t>Baba</t>
        </is>
      </c>
      <c r="F3503" t="n">
        <v>8.9</v>
      </c>
      <c r="G3503" t="inlineStr">
        <is>
          <t>n° 28 : 0,50 + n° 29 : 0,50</t>
        </is>
      </c>
      <c r="H3503" t="n">
        <v>1</v>
      </c>
    </row>
    <row r="3504">
      <c r="A3504" t="inlineStr">
        <is>
          <t>2024-2025</t>
        </is>
      </c>
      <c r="B3504" t="inlineStr">
        <is>
          <t>2024-04-05</t>
        </is>
      </c>
      <c r="C3504" t="inlineStr">
        <is>
          <t>21:41</t>
        </is>
      </c>
      <c r="D3504" t="inlineStr">
        <is>
          <t>n° 28 + n° 29</t>
        </is>
      </c>
      <c r="E3504" t="inlineStr">
        <is>
          <t>Jamhon Persillé</t>
        </is>
      </c>
      <c r="F3504" t="n">
        <v>7.2</v>
      </c>
      <c r="G3504" t="inlineStr">
        <is>
          <t>n° 28 : 0,50 + n° 29 : 0,50</t>
        </is>
      </c>
      <c r="H3504" t="n">
        <v>1</v>
      </c>
    </row>
    <row r="3505">
      <c r="A3505" t="inlineStr">
        <is>
          <t>2024-2025</t>
        </is>
      </c>
      <c r="B3505" t="inlineStr">
        <is>
          <t>2024-04-05</t>
        </is>
      </c>
      <c r="C3505" t="inlineStr">
        <is>
          <t>21:41</t>
        </is>
      </c>
      <c r="D3505" t="inlineStr">
        <is>
          <t>n° 28 + n° 29</t>
        </is>
      </c>
      <c r="E3505" t="inlineStr">
        <is>
          <t>Salade Verte aux Noi</t>
        </is>
      </c>
      <c r="F3505" t="n">
        <v>5.9</v>
      </c>
      <c r="G3505" t="inlineStr">
        <is>
          <t>n° 28 : 0,50 + n° 29 : 0,50</t>
        </is>
      </c>
      <c r="H3505" t="n">
        <v>1</v>
      </c>
    </row>
    <row r="3506">
      <c r="A3506" t="inlineStr">
        <is>
          <t>2024-2025</t>
        </is>
      </c>
      <c r="B3506" t="inlineStr">
        <is>
          <t>2024-04-05</t>
        </is>
      </c>
      <c r="C3506" t="inlineStr">
        <is>
          <t>21:41</t>
        </is>
      </c>
      <c r="D3506" t="inlineStr">
        <is>
          <t>n° 28 + n° 29</t>
        </is>
      </c>
      <c r="E3506" t="inlineStr">
        <is>
          <t>GLACE 1 BOULE</t>
        </is>
      </c>
      <c r="F3506" t="n">
        <v>3.5</v>
      </c>
      <c r="G3506" t="inlineStr">
        <is>
          <t>n° 28 : 0,50 + n° 29 : 0,50</t>
        </is>
      </c>
      <c r="H3506" t="n">
        <v>1</v>
      </c>
    </row>
    <row r="3507">
      <c r="A3507" t="inlineStr">
        <is>
          <t>2024-2025</t>
        </is>
      </c>
      <c r="B3507" t="inlineStr">
        <is>
          <t>2024-04-05</t>
        </is>
      </c>
      <c r="C3507" t="inlineStr">
        <is>
          <t>21:41</t>
        </is>
      </c>
      <c r="D3507" t="inlineStr">
        <is>
          <t>n° 28 + n° 29</t>
        </is>
      </c>
      <c r="E3507" t="inlineStr">
        <is>
          <t>Chantilly</t>
        </is>
      </c>
      <c r="F3507" t="n">
        <v>2</v>
      </c>
      <c r="G3507" t="inlineStr">
        <is>
          <t>n° 28 : 0,50 + n° 29 : 0,50</t>
        </is>
      </c>
      <c r="H3507" t="n">
        <v>1</v>
      </c>
    </row>
    <row r="3508">
      <c r="A3508" t="inlineStr">
        <is>
          <t>2024-2025</t>
        </is>
      </c>
      <c r="B3508" t="inlineStr">
        <is>
          <t>2024-04-06</t>
        </is>
      </c>
      <c r="C3508" t="inlineStr">
        <is>
          <t>20:18</t>
        </is>
      </c>
      <c r="D3508" t="inlineStr">
        <is>
          <t>n° 29 + n° 30</t>
        </is>
      </c>
      <c r="E3508" t="inlineStr">
        <is>
          <t>Alsace Gewurztramine</t>
        </is>
      </c>
      <c r="F3508" t="n">
        <v>35</v>
      </c>
      <c r="G3508" t="inlineStr">
        <is>
          <t>n° 29 : 0,50 + n° 30 : 0,50</t>
        </is>
      </c>
      <c r="H3508" t="n">
        <v>1</v>
      </c>
    </row>
    <row r="3509">
      <c r="A3509" t="inlineStr">
        <is>
          <t>2024-2025</t>
        </is>
      </c>
      <c r="B3509" t="inlineStr">
        <is>
          <t>2024-04-06</t>
        </is>
      </c>
      <c r="C3509" t="inlineStr">
        <is>
          <t>20:18</t>
        </is>
      </c>
      <c r="D3509" t="inlineStr">
        <is>
          <t>n° 29 + n° 30</t>
        </is>
      </c>
      <c r="E3509" t="inlineStr">
        <is>
          <t>TANTELIN</t>
        </is>
      </c>
      <c r="F3509" t="n">
        <v>17.4</v>
      </c>
      <c r="G3509" t="inlineStr">
        <is>
          <t>n° 29 : 0,50 + n° 30 : 0,50</t>
        </is>
      </c>
      <c r="H3509" t="n">
        <v>1</v>
      </c>
    </row>
    <row r="3510">
      <c r="A3510" t="inlineStr">
        <is>
          <t>2024-2025</t>
        </is>
      </c>
      <c r="B3510" t="inlineStr">
        <is>
          <t>2024-04-06</t>
        </is>
      </c>
      <c r="C3510" t="inlineStr">
        <is>
          <t>20:18</t>
        </is>
      </c>
      <c r="D3510" t="inlineStr">
        <is>
          <t>n° 29 + n° 30</t>
        </is>
      </c>
      <c r="E3510" t="inlineStr">
        <is>
          <t>Fondue Jurassienne</t>
        </is>
      </c>
      <c r="F3510" t="n">
        <v>16.9</v>
      </c>
      <c r="G3510" t="inlineStr">
        <is>
          <t>n° 29 : 1,50 + n° 30 : 1,50</t>
        </is>
      </c>
      <c r="H3510" t="n">
        <v>3</v>
      </c>
    </row>
    <row r="3511">
      <c r="A3511" t="inlineStr">
        <is>
          <t>2024-2025</t>
        </is>
      </c>
      <c r="B3511" t="inlineStr">
        <is>
          <t>2024-04-06</t>
        </is>
      </c>
      <c r="C3511" t="inlineStr">
        <is>
          <t>20:18</t>
        </is>
      </c>
      <c r="D3511" t="inlineStr">
        <is>
          <t>n° 29 + n° 30</t>
        </is>
      </c>
      <c r="E3511" t="inlineStr">
        <is>
          <t>Saucisse de Morteau</t>
        </is>
      </c>
      <c r="F3511" t="n">
        <v>8.9</v>
      </c>
      <c r="G3511" t="inlineStr">
        <is>
          <t>n° 29 : 1,50 + n° 30 : 1,50</t>
        </is>
      </c>
      <c r="H3511" t="n">
        <v>3</v>
      </c>
    </row>
    <row r="3512">
      <c r="A3512" t="inlineStr">
        <is>
          <t>2024-2025</t>
        </is>
      </c>
      <c r="B3512" t="inlineStr">
        <is>
          <t>2024-04-06</t>
        </is>
      </c>
      <c r="C3512" t="inlineStr">
        <is>
          <t>20:18</t>
        </is>
      </c>
      <c r="D3512" t="inlineStr">
        <is>
          <t>n° 29 + n° 30</t>
        </is>
      </c>
      <c r="E3512" t="inlineStr">
        <is>
          <t>CREME BRULEE</t>
        </is>
      </c>
      <c r="F3512" t="n">
        <v>7.9</v>
      </c>
      <c r="G3512" t="inlineStr">
        <is>
          <t>n° 29 : 0,50 + n° 30 : 0,50</t>
        </is>
      </c>
      <c r="H3512" t="n">
        <v>1</v>
      </c>
    </row>
    <row r="3513">
      <c r="A3513" t="inlineStr">
        <is>
          <t>2024-2025</t>
        </is>
      </c>
      <c r="B3513" t="inlineStr">
        <is>
          <t>2024-04-06</t>
        </is>
      </c>
      <c r="C3513" t="inlineStr">
        <is>
          <t>20:18</t>
        </is>
      </c>
      <c r="D3513" t="inlineStr">
        <is>
          <t>n° 29 + n° 30</t>
        </is>
      </c>
      <c r="E3513" t="inlineStr">
        <is>
          <t>San Pelegrino</t>
        </is>
      </c>
      <c r="F3513" t="n">
        <v>5.9</v>
      </c>
      <c r="G3513" t="inlineStr">
        <is>
          <t>n° 29 : 0,50 + n° 30 : 0,50</t>
        </is>
      </c>
      <c r="H3513" t="n">
        <v>1</v>
      </c>
    </row>
    <row r="3514">
      <c r="A3514" t="inlineStr">
        <is>
          <t>2024-2025</t>
        </is>
      </c>
      <c r="B3514" t="inlineStr">
        <is>
          <t>2024-04-06</t>
        </is>
      </c>
      <c r="C3514" t="inlineStr">
        <is>
          <t>20:18</t>
        </is>
      </c>
      <c r="D3514" t="inlineStr">
        <is>
          <t>n° 29 + n° 30</t>
        </is>
      </c>
      <c r="E3514" t="inlineStr">
        <is>
          <t>Crepe Chocolat</t>
        </is>
      </c>
      <c r="F3514" t="n">
        <v>5.9</v>
      </c>
      <c r="G3514" t="inlineStr">
        <is>
          <t>n° 29 : 0,50 + n° 30 : 0,50</t>
        </is>
      </c>
      <c r="H3514" t="n">
        <v>1</v>
      </c>
    </row>
    <row r="3515">
      <c r="A3515" t="inlineStr">
        <is>
          <t>2024-2025</t>
        </is>
      </c>
      <c r="B3515" t="inlineStr">
        <is>
          <t>2024-04-06</t>
        </is>
      </c>
      <c r="C3515" t="inlineStr">
        <is>
          <t>20:18</t>
        </is>
      </c>
      <c r="D3515" t="inlineStr">
        <is>
          <t>n° 29 + n° 30</t>
        </is>
      </c>
      <c r="E3515" t="inlineStr">
        <is>
          <t>GLACE 2 BOULES</t>
        </is>
      </c>
      <c r="F3515" t="n">
        <v>5.5</v>
      </c>
      <c r="G3515" t="inlineStr">
        <is>
          <t>n° 29 : 0,50 + n° 30 : 0,50</t>
        </is>
      </c>
      <c r="H3515" t="n">
        <v>1</v>
      </c>
    </row>
    <row r="3516">
      <c r="A3516" t="inlineStr">
        <is>
          <t>2024-2025</t>
        </is>
      </c>
      <c r="B3516" t="inlineStr">
        <is>
          <t>2024-04-06</t>
        </is>
      </c>
      <c r="C3516" t="inlineStr">
        <is>
          <t>20:18</t>
        </is>
      </c>
      <c r="D3516" t="inlineStr">
        <is>
          <t>n° 29 + n° 30</t>
        </is>
      </c>
      <c r="E3516" t="inlineStr">
        <is>
          <t>Crêpe au sucre</t>
        </is>
      </c>
      <c r="F3516" t="n">
        <v>3.9</v>
      </c>
      <c r="G3516" t="inlineStr">
        <is>
          <t>n° 29 : 0,50 + n° 30 : 0,50</t>
        </is>
      </c>
      <c r="H3516" t="n">
        <v>1</v>
      </c>
    </row>
    <row r="3517">
      <c r="A3517" t="inlineStr">
        <is>
          <t>2024-2025</t>
        </is>
      </c>
      <c r="B3517" t="inlineStr">
        <is>
          <t>2024-04-07</t>
        </is>
      </c>
      <c r="C3517" t="inlineStr">
        <is>
          <t>11:25</t>
        </is>
      </c>
      <c r="D3517" t="inlineStr">
        <is>
          <t>n° 1 + n° 2</t>
        </is>
      </c>
      <c r="E3517" t="inlineStr">
        <is>
          <t>Entrecôte Forestiére</t>
        </is>
      </c>
      <c r="F3517" t="n">
        <v>27.8</v>
      </c>
      <c r="G3517" t="inlineStr">
        <is>
          <t>n° 1 : 0,50 + n° 2 : 0,50</t>
        </is>
      </c>
      <c r="H3517" t="n">
        <v>1</v>
      </c>
    </row>
    <row r="3518">
      <c r="A3518" t="inlineStr">
        <is>
          <t>2024-2025</t>
        </is>
      </c>
      <c r="B3518" t="inlineStr">
        <is>
          <t>2024-04-07</t>
        </is>
      </c>
      <c r="C3518" t="inlineStr">
        <is>
          <t>11:25</t>
        </is>
      </c>
      <c r="D3518" t="inlineStr">
        <is>
          <t>n° 1 + n° 2</t>
        </is>
      </c>
      <c r="E3518" t="inlineStr">
        <is>
          <t>ASSIETTE FRANC-COMTO</t>
        </is>
      </c>
      <c r="F3518" t="n">
        <v>18.6</v>
      </c>
      <c r="G3518" t="inlineStr">
        <is>
          <t>n° 1 : 0,50 + n° 2 : 0,50</t>
        </is>
      </c>
      <c r="H3518" t="n">
        <v>1</v>
      </c>
    </row>
    <row r="3519">
      <c r="A3519" t="inlineStr">
        <is>
          <t>2024-2025</t>
        </is>
      </c>
      <c r="B3519" t="inlineStr">
        <is>
          <t>2024-04-07</t>
        </is>
      </c>
      <c r="C3519" t="inlineStr">
        <is>
          <t>11:25</t>
        </is>
      </c>
      <c r="D3519" t="inlineStr">
        <is>
          <t>n° 1 + n° 2</t>
        </is>
      </c>
      <c r="E3519" t="inlineStr">
        <is>
          <t>Cidre Bouché Doux</t>
        </is>
      </c>
      <c r="F3519" t="n">
        <v>16</v>
      </c>
      <c r="G3519" t="inlineStr">
        <is>
          <t>n° 1 : 0,50 + n° 2 : 0,50</t>
        </is>
      </c>
      <c r="H3519" t="n">
        <v>1</v>
      </c>
    </row>
    <row r="3520">
      <c r="A3520" t="inlineStr">
        <is>
          <t>2024-2025</t>
        </is>
      </c>
      <c r="B3520" t="inlineStr">
        <is>
          <t>2024-04-07</t>
        </is>
      </c>
      <c r="C3520" t="inlineStr">
        <is>
          <t>12:44</t>
        </is>
      </c>
      <c r="D3520" t="inlineStr">
        <is>
          <t>n° 7 + n° 8</t>
        </is>
      </c>
      <c r="E3520" t="inlineStr">
        <is>
          <t>BARBEULENET</t>
        </is>
      </c>
      <c r="F3520" t="n">
        <v>17.4</v>
      </c>
      <c r="G3520" t="inlineStr">
        <is>
          <t>n° 7 : 0,50 + n° 8 : 0,50</t>
        </is>
      </c>
      <c r="H3520" t="n">
        <v>1</v>
      </c>
    </row>
    <row r="3521">
      <c r="A3521" t="inlineStr">
        <is>
          <t>2024-2025</t>
        </is>
      </c>
      <c r="B3521" t="inlineStr">
        <is>
          <t>2024-04-07</t>
        </is>
      </c>
      <c r="C3521" t="inlineStr">
        <is>
          <t>12:44</t>
        </is>
      </c>
      <c r="D3521" t="inlineStr">
        <is>
          <t>n° 7 + n° 8</t>
        </is>
      </c>
      <c r="E3521" t="inlineStr">
        <is>
          <t>CABRICHOU</t>
        </is>
      </c>
      <c r="F3521" t="n">
        <v>16.9</v>
      </c>
      <c r="G3521" t="inlineStr">
        <is>
          <t>n° 7 : 0,50 + n° 8 : 0,50</t>
        </is>
      </c>
      <c r="H3521" t="n">
        <v>1</v>
      </c>
    </row>
    <row r="3522">
      <c r="A3522" t="inlineStr">
        <is>
          <t>2024-2025</t>
        </is>
      </c>
      <c r="B3522" t="inlineStr">
        <is>
          <t>2024-04-07</t>
        </is>
      </c>
      <c r="C3522" t="inlineStr">
        <is>
          <t>12:44</t>
        </is>
      </c>
      <c r="D3522" t="inlineStr">
        <is>
          <t>n° 7 + n° 8</t>
        </is>
      </c>
      <c r="E3522" t="inlineStr">
        <is>
          <t>PICHET ROSE</t>
        </is>
      </c>
      <c r="F3522" t="n">
        <v>10.5</v>
      </c>
      <c r="G3522" t="inlineStr">
        <is>
          <t>n° 7 : 0,50 + n° 8 : 0,50</t>
        </is>
      </c>
      <c r="H3522" t="n">
        <v>1</v>
      </c>
    </row>
    <row r="3523">
      <c r="A3523" t="inlineStr">
        <is>
          <t>2024-2025</t>
        </is>
      </c>
      <c r="B3523" t="inlineStr">
        <is>
          <t>2024-04-07</t>
        </is>
      </c>
      <c r="C3523" t="inlineStr">
        <is>
          <t>12:44</t>
        </is>
      </c>
      <c r="D3523" t="inlineStr">
        <is>
          <t>n° 7 + n° 8</t>
        </is>
      </c>
      <c r="E3523" t="inlineStr">
        <is>
          <t>La Vouivre</t>
        </is>
      </c>
      <c r="F3523" t="n">
        <v>5.9</v>
      </c>
      <c r="G3523" t="inlineStr">
        <is>
          <t>n° 7 : 0,50 + n° 8 : 0,50</t>
        </is>
      </c>
      <c r="H3523" t="n">
        <v>1</v>
      </c>
    </row>
    <row r="3524">
      <c r="A3524" t="inlineStr">
        <is>
          <t>2024-2025</t>
        </is>
      </c>
      <c r="B3524" t="inlineStr">
        <is>
          <t>2024-04-07</t>
        </is>
      </c>
      <c r="C3524" t="inlineStr">
        <is>
          <t>12:44</t>
        </is>
      </c>
      <c r="D3524" t="inlineStr">
        <is>
          <t>n° 7 + n° 8</t>
        </is>
      </c>
      <c r="E3524" t="inlineStr">
        <is>
          <t>KITTYKIR</t>
        </is>
      </c>
      <c r="F3524" t="n">
        <v>5.2</v>
      </c>
      <c r="G3524" t="inlineStr">
        <is>
          <t>n° 7 : 0,50 + n° 8 : 0,50</t>
        </is>
      </c>
      <c r="H3524" t="n">
        <v>1</v>
      </c>
    </row>
    <row r="3525">
      <c r="A3525" t="inlineStr">
        <is>
          <t>2024-2025</t>
        </is>
      </c>
      <c r="B3525" t="inlineStr">
        <is>
          <t>2024-04-07</t>
        </is>
      </c>
      <c r="C3525" t="inlineStr">
        <is>
          <t>12:44</t>
        </is>
      </c>
      <c r="D3525" t="inlineStr">
        <is>
          <t>n° 7 + n° 8</t>
        </is>
      </c>
      <c r="E3525" t="inlineStr">
        <is>
          <t>pression</t>
        </is>
      </c>
      <c r="F3525" t="n">
        <v>4.2</v>
      </c>
      <c r="G3525" t="inlineStr">
        <is>
          <t>n° 7 : 0,50 + n° 8 : 0,50</t>
        </is>
      </c>
      <c r="H3525" t="n">
        <v>1</v>
      </c>
    </row>
    <row r="3526">
      <c r="A3526" t="inlineStr">
        <is>
          <t>2024-2025</t>
        </is>
      </c>
      <c r="B3526" t="inlineStr">
        <is>
          <t>2024-04-07</t>
        </is>
      </c>
      <c r="C3526" t="inlineStr">
        <is>
          <t>12:44</t>
        </is>
      </c>
      <c r="D3526" t="inlineStr">
        <is>
          <t>n° 7 + n° 8</t>
        </is>
      </c>
      <c r="E3526" t="inlineStr">
        <is>
          <t>Pontarlier</t>
        </is>
      </c>
      <c r="F3526" t="n">
        <v>4.2</v>
      </c>
      <c r="G3526" t="inlineStr">
        <is>
          <t>n° 7 : 0,50 + n° 8 : 0,50</t>
        </is>
      </c>
      <c r="H3526" t="n">
        <v>1</v>
      </c>
    </row>
    <row r="3527">
      <c r="A3527" t="inlineStr">
        <is>
          <t>2024-2025</t>
        </is>
      </c>
      <c r="B3527" t="inlineStr">
        <is>
          <t>2024-04-12</t>
        </is>
      </c>
      <c r="C3527" t="inlineStr">
        <is>
          <t>20:31</t>
        </is>
      </c>
      <c r="D3527" t="inlineStr">
        <is>
          <t>n° 19 + n° 20</t>
        </is>
      </c>
      <c r="E3527" t="inlineStr">
        <is>
          <t>Menu Franc-Comtois</t>
        </is>
      </c>
      <c r="F3527" t="n">
        <v>34</v>
      </c>
      <c r="G3527" t="inlineStr">
        <is>
          <t>n° 19 : 0,50 + n° 20 : 0,50</t>
        </is>
      </c>
      <c r="H3527" t="n">
        <v>1</v>
      </c>
    </row>
    <row r="3528">
      <c r="A3528" t="inlineStr">
        <is>
          <t>2024-2025</t>
        </is>
      </c>
      <c r="B3528" t="inlineStr">
        <is>
          <t>2024-04-12</t>
        </is>
      </c>
      <c r="C3528" t="inlineStr">
        <is>
          <t>20:31</t>
        </is>
      </c>
      <c r="D3528" t="inlineStr">
        <is>
          <t>n° 19 + n° 20</t>
        </is>
      </c>
      <c r="E3528" t="inlineStr">
        <is>
          <t>MORTEAU GRILLEE</t>
        </is>
      </c>
      <c r="F3528" t="n">
        <v>18.6</v>
      </c>
      <c r="G3528" t="inlineStr">
        <is>
          <t>n° 19 : 0,50 + n° 20 : 0,50</t>
        </is>
      </c>
      <c r="H3528" t="n">
        <v>1</v>
      </c>
    </row>
    <row r="3529">
      <c r="A3529" t="inlineStr">
        <is>
          <t>2024-2025</t>
        </is>
      </c>
      <c r="B3529" t="inlineStr">
        <is>
          <t>2024-04-12</t>
        </is>
      </c>
      <c r="C3529" t="inlineStr">
        <is>
          <t>20:31</t>
        </is>
      </c>
      <c r="D3529" t="inlineStr">
        <is>
          <t>n° 19 + n° 20</t>
        </is>
      </c>
      <c r="E3529" t="inlineStr">
        <is>
          <t>BARBEULENET</t>
        </is>
      </c>
      <c r="F3529" t="n">
        <v>17.4</v>
      </c>
      <c r="G3529" t="inlineStr">
        <is>
          <t>n° 19 : 0,50 + n° 20 : 0,50</t>
        </is>
      </c>
      <c r="H3529" t="n">
        <v>1</v>
      </c>
    </row>
    <row r="3530">
      <c r="A3530" t="inlineStr">
        <is>
          <t>2024-2025</t>
        </is>
      </c>
      <c r="B3530" t="inlineStr">
        <is>
          <t>2024-04-12</t>
        </is>
      </c>
      <c r="C3530" t="inlineStr">
        <is>
          <t>20:31</t>
        </is>
      </c>
      <c r="D3530" t="inlineStr">
        <is>
          <t>n° 19 + n° 20</t>
        </is>
      </c>
      <c r="E3530" t="inlineStr">
        <is>
          <t>TANTELIN</t>
        </is>
      </c>
      <c r="F3530" t="n">
        <v>17.4</v>
      </c>
      <c r="G3530" t="inlineStr">
        <is>
          <t>n° 19 : 0,50 + n° 20 : 0,50</t>
        </is>
      </c>
      <c r="H3530" t="n">
        <v>1</v>
      </c>
    </row>
    <row r="3531">
      <c r="A3531" t="inlineStr">
        <is>
          <t>2024-2025</t>
        </is>
      </c>
      <c r="B3531" t="inlineStr">
        <is>
          <t>2024-04-12</t>
        </is>
      </c>
      <c r="C3531" t="inlineStr">
        <is>
          <t>20:31</t>
        </is>
      </c>
      <c r="D3531" t="inlineStr">
        <is>
          <t>n° 19 + n° 20</t>
        </is>
      </c>
      <c r="E3531" t="inlineStr">
        <is>
          <t>ECRESSI</t>
        </is>
      </c>
      <c r="F3531" t="n">
        <v>15.5</v>
      </c>
      <c r="G3531" t="inlineStr">
        <is>
          <t>n° 19 : 0,50 + n° 20 : 0,50</t>
        </is>
      </c>
      <c r="H3531" t="n">
        <v>1</v>
      </c>
    </row>
    <row r="3532">
      <c r="A3532" t="inlineStr">
        <is>
          <t>2024-2025</t>
        </is>
      </c>
      <c r="B3532" t="inlineStr">
        <is>
          <t>2024-04-12</t>
        </is>
      </c>
      <c r="C3532" t="inlineStr">
        <is>
          <t>20:31</t>
        </is>
      </c>
      <c r="D3532" t="inlineStr">
        <is>
          <t>n° 19 + n° 20</t>
        </is>
      </c>
      <c r="E3532" t="inlineStr">
        <is>
          <t>Menu 'Enfant'</t>
        </is>
      </c>
      <c r="F3532" t="n">
        <v>9.9</v>
      </c>
      <c r="G3532" t="inlineStr">
        <is>
          <t>n° 19 : 0,50 + n° 20 : 0,50</t>
        </is>
      </c>
      <c r="H3532" t="n">
        <v>1</v>
      </c>
    </row>
    <row r="3533">
      <c r="A3533" t="inlineStr">
        <is>
          <t>2024-2025</t>
        </is>
      </c>
      <c r="B3533" t="inlineStr">
        <is>
          <t>2024-04-12</t>
        </is>
      </c>
      <c r="C3533" t="inlineStr">
        <is>
          <t>20:31</t>
        </is>
      </c>
      <c r="D3533" t="inlineStr">
        <is>
          <t>n° 19 + n° 20</t>
        </is>
      </c>
      <c r="E3533" t="inlineStr">
        <is>
          <t>FLAMME</t>
        </is>
      </c>
      <c r="F3533" t="n">
        <v>9.300000000000001</v>
      </c>
      <c r="G3533" t="inlineStr">
        <is>
          <t>n° 19 : 0,50 + n° 20 : 0,50</t>
        </is>
      </c>
      <c r="H3533" t="n">
        <v>1</v>
      </c>
    </row>
    <row r="3534">
      <c r="A3534" t="inlineStr">
        <is>
          <t>2024-2025</t>
        </is>
      </c>
      <c r="B3534" t="inlineStr">
        <is>
          <t>2024-04-12</t>
        </is>
      </c>
      <c r="C3534" t="inlineStr">
        <is>
          <t>20:31</t>
        </is>
      </c>
      <c r="D3534" t="inlineStr">
        <is>
          <t>n° 19 + n° 20</t>
        </is>
      </c>
      <c r="E3534" t="inlineStr">
        <is>
          <t>Fa</t>
        </is>
      </c>
      <c r="F3534" t="n">
        <v>9</v>
      </c>
      <c r="G3534" t="inlineStr">
        <is>
          <t>n° 19 : 0,50 + n° 20 : 0,50</t>
        </is>
      </c>
      <c r="H3534" t="n">
        <v>1</v>
      </c>
    </row>
    <row r="3535">
      <c r="A3535" t="inlineStr">
        <is>
          <t>2024-2025</t>
        </is>
      </c>
      <c r="B3535" t="inlineStr">
        <is>
          <t>2024-04-12</t>
        </is>
      </c>
      <c r="C3535" t="inlineStr">
        <is>
          <t>20:31</t>
        </is>
      </c>
      <c r="D3535" t="inlineStr">
        <is>
          <t>n° 19 + n° 20</t>
        </is>
      </c>
      <c r="E3535" t="inlineStr">
        <is>
          <t>Pavlova</t>
        </is>
      </c>
      <c r="F3535" t="n">
        <v>8.9</v>
      </c>
      <c r="G3535" t="inlineStr">
        <is>
          <t>n° 19 : 0,50 + n° 20 : 0,50</t>
        </is>
      </c>
      <c r="H3535" t="n">
        <v>1</v>
      </c>
    </row>
    <row r="3536">
      <c r="A3536" t="inlineStr">
        <is>
          <t>2024-2025</t>
        </is>
      </c>
      <c r="B3536" t="inlineStr">
        <is>
          <t>2024-04-12</t>
        </is>
      </c>
      <c r="C3536" t="inlineStr">
        <is>
          <t>20:31</t>
        </is>
      </c>
      <c r="D3536" t="inlineStr">
        <is>
          <t>n° 19 + n° 20</t>
        </is>
      </c>
      <c r="E3536" t="inlineStr">
        <is>
          <t>Menu Bambin</t>
        </is>
      </c>
      <c r="F3536" t="n">
        <v>6.9</v>
      </c>
      <c r="G3536" t="inlineStr">
        <is>
          <t>n° 19 : 0,50 + n° 20 : 0,50</t>
        </is>
      </c>
      <c r="H3536" t="n">
        <v>1</v>
      </c>
    </row>
    <row r="3537">
      <c r="A3537" t="inlineStr">
        <is>
          <t>2024-2025</t>
        </is>
      </c>
      <c r="B3537" t="inlineStr">
        <is>
          <t>2024-04-12</t>
        </is>
      </c>
      <c r="C3537" t="inlineStr">
        <is>
          <t>20:31</t>
        </is>
      </c>
      <c r="D3537" t="inlineStr">
        <is>
          <t>n° 19 + n° 20</t>
        </is>
      </c>
      <c r="E3537" t="inlineStr">
        <is>
          <t>SAUCE JURASSIENNE</t>
        </is>
      </c>
      <c r="F3537" t="n">
        <v>6.1</v>
      </c>
      <c r="G3537" t="inlineStr">
        <is>
          <t>n° 19 : 0,50 + n° 20 : 0,50</t>
        </is>
      </c>
      <c r="H3537" t="n">
        <v>1</v>
      </c>
    </row>
    <row r="3538">
      <c r="A3538" t="inlineStr">
        <is>
          <t>2024-2025</t>
        </is>
      </c>
      <c r="B3538" t="inlineStr">
        <is>
          <t>2024-04-12</t>
        </is>
      </c>
      <c r="C3538" t="inlineStr">
        <is>
          <t>20:31</t>
        </is>
      </c>
      <c r="D3538" t="inlineStr">
        <is>
          <t>n° 19 + n° 20</t>
        </is>
      </c>
      <c r="E3538" t="inlineStr">
        <is>
          <t>GLACE 2 BOULES</t>
        </is>
      </c>
      <c r="F3538" t="n">
        <v>5.5</v>
      </c>
      <c r="G3538" t="inlineStr">
        <is>
          <t>n° 19 : 0,50 + n° 20 : 0,50</t>
        </is>
      </c>
      <c r="H3538" t="n">
        <v>1</v>
      </c>
    </row>
    <row r="3539">
      <c r="A3539" t="inlineStr">
        <is>
          <t>2024-2025</t>
        </is>
      </c>
      <c r="B3539" t="inlineStr">
        <is>
          <t>2024-04-12</t>
        </is>
      </c>
      <c r="C3539" t="inlineStr">
        <is>
          <t>20:31</t>
        </is>
      </c>
      <c r="D3539" t="inlineStr">
        <is>
          <t>n° 19 + n° 20</t>
        </is>
      </c>
      <c r="E3539" t="inlineStr">
        <is>
          <t>Crémant</t>
        </is>
      </c>
      <c r="F3539" t="n">
        <v>5</v>
      </c>
      <c r="G3539" t="inlineStr">
        <is>
          <t>n° 19 : 0,50 + n° 20 : 0,50</t>
        </is>
      </c>
      <c r="H3539" t="n">
        <v>1</v>
      </c>
    </row>
    <row r="3540">
      <c r="A3540" t="inlineStr">
        <is>
          <t>2024-2025</t>
        </is>
      </c>
      <c r="B3540" t="inlineStr">
        <is>
          <t>2024-04-12</t>
        </is>
      </c>
      <c r="C3540" t="inlineStr">
        <is>
          <t>20:31</t>
        </is>
      </c>
      <c r="D3540" t="inlineStr">
        <is>
          <t>n° 19 + n° 20</t>
        </is>
      </c>
      <c r="E3540" t="inlineStr">
        <is>
          <t>Crêpe Nutella</t>
        </is>
      </c>
      <c r="F3540" t="n">
        <v>4.9</v>
      </c>
      <c r="G3540" t="inlineStr">
        <is>
          <t>n° 19 : 0,50 + n° 20 : 0,50</t>
        </is>
      </c>
      <c r="H3540" t="n">
        <v>1</v>
      </c>
    </row>
    <row r="3541">
      <c r="A3541" t="inlineStr">
        <is>
          <t>2024-2025</t>
        </is>
      </c>
      <c r="B3541" t="inlineStr">
        <is>
          <t>2024-04-12</t>
        </is>
      </c>
      <c r="C3541" t="inlineStr">
        <is>
          <t>20:31</t>
        </is>
      </c>
      <c r="D3541" t="inlineStr">
        <is>
          <t>n° 19 + n° 20</t>
        </is>
      </c>
      <c r="E3541" t="inlineStr">
        <is>
          <t>pression</t>
        </is>
      </c>
      <c r="F3541" t="n">
        <v>4.2</v>
      </c>
      <c r="G3541" t="inlineStr">
        <is>
          <t>n° 19 : 0,50 + n° 20 : 0,50</t>
        </is>
      </c>
      <c r="H3541" t="n">
        <v>1</v>
      </c>
    </row>
    <row r="3542">
      <c r="A3542" t="inlineStr">
        <is>
          <t>2024-2025</t>
        </is>
      </c>
      <c r="B3542" t="inlineStr">
        <is>
          <t>2024-04-12</t>
        </is>
      </c>
      <c r="C3542" t="inlineStr">
        <is>
          <t>20:31</t>
        </is>
      </c>
      <c r="D3542" t="inlineStr">
        <is>
          <t>n° 19 + n° 20</t>
        </is>
      </c>
      <c r="E3542" t="inlineStr">
        <is>
          <t>Kir Bourgogne</t>
        </is>
      </c>
      <c r="F3542" t="n">
        <v>4.2</v>
      </c>
      <c r="G3542" t="inlineStr">
        <is>
          <t>n° 19 : 0,50 + n° 20 : 0,50</t>
        </is>
      </c>
      <c r="H3542" t="n">
        <v>1</v>
      </c>
    </row>
    <row r="3543">
      <c r="A3543" t="inlineStr">
        <is>
          <t>2024-2025</t>
        </is>
      </c>
      <c r="B3543" t="inlineStr">
        <is>
          <t>2024-04-12</t>
        </is>
      </c>
      <c r="C3543" t="inlineStr">
        <is>
          <t>20:31</t>
        </is>
      </c>
      <c r="D3543" t="inlineStr">
        <is>
          <t>n° 19 + n° 20</t>
        </is>
      </c>
      <c r="E3543" t="inlineStr">
        <is>
          <t>Jus de Fruit</t>
        </is>
      </c>
      <c r="F3543" t="n">
        <v>4.2</v>
      </c>
      <c r="G3543" t="inlineStr">
        <is>
          <t>n° 19 : 0,50 + n° 20 : 0,50</t>
        </is>
      </c>
      <c r="H3543" t="n">
        <v>1</v>
      </c>
    </row>
    <row r="3544">
      <c r="A3544" t="inlineStr">
        <is>
          <t>2024-2025</t>
        </is>
      </c>
      <c r="B3544" t="inlineStr">
        <is>
          <t>2024-04-12</t>
        </is>
      </c>
      <c r="C3544" t="inlineStr">
        <is>
          <t>20:31</t>
        </is>
      </c>
      <c r="D3544" t="inlineStr">
        <is>
          <t>n° 19 + n° 20</t>
        </is>
      </c>
      <c r="E3544" t="inlineStr">
        <is>
          <t>FANTA</t>
        </is>
      </c>
      <c r="F3544" t="n">
        <v>3.9</v>
      </c>
      <c r="G3544" t="inlineStr">
        <is>
          <t>n° 19 : 0,50 + n° 20 : 0,50</t>
        </is>
      </c>
      <c r="H3544" t="n">
        <v>1</v>
      </c>
    </row>
    <row r="3545">
      <c r="A3545" t="inlineStr">
        <is>
          <t>2024-2025</t>
        </is>
      </c>
      <c r="B3545" t="inlineStr">
        <is>
          <t>2024-04-12</t>
        </is>
      </c>
      <c r="C3545" t="inlineStr">
        <is>
          <t>20:31</t>
        </is>
      </c>
      <c r="D3545" t="inlineStr">
        <is>
          <t>n° 19 + n° 20</t>
        </is>
      </c>
      <c r="E3545" t="inlineStr">
        <is>
          <t>Schweppes</t>
        </is>
      </c>
      <c r="F3545" t="n">
        <v>3.9</v>
      </c>
      <c r="G3545" t="inlineStr">
        <is>
          <t>n° 19 : 0,50 + n° 20 : 0,50</t>
        </is>
      </c>
      <c r="H3545" t="n">
        <v>1</v>
      </c>
    </row>
    <row r="3546">
      <c r="A3546" t="inlineStr">
        <is>
          <t>2024-2025</t>
        </is>
      </c>
      <c r="B3546" t="inlineStr">
        <is>
          <t>2024-04-12</t>
        </is>
      </c>
      <c r="C3546" t="inlineStr">
        <is>
          <t>20:31</t>
        </is>
      </c>
      <c r="D3546" t="inlineStr">
        <is>
          <t>n° 19 + n° 20</t>
        </is>
      </c>
      <c r="E3546" t="inlineStr">
        <is>
          <t>Galette nature</t>
        </is>
      </c>
      <c r="F3546" t="n">
        <v>3.9</v>
      </c>
      <c r="G3546" t="inlineStr">
        <is>
          <t>n° 19 : 0,50 + n° 20 : 0,50</t>
        </is>
      </c>
      <c r="H3546" t="n">
        <v>1</v>
      </c>
    </row>
    <row r="3547">
      <c r="A3547" t="inlineStr">
        <is>
          <t>2024-2025</t>
        </is>
      </c>
      <c r="B3547" t="inlineStr">
        <is>
          <t>2024-04-12</t>
        </is>
      </c>
      <c r="C3547" t="inlineStr">
        <is>
          <t>20:31</t>
        </is>
      </c>
      <c r="D3547" t="inlineStr">
        <is>
          <t>n° 19 + n° 20</t>
        </is>
      </c>
      <c r="E3547" t="inlineStr">
        <is>
          <t>Jambon Blanc</t>
        </is>
      </c>
      <c r="F3547" t="n">
        <v>3.8</v>
      </c>
      <c r="G3547" t="inlineStr">
        <is>
          <t>n° 19 : 0,50 + n° 20 : 0,50</t>
        </is>
      </c>
      <c r="H3547" t="n">
        <v>1</v>
      </c>
    </row>
    <row r="3548">
      <c r="A3548" t="inlineStr">
        <is>
          <t>2024-2025</t>
        </is>
      </c>
      <c r="B3548" t="inlineStr">
        <is>
          <t>2024-04-12</t>
        </is>
      </c>
      <c r="C3548" t="inlineStr">
        <is>
          <t>20:31</t>
        </is>
      </c>
      <c r="D3548" t="inlineStr">
        <is>
          <t>n° 19 + n° 20</t>
        </is>
      </c>
      <c r="E3548" t="inlineStr">
        <is>
          <t>Morbier</t>
        </is>
      </c>
      <c r="F3548" t="n">
        <v>3.5</v>
      </c>
      <c r="G3548" t="inlineStr">
        <is>
          <t>n° 19 : 0,50 + n° 20 : 0,50</t>
        </is>
      </c>
      <c r="H3548" t="n">
        <v>1</v>
      </c>
    </row>
    <row r="3549">
      <c r="A3549" t="inlineStr">
        <is>
          <t>2024-2025</t>
        </is>
      </c>
      <c r="B3549" t="inlineStr">
        <is>
          <t>2024-04-12</t>
        </is>
      </c>
      <c r="C3549" t="inlineStr">
        <is>
          <t>20:31</t>
        </is>
      </c>
      <c r="D3549" t="inlineStr">
        <is>
          <t>n° 19 + n° 20</t>
        </is>
      </c>
      <c r="E3549" t="inlineStr">
        <is>
          <t>PIGNONS PIN</t>
        </is>
      </c>
      <c r="F3549" t="n">
        <v>1.4</v>
      </c>
      <c r="G3549" t="inlineStr">
        <is>
          <t>n° 19 : 0,50 + n° 20 : 0,50</t>
        </is>
      </c>
      <c r="H3549" t="n">
        <v>1</v>
      </c>
    </row>
    <row r="3550">
      <c r="A3550" t="inlineStr">
        <is>
          <t>2024-2025</t>
        </is>
      </c>
      <c r="B3550" t="inlineStr">
        <is>
          <t>2024-04-13</t>
        </is>
      </c>
      <c r="C3550" t="inlineStr">
        <is>
          <t>12:29</t>
        </is>
      </c>
      <c r="D3550" t="inlineStr">
        <is>
          <t>n° 5 + n° 6</t>
        </is>
      </c>
      <c r="E3550" t="inlineStr">
        <is>
          <t>C du Rhone St  Josep</t>
        </is>
      </c>
      <c r="F3550" t="n">
        <v>48.5</v>
      </c>
      <c r="G3550" t="inlineStr">
        <is>
          <t>n° 5 : 0,50 + n° 6 : 0,50</t>
        </is>
      </c>
      <c r="H3550" t="n">
        <v>1</v>
      </c>
    </row>
    <row r="3551">
      <c r="A3551" t="inlineStr">
        <is>
          <t>2024-2025</t>
        </is>
      </c>
      <c r="B3551" t="inlineStr">
        <is>
          <t>2024-04-13</t>
        </is>
      </c>
      <c r="C3551" t="inlineStr">
        <is>
          <t>12:29</t>
        </is>
      </c>
      <c r="D3551" t="inlineStr">
        <is>
          <t>n° 5 + n° 6</t>
        </is>
      </c>
      <c r="E3551" t="inlineStr">
        <is>
          <t>Menu 'Enfant'</t>
        </is>
      </c>
      <c r="F3551" t="n">
        <v>9.9</v>
      </c>
      <c r="G3551" t="inlineStr">
        <is>
          <t>n° 5 : 2,50 + n° 6 : 2,50</t>
        </is>
      </c>
      <c r="H3551" t="n">
        <v>5</v>
      </c>
    </row>
    <row r="3552">
      <c r="A3552" t="inlineStr">
        <is>
          <t>2024-2025</t>
        </is>
      </c>
      <c r="B3552" t="inlineStr">
        <is>
          <t>2024-04-13</t>
        </is>
      </c>
      <c r="C3552" t="inlineStr">
        <is>
          <t>12:29</t>
        </is>
      </c>
      <c r="D3552" t="inlineStr">
        <is>
          <t>n° 5 + n° 6</t>
        </is>
      </c>
      <c r="E3552" t="inlineStr">
        <is>
          <t>Pinte</t>
        </is>
      </c>
      <c r="F3552" t="n">
        <v>8</v>
      </c>
      <c r="G3552" t="inlineStr">
        <is>
          <t>n° 5 : 1,50 + n° 6 : 1,50</t>
        </is>
      </c>
      <c r="H3552" t="n">
        <v>3</v>
      </c>
    </row>
    <row r="3553">
      <c r="A3553" t="inlineStr">
        <is>
          <t>2024-2025</t>
        </is>
      </c>
      <c r="B3553" t="inlineStr">
        <is>
          <t>2024-04-13</t>
        </is>
      </c>
      <c r="C3553" t="inlineStr">
        <is>
          <t>12:29</t>
        </is>
      </c>
      <c r="D3553" t="inlineStr">
        <is>
          <t>n° 5 + n° 6</t>
        </is>
      </c>
      <c r="E3553" t="inlineStr">
        <is>
          <t>pression</t>
        </is>
      </c>
      <c r="F3553" t="n">
        <v>4.2</v>
      </c>
      <c r="G3553" t="inlineStr">
        <is>
          <t>n° 5 : 0,50 + n° 6 : 0,50</t>
        </is>
      </c>
      <c r="H3553" t="n">
        <v>1</v>
      </c>
    </row>
    <row r="3554">
      <c r="A3554" t="inlineStr">
        <is>
          <t>2024-2025</t>
        </is>
      </c>
      <c r="B3554" t="inlineStr">
        <is>
          <t>2024-04-13</t>
        </is>
      </c>
      <c r="C3554" t="inlineStr">
        <is>
          <t>12:29</t>
        </is>
      </c>
      <c r="D3554" t="inlineStr">
        <is>
          <t>n° 5 + n° 6</t>
        </is>
      </c>
      <c r="E3554" t="inlineStr">
        <is>
          <t>Fuze Tea</t>
        </is>
      </c>
      <c r="F3554" t="n">
        <v>3.9</v>
      </c>
      <c r="G3554" t="inlineStr">
        <is>
          <t>n° 5 : 1,50 + n° 6 : 1,50</t>
        </is>
      </c>
      <c r="H3554" t="n">
        <v>3</v>
      </c>
    </row>
    <row r="3555">
      <c r="A3555" t="inlineStr">
        <is>
          <t>2024-2025</t>
        </is>
      </c>
      <c r="B3555" t="inlineStr">
        <is>
          <t>2024-04-13</t>
        </is>
      </c>
      <c r="C3555" t="inlineStr">
        <is>
          <t>19:53</t>
        </is>
      </c>
      <c r="D3555" t="inlineStr">
        <is>
          <t>n° 19 + n° 20</t>
        </is>
      </c>
      <c r="E3555" t="inlineStr">
        <is>
          <t>POULET JURASSIENNE</t>
        </is>
      </c>
      <c r="F3555" t="n">
        <v>18.6</v>
      </c>
      <c r="G3555" t="inlineStr">
        <is>
          <t>n° 19 : 0,50 + n° 20 : 0,50</t>
        </is>
      </c>
      <c r="H3555" t="n">
        <v>1</v>
      </c>
    </row>
    <row r="3556">
      <c r="A3556" t="inlineStr">
        <is>
          <t>2024-2025</t>
        </is>
      </c>
      <c r="B3556" t="inlineStr">
        <is>
          <t>2024-04-13</t>
        </is>
      </c>
      <c r="C3556" t="inlineStr">
        <is>
          <t>19:53</t>
        </is>
      </c>
      <c r="D3556" t="inlineStr">
        <is>
          <t>n° 19 + n° 20</t>
        </is>
      </c>
      <c r="E3556" t="inlineStr">
        <is>
          <t>TRUITE JURASSIENNE</t>
        </is>
      </c>
      <c r="F3556" t="n">
        <v>18.6</v>
      </c>
      <c r="G3556" t="inlineStr">
        <is>
          <t>n° 19 : 0,50 + n° 20 : 0,50</t>
        </is>
      </c>
      <c r="H3556" t="n">
        <v>1</v>
      </c>
    </row>
    <row r="3557">
      <c r="A3557" t="inlineStr">
        <is>
          <t>2024-2025</t>
        </is>
      </c>
      <c r="B3557" t="inlineStr">
        <is>
          <t>2024-04-13</t>
        </is>
      </c>
      <c r="C3557" t="inlineStr">
        <is>
          <t>19:53</t>
        </is>
      </c>
      <c r="D3557" t="inlineStr">
        <is>
          <t>n° 19 + n° 20</t>
        </is>
      </c>
      <c r="E3557" t="inlineStr">
        <is>
          <t>TRUITE PESTO</t>
        </is>
      </c>
      <c r="F3557" t="n">
        <v>16.9</v>
      </c>
      <c r="G3557" t="inlineStr">
        <is>
          <t>n° 19 : 0,50 + n° 20 : 0,50</t>
        </is>
      </c>
      <c r="H3557" t="n">
        <v>1</v>
      </c>
    </row>
    <row r="3558">
      <c r="A3558" t="inlineStr">
        <is>
          <t>2024-2025</t>
        </is>
      </c>
      <c r="B3558" t="inlineStr">
        <is>
          <t>2024-04-17</t>
        </is>
      </c>
      <c r="C3558" t="inlineStr">
        <is>
          <t>20:02</t>
        </is>
      </c>
      <c r="D3558" t="inlineStr">
        <is>
          <t>n° 6 + n° 7</t>
        </is>
      </c>
      <c r="E3558" t="inlineStr">
        <is>
          <t>Chablis</t>
        </is>
      </c>
      <c r="F3558" t="n">
        <v>47</v>
      </c>
      <c r="G3558" t="inlineStr">
        <is>
          <t>n° 6 : 0,50 + n° 7 : 0,50</t>
        </is>
      </c>
      <c r="H3558" t="n">
        <v>1</v>
      </c>
    </row>
    <row r="3559">
      <c r="A3559" t="inlineStr">
        <is>
          <t>2024-2025</t>
        </is>
      </c>
      <c r="B3559" t="inlineStr">
        <is>
          <t>2024-04-17</t>
        </is>
      </c>
      <c r="C3559" t="inlineStr">
        <is>
          <t>20:02</t>
        </is>
      </c>
      <c r="D3559" t="inlineStr">
        <is>
          <t>n° 6 + n° 7</t>
        </is>
      </c>
      <c r="E3559" t="inlineStr">
        <is>
          <t>Entrecôte grillée</t>
        </is>
      </c>
      <c r="F3559" t="n">
        <v>19.9</v>
      </c>
      <c r="G3559" t="inlineStr">
        <is>
          <t>n° 6 : 0,50 + n° 7 : 0,50</t>
        </is>
      </c>
      <c r="H3559" t="n">
        <v>1</v>
      </c>
    </row>
    <row r="3560">
      <c r="A3560" t="inlineStr">
        <is>
          <t>2024-2025</t>
        </is>
      </c>
      <c r="B3560" t="inlineStr">
        <is>
          <t>2024-04-17</t>
        </is>
      </c>
      <c r="C3560" t="inlineStr">
        <is>
          <t>20:02</t>
        </is>
      </c>
      <c r="D3560" t="inlineStr">
        <is>
          <t>n° 6 + n° 7</t>
        </is>
      </c>
      <c r="E3560" t="inlineStr">
        <is>
          <t>POULET JURASSIENNE</t>
        </is>
      </c>
      <c r="F3560" t="n">
        <v>18.6</v>
      </c>
      <c r="G3560" t="inlineStr">
        <is>
          <t>n° 6 : 0,50 + n° 7 : 0,50</t>
        </is>
      </c>
      <c r="H3560" t="n">
        <v>1</v>
      </c>
    </row>
    <row r="3561">
      <c r="A3561" t="inlineStr">
        <is>
          <t>2024-2025</t>
        </is>
      </c>
      <c r="B3561" t="inlineStr">
        <is>
          <t>2024-04-17</t>
        </is>
      </c>
      <c r="C3561" t="inlineStr">
        <is>
          <t>20:02</t>
        </is>
      </c>
      <c r="D3561" t="inlineStr">
        <is>
          <t>n° 6 + n° 7</t>
        </is>
      </c>
      <c r="E3561" t="inlineStr">
        <is>
          <t>Croûtes Morilles</t>
        </is>
      </c>
      <c r="F3561" t="n">
        <v>16.9</v>
      </c>
      <c r="G3561" t="inlineStr">
        <is>
          <t>n° 6 : 1,50 + n° 7 : 1,50</t>
        </is>
      </c>
      <c r="H3561" t="n">
        <v>3</v>
      </c>
    </row>
    <row r="3562">
      <c r="A3562" t="inlineStr">
        <is>
          <t>2024-2025</t>
        </is>
      </c>
      <c r="B3562" t="inlineStr">
        <is>
          <t>2024-04-17</t>
        </is>
      </c>
      <c r="C3562" t="inlineStr">
        <is>
          <t>20:02</t>
        </is>
      </c>
      <c r="D3562" t="inlineStr">
        <is>
          <t>n° 6 + n° 7</t>
        </is>
      </c>
      <c r="E3562" t="inlineStr">
        <is>
          <t>Vin jaune</t>
        </is>
      </c>
      <c r="F3562" t="n">
        <v>12</v>
      </c>
      <c r="G3562" t="inlineStr">
        <is>
          <t>n° 6 : 0,50 + n° 7 : 0,50</t>
        </is>
      </c>
      <c r="H3562" t="n">
        <v>1</v>
      </c>
    </row>
    <row r="3563">
      <c r="A3563" t="inlineStr">
        <is>
          <t>2024-2025</t>
        </is>
      </c>
      <c r="B3563" t="inlineStr">
        <is>
          <t>2024-04-17</t>
        </is>
      </c>
      <c r="C3563" t="inlineStr">
        <is>
          <t>20:02</t>
        </is>
      </c>
      <c r="D3563" t="inlineStr">
        <is>
          <t>n° 6 + n° 7</t>
        </is>
      </c>
      <c r="E3563" t="inlineStr">
        <is>
          <t>Menu 'Enfant'</t>
        </is>
      </c>
      <c r="F3563" t="n">
        <v>9.9</v>
      </c>
      <c r="G3563" t="inlineStr">
        <is>
          <t>n° 6 : 0,50 + n° 7 : 0,50</t>
        </is>
      </c>
      <c r="H3563" t="n">
        <v>1</v>
      </c>
    </row>
    <row r="3564">
      <c r="A3564" t="inlineStr">
        <is>
          <t>2024-2025</t>
        </is>
      </c>
      <c r="B3564" t="inlineStr">
        <is>
          <t>2024-04-17</t>
        </is>
      </c>
      <c r="C3564" t="inlineStr">
        <is>
          <t>20:02</t>
        </is>
      </c>
      <c r="D3564" t="inlineStr">
        <is>
          <t>n° 6 + n° 7</t>
        </is>
      </c>
      <c r="E3564" t="inlineStr">
        <is>
          <t>H.C.DE BEAUNE  VERRE</t>
        </is>
      </c>
      <c r="F3564" t="n">
        <v>9.5</v>
      </c>
      <c r="G3564" t="inlineStr">
        <is>
          <t>n° 6 : 0,50 + n° 7 : 0,50</t>
        </is>
      </c>
      <c r="H3564" t="n">
        <v>1</v>
      </c>
    </row>
    <row r="3565">
      <c r="A3565" t="inlineStr">
        <is>
          <t>2024-2025</t>
        </is>
      </c>
      <c r="B3565" t="inlineStr">
        <is>
          <t>2024-04-17</t>
        </is>
      </c>
      <c r="C3565" t="inlineStr">
        <is>
          <t>20:02</t>
        </is>
      </c>
      <c r="D3565" t="inlineStr">
        <is>
          <t>n° 6 + n° 7</t>
        </is>
      </c>
      <c r="E3565" t="inlineStr">
        <is>
          <t>Baba</t>
        </is>
      </c>
      <c r="F3565" t="n">
        <v>8.9</v>
      </c>
      <c r="G3565" t="inlineStr">
        <is>
          <t>n° 6 : 0,50 + n° 7 : 0,50</t>
        </is>
      </c>
      <c r="H3565" t="n">
        <v>1</v>
      </c>
    </row>
    <row r="3566">
      <c r="A3566" t="inlineStr">
        <is>
          <t>2024-2025</t>
        </is>
      </c>
      <c r="B3566" t="inlineStr">
        <is>
          <t>2024-04-17</t>
        </is>
      </c>
      <c r="C3566" t="inlineStr">
        <is>
          <t>20:02</t>
        </is>
      </c>
      <c r="D3566" t="inlineStr">
        <is>
          <t>n° 6 + n° 7</t>
        </is>
      </c>
      <c r="E3566" t="inlineStr">
        <is>
          <t>Panaché</t>
        </is>
      </c>
      <c r="F3566" t="n">
        <v>4.2</v>
      </c>
      <c r="G3566" t="inlineStr">
        <is>
          <t>n° 6 : 0,50 + n° 7 : 0,50</t>
        </is>
      </c>
      <c r="H3566" t="n">
        <v>1</v>
      </c>
    </row>
    <row r="3567">
      <c r="A3567" t="inlineStr">
        <is>
          <t>2024-2025</t>
        </is>
      </c>
      <c r="B3567" t="inlineStr">
        <is>
          <t>2024-04-17</t>
        </is>
      </c>
      <c r="C3567" t="inlineStr">
        <is>
          <t>20:02</t>
        </is>
      </c>
      <c r="D3567" t="inlineStr">
        <is>
          <t>n° 6 + n° 7</t>
        </is>
      </c>
      <c r="E3567" t="inlineStr">
        <is>
          <t>Fuze Tea</t>
        </is>
      </c>
      <c r="F3567" t="n">
        <v>3.9</v>
      </c>
      <c r="G3567" t="inlineStr">
        <is>
          <t>n° 6 : 0,50 + n° 7 : 0,50</t>
        </is>
      </c>
      <c r="H3567" t="n">
        <v>1</v>
      </c>
    </row>
    <row r="3568">
      <c r="A3568" t="inlineStr">
        <is>
          <t>2024-2025</t>
        </is>
      </c>
      <c r="B3568" t="inlineStr">
        <is>
          <t>2024-04-17</t>
        </is>
      </c>
      <c r="C3568" t="inlineStr">
        <is>
          <t>20:02</t>
        </is>
      </c>
      <c r="D3568" t="inlineStr">
        <is>
          <t>n° 6 + n° 7</t>
        </is>
      </c>
      <c r="E3568" t="inlineStr">
        <is>
          <t>Coca (25cl)</t>
        </is>
      </c>
      <c r="F3568" t="n">
        <v>3.9</v>
      </c>
      <c r="G3568" t="inlineStr">
        <is>
          <t>n° 6 : 0,50 + n° 7 : 0,50</t>
        </is>
      </c>
      <c r="H3568" t="n">
        <v>1</v>
      </c>
    </row>
    <row r="3569">
      <c r="A3569" t="inlineStr">
        <is>
          <t>2024-2025</t>
        </is>
      </c>
      <c r="B3569" t="inlineStr">
        <is>
          <t>2024-04-19</t>
        </is>
      </c>
      <c r="C3569" t="inlineStr">
        <is>
          <t>12:40</t>
        </is>
      </c>
      <c r="D3569" t="inlineStr">
        <is>
          <t>n° 7 + n° 8</t>
        </is>
      </c>
      <c r="E3569" t="inlineStr">
        <is>
          <t>MACHON GOURMET</t>
        </is>
      </c>
      <c r="F3569" t="n">
        <v>25</v>
      </c>
      <c r="G3569" t="inlineStr">
        <is>
          <t>n° 7 : 1,50 + n° 8 : 1,50</t>
        </is>
      </c>
      <c r="H3569" t="n">
        <v>3</v>
      </c>
    </row>
    <row r="3570">
      <c r="A3570" t="inlineStr">
        <is>
          <t>2024-2025</t>
        </is>
      </c>
      <c r="B3570" t="inlineStr">
        <is>
          <t>2024-04-19</t>
        </is>
      </c>
      <c r="C3570" t="inlineStr">
        <is>
          <t>12:40</t>
        </is>
      </c>
      <c r="D3570" t="inlineStr">
        <is>
          <t>n° 7 + n° 8</t>
        </is>
      </c>
      <c r="E3570" t="inlineStr">
        <is>
          <t>FLIRT</t>
        </is>
      </c>
      <c r="F3570" t="n">
        <v>12</v>
      </c>
      <c r="G3570" t="inlineStr">
        <is>
          <t>n° 7 : 0,50 + n° 8 : 0,50</t>
        </is>
      </c>
      <c r="H3570" t="n">
        <v>1</v>
      </c>
    </row>
    <row r="3571">
      <c r="A3571" t="inlineStr">
        <is>
          <t>2024-2025</t>
        </is>
      </c>
      <c r="B3571" t="inlineStr">
        <is>
          <t>2024-04-19</t>
        </is>
      </c>
      <c r="C3571" t="inlineStr">
        <is>
          <t>12:40</t>
        </is>
      </c>
      <c r="D3571" t="inlineStr">
        <is>
          <t>n° 7 + n° 8</t>
        </is>
      </c>
      <c r="E3571" t="inlineStr">
        <is>
          <t>Menu 'Enfant'</t>
        </is>
      </c>
      <c r="F3571" t="n">
        <v>9.9</v>
      </c>
      <c r="G3571" t="inlineStr">
        <is>
          <t>n° 7 : 0,50 + n° 8 : 0,50</t>
        </is>
      </c>
      <c r="H3571" t="n">
        <v>1</v>
      </c>
    </row>
    <row r="3572">
      <c r="A3572" t="inlineStr">
        <is>
          <t>2024-2025</t>
        </is>
      </c>
      <c r="B3572" t="inlineStr">
        <is>
          <t>2024-04-19</t>
        </is>
      </c>
      <c r="C3572" t="inlineStr">
        <is>
          <t>12:40</t>
        </is>
      </c>
      <c r="D3572" t="inlineStr">
        <is>
          <t>n° 7 + n° 8</t>
        </is>
      </c>
      <c r="E3572" t="inlineStr">
        <is>
          <t>Pavlova</t>
        </is>
      </c>
      <c r="F3572" t="n">
        <v>8.9</v>
      </c>
      <c r="G3572" t="inlineStr">
        <is>
          <t>n° 7 : 0,50 + n° 8 : 0,50</t>
        </is>
      </c>
      <c r="H3572" t="n">
        <v>1</v>
      </c>
    </row>
    <row r="3573">
      <c r="A3573" t="inlineStr">
        <is>
          <t>2024-2025</t>
        </is>
      </c>
      <c r="B3573" t="inlineStr">
        <is>
          <t>2024-04-19</t>
        </is>
      </c>
      <c r="C3573" t="inlineStr">
        <is>
          <t>12:40</t>
        </is>
      </c>
      <c r="D3573" t="inlineStr">
        <is>
          <t>n° 7 + n° 8</t>
        </is>
      </c>
      <c r="E3573" t="inlineStr">
        <is>
          <t>Jus de Fruit</t>
        </is>
      </c>
      <c r="F3573" t="n">
        <v>4.2</v>
      </c>
      <c r="G3573" t="inlineStr">
        <is>
          <t>n° 7 : 0,50 + n° 8 : 0,50</t>
        </is>
      </c>
      <c r="H3573" t="n">
        <v>1</v>
      </c>
    </row>
    <row r="3574">
      <c r="A3574" t="inlineStr">
        <is>
          <t>2024-2025</t>
        </is>
      </c>
      <c r="B3574" t="inlineStr">
        <is>
          <t>2024-04-19</t>
        </is>
      </c>
      <c r="C3574" t="inlineStr">
        <is>
          <t>12:40</t>
        </is>
      </c>
      <c r="D3574" t="inlineStr">
        <is>
          <t>n° 7 + n° 8</t>
        </is>
      </c>
      <c r="E3574" t="inlineStr">
        <is>
          <t>Fuze Tea</t>
        </is>
      </c>
      <c r="F3574" t="n">
        <v>3.9</v>
      </c>
      <c r="G3574" t="inlineStr">
        <is>
          <t>n° 7 : 0,50 + n° 8 : 0,50</t>
        </is>
      </c>
      <c r="H3574" t="n">
        <v>1</v>
      </c>
    </row>
    <row r="3575">
      <c r="A3575" t="inlineStr">
        <is>
          <t>2024-2025</t>
        </is>
      </c>
      <c r="B3575" t="inlineStr">
        <is>
          <t>2024-04-19</t>
        </is>
      </c>
      <c r="C3575" t="inlineStr">
        <is>
          <t>20:01</t>
        </is>
      </c>
      <c r="D3575" t="inlineStr">
        <is>
          <t>n° 17 + n° 18</t>
        </is>
      </c>
      <c r="E3575" t="inlineStr">
        <is>
          <t>PICHET SAINT VERAN</t>
        </is>
      </c>
      <c r="F3575" t="n">
        <v>30</v>
      </c>
      <c r="G3575" t="inlineStr">
        <is>
          <t>n° 17 : 0,50 + n° 18 : 0,50</t>
        </is>
      </c>
      <c r="H3575" t="n">
        <v>1</v>
      </c>
    </row>
    <row r="3576">
      <c r="A3576" t="inlineStr">
        <is>
          <t>2024-2025</t>
        </is>
      </c>
      <c r="B3576" t="inlineStr">
        <is>
          <t>2024-04-19</t>
        </is>
      </c>
      <c r="C3576" t="inlineStr">
        <is>
          <t>20:01</t>
        </is>
      </c>
      <c r="D3576" t="inlineStr">
        <is>
          <t>n° 17 + n° 18</t>
        </is>
      </c>
      <c r="E3576" t="inlineStr">
        <is>
          <t>DOMAINE LE PIVE</t>
        </is>
      </c>
      <c r="F3576" t="n">
        <v>29</v>
      </c>
      <c r="G3576" t="inlineStr">
        <is>
          <t>n° 17 : 0,50 + n° 18 : 0,50</t>
        </is>
      </c>
      <c r="H3576" t="n">
        <v>1</v>
      </c>
    </row>
    <row r="3577">
      <c r="A3577" t="inlineStr">
        <is>
          <t>2024-2025</t>
        </is>
      </c>
      <c r="B3577" t="inlineStr">
        <is>
          <t>2024-04-19</t>
        </is>
      </c>
      <c r="C3577" t="inlineStr">
        <is>
          <t>20:01</t>
        </is>
      </c>
      <c r="D3577" t="inlineStr">
        <is>
          <t>n° 17 + n° 18</t>
        </is>
      </c>
      <c r="E3577" t="inlineStr">
        <is>
          <t>CANCOINE</t>
        </is>
      </c>
      <c r="F3577" t="n">
        <v>25.5</v>
      </c>
      <c r="G3577" t="inlineStr">
        <is>
          <t>n° 17 : 0,50 + n° 18 : 0,50</t>
        </is>
      </c>
      <c r="H3577" t="n">
        <v>1</v>
      </c>
    </row>
    <row r="3578">
      <c r="A3578" t="inlineStr">
        <is>
          <t>2024-2025</t>
        </is>
      </c>
      <c r="B3578" t="inlineStr">
        <is>
          <t>2024-04-19</t>
        </is>
      </c>
      <c r="C3578" t="inlineStr">
        <is>
          <t>20:01</t>
        </is>
      </c>
      <c r="D3578" t="inlineStr">
        <is>
          <t>n° 17 + n° 18</t>
        </is>
      </c>
      <c r="E3578" t="inlineStr">
        <is>
          <t>CAMEMBERT ROTI</t>
        </is>
      </c>
      <c r="F3578" t="n">
        <v>18.6</v>
      </c>
      <c r="G3578" t="inlineStr">
        <is>
          <t>n° 17 : 0,50 + n° 18 : 0,50</t>
        </is>
      </c>
      <c r="H3578" t="n">
        <v>1</v>
      </c>
    </row>
    <row r="3579">
      <c r="A3579" t="inlineStr">
        <is>
          <t>2024-2025</t>
        </is>
      </c>
      <c r="B3579" t="inlineStr">
        <is>
          <t>2024-04-19</t>
        </is>
      </c>
      <c r="C3579" t="inlineStr">
        <is>
          <t>20:01</t>
        </is>
      </c>
      <c r="D3579" t="inlineStr">
        <is>
          <t>n° 17 + n° 18</t>
        </is>
      </c>
      <c r="E3579" t="inlineStr">
        <is>
          <t>POULET JURASSIENNE</t>
        </is>
      </c>
      <c r="F3579" t="n">
        <v>18.6</v>
      </c>
      <c r="G3579" t="inlineStr">
        <is>
          <t>n° 17 : 0,50 + n° 18 : 0,50</t>
        </is>
      </c>
      <c r="H3579" t="n">
        <v>1</v>
      </c>
    </row>
    <row r="3580">
      <c r="A3580" t="inlineStr">
        <is>
          <t>2024-2025</t>
        </is>
      </c>
      <c r="B3580" t="inlineStr">
        <is>
          <t>2024-04-19</t>
        </is>
      </c>
      <c r="C3580" t="inlineStr">
        <is>
          <t>20:01</t>
        </is>
      </c>
      <c r="D3580" t="inlineStr">
        <is>
          <t>n° 17 + n° 18</t>
        </is>
      </c>
      <c r="E3580" t="inlineStr">
        <is>
          <t>Croûtes Morilles</t>
        </is>
      </c>
      <c r="F3580" t="n">
        <v>16.9</v>
      </c>
      <c r="G3580" t="inlineStr">
        <is>
          <t>n° 17 : 1,50 + n° 18 : 1,50</t>
        </is>
      </c>
      <c r="H3580" t="n">
        <v>3</v>
      </c>
    </row>
    <row r="3581">
      <c r="A3581" t="inlineStr">
        <is>
          <t>2024-2025</t>
        </is>
      </c>
      <c r="B3581" t="inlineStr">
        <is>
          <t>2024-04-19</t>
        </is>
      </c>
      <c r="C3581" t="inlineStr">
        <is>
          <t>20:01</t>
        </is>
      </c>
      <c r="D3581" t="inlineStr">
        <is>
          <t>n° 17 + n° 18</t>
        </is>
      </c>
      <c r="E3581" t="inlineStr">
        <is>
          <t>CABRICHOU</t>
        </is>
      </c>
      <c r="F3581" t="n">
        <v>16.9</v>
      </c>
      <c r="G3581" t="inlineStr">
        <is>
          <t>n° 17 : 0,50 + n° 18 : 0,50</t>
        </is>
      </c>
      <c r="H3581" t="n">
        <v>1</v>
      </c>
    </row>
    <row r="3582">
      <c r="A3582" t="inlineStr">
        <is>
          <t>2024-2025</t>
        </is>
      </c>
      <c r="B3582" t="inlineStr">
        <is>
          <t>2024-04-19</t>
        </is>
      </c>
      <c r="C3582" t="inlineStr">
        <is>
          <t>20:01</t>
        </is>
      </c>
      <c r="D3582" t="inlineStr">
        <is>
          <t>n° 17 + n° 18</t>
        </is>
      </c>
      <c r="E3582" t="inlineStr">
        <is>
          <t>Vin jaune</t>
        </is>
      </c>
      <c r="F3582" t="n">
        <v>12</v>
      </c>
      <c r="G3582" t="inlineStr">
        <is>
          <t>n° 17 : 0,50 + n° 18 : 0,50</t>
        </is>
      </c>
      <c r="H3582" t="n">
        <v>1</v>
      </c>
    </row>
    <row r="3583">
      <c r="A3583" t="inlineStr">
        <is>
          <t>2024-2025</t>
        </is>
      </c>
      <c r="B3583" t="inlineStr">
        <is>
          <t>2024-04-19</t>
        </is>
      </c>
      <c r="C3583" t="inlineStr">
        <is>
          <t>20:01</t>
        </is>
      </c>
      <c r="D3583" t="inlineStr">
        <is>
          <t>n° 17 + n° 18</t>
        </is>
      </c>
      <c r="E3583" t="inlineStr">
        <is>
          <t>Sprintz</t>
        </is>
      </c>
      <c r="F3583" t="n">
        <v>9</v>
      </c>
      <c r="G3583" t="inlineStr">
        <is>
          <t>n° 17 : 0,50 + n° 18 : 0,50</t>
        </is>
      </c>
      <c r="H3583" t="n">
        <v>1</v>
      </c>
    </row>
    <row r="3584">
      <c r="A3584" t="inlineStr">
        <is>
          <t>2024-2025</t>
        </is>
      </c>
      <c r="B3584" t="inlineStr">
        <is>
          <t>2024-04-19</t>
        </is>
      </c>
      <c r="C3584" t="inlineStr">
        <is>
          <t>20:01</t>
        </is>
      </c>
      <c r="D3584" t="inlineStr">
        <is>
          <t>n° 17 + n° 18</t>
        </is>
      </c>
      <c r="E3584" t="inlineStr">
        <is>
          <t>Escargots de Bourgog</t>
        </is>
      </c>
      <c r="F3584" t="n">
        <v>8</v>
      </c>
      <c r="G3584" t="inlineStr">
        <is>
          <t>n° 17 : 0,50 + n° 18 : 0,50</t>
        </is>
      </c>
      <c r="H3584" t="n">
        <v>1</v>
      </c>
    </row>
    <row r="3585">
      <c r="A3585" t="inlineStr">
        <is>
          <t>2024-2025</t>
        </is>
      </c>
      <c r="B3585" t="inlineStr">
        <is>
          <t>2024-04-19</t>
        </is>
      </c>
      <c r="C3585" t="inlineStr">
        <is>
          <t>20:01</t>
        </is>
      </c>
      <c r="D3585" t="inlineStr">
        <is>
          <t>n° 17 + n° 18</t>
        </is>
      </c>
      <c r="E3585" t="inlineStr">
        <is>
          <t>Marc du Jura (4cl)</t>
        </is>
      </c>
      <c r="F3585" t="n">
        <v>6.5</v>
      </c>
      <c r="G3585" t="inlineStr">
        <is>
          <t>n° 17 : 0,50 + n° 18 : 0,50</t>
        </is>
      </c>
      <c r="H3585" t="n">
        <v>1</v>
      </c>
    </row>
    <row r="3586">
      <c r="A3586" t="inlineStr">
        <is>
          <t>2024-2025</t>
        </is>
      </c>
      <c r="B3586" t="inlineStr">
        <is>
          <t>2024-04-19</t>
        </is>
      </c>
      <c r="C3586" t="inlineStr">
        <is>
          <t>20:01</t>
        </is>
      </c>
      <c r="D3586" t="inlineStr">
        <is>
          <t>n° 17 + n° 18</t>
        </is>
      </c>
      <c r="E3586" t="inlineStr">
        <is>
          <t>Liqueur de Sapin</t>
        </is>
      </c>
      <c r="F3586" t="n">
        <v>6.5</v>
      </c>
      <c r="G3586" t="inlineStr">
        <is>
          <t>n° 17 : 0,50 + n° 18 : 0,50</t>
        </is>
      </c>
      <c r="H3586" t="n">
        <v>1</v>
      </c>
    </row>
    <row r="3587">
      <c r="A3587" t="inlineStr">
        <is>
          <t>2024-2025</t>
        </is>
      </c>
      <c r="B3587" t="inlineStr">
        <is>
          <t>2024-04-19</t>
        </is>
      </c>
      <c r="C3587" t="inlineStr">
        <is>
          <t>20:01</t>
        </is>
      </c>
      <c r="D3587" t="inlineStr">
        <is>
          <t>n° 17 + n° 18</t>
        </is>
      </c>
      <c r="E3587" t="inlineStr">
        <is>
          <t>KITTYKIR</t>
        </is>
      </c>
      <c r="F3587" t="n">
        <v>5.2</v>
      </c>
      <c r="G3587" t="inlineStr">
        <is>
          <t>n° 17 : 0,50 + n° 18 : 0,50</t>
        </is>
      </c>
      <c r="H3587" t="n">
        <v>1</v>
      </c>
    </row>
    <row r="3588">
      <c r="A3588" t="inlineStr">
        <is>
          <t>2024-2025</t>
        </is>
      </c>
      <c r="B3588" t="inlineStr">
        <is>
          <t>2024-04-19</t>
        </is>
      </c>
      <c r="C3588" t="inlineStr">
        <is>
          <t>20:01</t>
        </is>
      </c>
      <c r="D3588" t="inlineStr">
        <is>
          <t>n° 17 + n° 18</t>
        </is>
      </c>
      <c r="E3588" t="inlineStr">
        <is>
          <t>Porto</t>
        </is>
      </c>
      <c r="F3588" t="n">
        <v>4.9</v>
      </c>
      <c r="G3588" t="inlineStr">
        <is>
          <t>n° 17 : 0,50 + n° 18 : 0,50</t>
        </is>
      </c>
      <c r="H3588" t="n">
        <v>1</v>
      </c>
    </row>
    <row r="3589">
      <c r="A3589" t="inlineStr">
        <is>
          <t>2024-2025</t>
        </is>
      </c>
      <c r="B3589" t="inlineStr">
        <is>
          <t>2024-04-19</t>
        </is>
      </c>
      <c r="C3589" t="inlineStr">
        <is>
          <t>20:01</t>
        </is>
      </c>
      <c r="D3589" t="inlineStr">
        <is>
          <t>n° 17 + n° 18</t>
        </is>
      </c>
      <c r="E3589" t="inlineStr">
        <is>
          <t>Kir Bourgogne</t>
        </is>
      </c>
      <c r="F3589" t="n">
        <v>4.2</v>
      </c>
      <c r="G3589" t="inlineStr">
        <is>
          <t>n° 17 : 0,50 + n° 18 : 0,50</t>
        </is>
      </c>
      <c r="H3589" t="n">
        <v>1</v>
      </c>
    </row>
    <row r="3590">
      <c r="A3590" t="inlineStr">
        <is>
          <t>2024-2025</t>
        </is>
      </c>
      <c r="B3590" t="inlineStr">
        <is>
          <t>2024-04-19</t>
        </is>
      </c>
      <c r="C3590" t="inlineStr">
        <is>
          <t>21:15</t>
        </is>
      </c>
      <c r="D3590" t="inlineStr">
        <is>
          <t>n° 25 + n° 26</t>
        </is>
      </c>
      <c r="E3590" t="inlineStr">
        <is>
          <t>MACHON GOURMET</t>
        </is>
      </c>
      <c r="F3590" t="n">
        <v>25</v>
      </c>
      <c r="G3590" t="inlineStr">
        <is>
          <t>n° 25 : 0,50 + n° 26 : 0,50</t>
        </is>
      </c>
      <c r="H3590" t="n">
        <v>1</v>
      </c>
    </row>
    <row r="3591">
      <c r="A3591" t="inlineStr">
        <is>
          <t>2024-2025</t>
        </is>
      </c>
      <c r="B3591" t="inlineStr">
        <is>
          <t>2024-04-19</t>
        </is>
      </c>
      <c r="C3591" t="inlineStr">
        <is>
          <t>21:15</t>
        </is>
      </c>
      <c r="D3591" t="inlineStr">
        <is>
          <t>n° 25 + n° 26</t>
        </is>
      </c>
      <c r="E3591" t="inlineStr">
        <is>
          <t>Crémeux du Jura</t>
        </is>
      </c>
      <c r="F3591" t="n">
        <v>19</v>
      </c>
      <c r="G3591" t="inlineStr">
        <is>
          <t>n° 25 : 0,50 + n° 26 : 0,50</t>
        </is>
      </c>
      <c r="H3591" t="n">
        <v>1</v>
      </c>
    </row>
    <row r="3592">
      <c r="A3592" t="inlineStr">
        <is>
          <t>2024-2025</t>
        </is>
      </c>
      <c r="B3592" t="inlineStr">
        <is>
          <t>2024-04-19</t>
        </is>
      </c>
      <c r="C3592" t="inlineStr">
        <is>
          <t>21:15</t>
        </is>
      </c>
      <c r="D3592" t="inlineStr">
        <is>
          <t>n° 25 + n° 26</t>
        </is>
      </c>
      <c r="E3592" t="inlineStr">
        <is>
          <t>Expresso</t>
        </is>
      </c>
      <c r="F3592" t="n">
        <v>2.2</v>
      </c>
      <c r="G3592" t="inlineStr">
        <is>
          <t>n° 25 : 0,50 + n° 26 : 0,50</t>
        </is>
      </c>
      <c r="H3592" t="n">
        <v>1</v>
      </c>
    </row>
    <row r="3593">
      <c r="A3593" t="inlineStr">
        <is>
          <t>2024-2025</t>
        </is>
      </c>
      <c r="B3593" t="inlineStr">
        <is>
          <t>2024-04-20</t>
        </is>
      </c>
      <c r="C3593" t="inlineStr">
        <is>
          <t>12:14</t>
        </is>
      </c>
      <c r="D3593" t="inlineStr">
        <is>
          <t>n° 6 + n° 7 + n° 9 + n° 10</t>
        </is>
      </c>
      <c r="E3593" t="inlineStr">
        <is>
          <t>Arbois Béthanie</t>
        </is>
      </c>
      <c r="F3593" t="n">
        <v>36</v>
      </c>
      <c r="G3593" t="inlineStr">
        <is>
          <t>n° 9 : 0,50 + n° 10 : 0,50</t>
        </is>
      </c>
      <c r="H3593" t="n">
        <v>1</v>
      </c>
    </row>
    <row r="3594">
      <c r="A3594" t="inlineStr">
        <is>
          <t>2024-2025</t>
        </is>
      </c>
      <c r="B3594" t="inlineStr">
        <is>
          <t>2024-04-20</t>
        </is>
      </c>
      <c r="C3594" t="inlineStr">
        <is>
          <t>12:14</t>
        </is>
      </c>
      <c r="D3594" t="inlineStr">
        <is>
          <t>n° 6 + n° 7 + n° 9 + n° 10</t>
        </is>
      </c>
      <c r="E3594" t="inlineStr">
        <is>
          <t>Menu Franc-Comtois</t>
        </is>
      </c>
      <c r="F3594" t="n">
        <v>34</v>
      </c>
      <c r="G3594" t="inlineStr">
        <is>
          <t>n° 9 : 0,50 + n° 10 : 0,50</t>
        </is>
      </c>
      <c r="H3594" t="n">
        <v>1</v>
      </c>
    </row>
    <row r="3595">
      <c r="A3595" t="inlineStr">
        <is>
          <t>2024-2025</t>
        </is>
      </c>
      <c r="B3595" t="inlineStr">
        <is>
          <t>2024-04-20</t>
        </is>
      </c>
      <c r="C3595" t="inlineStr">
        <is>
          <t>12:14</t>
        </is>
      </c>
      <c r="D3595" t="inlineStr">
        <is>
          <t>n° 6 + n° 7 + n° 9 + n° 10</t>
        </is>
      </c>
      <c r="E3595" t="inlineStr">
        <is>
          <t>Menu Bourguignon</t>
        </is>
      </c>
      <c r="F3595" t="n">
        <v>34</v>
      </c>
      <c r="G3595" t="inlineStr">
        <is>
          <t>n° 9 : 0,50 + n° 10 : 0,50</t>
        </is>
      </c>
      <c r="H3595" t="n">
        <v>1</v>
      </c>
    </row>
    <row r="3596">
      <c r="A3596" t="inlineStr">
        <is>
          <t>2024-2025</t>
        </is>
      </c>
      <c r="B3596" t="inlineStr">
        <is>
          <t>2024-04-20</t>
        </is>
      </c>
      <c r="C3596" t="inlineStr">
        <is>
          <t>12:14</t>
        </is>
      </c>
      <c r="D3596" t="inlineStr">
        <is>
          <t>n° 6 + n° 7 + n° 9 + n° 10</t>
        </is>
      </c>
      <c r="E3596" t="inlineStr">
        <is>
          <t>PEUTE</t>
        </is>
      </c>
      <c r="F3596" t="n">
        <v>17.8</v>
      </c>
      <c r="G3596" t="inlineStr">
        <is>
          <t>n° 6 : 0,50 + n° 7 : 0,50</t>
        </is>
      </c>
      <c r="H3596" t="n">
        <v>1</v>
      </c>
    </row>
    <row r="3597">
      <c r="A3597" t="inlineStr">
        <is>
          <t>2024-2025</t>
        </is>
      </c>
      <c r="B3597" t="inlineStr">
        <is>
          <t>2024-04-20</t>
        </is>
      </c>
      <c r="C3597" t="inlineStr">
        <is>
          <t>12:14</t>
        </is>
      </c>
      <c r="D3597" t="inlineStr">
        <is>
          <t>n° 6 + n° 7 + n° 9 + n° 10</t>
        </is>
      </c>
      <c r="E3597" t="inlineStr">
        <is>
          <t>Chèvre  chaud</t>
        </is>
      </c>
      <c r="F3597" t="n">
        <v>9.6</v>
      </c>
      <c r="G3597" t="inlineStr">
        <is>
          <t>n° 6 : 0,50 + n° 7 : 0,50</t>
        </is>
      </c>
      <c r="H3597" t="n">
        <v>1</v>
      </c>
    </row>
    <row r="3598">
      <c r="A3598" t="inlineStr">
        <is>
          <t>2024-2025</t>
        </is>
      </c>
      <c r="B3598" t="inlineStr">
        <is>
          <t>2024-04-20</t>
        </is>
      </c>
      <c r="C3598" t="inlineStr">
        <is>
          <t>12:14</t>
        </is>
      </c>
      <c r="D3598" t="inlineStr">
        <is>
          <t>n° 6 + n° 7 + n° 9 + n° 10</t>
        </is>
      </c>
      <c r="E3598" t="inlineStr">
        <is>
          <t>Rêve Bleu</t>
        </is>
      </c>
      <c r="F3598" t="n">
        <v>9</v>
      </c>
      <c r="G3598" t="inlineStr">
        <is>
          <t>n° 6 : 0,50 + n° 7 : 0,50</t>
        </is>
      </c>
      <c r="H3598" t="n">
        <v>1</v>
      </c>
    </row>
    <row r="3599">
      <c r="A3599" t="inlineStr">
        <is>
          <t>2024-2025</t>
        </is>
      </c>
      <c r="B3599" t="inlineStr">
        <is>
          <t>2024-04-20</t>
        </is>
      </c>
      <c r="C3599" t="inlineStr">
        <is>
          <t>12:14</t>
        </is>
      </c>
      <c r="D3599" t="inlineStr">
        <is>
          <t>n° 6 + n° 7 + n° 9 + n° 10</t>
        </is>
      </c>
      <c r="E3599" t="inlineStr">
        <is>
          <t>BALIDOU</t>
        </is>
      </c>
      <c r="F3599" t="n">
        <v>9</v>
      </c>
      <c r="G3599" t="inlineStr">
        <is>
          <t>n° 6 : 0,50 + n° 7 : 0,50</t>
        </is>
      </c>
      <c r="H3599" t="n">
        <v>1</v>
      </c>
    </row>
    <row r="3600">
      <c r="A3600" t="inlineStr">
        <is>
          <t>2024-2025</t>
        </is>
      </c>
      <c r="B3600" t="inlineStr">
        <is>
          <t>2024-04-20</t>
        </is>
      </c>
      <c r="C3600" t="inlineStr">
        <is>
          <t>12:14</t>
        </is>
      </c>
      <c r="D3600" t="inlineStr">
        <is>
          <t>n° 6 + n° 7 + n° 9 + n° 10</t>
        </is>
      </c>
      <c r="E3600" t="inlineStr">
        <is>
          <t>Baba</t>
        </is>
      </c>
      <c r="F3600" t="n">
        <v>8.9</v>
      </c>
      <c r="G3600" t="inlineStr">
        <is>
          <t>n° 6 : 1,50 + n° 7 : 0,50</t>
        </is>
      </c>
      <c r="H3600" t="n">
        <v>2</v>
      </c>
    </row>
    <row r="3601">
      <c r="A3601" t="inlineStr">
        <is>
          <t>2024-2025</t>
        </is>
      </c>
      <c r="B3601" t="inlineStr">
        <is>
          <t>2024-04-20</t>
        </is>
      </c>
      <c r="C3601" t="inlineStr">
        <is>
          <t>12:14</t>
        </is>
      </c>
      <c r="D3601" t="inlineStr">
        <is>
          <t>n° 6 + n° 7 + n° 9 + n° 10</t>
        </is>
      </c>
      <c r="E3601" t="inlineStr">
        <is>
          <t>CREME BRULEE</t>
        </is>
      </c>
      <c r="F3601" t="n">
        <v>7.9</v>
      </c>
      <c r="G3601" t="inlineStr">
        <is>
          <t>n° 6 : 1,50 + n° 7 : 0,50</t>
        </is>
      </c>
      <c r="H3601" t="n">
        <v>2</v>
      </c>
    </row>
    <row r="3602">
      <c r="A3602" t="inlineStr">
        <is>
          <t>2024-2025</t>
        </is>
      </c>
      <c r="B3602" t="inlineStr">
        <is>
          <t>2024-04-20</t>
        </is>
      </c>
      <c r="C3602" t="inlineStr">
        <is>
          <t>12:14</t>
        </is>
      </c>
      <c r="D3602" t="inlineStr">
        <is>
          <t>n° 6 + n° 7 + n° 9 + n° 10</t>
        </is>
      </c>
      <c r="E3602" t="inlineStr">
        <is>
          <t>Beaujolais Moulin à</t>
        </is>
      </c>
      <c r="F3602" t="n">
        <v>7.6</v>
      </c>
      <c r="G3602" t="inlineStr">
        <is>
          <t>n° 6 : 0,50 + n° 7 : 0,50</t>
        </is>
      </c>
      <c r="H3602" t="n">
        <v>1</v>
      </c>
    </row>
    <row r="3603">
      <c r="A3603" t="inlineStr">
        <is>
          <t>2024-2025</t>
        </is>
      </c>
      <c r="B3603" t="inlineStr">
        <is>
          <t>2024-04-20</t>
        </is>
      </c>
      <c r="C3603" t="inlineStr">
        <is>
          <t>12:14</t>
        </is>
      </c>
      <c r="D3603" t="inlineStr">
        <is>
          <t>n° 6 + n° 7 + n° 9 + n° 10</t>
        </is>
      </c>
      <c r="E3603" t="inlineStr">
        <is>
          <t>Père Gregoire</t>
        </is>
      </c>
      <c r="F3603" t="n">
        <v>5.9</v>
      </c>
      <c r="G3603" t="inlineStr">
        <is>
          <t>n° 9 : 0,50 + n° 10 : 0,50</t>
        </is>
      </c>
      <c r="H3603" t="n">
        <v>1</v>
      </c>
    </row>
    <row r="3604">
      <c r="A3604" t="inlineStr">
        <is>
          <t>2024-2025</t>
        </is>
      </c>
      <c r="B3604" t="inlineStr">
        <is>
          <t>2024-04-20</t>
        </is>
      </c>
      <c r="C3604" t="inlineStr">
        <is>
          <t>12:14</t>
        </is>
      </c>
      <c r="D3604" t="inlineStr">
        <is>
          <t>n° 6 + n° 7 + n° 9 + n° 10</t>
        </is>
      </c>
      <c r="E3604" t="inlineStr">
        <is>
          <t>La Vouivre</t>
        </is>
      </c>
      <c r="F3604" t="n">
        <v>5.9</v>
      </c>
      <c r="G3604" t="inlineStr">
        <is>
          <t>n° 9 : 0,50 + n° 10 : 0,50</t>
        </is>
      </c>
      <c r="H3604" t="n">
        <v>1</v>
      </c>
    </row>
    <row r="3605">
      <c r="A3605" t="inlineStr">
        <is>
          <t>2024-2025</t>
        </is>
      </c>
      <c r="B3605" t="inlineStr">
        <is>
          <t>2024-04-20</t>
        </is>
      </c>
      <c r="C3605" t="inlineStr">
        <is>
          <t>12:14</t>
        </is>
      </c>
      <c r="D3605" t="inlineStr">
        <is>
          <t>n° 6 + n° 7 + n° 9 + n° 10</t>
        </is>
      </c>
      <c r="E3605" t="inlineStr">
        <is>
          <t>Verre Rosé</t>
        </is>
      </c>
      <c r="F3605" t="n">
        <v>3.9</v>
      </c>
      <c r="G3605" t="inlineStr">
        <is>
          <t>n° 6 : 0,50 + n° 7 : 0,50</t>
        </is>
      </c>
      <c r="H3605" t="n">
        <v>1</v>
      </c>
    </row>
    <row r="3606">
      <c r="A3606" t="inlineStr">
        <is>
          <t>2024-2025</t>
        </is>
      </c>
      <c r="B3606" t="inlineStr">
        <is>
          <t>2024-04-20</t>
        </is>
      </c>
      <c r="C3606" t="inlineStr">
        <is>
          <t>12:14</t>
        </is>
      </c>
      <c r="D3606" t="inlineStr">
        <is>
          <t>n° 6 + n° 7 + n° 9 + n° 10</t>
        </is>
      </c>
      <c r="E3606" t="inlineStr">
        <is>
          <t>GLACE 1 BOULE</t>
        </is>
      </c>
      <c r="F3606" t="n">
        <v>3.5</v>
      </c>
      <c r="G3606" t="inlineStr">
        <is>
          <t>n° 9 : 0,50 + n° 10 : 0,50</t>
        </is>
      </c>
      <c r="H3606" t="n">
        <v>1</v>
      </c>
    </row>
    <row r="3607">
      <c r="A3607" t="inlineStr">
        <is>
          <t>2024-2025</t>
        </is>
      </c>
      <c r="B3607" t="inlineStr">
        <is>
          <t>2024-04-20</t>
        </is>
      </c>
      <c r="C3607" t="inlineStr">
        <is>
          <t>12:55</t>
        </is>
      </c>
      <c r="D3607" t="inlineStr">
        <is>
          <t>n° 15 + n° 16</t>
        </is>
      </c>
      <c r="E3607" t="inlineStr">
        <is>
          <t>Savagnin verre</t>
        </is>
      </c>
      <c r="F3607" t="n">
        <v>8.300000000000001</v>
      </c>
      <c r="G3607" t="inlineStr">
        <is>
          <t>n° 15 : 0,50 + n° 16 : 0,50</t>
        </is>
      </c>
      <c r="H3607" t="n">
        <v>1</v>
      </c>
    </row>
    <row r="3608">
      <c r="A3608" t="inlineStr">
        <is>
          <t>2024-2025</t>
        </is>
      </c>
      <c r="B3608" t="inlineStr">
        <is>
          <t>2024-04-20</t>
        </is>
      </c>
      <c r="C3608" t="inlineStr">
        <is>
          <t>12:55</t>
        </is>
      </c>
      <c r="D3608" t="inlineStr">
        <is>
          <t>n° 15 + n° 16</t>
        </is>
      </c>
      <c r="E3608" t="inlineStr">
        <is>
          <t>pression</t>
        </is>
      </c>
      <c r="F3608" t="n">
        <v>4.2</v>
      </c>
      <c r="G3608" t="inlineStr">
        <is>
          <t>n° 15 : 0,50 + n° 16 : 0,50</t>
        </is>
      </c>
      <c r="H3608" t="n">
        <v>1</v>
      </c>
    </row>
    <row r="3609">
      <c r="A3609" t="inlineStr">
        <is>
          <t>2024-2025</t>
        </is>
      </c>
      <c r="B3609" t="inlineStr">
        <is>
          <t>2024-04-20</t>
        </is>
      </c>
      <c r="C3609" t="inlineStr">
        <is>
          <t>12:55</t>
        </is>
      </c>
      <c r="D3609" t="inlineStr">
        <is>
          <t>n° 15 + n° 16</t>
        </is>
      </c>
      <c r="E3609" t="inlineStr">
        <is>
          <t>Thé</t>
        </is>
      </c>
      <c r="F3609" t="n">
        <v>3.4</v>
      </c>
      <c r="G3609" t="inlineStr">
        <is>
          <t>n° 15 : 0,50 + n° 16 : 0,50</t>
        </is>
      </c>
      <c r="H3609" t="n">
        <v>1</v>
      </c>
    </row>
    <row r="3610">
      <c r="A3610" t="inlineStr">
        <is>
          <t>2024-2025</t>
        </is>
      </c>
      <c r="B3610" t="inlineStr">
        <is>
          <t>2024-04-20</t>
        </is>
      </c>
      <c r="C3610" t="inlineStr">
        <is>
          <t>12:55</t>
        </is>
      </c>
      <c r="D3610" t="inlineStr">
        <is>
          <t>n° 15 + n° 16</t>
        </is>
      </c>
      <c r="E3610" t="inlineStr">
        <is>
          <t>Expresso</t>
        </is>
      </c>
      <c r="F3610" t="n">
        <v>2.2</v>
      </c>
      <c r="G3610" t="inlineStr">
        <is>
          <t>n° 15 : 0,50 + n° 16 : 0,50</t>
        </is>
      </c>
      <c r="H3610" t="n">
        <v>1</v>
      </c>
    </row>
    <row r="3611">
      <c r="A3611" t="inlineStr">
        <is>
          <t>2024-2025</t>
        </is>
      </c>
      <c r="B3611" t="inlineStr">
        <is>
          <t>2024-04-21</t>
        </is>
      </c>
      <c r="C3611" t="inlineStr">
        <is>
          <t>11:13</t>
        </is>
      </c>
      <c r="D3611" t="inlineStr">
        <is>
          <t>n° 1 + n° 2</t>
        </is>
      </c>
      <c r="E3611" t="inlineStr">
        <is>
          <t>Mambo</t>
        </is>
      </c>
      <c r="F3611" t="n">
        <v>6.5</v>
      </c>
      <c r="G3611" t="inlineStr">
        <is>
          <t>n° 1 : 0,50 + n° 2 : 0,50</t>
        </is>
      </c>
      <c r="H3611" t="n">
        <v>1</v>
      </c>
    </row>
    <row r="3612">
      <c r="A3612" t="inlineStr">
        <is>
          <t>2024-2025</t>
        </is>
      </c>
      <c r="B3612" t="inlineStr">
        <is>
          <t>2024-04-21</t>
        </is>
      </c>
      <c r="C3612" t="inlineStr">
        <is>
          <t>11:13</t>
        </is>
      </c>
      <c r="D3612" t="inlineStr">
        <is>
          <t>n° 1 + n° 2</t>
        </is>
      </c>
      <c r="E3612" t="inlineStr">
        <is>
          <t>Luna</t>
        </is>
      </c>
      <c r="F3612" t="n">
        <v>6</v>
      </c>
      <c r="G3612" t="inlineStr">
        <is>
          <t>n° 1 : 0,50 + n° 2 : 0,50</t>
        </is>
      </c>
      <c r="H3612" t="n">
        <v>1</v>
      </c>
    </row>
    <row r="3613">
      <c r="A3613" t="inlineStr">
        <is>
          <t>2024-2025</t>
        </is>
      </c>
      <c r="B3613" t="inlineStr">
        <is>
          <t>2024-04-24</t>
        </is>
      </c>
      <c r="C3613" t="inlineStr">
        <is>
          <t>12:24</t>
        </is>
      </c>
      <c r="D3613" t="inlineStr">
        <is>
          <t>n° 1 + n° 2</t>
        </is>
      </c>
      <c r="E3613" t="inlineStr">
        <is>
          <t>BURGER COMTOIS</t>
        </is>
      </c>
      <c r="F3613" t="n">
        <v>19</v>
      </c>
      <c r="G3613" t="inlineStr">
        <is>
          <t>n° 1 : 0,50 + n° 2 : 0,50</t>
        </is>
      </c>
      <c r="H3613" t="n">
        <v>1</v>
      </c>
    </row>
    <row r="3614">
      <c r="A3614" t="inlineStr">
        <is>
          <t>2024-2025</t>
        </is>
      </c>
      <c r="B3614" t="inlineStr">
        <is>
          <t>2024-04-24</t>
        </is>
      </c>
      <c r="C3614" t="inlineStr">
        <is>
          <t>12:24</t>
        </is>
      </c>
      <c r="D3614" t="inlineStr">
        <is>
          <t>n° 1 + n° 2</t>
        </is>
      </c>
      <c r="E3614" t="inlineStr">
        <is>
          <t>MORTEAU GRILLEE</t>
        </is>
      </c>
      <c r="F3614" t="n">
        <v>18.6</v>
      </c>
      <c r="G3614" t="inlineStr">
        <is>
          <t>n° 1 : 0,50 + n° 2 : 0,50</t>
        </is>
      </c>
      <c r="H3614" t="n">
        <v>1</v>
      </c>
    </row>
    <row r="3615">
      <c r="A3615" t="inlineStr">
        <is>
          <t>2024-2025</t>
        </is>
      </c>
      <c r="B3615" t="inlineStr">
        <is>
          <t>2024-04-24</t>
        </is>
      </c>
      <c r="C3615" t="inlineStr">
        <is>
          <t>12:24</t>
        </is>
      </c>
      <c r="D3615" t="inlineStr">
        <is>
          <t>n° 1 + n° 2</t>
        </is>
      </c>
      <c r="E3615" t="inlineStr">
        <is>
          <t>BALIDOU</t>
        </is>
      </c>
      <c r="F3615" t="n">
        <v>9</v>
      </c>
      <c r="G3615" t="inlineStr">
        <is>
          <t>n° 1 : 0,50 + n° 2 : 0,50</t>
        </is>
      </c>
      <c r="H3615" t="n">
        <v>1</v>
      </c>
    </row>
    <row r="3616">
      <c r="A3616" t="inlineStr">
        <is>
          <t>2024-2025</t>
        </is>
      </c>
      <c r="B3616" t="inlineStr">
        <is>
          <t>2024-04-24</t>
        </is>
      </c>
      <c r="C3616" t="inlineStr">
        <is>
          <t>12:24</t>
        </is>
      </c>
      <c r="D3616" t="inlineStr">
        <is>
          <t>n° 1 + n° 2</t>
        </is>
      </c>
      <c r="E3616" t="inlineStr">
        <is>
          <t>Jambon sec</t>
        </is>
      </c>
      <c r="F3616" t="n">
        <v>8.9</v>
      </c>
      <c r="G3616" t="inlineStr">
        <is>
          <t>n° 1 : 0,50 + n° 2 : 0,50</t>
        </is>
      </c>
      <c r="H3616" t="n">
        <v>1</v>
      </c>
    </row>
    <row r="3617">
      <c r="A3617" t="inlineStr">
        <is>
          <t>2024-2025</t>
        </is>
      </c>
      <c r="B3617" t="inlineStr">
        <is>
          <t>2024-04-24</t>
        </is>
      </c>
      <c r="C3617" t="inlineStr">
        <is>
          <t>12:24</t>
        </is>
      </c>
      <c r="D3617" t="inlineStr">
        <is>
          <t>n° 1 + n° 2</t>
        </is>
      </c>
      <c r="E3617" t="inlineStr">
        <is>
          <t>Blanche des plateaux</t>
        </is>
      </c>
      <c r="F3617" t="n">
        <v>6.9</v>
      </c>
      <c r="G3617" t="inlineStr">
        <is>
          <t>n° 1 : 0,50 + n° 2 : 0,50</t>
        </is>
      </c>
      <c r="H3617" t="n">
        <v>1</v>
      </c>
    </row>
    <row r="3618">
      <c r="A3618" t="inlineStr">
        <is>
          <t>2024-2025</t>
        </is>
      </c>
      <c r="B3618" t="inlineStr">
        <is>
          <t>2024-04-24</t>
        </is>
      </c>
      <c r="C3618" t="inlineStr">
        <is>
          <t>12:24</t>
        </is>
      </c>
      <c r="D3618" t="inlineStr">
        <is>
          <t>n° 1 + n° 2</t>
        </is>
      </c>
      <c r="E3618" t="inlineStr">
        <is>
          <t>Mambo</t>
        </is>
      </c>
      <c r="F3618" t="n">
        <v>6.5</v>
      </c>
      <c r="G3618" t="inlineStr">
        <is>
          <t>n° 1 : 0,50 + n° 2 : 0,50</t>
        </is>
      </c>
      <c r="H3618" t="n">
        <v>1</v>
      </c>
    </row>
    <row r="3619">
      <c r="A3619" t="inlineStr">
        <is>
          <t>2024-2025</t>
        </is>
      </c>
      <c r="B3619" t="inlineStr">
        <is>
          <t>2024-04-24</t>
        </is>
      </c>
      <c r="C3619" t="inlineStr">
        <is>
          <t>12:24</t>
        </is>
      </c>
      <c r="D3619" t="inlineStr">
        <is>
          <t>n° 1 + n° 2</t>
        </is>
      </c>
      <c r="E3619" t="inlineStr">
        <is>
          <t>Crémant</t>
        </is>
      </c>
      <c r="F3619" t="n">
        <v>5</v>
      </c>
      <c r="G3619" t="inlineStr">
        <is>
          <t>n° 1 : 0,50 + n° 2 : 0,50</t>
        </is>
      </c>
      <c r="H3619" t="n">
        <v>1</v>
      </c>
    </row>
    <row r="3620">
      <c r="A3620" t="inlineStr">
        <is>
          <t>2024-2025</t>
        </is>
      </c>
      <c r="B3620" t="inlineStr">
        <is>
          <t>2024-04-24</t>
        </is>
      </c>
      <c r="C3620" t="inlineStr">
        <is>
          <t>12:24</t>
        </is>
      </c>
      <c r="D3620" t="inlineStr">
        <is>
          <t>n° 1 + n° 2</t>
        </is>
      </c>
      <c r="E3620" t="inlineStr">
        <is>
          <t>Crêpe Nutella</t>
        </is>
      </c>
      <c r="F3620" t="n">
        <v>4.9</v>
      </c>
      <c r="G3620" t="inlineStr">
        <is>
          <t>n° 1 : 0,50 + n° 2 : 0,50</t>
        </is>
      </c>
      <c r="H3620" t="n">
        <v>1</v>
      </c>
    </row>
    <row r="3621">
      <c r="A3621" t="inlineStr">
        <is>
          <t>2024-2025</t>
        </is>
      </c>
      <c r="B3621" t="inlineStr">
        <is>
          <t>2024-04-24</t>
        </is>
      </c>
      <c r="C3621" t="inlineStr">
        <is>
          <t>20:01</t>
        </is>
      </c>
      <c r="D3621" t="inlineStr">
        <is>
          <t>n° 16 + n° 17</t>
        </is>
      </c>
      <c r="E3621" t="inlineStr">
        <is>
          <t>Arbois Béthanie</t>
        </is>
      </c>
      <c r="F3621" t="n">
        <v>36</v>
      </c>
      <c r="G3621" t="inlineStr">
        <is>
          <t>n° 16 : 0,50 + n° 17 : 0,50</t>
        </is>
      </c>
      <c r="H3621" t="n">
        <v>1</v>
      </c>
    </row>
    <row r="3622">
      <c r="A3622" t="inlineStr">
        <is>
          <t>2024-2025</t>
        </is>
      </c>
      <c r="B3622" t="inlineStr">
        <is>
          <t>2024-04-24</t>
        </is>
      </c>
      <c r="C3622" t="inlineStr">
        <is>
          <t>20:01</t>
        </is>
      </c>
      <c r="D3622" t="inlineStr">
        <is>
          <t>n° 16 + n° 17</t>
        </is>
      </c>
      <c r="E3622" t="inlineStr">
        <is>
          <t>Poulet aux Morilles</t>
        </is>
      </c>
      <c r="F3622" t="n">
        <v>28.6</v>
      </c>
      <c r="G3622" t="inlineStr">
        <is>
          <t>n° 16 : 0,50 + n° 17 : 0,50</t>
        </is>
      </c>
      <c r="H3622" t="n">
        <v>1</v>
      </c>
    </row>
    <row r="3623">
      <c r="A3623" t="inlineStr">
        <is>
          <t>2024-2025</t>
        </is>
      </c>
      <c r="B3623" t="inlineStr">
        <is>
          <t>2024-04-24</t>
        </is>
      </c>
      <c r="C3623" t="inlineStr">
        <is>
          <t>20:01</t>
        </is>
      </c>
      <c r="D3623" t="inlineStr">
        <is>
          <t>n° 16 + n° 17</t>
        </is>
      </c>
      <c r="E3623" t="inlineStr">
        <is>
          <t>BURGER COMTOIS</t>
        </is>
      </c>
      <c r="F3623" t="n">
        <v>19</v>
      </c>
      <c r="G3623" t="inlineStr">
        <is>
          <t>n° 16 : 0,50 + n° 17 : 0,50</t>
        </is>
      </c>
      <c r="H3623" t="n">
        <v>1</v>
      </c>
    </row>
    <row r="3624">
      <c r="A3624" t="inlineStr">
        <is>
          <t>2024-2025</t>
        </is>
      </c>
      <c r="B3624" t="inlineStr">
        <is>
          <t>2024-04-24</t>
        </is>
      </c>
      <c r="C3624" t="inlineStr">
        <is>
          <t>20:01</t>
        </is>
      </c>
      <c r="D3624" t="inlineStr">
        <is>
          <t>n° 16 + n° 17</t>
        </is>
      </c>
      <c r="E3624" t="inlineStr">
        <is>
          <t>POULET JURASSIENNE</t>
        </is>
      </c>
      <c r="F3624" t="n">
        <v>18.6</v>
      </c>
      <c r="G3624" t="inlineStr">
        <is>
          <t>n° 16 : 0,50 + n° 17 : 0,50</t>
        </is>
      </c>
      <c r="H3624" t="n">
        <v>1</v>
      </c>
    </row>
    <row r="3625">
      <c r="A3625" t="inlineStr">
        <is>
          <t>2024-2025</t>
        </is>
      </c>
      <c r="B3625" t="inlineStr">
        <is>
          <t>2024-04-24</t>
        </is>
      </c>
      <c r="C3625" t="inlineStr">
        <is>
          <t>20:01</t>
        </is>
      </c>
      <c r="D3625" t="inlineStr">
        <is>
          <t>n° 16 + n° 17</t>
        </is>
      </c>
      <c r="E3625" t="inlineStr">
        <is>
          <t>ASSIETTE FRANC-COMTO</t>
        </is>
      </c>
      <c r="F3625" t="n">
        <v>18.6</v>
      </c>
      <c r="G3625" t="inlineStr">
        <is>
          <t>n° 16 : 0,50 + n° 17 : 0,50</t>
        </is>
      </c>
      <c r="H3625" t="n">
        <v>1</v>
      </c>
    </row>
    <row r="3626">
      <c r="A3626" t="inlineStr">
        <is>
          <t>2024-2025</t>
        </is>
      </c>
      <c r="B3626" t="inlineStr">
        <is>
          <t>2024-04-24</t>
        </is>
      </c>
      <c r="C3626" t="inlineStr">
        <is>
          <t>20:01</t>
        </is>
      </c>
      <c r="D3626" t="inlineStr">
        <is>
          <t>n° 16 + n° 17</t>
        </is>
      </c>
      <c r="E3626" t="inlineStr">
        <is>
          <t>Pavlova</t>
        </is>
      </c>
      <c r="F3626" t="n">
        <v>8.9</v>
      </c>
      <c r="G3626" t="inlineStr">
        <is>
          <t>n° 16 : 0,50 + n° 17 : 0,50</t>
        </is>
      </c>
      <c r="H3626" t="n">
        <v>1</v>
      </c>
    </row>
    <row r="3627">
      <c r="A3627" t="inlineStr">
        <is>
          <t>2024-2025</t>
        </is>
      </c>
      <c r="B3627" t="inlineStr">
        <is>
          <t>2024-04-24</t>
        </is>
      </c>
      <c r="C3627" t="inlineStr">
        <is>
          <t>20:01</t>
        </is>
      </c>
      <c r="D3627" t="inlineStr">
        <is>
          <t>n° 16 + n° 17</t>
        </is>
      </c>
      <c r="E3627" t="inlineStr">
        <is>
          <t>CREME BRULEE</t>
        </is>
      </c>
      <c r="F3627" t="n">
        <v>7.9</v>
      </c>
      <c r="G3627" t="inlineStr">
        <is>
          <t>n° 16 : 0,50 + n° 17 : 0,50</t>
        </is>
      </c>
      <c r="H3627" t="n">
        <v>1</v>
      </c>
    </row>
    <row r="3628">
      <c r="A3628" t="inlineStr">
        <is>
          <t>2024-2025</t>
        </is>
      </c>
      <c r="B3628" t="inlineStr">
        <is>
          <t>2024-04-24</t>
        </is>
      </c>
      <c r="C3628" t="inlineStr">
        <is>
          <t>20:01</t>
        </is>
      </c>
      <c r="D3628" t="inlineStr">
        <is>
          <t>n° 16 + n° 17</t>
        </is>
      </c>
      <c r="E3628" t="inlineStr">
        <is>
          <t>FROMAGES REGIONAUX</t>
        </is>
      </c>
      <c r="F3628" t="n">
        <v>7.9</v>
      </c>
      <c r="G3628" t="inlineStr">
        <is>
          <t>n° 16 : 0,50 + n° 17 : 0,50</t>
        </is>
      </c>
      <c r="H3628" t="n">
        <v>1</v>
      </c>
    </row>
    <row r="3629">
      <c r="A3629" t="inlineStr">
        <is>
          <t>2024-2025</t>
        </is>
      </c>
      <c r="B3629" t="inlineStr">
        <is>
          <t>2024-04-24</t>
        </is>
      </c>
      <c r="C3629" t="inlineStr">
        <is>
          <t>20:01</t>
        </is>
      </c>
      <c r="D3629" t="inlineStr">
        <is>
          <t>n° 16 + n° 17</t>
        </is>
      </c>
      <c r="E3629" t="inlineStr">
        <is>
          <t>pression</t>
        </is>
      </c>
      <c r="F3629" t="n">
        <v>4.2</v>
      </c>
      <c r="G3629" t="inlineStr">
        <is>
          <t>n° 16 : 0,50 + n° 17 : 0,50</t>
        </is>
      </c>
      <c r="H3629" t="n">
        <v>1</v>
      </c>
    </row>
    <row r="3630">
      <c r="A3630" t="inlineStr">
        <is>
          <t>2024-2025</t>
        </is>
      </c>
      <c r="B3630" t="inlineStr">
        <is>
          <t>2024-04-27</t>
        </is>
      </c>
      <c r="C3630" t="inlineStr">
        <is>
          <t>12:40</t>
        </is>
      </c>
      <c r="D3630" t="inlineStr">
        <is>
          <t>n° 9 + n° 10</t>
        </is>
      </c>
      <c r="E3630" t="inlineStr">
        <is>
          <t>POULET JURASSIENNE</t>
        </is>
      </c>
      <c r="F3630" t="n">
        <v>18.6</v>
      </c>
      <c r="G3630" t="inlineStr">
        <is>
          <t>n° 9 : 0,50 + n° 10 : 0,50</t>
        </is>
      </c>
      <c r="H3630" t="n">
        <v>1</v>
      </c>
    </row>
    <row r="3631">
      <c r="A3631" t="inlineStr">
        <is>
          <t>2024-2025</t>
        </is>
      </c>
      <c r="B3631" t="inlineStr">
        <is>
          <t>2024-04-27</t>
        </is>
      </c>
      <c r="C3631" t="inlineStr">
        <is>
          <t>12:40</t>
        </is>
      </c>
      <c r="D3631" t="inlineStr">
        <is>
          <t>n° 9 + n° 10</t>
        </is>
      </c>
      <c r="E3631" t="inlineStr">
        <is>
          <t>TRUITE PESTO</t>
        </is>
      </c>
      <c r="F3631" t="n">
        <v>16.9</v>
      </c>
      <c r="G3631" t="inlineStr">
        <is>
          <t>n° 9 : 0,50 + n° 10 : 0,50</t>
        </is>
      </c>
      <c r="H3631" t="n">
        <v>1</v>
      </c>
    </row>
    <row r="3632">
      <c r="A3632" t="inlineStr">
        <is>
          <t>2024-2025</t>
        </is>
      </c>
      <c r="B3632" t="inlineStr">
        <is>
          <t>2024-04-27</t>
        </is>
      </c>
      <c r="C3632" t="inlineStr">
        <is>
          <t>12:40</t>
        </is>
      </c>
      <c r="D3632" t="inlineStr">
        <is>
          <t>n° 9 + n° 10</t>
        </is>
      </c>
      <c r="E3632" t="inlineStr">
        <is>
          <t>VIN PAILLE</t>
        </is>
      </c>
      <c r="F3632" t="n">
        <v>6.9</v>
      </c>
      <c r="G3632" t="inlineStr">
        <is>
          <t>n° 9 : 0,50 + n° 10 : 0,50</t>
        </is>
      </c>
      <c r="H3632" t="n">
        <v>1</v>
      </c>
    </row>
    <row r="3633">
      <c r="A3633" t="inlineStr">
        <is>
          <t>2024-2025</t>
        </is>
      </c>
      <c r="B3633" t="inlineStr">
        <is>
          <t>2024-04-27</t>
        </is>
      </c>
      <c r="C3633" t="inlineStr">
        <is>
          <t>12:40</t>
        </is>
      </c>
      <c r="D3633" t="inlineStr">
        <is>
          <t>n° 9 + n° 10</t>
        </is>
      </c>
      <c r="E3633" t="inlineStr">
        <is>
          <t>La Vouivre</t>
        </is>
      </c>
      <c r="F3633" t="n">
        <v>5.9</v>
      </c>
      <c r="G3633" t="inlineStr">
        <is>
          <t>n° 9 : 0,50 + n° 10 : 0,50</t>
        </is>
      </c>
      <c r="H3633" t="n">
        <v>1</v>
      </c>
    </row>
    <row r="3634">
      <c r="A3634" t="inlineStr">
        <is>
          <t>2024-2025</t>
        </is>
      </c>
      <c r="B3634" t="inlineStr">
        <is>
          <t>2024-04-27</t>
        </is>
      </c>
      <c r="C3634" t="inlineStr">
        <is>
          <t>13:45</t>
        </is>
      </c>
      <c r="D3634" t="inlineStr">
        <is>
          <t>n° 17 + n° 18</t>
        </is>
      </c>
      <c r="E3634" t="inlineStr">
        <is>
          <t>Arbois Béthanie</t>
        </is>
      </c>
      <c r="F3634" t="n">
        <v>36</v>
      </c>
      <c r="G3634" t="inlineStr">
        <is>
          <t>n° 17 : 0,50 + n° 18 : 0,50</t>
        </is>
      </c>
      <c r="H3634" t="n">
        <v>1</v>
      </c>
    </row>
    <row r="3635">
      <c r="A3635" t="inlineStr">
        <is>
          <t>2024-2025</t>
        </is>
      </c>
      <c r="B3635" t="inlineStr">
        <is>
          <t>2024-04-27</t>
        </is>
      </c>
      <c r="C3635" t="inlineStr">
        <is>
          <t>13:45</t>
        </is>
      </c>
      <c r="D3635" t="inlineStr">
        <is>
          <t>n° 17 + n° 18</t>
        </is>
      </c>
      <c r="E3635" t="inlineStr">
        <is>
          <t>Arbois Trousseau Bou</t>
        </is>
      </c>
      <c r="F3635" t="n">
        <v>36</v>
      </c>
      <c r="G3635" t="inlineStr">
        <is>
          <t>n° 17 : 0,50 + n° 18 : 0,50</t>
        </is>
      </c>
      <c r="H3635" t="n">
        <v>1</v>
      </c>
    </row>
    <row r="3636">
      <c r="A3636" t="inlineStr">
        <is>
          <t>2024-2025</t>
        </is>
      </c>
      <c r="B3636" t="inlineStr">
        <is>
          <t>2024-04-27</t>
        </is>
      </c>
      <c r="C3636" t="inlineStr">
        <is>
          <t>21:09</t>
        </is>
      </c>
      <c r="D3636" t="inlineStr">
        <is>
          <t>n° 29 + n° 30</t>
        </is>
      </c>
      <c r="E3636" t="inlineStr">
        <is>
          <t>Arbois Béthanie</t>
        </is>
      </c>
      <c r="F3636" t="n">
        <v>36</v>
      </c>
      <c r="G3636" t="inlineStr">
        <is>
          <t>n° 29 : 0,50 + n° 30 : 0,50</t>
        </is>
      </c>
      <c r="H3636" t="n">
        <v>1</v>
      </c>
    </row>
    <row r="3637">
      <c r="A3637" t="inlineStr">
        <is>
          <t>2024-2025</t>
        </is>
      </c>
      <c r="B3637" t="inlineStr">
        <is>
          <t>2024-04-27</t>
        </is>
      </c>
      <c r="C3637" t="inlineStr">
        <is>
          <t>21:09</t>
        </is>
      </c>
      <c r="D3637" t="inlineStr">
        <is>
          <t>n° 29 + n° 30</t>
        </is>
      </c>
      <c r="E3637" t="inlineStr">
        <is>
          <t>ENTRECOTE MORILLES</t>
        </is>
      </c>
      <c r="F3637" t="n">
        <v>34.8</v>
      </c>
      <c r="G3637" t="inlineStr">
        <is>
          <t>n° 29 : 0,50 + n° 30 : 0,50</t>
        </is>
      </c>
      <c r="H3637" t="n">
        <v>1</v>
      </c>
    </row>
    <row r="3638">
      <c r="A3638" t="inlineStr">
        <is>
          <t>2024-2025</t>
        </is>
      </c>
      <c r="B3638" t="inlineStr">
        <is>
          <t>2024-04-27</t>
        </is>
      </c>
      <c r="C3638" t="inlineStr">
        <is>
          <t>21:09</t>
        </is>
      </c>
      <c r="D3638" t="inlineStr">
        <is>
          <t>n° 29 + n° 30</t>
        </is>
      </c>
      <c r="E3638" t="inlineStr">
        <is>
          <t>Pavlova</t>
        </is>
      </c>
      <c r="F3638" t="n">
        <v>8.9</v>
      </c>
      <c r="G3638" t="inlineStr">
        <is>
          <t>n° 29 : 1,50 + n° 30 : 1,50</t>
        </is>
      </c>
      <c r="H3638" t="n">
        <v>3</v>
      </c>
    </row>
    <row r="3639">
      <c r="A3639" t="inlineStr">
        <is>
          <t>2024-2025</t>
        </is>
      </c>
      <c r="B3639" t="inlineStr">
        <is>
          <t>2024-04-27</t>
        </is>
      </c>
      <c r="C3639" t="inlineStr">
        <is>
          <t>21:09</t>
        </is>
      </c>
      <c r="D3639" t="inlineStr">
        <is>
          <t>n° 29 + n° 30</t>
        </is>
      </c>
      <c r="E3639" t="inlineStr">
        <is>
          <t>Crêpe Flambée</t>
        </is>
      </c>
      <c r="F3639" t="n">
        <v>8.4</v>
      </c>
      <c r="G3639" t="inlineStr">
        <is>
          <t>n° 29 : 0,50 + n° 30 : 0,50</t>
        </is>
      </c>
      <c r="H3639" t="n">
        <v>1</v>
      </c>
    </row>
    <row r="3640">
      <c r="A3640" t="inlineStr">
        <is>
          <t>2024-2025</t>
        </is>
      </c>
      <c r="B3640" t="inlineStr">
        <is>
          <t>2024-04-27</t>
        </is>
      </c>
      <c r="C3640" t="inlineStr">
        <is>
          <t>21:09</t>
        </is>
      </c>
      <c r="D3640" t="inlineStr">
        <is>
          <t>n° 29 + n° 30</t>
        </is>
      </c>
      <c r="E3640" t="inlineStr">
        <is>
          <t>Crêpe Salidou</t>
        </is>
      </c>
      <c r="F3640" t="n">
        <v>6.4</v>
      </c>
      <c r="G3640" t="inlineStr">
        <is>
          <t>n° 29 : 0,50 + n° 30 : 0,50</t>
        </is>
      </c>
      <c r="H3640" t="n">
        <v>1</v>
      </c>
    </row>
    <row r="3641">
      <c r="A3641" t="inlineStr">
        <is>
          <t>2024-2025</t>
        </is>
      </c>
      <c r="B3641" t="inlineStr">
        <is>
          <t>2024-04-27</t>
        </is>
      </c>
      <c r="C3641" t="inlineStr">
        <is>
          <t>21:09</t>
        </is>
      </c>
      <c r="D3641" t="inlineStr">
        <is>
          <t>n° 29 + n° 30</t>
        </is>
      </c>
      <c r="E3641" t="inlineStr">
        <is>
          <t>Salade Verte</t>
        </is>
      </c>
      <c r="F3641" t="n">
        <v>5.9</v>
      </c>
      <c r="G3641" t="inlineStr">
        <is>
          <t>n° 29 : 0,50 + n° 30 : 0,50</t>
        </is>
      </c>
      <c r="H3641" t="n">
        <v>1</v>
      </c>
    </row>
    <row r="3642">
      <c r="A3642" t="inlineStr">
        <is>
          <t>2024-2025</t>
        </is>
      </c>
      <c r="B3642" t="inlineStr">
        <is>
          <t>2024-04-27</t>
        </is>
      </c>
      <c r="C3642" t="inlineStr">
        <is>
          <t>21:09</t>
        </is>
      </c>
      <c r="D3642" t="inlineStr">
        <is>
          <t>n° 29 + n° 30</t>
        </is>
      </c>
      <c r="E3642" t="inlineStr">
        <is>
          <t>Coca (25cl)</t>
        </is>
      </c>
      <c r="F3642" t="n">
        <v>3.9</v>
      </c>
      <c r="G3642" t="inlineStr">
        <is>
          <t>n° 29 : 0,50 + n° 30 : 0,50</t>
        </is>
      </c>
      <c r="H3642" t="n">
        <v>1</v>
      </c>
    </row>
    <row r="3643">
      <c r="A3643" t="inlineStr">
        <is>
          <t>2024-2025</t>
        </is>
      </c>
      <c r="B3643" t="inlineStr">
        <is>
          <t>2024-04-27</t>
        </is>
      </c>
      <c r="C3643" t="inlineStr">
        <is>
          <t>21:09</t>
        </is>
      </c>
      <c r="D3643" t="inlineStr">
        <is>
          <t>n° 29 + n° 30</t>
        </is>
      </c>
      <c r="E3643" t="inlineStr">
        <is>
          <t>Expresso</t>
        </is>
      </c>
      <c r="F3643" t="n">
        <v>2.2</v>
      </c>
      <c r="G3643" t="inlineStr">
        <is>
          <t>n° 29 : 1,50 + n° 30 : 1,50</t>
        </is>
      </c>
      <c r="H3643" t="n">
        <v>3</v>
      </c>
    </row>
    <row r="3644">
      <c r="A3644" t="inlineStr">
        <is>
          <t>2024-2025</t>
        </is>
      </c>
      <c r="B3644" t="inlineStr">
        <is>
          <t>2024-04-27</t>
        </is>
      </c>
      <c r="C3644" t="inlineStr">
        <is>
          <t>21:09</t>
        </is>
      </c>
      <c r="D3644" t="inlineStr">
        <is>
          <t>n° 29 + n° 30</t>
        </is>
      </c>
      <c r="E3644" t="inlineStr">
        <is>
          <t>Amandes grillées</t>
        </is>
      </c>
      <c r="F3644" t="n">
        <v>1.4</v>
      </c>
      <c r="G3644" t="inlineStr">
        <is>
          <t>n° 29 : 0,50 + n° 30 : 0,50</t>
        </is>
      </c>
      <c r="H3644" t="n">
        <v>1</v>
      </c>
    </row>
    <row r="3645">
      <c r="A3645" t="inlineStr">
        <is>
          <t>2024-2025</t>
        </is>
      </c>
      <c r="B3645" t="inlineStr">
        <is>
          <t>2024-05-02</t>
        </is>
      </c>
      <c r="C3645" t="inlineStr">
        <is>
          <t>13:24</t>
        </is>
      </c>
      <c r="D3645" t="inlineStr">
        <is>
          <t>n° 10 + n° 11</t>
        </is>
      </c>
      <c r="E3645" t="inlineStr">
        <is>
          <t>Poulet aux Morilles</t>
        </is>
      </c>
      <c r="F3645" t="n">
        <v>28.6</v>
      </c>
      <c r="G3645" t="inlineStr">
        <is>
          <t>n° 10 : 0,50 + n° 11 : 0,50</t>
        </is>
      </c>
      <c r="H3645" t="n">
        <v>1</v>
      </c>
    </row>
    <row r="3646">
      <c r="A3646" t="inlineStr">
        <is>
          <t>2024-2025</t>
        </is>
      </c>
      <c r="B3646" t="inlineStr">
        <is>
          <t>2024-05-02</t>
        </is>
      </c>
      <c r="C3646" t="inlineStr">
        <is>
          <t>13:24</t>
        </is>
      </c>
      <c r="D3646" t="inlineStr">
        <is>
          <t>n° 10 + n° 11</t>
        </is>
      </c>
      <c r="E3646" t="inlineStr">
        <is>
          <t>BARBEULENET</t>
        </is>
      </c>
      <c r="F3646" t="n">
        <v>17.4</v>
      </c>
      <c r="G3646" t="inlineStr">
        <is>
          <t>n° 10 : 0,50 + n° 11 : 0,50</t>
        </is>
      </c>
      <c r="H3646" t="n">
        <v>1</v>
      </c>
    </row>
    <row r="3647">
      <c r="A3647" t="inlineStr">
        <is>
          <t>2024-2025</t>
        </is>
      </c>
      <c r="B3647" t="inlineStr">
        <is>
          <t>2024-05-02</t>
        </is>
      </c>
      <c r="C3647" t="inlineStr">
        <is>
          <t>13:24</t>
        </is>
      </c>
      <c r="D3647" t="inlineStr">
        <is>
          <t>n° 10 + n° 11</t>
        </is>
      </c>
      <c r="E3647" t="inlineStr">
        <is>
          <t>Mambo</t>
        </is>
      </c>
      <c r="F3647" t="n">
        <v>6.5</v>
      </c>
      <c r="G3647" t="inlineStr">
        <is>
          <t>n° 10 : 0,50 + n° 11 : 0,50</t>
        </is>
      </c>
      <c r="H3647" t="n">
        <v>1</v>
      </c>
    </row>
    <row r="3648">
      <c r="A3648" t="inlineStr">
        <is>
          <t>2024-2025</t>
        </is>
      </c>
      <c r="B3648" t="inlineStr">
        <is>
          <t>2024-05-02</t>
        </is>
      </c>
      <c r="C3648" t="inlineStr">
        <is>
          <t>13:24</t>
        </is>
      </c>
      <c r="D3648" t="inlineStr">
        <is>
          <t>n° 10 + n° 11</t>
        </is>
      </c>
      <c r="E3648" t="inlineStr">
        <is>
          <t>Luna</t>
        </is>
      </c>
      <c r="F3648" t="n">
        <v>6</v>
      </c>
      <c r="G3648" t="inlineStr">
        <is>
          <t>n° 10 : 0,50 + n° 11 : 0,50</t>
        </is>
      </c>
      <c r="H3648" t="n">
        <v>1</v>
      </c>
    </row>
    <row r="3649">
      <c r="A3649" t="inlineStr">
        <is>
          <t>2024-2025</t>
        </is>
      </c>
      <c r="B3649" t="inlineStr">
        <is>
          <t>2024-05-02</t>
        </is>
      </c>
      <c r="C3649" t="inlineStr">
        <is>
          <t>13:24</t>
        </is>
      </c>
      <c r="D3649" t="inlineStr">
        <is>
          <t>n° 10 + n° 11</t>
        </is>
      </c>
      <c r="E3649" t="inlineStr">
        <is>
          <t>SAUCE CHOCO/CAFE/CAR</t>
        </is>
      </c>
      <c r="F3649" t="n">
        <v>2.4</v>
      </c>
      <c r="G3649" t="inlineStr">
        <is>
          <t>n° 10 : 0,50 + n° 11 : 0,50</t>
        </is>
      </c>
      <c r="H3649" t="n">
        <v>1</v>
      </c>
    </row>
    <row r="3650">
      <c r="A3650" t="inlineStr">
        <is>
          <t>2024-2025</t>
        </is>
      </c>
      <c r="B3650" t="inlineStr">
        <is>
          <t>2024-05-02</t>
        </is>
      </c>
      <c r="C3650" t="inlineStr">
        <is>
          <t>13:24</t>
        </is>
      </c>
      <c r="D3650" t="inlineStr">
        <is>
          <t>n° 10 + n° 11</t>
        </is>
      </c>
      <c r="E3650" t="inlineStr">
        <is>
          <t>Chantilly</t>
        </is>
      </c>
      <c r="F3650" t="n">
        <v>2</v>
      </c>
      <c r="G3650" t="inlineStr">
        <is>
          <t>n° 10 : 0,50 + n° 11 : 0,50</t>
        </is>
      </c>
      <c r="H3650" t="n">
        <v>1</v>
      </c>
    </row>
    <row r="3651">
      <c r="A3651" t="inlineStr">
        <is>
          <t>2024-2025</t>
        </is>
      </c>
      <c r="B3651" t="inlineStr">
        <is>
          <t>2024-05-03</t>
        </is>
      </c>
      <c r="C3651" t="inlineStr">
        <is>
          <t>12:53</t>
        </is>
      </c>
      <c r="D3651" t="inlineStr">
        <is>
          <t>n° 7 + n° 8</t>
        </is>
      </c>
      <c r="E3651" t="inlineStr">
        <is>
          <t>Negly la Clape</t>
        </is>
      </c>
      <c r="F3651" t="n">
        <v>29</v>
      </c>
      <c r="G3651" t="inlineStr">
        <is>
          <t>n° 7 : 0,50 + n° 8 : 0,50</t>
        </is>
      </c>
      <c r="H3651" t="n">
        <v>1</v>
      </c>
    </row>
    <row r="3652">
      <c r="A3652" t="inlineStr">
        <is>
          <t>2024-2025</t>
        </is>
      </c>
      <c r="B3652" t="inlineStr">
        <is>
          <t>2024-05-03</t>
        </is>
      </c>
      <c r="C3652" t="inlineStr">
        <is>
          <t>20:18</t>
        </is>
      </c>
      <c r="D3652" t="inlineStr">
        <is>
          <t>n° 18 + n° 19</t>
        </is>
      </c>
      <c r="E3652" t="inlineStr">
        <is>
          <t>BURGER COMTOIS</t>
        </is>
      </c>
      <c r="F3652" t="n">
        <v>19</v>
      </c>
      <c r="G3652" t="inlineStr">
        <is>
          <t>n° 18 : 0,50 + n° 19 : 0,50</t>
        </is>
      </c>
      <c r="H3652" t="n">
        <v>1</v>
      </c>
    </row>
    <row r="3653">
      <c r="A3653" t="inlineStr">
        <is>
          <t>2024-2025</t>
        </is>
      </c>
      <c r="B3653" t="inlineStr">
        <is>
          <t>2024-05-03</t>
        </is>
      </c>
      <c r="C3653" t="inlineStr">
        <is>
          <t>20:18</t>
        </is>
      </c>
      <c r="D3653" t="inlineStr">
        <is>
          <t>n° 18 + n° 19</t>
        </is>
      </c>
      <c r="E3653" t="inlineStr">
        <is>
          <t>TRUITE JURASSIENNE</t>
        </is>
      </c>
      <c r="F3653" t="n">
        <v>18.6</v>
      </c>
      <c r="G3653" t="inlineStr">
        <is>
          <t>n° 18 : 0,50 + n° 19 : 0,50</t>
        </is>
      </c>
      <c r="H3653" t="n">
        <v>1</v>
      </c>
    </row>
    <row r="3654">
      <c r="A3654" t="inlineStr">
        <is>
          <t>2024-2025</t>
        </is>
      </c>
      <c r="B3654" t="inlineStr">
        <is>
          <t>2024-05-03</t>
        </is>
      </c>
      <c r="C3654" t="inlineStr">
        <is>
          <t>20:18</t>
        </is>
      </c>
      <c r="D3654" t="inlineStr">
        <is>
          <t>n° 18 + n° 19</t>
        </is>
      </c>
      <c r="E3654" t="inlineStr">
        <is>
          <t>Pichet CdR CHUSCLAN</t>
        </is>
      </c>
      <c r="F3654" t="n">
        <v>9.5</v>
      </c>
      <c r="G3654" t="inlineStr">
        <is>
          <t>n° 18 : 0,50 + n° 19 : 0,50</t>
        </is>
      </c>
      <c r="H3654" t="n">
        <v>1</v>
      </c>
    </row>
    <row r="3655">
      <c r="A3655" t="inlineStr">
        <is>
          <t>2024-2025</t>
        </is>
      </c>
      <c r="B3655" t="inlineStr">
        <is>
          <t>2024-05-03</t>
        </is>
      </c>
      <c r="C3655" t="inlineStr">
        <is>
          <t>20:18</t>
        </is>
      </c>
      <c r="D3655" t="inlineStr">
        <is>
          <t>n° 18 + n° 19</t>
        </is>
      </c>
      <c r="E3655" t="inlineStr">
        <is>
          <t>Macvin du Jura</t>
        </is>
      </c>
      <c r="F3655" t="n">
        <v>5.9</v>
      </c>
      <c r="G3655" t="inlineStr">
        <is>
          <t>n° 18 : 0,50 + n° 19 : 0,50</t>
        </is>
      </c>
      <c r="H3655" t="n">
        <v>1</v>
      </c>
    </row>
    <row r="3656">
      <c r="A3656" t="inlineStr">
        <is>
          <t>2024-2025</t>
        </is>
      </c>
      <c r="B3656" t="inlineStr">
        <is>
          <t>2024-05-03</t>
        </is>
      </c>
      <c r="C3656" t="inlineStr">
        <is>
          <t>20:18</t>
        </is>
      </c>
      <c r="D3656" t="inlineStr">
        <is>
          <t>n° 18 + n° 19</t>
        </is>
      </c>
      <c r="E3656" t="inlineStr">
        <is>
          <t>Père Gregoire</t>
        </is>
      </c>
      <c r="F3656" t="n">
        <v>5.9</v>
      </c>
      <c r="G3656" t="inlineStr">
        <is>
          <t>n° 18 : 0,50 + n° 19 : 0,50</t>
        </is>
      </c>
      <c r="H3656" t="n">
        <v>1</v>
      </c>
    </row>
    <row r="3657">
      <c r="A3657" t="inlineStr">
        <is>
          <t>2024-2025</t>
        </is>
      </c>
      <c r="B3657" t="inlineStr">
        <is>
          <t>2024-05-03</t>
        </is>
      </c>
      <c r="C3657" t="inlineStr">
        <is>
          <t>20:18</t>
        </is>
      </c>
      <c r="D3657" t="inlineStr">
        <is>
          <t>n° 18 + n° 19</t>
        </is>
      </c>
      <c r="E3657" t="inlineStr">
        <is>
          <t>KITTYKIR</t>
        </is>
      </c>
      <c r="F3657" t="n">
        <v>5.2</v>
      </c>
      <c r="G3657" t="inlineStr">
        <is>
          <t>n° 18 : 0,50 + n° 19 : 0,50</t>
        </is>
      </c>
      <c r="H3657" t="n">
        <v>1</v>
      </c>
    </row>
    <row r="3658">
      <c r="A3658" t="inlineStr">
        <is>
          <t>2024-2025</t>
        </is>
      </c>
      <c r="B3658" t="inlineStr">
        <is>
          <t>2024-05-03</t>
        </is>
      </c>
      <c r="C3658" t="inlineStr">
        <is>
          <t>20:18</t>
        </is>
      </c>
      <c r="D3658" t="inlineStr">
        <is>
          <t>n° 18 + n° 19</t>
        </is>
      </c>
      <c r="E3658" t="inlineStr">
        <is>
          <t>Pontarlier</t>
        </is>
      </c>
      <c r="F3658" t="n">
        <v>4.2</v>
      </c>
      <c r="G3658" t="inlineStr">
        <is>
          <t>n° 18 : 0,50 + n° 19 : 0,50</t>
        </is>
      </c>
      <c r="H3658" t="n">
        <v>1</v>
      </c>
    </row>
    <row r="3659">
      <c r="A3659" t="inlineStr">
        <is>
          <t>2024-2025</t>
        </is>
      </c>
      <c r="B3659" t="inlineStr">
        <is>
          <t>2024-05-03</t>
        </is>
      </c>
      <c r="C3659" t="inlineStr">
        <is>
          <t>20:18</t>
        </is>
      </c>
      <c r="D3659" t="inlineStr">
        <is>
          <t>n° 18 + n° 19</t>
        </is>
      </c>
      <c r="E3659" t="inlineStr">
        <is>
          <t>POMMES FRITES</t>
        </is>
      </c>
      <c r="F3659" t="n">
        <v>3.9</v>
      </c>
      <c r="G3659" t="inlineStr">
        <is>
          <t>n° 18 : 0,50 + n° 19 : 0,50</t>
        </is>
      </c>
      <c r="H3659" t="n">
        <v>1</v>
      </c>
    </row>
    <row r="3660">
      <c r="A3660" t="inlineStr">
        <is>
          <t>2024-2025</t>
        </is>
      </c>
      <c r="B3660" t="inlineStr">
        <is>
          <t>2024-05-03</t>
        </is>
      </c>
      <c r="C3660" t="inlineStr">
        <is>
          <t>20:40</t>
        </is>
      </c>
      <c r="D3660" t="inlineStr">
        <is>
          <t>n° 24 + n° 25</t>
        </is>
      </c>
      <c r="E3660" t="inlineStr">
        <is>
          <t>Menu Végétarien</t>
        </is>
      </c>
      <c r="F3660" t="n">
        <v>26.5</v>
      </c>
      <c r="G3660" t="inlineStr">
        <is>
          <t>n° 24 : 0,50 + n° 25 : 0,50</t>
        </is>
      </c>
      <c r="H3660" t="n">
        <v>1</v>
      </c>
    </row>
    <row r="3661">
      <c r="A3661" t="inlineStr">
        <is>
          <t>2024-2025</t>
        </is>
      </c>
      <c r="B3661" t="inlineStr">
        <is>
          <t>2024-05-03</t>
        </is>
      </c>
      <c r="C3661" t="inlineStr">
        <is>
          <t>20:40</t>
        </is>
      </c>
      <c r="D3661" t="inlineStr">
        <is>
          <t>n° 24 + n° 25</t>
        </is>
      </c>
      <c r="E3661" t="inlineStr">
        <is>
          <t>ASSIETTE PERE GREGOI</t>
        </is>
      </c>
      <c r="F3661" t="n">
        <v>18.6</v>
      </c>
      <c r="G3661" t="inlineStr">
        <is>
          <t>n° 24 : 0,50 + n° 25 : 0,50</t>
        </is>
      </c>
      <c r="H3661" t="n">
        <v>1</v>
      </c>
    </row>
    <row r="3662">
      <c r="A3662" t="inlineStr">
        <is>
          <t>2024-2025</t>
        </is>
      </c>
      <c r="B3662" t="inlineStr">
        <is>
          <t>2024-05-03</t>
        </is>
      </c>
      <c r="C3662" t="inlineStr">
        <is>
          <t>20:40</t>
        </is>
      </c>
      <c r="D3662" t="inlineStr">
        <is>
          <t>n° 24 + n° 25</t>
        </is>
      </c>
      <c r="E3662" t="inlineStr">
        <is>
          <t>FLAMME</t>
        </is>
      </c>
      <c r="F3662" t="n">
        <v>9.300000000000001</v>
      </c>
      <c r="G3662" t="inlineStr">
        <is>
          <t>n° 24 : 0,50 + n° 25 : 0,50</t>
        </is>
      </c>
      <c r="H3662" t="n">
        <v>1</v>
      </c>
    </row>
    <row r="3663">
      <c r="A3663" t="inlineStr">
        <is>
          <t>2024-2025</t>
        </is>
      </c>
      <c r="B3663" t="inlineStr">
        <is>
          <t>2024-05-03</t>
        </is>
      </c>
      <c r="C3663" t="inlineStr">
        <is>
          <t>20:40</t>
        </is>
      </c>
      <c r="D3663" t="inlineStr">
        <is>
          <t>n° 24 + n° 25</t>
        </is>
      </c>
      <c r="E3663" t="inlineStr">
        <is>
          <t>Chat perché</t>
        </is>
      </c>
      <c r="F3663" t="n">
        <v>5.9</v>
      </c>
      <c r="G3663" t="inlineStr">
        <is>
          <t>n° 24 : 1,50 + n° 25 : 1,50</t>
        </is>
      </c>
      <c r="H3663" t="n">
        <v>3</v>
      </c>
    </row>
    <row r="3664">
      <c r="A3664" t="inlineStr">
        <is>
          <t>2024-2025</t>
        </is>
      </c>
      <c r="B3664" t="inlineStr">
        <is>
          <t>2024-05-03</t>
        </is>
      </c>
      <c r="C3664" t="inlineStr">
        <is>
          <t>20:40</t>
        </is>
      </c>
      <c r="D3664" t="inlineStr">
        <is>
          <t>n° 24 + n° 25</t>
        </is>
      </c>
      <c r="E3664" t="inlineStr">
        <is>
          <t>Macvin du Jura</t>
        </is>
      </c>
      <c r="F3664" t="n">
        <v>5.9</v>
      </c>
      <c r="G3664" t="inlineStr">
        <is>
          <t>n° 24 : 0,50 + n° 25 : 0,50</t>
        </is>
      </c>
      <c r="H3664" t="n">
        <v>1</v>
      </c>
    </row>
    <row r="3665">
      <c r="A3665" t="inlineStr">
        <is>
          <t>2024-2025</t>
        </is>
      </c>
      <c r="B3665" t="inlineStr">
        <is>
          <t>2024-05-03</t>
        </is>
      </c>
      <c r="C3665" t="inlineStr">
        <is>
          <t>20:40</t>
        </is>
      </c>
      <c r="D3665" t="inlineStr">
        <is>
          <t>n° 24 + n° 25</t>
        </is>
      </c>
      <c r="E3665" t="inlineStr">
        <is>
          <t>Panaché</t>
        </is>
      </c>
      <c r="F3665" t="n">
        <v>4.2</v>
      </c>
      <c r="G3665" t="inlineStr">
        <is>
          <t>n° 24 : 0,50 + n° 25 : 0,50</t>
        </is>
      </c>
      <c r="H3665" t="n">
        <v>1</v>
      </c>
    </row>
    <row r="3666">
      <c r="A3666" t="inlineStr">
        <is>
          <t>2024-2025</t>
        </is>
      </c>
      <c r="B3666" t="inlineStr">
        <is>
          <t>2024-05-03</t>
        </is>
      </c>
      <c r="C3666" t="inlineStr">
        <is>
          <t>20:40</t>
        </is>
      </c>
      <c r="D3666" t="inlineStr">
        <is>
          <t>n° 24 + n° 25</t>
        </is>
      </c>
      <c r="E3666" t="inlineStr">
        <is>
          <t>Verre Rosé</t>
        </is>
      </c>
      <c r="F3666" t="n">
        <v>3.9</v>
      </c>
      <c r="G3666" t="inlineStr">
        <is>
          <t>n° 24 : 0,50 + n° 25 : 0,50</t>
        </is>
      </c>
      <c r="H3666" t="n">
        <v>1</v>
      </c>
    </row>
    <row r="3667">
      <c r="A3667" t="inlineStr">
        <is>
          <t>2024-2025</t>
        </is>
      </c>
      <c r="B3667" t="inlineStr">
        <is>
          <t>2024-05-04</t>
        </is>
      </c>
      <c r="C3667" t="inlineStr">
        <is>
          <t>11:37</t>
        </is>
      </c>
      <c r="D3667" t="inlineStr">
        <is>
          <t>n° 3 + n° 4</t>
        </is>
      </c>
      <c r="E3667" t="inlineStr">
        <is>
          <t>MACHON GOURMET</t>
        </is>
      </c>
      <c r="F3667" t="n">
        <v>25</v>
      </c>
      <c r="G3667" t="inlineStr">
        <is>
          <t>n° 3 : 0,50 + n° 4 : 0,50</t>
        </is>
      </c>
      <c r="H3667" t="n">
        <v>1</v>
      </c>
    </row>
    <row r="3668">
      <c r="A3668" t="inlineStr">
        <is>
          <t>2024-2025</t>
        </is>
      </c>
      <c r="B3668" t="inlineStr">
        <is>
          <t>2024-05-04</t>
        </is>
      </c>
      <c r="C3668" t="inlineStr">
        <is>
          <t>11:37</t>
        </is>
      </c>
      <c r="D3668" t="inlineStr">
        <is>
          <t>n° 3 + n° 4</t>
        </is>
      </c>
      <c r="E3668" t="inlineStr">
        <is>
          <t>CAMEMBERT ROTI</t>
        </is>
      </c>
      <c r="F3668" t="n">
        <v>18.6</v>
      </c>
      <c r="G3668" t="inlineStr">
        <is>
          <t>n° 3 : 0,50 + n° 4 : 0,50</t>
        </is>
      </c>
      <c r="H3668" t="n">
        <v>1</v>
      </c>
    </row>
    <row r="3669">
      <c r="A3669" t="inlineStr">
        <is>
          <t>2024-2025</t>
        </is>
      </c>
      <c r="B3669" t="inlineStr">
        <is>
          <t>2024-05-04</t>
        </is>
      </c>
      <c r="C3669" t="inlineStr">
        <is>
          <t>11:37</t>
        </is>
      </c>
      <c r="D3669" t="inlineStr">
        <is>
          <t>n° 3 + n° 4</t>
        </is>
      </c>
      <c r="E3669" t="inlineStr">
        <is>
          <t>Expresso</t>
        </is>
      </c>
      <c r="F3669" t="n">
        <v>2.2</v>
      </c>
      <c r="G3669" t="inlineStr">
        <is>
          <t>n° 3 : 0,50 + n° 4 : 0,50</t>
        </is>
      </c>
      <c r="H3669" t="n">
        <v>1</v>
      </c>
    </row>
    <row r="3670">
      <c r="A3670" t="inlineStr">
        <is>
          <t>2024-2025</t>
        </is>
      </c>
      <c r="B3670" t="inlineStr">
        <is>
          <t>2024-05-04</t>
        </is>
      </c>
      <c r="C3670" t="inlineStr">
        <is>
          <t>19:07</t>
        </is>
      </c>
      <c r="D3670" t="inlineStr">
        <is>
          <t>n° 16 + n° 17</t>
        </is>
      </c>
      <c r="E3670" t="inlineStr">
        <is>
          <t>MACHON GOURMET</t>
        </is>
      </c>
      <c r="F3670" t="n">
        <v>25</v>
      </c>
      <c r="G3670" t="inlineStr">
        <is>
          <t>n° 16 : 0,50 + n° 17 : 0,50</t>
        </is>
      </c>
      <c r="H3670" t="n">
        <v>1</v>
      </c>
    </row>
    <row r="3671">
      <c r="A3671" t="inlineStr">
        <is>
          <t>2024-2025</t>
        </is>
      </c>
      <c r="B3671" t="inlineStr">
        <is>
          <t>2024-05-04</t>
        </is>
      </c>
      <c r="C3671" t="inlineStr">
        <is>
          <t>19:07</t>
        </is>
      </c>
      <c r="D3671" t="inlineStr">
        <is>
          <t>n° 16 + n° 17</t>
        </is>
      </c>
      <c r="E3671" t="inlineStr">
        <is>
          <t>Crémeux du Jura</t>
        </is>
      </c>
      <c r="F3671" t="n">
        <v>19</v>
      </c>
      <c r="G3671" t="inlineStr">
        <is>
          <t>n° 16 : 0,50 + n° 17 : 0,50</t>
        </is>
      </c>
      <c r="H3671" t="n">
        <v>1</v>
      </c>
    </row>
    <row r="3672">
      <c r="A3672" t="inlineStr">
        <is>
          <t>2024-2025</t>
        </is>
      </c>
      <c r="B3672" t="inlineStr">
        <is>
          <t>2024-05-04</t>
        </is>
      </c>
      <c r="C3672" t="inlineStr">
        <is>
          <t>19:07</t>
        </is>
      </c>
      <c r="D3672" t="inlineStr">
        <is>
          <t>n° 16 + n° 17</t>
        </is>
      </c>
      <c r="E3672" t="inlineStr">
        <is>
          <t>Père Gregoire</t>
        </is>
      </c>
      <c r="F3672" t="n">
        <v>5.9</v>
      </c>
      <c r="G3672" t="inlineStr">
        <is>
          <t>n° 16 : 0,50 + n° 17 : 0,50</t>
        </is>
      </c>
      <c r="H3672" t="n">
        <v>1</v>
      </c>
    </row>
    <row r="3673">
      <c r="A3673" t="inlineStr">
        <is>
          <t>2024-2025</t>
        </is>
      </c>
      <c r="B3673" t="inlineStr">
        <is>
          <t>2024-05-04</t>
        </is>
      </c>
      <c r="C3673" t="inlineStr">
        <is>
          <t>19:07</t>
        </is>
      </c>
      <c r="D3673" t="inlineStr">
        <is>
          <t>n° 16 + n° 17</t>
        </is>
      </c>
      <c r="E3673" t="inlineStr">
        <is>
          <t>La Vouivre</t>
        </is>
      </c>
      <c r="F3673" t="n">
        <v>5.9</v>
      </c>
      <c r="G3673" t="inlineStr">
        <is>
          <t>n° 16 : 0,50 + n° 17 : 0,50</t>
        </is>
      </c>
      <c r="H3673" t="n">
        <v>1</v>
      </c>
    </row>
    <row r="3674">
      <c r="A3674" t="inlineStr">
        <is>
          <t>2024-2025</t>
        </is>
      </c>
      <c r="B3674" t="inlineStr">
        <is>
          <t>2024-05-04</t>
        </is>
      </c>
      <c r="C3674" t="inlineStr">
        <is>
          <t>19:07</t>
        </is>
      </c>
      <c r="D3674" t="inlineStr">
        <is>
          <t>n° 16 + n° 17</t>
        </is>
      </c>
      <c r="E3674" t="inlineStr">
        <is>
          <t>Crêpe Nutella</t>
        </is>
      </c>
      <c r="F3674" t="n">
        <v>4.9</v>
      </c>
      <c r="G3674" t="inlineStr">
        <is>
          <t>n° 16 : 0,50 + n° 17 : 0,50</t>
        </is>
      </c>
      <c r="H3674" t="n">
        <v>1</v>
      </c>
    </row>
    <row r="3675">
      <c r="A3675" t="inlineStr">
        <is>
          <t>2024-2025</t>
        </is>
      </c>
      <c r="B3675" t="inlineStr">
        <is>
          <t>2024-05-08</t>
        </is>
      </c>
      <c r="C3675" t="inlineStr">
        <is>
          <t>20:13</t>
        </is>
      </c>
      <c r="D3675" t="inlineStr">
        <is>
          <t>n° 24 + n° 25</t>
        </is>
      </c>
      <c r="E3675" t="inlineStr">
        <is>
          <t>Alsace Gewurztramine</t>
        </is>
      </c>
      <c r="F3675" t="n">
        <v>35</v>
      </c>
      <c r="G3675" t="inlineStr">
        <is>
          <t>n° 24 : 0,50 + n° 25 : 0,50</t>
        </is>
      </c>
      <c r="H3675" t="n">
        <v>1</v>
      </c>
    </row>
    <row r="3676">
      <c r="A3676" t="inlineStr">
        <is>
          <t>2024-2025</t>
        </is>
      </c>
      <c r="B3676" t="inlineStr">
        <is>
          <t>2024-05-08</t>
        </is>
      </c>
      <c r="C3676" t="inlineStr">
        <is>
          <t>20:13</t>
        </is>
      </c>
      <c r="D3676" t="inlineStr">
        <is>
          <t>n° 24 + n° 25</t>
        </is>
      </c>
      <c r="E3676" t="inlineStr">
        <is>
          <t>Poulet aux Morilles</t>
        </is>
      </c>
      <c r="F3676" t="n">
        <v>28.6</v>
      </c>
      <c r="G3676" t="inlineStr">
        <is>
          <t>n° 24 : 0,50 + n° 25 : 0,50</t>
        </is>
      </c>
      <c r="H3676" t="n">
        <v>1</v>
      </c>
    </row>
    <row r="3677">
      <c r="A3677" t="inlineStr">
        <is>
          <t>2024-2025</t>
        </is>
      </c>
      <c r="B3677" t="inlineStr">
        <is>
          <t>2024-05-08</t>
        </is>
      </c>
      <c r="C3677" t="inlineStr">
        <is>
          <t>20:13</t>
        </is>
      </c>
      <c r="D3677" t="inlineStr">
        <is>
          <t>n° 24 + n° 25</t>
        </is>
      </c>
      <c r="E3677" t="inlineStr">
        <is>
          <t>CANCOINE</t>
        </is>
      </c>
      <c r="F3677" t="n">
        <v>25.5</v>
      </c>
      <c r="G3677" t="inlineStr">
        <is>
          <t>n° 24 : 0,50 + n° 25 : 0,50</t>
        </is>
      </c>
      <c r="H3677" t="n">
        <v>1</v>
      </c>
    </row>
    <row r="3678">
      <c r="A3678" t="inlineStr">
        <is>
          <t>2024-2025</t>
        </is>
      </c>
      <c r="B3678" t="inlineStr">
        <is>
          <t>2024-05-08</t>
        </is>
      </c>
      <c r="C3678" t="inlineStr">
        <is>
          <t>20:13</t>
        </is>
      </c>
      <c r="D3678" t="inlineStr">
        <is>
          <t>n° 24 + n° 25</t>
        </is>
      </c>
      <c r="E3678" t="inlineStr">
        <is>
          <t>MORTEAU GRILLEE</t>
        </is>
      </c>
      <c r="F3678" t="n">
        <v>18.6</v>
      </c>
      <c r="G3678" t="inlineStr">
        <is>
          <t>n° 24 : 0,50 + n° 25 : 0,50</t>
        </is>
      </c>
      <c r="H3678" t="n">
        <v>1</v>
      </c>
    </row>
    <row r="3679">
      <c r="A3679" t="inlineStr">
        <is>
          <t>2024-2025</t>
        </is>
      </c>
      <c r="B3679" t="inlineStr">
        <is>
          <t>2024-05-08</t>
        </is>
      </c>
      <c r="C3679" t="inlineStr">
        <is>
          <t>20:13</t>
        </is>
      </c>
      <c r="D3679" t="inlineStr">
        <is>
          <t>n° 24 + n° 25</t>
        </is>
      </c>
      <c r="E3679" t="inlineStr">
        <is>
          <t>LIGOUSE</t>
        </is>
      </c>
      <c r="F3679" t="n">
        <v>16.6</v>
      </c>
      <c r="G3679" t="inlineStr">
        <is>
          <t>n° 24 : 0,50 + n° 25 : 0,50</t>
        </is>
      </c>
      <c r="H3679" t="n">
        <v>1</v>
      </c>
    </row>
    <row r="3680">
      <c r="A3680" t="inlineStr">
        <is>
          <t>2024-2025</t>
        </is>
      </c>
      <c r="B3680" t="inlineStr">
        <is>
          <t>2024-05-08</t>
        </is>
      </c>
      <c r="C3680" t="inlineStr">
        <is>
          <t>20:13</t>
        </is>
      </c>
      <c r="D3680" t="inlineStr">
        <is>
          <t>n° 24 + n° 25</t>
        </is>
      </c>
      <c r="E3680" t="inlineStr">
        <is>
          <t>Crêpe Salidou</t>
        </is>
      </c>
      <c r="F3680" t="n">
        <v>6.4</v>
      </c>
      <c r="G3680" t="inlineStr">
        <is>
          <t>n° 24 : 0,50 + n° 25 : 0,50</t>
        </is>
      </c>
      <c r="H3680" t="n">
        <v>1</v>
      </c>
    </row>
    <row r="3681">
      <c r="A3681" t="inlineStr">
        <is>
          <t>2024-2025</t>
        </is>
      </c>
      <c r="B3681" t="inlineStr">
        <is>
          <t>2024-05-08</t>
        </is>
      </c>
      <c r="C3681" t="inlineStr">
        <is>
          <t>20:13</t>
        </is>
      </c>
      <c r="D3681" t="inlineStr">
        <is>
          <t>n° 24 + n° 25</t>
        </is>
      </c>
      <c r="E3681" t="inlineStr">
        <is>
          <t>Luna</t>
        </is>
      </c>
      <c r="F3681" t="n">
        <v>6</v>
      </c>
      <c r="G3681" t="inlineStr">
        <is>
          <t>n° 24 : 0,50 + n° 25 : 0,50</t>
        </is>
      </c>
      <c r="H3681" t="n">
        <v>1</v>
      </c>
    </row>
    <row r="3682">
      <c r="A3682" t="inlineStr">
        <is>
          <t>2024-2025</t>
        </is>
      </c>
      <c r="B3682" t="inlineStr">
        <is>
          <t>2024-05-08</t>
        </is>
      </c>
      <c r="C3682" t="inlineStr">
        <is>
          <t>20:13</t>
        </is>
      </c>
      <c r="D3682" t="inlineStr">
        <is>
          <t>n° 24 + n° 25</t>
        </is>
      </c>
      <c r="E3682" t="inlineStr">
        <is>
          <t>Crêpe Confiture</t>
        </is>
      </c>
      <c r="F3682" t="n">
        <v>5.4</v>
      </c>
      <c r="G3682" t="inlineStr">
        <is>
          <t>n° 24 : 0,50 + n° 25 : 0,50</t>
        </is>
      </c>
      <c r="H3682" t="n">
        <v>1</v>
      </c>
    </row>
    <row r="3683">
      <c r="A3683" t="inlineStr">
        <is>
          <t>2024-2025</t>
        </is>
      </c>
      <c r="B3683" t="inlineStr">
        <is>
          <t>2024-05-08</t>
        </is>
      </c>
      <c r="C3683" t="inlineStr">
        <is>
          <t>20:13</t>
        </is>
      </c>
      <c r="D3683" t="inlineStr">
        <is>
          <t>n° 24 + n° 25</t>
        </is>
      </c>
      <c r="E3683" t="inlineStr">
        <is>
          <t>Crêpe Nutella</t>
        </is>
      </c>
      <c r="F3683" t="n">
        <v>4.9</v>
      </c>
      <c r="G3683" t="inlineStr">
        <is>
          <t>n° 24 : 0,50 + n° 25 : 0,50</t>
        </is>
      </c>
      <c r="H3683" t="n">
        <v>1</v>
      </c>
    </row>
    <row r="3684">
      <c r="A3684" t="inlineStr">
        <is>
          <t>2024-2025</t>
        </is>
      </c>
      <c r="B3684" t="inlineStr">
        <is>
          <t>2024-05-08</t>
        </is>
      </c>
      <c r="C3684" t="inlineStr">
        <is>
          <t>20:13</t>
        </is>
      </c>
      <c r="D3684" t="inlineStr">
        <is>
          <t>n° 24 + n° 25</t>
        </is>
      </c>
      <c r="E3684" t="inlineStr">
        <is>
          <t>Coca (25cl)</t>
        </is>
      </c>
      <c r="F3684" t="n">
        <v>3.9</v>
      </c>
      <c r="G3684" t="inlineStr">
        <is>
          <t>n° 24 : 0,50 + n° 25 : 0,50</t>
        </is>
      </c>
      <c r="H3684" t="n">
        <v>1</v>
      </c>
    </row>
    <row r="3685">
      <c r="A3685" t="inlineStr">
        <is>
          <t>2024-2025</t>
        </is>
      </c>
      <c r="B3685" t="inlineStr">
        <is>
          <t>2024-05-08</t>
        </is>
      </c>
      <c r="C3685" t="inlineStr">
        <is>
          <t>20:13</t>
        </is>
      </c>
      <c r="D3685" t="inlineStr">
        <is>
          <t>n° 24 + n° 25</t>
        </is>
      </c>
      <c r="E3685" t="inlineStr">
        <is>
          <t>Infusion</t>
        </is>
      </c>
      <c r="F3685" t="n">
        <v>3.4</v>
      </c>
      <c r="G3685" t="inlineStr">
        <is>
          <t>n° 24 : 0,50 + n° 25 : 0,50</t>
        </is>
      </c>
      <c r="H3685" t="n">
        <v>1</v>
      </c>
    </row>
    <row r="3686">
      <c r="A3686" t="inlineStr">
        <is>
          <t>2024-2025</t>
        </is>
      </c>
      <c r="B3686" t="inlineStr">
        <is>
          <t>2024-05-08</t>
        </is>
      </c>
      <c r="C3686" t="inlineStr">
        <is>
          <t>20:13</t>
        </is>
      </c>
      <c r="D3686" t="inlineStr">
        <is>
          <t>n° 24 + n° 25</t>
        </is>
      </c>
      <c r="E3686" t="inlineStr">
        <is>
          <t>Œuf</t>
        </is>
      </c>
      <c r="F3686" t="n">
        <v>0.9</v>
      </c>
      <c r="G3686" t="inlineStr">
        <is>
          <t>n° 24 : 0,50 + n° 25 : 0,50</t>
        </is>
      </c>
      <c r="H3686" t="n">
        <v>1</v>
      </c>
    </row>
    <row r="3687">
      <c r="A3687" t="inlineStr">
        <is>
          <t>2024-2025</t>
        </is>
      </c>
      <c r="B3687" t="inlineStr">
        <is>
          <t>2024-05-09</t>
        </is>
      </c>
      <c r="C3687" t="inlineStr">
        <is>
          <t>13:01</t>
        </is>
      </c>
      <c r="D3687" t="inlineStr">
        <is>
          <t>n° 11 + n° 12</t>
        </is>
      </c>
      <c r="E3687" t="inlineStr">
        <is>
          <t>Pavlova</t>
        </is>
      </c>
      <c r="F3687" t="n">
        <v>8.9</v>
      </c>
      <c r="G3687" t="inlineStr">
        <is>
          <t>n° 11 : 0,50 + n° 12 : 0,50</t>
        </is>
      </c>
      <c r="H3687" t="n">
        <v>1</v>
      </c>
    </row>
    <row r="3688">
      <c r="A3688" t="inlineStr">
        <is>
          <t>2024-2025</t>
        </is>
      </c>
      <c r="B3688" t="inlineStr">
        <is>
          <t>2024-05-09</t>
        </is>
      </c>
      <c r="C3688" t="inlineStr">
        <is>
          <t>13:01</t>
        </is>
      </c>
      <c r="D3688" t="inlineStr">
        <is>
          <t>n° 11 + n° 12</t>
        </is>
      </c>
      <c r="E3688" t="inlineStr">
        <is>
          <t>La Vouivre</t>
        </is>
      </c>
      <c r="F3688" t="n">
        <v>5.9</v>
      </c>
      <c r="G3688" t="inlineStr">
        <is>
          <t>n° 11 : 0,50 + n° 12 : 0,50</t>
        </is>
      </c>
      <c r="H3688" t="n">
        <v>1</v>
      </c>
    </row>
    <row r="3689">
      <c r="A3689" t="inlineStr">
        <is>
          <t>2024-2025</t>
        </is>
      </c>
      <c r="B3689" t="inlineStr">
        <is>
          <t>2024-05-09</t>
        </is>
      </c>
      <c r="C3689" t="inlineStr">
        <is>
          <t>13:01</t>
        </is>
      </c>
      <c r="D3689" t="inlineStr">
        <is>
          <t>n° 11 + n° 12</t>
        </is>
      </c>
      <c r="E3689" t="inlineStr">
        <is>
          <t>Kir Bourgogne</t>
        </is>
      </c>
      <c r="F3689" t="n">
        <v>4.2</v>
      </c>
      <c r="G3689" t="inlineStr">
        <is>
          <t>n° 11 : 0,50 + n° 12 : 0,50</t>
        </is>
      </c>
      <c r="H3689" t="n">
        <v>1</v>
      </c>
    </row>
    <row r="3690">
      <c r="A3690" t="inlineStr">
        <is>
          <t>2024-2025</t>
        </is>
      </c>
      <c r="B3690" t="inlineStr">
        <is>
          <t>2024-05-10</t>
        </is>
      </c>
      <c r="C3690" t="inlineStr">
        <is>
          <t>13:40</t>
        </is>
      </c>
      <c r="D3690" t="inlineStr">
        <is>
          <t>n° 12 + n° 13</t>
        </is>
      </c>
      <c r="E3690" t="inlineStr">
        <is>
          <t>La Vouivre</t>
        </is>
      </c>
      <c r="F3690" t="n">
        <v>5.9</v>
      </c>
      <c r="G3690" t="inlineStr">
        <is>
          <t>n° 12 : 1,50 + n° 13 : 1,50</t>
        </is>
      </c>
      <c r="H3690" t="n">
        <v>3</v>
      </c>
    </row>
    <row r="3691">
      <c r="A3691" t="inlineStr">
        <is>
          <t>2024-2025</t>
        </is>
      </c>
      <c r="B3691" t="inlineStr">
        <is>
          <t>2024-05-10</t>
        </is>
      </c>
      <c r="C3691" t="inlineStr">
        <is>
          <t>13:40</t>
        </is>
      </c>
      <c r="D3691" t="inlineStr">
        <is>
          <t>n° 12 + n° 13</t>
        </is>
      </c>
      <c r="E3691" t="inlineStr">
        <is>
          <t>KITTYKIR</t>
        </is>
      </c>
      <c r="F3691" t="n">
        <v>5.2</v>
      </c>
      <c r="G3691" t="inlineStr">
        <is>
          <t>n° 12 : 0,50 + n° 13 : 0,50</t>
        </is>
      </c>
      <c r="H3691" t="n">
        <v>1</v>
      </c>
    </row>
    <row r="3692">
      <c r="A3692" t="inlineStr">
        <is>
          <t>2024-2025</t>
        </is>
      </c>
      <c r="B3692" t="inlineStr">
        <is>
          <t>2024-05-10</t>
        </is>
      </c>
      <c r="C3692" t="inlineStr">
        <is>
          <t>20:15</t>
        </is>
      </c>
      <c r="D3692" t="inlineStr">
        <is>
          <t>n° 22 + n° 23 + n° 25 + n° 26</t>
        </is>
      </c>
      <c r="E3692" t="inlineStr">
        <is>
          <t>PAYSANNE</t>
        </is>
      </c>
      <c r="F3692" t="n">
        <v>19.9</v>
      </c>
      <c r="G3692" t="inlineStr">
        <is>
          <t>n° 22 : 0,50 + n° 23 : 0,50</t>
        </is>
      </c>
      <c r="H3692" t="n">
        <v>1</v>
      </c>
    </row>
    <row r="3693">
      <c r="A3693" t="inlineStr">
        <is>
          <t>2024-2025</t>
        </is>
      </c>
      <c r="B3693" t="inlineStr">
        <is>
          <t>2024-05-10</t>
        </is>
      </c>
      <c r="C3693" t="inlineStr">
        <is>
          <t>20:15</t>
        </is>
      </c>
      <c r="D3693" t="inlineStr">
        <is>
          <t>n° 22 + n° 23 + n° 25 + n° 26</t>
        </is>
      </c>
      <c r="E3693" t="inlineStr">
        <is>
          <t>CAMEMBERT ROTI</t>
        </is>
      </c>
      <c r="F3693" t="n">
        <v>18.6</v>
      </c>
      <c r="G3693" t="inlineStr">
        <is>
          <t>n° 22 : 0,50 + n° 23 : 0,50</t>
        </is>
      </c>
      <c r="H3693" t="n">
        <v>1</v>
      </c>
    </row>
    <row r="3694">
      <c r="A3694" t="inlineStr">
        <is>
          <t>2024-2025</t>
        </is>
      </c>
      <c r="B3694" t="inlineStr">
        <is>
          <t>2024-05-10</t>
        </is>
      </c>
      <c r="C3694" t="inlineStr">
        <is>
          <t>20:15</t>
        </is>
      </c>
      <c r="D3694" t="inlineStr">
        <is>
          <t>n° 22 + n° 23 + n° 25 + n° 26</t>
        </is>
      </c>
      <c r="E3694" t="inlineStr">
        <is>
          <t>TANTELIN</t>
        </is>
      </c>
      <c r="F3694" t="n">
        <v>17.4</v>
      </c>
      <c r="G3694" t="inlineStr">
        <is>
          <t>n° 25 : 0,50 + n° 26 : 0,50</t>
        </is>
      </c>
      <c r="H3694" t="n">
        <v>1</v>
      </c>
    </row>
    <row r="3695">
      <c r="A3695" t="inlineStr">
        <is>
          <t>2024-2025</t>
        </is>
      </c>
      <c r="B3695" t="inlineStr">
        <is>
          <t>2024-05-10</t>
        </is>
      </c>
      <c r="C3695" t="inlineStr">
        <is>
          <t>20:15</t>
        </is>
      </c>
      <c r="D3695" t="inlineStr">
        <is>
          <t>n° 22 + n° 23 + n° 25 + n° 26</t>
        </is>
      </c>
      <c r="E3695" t="inlineStr">
        <is>
          <t>ECRESSI</t>
        </is>
      </c>
      <c r="F3695" t="n">
        <v>15.5</v>
      </c>
      <c r="G3695" t="inlineStr">
        <is>
          <t>n° 25 : 0,50 + n° 26 : 0,50</t>
        </is>
      </c>
      <c r="H3695" t="n">
        <v>1</v>
      </c>
    </row>
    <row r="3696">
      <c r="A3696" t="inlineStr">
        <is>
          <t>2024-2025</t>
        </is>
      </c>
      <c r="B3696" t="inlineStr">
        <is>
          <t>2024-05-10</t>
        </is>
      </c>
      <c r="C3696" t="inlineStr">
        <is>
          <t>20:15</t>
        </is>
      </c>
      <c r="D3696" t="inlineStr">
        <is>
          <t>n° 22 + n° 23 + n° 25 + n° 26</t>
        </is>
      </c>
      <c r="E3696" t="inlineStr">
        <is>
          <t>BASILIC</t>
        </is>
      </c>
      <c r="F3696" t="n">
        <v>12.4</v>
      </c>
      <c r="G3696" t="inlineStr">
        <is>
          <t>n° 22 : 0,50 + n° 23 : 0,50</t>
        </is>
      </c>
      <c r="H3696" t="n">
        <v>1</v>
      </c>
    </row>
    <row r="3697">
      <c r="A3697" t="inlineStr">
        <is>
          <t>2024-2025</t>
        </is>
      </c>
      <c r="B3697" t="inlineStr">
        <is>
          <t>2024-05-10</t>
        </is>
      </c>
      <c r="C3697" t="inlineStr">
        <is>
          <t>20:15</t>
        </is>
      </c>
      <c r="D3697" t="inlineStr">
        <is>
          <t>n° 22 + n° 23 + n° 25 + n° 26</t>
        </is>
      </c>
      <c r="E3697" t="inlineStr">
        <is>
          <t>GLACE 3 BOULES</t>
        </is>
      </c>
      <c r="F3697" t="n">
        <v>7.9</v>
      </c>
      <c r="G3697" t="inlineStr">
        <is>
          <t>n° 22 : 0,50 + n° 23 : 0,50</t>
        </is>
      </c>
      <c r="H3697" t="n">
        <v>1</v>
      </c>
    </row>
    <row r="3698">
      <c r="A3698" t="inlineStr">
        <is>
          <t>2024-2025</t>
        </is>
      </c>
      <c r="B3698" t="inlineStr">
        <is>
          <t>2024-05-10</t>
        </is>
      </c>
      <c r="C3698" t="inlineStr">
        <is>
          <t>20:15</t>
        </is>
      </c>
      <c r="D3698" t="inlineStr">
        <is>
          <t>n° 22 + n° 23 + n° 25 + n° 26</t>
        </is>
      </c>
      <c r="E3698" t="inlineStr">
        <is>
          <t>Blanche des plateaux</t>
        </is>
      </c>
      <c r="F3698" t="n">
        <v>6.9</v>
      </c>
      <c r="G3698" t="inlineStr">
        <is>
          <t>n° 22 : 0,50 + n° 23 : 0,50</t>
        </is>
      </c>
      <c r="H3698" t="n">
        <v>1</v>
      </c>
    </row>
    <row r="3699">
      <c r="A3699" t="inlineStr">
        <is>
          <t>2024-2025</t>
        </is>
      </c>
      <c r="B3699" t="inlineStr">
        <is>
          <t>2024-05-10</t>
        </is>
      </c>
      <c r="C3699" t="inlineStr">
        <is>
          <t>20:15</t>
        </is>
      </c>
      <c r="D3699" t="inlineStr">
        <is>
          <t>n° 22 + n° 23 + n° 25 + n° 26</t>
        </is>
      </c>
      <c r="E3699" t="inlineStr">
        <is>
          <t>Luna</t>
        </is>
      </c>
      <c r="F3699" t="n">
        <v>6</v>
      </c>
      <c r="G3699" t="inlineStr">
        <is>
          <t>n° 22 : 0,50 + n° 23 : 0,50</t>
        </is>
      </c>
      <c r="H3699" t="n">
        <v>1</v>
      </c>
    </row>
    <row r="3700">
      <c r="A3700" t="inlineStr">
        <is>
          <t>2024-2025</t>
        </is>
      </c>
      <c r="B3700" t="inlineStr">
        <is>
          <t>2024-05-10</t>
        </is>
      </c>
      <c r="C3700" t="inlineStr">
        <is>
          <t>20:15</t>
        </is>
      </c>
      <c r="D3700" t="inlineStr">
        <is>
          <t>n° 22 + n° 23 + n° 25 + n° 26</t>
        </is>
      </c>
      <c r="E3700" t="inlineStr">
        <is>
          <t>Chat perché</t>
        </is>
      </c>
      <c r="F3700" t="n">
        <v>5.9</v>
      </c>
      <c r="G3700" t="inlineStr">
        <is>
          <t>n° 25 : 0,50 + n° 26 : 0,50</t>
        </is>
      </c>
      <c r="H3700" t="n">
        <v>1</v>
      </c>
    </row>
    <row r="3701">
      <c r="A3701" t="inlineStr">
        <is>
          <t>2024-2025</t>
        </is>
      </c>
      <c r="B3701" t="inlineStr">
        <is>
          <t>2024-05-10</t>
        </is>
      </c>
      <c r="C3701" t="inlineStr">
        <is>
          <t>20:15</t>
        </is>
      </c>
      <c r="D3701" t="inlineStr">
        <is>
          <t>n° 22 + n° 23 + n° 25 + n° 26</t>
        </is>
      </c>
      <c r="E3701" t="inlineStr">
        <is>
          <t>Martini Blanc</t>
        </is>
      </c>
      <c r="F3701" t="n">
        <v>4.9</v>
      </c>
      <c r="G3701" t="inlineStr">
        <is>
          <t>n° 25 : 0,50 + n° 26 : 0,50</t>
        </is>
      </c>
      <c r="H3701" t="n">
        <v>1</v>
      </c>
    </row>
    <row r="3702">
      <c r="A3702" t="inlineStr">
        <is>
          <t>2024-2025</t>
        </is>
      </c>
      <c r="B3702" t="inlineStr">
        <is>
          <t>2024-05-10</t>
        </is>
      </c>
      <c r="C3702" t="inlineStr">
        <is>
          <t>20:15</t>
        </is>
      </c>
      <c r="D3702" t="inlineStr">
        <is>
          <t>n° 22 + n° 23 + n° 25 + n° 26</t>
        </is>
      </c>
      <c r="E3702" t="inlineStr">
        <is>
          <t>Crêpe au sucre</t>
        </is>
      </c>
      <c r="F3702" t="n">
        <v>3.9</v>
      </c>
      <c r="G3702" t="inlineStr">
        <is>
          <t>n° 25 : 0,50 + n° 26 : 0,50</t>
        </is>
      </c>
      <c r="H3702" t="n">
        <v>1</v>
      </c>
    </row>
    <row r="3703">
      <c r="A3703" t="inlineStr">
        <is>
          <t>2024-2025</t>
        </is>
      </c>
      <c r="B3703" t="inlineStr">
        <is>
          <t>2024-05-10</t>
        </is>
      </c>
      <c r="C3703" t="inlineStr">
        <is>
          <t>20:15</t>
        </is>
      </c>
      <c r="D3703" t="inlineStr">
        <is>
          <t>n° 22 + n° 23 + n° 25 + n° 26</t>
        </is>
      </c>
      <c r="E3703" t="inlineStr">
        <is>
          <t>SAUCE CHOCO/CAFE/CAR</t>
        </is>
      </c>
      <c r="F3703" t="n">
        <v>2.4</v>
      </c>
      <c r="G3703" t="inlineStr">
        <is>
          <t>n° 22 : 0,50 + n° 23 : 0,50</t>
        </is>
      </c>
      <c r="H3703" t="n">
        <v>1</v>
      </c>
    </row>
    <row r="3704">
      <c r="A3704" t="inlineStr">
        <is>
          <t>2024-2025</t>
        </is>
      </c>
      <c r="B3704" t="inlineStr">
        <is>
          <t>2024-05-11</t>
        </is>
      </c>
      <c r="C3704" t="inlineStr">
        <is>
          <t>13:25</t>
        </is>
      </c>
      <c r="D3704" t="inlineStr">
        <is>
          <t>n° 9 + n° 10</t>
        </is>
      </c>
      <c r="E3704" t="inlineStr">
        <is>
          <t>BARBEULENET</t>
        </is>
      </c>
      <c r="F3704" t="n">
        <v>17.4</v>
      </c>
      <c r="G3704" t="inlineStr">
        <is>
          <t>n° 9 : 0,50 + n° 10 : 0,50</t>
        </is>
      </c>
      <c r="H3704" t="n">
        <v>1</v>
      </c>
    </row>
    <row r="3705">
      <c r="A3705" t="inlineStr">
        <is>
          <t>2024-2025</t>
        </is>
      </c>
      <c r="B3705" t="inlineStr">
        <is>
          <t>2024-05-11</t>
        </is>
      </c>
      <c r="C3705" t="inlineStr">
        <is>
          <t>13:25</t>
        </is>
      </c>
      <c r="D3705" t="inlineStr">
        <is>
          <t>n° 9 + n° 10</t>
        </is>
      </c>
      <c r="E3705" t="inlineStr">
        <is>
          <t>TANTELIN</t>
        </is>
      </c>
      <c r="F3705" t="n">
        <v>17.4</v>
      </c>
      <c r="G3705" t="inlineStr">
        <is>
          <t>n° 9 : 0,50 + n° 10 : 0,50</t>
        </is>
      </c>
      <c r="H3705" t="n">
        <v>1</v>
      </c>
    </row>
    <row r="3706">
      <c r="A3706" t="inlineStr">
        <is>
          <t>2024-2025</t>
        </is>
      </c>
      <c r="B3706" t="inlineStr">
        <is>
          <t>2024-05-11</t>
        </is>
      </c>
      <c r="C3706" t="inlineStr">
        <is>
          <t>13:25</t>
        </is>
      </c>
      <c r="D3706" t="inlineStr">
        <is>
          <t>n° 9 + n° 10</t>
        </is>
      </c>
      <c r="E3706" t="inlineStr">
        <is>
          <t>Pavlova</t>
        </is>
      </c>
      <c r="F3706" t="n">
        <v>8.9</v>
      </c>
      <c r="G3706" t="inlineStr">
        <is>
          <t>n° 9 : 0,50 + n° 10 : 0,50</t>
        </is>
      </c>
      <c r="H3706" t="n">
        <v>1</v>
      </c>
    </row>
    <row r="3707">
      <c r="A3707" t="inlineStr">
        <is>
          <t>2024-2025</t>
        </is>
      </c>
      <c r="B3707" t="inlineStr">
        <is>
          <t>2024-05-11</t>
        </is>
      </c>
      <c r="C3707" t="inlineStr">
        <is>
          <t>13:25</t>
        </is>
      </c>
      <c r="D3707" t="inlineStr">
        <is>
          <t>n° 9 + n° 10</t>
        </is>
      </c>
      <c r="E3707" t="inlineStr">
        <is>
          <t>Jus de Fruit</t>
        </is>
      </c>
      <c r="F3707" t="n">
        <v>4.2</v>
      </c>
      <c r="G3707" t="inlineStr">
        <is>
          <t>n° 9 : 0,50 + n° 10 : 0,50</t>
        </is>
      </c>
      <c r="H3707" t="n">
        <v>1</v>
      </c>
    </row>
    <row r="3708">
      <c r="A3708" t="inlineStr">
        <is>
          <t>2024-2025</t>
        </is>
      </c>
      <c r="B3708" t="inlineStr">
        <is>
          <t>2024-05-11</t>
        </is>
      </c>
      <c r="C3708" t="inlineStr">
        <is>
          <t>13:25</t>
        </is>
      </c>
      <c r="D3708" t="inlineStr">
        <is>
          <t>n° 9 + n° 10</t>
        </is>
      </c>
      <c r="E3708" t="inlineStr">
        <is>
          <t>pression</t>
        </is>
      </c>
      <c r="F3708" t="n">
        <v>4.2</v>
      </c>
      <c r="G3708" t="inlineStr">
        <is>
          <t>n° 9 : 0,50 + n° 10 : 0,50</t>
        </is>
      </c>
      <c r="H3708" t="n">
        <v>1</v>
      </c>
    </row>
    <row r="3709">
      <c r="A3709" t="inlineStr">
        <is>
          <t>2024-2025</t>
        </is>
      </c>
      <c r="B3709" t="inlineStr">
        <is>
          <t>2024-05-11</t>
        </is>
      </c>
      <c r="C3709" t="inlineStr">
        <is>
          <t>13:25</t>
        </is>
      </c>
      <c r="D3709" t="inlineStr">
        <is>
          <t>n° 9 + n° 10</t>
        </is>
      </c>
      <c r="E3709" t="inlineStr">
        <is>
          <t>GLACE 1 BOULE</t>
        </is>
      </c>
      <c r="F3709" t="n">
        <v>3.5</v>
      </c>
      <c r="G3709" t="inlineStr">
        <is>
          <t>n° 9 : 0,50 + n° 10 : 0,50</t>
        </is>
      </c>
      <c r="H3709" t="n">
        <v>1</v>
      </c>
    </row>
    <row r="3710">
      <c r="A3710" t="inlineStr">
        <is>
          <t>2024-2025</t>
        </is>
      </c>
      <c r="B3710" t="inlineStr">
        <is>
          <t>2024-05-11</t>
        </is>
      </c>
      <c r="C3710" t="inlineStr">
        <is>
          <t>13:52</t>
        </is>
      </c>
      <c r="D3710" t="inlineStr">
        <is>
          <t>n° 14 + n° 15 + n° 16</t>
        </is>
      </c>
      <c r="E3710" t="inlineStr">
        <is>
          <t>Chablis</t>
        </is>
      </c>
      <c r="F3710" t="n">
        <v>47</v>
      </c>
      <c r="G3710" t="inlineStr">
        <is>
          <t>n° 14 : 0,25 + n° 15 : 0,25 + n° 16 : 0,50</t>
        </is>
      </c>
      <c r="H3710" t="n">
        <v>1</v>
      </c>
    </row>
    <row r="3711">
      <c r="A3711" t="inlineStr">
        <is>
          <t>2024-2025</t>
        </is>
      </c>
      <c r="B3711" t="inlineStr">
        <is>
          <t>2024-05-11</t>
        </is>
      </c>
      <c r="C3711" t="inlineStr">
        <is>
          <t>13:52</t>
        </is>
      </c>
      <c r="D3711" t="inlineStr">
        <is>
          <t>n° 14 + n° 15 + n° 16</t>
        </is>
      </c>
      <c r="E3711" t="inlineStr">
        <is>
          <t>Salade Régionale</t>
        </is>
      </c>
      <c r="F3711" t="n">
        <v>19.9</v>
      </c>
      <c r="G3711" t="inlineStr">
        <is>
          <t>n° 14 : 0,25 + n° 15 : 0,25 + n° 16 : 0,50</t>
        </is>
      </c>
      <c r="H3711" t="n">
        <v>1</v>
      </c>
    </row>
    <row r="3712">
      <c r="A3712" t="inlineStr">
        <is>
          <t>2024-2025</t>
        </is>
      </c>
      <c r="B3712" t="inlineStr">
        <is>
          <t>2024-05-11</t>
        </is>
      </c>
      <c r="C3712" t="inlineStr">
        <is>
          <t>13:52</t>
        </is>
      </c>
      <c r="D3712" t="inlineStr">
        <is>
          <t>n° 14 + n° 15 + n° 16</t>
        </is>
      </c>
      <c r="E3712" t="inlineStr">
        <is>
          <t>BURGER COMTOIS</t>
        </is>
      </c>
      <c r="F3712" t="n">
        <v>19</v>
      </c>
      <c r="G3712" t="inlineStr">
        <is>
          <t>n° 14 : 0,50 + n° 15 : 0,50 + n° 16 : 1,00</t>
        </is>
      </c>
      <c r="H3712" t="n">
        <v>2</v>
      </c>
    </row>
    <row r="3713">
      <c r="A3713" t="inlineStr">
        <is>
          <t>2024-2025</t>
        </is>
      </c>
      <c r="B3713" t="inlineStr">
        <is>
          <t>2024-05-11</t>
        </is>
      </c>
      <c r="C3713" t="inlineStr">
        <is>
          <t>13:52</t>
        </is>
      </c>
      <c r="D3713" t="inlineStr">
        <is>
          <t>n° 14 + n° 15 + n° 16</t>
        </is>
      </c>
      <c r="E3713" t="inlineStr">
        <is>
          <t>ASSIETTE FRANC-COMTO</t>
        </is>
      </c>
      <c r="F3713" t="n">
        <v>18.6</v>
      </c>
      <c r="G3713" t="inlineStr">
        <is>
          <t>n° 14 : 0,25 + n° 15 : 0,25 + n° 16 : 0,50</t>
        </is>
      </c>
      <c r="H3713" t="n">
        <v>1</v>
      </c>
    </row>
    <row r="3714">
      <c r="A3714" t="inlineStr">
        <is>
          <t>2024-2025</t>
        </is>
      </c>
      <c r="B3714" t="inlineStr">
        <is>
          <t>2024-05-11</t>
        </is>
      </c>
      <c r="C3714" t="inlineStr">
        <is>
          <t>13:52</t>
        </is>
      </c>
      <c r="D3714" t="inlineStr">
        <is>
          <t>n° 14 + n° 15 + n° 16</t>
        </is>
      </c>
      <c r="E3714" t="inlineStr">
        <is>
          <t>GLACE 2 BOULES</t>
        </is>
      </c>
      <c r="F3714" t="n">
        <v>5.5</v>
      </c>
      <c r="G3714" t="inlineStr">
        <is>
          <t>n° 14 : 0,25 + n° 15 : 0,25 + n° 16 : 0,50</t>
        </is>
      </c>
      <c r="H3714" t="n">
        <v>1</v>
      </c>
    </row>
    <row r="3715">
      <c r="A3715" t="inlineStr">
        <is>
          <t>2024-2025</t>
        </is>
      </c>
      <c r="B3715" t="inlineStr">
        <is>
          <t>2024-05-11</t>
        </is>
      </c>
      <c r="C3715" t="inlineStr">
        <is>
          <t>13:52</t>
        </is>
      </c>
      <c r="D3715" t="inlineStr">
        <is>
          <t>n° 14 + n° 15 + n° 16</t>
        </is>
      </c>
      <c r="E3715" t="inlineStr">
        <is>
          <t>Crêpe au sucre</t>
        </is>
      </c>
      <c r="F3715" t="n">
        <v>3.9</v>
      </c>
      <c r="G3715" t="inlineStr">
        <is>
          <t>n° 14 : 0,25 + n° 15 : 0,25 + n° 16 : 0,50</t>
        </is>
      </c>
      <c r="H3715" t="n">
        <v>1</v>
      </c>
    </row>
    <row r="3716">
      <c r="A3716" t="inlineStr">
        <is>
          <t>2024-2025</t>
        </is>
      </c>
      <c r="B3716" t="inlineStr">
        <is>
          <t>2024-05-11</t>
        </is>
      </c>
      <c r="C3716" t="inlineStr">
        <is>
          <t>13:52</t>
        </is>
      </c>
      <c r="D3716" t="inlineStr">
        <is>
          <t>n° 14 + n° 15 + n° 16</t>
        </is>
      </c>
      <c r="E3716" t="inlineStr">
        <is>
          <t>GLACE 1 BOULE</t>
        </is>
      </c>
      <c r="F3716" t="n">
        <v>3.5</v>
      </c>
      <c r="G3716" t="inlineStr">
        <is>
          <t>n° 14 : 0,50 + n° 15 : 0,50 + n° 16 : 1,00</t>
        </is>
      </c>
      <c r="H3716" t="n">
        <v>2</v>
      </c>
    </row>
    <row r="3717">
      <c r="A3717" t="inlineStr">
        <is>
          <t>2024-2025</t>
        </is>
      </c>
      <c r="B3717" t="inlineStr">
        <is>
          <t>2024-05-11</t>
        </is>
      </c>
      <c r="C3717" t="inlineStr">
        <is>
          <t>13:52</t>
        </is>
      </c>
      <c r="D3717" t="inlineStr">
        <is>
          <t>n° 14 + n° 15 + n° 16</t>
        </is>
      </c>
      <c r="E3717" t="inlineStr">
        <is>
          <t>Expresso</t>
        </is>
      </c>
      <c r="F3717" t="n">
        <v>2.2</v>
      </c>
      <c r="G3717" t="inlineStr">
        <is>
          <t>n° 14 : 0,50 + n° 15 : 0,50 + n° 16 : 1,00</t>
        </is>
      </c>
      <c r="H3717" t="n">
        <v>2</v>
      </c>
    </row>
    <row r="3718">
      <c r="A3718" t="inlineStr">
        <is>
          <t>2024-2025</t>
        </is>
      </c>
      <c r="B3718" t="inlineStr">
        <is>
          <t>2024-05-11</t>
        </is>
      </c>
      <c r="C3718" t="inlineStr">
        <is>
          <t>20:37</t>
        </is>
      </c>
      <c r="D3718" t="inlineStr">
        <is>
          <t>n° 26 + n° 27 + n° 31 + n° 32</t>
        </is>
      </c>
      <c r="E3718" t="inlineStr">
        <is>
          <t>Arbois Béthanie</t>
        </is>
      </c>
      <c r="F3718" t="n">
        <v>36</v>
      </c>
      <c r="G3718" t="inlineStr">
        <is>
          <t>n° 31 : 0,50 + n° 32 : 0,50</t>
        </is>
      </c>
      <c r="H3718" t="n">
        <v>1</v>
      </c>
    </row>
    <row r="3719">
      <c r="A3719" t="inlineStr">
        <is>
          <t>2024-2025</t>
        </is>
      </c>
      <c r="B3719" t="inlineStr">
        <is>
          <t>2024-05-11</t>
        </is>
      </c>
      <c r="C3719" t="inlineStr">
        <is>
          <t>20:37</t>
        </is>
      </c>
      <c r="D3719" t="inlineStr">
        <is>
          <t>n° 26 + n° 27 + n° 31 + n° 32</t>
        </is>
      </c>
      <c r="E3719" t="inlineStr">
        <is>
          <t>PICHET MACON</t>
        </is>
      </c>
      <c r="F3719" t="n">
        <v>21</v>
      </c>
      <c r="G3719" t="inlineStr">
        <is>
          <t>n° 26 : 0,50 + n° 27 : 0,50</t>
        </is>
      </c>
      <c r="H3719" t="n">
        <v>1</v>
      </c>
    </row>
    <row r="3720">
      <c r="A3720" t="inlineStr">
        <is>
          <t>2024-2025</t>
        </is>
      </c>
      <c r="B3720" t="inlineStr">
        <is>
          <t>2024-05-11</t>
        </is>
      </c>
      <c r="C3720" t="inlineStr">
        <is>
          <t>20:37</t>
        </is>
      </c>
      <c r="D3720" t="inlineStr">
        <is>
          <t>n° 26 + n° 27 + n° 31 + n° 32</t>
        </is>
      </c>
      <c r="E3720" t="inlineStr">
        <is>
          <t>Assortiment charcute</t>
        </is>
      </c>
      <c r="F3720" t="n">
        <v>8.9</v>
      </c>
      <c r="G3720" t="inlineStr">
        <is>
          <t>n° 31 : 0,50 + n° 32 : 0,50</t>
        </is>
      </c>
      <c r="H3720" t="n">
        <v>1</v>
      </c>
    </row>
    <row r="3721">
      <c r="A3721" t="inlineStr">
        <is>
          <t>2024-2025</t>
        </is>
      </c>
      <c r="B3721" t="inlineStr">
        <is>
          <t>2024-05-11</t>
        </is>
      </c>
      <c r="C3721" t="inlineStr">
        <is>
          <t>20:37</t>
        </is>
      </c>
      <c r="D3721" t="inlineStr">
        <is>
          <t>n° 26 + n° 27 + n° 31 + n° 32</t>
        </is>
      </c>
      <c r="E3721" t="inlineStr">
        <is>
          <t>Liqueur de Sapin</t>
        </is>
      </c>
      <c r="F3721" t="n">
        <v>6.5</v>
      </c>
      <c r="G3721" t="inlineStr">
        <is>
          <t>n° 31 : 1,50 + n° 32 : 1,50</t>
        </is>
      </c>
      <c r="H3721" t="n">
        <v>3</v>
      </c>
    </row>
    <row r="3722">
      <c r="A3722" t="inlineStr">
        <is>
          <t>2024-2025</t>
        </is>
      </c>
      <c r="B3722" t="inlineStr">
        <is>
          <t>2024-05-11</t>
        </is>
      </c>
      <c r="C3722" t="inlineStr">
        <is>
          <t>20:37</t>
        </is>
      </c>
      <c r="D3722" t="inlineStr">
        <is>
          <t>n° 26 + n° 27 + n° 31 + n° 32</t>
        </is>
      </c>
      <c r="E3722" t="inlineStr">
        <is>
          <t>Père Gregoire</t>
        </is>
      </c>
      <c r="F3722" t="n">
        <v>5.9</v>
      </c>
      <c r="G3722" t="inlineStr">
        <is>
          <t>n° 31 : 0,50 + n° 32 : 0,50</t>
        </is>
      </c>
      <c r="H3722" t="n">
        <v>1</v>
      </c>
    </row>
    <row r="3723">
      <c r="A3723" t="inlineStr">
        <is>
          <t>2024-2025</t>
        </is>
      </c>
      <c r="B3723" t="inlineStr">
        <is>
          <t>2024-05-11</t>
        </is>
      </c>
      <c r="C3723" t="inlineStr">
        <is>
          <t>20:37</t>
        </is>
      </c>
      <c r="D3723" t="inlineStr">
        <is>
          <t>n° 26 + n° 27 + n° 31 + n° 32</t>
        </is>
      </c>
      <c r="E3723" t="inlineStr">
        <is>
          <t>Macvin du Jura</t>
        </is>
      </c>
      <c r="F3723" t="n">
        <v>5.9</v>
      </c>
      <c r="G3723" t="inlineStr">
        <is>
          <t>n° 31 : 0,50 + n° 32 : 0,50</t>
        </is>
      </c>
      <c r="H3723" t="n">
        <v>1</v>
      </c>
    </row>
    <row r="3724">
      <c r="A3724" t="inlineStr">
        <is>
          <t>2024-2025</t>
        </is>
      </c>
      <c r="B3724" t="inlineStr">
        <is>
          <t>2024-05-11</t>
        </is>
      </c>
      <c r="C3724" t="inlineStr">
        <is>
          <t>20:37</t>
        </is>
      </c>
      <c r="D3724" t="inlineStr">
        <is>
          <t>n° 26 + n° 27 + n° 31 + n° 32</t>
        </is>
      </c>
      <c r="E3724" t="inlineStr">
        <is>
          <t>Salade Verte</t>
        </is>
      </c>
      <c r="F3724" t="n">
        <v>5.9</v>
      </c>
      <c r="G3724" t="inlineStr">
        <is>
          <t>n° 31 : 0,50 + n° 32 : 0,50</t>
        </is>
      </c>
      <c r="H3724" t="n">
        <v>1</v>
      </c>
    </row>
    <row r="3725">
      <c r="A3725" t="inlineStr">
        <is>
          <t>2024-2025</t>
        </is>
      </c>
      <c r="B3725" t="inlineStr">
        <is>
          <t>2024-05-11</t>
        </is>
      </c>
      <c r="C3725" t="inlineStr">
        <is>
          <t>20:37</t>
        </is>
      </c>
      <c r="D3725" t="inlineStr">
        <is>
          <t>n° 26 + n° 27 + n° 31 + n° 32</t>
        </is>
      </c>
      <c r="E3725" t="inlineStr">
        <is>
          <t>KITTYKIR</t>
        </is>
      </c>
      <c r="F3725" t="n">
        <v>5.2</v>
      </c>
      <c r="G3725" t="inlineStr">
        <is>
          <t>n° 31 : 0,50 + n° 32 : 0,50</t>
        </is>
      </c>
      <c r="H3725" t="n">
        <v>1</v>
      </c>
    </row>
    <row r="3726">
      <c r="A3726" t="inlineStr">
        <is>
          <t>2024-2025</t>
        </is>
      </c>
      <c r="B3726" t="inlineStr">
        <is>
          <t>2024-05-11</t>
        </is>
      </c>
      <c r="C3726" t="inlineStr">
        <is>
          <t>20:37</t>
        </is>
      </c>
      <c r="D3726" t="inlineStr">
        <is>
          <t>n° 26 + n° 27 + n° 31 + n° 32</t>
        </is>
      </c>
      <c r="E3726" t="inlineStr">
        <is>
          <t>Pontarlier</t>
        </is>
      </c>
      <c r="F3726" t="n">
        <v>4.2</v>
      </c>
      <c r="G3726" t="inlineStr">
        <is>
          <t>n° 31 : 0,50 + n° 32 : 0,50</t>
        </is>
      </c>
      <c r="H3726" t="n">
        <v>1</v>
      </c>
    </row>
    <row r="3727">
      <c r="A3727" t="inlineStr">
        <is>
          <t>2024-2025</t>
        </is>
      </c>
      <c r="B3727" t="inlineStr">
        <is>
          <t>2024-05-12</t>
        </is>
      </c>
      <c r="C3727" t="inlineStr">
        <is>
          <t>12:45</t>
        </is>
      </c>
      <c r="D3727" t="inlineStr">
        <is>
          <t>n° 6 + n° 7</t>
        </is>
      </c>
      <c r="E3727" t="inlineStr">
        <is>
          <t>Arbois Béthanie</t>
        </is>
      </c>
      <c r="F3727" t="n">
        <v>36</v>
      </c>
      <c r="G3727" t="inlineStr">
        <is>
          <t>n° 6 : 0,50 + n° 7 : 0,50</t>
        </is>
      </c>
      <c r="H3727" t="n">
        <v>1</v>
      </c>
    </row>
    <row r="3728">
      <c r="A3728" t="inlineStr">
        <is>
          <t>2024-2025</t>
        </is>
      </c>
      <c r="B3728" t="inlineStr">
        <is>
          <t>2024-05-12</t>
        </is>
      </c>
      <c r="C3728" t="inlineStr">
        <is>
          <t>12:45</t>
        </is>
      </c>
      <c r="D3728" t="inlineStr">
        <is>
          <t>n° 6 + n° 7</t>
        </is>
      </c>
      <c r="E3728" t="inlineStr">
        <is>
          <t>Entrecôte grillée</t>
        </is>
      </c>
      <c r="F3728" t="n">
        <v>19.9</v>
      </c>
      <c r="G3728" t="inlineStr">
        <is>
          <t>n° 6 : 0,50 + n° 7 : 0,50</t>
        </is>
      </c>
      <c r="H3728" t="n">
        <v>1</v>
      </c>
    </row>
    <row r="3729">
      <c r="A3729" t="inlineStr">
        <is>
          <t>2024-2025</t>
        </is>
      </c>
      <c r="B3729" t="inlineStr">
        <is>
          <t>2024-05-12</t>
        </is>
      </c>
      <c r="C3729" t="inlineStr">
        <is>
          <t>12:45</t>
        </is>
      </c>
      <c r="D3729" t="inlineStr">
        <is>
          <t>n° 6 + n° 7</t>
        </is>
      </c>
      <c r="E3729" t="inlineStr">
        <is>
          <t>Salade Régionale</t>
        </is>
      </c>
      <c r="F3729" t="n">
        <v>19.9</v>
      </c>
      <c r="G3729" t="inlineStr">
        <is>
          <t>n° 6 : 0,50 + n° 7 : 0,50</t>
        </is>
      </c>
      <c r="H3729" t="n">
        <v>1</v>
      </c>
    </row>
    <row r="3730">
      <c r="A3730" t="inlineStr">
        <is>
          <t>2024-2025</t>
        </is>
      </c>
      <c r="B3730" t="inlineStr">
        <is>
          <t>2024-05-12</t>
        </is>
      </c>
      <c r="C3730" t="inlineStr">
        <is>
          <t>12:45</t>
        </is>
      </c>
      <c r="D3730" t="inlineStr">
        <is>
          <t>n° 6 + n° 7</t>
        </is>
      </c>
      <c r="E3730" t="inlineStr">
        <is>
          <t>FORMULE EXPRESS</t>
        </is>
      </c>
      <c r="F3730" t="n">
        <v>18.6</v>
      </c>
      <c r="G3730" t="inlineStr">
        <is>
          <t>n° 6 : 0,50 + n° 7 : 0,50</t>
        </is>
      </c>
      <c r="H3730" t="n">
        <v>1</v>
      </c>
    </row>
    <row r="3731">
      <c r="A3731" t="inlineStr">
        <is>
          <t>2024-2025</t>
        </is>
      </c>
      <c r="B3731" t="inlineStr">
        <is>
          <t>2024-05-12</t>
        </is>
      </c>
      <c r="C3731" t="inlineStr">
        <is>
          <t>12:45</t>
        </is>
      </c>
      <c r="D3731" t="inlineStr">
        <is>
          <t>n° 6 + n° 7</t>
        </is>
      </c>
      <c r="E3731" t="inlineStr">
        <is>
          <t>ASSIETTE FRANC-COMTO</t>
        </is>
      </c>
      <c r="F3731" t="n">
        <v>18.6</v>
      </c>
      <c r="G3731" t="inlineStr">
        <is>
          <t>n° 6 : 0,50 + n° 7 : 0,50</t>
        </is>
      </c>
      <c r="H3731" t="n">
        <v>1</v>
      </c>
    </row>
    <row r="3732">
      <c r="A3732" t="inlineStr">
        <is>
          <t>2024-2025</t>
        </is>
      </c>
      <c r="B3732" t="inlineStr">
        <is>
          <t>2024-05-12</t>
        </is>
      </c>
      <c r="C3732" t="inlineStr">
        <is>
          <t>12:45</t>
        </is>
      </c>
      <c r="D3732" t="inlineStr">
        <is>
          <t>n° 6 + n° 7</t>
        </is>
      </c>
      <c r="E3732" t="inlineStr">
        <is>
          <t>BEGUIN</t>
        </is>
      </c>
      <c r="F3732" t="n">
        <v>9.1</v>
      </c>
      <c r="G3732" t="inlineStr">
        <is>
          <t>n° 6 : 0,50 + n° 7 : 0,50</t>
        </is>
      </c>
      <c r="H3732" t="n">
        <v>1</v>
      </c>
    </row>
    <row r="3733">
      <c r="A3733" t="inlineStr">
        <is>
          <t>2024-2025</t>
        </is>
      </c>
      <c r="B3733" t="inlineStr">
        <is>
          <t>2024-05-12</t>
        </is>
      </c>
      <c r="C3733" t="inlineStr">
        <is>
          <t>12:45</t>
        </is>
      </c>
      <c r="D3733" t="inlineStr">
        <is>
          <t>n° 6 + n° 7</t>
        </is>
      </c>
      <c r="E3733" t="inlineStr">
        <is>
          <t>Crêpe Confiture</t>
        </is>
      </c>
      <c r="F3733" t="n">
        <v>5.4</v>
      </c>
      <c r="G3733" t="inlineStr">
        <is>
          <t>n° 6 : 0,50 + n° 7 : 0,50</t>
        </is>
      </c>
      <c r="H3733" t="n">
        <v>1</v>
      </c>
    </row>
    <row r="3734">
      <c r="A3734" t="inlineStr">
        <is>
          <t>2024-2025</t>
        </is>
      </c>
      <c r="B3734" t="inlineStr">
        <is>
          <t>2024-05-12</t>
        </is>
      </c>
      <c r="C3734" t="inlineStr">
        <is>
          <t>12:45</t>
        </is>
      </c>
      <c r="D3734" t="inlineStr">
        <is>
          <t>n° 6 + n° 7</t>
        </is>
      </c>
      <c r="E3734" t="inlineStr">
        <is>
          <t>Crêpe sucrée</t>
        </is>
      </c>
      <c r="F3734" t="n">
        <v>3.9</v>
      </c>
      <c r="G3734" t="inlineStr">
        <is>
          <t>n° 6 : 0,50 + n° 7 : 0,50</t>
        </is>
      </c>
      <c r="H3734" t="n">
        <v>1</v>
      </c>
    </row>
    <row r="3735">
      <c r="A3735" t="inlineStr">
        <is>
          <t>2024-2025</t>
        </is>
      </c>
      <c r="B3735" t="inlineStr">
        <is>
          <t>2024-05-12</t>
        </is>
      </c>
      <c r="C3735" t="inlineStr">
        <is>
          <t>12:45</t>
        </is>
      </c>
      <c r="D3735" t="inlineStr">
        <is>
          <t>n° 6 + n° 7</t>
        </is>
      </c>
      <c r="E3735" t="inlineStr">
        <is>
          <t>GLACE 1 BOULE</t>
        </is>
      </c>
      <c r="F3735" t="n">
        <v>3.5</v>
      </c>
      <c r="G3735" t="inlineStr">
        <is>
          <t>n° 6 : 0,50 + n° 7 : 0,50</t>
        </is>
      </c>
      <c r="H3735" t="n">
        <v>1</v>
      </c>
    </row>
    <row r="3736">
      <c r="A3736" t="inlineStr">
        <is>
          <t>2024-2025</t>
        </is>
      </c>
      <c r="B3736" t="inlineStr">
        <is>
          <t>2024-05-12</t>
        </is>
      </c>
      <c r="C3736" t="inlineStr">
        <is>
          <t>13:07</t>
        </is>
      </c>
      <c r="D3736" t="inlineStr">
        <is>
          <t>n° 11 + n° 12</t>
        </is>
      </c>
      <c r="E3736" t="inlineStr">
        <is>
          <t>Truite Morilles</t>
        </is>
      </c>
      <c r="F3736" t="n">
        <v>27.8</v>
      </c>
      <c r="G3736" t="inlineStr">
        <is>
          <t>n° 11 : 0,50 + n° 12 : 0,50</t>
        </is>
      </c>
      <c r="H3736" t="n">
        <v>1</v>
      </c>
    </row>
    <row r="3737">
      <c r="A3737" t="inlineStr">
        <is>
          <t>2024-2025</t>
        </is>
      </c>
      <c r="B3737" t="inlineStr">
        <is>
          <t>2024-05-12</t>
        </is>
      </c>
      <c r="C3737" t="inlineStr">
        <is>
          <t>13:07</t>
        </is>
      </c>
      <c r="D3737" t="inlineStr">
        <is>
          <t>n° 11 + n° 12</t>
        </is>
      </c>
      <c r="E3737" t="inlineStr">
        <is>
          <t>ASSIETTE FRANC-COMTO</t>
        </is>
      </c>
      <c r="F3737" t="n">
        <v>18.6</v>
      </c>
      <c r="G3737" t="inlineStr">
        <is>
          <t>n° 11 : 0,50 + n° 12 : 0,50</t>
        </is>
      </c>
      <c r="H3737" t="n">
        <v>1</v>
      </c>
    </row>
    <row r="3738">
      <c r="A3738" t="inlineStr">
        <is>
          <t>2024-2025</t>
        </is>
      </c>
      <c r="B3738" t="inlineStr">
        <is>
          <t>2024-05-12</t>
        </is>
      </c>
      <c r="C3738" t="inlineStr">
        <is>
          <t>13:07</t>
        </is>
      </c>
      <c r="D3738" t="inlineStr">
        <is>
          <t>n° 11 + n° 12</t>
        </is>
      </c>
      <c r="E3738" t="inlineStr">
        <is>
          <t>Jamhon Persillé</t>
        </is>
      </c>
      <c r="F3738" t="n">
        <v>7.2</v>
      </c>
      <c r="G3738" t="inlineStr">
        <is>
          <t>n° 11 : 0,50 + n° 12 : 0,50</t>
        </is>
      </c>
      <c r="H3738" t="n">
        <v>1</v>
      </c>
    </row>
    <row r="3739">
      <c r="A3739" t="inlineStr">
        <is>
          <t>2024-2025</t>
        </is>
      </c>
      <c r="B3739" t="inlineStr">
        <is>
          <t>2024-05-12</t>
        </is>
      </c>
      <c r="C3739" t="inlineStr">
        <is>
          <t>13:07</t>
        </is>
      </c>
      <c r="D3739" t="inlineStr">
        <is>
          <t>n° 11 + n° 12</t>
        </is>
      </c>
      <c r="E3739" t="inlineStr">
        <is>
          <t>Crémant</t>
        </is>
      </c>
      <c r="F3739" t="n">
        <v>5</v>
      </c>
      <c r="G3739" t="inlineStr">
        <is>
          <t>n° 11 : 0,50 + n° 12 : 0,50</t>
        </is>
      </c>
      <c r="H3739" t="n">
        <v>1</v>
      </c>
    </row>
    <row r="3740">
      <c r="A3740" t="inlineStr">
        <is>
          <t>2024-2025</t>
        </is>
      </c>
      <c r="B3740" t="inlineStr">
        <is>
          <t>2024-05-12</t>
        </is>
      </c>
      <c r="C3740" t="inlineStr">
        <is>
          <t>13:07</t>
        </is>
      </c>
      <c r="D3740" t="inlineStr">
        <is>
          <t>n° 11 + n° 12</t>
        </is>
      </c>
      <c r="E3740" t="inlineStr">
        <is>
          <t>Verre Rosé</t>
        </is>
      </c>
      <c r="F3740" t="n">
        <v>3.9</v>
      </c>
      <c r="G3740" t="inlineStr">
        <is>
          <t>n° 11 : 0,50 + n° 12 : 0,50</t>
        </is>
      </c>
      <c r="H3740" t="n">
        <v>1</v>
      </c>
    </row>
    <row r="3741">
      <c r="A3741" t="inlineStr">
        <is>
          <t>2024-2025</t>
        </is>
      </c>
      <c r="B3741" t="inlineStr">
        <is>
          <t>2024-05-12</t>
        </is>
      </c>
      <c r="C3741" t="inlineStr">
        <is>
          <t>13:07</t>
        </is>
      </c>
      <c r="D3741" t="inlineStr">
        <is>
          <t>n° 11 + n° 12</t>
        </is>
      </c>
      <c r="E3741" t="inlineStr">
        <is>
          <t>Double Expresso</t>
        </is>
      </c>
      <c r="F3741" t="n">
        <v>3.8</v>
      </c>
      <c r="G3741" t="inlineStr">
        <is>
          <t>n° 11 : 0,50 + n° 12 : 0,50</t>
        </is>
      </c>
      <c r="H3741" t="n">
        <v>1</v>
      </c>
    </row>
    <row r="3742">
      <c r="A3742" t="inlineStr">
        <is>
          <t>2024-2025</t>
        </is>
      </c>
      <c r="B3742" t="inlineStr">
        <is>
          <t>2024-05-12</t>
        </is>
      </c>
      <c r="C3742" t="inlineStr">
        <is>
          <t>13:07</t>
        </is>
      </c>
      <c r="D3742" t="inlineStr">
        <is>
          <t>n° 11 + n° 12</t>
        </is>
      </c>
      <c r="E3742" t="inlineStr">
        <is>
          <t>Expresso</t>
        </is>
      </c>
      <c r="F3742" t="n">
        <v>2.2</v>
      </c>
      <c r="G3742" t="inlineStr">
        <is>
          <t>n° 11 : 0,50 + n° 12 : 0,50</t>
        </is>
      </c>
      <c r="H3742" t="n">
        <v>1</v>
      </c>
    </row>
    <row r="3743">
      <c r="A3743" t="inlineStr">
        <is>
          <t>2024-2025</t>
        </is>
      </c>
      <c r="B3743" t="inlineStr">
        <is>
          <t>2024-05-12</t>
        </is>
      </c>
      <c r="C3743" t="inlineStr">
        <is>
          <t>18:59</t>
        </is>
      </c>
      <c r="D3743" t="inlineStr">
        <is>
          <t>n° 20 + n° 21</t>
        </is>
      </c>
      <c r="E3743" t="inlineStr">
        <is>
          <t>TRUITE JURASSIENNE</t>
        </is>
      </c>
      <c r="F3743" t="n">
        <v>18.6</v>
      </c>
      <c r="G3743" t="inlineStr">
        <is>
          <t>n° 20 : 0,50 + n° 21 : 0,50</t>
        </is>
      </c>
      <c r="H3743" t="n">
        <v>1</v>
      </c>
    </row>
    <row r="3744">
      <c r="A3744" t="inlineStr">
        <is>
          <t>2024-2025</t>
        </is>
      </c>
      <c r="B3744" t="inlineStr">
        <is>
          <t>2024-05-12</t>
        </is>
      </c>
      <c r="C3744" t="inlineStr">
        <is>
          <t>18:59</t>
        </is>
      </c>
      <c r="D3744" t="inlineStr">
        <is>
          <t>n° 20 + n° 21</t>
        </is>
      </c>
      <c r="E3744" t="inlineStr">
        <is>
          <t>LIGOUSE</t>
        </is>
      </c>
      <c r="F3744" t="n">
        <v>16.6</v>
      </c>
      <c r="G3744" t="inlineStr">
        <is>
          <t>n° 20 : 0,50 + n° 21 : 0,50</t>
        </is>
      </c>
      <c r="H3744" t="n">
        <v>1</v>
      </c>
    </row>
    <row r="3745">
      <c r="A3745" t="inlineStr">
        <is>
          <t>2024-2025</t>
        </is>
      </c>
      <c r="B3745" t="inlineStr">
        <is>
          <t>2024-05-12</t>
        </is>
      </c>
      <c r="C3745" t="inlineStr">
        <is>
          <t>18:59</t>
        </is>
      </c>
      <c r="D3745" t="inlineStr">
        <is>
          <t>n° 20 + n° 21</t>
        </is>
      </c>
      <c r="E3745" t="inlineStr">
        <is>
          <t>Picon bière</t>
        </is>
      </c>
      <c r="F3745" t="n">
        <v>4.8</v>
      </c>
      <c r="G3745" t="inlineStr">
        <is>
          <t>n° 20 : 0,50 + n° 21 : 0,50</t>
        </is>
      </c>
      <c r="H3745" t="n">
        <v>1</v>
      </c>
    </row>
    <row r="3746">
      <c r="A3746" t="inlineStr">
        <is>
          <t>2024-2025</t>
        </is>
      </c>
      <c r="B3746" t="inlineStr">
        <is>
          <t>2024-05-12</t>
        </is>
      </c>
      <c r="C3746" t="inlineStr">
        <is>
          <t>18:59</t>
        </is>
      </c>
      <c r="D3746" t="inlineStr">
        <is>
          <t>n° 20 + n° 21</t>
        </is>
      </c>
      <c r="E3746" t="inlineStr">
        <is>
          <t>Verre ALIGOTE</t>
        </is>
      </c>
      <c r="F3746" t="n">
        <v>3.9</v>
      </c>
      <c r="G3746" t="inlineStr">
        <is>
          <t>n° 20 : 0,50 + n° 21 : 0,50</t>
        </is>
      </c>
      <c r="H3746" t="n">
        <v>1</v>
      </c>
    </row>
    <row r="3747">
      <c r="A3747" t="inlineStr">
        <is>
          <t>2024-2025</t>
        </is>
      </c>
      <c r="B3747" t="inlineStr">
        <is>
          <t>2024-05-16</t>
        </is>
      </c>
      <c r="C3747" t="inlineStr">
        <is>
          <t>19:21</t>
        </is>
      </c>
      <c r="D3747" t="inlineStr">
        <is>
          <t>n° 10 + n° 11</t>
        </is>
      </c>
      <c r="E3747" t="inlineStr">
        <is>
          <t>BURGER COMTOIS</t>
        </is>
      </c>
      <c r="F3747" t="n">
        <v>19</v>
      </c>
      <c r="G3747" t="inlineStr">
        <is>
          <t>n° 10 : 0,50 + n° 11 : 0,50</t>
        </is>
      </c>
      <c r="H3747" t="n">
        <v>1</v>
      </c>
    </row>
    <row r="3748">
      <c r="A3748" t="inlineStr">
        <is>
          <t>2024-2025</t>
        </is>
      </c>
      <c r="B3748" t="inlineStr">
        <is>
          <t>2024-05-16</t>
        </is>
      </c>
      <c r="C3748" t="inlineStr">
        <is>
          <t>19:21</t>
        </is>
      </c>
      <c r="D3748" t="inlineStr">
        <is>
          <t>n° 10 + n° 11</t>
        </is>
      </c>
      <c r="E3748" t="inlineStr">
        <is>
          <t>TRUITE JURASSIENNE</t>
        </is>
      </c>
      <c r="F3748" t="n">
        <v>18.6</v>
      </c>
      <c r="G3748" t="inlineStr">
        <is>
          <t>n° 10 : 0,50 + n° 11 : 0,50</t>
        </is>
      </c>
      <c r="H3748" t="n">
        <v>1</v>
      </c>
    </row>
    <row r="3749">
      <c r="A3749" t="inlineStr">
        <is>
          <t>2024-2025</t>
        </is>
      </c>
      <c r="B3749" t="inlineStr">
        <is>
          <t>2024-05-16</t>
        </is>
      </c>
      <c r="C3749" t="inlineStr">
        <is>
          <t>19:21</t>
        </is>
      </c>
      <c r="D3749" t="inlineStr">
        <is>
          <t>n° 10 + n° 11</t>
        </is>
      </c>
      <c r="E3749" t="inlineStr">
        <is>
          <t>C du  Rhone St Josep</t>
        </is>
      </c>
      <c r="F3749" t="n">
        <v>9.699999999999999</v>
      </c>
      <c r="G3749" t="inlineStr">
        <is>
          <t>n° 10 : 0,50 + n° 11 : 0,50</t>
        </is>
      </c>
      <c r="H3749" t="n">
        <v>1</v>
      </c>
    </row>
    <row r="3750">
      <c r="A3750" t="inlineStr">
        <is>
          <t>2024-2025</t>
        </is>
      </c>
      <c r="B3750" t="inlineStr">
        <is>
          <t>2024-05-16</t>
        </is>
      </c>
      <c r="C3750" t="inlineStr">
        <is>
          <t>19:21</t>
        </is>
      </c>
      <c r="D3750" t="inlineStr">
        <is>
          <t>n° 10 + n° 11</t>
        </is>
      </c>
      <c r="E3750" t="inlineStr">
        <is>
          <t>Jamhon Persillé</t>
        </is>
      </c>
      <c r="F3750" t="n">
        <v>7.2</v>
      </c>
      <c r="G3750" t="inlineStr">
        <is>
          <t>n° 10 : 0,50 + n° 11 : 0,50</t>
        </is>
      </c>
      <c r="H3750" t="n">
        <v>1</v>
      </c>
    </row>
    <row r="3751">
      <c r="A3751" t="inlineStr">
        <is>
          <t>2024-2025</t>
        </is>
      </c>
      <c r="B3751" t="inlineStr">
        <is>
          <t>2024-05-16</t>
        </is>
      </c>
      <c r="C3751" t="inlineStr">
        <is>
          <t>19:21</t>
        </is>
      </c>
      <c r="D3751" t="inlineStr">
        <is>
          <t>n° 10 + n° 11</t>
        </is>
      </c>
      <c r="E3751" t="inlineStr">
        <is>
          <t>Chat perché</t>
        </is>
      </c>
      <c r="F3751" t="n">
        <v>5.9</v>
      </c>
      <c r="G3751" t="inlineStr">
        <is>
          <t>n° 10 : 0,50 + n° 11 : 0,50</t>
        </is>
      </c>
      <c r="H3751" t="n">
        <v>1</v>
      </c>
    </row>
    <row r="3752">
      <c r="A3752" t="inlineStr">
        <is>
          <t>2024-2025</t>
        </is>
      </c>
      <c r="B3752" t="inlineStr">
        <is>
          <t>2024-05-16</t>
        </is>
      </c>
      <c r="C3752" t="inlineStr">
        <is>
          <t>19:21</t>
        </is>
      </c>
      <c r="D3752" t="inlineStr">
        <is>
          <t>n° 10 + n° 11</t>
        </is>
      </c>
      <c r="E3752" t="inlineStr">
        <is>
          <t>La Vouivre</t>
        </is>
      </c>
      <c r="F3752" t="n">
        <v>5.9</v>
      </c>
      <c r="G3752" t="inlineStr">
        <is>
          <t>n° 10 : 0,50 + n° 11 : 0,50</t>
        </is>
      </c>
      <c r="H3752" t="n">
        <v>1</v>
      </c>
    </row>
    <row r="3753">
      <c r="A3753" t="inlineStr">
        <is>
          <t>2024-2025</t>
        </is>
      </c>
      <c r="B3753" t="inlineStr">
        <is>
          <t>2024-05-17</t>
        </is>
      </c>
      <c r="C3753" t="inlineStr">
        <is>
          <t>12:41</t>
        </is>
      </c>
      <c r="D3753" t="inlineStr">
        <is>
          <t>n° 8 + n° 9</t>
        </is>
      </c>
      <c r="E3753" t="inlineStr">
        <is>
          <t>PICHET ROSE</t>
        </is>
      </c>
      <c r="F3753" t="n">
        <v>10.5</v>
      </c>
      <c r="G3753" t="inlineStr">
        <is>
          <t>n° 8 : 0,50 + n° 9 : 0,50</t>
        </is>
      </c>
      <c r="H3753" t="n">
        <v>1</v>
      </c>
    </row>
    <row r="3754">
      <c r="A3754" t="inlineStr">
        <is>
          <t>2024-2025</t>
        </is>
      </c>
      <c r="B3754" t="inlineStr">
        <is>
          <t>2024-05-18</t>
        </is>
      </c>
      <c r="C3754" t="inlineStr">
        <is>
          <t>13:04</t>
        </is>
      </c>
      <c r="D3754" t="inlineStr">
        <is>
          <t>n° 11 + n° 12 + n° 13</t>
        </is>
      </c>
      <c r="E3754" t="inlineStr">
        <is>
          <t>Truite Morilles</t>
        </is>
      </c>
      <c r="F3754" t="n">
        <v>27.8</v>
      </c>
      <c r="G3754" t="inlineStr">
        <is>
          <t>n° 11 : 0,50 + n° 12 : 0,50</t>
        </is>
      </c>
      <c r="H3754" t="n">
        <v>1</v>
      </c>
    </row>
    <row r="3755">
      <c r="A3755" t="inlineStr">
        <is>
          <t>2024-2025</t>
        </is>
      </c>
      <c r="B3755" t="inlineStr">
        <is>
          <t>2024-05-18</t>
        </is>
      </c>
      <c r="C3755" t="inlineStr">
        <is>
          <t>13:04</t>
        </is>
      </c>
      <c r="D3755" t="inlineStr">
        <is>
          <t>n° 11 + n° 12 + n° 13</t>
        </is>
      </c>
      <c r="E3755" t="inlineStr">
        <is>
          <t>MACHON GOURMET</t>
        </is>
      </c>
      <c r="F3755" t="n">
        <v>25</v>
      </c>
      <c r="G3755" t="inlineStr">
        <is>
          <t>n° 11 : 1,00 + n° 12 : 1,00 + n° 13 : 0,50</t>
        </is>
      </c>
      <c r="H3755" t="n">
        <v>2.5</v>
      </c>
    </row>
    <row r="3756">
      <c r="A3756" t="inlineStr">
        <is>
          <t>2024-2025</t>
        </is>
      </c>
      <c r="B3756" t="inlineStr">
        <is>
          <t>2024-05-18</t>
        </is>
      </c>
      <c r="C3756" t="inlineStr">
        <is>
          <t>13:04</t>
        </is>
      </c>
      <c r="D3756" t="inlineStr">
        <is>
          <t>n° 11 + n° 12 + n° 13</t>
        </is>
      </c>
      <c r="E3756" t="inlineStr">
        <is>
          <t>Entrecôte grillée</t>
        </is>
      </c>
      <c r="F3756" t="n">
        <v>19.9</v>
      </c>
      <c r="G3756" t="inlineStr">
        <is>
          <t>n° 13 : 0,50</t>
        </is>
      </c>
      <c r="H3756" t="n">
        <v>0.5</v>
      </c>
    </row>
    <row r="3757">
      <c r="A3757" t="inlineStr">
        <is>
          <t>2024-2025</t>
        </is>
      </c>
      <c r="B3757" t="inlineStr">
        <is>
          <t>2024-05-18</t>
        </is>
      </c>
      <c r="C3757" t="inlineStr">
        <is>
          <t>13:04</t>
        </is>
      </c>
      <c r="D3757" t="inlineStr">
        <is>
          <t>n° 11 + n° 12 + n° 13</t>
        </is>
      </c>
      <c r="E3757" t="inlineStr">
        <is>
          <t>CAMEMBERT ROTI</t>
        </is>
      </c>
      <c r="F3757" t="n">
        <v>18.6</v>
      </c>
      <c r="G3757" t="inlineStr">
        <is>
          <t>n° 11 : 0,50 + n° 12 : 0,50</t>
        </is>
      </c>
      <c r="H3757" t="n">
        <v>1</v>
      </c>
    </row>
    <row r="3758">
      <c r="A3758" t="inlineStr">
        <is>
          <t>2024-2025</t>
        </is>
      </c>
      <c r="B3758" t="inlineStr">
        <is>
          <t>2024-05-18</t>
        </is>
      </c>
      <c r="C3758" t="inlineStr">
        <is>
          <t>13:04</t>
        </is>
      </c>
      <c r="D3758" t="inlineStr">
        <is>
          <t>n° 11 + n° 12 + n° 13</t>
        </is>
      </c>
      <c r="E3758" t="inlineStr">
        <is>
          <t>Fa</t>
        </is>
      </c>
      <c r="F3758" t="n">
        <v>9</v>
      </c>
      <c r="G3758" t="inlineStr">
        <is>
          <t>n° 11 : 0,50 + n° 12 : 0,50</t>
        </is>
      </c>
      <c r="H3758" t="n">
        <v>1</v>
      </c>
    </row>
    <row r="3759">
      <c r="A3759" t="inlineStr">
        <is>
          <t>2024-2025</t>
        </is>
      </c>
      <c r="B3759" t="inlineStr">
        <is>
          <t>2024-05-18</t>
        </is>
      </c>
      <c r="C3759" t="inlineStr">
        <is>
          <t>13:04</t>
        </is>
      </c>
      <c r="D3759" t="inlineStr">
        <is>
          <t>n° 11 + n° 12 + n° 13</t>
        </is>
      </c>
      <c r="E3759" t="inlineStr">
        <is>
          <t>Baba</t>
        </is>
      </c>
      <c r="F3759" t="n">
        <v>8.9</v>
      </c>
      <c r="G3759" t="inlineStr">
        <is>
          <t>n° 13 : 0,50</t>
        </is>
      </c>
      <c r="H3759" t="n">
        <v>0.5</v>
      </c>
    </row>
    <row r="3760">
      <c r="A3760" t="inlineStr">
        <is>
          <t>2024-2025</t>
        </is>
      </c>
      <c r="B3760" t="inlineStr">
        <is>
          <t>2024-05-18</t>
        </is>
      </c>
      <c r="C3760" t="inlineStr">
        <is>
          <t>13:04</t>
        </is>
      </c>
      <c r="D3760" t="inlineStr">
        <is>
          <t>n° 11 + n° 12 + n° 13</t>
        </is>
      </c>
      <c r="E3760" t="inlineStr">
        <is>
          <t>Luna</t>
        </is>
      </c>
      <c r="F3760" t="n">
        <v>6</v>
      </c>
      <c r="G3760" t="inlineStr">
        <is>
          <t>n° 11 : 0,50 + n° 12 : 0,50</t>
        </is>
      </c>
      <c r="H3760" t="n">
        <v>1</v>
      </c>
    </row>
    <row r="3761">
      <c r="A3761" t="inlineStr">
        <is>
          <t>2024-2025</t>
        </is>
      </c>
      <c r="B3761" t="inlineStr">
        <is>
          <t>2024-05-18</t>
        </is>
      </c>
      <c r="C3761" t="inlineStr">
        <is>
          <t>13:04</t>
        </is>
      </c>
      <c r="D3761" t="inlineStr">
        <is>
          <t>n° 11 + n° 12 + n° 13</t>
        </is>
      </c>
      <c r="E3761" t="inlineStr">
        <is>
          <t>Père Gregoire</t>
        </is>
      </c>
      <c r="F3761" t="n">
        <v>5.9</v>
      </c>
      <c r="G3761" t="inlineStr">
        <is>
          <t>n° 11 : 0,50 + n° 12 : 0,50</t>
        </is>
      </c>
      <c r="H3761" t="n">
        <v>1</v>
      </c>
    </row>
    <row r="3762">
      <c r="A3762" t="inlineStr">
        <is>
          <t>2024-2025</t>
        </is>
      </c>
      <c r="B3762" t="inlineStr">
        <is>
          <t>2024-05-18</t>
        </is>
      </c>
      <c r="C3762" t="inlineStr">
        <is>
          <t>19:35</t>
        </is>
      </c>
      <c r="D3762" t="inlineStr">
        <is>
          <t>n° 20 + n° 21</t>
        </is>
      </c>
      <c r="E3762" t="inlineStr">
        <is>
          <t>Menu Bourguignon</t>
        </is>
      </c>
      <c r="F3762" t="n">
        <v>34</v>
      </c>
      <c r="G3762" t="inlineStr">
        <is>
          <t>n° 20 : 0,50 + n° 21 : 0,50</t>
        </is>
      </c>
      <c r="H3762" t="n">
        <v>1</v>
      </c>
    </row>
    <row r="3763">
      <c r="A3763" t="inlineStr">
        <is>
          <t>2024-2025</t>
        </is>
      </c>
      <c r="B3763" t="inlineStr">
        <is>
          <t>2024-05-18</t>
        </is>
      </c>
      <c r="C3763" t="inlineStr">
        <is>
          <t>19:35</t>
        </is>
      </c>
      <c r="D3763" t="inlineStr">
        <is>
          <t>n° 20 + n° 21</t>
        </is>
      </c>
      <c r="E3763" t="inlineStr">
        <is>
          <t>Menu 'Galette'</t>
        </is>
      </c>
      <c r="F3763" t="n">
        <v>19.5</v>
      </c>
      <c r="G3763" t="inlineStr">
        <is>
          <t>n° 20 : 1,50 + n° 21 : 1,50</t>
        </is>
      </c>
      <c r="H3763" t="n">
        <v>3</v>
      </c>
    </row>
    <row r="3764">
      <c r="A3764" t="inlineStr">
        <is>
          <t>2024-2025</t>
        </is>
      </c>
      <c r="B3764" t="inlineStr">
        <is>
          <t>2024-05-18</t>
        </is>
      </c>
      <c r="C3764" t="inlineStr">
        <is>
          <t>19:35</t>
        </is>
      </c>
      <c r="D3764" t="inlineStr">
        <is>
          <t>n° 20 + n° 21</t>
        </is>
      </c>
      <c r="E3764" t="inlineStr">
        <is>
          <t>Cidre Bouché Doux</t>
        </is>
      </c>
      <c r="F3764" t="n">
        <v>16</v>
      </c>
      <c r="G3764" t="inlineStr">
        <is>
          <t>n° 20 : 0,50 + n° 21 : 0,50</t>
        </is>
      </c>
      <c r="H3764" t="n">
        <v>1</v>
      </c>
    </row>
    <row r="3765">
      <c r="A3765" t="inlineStr">
        <is>
          <t>2024-2025</t>
        </is>
      </c>
      <c r="B3765" t="inlineStr">
        <is>
          <t>2024-05-18</t>
        </is>
      </c>
      <c r="C3765" t="inlineStr">
        <is>
          <t>19:35</t>
        </is>
      </c>
      <c r="D3765" t="inlineStr">
        <is>
          <t>n° 20 + n° 21</t>
        </is>
      </c>
      <c r="E3765" t="inlineStr">
        <is>
          <t>Jack Daniel's</t>
        </is>
      </c>
      <c r="F3765" t="n">
        <v>7.5</v>
      </c>
      <c r="G3765" t="inlineStr">
        <is>
          <t>n° 20 : 0,50 + n° 21 : 0,50</t>
        </is>
      </c>
      <c r="H3765" t="n">
        <v>1</v>
      </c>
    </row>
    <row r="3766">
      <c r="A3766" t="inlineStr">
        <is>
          <t>2024-2025</t>
        </is>
      </c>
      <c r="B3766" t="inlineStr">
        <is>
          <t>2024-05-18</t>
        </is>
      </c>
      <c r="C3766" t="inlineStr">
        <is>
          <t>19:35</t>
        </is>
      </c>
      <c r="D3766" t="inlineStr">
        <is>
          <t>n° 20 + n° 21</t>
        </is>
      </c>
      <c r="E3766" t="inlineStr">
        <is>
          <t>Jus de Fruit</t>
        </is>
      </c>
      <c r="F3766" t="n">
        <v>4.2</v>
      </c>
      <c r="G3766" t="inlineStr">
        <is>
          <t>n° 20 : 0,50 + n° 21 : 0,50</t>
        </is>
      </c>
      <c r="H3766" t="n">
        <v>1</v>
      </c>
    </row>
    <row r="3767">
      <c r="A3767" t="inlineStr">
        <is>
          <t>2024-2025</t>
        </is>
      </c>
      <c r="B3767" t="inlineStr">
        <is>
          <t>2024-05-19</t>
        </is>
      </c>
      <c r="C3767" t="inlineStr">
        <is>
          <t>12:43</t>
        </is>
      </c>
      <c r="D3767" t="inlineStr">
        <is>
          <t>n° 7 + n° 8</t>
        </is>
      </c>
      <c r="E3767" t="inlineStr">
        <is>
          <t>ASSIETTE PERE GREGOI</t>
        </is>
      </c>
      <c r="F3767" t="n">
        <v>18.6</v>
      </c>
      <c r="G3767" t="inlineStr">
        <is>
          <t>n° 7 : 0,50 + n° 8 : 0,50</t>
        </is>
      </c>
      <c r="H3767" t="n">
        <v>1</v>
      </c>
    </row>
    <row r="3768">
      <c r="A3768" t="inlineStr">
        <is>
          <t>2024-2025</t>
        </is>
      </c>
      <c r="B3768" t="inlineStr">
        <is>
          <t>2024-05-19</t>
        </is>
      </c>
      <c r="C3768" t="inlineStr">
        <is>
          <t>12:43</t>
        </is>
      </c>
      <c r="D3768" t="inlineStr">
        <is>
          <t>n° 7 + n° 8</t>
        </is>
      </c>
      <c r="E3768" t="inlineStr">
        <is>
          <t>CAMEMBERT ROTI</t>
        </is>
      </c>
      <c r="F3768" t="n">
        <v>18.6</v>
      </c>
      <c r="G3768" t="inlineStr">
        <is>
          <t>n° 7 : 0,50 + n° 8 : 0,50</t>
        </is>
      </c>
      <c r="H3768" t="n">
        <v>1</v>
      </c>
    </row>
    <row r="3769">
      <c r="A3769" t="inlineStr">
        <is>
          <t>2024-2025</t>
        </is>
      </c>
      <c r="B3769" t="inlineStr">
        <is>
          <t>2024-05-19</t>
        </is>
      </c>
      <c r="C3769" t="inlineStr">
        <is>
          <t>12:43</t>
        </is>
      </c>
      <c r="D3769" t="inlineStr">
        <is>
          <t>n° 7 + n° 8</t>
        </is>
      </c>
      <c r="E3769" t="inlineStr">
        <is>
          <t>Ambrée</t>
        </is>
      </c>
      <c r="F3769" t="n">
        <v>6.9</v>
      </c>
      <c r="G3769" t="inlineStr">
        <is>
          <t>n° 7 : 0,50 + n° 8 : 0,50</t>
        </is>
      </c>
      <c r="H3769" t="n">
        <v>1</v>
      </c>
    </row>
    <row r="3770">
      <c r="A3770" t="inlineStr">
        <is>
          <t>2024-2025</t>
        </is>
      </c>
      <c r="B3770" t="inlineStr">
        <is>
          <t>2024-05-19</t>
        </is>
      </c>
      <c r="C3770" t="inlineStr">
        <is>
          <t>12:43</t>
        </is>
      </c>
      <c r="D3770" t="inlineStr">
        <is>
          <t>n° 7 + n° 8</t>
        </is>
      </c>
      <c r="E3770" t="inlineStr">
        <is>
          <t>pression</t>
        </is>
      </c>
      <c r="F3770" t="n">
        <v>4.2</v>
      </c>
      <c r="G3770" t="inlineStr">
        <is>
          <t>n° 7 : 0,50 + n° 8 : 0,50</t>
        </is>
      </c>
      <c r="H3770" t="n">
        <v>1</v>
      </c>
    </row>
    <row r="3771">
      <c r="A3771" t="inlineStr">
        <is>
          <t>2024-2025</t>
        </is>
      </c>
      <c r="B3771" t="inlineStr">
        <is>
          <t>2024-05-19</t>
        </is>
      </c>
      <c r="C3771" t="inlineStr">
        <is>
          <t>13:10</t>
        </is>
      </c>
      <c r="D3771" t="inlineStr">
        <is>
          <t>n° 13 + n° 14</t>
        </is>
      </c>
      <c r="E3771" t="inlineStr">
        <is>
          <t>ASSIETTE FRANC-COMTO</t>
        </is>
      </c>
      <c r="F3771" t="n">
        <v>18.6</v>
      </c>
      <c r="G3771" t="inlineStr">
        <is>
          <t>n° 13 : 0,50 + n° 14 : 0,50</t>
        </is>
      </c>
      <c r="H3771" t="n">
        <v>1</v>
      </c>
    </row>
    <row r="3772">
      <c r="A3772" t="inlineStr">
        <is>
          <t>2024-2025</t>
        </is>
      </c>
      <c r="B3772" t="inlineStr">
        <is>
          <t>2024-05-19</t>
        </is>
      </c>
      <c r="C3772" t="inlineStr">
        <is>
          <t>13:10</t>
        </is>
      </c>
      <c r="D3772" t="inlineStr">
        <is>
          <t>n° 13 + n° 14</t>
        </is>
      </c>
      <c r="E3772" t="inlineStr">
        <is>
          <t>Croûtes Morilles</t>
        </is>
      </c>
      <c r="F3772" t="n">
        <v>16.9</v>
      </c>
      <c r="G3772" t="inlineStr">
        <is>
          <t>n° 13 : 0,50 + n° 14 : 0,50</t>
        </is>
      </c>
      <c r="H3772" t="n">
        <v>1</v>
      </c>
    </row>
    <row r="3773">
      <c r="A3773" t="inlineStr">
        <is>
          <t>2024-2025</t>
        </is>
      </c>
      <c r="B3773" t="inlineStr">
        <is>
          <t>2024-05-19</t>
        </is>
      </c>
      <c r="C3773" t="inlineStr">
        <is>
          <t>13:10</t>
        </is>
      </c>
      <c r="D3773" t="inlineStr">
        <is>
          <t>n° 13 + n° 14</t>
        </is>
      </c>
      <c r="E3773" t="inlineStr">
        <is>
          <t>Feuilleté Forestier</t>
        </is>
      </c>
      <c r="F3773" t="n">
        <v>10.9</v>
      </c>
      <c r="G3773" t="inlineStr">
        <is>
          <t>n° 13 : 0,50 + n° 14 : 0,50</t>
        </is>
      </c>
      <c r="H3773" t="n">
        <v>1</v>
      </c>
    </row>
    <row r="3774">
      <c r="A3774" t="inlineStr">
        <is>
          <t>2024-2025</t>
        </is>
      </c>
      <c r="B3774" t="inlineStr">
        <is>
          <t>2024-05-19</t>
        </is>
      </c>
      <c r="C3774" t="inlineStr">
        <is>
          <t>13:10</t>
        </is>
      </c>
      <c r="D3774" t="inlineStr">
        <is>
          <t>n° 13 + n° 14</t>
        </is>
      </c>
      <c r="E3774" t="inlineStr">
        <is>
          <t>PICHET ALIGOTE 50cL</t>
        </is>
      </c>
      <c r="F3774" t="n">
        <v>10.5</v>
      </c>
      <c r="G3774" t="inlineStr">
        <is>
          <t>n° 13 : 0,50 + n° 14 : 0,50</t>
        </is>
      </c>
      <c r="H3774" t="n">
        <v>1</v>
      </c>
    </row>
    <row r="3775">
      <c r="A3775" t="inlineStr">
        <is>
          <t>2024-2025</t>
        </is>
      </c>
      <c r="B3775" t="inlineStr">
        <is>
          <t>2024-05-19</t>
        </is>
      </c>
      <c r="C3775" t="inlineStr">
        <is>
          <t>13:10</t>
        </is>
      </c>
      <c r="D3775" t="inlineStr">
        <is>
          <t>n° 13 + n° 14</t>
        </is>
      </c>
      <c r="E3775" t="inlineStr">
        <is>
          <t>Pichet CHUSLAN</t>
        </is>
      </c>
      <c r="F3775" t="n">
        <v>9.5</v>
      </c>
      <c r="G3775" t="inlineStr">
        <is>
          <t>n° 13 : 0,50 + n° 14 : 0,50</t>
        </is>
      </c>
      <c r="H3775" t="n">
        <v>1</v>
      </c>
    </row>
    <row r="3776">
      <c r="A3776" t="inlineStr">
        <is>
          <t>2024-2025</t>
        </is>
      </c>
      <c r="B3776" t="inlineStr">
        <is>
          <t>2024-05-19</t>
        </is>
      </c>
      <c r="C3776" t="inlineStr">
        <is>
          <t>13:10</t>
        </is>
      </c>
      <c r="D3776" t="inlineStr">
        <is>
          <t>n° 13 + n° 14</t>
        </is>
      </c>
      <c r="E3776" t="inlineStr">
        <is>
          <t>Ré</t>
        </is>
      </c>
      <c r="F3776" t="n">
        <v>9</v>
      </c>
      <c r="G3776" t="inlineStr">
        <is>
          <t>n° 13 : 0,50 + n° 14 : 0,50</t>
        </is>
      </c>
      <c r="H3776" t="n">
        <v>1</v>
      </c>
    </row>
    <row r="3777">
      <c r="A3777" t="inlineStr">
        <is>
          <t>2024-2025</t>
        </is>
      </c>
      <c r="B3777" t="inlineStr">
        <is>
          <t>2024-05-19</t>
        </is>
      </c>
      <c r="C3777" t="inlineStr">
        <is>
          <t>13:10</t>
        </is>
      </c>
      <c r="D3777" t="inlineStr">
        <is>
          <t>n° 13 + n° 14</t>
        </is>
      </c>
      <c r="E3777" t="inlineStr">
        <is>
          <t>Jambon sec</t>
        </is>
      </c>
      <c r="F3777" t="n">
        <v>8.9</v>
      </c>
      <c r="G3777" t="inlineStr">
        <is>
          <t>n° 13 : 0,50 + n° 14 : 0,50</t>
        </is>
      </c>
      <c r="H3777" t="n">
        <v>1</v>
      </c>
    </row>
    <row r="3778">
      <c r="A3778" t="inlineStr">
        <is>
          <t>2024-2025</t>
        </is>
      </c>
      <c r="B3778" t="inlineStr">
        <is>
          <t>2024-05-19</t>
        </is>
      </c>
      <c r="C3778" t="inlineStr">
        <is>
          <t>13:10</t>
        </is>
      </c>
      <c r="D3778" t="inlineStr">
        <is>
          <t>n° 13 + n° 14</t>
        </is>
      </c>
      <c r="E3778" t="inlineStr">
        <is>
          <t>KITTYKIR</t>
        </is>
      </c>
      <c r="F3778" t="n">
        <v>5.2</v>
      </c>
      <c r="G3778" t="inlineStr">
        <is>
          <t>n° 13 : 0,50 + n° 14 : 0,50</t>
        </is>
      </c>
      <c r="H3778" t="n">
        <v>1</v>
      </c>
    </row>
    <row r="3779">
      <c r="A3779" t="inlineStr">
        <is>
          <t>2024-2025</t>
        </is>
      </c>
      <c r="B3779" t="inlineStr">
        <is>
          <t>2024-05-19</t>
        </is>
      </c>
      <c r="C3779" t="inlineStr">
        <is>
          <t>13:10</t>
        </is>
      </c>
      <c r="D3779" t="inlineStr">
        <is>
          <t>n° 13 + n° 14</t>
        </is>
      </c>
      <c r="E3779" t="inlineStr">
        <is>
          <t>Martini Blanc</t>
        </is>
      </c>
      <c r="F3779" t="n">
        <v>4.9</v>
      </c>
      <c r="G3779" t="inlineStr">
        <is>
          <t>n° 13 : 0,50 + n° 14 : 0,50</t>
        </is>
      </c>
      <c r="H3779" t="n">
        <v>1</v>
      </c>
    </row>
    <row r="3780">
      <c r="A3780" t="inlineStr">
        <is>
          <t>2024-2025</t>
        </is>
      </c>
      <c r="B3780" t="inlineStr">
        <is>
          <t>2024-05-19</t>
        </is>
      </c>
      <c r="C3780" t="inlineStr">
        <is>
          <t>19:42</t>
        </is>
      </c>
      <c r="D3780" t="inlineStr">
        <is>
          <t>n° 21 + n° 22</t>
        </is>
      </c>
      <c r="E3780" t="inlineStr">
        <is>
          <t>Arbois Trousseau Bou</t>
        </is>
      </c>
      <c r="F3780" t="n">
        <v>36</v>
      </c>
      <c r="G3780" t="inlineStr">
        <is>
          <t>n° 21 : 0,50 + n° 22 : 0,50</t>
        </is>
      </c>
      <c r="H3780" t="n">
        <v>1</v>
      </c>
    </row>
    <row r="3781">
      <c r="A3781" t="inlineStr">
        <is>
          <t>2024-2025</t>
        </is>
      </c>
      <c r="B3781" t="inlineStr">
        <is>
          <t>2024-05-19</t>
        </is>
      </c>
      <c r="C3781" t="inlineStr">
        <is>
          <t>19:42</t>
        </is>
      </c>
      <c r="D3781" t="inlineStr">
        <is>
          <t>n° 21 + n° 22</t>
        </is>
      </c>
      <c r="E3781" t="inlineStr">
        <is>
          <t>PAYSANNE</t>
        </is>
      </c>
      <c r="F3781" t="n">
        <v>19.9</v>
      </c>
      <c r="G3781" t="inlineStr">
        <is>
          <t>n° 21 : 0,50 + n° 22 : 0,50</t>
        </is>
      </c>
      <c r="H3781" t="n">
        <v>1</v>
      </c>
    </row>
    <row r="3782">
      <c r="A3782" t="inlineStr">
        <is>
          <t>2024-2025</t>
        </is>
      </c>
      <c r="B3782" t="inlineStr">
        <is>
          <t>2024-05-19</t>
        </is>
      </c>
      <c r="C3782" t="inlineStr">
        <is>
          <t>19:42</t>
        </is>
      </c>
      <c r="D3782" t="inlineStr">
        <is>
          <t>n° 21 + n° 22</t>
        </is>
      </c>
      <c r="E3782" t="inlineStr">
        <is>
          <t>POULET JURASSIENNE</t>
        </is>
      </c>
      <c r="F3782" t="n">
        <v>18.6</v>
      </c>
      <c r="G3782" t="inlineStr">
        <is>
          <t>n° 21 : 0,50 + n° 22 : 0,50</t>
        </is>
      </c>
      <c r="H3782" t="n">
        <v>1</v>
      </c>
    </row>
    <row r="3783">
      <c r="A3783" t="inlineStr">
        <is>
          <t>2024-2025</t>
        </is>
      </c>
      <c r="B3783" t="inlineStr">
        <is>
          <t>2024-05-19</t>
        </is>
      </c>
      <c r="C3783" t="inlineStr">
        <is>
          <t>19:42</t>
        </is>
      </c>
      <c r="D3783" t="inlineStr">
        <is>
          <t>n° 21 + n° 22</t>
        </is>
      </c>
      <c r="E3783" t="inlineStr">
        <is>
          <t>CABRICHOU</t>
        </is>
      </c>
      <c r="F3783" t="n">
        <v>16.9</v>
      </c>
      <c r="G3783" t="inlineStr">
        <is>
          <t>n° 21 : 0,50 + n° 22 : 0,50</t>
        </is>
      </c>
      <c r="H3783" t="n">
        <v>1</v>
      </c>
    </row>
    <row r="3784">
      <c r="A3784" t="inlineStr">
        <is>
          <t>2024-2025</t>
        </is>
      </c>
      <c r="B3784" t="inlineStr">
        <is>
          <t>2024-05-19</t>
        </is>
      </c>
      <c r="C3784" t="inlineStr">
        <is>
          <t>19:42</t>
        </is>
      </c>
      <c r="D3784" t="inlineStr">
        <is>
          <t>n° 21 + n° 22</t>
        </is>
      </c>
      <c r="E3784" t="inlineStr">
        <is>
          <t>TRUITE PESTO</t>
        </is>
      </c>
      <c r="F3784" t="n">
        <v>16.9</v>
      </c>
      <c r="G3784" t="inlineStr">
        <is>
          <t>n° 21 : 0,50 + n° 22 : 0,50</t>
        </is>
      </c>
      <c r="H3784" t="n">
        <v>1</v>
      </c>
    </row>
    <row r="3785">
      <c r="A3785" t="inlineStr">
        <is>
          <t>2024-2025</t>
        </is>
      </c>
      <c r="B3785" t="inlineStr">
        <is>
          <t>2024-05-19</t>
        </is>
      </c>
      <c r="C3785" t="inlineStr">
        <is>
          <t>19:42</t>
        </is>
      </c>
      <c r="D3785" t="inlineStr">
        <is>
          <t>n° 21 + n° 22</t>
        </is>
      </c>
      <c r="E3785" t="inlineStr">
        <is>
          <t>VOUIVRE</t>
        </is>
      </c>
      <c r="F3785" t="n">
        <v>14.6</v>
      </c>
      <c r="G3785" t="inlineStr">
        <is>
          <t>n° 21 : 0,50 + n° 22 : 0,50</t>
        </is>
      </c>
      <c r="H3785" t="n">
        <v>1</v>
      </c>
    </row>
    <row r="3786">
      <c r="A3786" t="inlineStr">
        <is>
          <t>2024-2025</t>
        </is>
      </c>
      <c r="B3786" t="inlineStr">
        <is>
          <t>2024-05-19</t>
        </is>
      </c>
      <c r="C3786" t="inlineStr">
        <is>
          <t>19:42</t>
        </is>
      </c>
      <c r="D3786" t="inlineStr">
        <is>
          <t>n° 21 + n° 22</t>
        </is>
      </c>
      <c r="E3786" t="inlineStr">
        <is>
          <t>BALIDOU</t>
        </is>
      </c>
      <c r="F3786" t="n">
        <v>9</v>
      </c>
      <c r="G3786" t="inlineStr">
        <is>
          <t>n° 21 : 0,50 + n° 22 : 0,50</t>
        </is>
      </c>
      <c r="H3786" t="n">
        <v>1</v>
      </c>
    </row>
    <row r="3787">
      <c r="A3787" t="inlineStr">
        <is>
          <t>2024-2025</t>
        </is>
      </c>
      <c r="B3787" t="inlineStr">
        <is>
          <t>2024-05-19</t>
        </is>
      </c>
      <c r="C3787" t="inlineStr">
        <is>
          <t>19:42</t>
        </is>
      </c>
      <c r="D3787" t="inlineStr">
        <is>
          <t>n° 21 + n° 22</t>
        </is>
      </c>
      <c r="E3787" t="inlineStr">
        <is>
          <t>Macvin du Jura</t>
        </is>
      </c>
      <c r="F3787" t="n">
        <v>5.9</v>
      </c>
      <c r="G3787" t="inlineStr">
        <is>
          <t>n° 21 : 0,50 + n° 22 : 0,50</t>
        </is>
      </c>
      <c r="H3787" t="n">
        <v>1</v>
      </c>
    </row>
    <row r="3788">
      <c r="A3788" t="inlineStr">
        <is>
          <t>2024-2025</t>
        </is>
      </c>
      <c r="B3788" t="inlineStr">
        <is>
          <t>2024-05-19</t>
        </is>
      </c>
      <c r="C3788" t="inlineStr">
        <is>
          <t>19:42</t>
        </is>
      </c>
      <c r="D3788" t="inlineStr">
        <is>
          <t>n° 21 + n° 22</t>
        </is>
      </c>
      <c r="E3788" t="inlineStr">
        <is>
          <t>Chat perché</t>
        </is>
      </c>
      <c r="F3788" t="n">
        <v>5.9</v>
      </c>
      <c r="G3788" t="inlineStr">
        <is>
          <t>n° 21 : 0,50 + n° 22 : 0,50</t>
        </is>
      </c>
      <c r="H3788" t="n">
        <v>1</v>
      </c>
    </row>
    <row r="3789">
      <c r="A3789" t="inlineStr">
        <is>
          <t>2024-2025</t>
        </is>
      </c>
      <c r="B3789" t="inlineStr">
        <is>
          <t>2024-05-19</t>
        </is>
      </c>
      <c r="C3789" t="inlineStr">
        <is>
          <t>19:42</t>
        </is>
      </c>
      <c r="D3789" t="inlineStr">
        <is>
          <t>n° 21 + n° 22</t>
        </is>
      </c>
      <c r="E3789" t="inlineStr">
        <is>
          <t>Kir Princier</t>
        </is>
      </c>
      <c r="F3789" t="n">
        <v>5.2</v>
      </c>
      <c r="G3789" t="inlineStr">
        <is>
          <t>n° 21 : 0,50 + n° 22 : 0,50</t>
        </is>
      </c>
      <c r="H3789" t="n">
        <v>1</v>
      </c>
    </row>
    <row r="3790">
      <c r="A3790" t="inlineStr">
        <is>
          <t>2024-2025</t>
        </is>
      </c>
      <c r="B3790" t="inlineStr">
        <is>
          <t>2024-05-19</t>
        </is>
      </c>
      <c r="C3790" t="inlineStr">
        <is>
          <t>19:42</t>
        </is>
      </c>
      <c r="D3790" t="inlineStr">
        <is>
          <t>n° 21 + n° 22</t>
        </is>
      </c>
      <c r="E3790" t="inlineStr">
        <is>
          <t>Crêpe au sucre</t>
        </is>
      </c>
      <c r="F3790" t="n">
        <v>3.9</v>
      </c>
      <c r="G3790" t="inlineStr">
        <is>
          <t>n° 21 : 0,50 + n° 22 : 0,50</t>
        </is>
      </c>
      <c r="H3790" t="n">
        <v>1</v>
      </c>
    </row>
    <row r="3791">
      <c r="A3791" t="inlineStr">
        <is>
          <t>2024-2025</t>
        </is>
      </c>
      <c r="B3791" t="inlineStr">
        <is>
          <t>2024-05-19</t>
        </is>
      </c>
      <c r="C3791" t="inlineStr">
        <is>
          <t>19:42</t>
        </is>
      </c>
      <c r="D3791" t="inlineStr">
        <is>
          <t>n° 21 + n° 22</t>
        </is>
      </c>
      <c r="E3791" t="inlineStr">
        <is>
          <t>Expresso</t>
        </is>
      </c>
      <c r="F3791" t="n">
        <v>2.2</v>
      </c>
      <c r="G3791" t="inlineStr">
        <is>
          <t>n° 21 : 1,50 + n° 22 : 1,50</t>
        </is>
      </c>
      <c r="H3791" t="n">
        <v>3</v>
      </c>
    </row>
    <row r="3792">
      <c r="A3792" t="inlineStr">
        <is>
          <t>2024-2025</t>
        </is>
      </c>
      <c r="B3792" t="inlineStr">
        <is>
          <t>2024-05-19</t>
        </is>
      </c>
      <c r="C3792" t="inlineStr">
        <is>
          <t>20:04</t>
        </is>
      </c>
      <c r="D3792" t="inlineStr">
        <is>
          <t>n° 28 + n° 29</t>
        </is>
      </c>
      <c r="E3792" t="inlineStr">
        <is>
          <t>Chèvre  chaud</t>
        </is>
      </c>
      <c r="F3792" t="n">
        <v>9.6</v>
      </c>
      <c r="G3792" t="inlineStr">
        <is>
          <t>n° 28 : 1,50 + n° 29 : 1,50</t>
        </is>
      </c>
      <c r="H3792" t="n">
        <v>3</v>
      </c>
    </row>
    <row r="3793">
      <c r="A3793" t="inlineStr">
        <is>
          <t>2024-2025</t>
        </is>
      </c>
      <c r="B3793" t="inlineStr">
        <is>
          <t>2024-05-19</t>
        </is>
      </c>
      <c r="C3793" t="inlineStr">
        <is>
          <t>20:04</t>
        </is>
      </c>
      <c r="D3793" t="inlineStr">
        <is>
          <t>n° 28 + n° 29</t>
        </is>
      </c>
      <c r="E3793" t="inlineStr">
        <is>
          <t>KITTYKIR</t>
        </is>
      </c>
      <c r="F3793" t="n">
        <v>5.2</v>
      </c>
      <c r="G3793" t="inlineStr">
        <is>
          <t>n° 28 : 0,50 + n° 29 : 0,50</t>
        </is>
      </c>
      <c r="H3793" t="n">
        <v>1</v>
      </c>
    </row>
    <row r="3794">
      <c r="A3794" t="inlineStr">
        <is>
          <t>2024-2025</t>
        </is>
      </c>
      <c r="B3794" t="inlineStr">
        <is>
          <t>2024-05-19</t>
        </is>
      </c>
      <c r="C3794" t="inlineStr">
        <is>
          <t>20:04</t>
        </is>
      </c>
      <c r="D3794" t="inlineStr">
        <is>
          <t>n° 28 + n° 29</t>
        </is>
      </c>
      <c r="E3794" t="inlineStr">
        <is>
          <t>Kir Bourgogne</t>
        </is>
      </c>
      <c r="F3794" t="n">
        <v>4.2</v>
      </c>
      <c r="G3794" t="inlineStr">
        <is>
          <t>n° 28 : 0,50 + n° 29 : 0,50</t>
        </is>
      </c>
      <c r="H3794" t="n">
        <v>1</v>
      </c>
    </row>
    <row r="3795">
      <c r="A3795" t="inlineStr">
        <is>
          <t>2024-2025</t>
        </is>
      </c>
      <c r="B3795" t="inlineStr">
        <is>
          <t>2024-05-19</t>
        </is>
      </c>
      <c r="C3795" t="inlineStr">
        <is>
          <t>20:04</t>
        </is>
      </c>
      <c r="D3795" t="inlineStr">
        <is>
          <t>n° 28 + n° 29</t>
        </is>
      </c>
      <c r="E3795" t="inlineStr">
        <is>
          <t>Fuze Tea</t>
        </is>
      </c>
      <c r="F3795" t="n">
        <v>3.9</v>
      </c>
      <c r="G3795" t="inlineStr">
        <is>
          <t>n° 28 : 0,50 + n° 29 : 0,50</t>
        </is>
      </c>
      <c r="H3795" t="n">
        <v>1</v>
      </c>
    </row>
    <row r="3796">
      <c r="A3796" t="inlineStr">
        <is>
          <t>2024-2025</t>
        </is>
      </c>
      <c r="B3796" t="inlineStr">
        <is>
          <t>2024-05-19</t>
        </is>
      </c>
      <c r="C3796" t="inlineStr">
        <is>
          <t>20:32</t>
        </is>
      </c>
      <c r="D3796" t="inlineStr">
        <is>
          <t>n° 32 + n° 33</t>
        </is>
      </c>
      <c r="E3796" t="inlineStr">
        <is>
          <t>Chat perché</t>
        </is>
      </c>
      <c r="F3796" t="n">
        <v>5.9</v>
      </c>
      <c r="G3796" t="inlineStr">
        <is>
          <t>n° 32 : 0,50 + n° 33 : 0,50</t>
        </is>
      </c>
      <c r="H3796" t="n">
        <v>1</v>
      </c>
    </row>
    <row r="3797">
      <c r="A3797" t="inlineStr">
        <is>
          <t>2024-2025</t>
        </is>
      </c>
      <c r="B3797" t="inlineStr">
        <is>
          <t>2024-05-19</t>
        </is>
      </c>
      <c r="C3797" t="inlineStr">
        <is>
          <t>20:32</t>
        </is>
      </c>
      <c r="D3797" t="inlineStr">
        <is>
          <t>n° 32 + n° 33</t>
        </is>
      </c>
      <c r="E3797" t="inlineStr">
        <is>
          <t>Père Gregoire</t>
        </is>
      </c>
      <c r="F3797" t="n">
        <v>5.9</v>
      </c>
      <c r="G3797" t="inlineStr">
        <is>
          <t>n° 32 : 0,50 + n° 33 : 0,50</t>
        </is>
      </c>
      <c r="H3797" t="n">
        <v>1</v>
      </c>
    </row>
    <row r="3798">
      <c r="A3798" t="inlineStr">
        <is>
          <t>2024-2025</t>
        </is>
      </c>
      <c r="B3798" t="inlineStr">
        <is>
          <t>2024-05-23</t>
        </is>
      </c>
      <c r="C3798" t="inlineStr">
        <is>
          <t>13:03</t>
        </is>
      </c>
      <c r="D3798" t="inlineStr">
        <is>
          <t>n° 13 + n° 14 + n° 15 + n° 16 + n° 17</t>
        </is>
      </c>
      <c r="E3798" t="inlineStr">
        <is>
          <t>Arbois Chardonnay Le</t>
        </is>
      </c>
      <c r="F3798" t="n">
        <v>29</v>
      </c>
      <c r="G3798" t="inlineStr">
        <is>
          <t>n° 15 : 0,33 + n° 16 : 0,34 + n° 17 : 0,33</t>
        </is>
      </c>
      <c r="H3798" t="n">
        <v>1</v>
      </c>
    </row>
    <row r="3799">
      <c r="A3799" t="inlineStr">
        <is>
          <t>2024-2025</t>
        </is>
      </c>
      <c r="B3799" t="inlineStr">
        <is>
          <t>2024-05-23</t>
        </is>
      </c>
      <c r="C3799" t="inlineStr">
        <is>
          <t>13:03</t>
        </is>
      </c>
      <c r="D3799" t="inlineStr">
        <is>
          <t>n° 13 + n° 14 + n° 15 + n° 16 + n° 17</t>
        </is>
      </c>
      <c r="E3799" t="inlineStr">
        <is>
          <t>TRUITE JURASSIENNE</t>
        </is>
      </c>
      <c r="F3799" t="n">
        <v>18.6</v>
      </c>
      <c r="G3799" t="inlineStr">
        <is>
          <t>n° 13 : 0,50 + n° 14 : 0,50</t>
        </is>
      </c>
      <c r="H3799" t="n">
        <v>1</v>
      </c>
    </row>
    <row r="3800">
      <c r="A3800" t="inlineStr">
        <is>
          <t>2024-2025</t>
        </is>
      </c>
      <c r="B3800" t="inlineStr">
        <is>
          <t>2024-05-23</t>
        </is>
      </c>
      <c r="C3800" t="inlineStr">
        <is>
          <t>13:03</t>
        </is>
      </c>
      <c r="D3800" t="inlineStr">
        <is>
          <t>n° 13 + n° 14 + n° 15 + n° 16 + n° 17</t>
        </is>
      </c>
      <c r="E3800" t="inlineStr">
        <is>
          <t>POULET JURASSIENNE</t>
        </is>
      </c>
      <c r="F3800" t="n">
        <v>18.6</v>
      </c>
      <c r="G3800" t="inlineStr">
        <is>
          <t>n° 13 : 0,50 + n° 14 : 0,50</t>
        </is>
      </c>
      <c r="H3800" t="n">
        <v>1</v>
      </c>
    </row>
    <row r="3801">
      <c r="A3801" t="inlineStr">
        <is>
          <t>2024-2025</t>
        </is>
      </c>
      <c r="B3801" t="inlineStr">
        <is>
          <t>2024-05-23</t>
        </is>
      </c>
      <c r="C3801" t="inlineStr">
        <is>
          <t>13:03</t>
        </is>
      </c>
      <c r="D3801" t="inlineStr">
        <is>
          <t>n° 13 + n° 14 + n° 15 + n° 16 + n° 17</t>
        </is>
      </c>
      <c r="E3801" t="inlineStr">
        <is>
          <t>Coca (25cl)</t>
        </is>
      </c>
      <c r="F3801" t="n">
        <v>3.9</v>
      </c>
      <c r="G3801" t="inlineStr">
        <is>
          <t>n° 13 : 0,50 + n° 14 : 0,50</t>
        </is>
      </c>
      <c r="H3801" t="n">
        <v>1</v>
      </c>
    </row>
    <row r="3802">
      <c r="A3802" t="inlineStr">
        <is>
          <t>2024-2025</t>
        </is>
      </c>
      <c r="B3802" t="inlineStr">
        <is>
          <t>2024-05-24</t>
        </is>
      </c>
      <c r="C3802" t="inlineStr">
        <is>
          <t>19:30</t>
        </is>
      </c>
      <c r="D3802" t="inlineStr">
        <is>
          <t>n° 10 + n° 11</t>
        </is>
      </c>
      <c r="E3802" t="inlineStr">
        <is>
          <t>CAMEMBERT ROTI</t>
        </is>
      </c>
      <c r="F3802" t="n">
        <v>18.6</v>
      </c>
      <c r="G3802" t="inlineStr">
        <is>
          <t>n° 10 : 0,50 + n° 11 : 0,50</t>
        </is>
      </c>
      <c r="H3802" t="n">
        <v>1</v>
      </c>
    </row>
    <row r="3803">
      <c r="A3803" t="inlineStr">
        <is>
          <t>2024-2025</t>
        </is>
      </c>
      <c r="B3803" t="inlineStr">
        <is>
          <t>2024-05-24</t>
        </is>
      </c>
      <c r="C3803" t="inlineStr">
        <is>
          <t>19:30</t>
        </is>
      </c>
      <c r="D3803" t="inlineStr">
        <is>
          <t>n° 10 + n° 11</t>
        </is>
      </c>
      <c r="E3803" t="inlineStr">
        <is>
          <t>PEUTE</t>
        </is>
      </c>
      <c r="F3803" t="n">
        <v>17.8</v>
      </c>
      <c r="G3803" t="inlineStr">
        <is>
          <t>n° 10 : 0,50 + n° 11 : 0,50</t>
        </is>
      </c>
      <c r="H3803" t="n">
        <v>1</v>
      </c>
    </row>
    <row r="3804">
      <c r="A3804" t="inlineStr">
        <is>
          <t>2024-2025</t>
        </is>
      </c>
      <c r="B3804" t="inlineStr">
        <is>
          <t>2024-05-24</t>
        </is>
      </c>
      <c r="C3804" t="inlineStr">
        <is>
          <t>19:30</t>
        </is>
      </c>
      <c r="D3804" t="inlineStr">
        <is>
          <t>n° 10 + n° 11</t>
        </is>
      </c>
      <c r="E3804" t="inlineStr">
        <is>
          <t>ECRESSI</t>
        </is>
      </c>
      <c r="F3804" t="n">
        <v>15.5</v>
      </c>
      <c r="G3804" t="inlineStr">
        <is>
          <t>n° 10 : 0,50 + n° 11 : 0,50</t>
        </is>
      </c>
      <c r="H3804" t="n">
        <v>1</v>
      </c>
    </row>
    <row r="3805">
      <c r="A3805" t="inlineStr">
        <is>
          <t>2024-2025</t>
        </is>
      </c>
      <c r="B3805" t="inlineStr">
        <is>
          <t>2024-05-24</t>
        </is>
      </c>
      <c r="C3805" t="inlineStr">
        <is>
          <t>19:30</t>
        </is>
      </c>
      <c r="D3805" t="inlineStr">
        <is>
          <t>n° 10 + n° 11</t>
        </is>
      </c>
      <c r="E3805" t="inlineStr">
        <is>
          <t>Pinte Picon</t>
        </is>
      </c>
      <c r="F3805" t="n">
        <v>9</v>
      </c>
      <c r="G3805" t="inlineStr">
        <is>
          <t>n° 10 : 0,50 + n° 11 : 0,50</t>
        </is>
      </c>
      <c r="H3805" t="n">
        <v>1</v>
      </c>
    </row>
    <row r="3806">
      <c r="A3806" t="inlineStr">
        <is>
          <t>2024-2025</t>
        </is>
      </c>
      <c r="B3806" t="inlineStr">
        <is>
          <t>2024-05-24</t>
        </is>
      </c>
      <c r="C3806" t="inlineStr">
        <is>
          <t>19:30</t>
        </is>
      </c>
      <c r="D3806" t="inlineStr">
        <is>
          <t>n° 10 + n° 11</t>
        </is>
      </c>
      <c r="E3806" t="inlineStr">
        <is>
          <t>CREME BRULEE</t>
        </is>
      </c>
      <c r="F3806" t="n">
        <v>7.9</v>
      </c>
      <c r="G3806" t="inlineStr">
        <is>
          <t>n° 10 : 0,50 + n° 11 : 0,50</t>
        </is>
      </c>
      <c r="H3806" t="n">
        <v>1</v>
      </c>
    </row>
    <row r="3807">
      <c r="A3807" t="inlineStr">
        <is>
          <t>2024-2025</t>
        </is>
      </c>
      <c r="B3807" t="inlineStr">
        <is>
          <t>2024-05-24</t>
        </is>
      </c>
      <c r="C3807" t="inlineStr">
        <is>
          <t>19:30</t>
        </is>
      </c>
      <c r="D3807" t="inlineStr">
        <is>
          <t>n° 10 + n° 11</t>
        </is>
      </c>
      <c r="E3807" t="inlineStr">
        <is>
          <t>La Vouivre</t>
        </is>
      </c>
      <c r="F3807" t="n">
        <v>5.9</v>
      </c>
      <c r="G3807" t="inlineStr">
        <is>
          <t>n° 10 : 0,50 + n° 11 : 0,50</t>
        </is>
      </c>
      <c r="H3807" t="n">
        <v>1</v>
      </c>
    </row>
    <row r="3808">
      <c r="A3808" t="inlineStr">
        <is>
          <t>2024-2025</t>
        </is>
      </c>
      <c r="B3808" t="inlineStr">
        <is>
          <t>2024-05-24</t>
        </is>
      </c>
      <c r="C3808" t="inlineStr">
        <is>
          <t>19:30</t>
        </is>
      </c>
      <c r="D3808" t="inlineStr">
        <is>
          <t>n° 10 + n° 11</t>
        </is>
      </c>
      <c r="E3808" t="inlineStr">
        <is>
          <t>GLACE 2 BOULES</t>
        </is>
      </c>
      <c r="F3808" t="n">
        <v>5.5</v>
      </c>
      <c r="G3808" t="inlineStr">
        <is>
          <t>n° 10 : 0,50 + n° 11 : 0,50</t>
        </is>
      </c>
      <c r="H3808" t="n">
        <v>1</v>
      </c>
    </row>
    <row r="3809">
      <c r="A3809" t="inlineStr">
        <is>
          <t>2024-2025</t>
        </is>
      </c>
      <c r="B3809" t="inlineStr">
        <is>
          <t>2024-05-24</t>
        </is>
      </c>
      <c r="C3809" t="inlineStr">
        <is>
          <t>19:30</t>
        </is>
      </c>
      <c r="D3809" t="inlineStr">
        <is>
          <t>n° 10 + n° 11</t>
        </is>
      </c>
      <c r="E3809" t="inlineStr">
        <is>
          <t>Picon bière</t>
        </is>
      </c>
      <c r="F3809" t="n">
        <v>4.8</v>
      </c>
      <c r="G3809" t="inlineStr">
        <is>
          <t>n° 10 : 0,50 + n° 11 : 0,50</t>
        </is>
      </c>
      <c r="H3809" t="n">
        <v>1</v>
      </c>
    </row>
    <row r="3810">
      <c r="A3810" t="inlineStr">
        <is>
          <t>2024-2025</t>
        </is>
      </c>
      <c r="B3810" t="inlineStr">
        <is>
          <t>2024-05-25</t>
        </is>
      </c>
      <c r="C3810" t="inlineStr">
        <is>
          <t>13:01</t>
        </is>
      </c>
      <c r="D3810" t="inlineStr">
        <is>
          <t>n° 15 + n° 16</t>
        </is>
      </c>
      <c r="E3810" t="inlineStr">
        <is>
          <t>C du Rhone St  Josep</t>
        </is>
      </c>
      <c r="F3810" t="n">
        <v>48.5</v>
      </c>
      <c r="G3810" t="inlineStr">
        <is>
          <t>n° 15 : 0,50 + n° 16 : 0,50</t>
        </is>
      </c>
      <c r="H3810" t="n">
        <v>1</v>
      </c>
    </row>
    <row r="3811">
      <c r="A3811" t="inlineStr">
        <is>
          <t>2024-2025</t>
        </is>
      </c>
      <c r="B3811" t="inlineStr">
        <is>
          <t>2024-05-25</t>
        </is>
      </c>
      <c r="C3811" t="inlineStr">
        <is>
          <t>13:01</t>
        </is>
      </c>
      <c r="D3811" t="inlineStr">
        <is>
          <t>n° 15 + n° 16</t>
        </is>
      </c>
      <c r="E3811" t="inlineStr">
        <is>
          <t>Fondue Forestière</t>
        </is>
      </c>
      <c r="F3811" t="n">
        <v>21.9</v>
      </c>
      <c r="G3811" t="inlineStr">
        <is>
          <t>n° 15 : 1,50 + n° 16 : 1,50</t>
        </is>
      </c>
      <c r="H3811" t="n">
        <v>3</v>
      </c>
    </row>
    <row r="3812">
      <c r="A3812" t="inlineStr">
        <is>
          <t>2024-2025</t>
        </is>
      </c>
      <c r="B3812" t="inlineStr">
        <is>
          <t>2024-05-25</t>
        </is>
      </c>
      <c r="C3812" t="inlineStr">
        <is>
          <t>13:01</t>
        </is>
      </c>
      <c r="D3812" t="inlineStr">
        <is>
          <t>n° 15 + n° 16</t>
        </is>
      </c>
      <c r="E3812" t="inlineStr">
        <is>
          <t>TANTELIN</t>
        </is>
      </c>
      <c r="F3812" t="n">
        <v>17.4</v>
      </c>
      <c r="G3812" t="inlineStr">
        <is>
          <t>n° 15 : 0,50 + n° 16 : 0,50</t>
        </is>
      </c>
      <c r="H3812" t="n">
        <v>1</v>
      </c>
    </row>
    <row r="3813">
      <c r="A3813" t="inlineStr">
        <is>
          <t>2024-2025</t>
        </is>
      </c>
      <c r="B3813" t="inlineStr">
        <is>
          <t>2024-05-25</t>
        </is>
      </c>
      <c r="C3813" t="inlineStr">
        <is>
          <t>13:01</t>
        </is>
      </c>
      <c r="D3813" t="inlineStr">
        <is>
          <t>n° 15 + n° 16</t>
        </is>
      </c>
      <c r="E3813" t="inlineStr">
        <is>
          <t>Assortiment charcute</t>
        </is>
      </c>
      <c r="F3813" t="n">
        <v>8.9</v>
      </c>
      <c r="G3813" t="inlineStr">
        <is>
          <t>n° 15 : 0,50 + n° 16 : 0,50</t>
        </is>
      </c>
      <c r="H3813" t="n">
        <v>1</v>
      </c>
    </row>
    <row r="3814">
      <c r="A3814" t="inlineStr">
        <is>
          <t>2024-2025</t>
        </is>
      </c>
      <c r="B3814" t="inlineStr">
        <is>
          <t>2024-05-25</t>
        </is>
      </c>
      <c r="C3814" t="inlineStr">
        <is>
          <t>13:01</t>
        </is>
      </c>
      <c r="D3814" t="inlineStr">
        <is>
          <t>n° 15 + n° 16</t>
        </is>
      </c>
      <c r="E3814" t="inlineStr">
        <is>
          <t>Saint Véran Verre</t>
        </is>
      </c>
      <c r="F3814" t="n">
        <v>7.9</v>
      </c>
      <c r="G3814" t="inlineStr">
        <is>
          <t>n° 15 : 0,50 + n° 16 : 0,50</t>
        </is>
      </c>
      <c r="H3814" t="n">
        <v>1</v>
      </c>
    </row>
    <row r="3815">
      <c r="A3815" t="inlineStr">
        <is>
          <t>2024-2025</t>
        </is>
      </c>
      <c r="B3815" t="inlineStr">
        <is>
          <t>2024-05-25</t>
        </is>
      </c>
      <c r="C3815" t="inlineStr">
        <is>
          <t>13:01</t>
        </is>
      </c>
      <c r="D3815" t="inlineStr">
        <is>
          <t>n° 15 + n° 16</t>
        </is>
      </c>
      <c r="E3815" t="inlineStr">
        <is>
          <t>Salade Verte</t>
        </is>
      </c>
      <c r="F3815" t="n">
        <v>5.9</v>
      </c>
      <c r="G3815" t="inlineStr">
        <is>
          <t>n° 15 : 0,50 + n° 16 : 0,50</t>
        </is>
      </c>
      <c r="H3815" t="n">
        <v>1</v>
      </c>
    </row>
    <row r="3816">
      <c r="A3816" t="inlineStr">
        <is>
          <t>2024-2025</t>
        </is>
      </c>
      <c r="B3816" t="inlineStr">
        <is>
          <t>2024-05-25</t>
        </is>
      </c>
      <c r="C3816" t="inlineStr">
        <is>
          <t>13:01</t>
        </is>
      </c>
      <c r="D3816" t="inlineStr">
        <is>
          <t>n° 15 + n° 16</t>
        </is>
      </c>
      <c r="E3816" t="inlineStr">
        <is>
          <t>GLACE 2 BOULES</t>
        </is>
      </c>
      <c r="F3816" t="n">
        <v>5.5</v>
      </c>
      <c r="G3816" t="inlineStr">
        <is>
          <t>n° 15 : 0,50 + n° 16 : 0,50</t>
        </is>
      </c>
      <c r="H3816" t="n">
        <v>1</v>
      </c>
    </row>
    <row r="3817">
      <c r="A3817" t="inlineStr">
        <is>
          <t>2024-2025</t>
        </is>
      </c>
      <c r="B3817" t="inlineStr">
        <is>
          <t>2024-05-25</t>
        </is>
      </c>
      <c r="C3817" t="inlineStr">
        <is>
          <t>13:01</t>
        </is>
      </c>
      <c r="D3817" t="inlineStr">
        <is>
          <t>n° 15 + n° 16</t>
        </is>
      </c>
      <c r="E3817" t="inlineStr">
        <is>
          <t>Jus de Fruit</t>
        </is>
      </c>
      <c r="F3817" t="n">
        <v>4.2</v>
      </c>
      <c r="G3817" t="inlineStr">
        <is>
          <t>n° 15 : 0,50 + n° 16 : 0,50</t>
        </is>
      </c>
      <c r="H3817" t="n">
        <v>1</v>
      </c>
    </row>
    <row r="3818">
      <c r="A3818" t="inlineStr">
        <is>
          <t>2024-2025</t>
        </is>
      </c>
      <c r="B3818" t="inlineStr">
        <is>
          <t>2024-05-25</t>
        </is>
      </c>
      <c r="C3818" t="inlineStr">
        <is>
          <t>13:01</t>
        </is>
      </c>
      <c r="D3818" t="inlineStr">
        <is>
          <t>n° 15 + n° 16</t>
        </is>
      </c>
      <c r="E3818" t="inlineStr">
        <is>
          <t>Pommes grenailles</t>
        </is>
      </c>
      <c r="F3818" t="n">
        <v>3.9</v>
      </c>
      <c r="G3818" t="inlineStr">
        <is>
          <t>n° 15 : 0,50 + n° 16 : 0,50</t>
        </is>
      </c>
      <c r="H3818" t="n">
        <v>1</v>
      </c>
    </row>
    <row r="3819">
      <c r="A3819" t="inlineStr">
        <is>
          <t>2024-2025</t>
        </is>
      </c>
      <c r="B3819" t="inlineStr">
        <is>
          <t>2024-05-25</t>
        </is>
      </c>
      <c r="C3819" t="inlineStr">
        <is>
          <t>13:01</t>
        </is>
      </c>
      <c r="D3819" t="inlineStr">
        <is>
          <t>n° 15 + n° 16</t>
        </is>
      </c>
      <c r="E3819" t="inlineStr">
        <is>
          <t>GLACE 1 BOULE</t>
        </is>
      </c>
      <c r="F3819" t="n">
        <v>3.5</v>
      </c>
      <c r="G3819" t="inlineStr">
        <is>
          <t>n° 15 : 0,50 + n° 16 : 0,50</t>
        </is>
      </c>
      <c r="H3819" t="n">
        <v>1</v>
      </c>
    </row>
    <row r="3820">
      <c r="A3820" t="inlineStr">
        <is>
          <t>2024-2025</t>
        </is>
      </c>
      <c r="B3820" t="inlineStr">
        <is>
          <t>2024-05-25</t>
        </is>
      </c>
      <c r="C3820" t="inlineStr">
        <is>
          <t>13:01</t>
        </is>
      </c>
      <c r="D3820" t="inlineStr">
        <is>
          <t>n° 15 + n° 16</t>
        </is>
      </c>
      <c r="E3820" t="inlineStr">
        <is>
          <t>Expresso</t>
        </is>
      </c>
      <c r="F3820" t="n">
        <v>2.2</v>
      </c>
      <c r="G3820" t="inlineStr">
        <is>
          <t>n° 15 : 1,50 + n° 16 : 1,50</t>
        </is>
      </c>
      <c r="H3820" t="n">
        <v>3</v>
      </c>
    </row>
    <row r="3821">
      <c r="A3821" t="inlineStr">
        <is>
          <t>2024-2025</t>
        </is>
      </c>
      <c r="B3821" t="inlineStr">
        <is>
          <t>2024-05-25</t>
        </is>
      </c>
      <c r="C3821" t="inlineStr">
        <is>
          <t>13:01</t>
        </is>
      </c>
      <c r="D3821" t="inlineStr">
        <is>
          <t>n° 15 + n° 16</t>
        </is>
      </c>
      <c r="E3821" t="inlineStr">
        <is>
          <t>Chantilly</t>
        </is>
      </c>
      <c r="F3821" t="n">
        <v>2</v>
      </c>
      <c r="G3821" t="inlineStr">
        <is>
          <t>n° 15 : 0,50 + n° 16 : 0,50</t>
        </is>
      </c>
      <c r="H3821" t="n">
        <v>1</v>
      </c>
    </row>
    <row r="3822">
      <c r="A3822" t="inlineStr">
        <is>
          <t>2024-2025</t>
        </is>
      </c>
      <c r="B3822" t="inlineStr">
        <is>
          <t>2024-05-25</t>
        </is>
      </c>
      <c r="C3822" t="inlineStr">
        <is>
          <t>19:50</t>
        </is>
      </c>
      <c r="D3822" t="inlineStr">
        <is>
          <t>n° 25 + n° 26</t>
        </is>
      </c>
      <c r="E3822" t="inlineStr">
        <is>
          <t>Crêpe Pommes</t>
        </is>
      </c>
      <c r="F3822" t="n">
        <v>7.1</v>
      </c>
      <c r="G3822" t="inlineStr">
        <is>
          <t>n° 25 : 0,50 + n° 26 : 0,50</t>
        </is>
      </c>
      <c r="H3822" t="n">
        <v>1</v>
      </c>
    </row>
    <row r="3823">
      <c r="A3823" t="inlineStr">
        <is>
          <t>2024-2025</t>
        </is>
      </c>
      <c r="B3823" t="inlineStr">
        <is>
          <t>2024-05-25</t>
        </is>
      </c>
      <c r="C3823" t="inlineStr">
        <is>
          <t>19:50</t>
        </is>
      </c>
      <c r="D3823" t="inlineStr">
        <is>
          <t>n° 25 + n° 26</t>
        </is>
      </c>
      <c r="E3823" t="inlineStr">
        <is>
          <t>Salade Verte</t>
        </is>
      </c>
      <c r="F3823" t="n">
        <v>5.9</v>
      </c>
      <c r="G3823" t="inlineStr">
        <is>
          <t>n° 25 : 0,50 + n° 26 : 0,50</t>
        </is>
      </c>
      <c r="H3823" t="n">
        <v>1</v>
      </c>
    </row>
    <row r="3824">
      <c r="A3824" t="inlineStr">
        <is>
          <t>2024-2025</t>
        </is>
      </c>
      <c r="B3824" t="inlineStr">
        <is>
          <t>2024-05-25</t>
        </is>
      </c>
      <c r="C3824" t="inlineStr">
        <is>
          <t>19:50</t>
        </is>
      </c>
      <c r="D3824" t="inlineStr">
        <is>
          <t>n° 25 + n° 26</t>
        </is>
      </c>
      <c r="E3824" t="inlineStr">
        <is>
          <t>GLACE 2 BOULES</t>
        </is>
      </c>
      <c r="F3824" t="n">
        <v>5.5</v>
      </c>
      <c r="G3824" t="inlineStr">
        <is>
          <t>n° 25 : 0,50 + n° 26 : 0,50</t>
        </is>
      </c>
      <c r="H3824" t="n">
        <v>1</v>
      </c>
    </row>
    <row r="3825">
      <c r="A3825" t="inlineStr">
        <is>
          <t>2024-2025</t>
        </is>
      </c>
      <c r="B3825" t="inlineStr">
        <is>
          <t>2024-05-25</t>
        </is>
      </c>
      <c r="C3825" t="inlineStr">
        <is>
          <t>19:50</t>
        </is>
      </c>
      <c r="D3825" t="inlineStr">
        <is>
          <t>n° 25 + n° 26</t>
        </is>
      </c>
      <c r="E3825" t="inlineStr">
        <is>
          <t>Picon bière</t>
        </is>
      </c>
      <c r="F3825" t="n">
        <v>4.8</v>
      </c>
      <c r="G3825" t="inlineStr">
        <is>
          <t>n° 25 : 0,50 + n° 26 : 0,50</t>
        </is>
      </c>
      <c r="H3825" t="n">
        <v>1</v>
      </c>
    </row>
    <row r="3826">
      <c r="A3826" t="inlineStr">
        <is>
          <t>2024-2025</t>
        </is>
      </c>
      <c r="B3826" t="inlineStr">
        <is>
          <t>2024-05-25</t>
        </is>
      </c>
      <c r="C3826" t="inlineStr">
        <is>
          <t>19:50</t>
        </is>
      </c>
      <c r="D3826" t="inlineStr">
        <is>
          <t>n° 25 + n° 26</t>
        </is>
      </c>
      <c r="E3826" t="inlineStr">
        <is>
          <t>Panaché</t>
        </is>
      </c>
      <c r="F3826" t="n">
        <v>4.2</v>
      </c>
      <c r="G3826" t="inlineStr">
        <is>
          <t>n° 25 : 0,50 + n° 26 : 0,50</t>
        </is>
      </c>
      <c r="H3826" t="n">
        <v>1</v>
      </c>
    </row>
    <row r="3827">
      <c r="A3827" t="inlineStr">
        <is>
          <t>2024-2025</t>
        </is>
      </c>
      <c r="B3827" t="inlineStr">
        <is>
          <t>2024-05-25</t>
        </is>
      </c>
      <c r="C3827" t="inlineStr">
        <is>
          <t>19:50</t>
        </is>
      </c>
      <c r="D3827" t="inlineStr">
        <is>
          <t>n° 25 + n° 26</t>
        </is>
      </c>
      <c r="E3827" t="inlineStr">
        <is>
          <t>POMMES FRITES</t>
        </is>
      </c>
      <c r="F3827" t="n">
        <v>3.9</v>
      </c>
      <c r="G3827" t="inlineStr">
        <is>
          <t>n° 25 : 1,50 + n° 26 : 1,50</t>
        </is>
      </c>
      <c r="H3827" t="n">
        <v>3</v>
      </c>
    </row>
    <row r="3828">
      <c r="A3828" t="inlineStr">
        <is>
          <t>2024-2025</t>
        </is>
      </c>
      <c r="B3828" t="inlineStr">
        <is>
          <t>2024-05-25</t>
        </is>
      </c>
      <c r="C3828" t="inlineStr">
        <is>
          <t>19:50</t>
        </is>
      </c>
      <c r="D3828" t="inlineStr">
        <is>
          <t>n° 25 + n° 26</t>
        </is>
      </c>
      <c r="E3828" t="inlineStr">
        <is>
          <t>Diabolo (25cl)</t>
        </is>
      </c>
      <c r="F3828" t="n">
        <v>3.9</v>
      </c>
      <c r="G3828" t="inlineStr">
        <is>
          <t>n° 25 : 0,50 + n° 26 : 0,50</t>
        </is>
      </c>
      <c r="H3828" t="n">
        <v>1</v>
      </c>
    </row>
    <row r="3829">
      <c r="A3829" t="inlineStr">
        <is>
          <t>2024-2025</t>
        </is>
      </c>
      <c r="B3829" t="inlineStr">
        <is>
          <t>2024-05-25</t>
        </is>
      </c>
      <c r="C3829" t="inlineStr">
        <is>
          <t>19:50</t>
        </is>
      </c>
      <c r="D3829" t="inlineStr">
        <is>
          <t>n° 25 + n° 26</t>
        </is>
      </c>
      <c r="E3829" t="inlineStr">
        <is>
          <t>Verre Rosé</t>
        </is>
      </c>
      <c r="F3829" t="n">
        <v>3.9</v>
      </c>
      <c r="G3829" t="inlineStr">
        <is>
          <t>n° 25 : 0,50 + n° 26 : 0,50</t>
        </is>
      </c>
      <c r="H3829" t="n">
        <v>1</v>
      </c>
    </row>
    <row r="3830">
      <c r="A3830" t="inlineStr">
        <is>
          <t>2024-2025</t>
        </is>
      </c>
      <c r="B3830" t="inlineStr">
        <is>
          <t>2024-05-25</t>
        </is>
      </c>
      <c r="C3830" t="inlineStr">
        <is>
          <t>19:50</t>
        </is>
      </c>
      <c r="D3830" t="inlineStr">
        <is>
          <t>n° 25 + n° 26</t>
        </is>
      </c>
      <c r="E3830" t="inlineStr">
        <is>
          <t>Sirop à l'eau</t>
        </is>
      </c>
      <c r="F3830" t="n">
        <v>2.2</v>
      </c>
      <c r="G3830" t="inlineStr">
        <is>
          <t>n° 25 : 0,50 + n° 26 : 0,50</t>
        </is>
      </c>
      <c r="H3830" t="n">
        <v>1</v>
      </c>
    </row>
    <row r="3831">
      <c r="A3831" t="inlineStr">
        <is>
          <t>2024-2025</t>
        </is>
      </c>
      <c r="B3831" t="inlineStr">
        <is>
          <t>2024-05-25</t>
        </is>
      </c>
      <c r="C3831" t="inlineStr">
        <is>
          <t>19:50</t>
        </is>
      </c>
      <c r="D3831" t="inlineStr">
        <is>
          <t>n° 25 + n° 26</t>
        </is>
      </c>
      <c r="E3831" t="inlineStr">
        <is>
          <t>Chantilly</t>
        </is>
      </c>
      <c r="F3831" t="n">
        <v>2</v>
      </c>
      <c r="G3831" t="inlineStr">
        <is>
          <t>n° 25 : 0,50 + n° 26 : 0,50</t>
        </is>
      </c>
      <c r="H3831" t="n">
        <v>1</v>
      </c>
    </row>
    <row r="3832">
      <c r="A3832" t="inlineStr">
        <is>
          <t>2024-2025</t>
        </is>
      </c>
      <c r="B3832" t="inlineStr">
        <is>
          <t>2024-05-25</t>
        </is>
      </c>
      <c r="C3832" t="inlineStr">
        <is>
          <t>19:50</t>
        </is>
      </c>
      <c r="D3832" t="inlineStr">
        <is>
          <t>n° 25 + n° 26</t>
        </is>
      </c>
      <c r="E3832" t="inlineStr">
        <is>
          <t>Amandes grillées</t>
        </is>
      </c>
      <c r="F3832" t="n">
        <v>1.4</v>
      </c>
      <c r="G3832" t="inlineStr">
        <is>
          <t>n° 25 : 0,50 + n° 26 : 0,50</t>
        </is>
      </c>
      <c r="H3832" t="n">
        <v>1</v>
      </c>
    </row>
    <row r="3833">
      <c r="A3833" t="inlineStr">
        <is>
          <t>2024-2025</t>
        </is>
      </c>
      <c r="B3833" t="inlineStr">
        <is>
          <t>2024-05-25</t>
        </is>
      </c>
      <c r="C3833" t="inlineStr">
        <is>
          <t>20:44</t>
        </is>
      </c>
      <c r="D3833" t="inlineStr">
        <is>
          <t>n° 34 + n° 35 + n° 36</t>
        </is>
      </c>
      <c r="E3833" t="inlineStr">
        <is>
          <t>MACON bouteille</t>
        </is>
      </c>
      <c r="F3833" t="n">
        <v>31</v>
      </c>
      <c r="G3833" t="inlineStr">
        <is>
          <t>n° 34 : 0,33 + n° 35 : 0,17 + n° 36 : 0,50</t>
        </is>
      </c>
      <c r="H3833" t="n">
        <v>1</v>
      </c>
    </row>
    <row r="3834">
      <c r="A3834" t="inlineStr">
        <is>
          <t>2024-2025</t>
        </is>
      </c>
      <c r="B3834" t="inlineStr">
        <is>
          <t>2024-05-25</t>
        </is>
      </c>
      <c r="C3834" t="inlineStr">
        <is>
          <t>20:44</t>
        </is>
      </c>
      <c r="D3834" t="inlineStr">
        <is>
          <t>n° 34 + n° 35 + n° 36</t>
        </is>
      </c>
      <c r="E3834" t="inlineStr">
        <is>
          <t>PAYSANNE</t>
        </is>
      </c>
      <c r="F3834" t="n">
        <v>19.9</v>
      </c>
      <c r="G3834" t="inlineStr">
        <is>
          <t>n° 34 : 0,67 + n° 35 : 0,33 + n° 36 : 1,00</t>
        </is>
      </c>
      <c r="H3834" t="n">
        <v>2</v>
      </c>
    </row>
    <row r="3835">
      <c r="A3835" t="inlineStr">
        <is>
          <t>2024-2025</t>
        </is>
      </c>
      <c r="B3835" t="inlineStr">
        <is>
          <t>2024-05-25</t>
        </is>
      </c>
      <c r="C3835" t="inlineStr">
        <is>
          <t>20:44</t>
        </is>
      </c>
      <c r="D3835" t="inlineStr">
        <is>
          <t>n° 34 + n° 35 + n° 36</t>
        </is>
      </c>
      <c r="E3835" t="inlineStr">
        <is>
          <t>CAMEMBERT ROTI</t>
        </is>
      </c>
      <c r="F3835" t="n">
        <v>18.6</v>
      </c>
      <c r="G3835" t="inlineStr">
        <is>
          <t>n° 34 : 0,67 + n° 35 : 0,33 + n° 36 : 1,00</t>
        </is>
      </c>
      <c r="H3835" t="n">
        <v>2</v>
      </c>
    </row>
    <row r="3836">
      <c r="A3836" t="inlineStr">
        <is>
          <t>2024-2025</t>
        </is>
      </c>
      <c r="B3836" t="inlineStr">
        <is>
          <t>2024-05-25</t>
        </is>
      </c>
      <c r="C3836" t="inlineStr">
        <is>
          <t>20:44</t>
        </is>
      </c>
      <c r="D3836" t="inlineStr">
        <is>
          <t>n° 34 + n° 35 + n° 36</t>
        </is>
      </c>
      <c r="E3836" t="inlineStr">
        <is>
          <t>TRUITE JURASSIENNE</t>
        </is>
      </c>
      <c r="F3836" t="n">
        <v>18.6</v>
      </c>
      <c r="G3836" t="inlineStr">
        <is>
          <t>n° 34 : 0,33 + n° 35 : 0,17 + n° 36 : 0,50</t>
        </is>
      </c>
      <c r="H3836" t="n">
        <v>1</v>
      </c>
    </row>
    <row r="3837">
      <c r="A3837" t="inlineStr">
        <is>
          <t>2024-2025</t>
        </is>
      </c>
      <c r="B3837" t="inlineStr">
        <is>
          <t>2024-05-25</t>
        </is>
      </c>
      <c r="C3837" t="inlineStr">
        <is>
          <t>20:44</t>
        </is>
      </c>
      <c r="D3837" t="inlineStr">
        <is>
          <t>n° 34 + n° 35 + n° 36</t>
        </is>
      </c>
      <c r="E3837" t="inlineStr">
        <is>
          <t>PEUTE</t>
        </is>
      </c>
      <c r="F3837" t="n">
        <v>17.8</v>
      </c>
      <c r="G3837" t="inlineStr">
        <is>
          <t>n° 34 : 0,33 + n° 35 : 0,17 + n° 36 : 0,50</t>
        </is>
      </c>
      <c r="H3837" t="n">
        <v>1</v>
      </c>
    </row>
    <row r="3838">
      <c r="A3838" t="inlineStr">
        <is>
          <t>2024-2025</t>
        </is>
      </c>
      <c r="B3838" t="inlineStr">
        <is>
          <t>2024-05-25</t>
        </is>
      </c>
      <c r="C3838" t="inlineStr">
        <is>
          <t>20:44</t>
        </is>
      </c>
      <c r="D3838" t="inlineStr">
        <is>
          <t>n° 34 + n° 35 + n° 36</t>
        </is>
      </c>
      <c r="E3838" t="inlineStr">
        <is>
          <t>GLACE 2 BOULES</t>
        </is>
      </c>
      <c r="F3838" t="n">
        <v>5.5</v>
      </c>
      <c r="G3838" t="inlineStr">
        <is>
          <t>n° 34 : 1,00 + n° 35 : 0,50 + n° 36 : 1,50</t>
        </is>
      </c>
      <c r="H3838" t="n">
        <v>3</v>
      </c>
    </row>
    <row r="3839">
      <c r="A3839" t="inlineStr">
        <is>
          <t>2024-2025</t>
        </is>
      </c>
      <c r="B3839" t="inlineStr">
        <is>
          <t>2024-05-25</t>
        </is>
      </c>
      <c r="C3839" t="inlineStr">
        <is>
          <t>20:44</t>
        </is>
      </c>
      <c r="D3839" t="inlineStr">
        <is>
          <t>n° 34 + n° 35 + n° 36</t>
        </is>
      </c>
      <c r="E3839" t="inlineStr">
        <is>
          <t>GLACE 1 BOULE</t>
        </is>
      </c>
      <c r="F3839" t="n">
        <v>3.5</v>
      </c>
      <c r="G3839" t="inlineStr">
        <is>
          <t>n° 34 : 0,33 + n° 35 : 0,17 + n° 36 : 0,50</t>
        </is>
      </c>
      <c r="H3839" t="n">
        <v>1</v>
      </c>
    </row>
    <row r="3840">
      <c r="A3840" t="inlineStr">
        <is>
          <t>2024-2025</t>
        </is>
      </c>
      <c r="B3840" t="inlineStr">
        <is>
          <t>2024-05-25</t>
        </is>
      </c>
      <c r="C3840" t="inlineStr">
        <is>
          <t>20:44</t>
        </is>
      </c>
      <c r="D3840" t="inlineStr">
        <is>
          <t>n° 34 + n° 35 + n° 36</t>
        </is>
      </c>
      <c r="E3840" t="inlineStr">
        <is>
          <t>Expresso</t>
        </is>
      </c>
      <c r="F3840" t="n">
        <v>2.2</v>
      </c>
      <c r="G3840" t="inlineStr">
        <is>
          <t>n° 34 : 1,67 + n° 35 : 0,83 + n° 36 : 2,50</t>
        </is>
      </c>
      <c r="H3840" t="n">
        <v>5</v>
      </c>
    </row>
    <row r="3841">
      <c r="A3841" t="inlineStr">
        <is>
          <t>2024-2025</t>
        </is>
      </c>
      <c r="B3841" t="inlineStr">
        <is>
          <t>2024-05-26</t>
        </is>
      </c>
      <c r="C3841" t="inlineStr">
        <is>
          <t>12:14</t>
        </is>
      </c>
      <c r="D3841" t="inlineStr">
        <is>
          <t>n° 2 + n° 3</t>
        </is>
      </c>
      <c r="E3841" t="inlineStr">
        <is>
          <t>TRUITE JURASSIENNE</t>
        </is>
      </c>
      <c r="F3841" t="n">
        <v>18.6</v>
      </c>
      <c r="G3841" t="inlineStr">
        <is>
          <t>n° 2 : 0,50 + n° 3 : 0,50</t>
        </is>
      </c>
      <c r="H3841" t="n">
        <v>1</v>
      </c>
    </row>
    <row r="3842">
      <c r="A3842" t="inlineStr">
        <is>
          <t>2024-2025</t>
        </is>
      </c>
      <c r="B3842" t="inlineStr">
        <is>
          <t>2024-05-26</t>
        </is>
      </c>
      <c r="C3842" t="inlineStr">
        <is>
          <t>12:14</t>
        </is>
      </c>
      <c r="D3842" t="inlineStr">
        <is>
          <t>n° 2 + n° 3</t>
        </is>
      </c>
      <c r="E3842" t="inlineStr">
        <is>
          <t>La Vouivre</t>
        </is>
      </c>
      <c r="F3842" t="n">
        <v>5.9</v>
      </c>
      <c r="G3842" t="inlineStr">
        <is>
          <t>n° 2 : 0,50 + n° 3 : 0,50</t>
        </is>
      </c>
      <c r="H3842" t="n">
        <v>1</v>
      </c>
    </row>
    <row r="3843">
      <c r="A3843" t="inlineStr">
        <is>
          <t>2024-2025</t>
        </is>
      </c>
      <c r="B3843" t="inlineStr">
        <is>
          <t>2024-05-26</t>
        </is>
      </c>
      <c r="C3843" t="inlineStr">
        <is>
          <t>12:14</t>
        </is>
      </c>
      <c r="D3843" t="inlineStr">
        <is>
          <t>n° 2 + n° 3</t>
        </is>
      </c>
      <c r="E3843" t="inlineStr">
        <is>
          <t>GLACE 1 BOULE</t>
        </is>
      </c>
      <c r="F3843" t="n">
        <v>3.5</v>
      </c>
      <c r="G3843" t="inlineStr">
        <is>
          <t>n° 2 : 0,50 + n° 3 : 0,50</t>
        </is>
      </c>
      <c r="H3843" t="n">
        <v>1</v>
      </c>
    </row>
    <row r="3844">
      <c r="A3844" t="inlineStr">
        <is>
          <t>2024-2025</t>
        </is>
      </c>
      <c r="B3844" t="inlineStr">
        <is>
          <t>2024-05-26</t>
        </is>
      </c>
      <c r="C3844" t="inlineStr">
        <is>
          <t>12:14</t>
        </is>
      </c>
      <c r="D3844" t="inlineStr">
        <is>
          <t>n° 2 + n° 3</t>
        </is>
      </c>
      <c r="E3844" t="inlineStr">
        <is>
          <t>Expresso</t>
        </is>
      </c>
      <c r="F3844" t="n">
        <v>2.2</v>
      </c>
      <c r="G3844" t="inlineStr">
        <is>
          <t>n° 2 : 1,50 + n° 3 : 1,50</t>
        </is>
      </c>
      <c r="H3844" t="n">
        <v>3</v>
      </c>
    </row>
    <row r="3845">
      <c r="A3845" t="inlineStr">
        <is>
          <t>2024-2025</t>
        </is>
      </c>
      <c r="B3845" t="inlineStr">
        <is>
          <t>2024-05-30</t>
        </is>
      </c>
      <c r="C3845" t="inlineStr">
        <is>
          <t>12:04</t>
        </is>
      </c>
      <c r="D3845" t="inlineStr">
        <is>
          <t>n° 1 + n° 2</t>
        </is>
      </c>
      <c r="E3845" t="inlineStr">
        <is>
          <t>BARBEULENET</t>
        </is>
      </c>
      <c r="F3845" t="n">
        <v>17.4</v>
      </c>
      <c r="G3845" t="inlineStr">
        <is>
          <t>n° 1 : 0,33 + n° 2 : 0,67</t>
        </is>
      </c>
      <c r="H3845" t="n">
        <v>1</v>
      </c>
    </row>
    <row r="3846">
      <c r="A3846" t="inlineStr">
        <is>
          <t>2024-2025</t>
        </is>
      </c>
      <c r="B3846" t="inlineStr">
        <is>
          <t>2024-05-30</t>
        </is>
      </c>
      <c r="C3846" t="inlineStr">
        <is>
          <t>12:04</t>
        </is>
      </c>
      <c r="D3846" t="inlineStr">
        <is>
          <t>n° 1 + n° 2</t>
        </is>
      </c>
      <c r="E3846" t="inlineStr">
        <is>
          <t>Formule à 12.5</t>
        </is>
      </c>
      <c r="F3846" t="n">
        <v>12.5</v>
      </c>
      <c r="G3846" t="inlineStr">
        <is>
          <t>n° 1 : 0,67 + n° 2 : 1,33</t>
        </is>
      </c>
      <c r="H3846" t="n">
        <v>2</v>
      </c>
    </row>
    <row r="3847">
      <c r="A3847" t="inlineStr">
        <is>
          <t>2024-2025</t>
        </is>
      </c>
      <c r="B3847" t="inlineStr">
        <is>
          <t>2024-05-30</t>
        </is>
      </c>
      <c r="C3847" t="inlineStr">
        <is>
          <t>20:26</t>
        </is>
      </c>
      <c r="D3847" t="inlineStr">
        <is>
          <t>n° 13 + n° 14</t>
        </is>
      </c>
      <c r="E3847" t="inlineStr">
        <is>
          <t>Poulet aux Morilles</t>
        </is>
      </c>
      <c r="F3847" t="n">
        <v>28.6</v>
      </c>
      <c r="G3847" t="inlineStr">
        <is>
          <t>n° 13 : 0,50 + n° 14 : 0,50</t>
        </is>
      </c>
      <c r="H3847" t="n">
        <v>1</v>
      </c>
    </row>
    <row r="3848">
      <c r="A3848" t="inlineStr">
        <is>
          <t>2024-2025</t>
        </is>
      </c>
      <c r="B3848" t="inlineStr">
        <is>
          <t>2024-05-30</t>
        </is>
      </c>
      <c r="C3848" t="inlineStr">
        <is>
          <t>20:26</t>
        </is>
      </c>
      <c r="D3848" t="inlineStr">
        <is>
          <t>n° 13 + n° 14</t>
        </is>
      </c>
      <c r="E3848" t="inlineStr">
        <is>
          <t>POULET JURASSIENNE</t>
        </is>
      </c>
      <c r="F3848" t="n">
        <v>18.6</v>
      </c>
      <c r="G3848" t="inlineStr">
        <is>
          <t>n° 13 : 0,50 + n° 14 : 0,50</t>
        </is>
      </c>
      <c r="H3848" t="n">
        <v>1</v>
      </c>
    </row>
    <row r="3849">
      <c r="A3849" t="inlineStr">
        <is>
          <t>2024-2025</t>
        </is>
      </c>
      <c r="B3849" t="inlineStr">
        <is>
          <t>2024-05-30</t>
        </is>
      </c>
      <c r="C3849" t="inlineStr">
        <is>
          <t>20:26</t>
        </is>
      </c>
      <c r="D3849" t="inlineStr">
        <is>
          <t>n° 13 + n° 14</t>
        </is>
      </c>
      <c r="E3849" t="inlineStr">
        <is>
          <t>Baba</t>
        </is>
      </c>
      <c r="F3849" t="n">
        <v>8.9</v>
      </c>
      <c r="G3849" t="inlineStr">
        <is>
          <t>n° 13 : 0,50 + n° 14 : 0,50</t>
        </is>
      </c>
      <c r="H3849" t="n">
        <v>1</v>
      </c>
    </row>
    <row r="3850">
      <c r="A3850" t="inlineStr">
        <is>
          <t>2024-2025</t>
        </is>
      </c>
      <c r="B3850" t="inlineStr">
        <is>
          <t>2024-05-30</t>
        </is>
      </c>
      <c r="C3850" t="inlineStr">
        <is>
          <t>20:26</t>
        </is>
      </c>
      <c r="D3850" t="inlineStr">
        <is>
          <t>n° 13 + n° 14</t>
        </is>
      </c>
      <c r="E3850" t="inlineStr">
        <is>
          <t>Saint Véran Verre</t>
        </is>
      </c>
      <c r="F3850" t="n">
        <v>7.9</v>
      </c>
      <c r="G3850" t="inlineStr">
        <is>
          <t>n° 13 : 0,50 + n° 14 : 0,50</t>
        </is>
      </c>
      <c r="H3850" t="n">
        <v>1</v>
      </c>
    </row>
    <row r="3851">
      <c r="A3851" t="inlineStr">
        <is>
          <t>2024-2025</t>
        </is>
      </c>
      <c r="B3851" t="inlineStr">
        <is>
          <t>2024-05-30</t>
        </is>
      </c>
      <c r="C3851" t="inlineStr">
        <is>
          <t>20:26</t>
        </is>
      </c>
      <c r="D3851" t="inlineStr">
        <is>
          <t>n° 13 + n° 14</t>
        </is>
      </c>
      <c r="E3851" t="inlineStr">
        <is>
          <t>Arbois Trousseau Le</t>
        </is>
      </c>
      <c r="F3851" t="n">
        <v>7.2</v>
      </c>
      <c r="G3851" t="inlineStr">
        <is>
          <t>n° 13 : 1,50 + n° 14 : 1,50</t>
        </is>
      </c>
      <c r="H3851" t="n">
        <v>3</v>
      </c>
    </row>
    <row r="3852">
      <c r="A3852" t="inlineStr">
        <is>
          <t>2024-2025</t>
        </is>
      </c>
      <c r="B3852" t="inlineStr">
        <is>
          <t>2024-05-30</t>
        </is>
      </c>
      <c r="C3852" t="inlineStr">
        <is>
          <t>20:26</t>
        </is>
      </c>
      <c r="D3852" t="inlineStr">
        <is>
          <t>n° 13 + n° 14</t>
        </is>
      </c>
      <c r="E3852" t="inlineStr">
        <is>
          <t>Père Gregoire</t>
        </is>
      </c>
      <c r="F3852" t="n">
        <v>5.9</v>
      </c>
      <c r="G3852" t="inlineStr">
        <is>
          <t>n° 13 : 0,50 + n° 14 : 0,50</t>
        </is>
      </c>
      <c r="H3852" t="n">
        <v>1</v>
      </c>
    </row>
    <row r="3853">
      <c r="A3853" t="inlineStr">
        <is>
          <t>2024-2025</t>
        </is>
      </c>
      <c r="B3853" t="inlineStr">
        <is>
          <t>2024-05-30</t>
        </is>
      </c>
      <c r="C3853" t="inlineStr">
        <is>
          <t>20:26</t>
        </is>
      </c>
      <c r="D3853" t="inlineStr">
        <is>
          <t>n° 13 + n° 14</t>
        </is>
      </c>
      <c r="E3853" t="inlineStr">
        <is>
          <t>Chat perché</t>
        </is>
      </c>
      <c r="F3853" t="n">
        <v>5.9</v>
      </c>
      <c r="G3853" t="inlineStr">
        <is>
          <t>n° 13 : 0,50 + n° 14 : 0,50</t>
        </is>
      </c>
      <c r="H3853" t="n">
        <v>1</v>
      </c>
    </row>
    <row r="3854">
      <c r="A3854" t="inlineStr">
        <is>
          <t>2024-2025</t>
        </is>
      </c>
      <c r="B3854" t="inlineStr">
        <is>
          <t>2024-05-30</t>
        </is>
      </c>
      <c r="C3854" t="inlineStr">
        <is>
          <t>20:26</t>
        </is>
      </c>
      <c r="D3854" t="inlineStr">
        <is>
          <t>n° 13 + n° 14</t>
        </is>
      </c>
      <c r="E3854" t="inlineStr">
        <is>
          <t>La Vouivre</t>
        </is>
      </c>
      <c r="F3854" t="n">
        <v>5.9</v>
      </c>
      <c r="G3854" t="inlineStr">
        <is>
          <t>n° 13 : 0,50 + n° 14 : 0,50</t>
        </is>
      </c>
      <c r="H3854" t="n">
        <v>1</v>
      </c>
    </row>
    <row r="3855">
      <c r="A3855" t="inlineStr">
        <is>
          <t>2024-2025</t>
        </is>
      </c>
      <c r="B3855" t="inlineStr">
        <is>
          <t>2024-05-30</t>
        </is>
      </c>
      <c r="C3855" t="inlineStr">
        <is>
          <t>20:26</t>
        </is>
      </c>
      <c r="D3855" t="inlineStr">
        <is>
          <t>n° 13 + n° 14</t>
        </is>
      </c>
      <c r="E3855" t="inlineStr">
        <is>
          <t>Macvin du Jura</t>
        </is>
      </c>
      <c r="F3855" t="n">
        <v>5.9</v>
      </c>
      <c r="G3855" t="inlineStr">
        <is>
          <t>n° 13 : 0,50 + n° 14 : 0,50</t>
        </is>
      </c>
      <c r="H3855" t="n">
        <v>1</v>
      </c>
    </row>
    <row r="3856">
      <c r="A3856" t="inlineStr">
        <is>
          <t>2024-2025</t>
        </is>
      </c>
      <c r="B3856" t="inlineStr">
        <is>
          <t>2024-05-31</t>
        </is>
      </c>
      <c r="C3856" t="inlineStr">
        <is>
          <t>12:20</t>
        </is>
      </c>
      <c r="D3856" t="inlineStr">
        <is>
          <t>n° 7 + n° 8</t>
        </is>
      </c>
      <c r="E3856" t="inlineStr">
        <is>
          <t>MACHON GOURMET</t>
        </is>
      </c>
      <c r="F3856" t="n">
        <v>25</v>
      </c>
      <c r="G3856" t="inlineStr">
        <is>
          <t>n° 7 : 0,50 + n° 8 : 0,50</t>
        </is>
      </c>
      <c r="H3856" t="n">
        <v>1</v>
      </c>
    </row>
    <row r="3857">
      <c r="A3857" t="inlineStr">
        <is>
          <t>2024-2025</t>
        </is>
      </c>
      <c r="B3857" t="inlineStr">
        <is>
          <t>2024-05-31</t>
        </is>
      </c>
      <c r="C3857" t="inlineStr">
        <is>
          <t>12:20</t>
        </is>
      </c>
      <c r="D3857" t="inlineStr">
        <is>
          <t>n° 7 + n° 8</t>
        </is>
      </c>
      <c r="E3857" t="inlineStr">
        <is>
          <t>Entrecôte grillée</t>
        </is>
      </c>
      <c r="F3857" t="n">
        <v>19.9</v>
      </c>
      <c r="G3857" t="inlineStr">
        <is>
          <t>n° 7 : 0,50 + n° 8 : 0,50</t>
        </is>
      </c>
      <c r="H3857" t="n">
        <v>1</v>
      </c>
    </row>
    <row r="3858">
      <c r="A3858" t="inlineStr">
        <is>
          <t>2024-2025</t>
        </is>
      </c>
      <c r="B3858" t="inlineStr">
        <is>
          <t>2024-05-31</t>
        </is>
      </c>
      <c r="C3858" t="inlineStr">
        <is>
          <t>12:20</t>
        </is>
      </c>
      <c r="D3858" t="inlineStr">
        <is>
          <t>n° 7 + n° 8</t>
        </is>
      </c>
      <c r="E3858" t="inlineStr">
        <is>
          <t>Pichet CHUSLAN</t>
        </is>
      </c>
      <c r="F3858" t="n">
        <v>9.5</v>
      </c>
      <c r="G3858" t="inlineStr">
        <is>
          <t>n° 7 : 0,50 + n° 8 : 0,50</t>
        </is>
      </c>
      <c r="H3858" t="n">
        <v>1</v>
      </c>
    </row>
    <row r="3859">
      <c r="A3859" t="inlineStr">
        <is>
          <t>2024-2025</t>
        </is>
      </c>
      <c r="B3859" t="inlineStr">
        <is>
          <t>2024-05-31</t>
        </is>
      </c>
      <c r="C3859" t="inlineStr">
        <is>
          <t>13:01</t>
        </is>
      </c>
      <c r="D3859" t="inlineStr">
        <is>
          <t>n° 12 + n° 13</t>
        </is>
      </c>
      <c r="E3859" t="inlineStr">
        <is>
          <t>Menu 'Enfant'</t>
        </is>
      </c>
      <c r="F3859" t="n">
        <v>9.9</v>
      </c>
      <c r="G3859" t="inlineStr">
        <is>
          <t>n° 12 : 0,50 + n° 13 : 0,50</t>
        </is>
      </c>
      <c r="H3859" t="n">
        <v>1</v>
      </c>
    </row>
    <row r="3860">
      <c r="A3860" t="inlineStr">
        <is>
          <t>2024-2025</t>
        </is>
      </c>
      <c r="B3860" t="inlineStr">
        <is>
          <t>2024-05-31</t>
        </is>
      </c>
      <c r="C3860" t="inlineStr">
        <is>
          <t>13:01</t>
        </is>
      </c>
      <c r="D3860" t="inlineStr">
        <is>
          <t>n° 12 + n° 13</t>
        </is>
      </c>
      <c r="E3860" t="inlineStr">
        <is>
          <t>Champignons frais</t>
        </is>
      </c>
      <c r="F3860" t="n">
        <v>3.2</v>
      </c>
      <c r="G3860" t="inlineStr">
        <is>
          <t>n° 12 : 0,50 + n° 13 : 0,50</t>
        </is>
      </c>
      <c r="H3860" t="n">
        <v>1</v>
      </c>
    </row>
    <row r="3861">
      <c r="A3861" t="inlineStr">
        <is>
          <t>2024-2025</t>
        </is>
      </c>
      <c r="B3861" t="inlineStr">
        <is>
          <t>2024-06-05</t>
        </is>
      </c>
      <c r="C3861" t="inlineStr">
        <is>
          <t>19:34</t>
        </is>
      </c>
      <c r="D3861" t="inlineStr">
        <is>
          <t>n° 20 + n° 21 + n° 23 + n° 24 + n° 25 + n° 26</t>
        </is>
      </c>
      <c r="E3861" t="inlineStr">
        <is>
          <t>Entrecôte grillée</t>
        </is>
      </c>
      <c r="F3861" t="n">
        <v>19.9</v>
      </c>
      <c r="G3861" t="inlineStr">
        <is>
          <t>n° 20 : 0,50 + n° 21 : 0,50</t>
        </is>
      </c>
      <c r="H3861" t="n">
        <v>1</v>
      </c>
    </row>
    <row r="3862">
      <c r="A3862" t="inlineStr">
        <is>
          <t>2024-2025</t>
        </is>
      </c>
      <c r="B3862" t="inlineStr">
        <is>
          <t>2024-06-05</t>
        </is>
      </c>
      <c r="C3862" t="inlineStr">
        <is>
          <t>19:34</t>
        </is>
      </c>
      <c r="D3862" t="inlineStr">
        <is>
          <t>n° 20 + n° 21 + n° 23 + n° 24 + n° 25 + n° 26</t>
        </is>
      </c>
      <c r="E3862" t="inlineStr">
        <is>
          <t>BURGER COMTOIS</t>
        </is>
      </c>
      <c r="F3862" t="n">
        <v>19</v>
      </c>
      <c r="G3862" t="inlineStr">
        <is>
          <t>n° 23 : 0,50 + n° 24 : 0,50</t>
        </is>
      </c>
      <c r="H3862" t="n">
        <v>1</v>
      </c>
    </row>
    <row r="3863">
      <c r="A3863" t="inlineStr">
        <is>
          <t>2024-2025</t>
        </is>
      </c>
      <c r="B3863" t="inlineStr">
        <is>
          <t>2024-06-05</t>
        </is>
      </c>
      <c r="C3863" t="inlineStr">
        <is>
          <t>19:34</t>
        </is>
      </c>
      <c r="D3863" t="inlineStr">
        <is>
          <t>n° 20 + n° 21 + n° 23 + n° 24 + n° 25 + n° 26</t>
        </is>
      </c>
      <c r="E3863" t="inlineStr">
        <is>
          <t>ASSIETTE PERE GREGOI</t>
        </is>
      </c>
      <c r="F3863" t="n">
        <v>18.6</v>
      </c>
      <c r="G3863" t="inlineStr">
        <is>
          <t>n° 20 : 0,50 + n° 21 : 0,50</t>
        </is>
      </c>
      <c r="H3863" t="n">
        <v>1</v>
      </c>
    </row>
    <row r="3864">
      <c r="A3864" t="inlineStr">
        <is>
          <t>2024-2025</t>
        </is>
      </c>
      <c r="B3864" t="inlineStr">
        <is>
          <t>2024-06-05</t>
        </is>
      </c>
      <c r="C3864" t="inlineStr">
        <is>
          <t>19:34</t>
        </is>
      </c>
      <c r="D3864" t="inlineStr">
        <is>
          <t>n° 20 + n° 21 + n° 23 + n° 24 + n° 25 + n° 26</t>
        </is>
      </c>
      <c r="E3864" t="inlineStr">
        <is>
          <t>MORTEAU GRILLEE</t>
        </is>
      </c>
      <c r="F3864" t="n">
        <v>18.6</v>
      </c>
      <c r="G3864" t="inlineStr">
        <is>
          <t>n° 23 : 0,50 + n° 24 : 0,50</t>
        </is>
      </c>
      <c r="H3864" t="n">
        <v>1</v>
      </c>
    </row>
    <row r="3865">
      <c r="A3865" t="inlineStr">
        <is>
          <t>2024-2025</t>
        </is>
      </c>
      <c r="B3865" t="inlineStr">
        <is>
          <t>2024-06-05</t>
        </is>
      </c>
      <c r="C3865" t="inlineStr">
        <is>
          <t>19:34</t>
        </is>
      </c>
      <c r="D3865" t="inlineStr">
        <is>
          <t>n° 20 + n° 21 + n° 23 + n° 24 + n° 25 + n° 26</t>
        </is>
      </c>
      <c r="E3865" t="inlineStr">
        <is>
          <t>BARBEULENET</t>
        </is>
      </c>
      <c r="F3865" t="n">
        <v>17.4</v>
      </c>
      <c r="G3865" t="inlineStr">
        <is>
          <t>n° 25 : 0,50 + n° 26 : 0,50</t>
        </is>
      </c>
      <c r="H3865" t="n">
        <v>1</v>
      </c>
    </row>
    <row r="3866">
      <c r="A3866" t="inlineStr">
        <is>
          <t>2024-2025</t>
        </is>
      </c>
      <c r="B3866" t="inlineStr">
        <is>
          <t>2024-06-05</t>
        </is>
      </c>
      <c r="C3866" t="inlineStr">
        <is>
          <t>19:34</t>
        </is>
      </c>
      <c r="D3866" t="inlineStr">
        <is>
          <t>n° 20 + n° 21 + n° 23 + n° 24 + n° 25 + n° 26</t>
        </is>
      </c>
      <c r="E3866" t="inlineStr">
        <is>
          <t>Sauce Morilles</t>
        </is>
      </c>
      <c r="F3866" t="n">
        <v>14.9</v>
      </c>
      <c r="G3866" t="inlineStr">
        <is>
          <t>n° 25 : 0,50 + n° 26 : 0,50</t>
        </is>
      </c>
      <c r="H3866" t="n">
        <v>1</v>
      </c>
    </row>
    <row r="3867">
      <c r="A3867" t="inlineStr">
        <is>
          <t>2024-2025</t>
        </is>
      </c>
      <c r="B3867" t="inlineStr">
        <is>
          <t>2024-06-05</t>
        </is>
      </c>
      <c r="C3867" t="inlineStr">
        <is>
          <t>19:34</t>
        </is>
      </c>
      <c r="D3867" t="inlineStr">
        <is>
          <t>n° 20 + n° 21 + n° 23 + n° 24 + n° 25 + n° 26</t>
        </is>
      </c>
      <c r="E3867" t="inlineStr">
        <is>
          <t>Saint Véran Verre</t>
        </is>
      </c>
      <c r="F3867" t="n">
        <v>7.9</v>
      </c>
      <c r="G3867" t="inlineStr">
        <is>
          <t>n° 23 : 0,50 + n° 24 : 0,50</t>
        </is>
      </c>
      <c r="H3867" t="n">
        <v>1</v>
      </c>
    </row>
    <row r="3868">
      <c r="A3868" t="inlineStr">
        <is>
          <t>2024-2025</t>
        </is>
      </c>
      <c r="B3868" t="inlineStr">
        <is>
          <t>2024-06-05</t>
        </is>
      </c>
      <c r="C3868" t="inlineStr">
        <is>
          <t>19:34</t>
        </is>
      </c>
      <c r="D3868" t="inlineStr">
        <is>
          <t>n° 20 + n° 21 + n° 23 + n° 24 + n° 25 + n° 26</t>
        </is>
      </c>
      <c r="E3868" t="inlineStr">
        <is>
          <t>Macvin du Jura</t>
        </is>
      </c>
      <c r="F3868" t="n">
        <v>5.9</v>
      </c>
      <c r="G3868" t="inlineStr">
        <is>
          <t>n° 23 : 0,50 + n° 24 : 0,50</t>
        </is>
      </c>
      <c r="H3868" t="n">
        <v>1</v>
      </c>
    </row>
    <row r="3869">
      <c r="A3869" t="inlineStr">
        <is>
          <t>2024-2025</t>
        </is>
      </c>
      <c r="B3869" t="inlineStr">
        <is>
          <t>2024-06-05</t>
        </is>
      </c>
      <c r="C3869" t="inlineStr">
        <is>
          <t>19:34</t>
        </is>
      </c>
      <c r="D3869" t="inlineStr">
        <is>
          <t>n° 20 + n° 21 + n° 23 + n° 24 + n° 25 + n° 26</t>
        </is>
      </c>
      <c r="E3869" t="inlineStr">
        <is>
          <t>Crepe Chocolat</t>
        </is>
      </c>
      <c r="F3869" t="n">
        <v>5.9</v>
      </c>
      <c r="G3869" t="inlineStr">
        <is>
          <t>n° 23 : 0,50 + n° 24 : 0,50</t>
        </is>
      </c>
      <c r="H3869" t="n">
        <v>1</v>
      </c>
    </row>
    <row r="3870">
      <c r="A3870" t="inlineStr">
        <is>
          <t>2024-2025</t>
        </is>
      </c>
      <c r="B3870" t="inlineStr">
        <is>
          <t>2024-06-05</t>
        </is>
      </c>
      <c r="C3870" t="inlineStr">
        <is>
          <t>19:34</t>
        </is>
      </c>
      <c r="D3870" t="inlineStr">
        <is>
          <t>n° 20 + n° 21 + n° 23 + n° 24 + n° 25 + n° 26</t>
        </is>
      </c>
      <c r="E3870" t="inlineStr">
        <is>
          <t>Crêpe Nutella</t>
        </is>
      </c>
      <c r="F3870" t="n">
        <v>4.9</v>
      </c>
      <c r="G3870" t="inlineStr">
        <is>
          <t>n° 23 : 0,50 + n° 24 : 0,50</t>
        </is>
      </c>
      <c r="H3870" t="n">
        <v>1</v>
      </c>
    </row>
    <row r="3871">
      <c r="A3871" t="inlineStr">
        <is>
          <t>2024-2025</t>
        </is>
      </c>
      <c r="B3871" t="inlineStr">
        <is>
          <t>2024-06-05</t>
        </is>
      </c>
      <c r="C3871" t="inlineStr">
        <is>
          <t>19:34</t>
        </is>
      </c>
      <c r="D3871" t="inlineStr">
        <is>
          <t>n° 20 + n° 21 + n° 23 + n° 24 + n° 25 + n° 26</t>
        </is>
      </c>
      <c r="E3871" t="inlineStr">
        <is>
          <t>Jus de Fruit</t>
        </is>
      </c>
      <c r="F3871" t="n">
        <v>4.2</v>
      </c>
      <c r="G3871" t="inlineStr">
        <is>
          <t>n° 25 : 0,50 + n° 26 : 0,50</t>
        </is>
      </c>
      <c r="H3871" t="n">
        <v>1</v>
      </c>
    </row>
    <row r="3872">
      <c r="A3872" t="inlineStr">
        <is>
          <t>2024-2025</t>
        </is>
      </c>
      <c r="B3872" t="inlineStr">
        <is>
          <t>2024-06-05</t>
        </is>
      </c>
      <c r="C3872" t="inlineStr">
        <is>
          <t>19:34</t>
        </is>
      </c>
      <c r="D3872" t="inlineStr">
        <is>
          <t>n° 20 + n° 21 + n° 23 + n° 24 + n° 25 + n° 26</t>
        </is>
      </c>
      <c r="E3872" t="inlineStr">
        <is>
          <t>Comté</t>
        </is>
      </c>
      <c r="F3872" t="n">
        <v>4</v>
      </c>
      <c r="G3872" t="inlineStr">
        <is>
          <t>n° 25 : 0,50 + n° 26 : 0,50</t>
        </is>
      </c>
      <c r="H3872" t="n">
        <v>1</v>
      </c>
    </row>
    <row r="3873">
      <c r="A3873" t="inlineStr">
        <is>
          <t>2024-2025</t>
        </is>
      </c>
      <c r="B3873" t="inlineStr">
        <is>
          <t>2024-06-05</t>
        </is>
      </c>
      <c r="C3873" t="inlineStr">
        <is>
          <t>19:34</t>
        </is>
      </c>
      <c r="D3873" t="inlineStr">
        <is>
          <t>n° 20 + n° 21 + n° 23 + n° 24 + n° 25 + n° 26</t>
        </is>
      </c>
      <c r="E3873" t="inlineStr">
        <is>
          <t>Schweppes</t>
        </is>
      </c>
      <c r="F3873" t="n">
        <v>3.9</v>
      </c>
      <c r="G3873" t="inlineStr">
        <is>
          <t>n° 25 : 0,50 + n° 26 : 0,50</t>
        </is>
      </c>
      <c r="H3873" t="n">
        <v>1</v>
      </c>
    </row>
    <row r="3874">
      <c r="A3874" t="inlineStr">
        <is>
          <t>2024-2025</t>
        </is>
      </c>
      <c r="B3874" t="inlineStr">
        <is>
          <t>2024-06-05</t>
        </is>
      </c>
      <c r="C3874" t="inlineStr">
        <is>
          <t>19:34</t>
        </is>
      </c>
      <c r="D3874" t="inlineStr">
        <is>
          <t>n° 20 + n° 21 + n° 23 + n° 24 + n° 25 + n° 26</t>
        </is>
      </c>
      <c r="E3874" t="inlineStr">
        <is>
          <t>Galette nature</t>
        </is>
      </c>
      <c r="F3874" t="n">
        <v>3.9</v>
      </c>
      <c r="G3874" t="inlineStr">
        <is>
          <t>n° 25 : 0,50 + n° 26 : 0,50</t>
        </is>
      </c>
      <c r="H3874" t="n">
        <v>1</v>
      </c>
    </row>
    <row r="3875">
      <c r="A3875" t="inlineStr">
        <is>
          <t>2024-2025</t>
        </is>
      </c>
      <c r="B3875" t="inlineStr">
        <is>
          <t>2024-06-05</t>
        </is>
      </c>
      <c r="C3875" t="inlineStr">
        <is>
          <t>19:34</t>
        </is>
      </c>
      <c r="D3875" t="inlineStr">
        <is>
          <t>n° 20 + n° 21 + n° 23 + n° 24 + n° 25 + n° 26</t>
        </is>
      </c>
      <c r="E3875" t="inlineStr">
        <is>
          <t>Œuf</t>
        </is>
      </c>
      <c r="F3875" t="n">
        <v>0.9</v>
      </c>
      <c r="G3875" t="inlineStr">
        <is>
          <t>n° 25 : 0,50 + n° 26 : 0,50</t>
        </is>
      </c>
      <c r="H3875" t="n">
        <v>1</v>
      </c>
    </row>
    <row r="3876">
      <c r="A3876" t="inlineStr">
        <is>
          <t>2024-2025</t>
        </is>
      </c>
      <c r="B3876" t="inlineStr">
        <is>
          <t>2024-06-06</t>
        </is>
      </c>
      <c r="C3876" t="inlineStr">
        <is>
          <t>13:06</t>
        </is>
      </c>
      <c r="D3876" t="inlineStr">
        <is>
          <t>n° 14 + n° 15</t>
        </is>
      </c>
      <c r="E3876" t="inlineStr">
        <is>
          <t>Entrecôte grillée</t>
        </is>
      </c>
      <c r="F3876" t="n">
        <v>19.9</v>
      </c>
      <c r="G3876" t="inlineStr">
        <is>
          <t>n° 14 : 0,50 + n° 15 : 0,50</t>
        </is>
      </c>
      <c r="H3876" t="n">
        <v>1</v>
      </c>
    </row>
    <row r="3877">
      <c r="A3877" t="inlineStr">
        <is>
          <t>2024-2025</t>
        </is>
      </c>
      <c r="B3877" t="inlineStr">
        <is>
          <t>2024-06-06</t>
        </is>
      </c>
      <c r="C3877" t="inlineStr">
        <is>
          <t>13:06</t>
        </is>
      </c>
      <c r="D3877" t="inlineStr">
        <is>
          <t>n° 14 + n° 15</t>
        </is>
      </c>
      <c r="E3877" t="inlineStr">
        <is>
          <t>PAYSANNE</t>
        </is>
      </c>
      <c r="F3877" t="n">
        <v>19.9</v>
      </c>
      <c r="G3877" t="inlineStr">
        <is>
          <t>n° 14 : 0,50 + n° 15 : 0,50</t>
        </is>
      </c>
      <c r="H3877" t="n">
        <v>1</v>
      </c>
    </row>
    <row r="3878">
      <c r="A3878" t="inlineStr">
        <is>
          <t>2024-2025</t>
        </is>
      </c>
      <c r="B3878" t="inlineStr">
        <is>
          <t>2024-06-06</t>
        </is>
      </c>
      <c r="C3878" t="inlineStr">
        <is>
          <t>13:06</t>
        </is>
      </c>
      <c r="D3878" t="inlineStr">
        <is>
          <t>n° 14 + n° 15</t>
        </is>
      </c>
      <c r="E3878" t="inlineStr">
        <is>
          <t>GLACE 2 BOULES</t>
        </is>
      </c>
      <c r="F3878" t="n">
        <v>5.5</v>
      </c>
      <c r="G3878" t="inlineStr">
        <is>
          <t>n° 14 : 0,50 + n° 15 : 0,50</t>
        </is>
      </c>
      <c r="H3878" t="n">
        <v>1</v>
      </c>
    </row>
    <row r="3879">
      <c r="A3879" t="inlineStr">
        <is>
          <t>2024-2025</t>
        </is>
      </c>
      <c r="B3879" t="inlineStr">
        <is>
          <t>2024-06-06</t>
        </is>
      </c>
      <c r="C3879" t="inlineStr">
        <is>
          <t>13:06</t>
        </is>
      </c>
      <c r="D3879" t="inlineStr">
        <is>
          <t>n° 14 + n° 15</t>
        </is>
      </c>
      <c r="E3879" t="inlineStr">
        <is>
          <t>GLACE 1 BOULE</t>
        </is>
      </c>
      <c r="F3879" t="n">
        <v>3.5</v>
      </c>
      <c r="G3879" t="inlineStr">
        <is>
          <t>n° 14 : 0,50 + n° 15 : 0,50</t>
        </is>
      </c>
      <c r="H3879" t="n">
        <v>1</v>
      </c>
    </row>
    <row r="3880">
      <c r="A3880" t="inlineStr">
        <is>
          <t>2024-2025</t>
        </is>
      </c>
      <c r="B3880" t="inlineStr">
        <is>
          <t>2024-06-07</t>
        </is>
      </c>
      <c r="C3880" t="inlineStr">
        <is>
          <t>12:52</t>
        </is>
      </c>
      <c r="D3880" t="inlineStr">
        <is>
          <t>n° 13 + n° 14</t>
        </is>
      </c>
      <c r="E3880" t="inlineStr">
        <is>
          <t>Croûtes Morilles</t>
        </is>
      </c>
      <c r="F3880" t="n">
        <v>16.9</v>
      </c>
      <c r="G3880" t="inlineStr">
        <is>
          <t>n° 13 : 1,50 + n° 14 : 1,50</t>
        </is>
      </c>
      <c r="H3880" t="n">
        <v>3</v>
      </c>
    </row>
    <row r="3881">
      <c r="A3881" t="inlineStr">
        <is>
          <t>2024-2025</t>
        </is>
      </c>
      <c r="B3881" t="inlineStr">
        <is>
          <t>2024-06-07</t>
        </is>
      </c>
      <c r="C3881" t="inlineStr">
        <is>
          <t>12:52</t>
        </is>
      </c>
      <c r="D3881" t="inlineStr">
        <is>
          <t>n° 13 + n° 14</t>
        </is>
      </c>
      <c r="E3881" t="inlineStr">
        <is>
          <t>Feuilleté Forestier</t>
        </is>
      </c>
      <c r="F3881" t="n">
        <v>10.9</v>
      </c>
      <c r="G3881" t="inlineStr">
        <is>
          <t>n° 13 : 0,50 + n° 14 : 0,50</t>
        </is>
      </c>
      <c r="H3881" t="n">
        <v>1</v>
      </c>
    </row>
    <row r="3882">
      <c r="A3882" t="inlineStr">
        <is>
          <t>2024-2025</t>
        </is>
      </c>
      <c r="B3882" t="inlineStr">
        <is>
          <t>2024-06-07</t>
        </is>
      </c>
      <c r="C3882" t="inlineStr">
        <is>
          <t>12:52</t>
        </is>
      </c>
      <c r="D3882" t="inlineStr">
        <is>
          <t>n° 13 + n° 14</t>
        </is>
      </c>
      <c r="E3882" t="inlineStr">
        <is>
          <t>Do</t>
        </is>
      </c>
      <c r="F3882" t="n">
        <v>9</v>
      </c>
      <c r="G3882" t="inlineStr">
        <is>
          <t>n° 13 : 0,50 + n° 14 : 0,50</t>
        </is>
      </c>
      <c r="H3882" t="n">
        <v>1</v>
      </c>
    </row>
    <row r="3883">
      <c r="A3883" t="inlineStr">
        <is>
          <t>2024-2025</t>
        </is>
      </c>
      <c r="B3883" t="inlineStr">
        <is>
          <t>2024-06-07</t>
        </is>
      </c>
      <c r="C3883" t="inlineStr">
        <is>
          <t>12:52</t>
        </is>
      </c>
      <c r="D3883" t="inlineStr">
        <is>
          <t>n° 13 + n° 14</t>
        </is>
      </c>
      <c r="E3883" t="inlineStr">
        <is>
          <t>Savagnin verre</t>
        </is>
      </c>
      <c r="F3883" t="n">
        <v>8.300000000000001</v>
      </c>
      <c r="G3883" t="inlineStr">
        <is>
          <t>n° 13 : 0,50 + n° 14 : 0,50</t>
        </is>
      </c>
      <c r="H3883" t="n">
        <v>1</v>
      </c>
    </row>
    <row r="3884">
      <c r="A3884" t="inlineStr">
        <is>
          <t>2024-2025</t>
        </is>
      </c>
      <c r="B3884" t="inlineStr">
        <is>
          <t>2024-06-07</t>
        </is>
      </c>
      <c r="C3884" t="inlineStr">
        <is>
          <t>12:52</t>
        </is>
      </c>
      <c r="D3884" t="inlineStr">
        <is>
          <t>n° 13 + n° 14</t>
        </is>
      </c>
      <c r="E3884" t="inlineStr">
        <is>
          <t>CREME BRULEE</t>
        </is>
      </c>
      <c r="F3884" t="n">
        <v>7.9</v>
      </c>
      <c r="G3884" t="inlineStr">
        <is>
          <t>n° 13 : 0,50 + n° 14 : 0,50</t>
        </is>
      </c>
      <c r="H3884" t="n">
        <v>1</v>
      </c>
    </row>
    <row r="3885">
      <c r="A3885" t="inlineStr">
        <is>
          <t>2024-2025</t>
        </is>
      </c>
      <c r="B3885" t="inlineStr">
        <is>
          <t>2024-06-07</t>
        </is>
      </c>
      <c r="C3885" t="inlineStr">
        <is>
          <t>12:52</t>
        </is>
      </c>
      <c r="D3885" t="inlineStr">
        <is>
          <t>n° 13 + n° 14</t>
        </is>
      </c>
      <c r="E3885" t="inlineStr">
        <is>
          <t>pression</t>
        </is>
      </c>
      <c r="F3885" t="n">
        <v>4.2</v>
      </c>
      <c r="G3885" t="inlineStr">
        <is>
          <t>n° 13 : 0,50 + n° 14 : 0,50</t>
        </is>
      </c>
      <c r="H3885" t="n">
        <v>1</v>
      </c>
    </row>
    <row r="3886">
      <c r="A3886" t="inlineStr">
        <is>
          <t>2024-2025</t>
        </is>
      </c>
      <c r="B3886" t="inlineStr">
        <is>
          <t>2024-06-09</t>
        </is>
      </c>
      <c r="C3886" t="inlineStr">
        <is>
          <t>12:06</t>
        </is>
      </c>
      <c r="D3886" t="inlineStr">
        <is>
          <t>n° 2 + n° 3</t>
        </is>
      </c>
      <c r="E3886" t="inlineStr">
        <is>
          <t>ASSIETTE FRANC-COMTO</t>
        </is>
      </c>
      <c r="F3886" t="n">
        <v>18.6</v>
      </c>
      <c r="G3886" t="inlineStr">
        <is>
          <t>n° 2 : 0,50 + n° 3 : 0,50</t>
        </is>
      </c>
      <c r="H3886" t="n">
        <v>1</v>
      </c>
    </row>
    <row r="3887">
      <c r="A3887" t="inlineStr">
        <is>
          <t>2024-2025</t>
        </is>
      </c>
      <c r="B3887" t="inlineStr">
        <is>
          <t>2024-06-09</t>
        </is>
      </c>
      <c r="C3887" t="inlineStr">
        <is>
          <t>12:06</t>
        </is>
      </c>
      <c r="D3887" t="inlineStr">
        <is>
          <t>n° 2 + n° 3</t>
        </is>
      </c>
      <c r="E3887" t="inlineStr">
        <is>
          <t>Feuilleté Forestier</t>
        </is>
      </c>
      <c r="F3887" t="n">
        <v>10.9</v>
      </c>
      <c r="G3887" t="inlineStr">
        <is>
          <t>n° 2 : 0,50 + n° 3 : 0,50</t>
        </is>
      </c>
      <c r="H3887" t="n">
        <v>1</v>
      </c>
    </row>
    <row r="3888">
      <c r="A3888" t="inlineStr">
        <is>
          <t>2024-2025</t>
        </is>
      </c>
      <c r="B3888" t="inlineStr">
        <is>
          <t>2024-06-12</t>
        </is>
      </c>
      <c r="C3888" t="inlineStr">
        <is>
          <t>20:13</t>
        </is>
      </c>
      <c r="D3888" t="inlineStr">
        <is>
          <t>n° 21 + n° 22</t>
        </is>
      </c>
      <c r="E3888" t="inlineStr">
        <is>
          <t>Saint Véran Verre</t>
        </is>
      </c>
      <c r="F3888" t="n">
        <v>7.9</v>
      </c>
      <c r="G3888" t="inlineStr">
        <is>
          <t>n° 21 : 0,50 + n° 22 : 0,50</t>
        </is>
      </c>
      <c r="H3888" t="n">
        <v>1</v>
      </c>
    </row>
    <row r="3889">
      <c r="A3889" t="inlineStr">
        <is>
          <t>2024-2025</t>
        </is>
      </c>
      <c r="B3889" t="inlineStr">
        <is>
          <t>2024-06-12</t>
        </is>
      </c>
      <c r="C3889" t="inlineStr">
        <is>
          <t>20:13</t>
        </is>
      </c>
      <c r="D3889" t="inlineStr">
        <is>
          <t>n° 21 + n° 22</t>
        </is>
      </c>
      <c r="E3889" t="inlineStr">
        <is>
          <t>La Vouivre</t>
        </is>
      </c>
      <c r="F3889" t="n">
        <v>5.9</v>
      </c>
      <c r="G3889" t="inlineStr">
        <is>
          <t>n° 21 : 0,50 + n° 22 : 0,50</t>
        </is>
      </c>
      <c r="H3889" t="n">
        <v>1</v>
      </c>
    </row>
    <row r="3890">
      <c r="A3890" t="inlineStr">
        <is>
          <t>2024-2025</t>
        </is>
      </c>
      <c r="B3890" t="inlineStr">
        <is>
          <t>2024-06-12</t>
        </is>
      </c>
      <c r="C3890" t="inlineStr">
        <is>
          <t>20:13</t>
        </is>
      </c>
      <c r="D3890" t="inlineStr">
        <is>
          <t>n° 21 + n° 22</t>
        </is>
      </c>
      <c r="E3890" t="inlineStr">
        <is>
          <t>Crepe Chocolat</t>
        </is>
      </c>
      <c r="F3890" t="n">
        <v>5.9</v>
      </c>
      <c r="G3890" t="inlineStr">
        <is>
          <t>n° 21 : 0,50 + n° 22 : 0,50</t>
        </is>
      </c>
      <c r="H3890" t="n">
        <v>1</v>
      </c>
    </row>
    <row r="3891">
      <c r="A3891" t="inlineStr">
        <is>
          <t>2024-2025</t>
        </is>
      </c>
      <c r="B3891" t="inlineStr">
        <is>
          <t>2024-06-12</t>
        </is>
      </c>
      <c r="C3891" t="inlineStr">
        <is>
          <t>20:49</t>
        </is>
      </c>
      <c r="D3891" t="inlineStr">
        <is>
          <t>n° 25 + n° 26</t>
        </is>
      </c>
      <c r="E3891" t="inlineStr">
        <is>
          <t>Pichet CdR CHUSCLAN</t>
        </is>
      </c>
      <c r="F3891" t="n">
        <v>9.5</v>
      </c>
      <c r="G3891" t="inlineStr">
        <is>
          <t>n° 25 : 0,50 + n° 26 : 0,50</t>
        </is>
      </c>
      <c r="H3891" t="n">
        <v>1</v>
      </c>
    </row>
    <row r="3892">
      <c r="A3892" t="inlineStr">
        <is>
          <t>2024-2025</t>
        </is>
      </c>
      <c r="B3892" t="inlineStr">
        <is>
          <t>2024-06-12</t>
        </is>
      </c>
      <c r="C3892" t="inlineStr">
        <is>
          <t>20:49</t>
        </is>
      </c>
      <c r="D3892" t="inlineStr">
        <is>
          <t>n° 25 + n° 26</t>
        </is>
      </c>
      <c r="E3892" t="inlineStr">
        <is>
          <t>Saucisse de Morteau</t>
        </is>
      </c>
      <c r="F3892" t="n">
        <v>8.9</v>
      </c>
      <c r="G3892" t="inlineStr">
        <is>
          <t>n° 25 : 0,50 + n° 26 : 0,50</t>
        </is>
      </c>
      <c r="H3892" t="n">
        <v>1</v>
      </c>
    </row>
    <row r="3893">
      <c r="A3893" t="inlineStr">
        <is>
          <t>2024-2025</t>
        </is>
      </c>
      <c r="B3893" t="inlineStr">
        <is>
          <t>2024-06-12</t>
        </is>
      </c>
      <c r="C3893" t="inlineStr">
        <is>
          <t>20:49</t>
        </is>
      </c>
      <c r="D3893" t="inlineStr">
        <is>
          <t>n° 25 + n° 26</t>
        </is>
      </c>
      <c r="E3893" t="inlineStr">
        <is>
          <t>Pavlova</t>
        </is>
      </c>
      <c r="F3893" t="n">
        <v>8.9</v>
      </c>
      <c r="G3893" t="inlineStr">
        <is>
          <t>n° 25 : 0,50 + n° 26 : 0,50</t>
        </is>
      </c>
      <c r="H3893" t="n">
        <v>1</v>
      </c>
    </row>
    <row r="3894">
      <c r="A3894" t="inlineStr">
        <is>
          <t>2024-2025</t>
        </is>
      </c>
      <c r="B3894" t="inlineStr">
        <is>
          <t>2024-06-12</t>
        </is>
      </c>
      <c r="C3894" t="inlineStr">
        <is>
          <t>20:49</t>
        </is>
      </c>
      <c r="D3894" t="inlineStr">
        <is>
          <t>n° 25 + n° 26</t>
        </is>
      </c>
      <c r="E3894" t="inlineStr">
        <is>
          <t>Expresso</t>
        </is>
      </c>
      <c r="F3894" t="n">
        <v>2.2</v>
      </c>
      <c r="G3894" t="inlineStr">
        <is>
          <t>n° 25 : 0,50 + n° 26 : 0,50</t>
        </is>
      </c>
      <c r="H3894" t="n">
        <v>1</v>
      </c>
    </row>
    <row r="3895">
      <c r="A3895" t="inlineStr">
        <is>
          <t>2024-2025</t>
        </is>
      </c>
      <c r="B3895" t="inlineStr">
        <is>
          <t>2024-06-14</t>
        </is>
      </c>
      <c r="C3895" t="inlineStr">
        <is>
          <t>20:58</t>
        </is>
      </c>
      <c r="D3895" t="inlineStr">
        <is>
          <t>n° 22 + n° 23</t>
        </is>
      </c>
      <c r="E3895" t="inlineStr">
        <is>
          <t>MACHON GOURMET</t>
        </is>
      </c>
      <c r="F3895" t="n">
        <v>25</v>
      </c>
      <c r="G3895" t="inlineStr">
        <is>
          <t>n° 22 : 0,50 + n° 23 : 0,50</t>
        </is>
      </c>
      <c r="H3895" t="n">
        <v>1</v>
      </c>
    </row>
    <row r="3896">
      <c r="A3896" t="inlineStr">
        <is>
          <t>2024-2025</t>
        </is>
      </c>
      <c r="B3896" t="inlineStr">
        <is>
          <t>2024-06-14</t>
        </is>
      </c>
      <c r="C3896" t="inlineStr">
        <is>
          <t>20:58</t>
        </is>
      </c>
      <c r="D3896" t="inlineStr">
        <is>
          <t>n° 22 + n° 23</t>
        </is>
      </c>
      <c r="E3896" t="inlineStr">
        <is>
          <t>CAMEMBERT ROTI</t>
        </is>
      </c>
      <c r="F3896" t="n">
        <v>18.6</v>
      </c>
      <c r="G3896" t="inlineStr">
        <is>
          <t>n° 22 : 0,50 + n° 23 : 0,50</t>
        </is>
      </c>
      <c r="H3896" t="n">
        <v>1</v>
      </c>
    </row>
    <row r="3897">
      <c r="A3897" t="inlineStr">
        <is>
          <t>2024-2025</t>
        </is>
      </c>
      <c r="B3897" t="inlineStr">
        <is>
          <t>2024-06-14</t>
        </is>
      </c>
      <c r="C3897" t="inlineStr">
        <is>
          <t>20:58</t>
        </is>
      </c>
      <c r="D3897" t="inlineStr">
        <is>
          <t>n° 22 + n° 23</t>
        </is>
      </c>
      <c r="E3897" t="inlineStr">
        <is>
          <t>Savagnin verre</t>
        </is>
      </c>
      <c r="F3897" t="n">
        <v>8.300000000000001</v>
      </c>
      <c r="G3897" t="inlineStr">
        <is>
          <t>n° 22 : 0,50 + n° 23 : 0,50</t>
        </is>
      </c>
      <c r="H3897" t="n">
        <v>1</v>
      </c>
    </row>
    <row r="3898">
      <c r="A3898" t="inlineStr">
        <is>
          <t>2024-2025</t>
        </is>
      </c>
      <c r="B3898" t="inlineStr">
        <is>
          <t>2024-06-14</t>
        </is>
      </c>
      <c r="C3898" t="inlineStr">
        <is>
          <t>20:58</t>
        </is>
      </c>
      <c r="D3898" t="inlineStr">
        <is>
          <t>n° 22 + n° 23</t>
        </is>
      </c>
      <c r="E3898" t="inlineStr">
        <is>
          <t>GLACE 3 BOULES</t>
        </is>
      </c>
      <c r="F3898" t="n">
        <v>7.9</v>
      </c>
      <c r="G3898" t="inlineStr">
        <is>
          <t>n° 22 : 0,50 + n° 23 : 0,50</t>
        </is>
      </c>
      <c r="H3898" t="n">
        <v>1</v>
      </c>
    </row>
    <row r="3899">
      <c r="A3899" t="inlineStr">
        <is>
          <t>2024-2025</t>
        </is>
      </c>
      <c r="B3899" t="inlineStr">
        <is>
          <t>2024-06-14</t>
        </is>
      </c>
      <c r="C3899" t="inlineStr">
        <is>
          <t>20:58</t>
        </is>
      </c>
      <c r="D3899" t="inlineStr">
        <is>
          <t>n° 22 + n° 23</t>
        </is>
      </c>
      <c r="E3899" t="inlineStr">
        <is>
          <t>Arbois Trousseau Le</t>
        </is>
      </c>
      <c r="F3899" t="n">
        <v>7.2</v>
      </c>
      <c r="G3899" t="inlineStr">
        <is>
          <t>n° 22 : 0,50 + n° 23 : 0,50</t>
        </is>
      </c>
      <c r="H3899" t="n">
        <v>1</v>
      </c>
    </row>
    <row r="3900">
      <c r="A3900" t="inlineStr">
        <is>
          <t>2024-2025</t>
        </is>
      </c>
      <c r="B3900" t="inlineStr">
        <is>
          <t>2024-06-14</t>
        </is>
      </c>
      <c r="C3900" t="inlineStr">
        <is>
          <t>20:58</t>
        </is>
      </c>
      <c r="D3900" t="inlineStr">
        <is>
          <t>n° 22 + n° 23</t>
        </is>
      </c>
      <c r="E3900" t="inlineStr">
        <is>
          <t>Crêpe Nutella</t>
        </is>
      </c>
      <c r="F3900" t="n">
        <v>4.9</v>
      </c>
      <c r="G3900" t="inlineStr">
        <is>
          <t>n° 22 : 0,50 + n° 23 : 0,50</t>
        </is>
      </c>
      <c r="H3900" t="n">
        <v>1</v>
      </c>
    </row>
    <row r="3901">
      <c r="A3901" t="inlineStr">
        <is>
          <t>2024-2025</t>
        </is>
      </c>
      <c r="B3901" t="inlineStr">
        <is>
          <t>2024-06-14</t>
        </is>
      </c>
      <c r="C3901" t="inlineStr">
        <is>
          <t>20:58</t>
        </is>
      </c>
      <c r="D3901" t="inlineStr">
        <is>
          <t>n° 22 + n° 23</t>
        </is>
      </c>
      <c r="E3901" t="inlineStr">
        <is>
          <t>ECLATS NOISETTES</t>
        </is>
      </c>
      <c r="F3901" t="n">
        <v>1.4</v>
      </c>
      <c r="G3901" t="inlineStr">
        <is>
          <t>n° 22 : 0,50 + n° 23 : 0,50</t>
        </is>
      </c>
      <c r="H3901" t="n">
        <v>1</v>
      </c>
    </row>
    <row r="3902">
      <c r="A3902" t="inlineStr">
        <is>
          <t>2024-2025</t>
        </is>
      </c>
      <c r="B3902" t="inlineStr">
        <is>
          <t>2024-06-15</t>
        </is>
      </c>
      <c r="C3902" t="inlineStr">
        <is>
          <t>12:45</t>
        </is>
      </c>
      <c r="D3902" t="inlineStr">
        <is>
          <t>n° 5 + n° 6</t>
        </is>
      </c>
      <c r="E3902" t="inlineStr">
        <is>
          <t>Poulet aux Morilles</t>
        </is>
      </c>
      <c r="F3902" t="n">
        <v>28.6</v>
      </c>
      <c r="G3902" t="inlineStr">
        <is>
          <t>n° 5 : 0,50 + n° 6 : 0,50</t>
        </is>
      </c>
      <c r="H3902" t="n">
        <v>1</v>
      </c>
    </row>
    <row r="3903">
      <c r="A3903" t="inlineStr">
        <is>
          <t>2024-2025</t>
        </is>
      </c>
      <c r="B3903" t="inlineStr">
        <is>
          <t>2024-06-15</t>
        </is>
      </c>
      <c r="C3903" t="inlineStr">
        <is>
          <t>12:45</t>
        </is>
      </c>
      <c r="D3903" t="inlineStr">
        <is>
          <t>n° 5 + n° 6</t>
        </is>
      </c>
      <c r="E3903" t="inlineStr">
        <is>
          <t>TRUITE PESTO</t>
        </is>
      </c>
      <c r="F3903" t="n">
        <v>16.9</v>
      </c>
      <c r="G3903" t="inlineStr">
        <is>
          <t>n° 5 : 1,50 + n° 6 : 1,50</t>
        </is>
      </c>
      <c r="H3903" t="n">
        <v>3</v>
      </c>
    </row>
    <row r="3904">
      <c r="A3904" t="inlineStr">
        <is>
          <t>2024-2025</t>
        </is>
      </c>
      <c r="B3904" t="inlineStr">
        <is>
          <t>2024-06-15</t>
        </is>
      </c>
      <c r="C3904" t="inlineStr">
        <is>
          <t>12:45</t>
        </is>
      </c>
      <c r="D3904" t="inlineStr">
        <is>
          <t>n° 5 + n° 6</t>
        </is>
      </c>
      <c r="E3904" t="inlineStr">
        <is>
          <t>PICHET ROSE</t>
        </is>
      </c>
      <c r="F3904" t="n">
        <v>10.5</v>
      </c>
      <c r="G3904" t="inlineStr">
        <is>
          <t>n° 5 : 0,50 + n° 6 : 0,50</t>
        </is>
      </c>
      <c r="H3904" t="n">
        <v>1</v>
      </c>
    </row>
    <row r="3905">
      <c r="A3905" t="inlineStr">
        <is>
          <t>2024-2025</t>
        </is>
      </c>
      <c r="B3905" t="inlineStr">
        <is>
          <t>2024-06-15</t>
        </is>
      </c>
      <c r="C3905" t="inlineStr">
        <is>
          <t>12:45</t>
        </is>
      </c>
      <c r="D3905" t="inlineStr">
        <is>
          <t>n° 5 + n° 6</t>
        </is>
      </c>
      <c r="E3905" t="inlineStr">
        <is>
          <t>Savagnin verre</t>
        </is>
      </c>
      <c r="F3905" t="n">
        <v>8.300000000000001</v>
      </c>
      <c r="G3905" t="inlineStr">
        <is>
          <t>n° 5 : 0,50 + n° 6 : 0,50</t>
        </is>
      </c>
      <c r="H3905" t="n">
        <v>1</v>
      </c>
    </row>
    <row r="3906">
      <c r="A3906" t="inlineStr">
        <is>
          <t>2024-2025</t>
        </is>
      </c>
      <c r="B3906" t="inlineStr">
        <is>
          <t>2024-06-15</t>
        </is>
      </c>
      <c r="C3906" t="inlineStr">
        <is>
          <t>12:45</t>
        </is>
      </c>
      <c r="D3906" t="inlineStr">
        <is>
          <t>n° 5 + n° 6</t>
        </is>
      </c>
      <c r="E3906" t="inlineStr">
        <is>
          <t>Chat perché</t>
        </is>
      </c>
      <c r="F3906" t="n">
        <v>5.9</v>
      </c>
      <c r="G3906" t="inlineStr">
        <is>
          <t>n° 5 : 0,50 + n° 6 : 0,50</t>
        </is>
      </c>
      <c r="H3906" t="n">
        <v>1</v>
      </c>
    </row>
    <row r="3907">
      <c r="A3907" t="inlineStr">
        <is>
          <t>2024-2025</t>
        </is>
      </c>
      <c r="B3907" t="inlineStr">
        <is>
          <t>2024-06-15</t>
        </is>
      </c>
      <c r="C3907" t="inlineStr">
        <is>
          <t>13:11</t>
        </is>
      </c>
      <c r="D3907" t="inlineStr">
        <is>
          <t>n° 11 + n° 12</t>
        </is>
      </c>
      <c r="E3907" t="inlineStr">
        <is>
          <t>PAYSANNE</t>
        </is>
      </c>
      <c r="F3907" t="n">
        <v>19.9</v>
      </c>
      <c r="G3907" t="inlineStr">
        <is>
          <t>n° 11 : 0,50 + n° 12 : 0,50</t>
        </is>
      </c>
      <c r="H3907" t="n">
        <v>1</v>
      </c>
    </row>
    <row r="3908">
      <c r="A3908" t="inlineStr">
        <is>
          <t>2024-2025</t>
        </is>
      </c>
      <c r="B3908" t="inlineStr">
        <is>
          <t>2024-06-15</t>
        </is>
      </c>
      <c r="C3908" t="inlineStr">
        <is>
          <t>13:11</t>
        </is>
      </c>
      <c r="D3908" t="inlineStr">
        <is>
          <t>n° 11 + n° 12</t>
        </is>
      </c>
      <c r="E3908" t="inlineStr">
        <is>
          <t>CAMEMBERT ROTI</t>
        </is>
      </c>
      <c r="F3908" t="n">
        <v>18.6</v>
      </c>
      <c r="G3908" t="inlineStr">
        <is>
          <t>n° 11 : 0,50 + n° 12 : 0,50</t>
        </is>
      </c>
      <c r="H3908" t="n">
        <v>1</v>
      </c>
    </row>
    <row r="3909">
      <c r="A3909" t="inlineStr">
        <is>
          <t>2024-2025</t>
        </is>
      </c>
      <c r="B3909" t="inlineStr">
        <is>
          <t>2024-06-15</t>
        </is>
      </c>
      <c r="C3909" t="inlineStr">
        <is>
          <t>13:11</t>
        </is>
      </c>
      <c r="D3909" t="inlineStr">
        <is>
          <t>n° 11 + n° 12</t>
        </is>
      </c>
      <c r="E3909" t="inlineStr">
        <is>
          <t>ASSIETTE FRANC-COMTO</t>
        </is>
      </c>
      <c r="F3909" t="n">
        <v>18.6</v>
      </c>
      <c r="G3909" t="inlineStr">
        <is>
          <t>n° 11 : 0,50 + n° 12 : 0,50</t>
        </is>
      </c>
      <c r="H3909" t="n">
        <v>1</v>
      </c>
    </row>
    <row r="3910">
      <c r="A3910" t="inlineStr">
        <is>
          <t>2024-2025</t>
        </is>
      </c>
      <c r="B3910" t="inlineStr">
        <is>
          <t>2024-06-15</t>
        </is>
      </c>
      <c r="C3910" t="inlineStr">
        <is>
          <t>13:11</t>
        </is>
      </c>
      <c r="D3910" t="inlineStr">
        <is>
          <t>n° 11 + n° 12</t>
        </is>
      </c>
      <c r="E3910" t="inlineStr">
        <is>
          <t>DADOULET</t>
        </is>
      </c>
      <c r="F3910" t="n">
        <v>18.1</v>
      </c>
      <c r="G3910" t="inlineStr">
        <is>
          <t>n° 11 : 0,50 + n° 12 : 0,50</t>
        </is>
      </c>
      <c r="H3910" t="n">
        <v>1</v>
      </c>
    </row>
    <row r="3911">
      <c r="A3911" t="inlineStr">
        <is>
          <t>2024-2025</t>
        </is>
      </c>
      <c r="B3911" t="inlineStr">
        <is>
          <t>2024-06-15</t>
        </is>
      </c>
      <c r="C3911" t="inlineStr">
        <is>
          <t>13:11</t>
        </is>
      </c>
      <c r="D3911" t="inlineStr">
        <is>
          <t>n° 11 + n° 12</t>
        </is>
      </c>
      <c r="E3911" t="inlineStr">
        <is>
          <t>DAMES VERTES</t>
        </is>
      </c>
      <c r="F3911" t="n">
        <v>9.699999999999999</v>
      </c>
      <c r="G3911" t="inlineStr">
        <is>
          <t>n° 11 : 0,50 + n° 12 : 0,50</t>
        </is>
      </c>
      <c r="H3911" t="n">
        <v>1</v>
      </c>
    </row>
    <row r="3912">
      <c r="A3912" t="inlineStr">
        <is>
          <t>2024-2025</t>
        </is>
      </c>
      <c r="B3912" t="inlineStr">
        <is>
          <t>2024-06-15</t>
        </is>
      </c>
      <c r="C3912" t="inlineStr">
        <is>
          <t>13:11</t>
        </is>
      </c>
      <c r="D3912" t="inlineStr">
        <is>
          <t>n° 11 + n° 12</t>
        </is>
      </c>
      <c r="E3912" t="inlineStr">
        <is>
          <t>Pavlova</t>
        </is>
      </c>
      <c r="F3912" t="n">
        <v>8.9</v>
      </c>
      <c r="G3912" t="inlineStr">
        <is>
          <t>n° 11 : 0,50 + n° 12 : 0,50</t>
        </is>
      </c>
      <c r="H3912" t="n">
        <v>1</v>
      </c>
    </row>
    <row r="3913">
      <c r="A3913" t="inlineStr">
        <is>
          <t>2024-2025</t>
        </is>
      </c>
      <c r="B3913" t="inlineStr">
        <is>
          <t>2024-06-15</t>
        </is>
      </c>
      <c r="C3913" t="inlineStr">
        <is>
          <t>13:11</t>
        </is>
      </c>
      <c r="D3913" t="inlineStr">
        <is>
          <t>n° 11 + n° 12</t>
        </is>
      </c>
      <c r="E3913" t="inlineStr">
        <is>
          <t>GLACE 2 BOULES</t>
        </is>
      </c>
      <c r="F3913" t="n">
        <v>5.5</v>
      </c>
      <c r="G3913" t="inlineStr">
        <is>
          <t>n° 11 : 0,50 + n° 12 : 0,50</t>
        </is>
      </c>
      <c r="H3913" t="n">
        <v>1</v>
      </c>
    </row>
    <row r="3914">
      <c r="A3914" t="inlineStr">
        <is>
          <t>2024-2025</t>
        </is>
      </c>
      <c r="B3914" t="inlineStr">
        <is>
          <t>2024-06-15</t>
        </is>
      </c>
      <c r="C3914" t="inlineStr">
        <is>
          <t>13:11</t>
        </is>
      </c>
      <c r="D3914" t="inlineStr">
        <is>
          <t>n° 11 + n° 12</t>
        </is>
      </c>
      <c r="E3914" t="inlineStr">
        <is>
          <t>Crémant</t>
        </is>
      </c>
      <c r="F3914" t="n">
        <v>5</v>
      </c>
      <c r="G3914" t="inlineStr">
        <is>
          <t>n° 11 : 0,50 + n° 12 : 0,50</t>
        </is>
      </c>
      <c r="H3914" t="n">
        <v>1</v>
      </c>
    </row>
    <row r="3915">
      <c r="A3915" t="inlineStr">
        <is>
          <t>2024-2025</t>
        </is>
      </c>
      <c r="B3915" t="inlineStr">
        <is>
          <t>2024-06-15</t>
        </is>
      </c>
      <c r="C3915" t="inlineStr">
        <is>
          <t>13:11</t>
        </is>
      </c>
      <c r="D3915" t="inlineStr">
        <is>
          <t>n° 11 + n° 12</t>
        </is>
      </c>
      <c r="E3915" t="inlineStr">
        <is>
          <t>Martini Blanc</t>
        </is>
      </c>
      <c r="F3915" t="n">
        <v>4.9</v>
      </c>
      <c r="G3915" t="inlineStr">
        <is>
          <t>n° 11 : 0,50 + n° 12 : 0,50</t>
        </is>
      </c>
      <c r="H3915" t="n">
        <v>1</v>
      </c>
    </row>
    <row r="3916">
      <c r="A3916" t="inlineStr">
        <is>
          <t>2024-2025</t>
        </is>
      </c>
      <c r="B3916" t="inlineStr">
        <is>
          <t>2024-06-15</t>
        </is>
      </c>
      <c r="C3916" t="inlineStr">
        <is>
          <t>13:11</t>
        </is>
      </c>
      <c r="D3916" t="inlineStr">
        <is>
          <t>n° 11 + n° 12</t>
        </is>
      </c>
      <c r="E3916" t="inlineStr">
        <is>
          <t>Crêpe Nutella</t>
        </is>
      </c>
      <c r="F3916" t="n">
        <v>4.9</v>
      </c>
      <c r="G3916" t="inlineStr">
        <is>
          <t>n° 11 : 0,50 + n° 12 : 0,50</t>
        </is>
      </c>
      <c r="H3916" t="n">
        <v>1</v>
      </c>
    </row>
    <row r="3917">
      <c r="A3917" t="inlineStr">
        <is>
          <t>2024-2025</t>
        </is>
      </c>
      <c r="B3917" t="inlineStr">
        <is>
          <t>2024-06-15</t>
        </is>
      </c>
      <c r="C3917" t="inlineStr">
        <is>
          <t>13:11</t>
        </is>
      </c>
      <c r="D3917" t="inlineStr">
        <is>
          <t>n° 11 + n° 12</t>
        </is>
      </c>
      <c r="E3917" t="inlineStr">
        <is>
          <t>pression</t>
        </is>
      </c>
      <c r="F3917" t="n">
        <v>4.2</v>
      </c>
      <c r="G3917" t="inlineStr">
        <is>
          <t>n° 11 : 0,50 + n° 12 : 0,50</t>
        </is>
      </c>
      <c r="H3917" t="n">
        <v>1</v>
      </c>
    </row>
    <row r="3918">
      <c r="A3918" t="inlineStr">
        <is>
          <t>2024-2025</t>
        </is>
      </c>
      <c r="B3918" t="inlineStr">
        <is>
          <t>2024-06-15</t>
        </is>
      </c>
      <c r="C3918" t="inlineStr">
        <is>
          <t>13:11</t>
        </is>
      </c>
      <c r="D3918" t="inlineStr">
        <is>
          <t>n° 11 + n° 12</t>
        </is>
      </c>
      <c r="E3918" t="inlineStr">
        <is>
          <t>Pastis</t>
        </is>
      </c>
      <c r="F3918" t="n">
        <v>4.2</v>
      </c>
      <c r="G3918" t="inlineStr">
        <is>
          <t>n° 11 : 0,50 + n° 12 : 0,50</t>
        </is>
      </c>
      <c r="H3918" t="n">
        <v>1</v>
      </c>
    </row>
    <row r="3919">
      <c r="A3919" t="inlineStr">
        <is>
          <t>2024-2025</t>
        </is>
      </c>
      <c r="B3919" t="inlineStr">
        <is>
          <t>2024-06-15</t>
        </is>
      </c>
      <c r="C3919" t="inlineStr">
        <is>
          <t>13:11</t>
        </is>
      </c>
      <c r="D3919" t="inlineStr">
        <is>
          <t>n° 11 + n° 12</t>
        </is>
      </c>
      <c r="E3919" t="inlineStr">
        <is>
          <t>Perrier 33cl</t>
        </is>
      </c>
      <c r="F3919" t="n">
        <v>4</v>
      </c>
      <c r="G3919" t="inlineStr">
        <is>
          <t>n° 11 : 0,50 + n° 12 : 0,50</t>
        </is>
      </c>
      <c r="H3919" t="n">
        <v>1</v>
      </c>
    </row>
    <row r="3920">
      <c r="A3920" t="inlineStr">
        <is>
          <t>2024-2025</t>
        </is>
      </c>
      <c r="B3920" t="inlineStr">
        <is>
          <t>2024-06-15</t>
        </is>
      </c>
      <c r="C3920" t="inlineStr">
        <is>
          <t>13:11</t>
        </is>
      </c>
      <c r="D3920" t="inlineStr">
        <is>
          <t>n° 11 + n° 12</t>
        </is>
      </c>
      <c r="E3920" t="inlineStr">
        <is>
          <t>Diabolo (25cl)</t>
        </is>
      </c>
      <c r="F3920" t="n">
        <v>3.9</v>
      </c>
      <c r="G3920" t="inlineStr">
        <is>
          <t>n° 11 : 0,50 + n° 12 : 0,50</t>
        </is>
      </c>
      <c r="H3920" t="n">
        <v>1</v>
      </c>
    </row>
    <row r="3921">
      <c r="A3921" t="inlineStr">
        <is>
          <t>2024-2025</t>
        </is>
      </c>
      <c r="B3921" t="inlineStr">
        <is>
          <t>2024-06-15</t>
        </is>
      </c>
      <c r="C3921" t="inlineStr">
        <is>
          <t>13:11</t>
        </is>
      </c>
      <c r="D3921" t="inlineStr">
        <is>
          <t>n° 11 + n° 12</t>
        </is>
      </c>
      <c r="E3921" t="inlineStr">
        <is>
          <t>Galette nature</t>
        </is>
      </c>
      <c r="F3921" t="n">
        <v>3.9</v>
      </c>
      <c r="G3921" t="inlineStr">
        <is>
          <t>n° 11 : 0,50 + n° 12 : 0,50</t>
        </is>
      </c>
      <c r="H3921" t="n">
        <v>1</v>
      </c>
    </row>
    <row r="3922">
      <c r="A3922" t="inlineStr">
        <is>
          <t>2024-2025</t>
        </is>
      </c>
      <c r="B3922" t="inlineStr">
        <is>
          <t>2024-06-15</t>
        </is>
      </c>
      <c r="C3922" t="inlineStr">
        <is>
          <t>13:11</t>
        </is>
      </c>
      <c r="D3922" t="inlineStr">
        <is>
          <t>n° 11 + n° 12</t>
        </is>
      </c>
      <c r="E3922" t="inlineStr">
        <is>
          <t>Ratatouille</t>
        </is>
      </c>
      <c r="F3922" t="n">
        <v>3.2</v>
      </c>
      <c r="G3922" t="inlineStr">
        <is>
          <t>n° 11 : 0,50 + n° 12 : 0,50</t>
        </is>
      </c>
      <c r="H3922" t="n">
        <v>1</v>
      </c>
    </row>
    <row r="3923">
      <c r="A3923" t="inlineStr">
        <is>
          <t>2024-2025</t>
        </is>
      </c>
      <c r="B3923" t="inlineStr">
        <is>
          <t>2024-06-15</t>
        </is>
      </c>
      <c r="C3923" t="inlineStr">
        <is>
          <t>13:11</t>
        </is>
      </c>
      <c r="D3923" t="inlineStr">
        <is>
          <t>n° 11 + n° 12</t>
        </is>
      </c>
      <c r="E3923" t="inlineStr">
        <is>
          <t>Pommes de Terre</t>
        </is>
      </c>
      <c r="F3923" t="n">
        <v>3.2</v>
      </c>
      <c r="G3923" t="inlineStr">
        <is>
          <t>n° 11 : 0,50 + n° 12 : 0,50</t>
        </is>
      </c>
      <c r="H3923" t="n">
        <v>1</v>
      </c>
    </row>
    <row r="3924">
      <c r="A3924" t="inlineStr">
        <is>
          <t>2024-2025</t>
        </is>
      </c>
      <c r="B3924" t="inlineStr">
        <is>
          <t>2024-06-15</t>
        </is>
      </c>
      <c r="C3924" t="inlineStr">
        <is>
          <t>13:11</t>
        </is>
      </c>
      <c r="D3924" t="inlineStr">
        <is>
          <t>n° 11 + n° 12</t>
        </is>
      </c>
      <c r="E3924" t="inlineStr">
        <is>
          <t>Salade Verte</t>
        </is>
      </c>
      <c r="F3924" t="n">
        <v>2.9</v>
      </c>
      <c r="G3924" t="inlineStr">
        <is>
          <t>n° 11 : 0,50 + n° 12 : 0,50</t>
        </is>
      </c>
      <c r="H3924" t="n">
        <v>1</v>
      </c>
    </row>
    <row r="3925">
      <c r="A3925" t="inlineStr">
        <is>
          <t>2024-2025</t>
        </is>
      </c>
      <c r="B3925" t="inlineStr">
        <is>
          <t>2024-06-15</t>
        </is>
      </c>
      <c r="C3925" t="inlineStr">
        <is>
          <t>13:11</t>
        </is>
      </c>
      <c r="D3925" t="inlineStr">
        <is>
          <t>n° 11 + n° 12</t>
        </is>
      </c>
      <c r="E3925" t="inlineStr">
        <is>
          <t>Expresso</t>
        </is>
      </c>
      <c r="F3925" t="n">
        <v>2.2</v>
      </c>
      <c r="G3925" t="inlineStr">
        <is>
          <t>n° 11 : 2,50 + n° 12 : 2,50</t>
        </is>
      </c>
      <c r="H3925" t="n">
        <v>5</v>
      </c>
    </row>
    <row r="3926">
      <c r="A3926" t="inlineStr">
        <is>
          <t>2024-2025</t>
        </is>
      </c>
      <c r="B3926" t="inlineStr">
        <is>
          <t>2024-06-15</t>
        </is>
      </c>
      <c r="C3926" t="inlineStr">
        <is>
          <t>13:11</t>
        </is>
      </c>
      <c r="D3926" t="inlineStr">
        <is>
          <t>n° 11 + n° 12</t>
        </is>
      </c>
      <c r="E3926" t="inlineStr">
        <is>
          <t>Œuf</t>
        </is>
      </c>
      <c r="F3926" t="n">
        <v>0.9</v>
      </c>
      <c r="G3926" t="inlineStr">
        <is>
          <t>n° 11 : 0,50 + n° 12 : 0,50</t>
        </is>
      </c>
      <c r="H3926" t="n">
        <v>1</v>
      </c>
    </row>
    <row r="3927">
      <c r="A3927" t="inlineStr">
        <is>
          <t>2024-2025</t>
        </is>
      </c>
      <c r="B3927" t="inlineStr">
        <is>
          <t>2024-06-15</t>
        </is>
      </c>
      <c r="C3927" t="inlineStr">
        <is>
          <t>13:34</t>
        </is>
      </c>
      <c r="D3927" t="inlineStr">
        <is>
          <t>n° 15 + n° 16</t>
        </is>
      </c>
      <c r="E3927" t="inlineStr">
        <is>
          <t>Menu Végétarien</t>
        </is>
      </c>
      <c r="F3927" t="n">
        <v>26.5</v>
      </c>
      <c r="G3927" t="inlineStr">
        <is>
          <t>n° 15 : 0,50 + n° 16 : 0,50</t>
        </is>
      </c>
      <c r="H3927" t="n">
        <v>1</v>
      </c>
    </row>
    <row r="3928">
      <c r="A3928" t="inlineStr">
        <is>
          <t>2024-2025</t>
        </is>
      </c>
      <c r="B3928" t="inlineStr">
        <is>
          <t>2024-06-15</t>
        </is>
      </c>
      <c r="C3928" t="inlineStr">
        <is>
          <t>13:34</t>
        </is>
      </c>
      <c r="D3928" t="inlineStr">
        <is>
          <t>n° 15 + n° 16</t>
        </is>
      </c>
      <c r="E3928" t="inlineStr">
        <is>
          <t>ASSIETTE VEGAN</t>
        </is>
      </c>
      <c r="F3928" t="n">
        <v>14</v>
      </c>
      <c r="G3928" t="inlineStr">
        <is>
          <t>n° 15 : 0,50 + n° 16 : 0,50</t>
        </is>
      </c>
      <c r="H3928" t="n">
        <v>1</v>
      </c>
    </row>
    <row r="3929">
      <c r="A3929" t="inlineStr">
        <is>
          <t>2024-2025</t>
        </is>
      </c>
      <c r="B3929" t="inlineStr">
        <is>
          <t>2024-06-15</t>
        </is>
      </c>
      <c r="C3929" t="inlineStr">
        <is>
          <t>13:34</t>
        </is>
      </c>
      <c r="D3929" t="inlineStr">
        <is>
          <t>n° 15 + n° 16</t>
        </is>
      </c>
      <c r="E3929" t="inlineStr">
        <is>
          <t>VERRE CHUSCLAN</t>
        </is>
      </c>
      <c r="F3929" t="n">
        <v>3.9</v>
      </c>
      <c r="G3929" t="inlineStr">
        <is>
          <t>n° 15 : 0,50 + n° 16 : 0,50</t>
        </is>
      </c>
      <c r="H3929" t="n">
        <v>1</v>
      </c>
    </row>
    <row r="3930">
      <c r="A3930" t="inlineStr">
        <is>
          <t>2024-2025</t>
        </is>
      </c>
      <c r="B3930" t="inlineStr">
        <is>
          <t>2024-06-15</t>
        </is>
      </c>
      <c r="C3930" t="inlineStr">
        <is>
          <t>13:34</t>
        </is>
      </c>
      <c r="D3930" t="inlineStr">
        <is>
          <t>n° 15 + n° 16</t>
        </is>
      </c>
      <c r="E3930" t="inlineStr">
        <is>
          <t>GLACE 1 BOULE</t>
        </is>
      </c>
      <c r="F3930" t="n">
        <v>3.5</v>
      </c>
      <c r="G3930" t="inlineStr">
        <is>
          <t>n° 15 : 0,50 + n° 16 : 0,50</t>
        </is>
      </c>
      <c r="H3930" t="n">
        <v>1</v>
      </c>
    </row>
    <row r="3931">
      <c r="A3931" t="inlineStr">
        <is>
          <t>2024-2025</t>
        </is>
      </c>
      <c r="B3931" t="inlineStr">
        <is>
          <t>2024-06-15</t>
        </is>
      </c>
      <c r="C3931" t="inlineStr">
        <is>
          <t>20:24</t>
        </is>
      </c>
      <c r="D3931" t="inlineStr">
        <is>
          <t>n° 29 + n° 32 + n° 33</t>
        </is>
      </c>
      <c r="E3931" t="inlineStr">
        <is>
          <t>Cidre Bouché Doux</t>
        </is>
      </c>
      <c r="F3931" t="n">
        <v>16</v>
      </c>
      <c r="G3931" t="inlineStr">
        <is>
          <t>n° 32 : 0,50 + n° 33 : 0,50</t>
        </is>
      </c>
      <c r="H3931" t="n">
        <v>1</v>
      </c>
    </row>
    <row r="3932">
      <c r="A3932" t="inlineStr">
        <is>
          <t>2024-2025</t>
        </is>
      </c>
      <c r="B3932" t="inlineStr">
        <is>
          <t>2024-06-15</t>
        </is>
      </c>
      <c r="C3932" t="inlineStr">
        <is>
          <t>20:24</t>
        </is>
      </c>
      <c r="D3932" t="inlineStr">
        <is>
          <t>n° 29 + n° 32 + n° 33</t>
        </is>
      </c>
      <c r="E3932" t="inlineStr">
        <is>
          <t>Chat perché</t>
        </is>
      </c>
      <c r="F3932" t="n">
        <v>5.9</v>
      </c>
      <c r="G3932" t="inlineStr">
        <is>
          <t>n° 29 : 0,50</t>
        </is>
      </c>
      <c r="H3932" t="n">
        <v>0.5</v>
      </c>
    </row>
    <row r="3933">
      <c r="A3933" t="inlineStr">
        <is>
          <t>2024-2025</t>
        </is>
      </c>
      <c r="B3933" t="inlineStr">
        <is>
          <t>2024-06-15</t>
        </is>
      </c>
      <c r="C3933" t="inlineStr">
        <is>
          <t>20:24</t>
        </is>
      </c>
      <c r="D3933" t="inlineStr">
        <is>
          <t>n° 29 + n° 32 + n° 33</t>
        </is>
      </c>
      <c r="E3933" t="inlineStr">
        <is>
          <t>Père Gregoire</t>
        </is>
      </c>
      <c r="F3933" t="n">
        <v>5.9</v>
      </c>
      <c r="G3933" t="inlineStr">
        <is>
          <t>n° 29 : 0,50</t>
        </is>
      </c>
      <c r="H3933" t="n">
        <v>0.5</v>
      </c>
    </row>
    <row r="3934">
      <c r="A3934" t="inlineStr">
        <is>
          <t>2024-2025</t>
        </is>
      </c>
      <c r="B3934" t="inlineStr">
        <is>
          <t>2024-06-15</t>
        </is>
      </c>
      <c r="C3934" t="inlineStr">
        <is>
          <t>20:24</t>
        </is>
      </c>
      <c r="D3934" t="inlineStr">
        <is>
          <t>n° 29 + n° 32 + n° 33</t>
        </is>
      </c>
      <c r="E3934" t="inlineStr">
        <is>
          <t>Expresso</t>
        </is>
      </c>
      <c r="F3934" t="n">
        <v>2.2</v>
      </c>
      <c r="G3934" t="inlineStr">
        <is>
          <t>n° 32 : 0,50 + n° 33 : 0,50</t>
        </is>
      </c>
      <c r="H3934" t="n">
        <v>1</v>
      </c>
    </row>
    <row r="3935">
      <c r="A3935" t="inlineStr">
        <is>
          <t>2024-2025</t>
        </is>
      </c>
      <c r="B3935" t="inlineStr">
        <is>
          <t>2024-06-19</t>
        </is>
      </c>
      <c r="C3935" t="inlineStr">
        <is>
          <t>19:27</t>
        </is>
      </c>
      <c r="D3935" t="inlineStr">
        <is>
          <t>n° 21 + n° 22</t>
        </is>
      </c>
      <c r="E3935" t="inlineStr">
        <is>
          <t>BURGER COMTOIS</t>
        </is>
      </c>
      <c r="F3935" t="n">
        <v>19</v>
      </c>
      <c r="G3935" t="inlineStr">
        <is>
          <t>n° 21 : 0,50 + n° 22 : 0,50</t>
        </is>
      </c>
      <c r="H3935" t="n">
        <v>1</v>
      </c>
    </row>
    <row r="3936">
      <c r="A3936" t="inlineStr">
        <is>
          <t>2024-2025</t>
        </is>
      </c>
      <c r="B3936" t="inlineStr">
        <is>
          <t>2024-06-19</t>
        </is>
      </c>
      <c r="C3936" t="inlineStr">
        <is>
          <t>19:27</t>
        </is>
      </c>
      <c r="D3936" t="inlineStr">
        <is>
          <t>n° 21 + n° 22</t>
        </is>
      </c>
      <c r="E3936" t="inlineStr">
        <is>
          <t>TRUITE JURASSIENNE</t>
        </is>
      </c>
      <c r="F3936" t="n">
        <v>18.6</v>
      </c>
      <c r="G3936" t="inlineStr">
        <is>
          <t>n° 21 : 0,50 + n° 22 : 0,50</t>
        </is>
      </c>
      <c r="H3936" t="n">
        <v>1</v>
      </c>
    </row>
    <row r="3937">
      <c r="A3937" t="inlineStr">
        <is>
          <t>2024-2025</t>
        </is>
      </c>
      <c r="B3937" t="inlineStr">
        <is>
          <t>2024-06-19</t>
        </is>
      </c>
      <c r="C3937" t="inlineStr">
        <is>
          <t>19:27</t>
        </is>
      </c>
      <c r="D3937" t="inlineStr">
        <is>
          <t>n° 21 + n° 22</t>
        </is>
      </c>
      <c r="E3937" t="inlineStr">
        <is>
          <t>PICHET ROSE</t>
        </is>
      </c>
      <c r="F3937" t="n">
        <v>10.5</v>
      </c>
      <c r="G3937" t="inlineStr">
        <is>
          <t>n° 21 : 0,50 + n° 22 : 0,50</t>
        </is>
      </c>
      <c r="H3937" t="n">
        <v>1</v>
      </c>
    </row>
    <row r="3938">
      <c r="A3938" t="inlineStr">
        <is>
          <t>2024-2025</t>
        </is>
      </c>
      <c r="B3938" t="inlineStr">
        <is>
          <t>2024-06-19</t>
        </is>
      </c>
      <c r="C3938" t="inlineStr">
        <is>
          <t>19:27</t>
        </is>
      </c>
      <c r="D3938" t="inlineStr">
        <is>
          <t>n° 21 + n° 22</t>
        </is>
      </c>
      <c r="E3938" t="inlineStr">
        <is>
          <t>Menu 'Enfant'</t>
        </is>
      </c>
      <c r="F3938" t="n">
        <v>9.9</v>
      </c>
      <c r="G3938" t="inlineStr">
        <is>
          <t>n° 21 : 0,50 + n° 22 : 0,50</t>
        </is>
      </c>
      <c r="H3938" t="n">
        <v>1</v>
      </c>
    </row>
    <row r="3939">
      <c r="A3939" t="inlineStr">
        <is>
          <t>2024-2025</t>
        </is>
      </c>
      <c r="B3939" t="inlineStr">
        <is>
          <t>2024-06-19</t>
        </is>
      </c>
      <c r="C3939" t="inlineStr">
        <is>
          <t>19:27</t>
        </is>
      </c>
      <c r="D3939" t="inlineStr">
        <is>
          <t>n° 21 + n° 22</t>
        </is>
      </c>
      <c r="E3939" t="inlineStr">
        <is>
          <t>Savagnin verre</t>
        </is>
      </c>
      <c r="F3939" t="n">
        <v>8.300000000000001</v>
      </c>
      <c r="G3939" t="inlineStr">
        <is>
          <t>n° 21 : 0,50 + n° 22 : 0,50</t>
        </is>
      </c>
      <c r="H3939" t="n">
        <v>1</v>
      </c>
    </row>
    <row r="3940">
      <c r="A3940" t="inlineStr">
        <is>
          <t>2024-2025</t>
        </is>
      </c>
      <c r="B3940" t="inlineStr">
        <is>
          <t>2024-06-19</t>
        </is>
      </c>
      <c r="C3940" t="inlineStr">
        <is>
          <t>19:27</t>
        </is>
      </c>
      <c r="D3940" t="inlineStr">
        <is>
          <t>n° 21 + n° 22</t>
        </is>
      </c>
      <c r="E3940" t="inlineStr">
        <is>
          <t>Pinte</t>
        </is>
      </c>
      <c r="F3940" t="n">
        <v>8</v>
      </c>
      <c r="G3940" t="inlineStr">
        <is>
          <t>n° 21 : 0,50 + n° 22 : 0,50</t>
        </is>
      </c>
      <c r="H3940" t="n">
        <v>1</v>
      </c>
    </row>
    <row r="3941">
      <c r="A3941" t="inlineStr">
        <is>
          <t>2024-2025</t>
        </is>
      </c>
      <c r="B3941" t="inlineStr">
        <is>
          <t>2024-06-19</t>
        </is>
      </c>
      <c r="C3941" t="inlineStr">
        <is>
          <t>19:27</t>
        </is>
      </c>
      <c r="D3941" t="inlineStr">
        <is>
          <t>n° 21 + n° 22</t>
        </is>
      </c>
      <c r="E3941" t="inlineStr">
        <is>
          <t>Orangina (25cl)</t>
        </is>
      </c>
      <c r="F3941" t="n">
        <v>3.9</v>
      </c>
      <c r="G3941" t="inlineStr">
        <is>
          <t>n° 21 : 0,50 + n° 22 : 0,50</t>
        </is>
      </c>
      <c r="H3941" t="n">
        <v>1</v>
      </c>
    </row>
    <row r="3942">
      <c r="A3942" t="inlineStr">
        <is>
          <t>2024-2025</t>
        </is>
      </c>
      <c r="B3942" t="inlineStr">
        <is>
          <t>2024-06-19</t>
        </is>
      </c>
      <c r="C3942" t="inlineStr">
        <is>
          <t>19:27</t>
        </is>
      </c>
      <c r="D3942" t="inlineStr">
        <is>
          <t>n° 21 + n° 22</t>
        </is>
      </c>
      <c r="E3942" t="inlineStr">
        <is>
          <t>Schweppes</t>
        </is>
      </c>
      <c r="F3942" t="n">
        <v>3.9</v>
      </c>
      <c r="G3942" t="inlineStr">
        <is>
          <t>n° 21 : 0,50 + n° 22 : 0,50</t>
        </is>
      </c>
      <c r="H3942" t="n">
        <v>1</v>
      </c>
    </row>
    <row r="3943">
      <c r="A3943" t="inlineStr">
        <is>
          <t>2024-2025</t>
        </is>
      </c>
      <c r="B3943" t="inlineStr">
        <is>
          <t>2024-06-19</t>
        </is>
      </c>
      <c r="C3943" t="inlineStr">
        <is>
          <t>20:18</t>
        </is>
      </c>
      <c r="D3943" t="inlineStr">
        <is>
          <t>n° 32 + n° 33</t>
        </is>
      </c>
      <c r="E3943" t="inlineStr">
        <is>
          <t>POULET JURASSIENNE</t>
        </is>
      </c>
      <c r="F3943" t="n">
        <v>18.6</v>
      </c>
      <c r="G3943" t="inlineStr">
        <is>
          <t>n° 32 : 0,50 + n° 33 : 0,50</t>
        </is>
      </c>
      <c r="H3943" t="n">
        <v>1</v>
      </c>
    </row>
    <row r="3944">
      <c r="A3944" t="inlineStr">
        <is>
          <t>2024-2025</t>
        </is>
      </c>
      <c r="B3944" t="inlineStr">
        <is>
          <t>2024-06-19</t>
        </is>
      </c>
      <c r="C3944" t="inlineStr">
        <is>
          <t>20:18</t>
        </is>
      </c>
      <c r="D3944" t="inlineStr">
        <is>
          <t>n° 32 + n° 33</t>
        </is>
      </c>
      <c r="E3944" t="inlineStr">
        <is>
          <t>CAMEMBERT ROTI</t>
        </is>
      </c>
      <c r="F3944" t="n">
        <v>18.6</v>
      </c>
      <c r="G3944" t="inlineStr">
        <is>
          <t>n° 32 : 0,50 + n° 33 : 0,50</t>
        </is>
      </c>
      <c r="H3944" t="n">
        <v>1</v>
      </c>
    </row>
    <row r="3945">
      <c r="A3945" t="inlineStr">
        <is>
          <t>2024-2025</t>
        </is>
      </c>
      <c r="B3945" t="inlineStr">
        <is>
          <t>2024-06-19</t>
        </is>
      </c>
      <c r="C3945" t="inlineStr">
        <is>
          <t>20:18</t>
        </is>
      </c>
      <c r="D3945" t="inlineStr">
        <is>
          <t>n° 32 + n° 33</t>
        </is>
      </c>
      <c r="E3945" t="inlineStr">
        <is>
          <t>Gewurztraminer Le ve</t>
        </is>
      </c>
      <c r="F3945" t="n">
        <v>7</v>
      </c>
      <c r="G3945" t="inlineStr">
        <is>
          <t>n° 32 : 0,50 + n° 33 : 0,50</t>
        </is>
      </c>
      <c r="H3945" t="n">
        <v>1</v>
      </c>
    </row>
    <row r="3946">
      <c r="A3946" t="inlineStr">
        <is>
          <t>2024-2025</t>
        </is>
      </c>
      <c r="B3946" t="inlineStr">
        <is>
          <t>2024-06-19</t>
        </is>
      </c>
      <c r="C3946" t="inlineStr">
        <is>
          <t>20:18</t>
        </is>
      </c>
      <c r="D3946" t="inlineStr">
        <is>
          <t>n° 32 + n° 33</t>
        </is>
      </c>
      <c r="E3946" t="inlineStr">
        <is>
          <t>Crêpe Salidou</t>
        </is>
      </c>
      <c r="F3946" t="n">
        <v>6.4</v>
      </c>
      <c r="G3946" t="inlineStr">
        <is>
          <t>n° 32 : 0,50 + n° 33 : 0,50</t>
        </is>
      </c>
      <c r="H3946" t="n">
        <v>1</v>
      </c>
    </row>
    <row r="3947">
      <c r="A3947" t="inlineStr">
        <is>
          <t>2024-2025</t>
        </is>
      </c>
      <c r="B3947" t="inlineStr">
        <is>
          <t>2024-06-19</t>
        </is>
      </c>
      <c r="C3947" t="inlineStr">
        <is>
          <t>20:18</t>
        </is>
      </c>
      <c r="D3947" t="inlineStr">
        <is>
          <t>n° 32 + n° 33</t>
        </is>
      </c>
      <c r="E3947" t="inlineStr">
        <is>
          <t>Crêpe Marrons</t>
        </is>
      </c>
      <c r="F3947" t="n">
        <v>6.4</v>
      </c>
      <c r="G3947" t="inlineStr">
        <is>
          <t>n° 32 : 0,50 + n° 33 : 0,50</t>
        </is>
      </c>
      <c r="H3947" t="n">
        <v>1</v>
      </c>
    </row>
    <row r="3948">
      <c r="A3948" t="inlineStr">
        <is>
          <t>2024-2025</t>
        </is>
      </c>
      <c r="B3948" t="inlineStr">
        <is>
          <t>2024-06-19</t>
        </is>
      </c>
      <c r="C3948" t="inlineStr">
        <is>
          <t>20:18</t>
        </is>
      </c>
      <c r="D3948" t="inlineStr">
        <is>
          <t>n° 32 + n° 33</t>
        </is>
      </c>
      <c r="E3948" t="inlineStr">
        <is>
          <t>Chat perché</t>
        </is>
      </c>
      <c r="F3948" t="n">
        <v>5.9</v>
      </c>
      <c r="G3948" t="inlineStr">
        <is>
          <t>n° 32 : 0,50 + n° 33 : 0,50</t>
        </is>
      </c>
      <c r="H3948" t="n">
        <v>1</v>
      </c>
    </row>
    <row r="3949">
      <c r="A3949" t="inlineStr">
        <is>
          <t>2024-2025</t>
        </is>
      </c>
      <c r="B3949" t="inlineStr">
        <is>
          <t>2024-06-19</t>
        </is>
      </c>
      <c r="C3949" t="inlineStr">
        <is>
          <t>20:18</t>
        </is>
      </c>
      <c r="D3949" t="inlineStr">
        <is>
          <t>n° 32 + n° 33</t>
        </is>
      </c>
      <c r="E3949" t="inlineStr">
        <is>
          <t>Pastis</t>
        </is>
      </c>
      <c r="F3949" t="n">
        <v>4.2</v>
      </c>
      <c r="G3949" t="inlineStr">
        <is>
          <t>n° 32 : 0,50 + n° 33 : 0,50</t>
        </is>
      </c>
      <c r="H3949" t="n">
        <v>1</v>
      </c>
    </row>
    <row r="3950">
      <c r="A3950" t="inlineStr">
        <is>
          <t>2024-2025</t>
        </is>
      </c>
      <c r="B3950" t="inlineStr">
        <is>
          <t>2024-06-19</t>
        </is>
      </c>
      <c r="C3950" t="inlineStr">
        <is>
          <t>20:18</t>
        </is>
      </c>
      <c r="D3950" t="inlineStr">
        <is>
          <t>n° 32 + n° 33</t>
        </is>
      </c>
      <c r="E3950" t="inlineStr">
        <is>
          <t>Sirop à l'eau</t>
        </is>
      </c>
      <c r="F3950" t="n">
        <v>2.2</v>
      </c>
      <c r="G3950" t="inlineStr">
        <is>
          <t>n° 32 : 0,50 + n° 33 : 0,50</t>
        </is>
      </c>
      <c r="H3950" t="n">
        <v>1</v>
      </c>
    </row>
    <row r="3951">
      <c r="A3951" t="inlineStr">
        <is>
          <t>2024-2025</t>
        </is>
      </c>
      <c r="B3951" t="inlineStr">
        <is>
          <t>2024-06-20</t>
        </is>
      </c>
      <c r="C3951" t="inlineStr">
        <is>
          <t>19:49</t>
        </is>
      </c>
      <c r="D3951" t="inlineStr">
        <is>
          <t>n° 20 + n° 21</t>
        </is>
      </c>
      <c r="E3951" t="inlineStr">
        <is>
          <t>Truite Morilles</t>
        </is>
      </c>
      <c r="F3951" t="n">
        <v>27.8</v>
      </c>
      <c r="G3951" t="inlineStr">
        <is>
          <t>n° 20 : 0,50 + n° 21 : 0,50</t>
        </is>
      </c>
      <c r="H3951" t="n">
        <v>1</v>
      </c>
    </row>
    <row r="3952">
      <c r="A3952" t="inlineStr">
        <is>
          <t>2024-2025</t>
        </is>
      </c>
      <c r="B3952" t="inlineStr">
        <is>
          <t>2024-06-20</t>
        </is>
      </c>
      <c r="C3952" t="inlineStr">
        <is>
          <t>19:49</t>
        </is>
      </c>
      <c r="D3952" t="inlineStr">
        <is>
          <t>n° 20 + n° 21</t>
        </is>
      </c>
      <c r="E3952" t="inlineStr">
        <is>
          <t>BURGER COMTOIS</t>
        </is>
      </c>
      <c r="F3952" t="n">
        <v>19</v>
      </c>
      <c r="G3952" t="inlineStr">
        <is>
          <t>n° 20 : 0,50 + n° 21 : 0,50</t>
        </is>
      </c>
      <c r="H3952" t="n">
        <v>1</v>
      </c>
    </row>
    <row r="3953">
      <c r="A3953" t="inlineStr">
        <is>
          <t>2024-2025</t>
        </is>
      </c>
      <c r="B3953" t="inlineStr">
        <is>
          <t>2024-06-20</t>
        </is>
      </c>
      <c r="C3953" t="inlineStr">
        <is>
          <t>19:49</t>
        </is>
      </c>
      <c r="D3953" t="inlineStr">
        <is>
          <t>n° 20 + n° 21</t>
        </is>
      </c>
      <c r="E3953" t="inlineStr">
        <is>
          <t>Pinte</t>
        </is>
      </c>
      <c r="F3953" t="n">
        <v>8</v>
      </c>
      <c r="G3953" t="inlineStr">
        <is>
          <t>n° 20 : 0,50 + n° 21 : 0,50</t>
        </is>
      </c>
      <c r="H3953" t="n">
        <v>1</v>
      </c>
    </row>
    <row r="3954">
      <c r="A3954" t="inlineStr">
        <is>
          <t>2024-2025</t>
        </is>
      </c>
      <c r="B3954" t="inlineStr">
        <is>
          <t>2024-06-20</t>
        </is>
      </c>
      <c r="C3954" t="inlineStr">
        <is>
          <t>19:49</t>
        </is>
      </c>
      <c r="D3954" t="inlineStr">
        <is>
          <t>n° 20 + n° 21</t>
        </is>
      </c>
      <c r="E3954" t="inlineStr">
        <is>
          <t>Chat perché</t>
        </is>
      </c>
      <c r="F3954" t="n">
        <v>5.9</v>
      </c>
      <c r="G3954" t="inlineStr">
        <is>
          <t>n° 20 : 0,50 + n° 21 : 0,50</t>
        </is>
      </c>
      <c r="H3954" t="n">
        <v>1</v>
      </c>
    </row>
    <row r="3955">
      <c r="A3955" t="inlineStr">
        <is>
          <t>2024-2025</t>
        </is>
      </c>
      <c r="B3955" t="inlineStr">
        <is>
          <t>2024-06-20</t>
        </is>
      </c>
      <c r="C3955" t="inlineStr">
        <is>
          <t>19:49</t>
        </is>
      </c>
      <c r="D3955" t="inlineStr">
        <is>
          <t>n° 20 + n° 21</t>
        </is>
      </c>
      <c r="E3955" t="inlineStr">
        <is>
          <t>San Pelegrino</t>
        </is>
      </c>
      <c r="F3955" t="n">
        <v>5.9</v>
      </c>
      <c r="G3955" t="inlineStr">
        <is>
          <t>n° 20 : 0,50 + n° 21 : 0,50</t>
        </is>
      </c>
      <c r="H3955" t="n">
        <v>1</v>
      </c>
    </row>
    <row r="3956">
      <c r="A3956" t="inlineStr">
        <is>
          <t>2024-2025</t>
        </is>
      </c>
      <c r="B3956" t="inlineStr">
        <is>
          <t>2024-06-20</t>
        </is>
      </c>
      <c r="C3956" t="inlineStr">
        <is>
          <t>19:49</t>
        </is>
      </c>
      <c r="D3956" t="inlineStr">
        <is>
          <t>n° 20 + n° 21</t>
        </is>
      </c>
      <c r="E3956" t="inlineStr">
        <is>
          <t>pression</t>
        </is>
      </c>
      <c r="F3956" t="n">
        <v>4.2</v>
      </c>
      <c r="G3956" t="inlineStr">
        <is>
          <t>n° 20 : 0,50 + n° 21 : 0,50</t>
        </is>
      </c>
      <c r="H3956" t="n">
        <v>1</v>
      </c>
    </row>
    <row r="3957">
      <c r="A3957" t="inlineStr">
        <is>
          <t>2024-2025</t>
        </is>
      </c>
      <c r="B3957" t="inlineStr">
        <is>
          <t>2024-06-20</t>
        </is>
      </c>
      <c r="C3957" t="inlineStr">
        <is>
          <t>19:49</t>
        </is>
      </c>
      <c r="D3957" t="inlineStr">
        <is>
          <t>n° 20 + n° 21</t>
        </is>
      </c>
      <c r="E3957" t="inlineStr">
        <is>
          <t>Expresso</t>
        </is>
      </c>
      <c r="F3957" t="n">
        <v>2.2</v>
      </c>
      <c r="G3957" t="inlineStr">
        <is>
          <t>n° 20 : 0,50 + n° 21 : 0,50</t>
        </is>
      </c>
      <c r="H3957" t="n">
        <v>1</v>
      </c>
    </row>
    <row r="3958">
      <c r="A3958" t="inlineStr">
        <is>
          <t>2024-2025</t>
        </is>
      </c>
      <c r="B3958" t="inlineStr">
        <is>
          <t>2024-06-20</t>
        </is>
      </c>
      <c r="C3958" t="inlineStr">
        <is>
          <t>20:55</t>
        </is>
      </c>
      <c r="D3958" t="inlineStr">
        <is>
          <t>n° 31 + n° 32</t>
        </is>
      </c>
      <c r="E3958" t="inlineStr">
        <is>
          <t>Saucisse de Morteau</t>
        </is>
      </c>
      <c r="F3958" t="n">
        <v>8.9</v>
      </c>
      <c r="G3958" t="inlineStr">
        <is>
          <t>n° 31 : 0,50 + n° 32 : 0,50</t>
        </is>
      </c>
      <c r="H3958" t="n">
        <v>1</v>
      </c>
    </row>
    <row r="3959">
      <c r="A3959" t="inlineStr">
        <is>
          <t>2024-2025</t>
        </is>
      </c>
      <c r="B3959" t="inlineStr">
        <is>
          <t>2024-06-20</t>
        </is>
      </c>
      <c r="C3959" t="inlineStr">
        <is>
          <t>20:55</t>
        </is>
      </c>
      <c r="D3959" t="inlineStr">
        <is>
          <t>n° 31 + n° 32</t>
        </is>
      </c>
      <c r="E3959" t="inlineStr">
        <is>
          <t>CREPE CHOC/CHANTILLY</t>
        </is>
      </c>
      <c r="F3959" t="n">
        <v>8.4</v>
      </c>
      <c r="G3959" t="inlineStr">
        <is>
          <t>n° 31 : 0,50 + n° 32 : 0,50</t>
        </is>
      </c>
      <c r="H3959" t="n">
        <v>1</v>
      </c>
    </row>
    <row r="3960">
      <c r="A3960" t="inlineStr">
        <is>
          <t>2024-2025</t>
        </is>
      </c>
      <c r="B3960" t="inlineStr">
        <is>
          <t>2024-06-20</t>
        </is>
      </c>
      <c r="C3960" t="inlineStr">
        <is>
          <t>20:55</t>
        </is>
      </c>
      <c r="D3960" t="inlineStr">
        <is>
          <t>n° 31 + n° 32</t>
        </is>
      </c>
      <c r="E3960" t="inlineStr">
        <is>
          <t>Kir Bourgogne</t>
        </is>
      </c>
      <c r="F3960" t="n">
        <v>4.2</v>
      </c>
      <c r="G3960" t="inlineStr">
        <is>
          <t>n° 31 : 0,50 + n° 32 : 0,50</t>
        </is>
      </c>
      <c r="H3960" t="n">
        <v>1</v>
      </c>
    </row>
    <row r="3961">
      <c r="A3961" t="inlineStr">
        <is>
          <t>2024-2025</t>
        </is>
      </c>
      <c r="B3961" t="inlineStr">
        <is>
          <t>2024-06-20</t>
        </is>
      </c>
      <c r="C3961" t="inlineStr">
        <is>
          <t>20:55</t>
        </is>
      </c>
      <c r="D3961" t="inlineStr">
        <is>
          <t>n° 31 + n° 32</t>
        </is>
      </c>
      <c r="E3961" t="inlineStr">
        <is>
          <t>POMMES FRITES</t>
        </is>
      </c>
      <c r="F3961" t="n">
        <v>3.9</v>
      </c>
      <c r="G3961" t="inlineStr">
        <is>
          <t>n° 31 : 0,50 + n° 32 : 0,50</t>
        </is>
      </c>
      <c r="H3961" t="n">
        <v>1</v>
      </c>
    </row>
    <row r="3962">
      <c r="A3962" t="inlineStr">
        <is>
          <t>2024-2025</t>
        </is>
      </c>
      <c r="B3962" t="inlineStr">
        <is>
          <t>2024-06-20</t>
        </is>
      </c>
      <c r="C3962" t="inlineStr">
        <is>
          <t>20:55</t>
        </is>
      </c>
      <c r="D3962" t="inlineStr">
        <is>
          <t>n° 31 + n° 32</t>
        </is>
      </c>
      <c r="E3962" t="inlineStr">
        <is>
          <t>Crêpe nature</t>
        </is>
      </c>
      <c r="F3962" t="n">
        <v>3.9</v>
      </c>
      <c r="G3962" t="inlineStr">
        <is>
          <t>n° 31 : 0,50 + n° 32 : 0,50</t>
        </is>
      </c>
      <c r="H3962" t="n">
        <v>1</v>
      </c>
    </row>
    <row r="3963">
      <c r="A3963" t="inlineStr">
        <is>
          <t>2024-2025</t>
        </is>
      </c>
      <c r="B3963" t="inlineStr">
        <is>
          <t>2024-06-20</t>
        </is>
      </c>
      <c r="C3963" t="inlineStr">
        <is>
          <t>20:55</t>
        </is>
      </c>
      <c r="D3963" t="inlineStr">
        <is>
          <t>n° 31 + n° 32</t>
        </is>
      </c>
      <c r="E3963" t="inlineStr">
        <is>
          <t>CHANTILLY</t>
        </is>
      </c>
      <c r="F3963" t="n">
        <v>2.5</v>
      </c>
      <c r="G3963" t="inlineStr">
        <is>
          <t>n° 31 : 0,50 + n° 32 : 0,50</t>
        </is>
      </c>
      <c r="H3963" t="n">
        <v>1</v>
      </c>
    </row>
    <row r="3964">
      <c r="A3964" t="inlineStr">
        <is>
          <t>2024-2025</t>
        </is>
      </c>
      <c r="B3964" t="inlineStr">
        <is>
          <t>2024-06-20</t>
        </is>
      </c>
      <c r="C3964" t="inlineStr">
        <is>
          <t>20:55</t>
        </is>
      </c>
      <c r="D3964" t="inlineStr">
        <is>
          <t>n° 31 + n° 32</t>
        </is>
      </c>
      <c r="E3964" t="inlineStr">
        <is>
          <t>Amandes grillées</t>
        </is>
      </c>
      <c r="F3964" t="n">
        <v>1.4</v>
      </c>
      <c r="G3964" t="inlineStr">
        <is>
          <t>n° 31 : 0,50 + n° 32 : 0,50</t>
        </is>
      </c>
      <c r="H3964" t="n">
        <v>1</v>
      </c>
    </row>
    <row r="3965">
      <c r="A3965" t="inlineStr">
        <is>
          <t>2024-2025</t>
        </is>
      </c>
      <c r="B3965" t="inlineStr">
        <is>
          <t>2024-06-22</t>
        </is>
      </c>
      <c r="C3965" t="inlineStr">
        <is>
          <t>13:31</t>
        </is>
      </c>
      <c r="D3965" t="inlineStr">
        <is>
          <t>n° 14 + n° 15</t>
        </is>
      </c>
      <c r="E3965" t="inlineStr">
        <is>
          <t>La Vouivre</t>
        </is>
      </c>
      <c r="F3965" t="n">
        <v>5.9</v>
      </c>
      <c r="G3965" t="inlineStr">
        <is>
          <t>n° 14 : 0,50 + n° 15 : 0,50</t>
        </is>
      </c>
      <c r="H3965" t="n">
        <v>1</v>
      </c>
    </row>
    <row r="3966">
      <c r="A3966" t="inlineStr">
        <is>
          <t>2024-2025</t>
        </is>
      </c>
      <c r="B3966" t="inlineStr">
        <is>
          <t>2024-06-22</t>
        </is>
      </c>
      <c r="C3966" t="inlineStr">
        <is>
          <t>13:31</t>
        </is>
      </c>
      <c r="D3966" t="inlineStr">
        <is>
          <t>n° 14 + n° 15</t>
        </is>
      </c>
      <c r="E3966" t="inlineStr">
        <is>
          <t>Père Gregoire</t>
        </is>
      </c>
      <c r="F3966" t="n">
        <v>5.9</v>
      </c>
      <c r="G3966" t="inlineStr">
        <is>
          <t>n° 14 : 0,50 + n° 15 : 0,50</t>
        </is>
      </c>
      <c r="H3966" t="n">
        <v>1</v>
      </c>
    </row>
    <row r="3967">
      <c r="A3967" t="inlineStr">
        <is>
          <t>2024-2025</t>
        </is>
      </c>
      <c r="B3967" t="inlineStr">
        <is>
          <t>2024-06-22</t>
        </is>
      </c>
      <c r="C3967" t="inlineStr">
        <is>
          <t>13:31</t>
        </is>
      </c>
      <c r="D3967" t="inlineStr">
        <is>
          <t>n° 14 + n° 15</t>
        </is>
      </c>
      <c r="E3967" t="inlineStr">
        <is>
          <t>Expresso</t>
        </is>
      </c>
      <c r="F3967" t="n">
        <v>2.2</v>
      </c>
      <c r="G3967" t="inlineStr">
        <is>
          <t>n° 14 : 0,50 + n° 15 : 0,50</t>
        </is>
      </c>
      <c r="H3967" t="n">
        <v>1</v>
      </c>
    </row>
    <row r="3968">
      <c r="A3968" t="inlineStr">
        <is>
          <t>2024-2025</t>
        </is>
      </c>
      <c r="B3968" t="inlineStr">
        <is>
          <t>2024-06-22</t>
        </is>
      </c>
      <c r="C3968" t="inlineStr">
        <is>
          <t>19:46</t>
        </is>
      </c>
      <c r="D3968" t="inlineStr">
        <is>
          <t>n° 20 + n° 21</t>
        </is>
      </c>
      <c r="E3968" t="inlineStr">
        <is>
          <t>Truite Morilles</t>
        </is>
      </c>
      <c r="F3968" t="n">
        <v>27.8</v>
      </c>
      <c r="G3968" t="inlineStr">
        <is>
          <t>n° 20 : 0,50 + n° 21 : 0,50</t>
        </is>
      </c>
      <c r="H3968" t="n">
        <v>1</v>
      </c>
    </row>
    <row r="3969">
      <c r="A3969" t="inlineStr">
        <is>
          <t>2024-2025</t>
        </is>
      </c>
      <c r="B3969" t="inlineStr">
        <is>
          <t>2024-06-22</t>
        </is>
      </c>
      <c r="C3969" t="inlineStr">
        <is>
          <t>19:46</t>
        </is>
      </c>
      <c r="D3969" t="inlineStr">
        <is>
          <t>n° 20 + n° 21</t>
        </is>
      </c>
      <c r="E3969" t="inlineStr">
        <is>
          <t>Crémeux du Jura</t>
        </is>
      </c>
      <c r="F3969" t="n">
        <v>19</v>
      </c>
      <c r="G3969" t="inlineStr">
        <is>
          <t>n° 20 : 0,50 + n° 21 : 0,50</t>
        </is>
      </c>
      <c r="H3969" t="n">
        <v>1</v>
      </c>
    </row>
    <row r="3970">
      <c r="A3970" t="inlineStr">
        <is>
          <t>2024-2025</t>
        </is>
      </c>
      <c r="B3970" t="inlineStr">
        <is>
          <t>2024-06-22</t>
        </is>
      </c>
      <c r="C3970" t="inlineStr">
        <is>
          <t>19:46</t>
        </is>
      </c>
      <c r="D3970" t="inlineStr">
        <is>
          <t>n° 20 + n° 21</t>
        </is>
      </c>
      <c r="E3970" t="inlineStr">
        <is>
          <t>TANTE ARIE</t>
        </is>
      </c>
      <c r="F3970" t="n">
        <v>11.9</v>
      </c>
      <c r="G3970" t="inlineStr">
        <is>
          <t>n° 20 : 0,50 + n° 21 : 0,50</t>
        </is>
      </c>
      <c r="H3970" t="n">
        <v>1</v>
      </c>
    </row>
    <row r="3971">
      <c r="A3971" t="inlineStr">
        <is>
          <t>2024-2025</t>
        </is>
      </c>
      <c r="B3971" t="inlineStr">
        <is>
          <t>2024-06-22</t>
        </is>
      </c>
      <c r="C3971" t="inlineStr">
        <is>
          <t>19:46</t>
        </is>
      </c>
      <c r="D3971" t="inlineStr">
        <is>
          <t>n° 20 + n° 21</t>
        </is>
      </c>
      <c r="E3971" t="inlineStr">
        <is>
          <t>Crêpe Pommes</t>
        </is>
      </c>
      <c r="F3971" t="n">
        <v>7.1</v>
      </c>
      <c r="G3971" t="inlineStr">
        <is>
          <t>n° 20 : 0,50 + n° 21 : 0,50</t>
        </is>
      </c>
      <c r="H3971" t="n">
        <v>1</v>
      </c>
    </row>
    <row r="3972">
      <c r="A3972" t="inlineStr">
        <is>
          <t>2024-2025</t>
        </is>
      </c>
      <c r="B3972" t="inlineStr">
        <is>
          <t>2024-06-22</t>
        </is>
      </c>
      <c r="C3972" t="inlineStr">
        <is>
          <t>19:46</t>
        </is>
      </c>
      <c r="D3972" t="inlineStr">
        <is>
          <t>n° 20 + n° 21</t>
        </is>
      </c>
      <c r="E3972" t="inlineStr">
        <is>
          <t>VIN PAILLE</t>
        </is>
      </c>
      <c r="F3972" t="n">
        <v>6.9</v>
      </c>
      <c r="G3972" t="inlineStr">
        <is>
          <t>n° 20 : 0,50 + n° 21 : 0,50</t>
        </is>
      </c>
      <c r="H3972" t="n">
        <v>1</v>
      </c>
    </row>
    <row r="3973">
      <c r="A3973" t="inlineStr">
        <is>
          <t>2024-2025</t>
        </is>
      </c>
      <c r="B3973" t="inlineStr">
        <is>
          <t>2024-06-22</t>
        </is>
      </c>
      <c r="C3973" t="inlineStr">
        <is>
          <t>19:46</t>
        </is>
      </c>
      <c r="D3973" t="inlineStr">
        <is>
          <t>n° 20 + n° 21</t>
        </is>
      </c>
      <c r="E3973" t="inlineStr">
        <is>
          <t>Mambo</t>
        </is>
      </c>
      <c r="F3973" t="n">
        <v>6.5</v>
      </c>
      <c r="G3973" t="inlineStr">
        <is>
          <t>n° 20 : 0,50 + n° 21 : 0,50</t>
        </is>
      </c>
      <c r="H3973" t="n">
        <v>1</v>
      </c>
    </row>
    <row r="3974">
      <c r="A3974" t="inlineStr">
        <is>
          <t>2024-2025</t>
        </is>
      </c>
      <c r="B3974" t="inlineStr">
        <is>
          <t>2024-06-22</t>
        </is>
      </c>
      <c r="C3974" t="inlineStr">
        <is>
          <t>19:46</t>
        </is>
      </c>
      <c r="D3974" t="inlineStr">
        <is>
          <t>n° 20 + n° 21</t>
        </is>
      </c>
      <c r="E3974" t="inlineStr">
        <is>
          <t>Crêpe Salidou</t>
        </is>
      </c>
      <c r="F3974" t="n">
        <v>6.4</v>
      </c>
      <c r="G3974" t="inlineStr">
        <is>
          <t>n° 20 : 0,50 + n° 21 : 0,50</t>
        </is>
      </c>
      <c r="H3974" t="n">
        <v>1</v>
      </c>
    </row>
    <row r="3975">
      <c r="A3975" t="inlineStr">
        <is>
          <t>2024-2025</t>
        </is>
      </c>
      <c r="B3975" t="inlineStr">
        <is>
          <t>2024-06-22</t>
        </is>
      </c>
      <c r="C3975" t="inlineStr">
        <is>
          <t>19:46</t>
        </is>
      </c>
      <c r="D3975" t="inlineStr">
        <is>
          <t>n° 20 + n° 21</t>
        </is>
      </c>
      <c r="E3975" t="inlineStr">
        <is>
          <t>San Pelegrino</t>
        </is>
      </c>
      <c r="F3975" t="n">
        <v>5.9</v>
      </c>
      <c r="G3975" t="inlineStr">
        <is>
          <t>n° 20 : 0,50 + n° 21 : 0,50</t>
        </is>
      </c>
      <c r="H3975" t="n">
        <v>1</v>
      </c>
    </row>
    <row r="3976">
      <c r="A3976" t="inlineStr">
        <is>
          <t>2024-2025</t>
        </is>
      </c>
      <c r="B3976" t="inlineStr">
        <is>
          <t>2024-06-22</t>
        </is>
      </c>
      <c r="C3976" t="inlineStr">
        <is>
          <t>19:46</t>
        </is>
      </c>
      <c r="D3976" t="inlineStr">
        <is>
          <t>n° 20 + n° 21</t>
        </is>
      </c>
      <c r="E3976" t="inlineStr">
        <is>
          <t>Crêpe au sucre</t>
        </is>
      </c>
      <c r="F3976" t="n">
        <v>3.9</v>
      </c>
      <c r="G3976" t="inlineStr">
        <is>
          <t>n° 20 : 0,50 + n° 21 : 0,50</t>
        </is>
      </c>
      <c r="H3976" t="n">
        <v>1</v>
      </c>
    </row>
    <row r="3977">
      <c r="A3977" t="inlineStr">
        <is>
          <t>2024-2025</t>
        </is>
      </c>
      <c r="B3977" t="inlineStr">
        <is>
          <t>2024-06-22</t>
        </is>
      </c>
      <c r="C3977" t="inlineStr">
        <is>
          <t>19:46</t>
        </is>
      </c>
      <c r="D3977" t="inlineStr">
        <is>
          <t>n° 20 + n° 21</t>
        </is>
      </c>
      <c r="E3977" t="inlineStr">
        <is>
          <t>1 Boule Glace</t>
        </is>
      </c>
      <c r="F3977" t="n">
        <v>3.5</v>
      </c>
      <c r="G3977" t="inlineStr">
        <is>
          <t>n° 20 : 0,50 + n° 21 : 0,50</t>
        </is>
      </c>
      <c r="H3977" t="n">
        <v>1</v>
      </c>
    </row>
    <row r="3978">
      <c r="A3978" t="inlineStr">
        <is>
          <t>2024-2025</t>
        </is>
      </c>
      <c r="B3978" t="inlineStr">
        <is>
          <t>2024-06-22</t>
        </is>
      </c>
      <c r="C3978" t="inlineStr">
        <is>
          <t>19:46</t>
        </is>
      </c>
      <c r="D3978" t="inlineStr">
        <is>
          <t>n° 20 + n° 21</t>
        </is>
      </c>
      <c r="E3978" t="inlineStr">
        <is>
          <t>Amandes grillées</t>
        </is>
      </c>
      <c r="F3978" t="n">
        <v>1.4</v>
      </c>
      <c r="G3978" t="inlineStr">
        <is>
          <t>n° 20 : 0,50 + n° 21 : 0,50</t>
        </is>
      </c>
      <c r="H3978" t="n">
        <v>1</v>
      </c>
    </row>
    <row r="3979">
      <c r="A3979" t="inlineStr">
        <is>
          <t>2024-2025</t>
        </is>
      </c>
      <c r="B3979" t="inlineStr">
        <is>
          <t>2024-06-22</t>
        </is>
      </c>
      <c r="C3979" t="inlineStr">
        <is>
          <t>20:45</t>
        </is>
      </c>
      <c r="D3979" t="inlineStr">
        <is>
          <t>n° 34 + n° 35</t>
        </is>
      </c>
      <c r="E3979" t="inlineStr">
        <is>
          <t>Père Gregoire</t>
        </is>
      </c>
      <c r="F3979" t="n">
        <v>5.9</v>
      </c>
      <c r="G3979" t="inlineStr">
        <is>
          <t>n° 34 : 0,50 + n° 35 : 0,50</t>
        </is>
      </c>
      <c r="H3979" t="n">
        <v>1</v>
      </c>
    </row>
    <row r="3980">
      <c r="A3980" t="inlineStr">
        <is>
          <t>2024-2025</t>
        </is>
      </c>
      <c r="B3980" t="inlineStr">
        <is>
          <t>2024-06-22</t>
        </is>
      </c>
      <c r="C3980" t="inlineStr">
        <is>
          <t>20:45</t>
        </is>
      </c>
      <c r="D3980" t="inlineStr">
        <is>
          <t>n° 34 + n° 35</t>
        </is>
      </c>
      <c r="E3980" t="inlineStr">
        <is>
          <t>La Vouivre</t>
        </is>
      </c>
      <c r="F3980" t="n">
        <v>5.9</v>
      </c>
      <c r="G3980" t="inlineStr">
        <is>
          <t>n° 34 : 0,50 + n° 35 : 0,50</t>
        </is>
      </c>
      <c r="H3980" t="n">
        <v>1</v>
      </c>
    </row>
    <row r="3981">
      <c r="A3981" t="inlineStr">
        <is>
          <t>2024-2025</t>
        </is>
      </c>
      <c r="B3981" t="inlineStr">
        <is>
          <t>2024-06-23</t>
        </is>
      </c>
      <c r="C3981" t="inlineStr">
        <is>
          <t>13:21</t>
        </is>
      </c>
      <c r="D3981" t="inlineStr">
        <is>
          <t>n° 13 + n° 14 + n° 17 + n° 18</t>
        </is>
      </c>
      <c r="E3981" t="inlineStr">
        <is>
          <t>Beaujolais Moulin à</t>
        </is>
      </c>
      <c r="F3981" t="n">
        <v>38</v>
      </c>
      <c r="G3981" t="inlineStr">
        <is>
          <t>n° 17 : 0,50 + n° 18 : 0,50</t>
        </is>
      </c>
      <c r="H3981" t="n">
        <v>1</v>
      </c>
    </row>
    <row r="3982">
      <c r="A3982" t="inlineStr">
        <is>
          <t>2024-2025</t>
        </is>
      </c>
      <c r="B3982" t="inlineStr">
        <is>
          <t>2024-06-23</t>
        </is>
      </c>
      <c r="C3982" t="inlineStr">
        <is>
          <t>13:21</t>
        </is>
      </c>
      <c r="D3982" t="inlineStr">
        <is>
          <t>n° 13 + n° 14 + n° 17 + n° 18</t>
        </is>
      </c>
      <c r="E3982" t="inlineStr">
        <is>
          <t>Poulet aux Morilles</t>
        </is>
      </c>
      <c r="F3982" t="n">
        <v>28.6</v>
      </c>
      <c r="G3982" t="inlineStr">
        <is>
          <t>n° 17 : 0,50 + n° 18 : 0,50</t>
        </is>
      </c>
      <c r="H3982" t="n">
        <v>1</v>
      </c>
    </row>
    <row r="3983">
      <c r="A3983" t="inlineStr">
        <is>
          <t>2024-2025</t>
        </is>
      </c>
      <c r="B3983" t="inlineStr">
        <is>
          <t>2024-06-23</t>
        </is>
      </c>
      <c r="C3983" t="inlineStr">
        <is>
          <t>13:21</t>
        </is>
      </c>
      <c r="D3983" t="inlineStr">
        <is>
          <t>n° 13 + n° 14 + n° 17 + n° 18</t>
        </is>
      </c>
      <c r="E3983" t="inlineStr">
        <is>
          <t>BURGER COMTOIS</t>
        </is>
      </c>
      <c r="F3983" t="n">
        <v>19</v>
      </c>
      <c r="G3983" t="inlineStr">
        <is>
          <t>n° 17 : 0,50 + n° 18 : 0,50</t>
        </is>
      </c>
      <c r="H3983" t="n">
        <v>1</v>
      </c>
    </row>
    <row r="3984">
      <c r="A3984" t="inlineStr">
        <is>
          <t>2024-2025</t>
        </is>
      </c>
      <c r="B3984" t="inlineStr">
        <is>
          <t>2024-06-23</t>
        </is>
      </c>
      <c r="C3984" t="inlineStr">
        <is>
          <t>13:21</t>
        </is>
      </c>
      <c r="D3984" t="inlineStr">
        <is>
          <t>n° 13 + n° 14 + n° 17 + n° 18</t>
        </is>
      </c>
      <c r="E3984" t="inlineStr">
        <is>
          <t>MORTEAU GRILLEE</t>
        </is>
      </c>
      <c r="F3984" t="n">
        <v>18.6</v>
      </c>
      <c r="G3984" t="inlineStr">
        <is>
          <t>n° 13 : 1,50 + n° 14 : 1,50</t>
        </is>
      </c>
      <c r="H3984" t="n">
        <v>3</v>
      </c>
    </row>
    <row r="3985">
      <c r="A3985" t="inlineStr">
        <is>
          <t>2024-2025</t>
        </is>
      </c>
      <c r="B3985" t="inlineStr">
        <is>
          <t>2024-06-23</t>
        </is>
      </c>
      <c r="C3985" t="inlineStr">
        <is>
          <t>13:21</t>
        </is>
      </c>
      <c r="D3985" t="inlineStr">
        <is>
          <t>n° 13 + n° 14 + n° 17 + n° 18</t>
        </is>
      </c>
      <c r="E3985" t="inlineStr">
        <is>
          <t>TRUITE JURASSIENNE</t>
        </is>
      </c>
      <c r="F3985" t="n">
        <v>18.6</v>
      </c>
      <c r="G3985" t="inlineStr">
        <is>
          <t>n° 17 : 0,50 + n° 18 : 0,50</t>
        </is>
      </c>
      <c r="H3985" t="n">
        <v>1</v>
      </c>
    </row>
    <row r="3986">
      <c r="A3986" t="inlineStr">
        <is>
          <t>2024-2025</t>
        </is>
      </c>
      <c r="B3986" t="inlineStr">
        <is>
          <t>2024-06-23</t>
        </is>
      </c>
      <c r="C3986" t="inlineStr">
        <is>
          <t>13:21</t>
        </is>
      </c>
      <c r="D3986" t="inlineStr">
        <is>
          <t>n° 13 + n° 14 + n° 17 + n° 18</t>
        </is>
      </c>
      <c r="E3986" t="inlineStr">
        <is>
          <t>ASSIETTE FRANC-COMTO</t>
        </is>
      </c>
      <c r="F3986" t="n">
        <v>18.6</v>
      </c>
      <c r="G3986" t="inlineStr">
        <is>
          <t>n° 17 : 0,50 + n° 18 : 0,50</t>
        </is>
      </c>
      <c r="H3986" t="n">
        <v>1</v>
      </c>
    </row>
    <row r="3987">
      <c r="A3987" t="inlineStr">
        <is>
          <t>2024-2025</t>
        </is>
      </c>
      <c r="B3987" t="inlineStr">
        <is>
          <t>2024-06-23</t>
        </is>
      </c>
      <c r="C3987" t="inlineStr">
        <is>
          <t>13:21</t>
        </is>
      </c>
      <c r="D3987" t="inlineStr">
        <is>
          <t>n° 13 + n° 14 + n° 17 + n° 18</t>
        </is>
      </c>
      <c r="E3987" t="inlineStr">
        <is>
          <t>Pavlova</t>
        </is>
      </c>
      <c r="F3987" t="n">
        <v>8.9</v>
      </c>
      <c r="G3987" t="inlineStr">
        <is>
          <t>n° 13 : 0,50 + n° 14 : 0,50</t>
        </is>
      </c>
      <c r="H3987" t="n">
        <v>1</v>
      </c>
    </row>
    <row r="3988">
      <c r="A3988" t="inlineStr">
        <is>
          <t>2024-2025</t>
        </is>
      </c>
      <c r="B3988" t="inlineStr">
        <is>
          <t>2024-06-23</t>
        </is>
      </c>
      <c r="C3988" t="inlineStr">
        <is>
          <t>13:21</t>
        </is>
      </c>
      <c r="D3988" t="inlineStr">
        <is>
          <t>n° 13 + n° 14 + n° 17 + n° 18</t>
        </is>
      </c>
      <c r="E3988" t="inlineStr">
        <is>
          <t>Salade Franc-Comptoi</t>
        </is>
      </c>
      <c r="F3988" t="n">
        <v>8.9</v>
      </c>
      <c r="G3988" t="inlineStr">
        <is>
          <t>n° 17 : 0,50 + n° 18 : 0,50</t>
        </is>
      </c>
      <c r="H3988" t="n">
        <v>1</v>
      </c>
    </row>
    <row r="3989">
      <c r="A3989" t="inlineStr">
        <is>
          <t>2024-2025</t>
        </is>
      </c>
      <c r="B3989" t="inlineStr">
        <is>
          <t>2024-06-23</t>
        </is>
      </c>
      <c r="C3989" t="inlineStr">
        <is>
          <t>13:21</t>
        </is>
      </c>
      <c r="D3989" t="inlineStr">
        <is>
          <t>n° 13 + n° 14 + n° 17 + n° 18</t>
        </is>
      </c>
      <c r="E3989" t="inlineStr">
        <is>
          <t>Baba</t>
        </is>
      </c>
      <c r="F3989" t="n">
        <v>8.9</v>
      </c>
      <c r="G3989" t="inlineStr">
        <is>
          <t>n° 17 : 0,50 + n° 18 : 0,50</t>
        </is>
      </c>
      <c r="H3989" t="n">
        <v>1</v>
      </c>
    </row>
    <row r="3990">
      <c r="A3990" t="inlineStr">
        <is>
          <t>2024-2025</t>
        </is>
      </c>
      <c r="B3990" t="inlineStr">
        <is>
          <t>2024-06-23</t>
        </is>
      </c>
      <c r="C3990" t="inlineStr">
        <is>
          <t>13:21</t>
        </is>
      </c>
      <c r="D3990" t="inlineStr">
        <is>
          <t>n° 13 + n° 14 + n° 17 + n° 18</t>
        </is>
      </c>
      <c r="E3990" t="inlineStr">
        <is>
          <t>Pinte</t>
        </is>
      </c>
      <c r="F3990" t="n">
        <v>8</v>
      </c>
      <c r="G3990" t="inlineStr">
        <is>
          <t>n° 17 : 0,50 + n° 18 : 0,50</t>
        </is>
      </c>
      <c r="H3990" t="n">
        <v>1</v>
      </c>
    </row>
    <row r="3991">
      <c r="A3991" t="inlineStr">
        <is>
          <t>2024-2025</t>
        </is>
      </c>
      <c r="B3991" t="inlineStr">
        <is>
          <t>2024-06-23</t>
        </is>
      </c>
      <c r="C3991" t="inlineStr">
        <is>
          <t>13:21</t>
        </is>
      </c>
      <c r="D3991" t="inlineStr">
        <is>
          <t>n° 13 + n° 14 + n° 17 + n° 18</t>
        </is>
      </c>
      <c r="E3991" t="inlineStr">
        <is>
          <t>NOIRAUD</t>
        </is>
      </c>
      <c r="F3991" t="n">
        <v>7.9</v>
      </c>
      <c r="G3991" t="inlineStr">
        <is>
          <t>n° 17 : 0,50 + n° 18 : 0,50</t>
        </is>
      </c>
      <c r="H3991" t="n">
        <v>1</v>
      </c>
    </row>
    <row r="3992">
      <c r="A3992" t="inlineStr">
        <is>
          <t>2024-2025</t>
        </is>
      </c>
      <c r="B3992" t="inlineStr">
        <is>
          <t>2024-06-23</t>
        </is>
      </c>
      <c r="C3992" t="inlineStr">
        <is>
          <t>13:21</t>
        </is>
      </c>
      <c r="D3992" t="inlineStr">
        <is>
          <t>n° 13 + n° 14 + n° 17 + n° 18</t>
        </is>
      </c>
      <c r="E3992" t="inlineStr">
        <is>
          <t>Crepe Chocolat</t>
        </is>
      </c>
      <c r="F3992" t="n">
        <v>5.9</v>
      </c>
      <c r="G3992" t="inlineStr">
        <is>
          <t>n° 13 : 0,50 + n° 14 : 0,50 + n° 17 : 0,50 + n° 18 : 0,50</t>
        </is>
      </c>
      <c r="H3992" t="n">
        <v>2</v>
      </c>
    </row>
    <row r="3993">
      <c r="A3993" t="inlineStr">
        <is>
          <t>2024-2025</t>
        </is>
      </c>
      <c r="B3993" t="inlineStr">
        <is>
          <t>2024-06-23</t>
        </is>
      </c>
      <c r="C3993" t="inlineStr">
        <is>
          <t>13:21</t>
        </is>
      </c>
      <c r="D3993" t="inlineStr">
        <is>
          <t>n° 13 + n° 14 + n° 17 + n° 18</t>
        </is>
      </c>
      <c r="E3993" t="inlineStr">
        <is>
          <t>La Vouivre</t>
        </is>
      </c>
      <c r="F3993" t="n">
        <v>5.9</v>
      </c>
      <c r="G3993" t="inlineStr">
        <is>
          <t>n° 17 : 0,50 + n° 18 : 0,50</t>
        </is>
      </c>
      <c r="H3993" t="n">
        <v>1</v>
      </c>
    </row>
    <row r="3994">
      <c r="A3994" t="inlineStr">
        <is>
          <t>2024-2025</t>
        </is>
      </c>
      <c r="B3994" t="inlineStr">
        <is>
          <t>2024-06-23</t>
        </is>
      </c>
      <c r="C3994" t="inlineStr">
        <is>
          <t>13:21</t>
        </is>
      </c>
      <c r="D3994" t="inlineStr">
        <is>
          <t>n° 13 + n° 14 + n° 17 + n° 18</t>
        </is>
      </c>
      <c r="E3994" t="inlineStr">
        <is>
          <t>GLACE 2 BOULES</t>
        </is>
      </c>
      <c r="F3994" t="n">
        <v>5.5</v>
      </c>
      <c r="G3994" t="inlineStr">
        <is>
          <t>n° 13 : 0,50 + n° 14 : 0,50</t>
        </is>
      </c>
      <c r="H3994" t="n">
        <v>1</v>
      </c>
    </row>
    <row r="3995">
      <c r="A3995" t="inlineStr">
        <is>
          <t>2024-2025</t>
        </is>
      </c>
      <c r="B3995" t="inlineStr">
        <is>
          <t>2024-06-23</t>
        </is>
      </c>
      <c r="C3995" t="inlineStr">
        <is>
          <t>13:21</t>
        </is>
      </c>
      <c r="D3995" t="inlineStr">
        <is>
          <t>n° 13 + n° 14 + n° 17 + n° 18</t>
        </is>
      </c>
      <c r="E3995" t="inlineStr">
        <is>
          <t>Expresso</t>
        </is>
      </c>
      <c r="F3995" t="n">
        <v>2.2</v>
      </c>
      <c r="G3995" t="inlineStr">
        <is>
          <t>n° 13 : 0,50 + n° 14 : 0,50 + n° 17 : 1,50 + n° 18 : 1,50</t>
        </is>
      </c>
      <c r="H3995" t="n">
        <v>4</v>
      </c>
    </row>
    <row r="3996">
      <c r="A3996" t="inlineStr">
        <is>
          <t>2024-2025</t>
        </is>
      </c>
      <c r="B3996" t="inlineStr">
        <is>
          <t>2024-06-26</t>
        </is>
      </c>
      <c r="C3996" t="inlineStr">
        <is>
          <t>11:53</t>
        </is>
      </c>
      <c r="D3996" t="inlineStr">
        <is>
          <t>n° 3 + n° 4</t>
        </is>
      </c>
      <c r="E3996" t="inlineStr">
        <is>
          <t>Pastis</t>
        </is>
      </c>
      <c r="F3996" t="n">
        <v>4.2</v>
      </c>
      <c r="G3996" t="inlineStr">
        <is>
          <t>n° 3 : 0,50 + n° 4 : 0,50</t>
        </is>
      </c>
      <c r="H3996" t="n">
        <v>1</v>
      </c>
    </row>
    <row r="3997">
      <c r="A3997" t="inlineStr">
        <is>
          <t>2024-2025</t>
        </is>
      </c>
      <c r="B3997" t="inlineStr">
        <is>
          <t>2024-06-26</t>
        </is>
      </c>
      <c r="C3997" t="inlineStr">
        <is>
          <t>12:25</t>
        </is>
      </c>
      <c r="D3997" t="inlineStr">
        <is>
          <t>n° 11 + n° 12 + n° 13 + n° 14</t>
        </is>
      </c>
      <c r="E3997" t="inlineStr">
        <is>
          <t>ASSIETTE FRANC-COMTO</t>
        </is>
      </c>
      <c r="F3997" t="n">
        <v>18.6</v>
      </c>
      <c r="G3997" t="inlineStr">
        <is>
          <t>n° 13 : 0,50 + n° 14 : 0,50</t>
        </is>
      </c>
      <c r="H3997" t="n">
        <v>1</v>
      </c>
    </row>
    <row r="3998">
      <c r="A3998" t="inlineStr">
        <is>
          <t>2024-2025</t>
        </is>
      </c>
      <c r="B3998" t="inlineStr">
        <is>
          <t>2024-06-26</t>
        </is>
      </c>
      <c r="C3998" t="inlineStr">
        <is>
          <t>12:25</t>
        </is>
      </c>
      <c r="D3998" t="inlineStr">
        <is>
          <t>n° 11 + n° 12 + n° 13 + n° 14</t>
        </is>
      </c>
      <c r="E3998" t="inlineStr">
        <is>
          <t>TOQUADE</t>
        </is>
      </c>
      <c r="F3998" t="n">
        <v>11.8</v>
      </c>
      <c r="G3998" t="inlineStr">
        <is>
          <t>n° 11 : 0,50 + n° 12 : 0,50</t>
        </is>
      </c>
      <c r="H3998" t="n">
        <v>1</v>
      </c>
    </row>
    <row r="3999">
      <c r="A3999" t="inlineStr">
        <is>
          <t>2024-2025</t>
        </is>
      </c>
      <c r="B3999" t="inlineStr">
        <is>
          <t>2024-06-26</t>
        </is>
      </c>
      <c r="C3999" t="inlineStr">
        <is>
          <t>12:25</t>
        </is>
      </c>
      <c r="D3999" t="inlineStr">
        <is>
          <t>n° 11 + n° 12 + n° 13 + n° 14</t>
        </is>
      </c>
      <c r="E3999" t="inlineStr">
        <is>
          <t>Jus de Fruit</t>
        </is>
      </c>
      <c r="F3999" t="n">
        <v>4.2</v>
      </c>
      <c r="G3999" t="inlineStr">
        <is>
          <t>n° 13 : 0,50 + n° 14 : 0,50</t>
        </is>
      </c>
      <c r="H3999" t="n">
        <v>1</v>
      </c>
    </row>
    <row r="4000">
      <c r="A4000" t="inlineStr">
        <is>
          <t>2024-2025</t>
        </is>
      </c>
      <c r="B4000" t="inlineStr">
        <is>
          <t>2024-06-26</t>
        </is>
      </c>
      <c r="C4000" t="inlineStr">
        <is>
          <t>12:25</t>
        </is>
      </c>
      <c r="D4000" t="inlineStr">
        <is>
          <t>n° 11 + n° 12 + n° 13 + n° 14</t>
        </is>
      </c>
      <c r="E4000" t="inlineStr">
        <is>
          <t>San Pelegrino 50cl</t>
        </is>
      </c>
      <c r="F4000" t="n">
        <v>4</v>
      </c>
      <c r="G4000" t="inlineStr">
        <is>
          <t>n° 13 : 0,50 + n° 14 : 0,50</t>
        </is>
      </c>
      <c r="H4000" t="n">
        <v>1</v>
      </c>
    </row>
    <row r="4001">
      <c r="A4001" t="inlineStr">
        <is>
          <t>2024-2025</t>
        </is>
      </c>
      <c r="B4001" t="inlineStr">
        <is>
          <t>2024-06-26</t>
        </is>
      </c>
      <c r="C4001" t="inlineStr">
        <is>
          <t>12:25</t>
        </is>
      </c>
      <c r="D4001" t="inlineStr">
        <is>
          <t>n° 11 + n° 12 + n° 13 + n° 14</t>
        </is>
      </c>
      <c r="E4001" t="inlineStr">
        <is>
          <t>GLACE 1 BOULE</t>
        </is>
      </c>
      <c r="F4001" t="n">
        <v>3.5</v>
      </c>
      <c r="G4001" t="inlineStr">
        <is>
          <t>n° 11 : 0,50 + n° 12 : 0,50</t>
        </is>
      </c>
      <c r="H4001" t="n">
        <v>1</v>
      </c>
    </row>
    <row r="4002">
      <c r="A4002" t="inlineStr">
        <is>
          <t>2024-2025</t>
        </is>
      </c>
      <c r="B4002" t="inlineStr">
        <is>
          <t>2024-06-26</t>
        </is>
      </c>
      <c r="C4002" t="inlineStr">
        <is>
          <t>12:25</t>
        </is>
      </c>
      <c r="D4002" t="inlineStr">
        <is>
          <t>n° 11 + n° 12 + n° 13 + n° 14</t>
        </is>
      </c>
      <c r="E4002" t="inlineStr">
        <is>
          <t>Expresso</t>
        </is>
      </c>
      <c r="F4002" t="n">
        <v>2.2</v>
      </c>
      <c r="G4002" t="inlineStr">
        <is>
          <t>n° 11 : 0,50 + n° 12 : 0,50</t>
        </is>
      </c>
      <c r="H4002" t="n">
        <v>1</v>
      </c>
    </row>
    <row r="4003">
      <c r="A4003" t="inlineStr">
        <is>
          <t>2024-2025</t>
        </is>
      </c>
      <c r="B4003" t="inlineStr">
        <is>
          <t>2024-06-28</t>
        </is>
      </c>
      <c r="C4003" t="inlineStr">
        <is>
          <t>13:10</t>
        </is>
      </c>
      <c r="D4003" t="inlineStr">
        <is>
          <t>n° 11 + n° 12</t>
        </is>
      </c>
      <c r="E4003" t="inlineStr">
        <is>
          <t>Salade Régionale</t>
        </is>
      </c>
      <c r="F4003" t="n">
        <v>19.9</v>
      </c>
      <c r="G4003" t="inlineStr">
        <is>
          <t>n° 11 : 0,50 + n° 12 : 0,50</t>
        </is>
      </c>
      <c r="H4003" t="n">
        <v>1</v>
      </c>
    </row>
    <row r="4004">
      <c r="A4004" t="inlineStr">
        <is>
          <t>2024-2025</t>
        </is>
      </c>
      <c r="B4004" t="inlineStr">
        <is>
          <t>2024-06-28</t>
        </is>
      </c>
      <c r="C4004" t="inlineStr">
        <is>
          <t>13:10</t>
        </is>
      </c>
      <c r="D4004" t="inlineStr">
        <is>
          <t>n° 11 + n° 12</t>
        </is>
      </c>
      <c r="E4004" t="inlineStr">
        <is>
          <t>Crémeux du Jura</t>
        </is>
      </c>
      <c r="F4004" t="n">
        <v>19</v>
      </c>
      <c r="G4004" t="inlineStr">
        <is>
          <t>n° 11 : 0,50 + n° 12 : 0,50</t>
        </is>
      </c>
      <c r="H4004" t="n">
        <v>1</v>
      </c>
    </row>
    <row r="4005">
      <c r="A4005" t="inlineStr">
        <is>
          <t>2024-2025</t>
        </is>
      </c>
      <c r="B4005" t="inlineStr">
        <is>
          <t>2024-06-28</t>
        </is>
      </c>
      <c r="C4005" t="inlineStr">
        <is>
          <t>13:10</t>
        </is>
      </c>
      <c r="D4005" t="inlineStr">
        <is>
          <t>n° 11 + n° 12</t>
        </is>
      </c>
      <c r="E4005" t="inlineStr">
        <is>
          <t>BURGER COMTOIS</t>
        </is>
      </c>
      <c r="F4005" t="n">
        <v>19</v>
      </c>
      <c r="G4005" t="inlineStr">
        <is>
          <t>n° 11 : 0,50 + n° 12 : 0,50</t>
        </is>
      </c>
      <c r="H4005" t="n">
        <v>1</v>
      </c>
    </row>
    <row r="4006">
      <c r="A4006" t="inlineStr">
        <is>
          <t>2024-2025</t>
        </is>
      </c>
      <c r="B4006" t="inlineStr">
        <is>
          <t>2024-06-28</t>
        </is>
      </c>
      <c r="C4006" t="inlineStr">
        <is>
          <t>13:10</t>
        </is>
      </c>
      <c r="D4006" t="inlineStr">
        <is>
          <t>n° 11 + n° 12</t>
        </is>
      </c>
      <c r="E4006" t="inlineStr">
        <is>
          <t>POULET JURASSIENNE</t>
        </is>
      </c>
      <c r="F4006" t="n">
        <v>18.6</v>
      </c>
      <c r="G4006" t="inlineStr">
        <is>
          <t>n° 11 : 0,50 + n° 12 : 0,50</t>
        </is>
      </c>
      <c r="H4006" t="n">
        <v>1</v>
      </c>
    </row>
    <row r="4007">
      <c r="A4007" t="inlineStr">
        <is>
          <t>2024-2025</t>
        </is>
      </c>
      <c r="B4007" t="inlineStr">
        <is>
          <t>2024-06-28</t>
        </is>
      </c>
      <c r="C4007" t="inlineStr">
        <is>
          <t>13:10</t>
        </is>
      </c>
      <c r="D4007" t="inlineStr">
        <is>
          <t>n° 11 + n° 12</t>
        </is>
      </c>
      <c r="E4007" t="inlineStr">
        <is>
          <t>BALIDOU</t>
        </is>
      </c>
      <c r="F4007" t="n">
        <v>9</v>
      </c>
      <c r="G4007" t="inlineStr">
        <is>
          <t>n° 11 : 0,50 + n° 12 : 0,50</t>
        </is>
      </c>
      <c r="H4007" t="n">
        <v>1</v>
      </c>
    </row>
    <row r="4008">
      <c r="A4008" t="inlineStr">
        <is>
          <t>2024-2025</t>
        </is>
      </c>
      <c r="B4008" t="inlineStr">
        <is>
          <t>2024-06-28</t>
        </is>
      </c>
      <c r="C4008" t="inlineStr">
        <is>
          <t>13:10</t>
        </is>
      </c>
      <c r="D4008" t="inlineStr">
        <is>
          <t>n° 11 + n° 12</t>
        </is>
      </c>
      <c r="E4008" t="inlineStr">
        <is>
          <t>Savagnin verre</t>
        </is>
      </c>
      <c r="F4008" t="n">
        <v>8.300000000000001</v>
      </c>
      <c r="G4008" t="inlineStr">
        <is>
          <t>n° 11 : 0,50 + n° 12 : 0,50</t>
        </is>
      </c>
      <c r="H4008" t="n">
        <v>1</v>
      </c>
    </row>
    <row r="4009">
      <c r="A4009" t="inlineStr">
        <is>
          <t>2024-2025</t>
        </is>
      </c>
      <c r="B4009" t="inlineStr">
        <is>
          <t>2024-06-28</t>
        </is>
      </c>
      <c r="C4009" t="inlineStr">
        <is>
          <t>13:10</t>
        </is>
      </c>
      <c r="D4009" t="inlineStr">
        <is>
          <t>n° 11 + n° 12</t>
        </is>
      </c>
      <c r="E4009" t="inlineStr">
        <is>
          <t>Pinte</t>
        </is>
      </c>
      <c r="F4009" t="n">
        <v>8</v>
      </c>
      <c r="G4009" t="inlineStr">
        <is>
          <t>n° 11 : 0,50 + n° 12 : 0,50</t>
        </is>
      </c>
      <c r="H4009" t="n">
        <v>1</v>
      </c>
    </row>
    <row r="4010">
      <c r="A4010" t="inlineStr">
        <is>
          <t>2024-2025</t>
        </is>
      </c>
      <c r="B4010" t="inlineStr">
        <is>
          <t>2024-06-28</t>
        </is>
      </c>
      <c r="C4010" t="inlineStr">
        <is>
          <t>13:10</t>
        </is>
      </c>
      <c r="D4010" t="inlineStr">
        <is>
          <t>n° 11 + n° 12</t>
        </is>
      </c>
      <c r="E4010" t="inlineStr">
        <is>
          <t>Jus de Fruit</t>
        </is>
      </c>
      <c r="F4010" t="n">
        <v>4.2</v>
      </c>
      <c r="G4010" t="inlineStr">
        <is>
          <t>n° 11 : 0,50 + n° 12 : 0,50</t>
        </is>
      </c>
      <c r="H4010" t="n">
        <v>1</v>
      </c>
    </row>
    <row r="4011">
      <c r="A4011" t="inlineStr">
        <is>
          <t>2024-2025</t>
        </is>
      </c>
      <c r="B4011" t="inlineStr">
        <is>
          <t>2024-06-28</t>
        </is>
      </c>
      <c r="C4011" t="inlineStr">
        <is>
          <t>13:10</t>
        </is>
      </c>
      <c r="D4011" t="inlineStr">
        <is>
          <t>n° 11 + n° 12</t>
        </is>
      </c>
      <c r="E4011" t="inlineStr">
        <is>
          <t>Diabolo (25cl)</t>
        </is>
      </c>
      <c r="F4011" t="n">
        <v>3.9</v>
      </c>
      <c r="G4011" t="inlineStr">
        <is>
          <t>n° 11 : 0,50 + n° 12 : 0,50</t>
        </is>
      </c>
      <c r="H4011" t="n">
        <v>1</v>
      </c>
    </row>
    <row r="4012">
      <c r="A4012" t="inlineStr">
        <is>
          <t>2024-2025</t>
        </is>
      </c>
      <c r="B4012" t="inlineStr">
        <is>
          <t>2024-06-28</t>
        </is>
      </c>
      <c r="C4012" t="inlineStr">
        <is>
          <t>13:10</t>
        </is>
      </c>
      <c r="D4012" t="inlineStr">
        <is>
          <t>n° 11 + n° 12</t>
        </is>
      </c>
      <c r="E4012" t="inlineStr">
        <is>
          <t>Expresso</t>
        </is>
      </c>
      <c r="F4012" t="n">
        <v>2.2</v>
      </c>
      <c r="G4012" t="inlineStr">
        <is>
          <t>n° 11 : 0,50 + n° 12 : 0,50</t>
        </is>
      </c>
      <c r="H4012" t="n">
        <v>1</v>
      </c>
    </row>
    <row r="4013">
      <c r="A4013" t="inlineStr">
        <is>
          <t>2024-2025</t>
        </is>
      </c>
      <c r="B4013" t="inlineStr">
        <is>
          <t>2024-06-28</t>
        </is>
      </c>
      <c r="C4013" t="inlineStr">
        <is>
          <t>19:38</t>
        </is>
      </c>
      <c r="D4013" t="inlineStr">
        <is>
          <t>n° 18 + n° 19</t>
        </is>
      </c>
      <c r="E4013" t="inlineStr">
        <is>
          <t>BURGER COMTOIS</t>
        </is>
      </c>
      <c r="F4013" t="n">
        <v>19</v>
      </c>
      <c r="G4013" t="inlineStr">
        <is>
          <t>n° 18 : 0,50 + n° 19 : 0,50</t>
        </is>
      </c>
      <c r="H4013" t="n">
        <v>1</v>
      </c>
    </row>
    <row r="4014">
      <c r="A4014" t="inlineStr">
        <is>
          <t>2024-2025</t>
        </is>
      </c>
      <c r="B4014" t="inlineStr">
        <is>
          <t>2024-06-28</t>
        </is>
      </c>
      <c r="C4014" t="inlineStr">
        <is>
          <t>19:38</t>
        </is>
      </c>
      <c r="D4014" t="inlineStr">
        <is>
          <t>n° 18 + n° 19</t>
        </is>
      </c>
      <c r="E4014" t="inlineStr">
        <is>
          <t>CAMEMBERT ROTI</t>
        </is>
      </c>
      <c r="F4014" t="n">
        <v>18.6</v>
      </c>
      <c r="G4014" t="inlineStr">
        <is>
          <t>n° 18 : 0,50 + n° 19 : 0,50</t>
        </is>
      </c>
      <c r="H4014" t="n">
        <v>1</v>
      </c>
    </row>
    <row r="4015">
      <c r="A4015" t="inlineStr">
        <is>
          <t>2024-2025</t>
        </is>
      </c>
      <c r="B4015" t="inlineStr">
        <is>
          <t>2024-06-28</t>
        </is>
      </c>
      <c r="C4015" t="inlineStr">
        <is>
          <t>19:38</t>
        </is>
      </c>
      <c r="D4015" t="inlineStr">
        <is>
          <t>n° 18 + n° 19</t>
        </is>
      </c>
      <c r="E4015" t="inlineStr">
        <is>
          <t>Double Expresso</t>
        </is>
      </c>
      <c r="F4015" t="n">
        <v>3.8</v>
      </c>
      <c r="G4015" t="inlineStr">
        <is>
          <t>n° 18 : 0,50 + n° 19 : 0,50</t>
        </is>
      </c>
      <c r="H4015" t="n">
        <v>1</v>
      </c>
    </row>
    <row r="4016">
      <c r="A4016" t="inlineStr">
        <is>
          <t>2024-2025</t>
        </is>
      </c>
      <c r="B4016" t="inlineStr">
        <is>
          <t>2024-06-28</t>
        </is>
      </c>
      <c r="C4016" t="inlineStr">
        <is>
          <t>21:25</t>
        </is>
      </c>
      <c r="D4016" t="inlineStr">
        <is>
          <t>n° 28 + n° 29</t>
        </is>
      </c>
      <c r="E4016" t="inlineStr">
        <is>
          <t>Arbois Savagnin</t>
        </is>
      </c>
      <c r="F4016" t="n">
        <v>41.5</v>
      </c>
      <c r="G4016" t="inlineStr">
        <is>
          <t>n° 28 : 0,50 + n° 29 : 0,50</t>
        </is>
      </c>
      <c r="H4016" t="n">
        <v>1</v>
      </c>
    </row>
    <row r="4017">
      <c r="A4017" t="inlineStr">
        <is>
          <t>2024-2025</t>
        </is>
      </c>
      <c r="B4017" t="inlineStr">
        <is>
          <t>2024-06-28</t>
        </is>
      </c>
      <c r="C4017" t="inlineStr">
        <is>
          <t>21:25</t>
        </is>
      </c>
      <c r="D4017" t="inlineStr">
        <is>
          <t>n° 28 + n° 29</t>
        </is>
      </c>
      <c r="E4017" t="inlineStr">
        <is>
          <t>Entrecôte grillée</t>
        </is>
      </c>
      <c r="F4017" t="n">
        <v>19.9</v>
      </c>
      <c r="G4017" t="inlineStr">
        <is>
          <t>n° 28 : 0,50 + n° 29 : 0,50</t>
        </is>
      </c>
      <c r="H4017" t="n">
        <v>1</v>
      </c>
    </row>
    <row r="4018">
      <c r="A4018" t="inlineStr">
        <is>
          <t>2024-2025</t>
        </is>
      </c>
      <c r="B4018" t="inlineStr">
        <is>
          <t>2024-06-28</t>
        </is>
      </c>
      <c r="C4018" t="inlineStr">
        <is>
          <t>21:25</t>
        </is>
      </c>
      <c r="D4018" t="inlineStr">
        <is>
          <t>n° 28 + n° 29</t>
        </is>
      </c>
      <c r="E4018" t="inlineStr">
        <is>
          <t>TRUITE PESTO</t>
        </is>
      </c>
      <c r="F4018" t="n">
        <v>16.9</v>
      </c>
      <c r="G4018" t="inlineStr">
        <is>
          <t>n° 28 : 0,50 + n° 29 : 0,50</t>
        </is>
      </c>
      <c r="H4018" t="n">
        <v>1</v>
      </c>
    </row>
    <row r="4019">
      <c r="A4019" t="inlineStr">
        <is>
          <t>2024-2025</t>
        </is>
      </c>
      <c r="B4019" t="inlineStr">
        <is>
          <t>2024-06-28</t>
        </is>
      </c>
      <c r="C4019" t="inlineStr">
        <is>
          <t>21:25</t>
        </is>
      </c>
      <c r="D4019" t="inlineStr">
        <is>
          <t>n° 28 + n° 29</t>
        </is>
      </c>
      <c r="E4019" t="inlineStr">
        <is>
          <t>KITTYKIR</t>
        </is>
      </c>
      <c r="F4019" t="n">
        <v>5.2</v>
      </c>
      <c r="G4019" t="inlineStr">
        <is>
          <t>n° 28 : 0,50 + n° 29 : 0,50</t>
        </is>
      </c>
      <c r="H4019" t="n">
        <v>1</v>
      </c>
    </row>
    <row r="4020">
      <c r="A4020" t="inlineStr">
        <is>
          <t>2024-2025</t>
        </is>
      </c>
      <c r="B4020" t="inlineStr">
        <is>
          <t>2024-06-28</t>
        </is>
      </c>
      <c r="C4020" t="inlineStr">
        <is>
          <t>21:25</t>
        </is>
      </c>
      <c r="D4020" t="inlineStr">
        <is>
          <t>n° 28 + n° 29</t>
        </is>
      </c>
      <c r="E4020" t="inlineStr">
        <is>
          <t>Schweppes</t>
        </is>
      </c>
      <c r="F4020" t="n">
        <v>3.9</v>
      </c>
      <c r="G4020" t="inlineStr">
        <is>
          <t>n° 28 : 0,50 + n° 29 : 0,50</t>
        </is>
      </c>
      <c r="H4020" t="n">
        <v>1</v>
      </c>
    </row>
    <row r="4021">
      <c r="A4021" t="inlineStr">
        <is>
          <t>2024-2025</t>
        </is>
      </c>
      <c r="B4021" t="inlineStr">
        <is>
          <t>2024-06-29</t>
        </is>
      </c>
      <c r="C4021" t="inlineStr">
        <is>
          <t>12:55</t>
        </is>
      </c>
      <c r="D4021" t="inlineStr">
        <is>
          <t>n° 13 + n° 14 + n° 15</t>
        </is>
      </c>
      <c r="E4021" t="inlineStr">
        <is>
          <t>MACHON GOURMET</t>
        </is>
      </c>
      <c r="F4021" t="n">
        <v>25</v>
      </c>
      <c r="G4021" t="inlineStr">
        <is>
          <t>n° 15 : 0,50</t>
        </is>
      </c>
      <c r="H4021" t="n">
        <v>0.5</v>
      </c>
    </row>
    <row r="4022">
      <c r="A4022" t="inlineStr">
        <is>
          <t>2024-2025</t>
        </is>
      </c>
      <c r="B4022" t="inlineStr">
        <is>
          <t>2024-06-29</t>
        </is>
      </c>
      <c r="C4022" t="inlineStr">
        <is>
          <t>12:55</t>
        </is>
      </c>
      <c r="D4022" t="inlineStr">
        <is>
          <t>n° 13 + n° 14 + n° 15</t>
        </is>
      </c>
      <c r="E4022" t="inlineStr">
        <is>
          <t>BURGER COMTOIS</t>
        </is>
      </c>
      <c r="F4022" t="n">
        <v>19</v>
      </c>
      <c r="G4022" t="inlineStr">
        <is>
          <t>n° 15 : 0,50</t>
        </is>
      </c>
      <c r="H4022" t="n">
        <v>0.5</v>
      </c>
    </row>
    <row r="4023">
      <c r="A4023" t="inlineStr">
        <is>
          <t>2024-2025</t>
        </is>
      </c>
      <c r="B4023" t="inlineStr">
        <is>
          <t>2024-06-29</t>
        </is>
      </c>
      <c r="C4023" t="inlineStr">
        <is>
          <t>12:55</t>
        </is>
      </c>
      <c r="D4023" t="inlineStr">
        <is>
          <t>n° 13 + n° 14 + n° 15</t>
        </is>
      </c>
      <c r="E4023" t="inlineStr">
        <is>
          <t>ASSIETTE FRANC-COMTO</t>
        </is>
      </c>
      <c r="F4023" t="n">
        <v>18.6</v>
      </c>
      <c r="G4023" t="inlineStr">
        <is>
          <t>n° 13 : 0,50 + n° 14 : 0,50</t>
        </is>
      </c>
      <c r="H4023" t="n">
        <v>1</v>
      </c>
    </row>
    <row r="4024">
      <c r="A4024" t="inlineStr">
        <is>
          <t>2024-2025</t>
        </is>
      </c>
      <c r="B4024" t="inlineStr">
        <is>
          <t>2024-06-29</t>
        </is>
      </c>
      <c r="C4024" t="inlineStr">
        <is>
          <t>12:55</t>
        </is>
      </c>
      <c r="D4024" t="inlineStr">
        <is>
          <t>n° 13 + n° 14 + n° 15</t>
        </is>
      </c>
      <c r="E4024" t="inlineStr">
        <is>
          <t>POULET JURASSIENNE</t>
        </is>
      </c>
      <c r="F4024" t="n">
        <v>18.6</v>
      </c>
      <c r="G4024" t="inlineStr">
        <is>
          <t>n° 15 : 0,50</t>
        </is>
      </c>
      <c r="H4024" t="n">
        <v>0.5</v>
      </c>
    </row>
    <row r="4025">
      <c r="A4025" t="inlineStr">
        <is>
          <t>2024-2025</t>
        </is>
      </c>
      <c r="B4025" t="inlineStr">
        <is>
          <t>2024-06-29</t>
        </is>
      </c>
      <c r="C4025" t="inlineStr">
        <is>
          <t>12:55</t>
        </is>
      </c>
      <c r="D4025" t="inlineStr">
        <is>
          <t>n° 13 + n° 14 + n° 15</t>
        </is>
      </c>
      <c r="E4025" t="inlineStr">
        <is>
          <t>PEUTE</t>
        </is>
      </c>
      <c r="F4025" t="n">
        <v>17.8</v>
      </c>
      <c r="G4025" t="inlineStr">
        <is>
          <t>n° 15 : 0,50</t>
        </is>
      </c>
      <c r="H4025" t="n">
        <v>0.5</v>
      </c>
    </row>
    <row r="4026">
      <c r="A4026" t="inlineStr">
        <is>
          <t>2024-2025</t>
        </is>
      </c>
      <c r="B4026" t="inlineStr">
        <is>
          <t>2024-06-29</t>
        </is>
      </c>
      <c r="C4026" t="inlineStr">
        <is>
          <t>12:55</t>
        </is>
      </c>
      <c r="D4026" t="inlineStr">
        <is>
          <t>n° 13 + n° 14 + n° 15</t>
        </is>
      </c>
      <c r="E4026" t="inlineStr">
        <is>
          <t>TRUITE PESTO</t>
        </is>
      </c>
      <c r="F4026" t="n">
        <v>16.9</v>
      </c>
      <c r="G4026" t="inlineStr">
        <is>
          <t>n° 13 : 0,50 + n° 14 : 0,50</t>
        </is>
      </c>
      <c r="H4026" t="n">
        <v>1</v>
      </c>
    </row>
    <row r="4027">
      <c r="A4027" t="inlineStr">
        <is>
          <t>2024-2025</t>
        </is>
      </c>
      <c r="B4027" t="inlineStr">
        <is>
          <t>2024-06-29</t>
        </is>
      </c>
      <c r="C4027" t="inlineStr">
        <is>
          <t>12:55</t>
        </is>
      </c>
      <c r="D4027" t="inlineStr">
        <is>
          <t>n° 13 + n° 14 + n° 15</t>
        </is>
      </c>
      <c r="E4027" t="inlineStr">
        <is>
          <t>Jambon sec</t>
        </is>
      </c>
      <c r="F4027" t="n">
        <v>8.9</v>
      </c>
      <c r="G4027" t="inlineStr">
        <is>
          <t>n° 15 : 0,50</t>
        </is>
      </c>
      <c r="H4027" t="n">
        <v>0.5</v>
      </c>
    </row>
    <row r="4028">
      <c r="A4028" t="inlineStr">
        <is>
          <t>2024-2025</t>
        </is>
      </c>
      <c r="B4028" t="inlineStr">
        <is>
          <t>2024-06-29</t>
        </is>
      </c>
      <c r="C4028" t="inlineStr">
        <is>
          <t>12:55</t>
        </is>
      </c>
      <c r="D4028" t="inlineStr">
        <is>
          <t>n° 13 + n° 14 + n° 15</t>
        </is>
      </c>
      <c r="E4028" t="inlineStr">
        <is>
          <t>Saucisse de Morteau</t>
        </is>
      </c>
      <c r="F4028" t="n">
        <v>8.9</v>
      </c>
      <c r="G4028" t="inlineStr">
        <is>
          <t>n° 15 : 0,50</t>
        </is>
      </c>
      <c r="H4028" t="n">
        <v>0.5</v>
      </c>
    </row>
    <row r="4029">
      <c r="A4029" t="inlineStr">
        <is>
          <t>2024-2025</t>
        </is>
      </c>
      <c r="B4029" t="inlineStr">
        <is>
          <t>2024-06-29</t>
        </is>
      </c>
      <c r="C4029" t="inlineStr">
        <is>
          <t>12:55</t>
        </is>
      </c>
      <c r="D4029" t="inlineStr">
        <is>
          <t>n° 13 + n° 14 + n° 15</t>
        </is>
      </c>
      <c r="E4029" t="inlineStr">
        <is>
          <t>Jamhon Persillé</t>
        </is>
      </c>
      <c r="F4029" t="n">
        <v>7.2</v>
      </c>
      <c r="G4029" t="inlineStr">
        <is>
          <t>n° 15 : 0,50</t>
        </is>
      </c>
      <c r="H4029" t="n">
        <v>0.5</v>
      </c>
    </row>
    <row r="4030">
      <c r="A4030" t="inlineStr">
        <is>
          <t>2024-2025</t>
        </is>
      </c>
      <c r="B4030" t="inlineStr">
        <is>
          <t>2024-06-29</t>
        </is>
      </c>
      <c r="C4030" t="inlineStr">
        <is>
          <t>12:55</t>
        </is>
      </c>
      <c r="D4030" t="inlineStr">
        <is>
          <t>n° 13 + n° 14 + n° 15</t>
        </is>
      </c>
      <c r="E4030" t="inlineStr">
        <is>
          <t>Crêpe Salidou</t>
        </is>
      </c>
      <c r="F4030" t="n">
        <v>6.4</v>
      </c>
      <c r="G4030" t="inlineStr">
        <is>
          <t>n° 13 : 0,50 + n° 14 : 0,50</t>
        </is>
      </c>
      <c r="H4030" t="n">
        <v>1</v>
      </c>
    </row>
    <row r="4031">
      <c r="A4031" t="inlineStr">
        <is>
          <t>2024-2025</t>
        </is>
      </c>
      <c r="B4031" t="inlineStr">
        <is>
          <t>2024-06-29</t>
        </is>
      </c>
      <c r="C4031" t="inlineStr">
        <is>
          <t>12:55</t>
        </is>
      </c>
      <c r="D4031" t="inlineStr">
        <is>
          <t>n° 13 + n° 14 + n° 15</t>
        </is>
      </c>
      <c r="E4031" t="inlineStr">
        <is>
          <t>Luna</t>
        </is>
      </c>
      <c r="F4031" t="n">
        <v>6</v>
      </c>
      <c r="G4031" t="inlineStr">
        <is>
          <t>n° 13 : 0,50 + n° 14 : 0,50</t>
        </is>
      </c>
      <c r="H4031" t="n">
        <v>1</v>
      </c>
    </row>
    <row r="4032">
      <c r="A4032" t="inlineStr">
        <is>
          <t>2024-2025</t>
        </is>
      </c>
      <c r="B4032" t="inlineStr">
        <is>
          <t>2024-06-29</t>
        </is>
      </c>
      <c r="C4032" t="inlineStr">
        <is>
          <t>12:55</t>
        </is>
      </c>
      <c r="D4032" t="inlineStr">
        <is>
          <t>n° 13 + n° 14 + n° 15</t>
        </is>
      </c>
      <c r="E4032" t="inlineStr">
        <is>
          <t>Chat perché</t>
        </is>
      </c>
      <c r="F4032" t="n">
        <v>5.9</v>
      </c>
      <c r="G4032" t="inlineStr">
        <is>
          <t>n° 13 : 0,50 + n° 14 : 0,50</t>
        </is>
      </c>
      <c r="H4032" t="n">
        <v>1</v>
      </c>
    </row>
    <row r="4033">
      <c r="A4033" t="inlineStr">
        <is>
          <t>2024-2025</t>
        </is>
      </c>
      <c r="B4033" t="inlineStr">
        <is>
          <t>2024-06-29</t>
        </is>
      </c>
      <c r="C4033" t="inlineStr">
        <is>
          <t>12:55</t>
        </is>
      </c>
      <c r="D4033" t="inlineStr">
        <is>
          <t>n° 13 + n° 14 + n° 15</t>
        </is>
      </c>
      <c r="E4033" t="inlineStr">
        <is>
          <t>GLACE 2 BOULES</t>
        </is>
      </c>
      <c r="F4033" t="n">
        <v>5.5</v>
      </c>
      <c r="G4033" t="inlineStr">
        <is>
          <t>n° 13 : 0,50 + n° 14 : 0,50</t>
        </is>
      </c>
      <c r="H4033" t="n">
        <v>1</v>
      </c>
    </row>
    <row r="4034">
      <c r="A4034" t="inlineStr">
        <is>
          <t>2024-2025</t>
        </is>
      </c>
      <c r="B4034" t="inlineStr">
        <is>
          <t>2024-06-29</t>
        </is>
      </c>
      <c r="C4034" t="inlineStr">
        <is>
          <t>12:55</t>
        </is>
      </c>
      <c r="D4034" t="inlineStr">
        <is>
          <t>n° 13 + n° 14 + n° 15</t>
        </is>
      </c>
      <c r="E4034" t="inlineStr">
        <is>
          <t>Picon bière</t>
        </is>
      </c>
      <c r="F4034" t="n">
        <v>4.8</v>
      </c>
      <c r="G4034" t="inlineStr">
        <is>
          <t>n° 15 : 0,50</t>
        </is>
      </c>
      <c r="H4034" t="n">
        <v>0.5</v>
      </c>
    </row>
    <row r="4035">
      <c r="A4035" t="inlineStr">
        <is>
          <t>2024-2025</t>
        </is>
      </c>
      <c r="B4035" t="inlineStr">
        <is>
          <t>2024-06-29</t>
        </is>
      </c>
      <c r="C4035" t="inlineStr">
        <is>
          <t>12:55</t>
        </is>
      </c>
      <c r="D4035" t="inlineStr">
        <is>
          <t>n° 13 + n° 14 + n° 15</t>
        </is>
      </c>
      <c r="E4035" t="inlineStr">
        <is>
          <t>pression</t>
        </is>
      </c>
      <c r="F4035" t="n">
        <v>4.2</v>
      </c>
      <c r="G4035" t="inlineStr">
        <is>
          <t>n° 15 : 3,50</t>
        </is>
      </c>
      <c r="H4035" t="n">
        <v>3.5</v>
      </c>
    </row>
    <row r="4036">
      <c r="A4036" t="inlineStr">
        <is>
          <t>2024-2025</t>
        </is>
      </c>
      <c r="B4036" t="inlineStr">
        <is>
          <t>2024-06-29</t>
        </is>
      </c>
      <c r="C4036" t="inlineStr">
        <is>
          <t>12:55</t>
        </is>
      </c>
      <c r="D4036" t="inlineStr">
        <is>
          <t>n° 13 + n° 14 + n° 15</t>
        </is>
      </c>
      <c r="E4036" t="inlineStr">
        <is>
          <t>Fuze Tea</t>
        </is>
      </c>
      <c r="F4036" t="n">
        <v>3.9</v>
      </c>
      <c r="G4036" t="inlineStr">
        <is>
          <t>n° 15 : 0,50</t>
        </is>
      </c>
      <c r="H4036" t="n">
        <v>0.5</v>
      </c>
    </row>
    <row r="4037">
      <c r="A4037" t="inlineStr">
        <is>
          <t>2024-2025</t>
        </is>
      </c>
      <c r="B4037" t="inlineStr">
        <is>
          <t>2024-06-29</t>
        </is>
      </c>
      <c r="C4037" t="inlineStr">
        <is>
          <t>12:55</t>
        </is>
      </c>
      <c r="D4037" t="inlineStr">
        <is>
          <t>n° 13 + n° 14 + n° 15</t>
        </is>
      </c>
      <c r="E4037" t="inlineStr">
        <is>
          <t>Galette nature</t>
        </is>
      </c>
      <c r="F4037" t="n">
        <v>3.9</v>
      </c>
      <c r="G4037" t="inlineStr">
        <is>
          <t>n° 15 : 0,50</t>
        </is>
      </c>
      <c r="H4037" t="n">
        <v>0.5</v>
      </c>
    </row>
    <row r="4038">
      <c r="A4038" t="inlineStr">
        <is>
          <t>2024-2025</t>
        </is>
      </c>
      <c r="B4038" t="inlineStr">
        <is>
          <t>2024-06-29</t>
        </is>
      </c>
      <c r="C4038" t="inlineStr">
        <is>
          <t>12:55</t>
        </is>
      </c>
      <c r="D4038" t="inlineStr">
        <is>
          <t>n° 13 + n° 14 + n° 15</t>
        </is>
      </c>
      <c r="E4038" t="inlineStr">
        <is>
          <t>Cancoillotte</t>
        </is>
      </c>
      <c r="F4038" t="n">
        <v>3.9</v>
      </c>
      <c r="G4038" t="inlineStr">
        <is>
          <t>n° 15 : 0,50</t>
        </is>
      </c>
      <c r="H4038" t="n">
        <v>0.5</v>
      </c>
    </row>
    <row r="4039">
      <c r="A4039" t="inlineStr">
        <is>
          <t>2024-2025</t>
        </is>
      </c>
      <c r="B4039" t="inlineStr">
        <is>
          <t>2024-06-29</t>
        </is>
      </c>
      <c r="C4039" t="inlineStr">
        <is>
          <t>12:55</t>
        </is>
      </c>
      <c r="D4039" t="inlineStr">
        <is>
          <t>n° 13 + n° 14 + n° 15</t>
        </is>
      </c>
      <c r="E4039" t="inlineStr">
        <is>
          <t>GLACE 1 BOULE</t>
        </is>
      </c>
      <c r="F4039" t="n">
        <v>3.5</v>
      </c>
      <c r="G4039" t="inlineStr">
        <is>
          <t>n° 15 : 0,50</t>
        </is>
      </c>
      <c r="H4039" t="n">
        <v>0.5</v>
      </c>
    </row>
    <row r="4040">
      <c r="A4040" t="inlineStr">
        <is>
          <t>2024-2025</t>
        </is>
      </c>
      <c r="B4040" t="inlineStr">
        <is>
          <t>2024-06-29</t>
        </is>
      </c>
      <c r="C4040" t="inlineStr">
        <is>
          <t>12:55</t>
        </is>
      </c>
      <c r="D4040" t="inlineStr">
        <is>
          <t>n° 13 + n° 14 + n° 15</t>
        </is>
      </c>
      <c r="E4040" t="inlineStr">
        <is>
          <t>Pommes de Terre</t>
        </is>
      </c>
      <c r="F4040" t="n">
        <v>3.2</v>
      </c>
      <c r="G4040" t="inlineStr">
        <is>
          <t>n° 15 : 0,50</t>
        </is>
      </c>
      <c r="H4040" t="n">
        <v>0.5</v>
      </c>
    </row>
    <row r="4041">
      <c r="A4041" t="inlineStr">
        <is>
          <t>2024-2025</t>
        </is>
      </c>
      <c r="B4041" t="inlineStr">
        <is>
          <t>2024-06-29</t>
        </is>
      </c>
      <c r="C4041" t="inlineStr">
        <is>
          <t>19:30</t>
        </is>
      </c>
      <c r="D4041" t="inlineStr">
        <is>
          <t>n° 18 + n° 19</t>
        </is>
      </c>
      <c r="E4041" t="inlineStr">
        <is>
          <t>MACHON GOURMET</t>
        </is>
      </c>
      <c r="F4041" t="n">
        <v>25</v>
      </c>
      <c r="G4041" t="inlineStr">
        <is>
          <t>n° 18 : 0,50 + n° 19 : 0,50</t>
        </is>
      </c>
      <c r="H4041" t="n">
        <v>1</v>
      </c>
    </row>
    <row r="4042">
      <c r="A4042" t="inlineStr">
        <is>
          <t>2024-2025</t>
        </is>
      </c>
      <c r="B4042" t="inlineStr">
        <is>
          <t>2024-06-29</t>
        </is>
      </c>
      <c r="C4042" t="inlineStr">
        <is>
          <t>19:30</t>
        </is>
      </c>
      <c r="D4042" t="inlineStr">
        <is>
          <t>n° 18 + n° 19</t>
        </is>
      </c>
      <c r="E4042" t="inlineStr">
        <is>
          <t>Crémeux du Jura</t>
        </is>
      </c>
      <c r="F4042" t="n">
        <v>19</v>
      </c>
      <c r="G4042" t="inlineStr">
        <is>
          <t>n° 18 : 0,50 + n° 19 : 0,50</t>
        </is>
      </c>
      <c r="H4042" t="n">
        <v>1</v>
      </c>
    </row>
    <row r="4043">
      <c r="A4043" t="inlineStr">
        <is>
          <t>2024-2025</t>
        </is>
      </c>
      <c r="B4043" t="inlineStr">
        <is>
          <t>2024-06-29</t>
        </is>
      </c>
      <c r="C4043" t="inlineStr">
        <is>
          <t>19:30</t>
        </is>
      </c>
      <c r="D4043" t="inlineStr">
        <is>
          <t>n° 18 + n° 19</t>
        </is>
      </c>
      <c r="E4043" t="inlineStr">
        <is>
          <t>BURGER COMTOIS</t>
        </is>
      </c>
      <c r="F4043" t="n">
        <v>19</v>
      </c>
      <c r="G4043" t="inlineStr">
        <is>
          <t>n° 18 : 0,50 + n° 19 : 0,50</t>
        </is>
      </c>
      <c r="H4043" t="n">
        <v>1</v>
      </c>
    </row>
    <row r="4044">
      <c r="A4044" t="inlineStr">
        <is>
          <t>2024-2025</t>
        </is>
      </c>
      <c r="B4044" t="inlineStr">
        <is>
          <t>2024-06-29</t>
        </is>
      </c>
      <c r="C4044" t="inlineStr">
        <is>
          <t>19:30</t>
        </is>
      </c>
      <c r="D4044" t="inlineStr">
        <is>
          <t>n° 18 + n° 19</t>
        </is>
      </c>
      <c r="E4044" t="inlineStr">
        <is>
          <t>MORTEAU GRILLEE</t>
        </is>
      </c>
      <c r="F4044" t="n">
        <v>18.6</v>
      </c>
      <c r="G4044" t="inlineStr">
        <is>
          <t>n° 18 : 0,50 + n° 19 : 0,50</t>
        </is>
      </c>
      <c r="H4044" t="n">
        <v>1</v>
      </c>
    </row>
    <row r="4045">
      <c r="A4045" t="inlineStr">
        <is>
          <t>2024-2025</t>
        </is>
      </c>
      <c r="B4045" t="inlineStr">
        <is>
          <t>2024-06-29</t>
        </is>
      </c>
      <c r="C4045" t="inlineStr">
        <is>
          <t>19:30</t>
        </is>
      </c>
      <c r="D4045" t="inlineStr">
        <is>
          <t>n° 18 + n° 19</t>
        </is>
      </c>
      <c r="E4045" t="inlineStr">
        <is>
          <t>Pinte</t>
        </is>
      </c>
      <c r="F4045" t="n">
        <v>8</v>
      </c>
      <c r="G4045" t="inlineStr">
        <is>
          <t>n° 18 : 0,50 + n° 19 : 0,50</t>
        </is>
      </c>
      <c r="H4045" t="n">
        <v>1</v>
      </c>
    </row>
    <row r="4046">
      <c r="A4046" t="inlineStr">
        <is>
          <t>2024-2025</t>
        </is>
      </c>
      <c r="B4046" t="inlineStr">
        <is>
          <t>2024-06-29</t>
        </is>
      </c>
      <c r="C4046" t="inlineStr">
        <is>
          <t>19:30</t>
        </is>
      </c>
      <c r="D4046" t="inlineStr">
        <is>
          <t>n° 18 + n° 19</t>
        </is>
      </c>
      <c r="E4046" t="inlineStr">
        <is>
          <t>Crémant</t>
        </is>
      </c>
      <c r="F4046" t="n">
        <v>5</v>
      </c>
      <c r="G4046" t="inlineStr">
        <is>
          <t>n° 18 : 0,50 + n° 19 : 0,50</t>
        </is>
      </c>
      <c r="H4046" t="n">
        <v>1</v>
      </c>
    </row>
    <row r="4047">
      <c r="A4047" t="inlineStr">
        <is>
          <t>2024-2025</t>
        </is>
      </c>
      <c r="B4047" t="inlineStr">
        <is>
          <t>2024-06-29</t>
        </is>
      </c>
      <c r="C4047" t="inlineStr">
        <is>
          <t>20:12</t>
        </is>
      </c>
      <c r="D4047" t="inlineStr">
        <is>
          <t>n° 24 + n° 25</t>
        </is>
      </c>
      <c r="E4047" t="inlineStr">
        <is>
          <t>POULET JURASSIENNE</t>
        </is>
      </c>
      <c r="F4047" t="n">
        <v>18.6</v>
      </c>
      <c r="G4047" t="inlineStr">
        <is>
          <t>n° 24 : 0,50 + n° 25 : 0,50</t>
        </is>
      </c>
      <c r="H4047" t="n">
        <v>1</v>
      </c>
    </row>
    <row r="4048">
      <c r="A4048" t="inlineStr">
        <is>
          <t>2024-2025</t>
        </is>
      </c>
      <c r="B4048" t="inlineStr">
        <is>
          <t>2024-06-29</t>
        </is>
      </c>
      <c r="C4048" t="inlineStr">
        <is>
          <t>20:12</t>
        </is>
      </c>
      <c r="D4048" t="inlineStr">
        <is>
          <t>n° 24 + n° 25</t>
        </is>
      </c>
      <c r="E4048" t="inlineStr">
        <is>
          <t>ASSIETTE PERE GREGOI</t>
        </is>
      </c>
      <c r="F4048" t="n">
        <v>18.6</v>
      </c>
      <c r="G4048" t="inlineStr">
        <is>
          <t>n° 24 : 0,50 + n° 25 : 0,50</t>
        </is>
      </c>
      <c r="H4048" t="n">
        <v>1</v>
      </c>
    </row>
    <row r="4049">
      <c r="A4049" t="inlineStr">
        <is>
          <t>2024-2025</t>
        </is>
      </c>
      <c r="B4049" t="inlineStr">
        <is>
          <t>2024-06-29</t>
        </is>
      </c>
      <c r="C4049" t="inlineStr">
        <is>
          <t>20:12</t>
        </is>
      </c>
      <c r="D4049" t="inlineStr">
        <is>
          <t>n° 24 + n° 25</t>
        </is>
      </c>
      <c r="E4049" t="inlineStr">
        <is>
          <t>Expresso</t>
        </is>
      </c>
      <c r="F4049" t="n">
        <v>2.2</v>
      </c>
      <c r="G4049" t="inlineStr">
        <is>
          <t>n° 24 : 0,50 + n° 25 : 0,50</t>
        </is>
      </c>
      <c r="H4049" t="n">
        <v>1</v>
      </c>
    </row>
    <row r="4050">
      <c r="A4050" t="inlineStr">
        <is>
          <t>2024-2025</t>
        </is>
      </c>
      <c r="B4050" t="inlineStr">
        <is>
          <t>2024-06-30</t>
        </is>
      </c>
      <c r="C4050" t="inlineStr">
        <is>
          <t>20:48</t>
        </is>
      </c>
      <c r="D4050" t="inlineStr">
        <is>
          <t>n° 29 + n° 30</t>
        </is>
      </c>
      <c r="E4050" t="inlineStr">
        <is>
          <t>DOMAINE LE PIVE</t>
        </is>
      </c>
      <c r="F4050" t="n">
        <v>29</v>
      </c>
      <c r="G4050" t="inlineStr">
        <is>
          <t>n° 29 : 0,33 + n° 30 : 0,67</t>
        </is>
      </c>
      <c r="H4050" t="n">
        <v>1</v>
      </c>
    </row>
    <row r="4051">
      <c r="A4051" t="inlineStr">
        <is>
          <t>2024-2025</t>
        </is>
      </c>
      <c r="B4051" t="inlineStr">
        <is>
          <t>2024-06-30</t>
        </is>
      </c>
      <c r="C4051" t="inlineStr">
        <is>
          <t>20:48</t>
        </is>
      </c>
      <c r="D4051" t="inlineStr">
        <is>
          <t>n° 29 + n° 30</t>
        </is>
      </c>
      <c r="E4051" t="inlineStr">
        <is>
          <t>FRELEE</t>
        </is>
      </c>
      <c r="F4051" t="n">
        <v>19.6</v>
      </c>
      <c r="G4051" t="inlineStr">
        <is>
          <t>n° 29 : 0,33 + n° 30 : 0,67</t>
        </is>
      </c>
      <c r="H4051" t="n">
        <v>1</v>
      </c>
    </row>
    <row r="4052">
      <c r="A4052" t="inlineStr">
        <is>
          <t>2024-2025</t>
        </is>
      </c>
      <c r="B4052" t="inlineStr">
        <is>
          <t>2024-06-30</t>
        </is>
      </c>
      <c r="C4052" t="inlineStr">
        <is>
          <t>20:48</t>
        </is>
      </c>
      <c r="D4052" t="inlineStr">
        <is>
          <t>n° 29 + n° 30</t>
        </is>
      </c>
      <c r="E4052" t="inlineStr">
        <is>
          <t>TOQUADE</t>
        </is>
      </c>
      <c r="F4052" t="n">
        <v>11.8</v>
      </c>
      <c r="G4052" t="inlineStr">
        <is>
          <t>n° 29 : 0,33 + n° 30 : 0,67</t>
        </is>
      </c>
      <c r="H4052" t="n">
        <v>1</v>
      </c>
    </row>
    <row r="4053">
      <c r="A4053" t="inlineStr">
        <is>
          <t>2024-2025</t>
        </is>
      </c>
      <c r="B4053" t="inlineStr">
        <is>
          <t>2024-06-30</t>
        </is>
      </c>
      <c r="C4053" t="inlineStr">
        <is>
          <t>20:48</t>
        </is>
      </c>
      <c r="D4053" t="inlineStr">
        <is>
          <t>n° 29 + n° 30</t>
        </is>
      </c>
      <c r="E4053" t="inlineStr">
        <is>
          <t>DAMES VERTES</t>
        </is>
      </c>
      <c r="F4053" t="n">
        <v>9.699999999999999</v>
      </c>
      <c r="G4053" t="inlineStr">
        <is>
          <t>n° 29 : 0,33 + n° 30 : 0,67</t>
        </is>
      </c>
      <c r="H4053" t="n">
        <v>1</v>
      </c>
    </row>
    <row r="4054">
      <c r="A4054" t="inlineStr">
        <is>
          <t>2024-2025</t>
        </is>
      </c>
      <c r="B4054" t="inlineStr">
        <is>
          <t>2024-06-30</t>
        </is>
      </c>
      <c r="C4054" t="inlineStr">
        <is>
          <t>20:48</t>
        </is>
      </c>
      <c r="D4054" t="inlineStr">
        <is>
          <t>n° 29 + n° 30</t>
        </is>
      </c>
      <c r="E4054" t="inlineStr">
        <is>
          <t>Sol</t>
        </is>
      </c>
      <c r="F4054" t="n">
        <v>9</v>
      </c>
      <c r="G4054" t="inlineStr">
        <is>
          <t>n° 29 : 0,33 + n° 30 : 0,67</t>
        </is>
      </c>
      <c r="H4054" t="n">
        <v>1</v>
      </c>
    </row>
    <row r="4055">
      <c r="A4055" t="inlineStr">
        <is>
          <t>2024-2025</t>
        </is>
      </c>
      <c r="B4055" t="inlineStr">
        <is>
          <t>2024-06-30</t>
        </is>
      </c>
      <c r="C4055" t="inlineStr">
        <is>
          <t>20:48</t>
        </is>
      </c>
      <c r="D4055" t="inlineStr">
        <is>
          <t>n° 29 + n° 30</t>
        </is>
      </c>
      <c r="E4055" t="inlineStr">
        <is>
          <t>Saucisse de Morteau</t>
        </is>
      </c>
      <c r="F4055" t="n">
        <v>8.9</v>
      </c>
      <c r="G4055" t="inlineStr">
        <is>
          <t>n° 29 : 0,33 + n° 30 : 0,67</t>
        </is>
      </c>
      <c r="H4055" t="n">
        <v>1</v>
      </c>
    </row>
    <row r="4056">
      <c r="A4056" t="inlineStr">
        <is>
          <t>2024-2025</t>
        </is>
      </c>
      <c r="B4056" t="inlineStr">
        <is>
          <t>2024-06-30</t>
        </is>
      </c>
      <c r="C4056" t="inlineStr">
        <is>
          <t>20:48</t>
        </is>
      </c>
      <c r="D4056" t="inlineStr">
        <is>
          <t>n° 29 + n° 30</t>
        </is>
      </c>
      <c r="E4056" t="inlineStr">
        <is>
          <t>Steak haché</t>
        </is>
      </c>
      <c r="F4056" t="n">
        <v>7.8</v>
      </c>
      <c r="G4056" t="inlineStr">
        <is>
          <t>n° 29 : 0,67 + n° 30 : 1,33</t>
        </is>
      </c>
      <c r="H4056" t="n">
        <v>2</v>
      </c>
    </row>
    <row r="4057">
      <c r="A4057" t="inlineStr">
        <is>
          <t>2024-2025</t>
        </is>
      </c>
      <c r="B4057" t="inlineStr">
        <is>
          <t>2024-06-30</t>
        </is>
      </c>
      <c r="C4057" t="inlineStr">
        <is>
          <t>20:48</t>
        </is>
      </c>
      <c r="D4057" t="inlineStr">
        <is>
          <t>n° 29 + n° 30</t>
        </is>
      </c>
      <c r="E4057" t="inlineStr">
        <is>
          <t>Comté</t>
        </is>
      </c>
      <c r="F4057" t="n">
        <v>4</v>
      </c>
      <c r="G4057" t="inlineStr">
        <is>
          <t>n° 29 : 0,33 + n° 30 : 0,67</t>
        </is>
      </c>
      <c r="H4057" t="n">
        <v>1</v>
      </c>
    </row>
    <row r="4058">
      <c r="A4058" t="inlineStr">
        <is>
          <t>2024-2025</t>
        </is>
      </c>
      <c r="B4058" t="inlineStr">
        <is>
          <t>2024-06-30</t>
        </is>
      </c>
      <c r="C4058" t="inlineStr">
        <is>
          <t>20:48</t>
        </is>
      </c>
      <c r="D4058" t="inlineStr">
        <is>
          <t>n° 29 + n° 30</t>
        </is>
      </c>
      <c r="E4058" t="inlineStr">
        <is>
          <t>Galette nature</t>
        </is>
      </c>
      <c r="F4058" t="n">
        <v>3.9</v>
      </c>
      <c r="G4058" t="inlineStr">
        <is>
          <t>n° 29 : 1,67 + n° 30 : 3,33</t>
        </is>
      </c>
      <c r="H4058" t="n">
        <v>5</v>
      </c>
    </row>
    <row r="4059">
      <c r="A4059" t="inlineStr">
        <is>
          <t>2024-2025</t>
        </is>
      </c>
      <c r="B4059" t="inlineStr">
        <is>
          <t>2024-06-30</t>
        </is>
      </c>
      <c r="C4059" t="inlineStr">
        <is>
          <t>20:48</t>
        </is>
      </c>
      <c r="D4059" t="inlineStr">
        <is>
          <t>n° 29 + n° 30</t>
        </is>
      </c>
      <c r="E4059" t="inlineStr">
        <is>
          <t>Cancoillotte</t>
        </is>
      </c>
      <c r="F4059" t="n">
        <v>3.9</v>
      </c>
      <c r="G4059" t="inlineStr">
        <is>
          <t>n° 29 : 0,33 + n° 30 : 0,67</t>
        </is>
      </c>
      <c r="H4059" t="n">
        <v>1</v>
      </c>
    </row>
    <row r="4060">
      <c r="A4060" t="inlineStr">
        <is>
          <t>2024-2025</t>
        </is>
      </c>
      <c r="B4060" t="inlineStr">
        <is>
          <t>2024-06-30</t>
        </is>
      </c>
      <c r="C4060" t="inlineStr">
        <is>
          <t>20:48</t>
        </is>
      </c>
      <c r="D4060" t="inlineStr">
        <is>
          <t>n° 29 + n° 30</t>
        </is>
      </c>
      <c r="E4060" t="inlineStr">
        <is>
          <t>Morbier</t>
        </is>
      </c>
      <c r="F4060" t="n">
        <v>3.5</v>
      </c>
      <c r="G4060" t="inlineStr">
        <is>
          <t>n° 29 : 0,33 + n° 30 : 0,67</t>
        </is>
      </c>
      <c r="H4060" t="n">
        <v>1</v>
      </c>
    </row>
    <row r="4061">
      <c r="A4061" t="inlineStr">
        <is>
          <t>2024-2025</t>
        </is>
      </c>
      <c r="B4061" t="inlineStr">
        <is>
          <t>2024-06-30</t>
        </is>
      </c>
      <c r="C4061" t="inlineStr">
        <is>
          <t>20:48</t>
        </is>
      </c>
      <c r="D4061" t="inlineStr">
        <is>
          <t>n° 29 + n° 30</t>
        </is>
      </c>
      <c r="E4061" t="inlineStr">
        <is>
          <t>Bacon</t>
        </is>
      </c>
      <c r="F4061" t="n">
        <v>3.3</v>
      </c>
      <c r="G4061" t="inlineStr">
        <is>
          <t>n° 29 : 0,33 + n° 30 : 0,67</t>
        </is>
      </c>
      <c r="H4061" t="n">
        <v>1</v>
      </c>
    </row>
    <row r="4062">
      <c r="A4062" t="inlineStr">
        <is>
          <t>2024-2025</t>
        </is>
      </c>
      <c r="B4062" t="inlineStr">
        <is>
          <t>2024-06-30</t>
        </is>
      </c>
      <c r="C4062" t="inlineStr">
        <is>
          <t>20:48</t>
        </is>
      </c>
      <c r="D4062" t="inlineStr">
        <is>
          <t>n° 29 + n° 30</t>
        </is>
      </c>
      <c r="E4062" t="inlineStr">
        <is>
          <t>Champignons frais</t>
        </is>
      </c>
      <c r="F4062" t="n">
        <v>3.2</v>
      </c>
      <c r="G4062" t="inlineStr">
        <is>
          <t>n° 29 : 0,33 + n° 30 : 0,67</t>
        </is>
      </c>
      <c r="H4062" t="n">
        <v>1</v>
      </c>
    </row>
    <row r="4063">
      <c r="A4063" t="inlineStr">
        <is>
          <t>2024-2025</t>
        </is>
      </c>
      <c r="B4063" t="inlineStr">
        <is>
          <t>2024-06-30</t>
        </is>
      </c>
      <c r="C4063" t="inlineStr">
        <is>
          <t>20:48</t>
        </is>
      </c>
      <c r="D4063" t="inlineStr">
        <is>
          <t>n° 29 + n° 30</t>
        </is>
      </c>
      <c r="E4063" t="inlineStr">
        <is>
          <t>Salade Verte</t>
        </is>
      </c>
      <c r="F4063" t="n">
        <v>2.9</v>
      </c>
      <c r="G4063" t="inlineStr">
        <is>
          <t>n° 29 : 0,67 + n° 30 : 1,33</t>
        </is>
      </c>
      <c r="H4063" t="n">
        <v>2</v>
      </c>
    </row>
    <row r="4064">
      <c r="A4064" t="inlineStr">
        <is>
          <t>2024-2025</t>
        </is>
      </c>
      <c r="B4064" t="inlineStr">
        <is>
          <t>2024-07-03</t>
        </is>
      </c>
      <c r="C4064" t="inlineStr">
        <is>
          <t>20:16</t>
        </is>
      </c>
      <c r="D4064" t="inlineStr">
        <is>
          <t>n° 27 + n° 28</t>
        </is>
      </c>
      <c r="E4064" t="inlineStr">
        <is>
          <t>BARBEULENET</t>
        </is>
      </c>
      <c r="F4064" t="n">
        <v>17.4</v>
      </c>
      <c r="G4064" t="inlineStr">
        <is>
          <t>n° 27 : 0,50 + n° 28 : 0,50</t>
        </is>
      </c>
      <c r="H4064" t="n">
        <v>1</v>
      </c>
    </row>
    <row r="4065">
      <c r="A4065" t="inlineStr">
        <is>
          <t>2024-2025</t>
        </is>
      </c>
      <c r="B4065" t="inlineStr">
        <is>
          <t>2024-07-03</t>
        </is>
      </c>
      <c r="C4065" t="inlineStr">
        <is>
          <t>20:16</t>
        </is>
      </c>
      <c r="D4065" t="inlineStr">
        <is>
          <t>n° 27 + n° 28</t>
        </is>
      </c>
      <c r="E4065" t="inlineStr">
        <is>
          <t>LIGOUSE</t>
        </is>
      </c>
      <c r="F4065" t="n">
        <v>16.6</v>
      </c>
      <c r="G4065" t="inlineStr">
        <is>
          <t>n° 27 : 0,50 + n° 28 : 0,50</t>
        </is>
      </c>
      <c r="H4065" t="n">
        <v>1</v>
      </c>
    </row>
    <row r="4066">
      <c r="A4066" t="inlineStr">
        <is>
          <t>2024-2025</t>
        </is>
      </c>
      <c r="B4066" t="inlineStr">
        <is>
          <t>2024-07-03</t>
        </is>
      </c>
      <c r="C4066" t="inlineStr">
        <is>
          <t>20:16</t>
        </is>
      </c>
      <c r="D4066" t="inlineStr">
        <is>
          <t>n° 27 + n° 28</t>
        </is>
      </c>
      <c r="E4066" t="inlineStr">
        <is>
          <t>VOUIVRE</t>
        </is>
      </c>
      <c r="F4066" t="n">
        <v>14.6</v>
      </c>
      <c r="G4066" t="inlineStr">
        <is>
          <t>n° 27 : 0,50 + n° 28 : 0,50</t>
        </is>
      </c>
      <c r="H4066" t="n">
        <v>1</v>
      </c>
    </row>
    <row r="4067">
      <c r="A4067" t="inlineStr">
        <is>
          <t>2024-2025</t>
        </is>
      </c>
      <c r="B4067" t="inlineStr">
        <is>
          <t>2024-07-03</t>
        </is>
      </c>
      <c r="C4067" t="inlineStr">
        <is>
          <t>20:16</t>
        </is>
      </c>
      <c r="D4067" t="inlineStr">
        <is>
          <t>n° 27 + n° 28</t>
        </is>
      </c>
      <c r="E4067" t="inlineStr">
        <is>
          <t>Crêpe Flambée</t>
        </is>
      </c>
      <c r="F4067" t="n">
        <v>8.4</v>
      </c>
      <c r="G4067" t="inlineStr">
        <is>
          <t>n° 27 : 0,50 + n° 28 : 0,50</t>
        </is>
      </c>
      <c r="H4067" t="n">
        <v>1</v>
      </c>
    </row>
    <row r="4068">
      <c r="A4068" t="inlineStr">
        <is>
          <t>2024-2025</t>
        </is>
      </c>
      <c r="B4068" t="inlineStr">
        <is>
          <t>2024-07-03</t>
        </is>
      </c>
      <c r="C4068" t="inlineStr">
        <is>
          <t>20:16</t>
        </is>
      </c>
      <c r="D4068" t="inlineStr">
        <is>
          <t>n° 27 + n° 28</t>
        </is>
      </c>
      <c r="E4068" t="inlineStr">
        <is>
          <t>Pommes cuites</t>
        </is>
      </c>
      <c r="F4068" t="n">
        <v>3.2</v>
      </c>
      <c r="G4068" t="inlineStr">
        <is>
          <t>n° 27 : 0,50 + n° 28 : 0,50</t>
        </is>
      </c>
      <c r="H4068" t="n">
        <v>1</v>
      </c>
    </row>
    <row r="4069">
      <c r="A4069" t="inlineStr">
        <is>
          <t>2024-2025</t>
        </is>
      </c>
      <c r="B4069" t="inlineStr">
        <is>
          <t>2024-07-04</t>
        </is>
      </c>
      <c r="C4069" t="inlineStr">
        <is>
          <t>12:59</t>
        </is>
      </c>
      <c r="D4069" t="inlineStr">
        <is>
          <t>n° 7 + n° 8</t>
        </is>
      </c>
      <c r="E4069" t="inlineStr">
        <is>
          <t>Poulet aux Morilles</t>
        </is>
      </c>
      <c r="F4069" t="n">
        <v>28.6</v>
      </c>
      <c r="G4069" t="inlineStr">
        <is>
          <t>n° 7 : 0,50 + n° 8 : 0,50</t>
        </is>
      </c>
      <c r="H4069" t="n">
        <v>1</v>
      </c>
    </row>
    <row r="4070">
      <c r="A4070" t="inlineStr">
        <is>
          <t>2024-2025</t>
        </is>
      </c>
      <c r="B4070" t="inlineStr">
        <is>
          <t>2024-07-04</t>
        </is>
      </c>
      <c r="C4070" t="inlineStr">
        <is>
          <t>12:59</t>
        </is>
      </c>
      <c r="D4070" t="inlineStr">
        <is>
          <t>n° 7 + n° 8</t>
        </is>
      </c>
      <c r="E4070" t="inlineStr">
        <is>
          <t>Crémeux du Jura</t>
        </is>
      </c>
      <c r="F4070" t="n">
        <v>19</v>
      </c>
      <c r="G4070" t="inlineStr">
        <is>
          <t>n° 7 : 0,50 + n° 8 : 0,50</t>
        </is>
      </c>
      <c r="H4070" t="n">
        <v>1</v>
      </c>
    </row>
    <row r="4071">
      <c r="A4071" t="inlineStr">
        <is>
          <t>2024-2025</t>
        </is>
      </c>
      <c r="B4071" t="inlineStr">
        <is>
          <t>2024-07-04</t>
        </is>
      </c>
      <c r="C4071" t="inlineStr">
        <is>
          <t>12:59</t>
        </is>
      </c>
      <c r="D4071" t="inlineStr">
        <is>
          <t>n° 7 + n° 8</t>
        </is>
      </c>
      <c r="E4071" t="inlineStr">
        <is>
          <t>ASSIETTE FRANC-COMTO</t>
        </is>
      </c>
      <c r="F4071" t="n">
        <v>18.6</v>
      </c>
      <c r="G4071" t="inlineStr">
        <is>
          <t>n° 7 : 0,50 + n° 8 : 0,50</t>
        </is>
      </c>
      <c r="H4071" t="n">
        <v>1</v>
      </c>
    </row>
    <row r="4072">
      <c r="A4072" t="inlineStr">
        <is>
          <t>2024-2025</t>
        </is>
      </c>
      <c r="B4072" t="inlineStr">
        <is>
          <t>2024-07-04</t>
        </is>
      </c>
      <c r="C4072" t="inlineStr">
        <is>
          <t>12:59</t>
        </is>
      </c>
      <c r="D4072" t="inlineStr">
        <is>
          <t>n° 7 + n° 8</t>
        </is>
      </c>
      <c r="E4072" t="inlineStr">
        <is>
          <t>MORTEAU GRILLEE</t>
        </is>
      </c>
      <c r="F4072" t="n">
        <v>18.6</v>
      </c>
      <c r="G4072" t="inlineStr">
        <is>
          <t>n° 7 : 0,50 + n° 8 : 0,50</t>
        </is>
      </c>
      <c r="H4072" t="n">
        <v>1</v>
      </c>
    </row>
    <row r="4073">
      <c r="A4073" t="inlineStr">
        <is>
          <t>2024-2025</t>
        </is>
      </c>
      <c r="B4073" t="inlineStr">
        <is>
          <t>2024-07-04</t>
        </is>
      </c>
      <c r="C4073" t="inlineStr">
        <is>
          <t>12:59</t>
        </is>
      </c>
      <c r="D4073" t="inlineStr">
        <is>
          <t>n° 7 + n° 8</t>
        </is>
      </c>
      <c r="E4073" t="inlineStr">
        <is>
          <t>Pavlova</t>
        </is>
      </c>
      <c r="F4073" t="n">
        <v>8.9</v>
      </c>
      <c r="G4073" t="inlineStr">
        <is>
          <t>n° 7 : 0,50 + n° 8 : 0,50</t>
        </is>
      </c>
      <c r="H4073" t="n">
        <v>1</v>
      </c>
    </row>
    <row r="4074">
      <c r="A4074" t="inlineStr">
        <is>
          <t>2024-2025</t>
        </is>
      </c>
      <c r="B4074" t="inlineStr">
        <is>
          <t>2024-07-04</t>
        </is>
      </c>
      <c r="C4074" t="inlineStr">
        <is>
          <t>12:59</t>
        </is>
      </c>
      <c r="D4074" t="inlineStr">
        <is>
          <t>n° 7 + n° 8</t>
        </is>
      </c>
      <c r="E4074" t="inlineStr">
        <is>
          <t>Mambo</t>
        </is>
      </c>
      <c r="F4074" t="n">
        <v>6.5</v>
      </c>
      <c r="G4074" t="inlineStr">
        <is>
          <t>n° 7 : 0,50 + n° 8 : 0,50</t>
        </is>
      </c>
      <c r="H4074" t="n">
        <v>1</v>
      </c>
    </row>
    <row r="4075">
      <c r="A4075" t="inlineStr">
        <is>
          <t>2024-2025</t>
        </is>
      </c>
      <c r="B4075" t="inlineStr">
        <is>
          <t>2024-07-04</t>
        </is>
      </c>
      <c r="C4075" t="inlineStr">
        <is>
          <t>12:59</t>
        </is>
      </c>
      <c r="D4075" t="inlineStr">
        <is>
          <t>n° 7 + n° 8</t>
        </is>
      </c>
      <c r="E4075" t="inlineStr">
        <is>
          <t>GLACE 2 BOULES</t>
        </is>
      </c>
      <c r="F4075" t="n">
        <v>5.5</v>
      </c>
      <c r="G4075" t="inlineStr">
        <is>
          <t>n° 7 : 0,50 + n° 8 : 0,50</t>
        </is>
      </c>
      <c r="H4075" t="n">
        <v>1</v>
      </c>
    </row>
    <row r="4076">
      <c r="A4076" t="inlineStr">
        <is>
          <t>2024-2025</t>
        </is>
      </c>
      <c r="B4076" t="inlineStr">
        <is>
          <t>2024-07-04</t>
        </is>
      </c>
      <c r="C4076" t="inlineStr">
        <is>
          <t>12:59</t>
        </is>
      </c>
      <c r="D4076" t="inlineStr">
        <is>
          <t>n° 7 + n° 8</t>
        </is>
      </c>
      <c r="E4076" t="inlineStr">
        <is>
          <t>KITTYKIR</t>
        </is>
      </c>
      <c r="F4076" t="n">
        <v>5.2</v>
      </c>
      <c r="G4076" t="inlineStr">
        <is>
          <t>n° 7 : 0,50 + n° 8 : 0,50</t>
        </is>
      </c>
      <c r="H4076" t="n">
        <v>1</v>
      </c>
    </row>
    <row r="4077">
      <c r="A4077" t="inlineStr">
        <is>
          <t>2024-2025</t>
        </is>
      </c>
      <c r="B4077" t="inlineStr">
        <is>
          <t>2024-07-04</t>
        </is>
      </c>
      <c r="C4077" t="inlineStr">
        <is>
          <t>12:59</t>
        </is>
      </c>
      <c r="D4077" t="inlineStr">
        <is>
          <t>n° 7 + n° 8</t>
        </is>
      </c>
      <c r="E4077" t="inlineStr">
        <is>
          <t>Martini Blanc</t>
        </is>
      </c>
      <c r="F4077" t="n">
        <v>4.9</v>
      </c>
      <c r="G4077" t="inlineStr">
        <is>
          <t>n° 7 : 0,50 + n° 8 : 0,50</t>
        </is>
      </c>
      <c r="H4077" t="n">
        <v>1</v>
      </c>
    </row>
    <row r="4078">
      <c r="A4078" t="inlineStr">
        <is>
          <t>2024-2025</t>
        </is>
      </c>
      <c r="B4078" t="inlineStr">
        <is>
          <t>2024-07-04</t>
        </is>
      </c>
      <c r="C4078" t="inlineStr">
        <is>
          <t>12:59</t>
        </is>
      </c>
      <c r="D4078" t="inlineStr">
        <is>
          <t>n° 7 + n° 8</t>
        </is>
      </c>
      <c r="E4078" t="inlineStr">
        <is>
          <t>pression</t>
        </is>
      </c>
      <c r="F4078" t="n">
        <v>4.2</v>
      </c>
      <c r="G4078" t="inlineStr">
        <is>
          <t>n° 7 : 0,50 + n° 8 : 0,50</t>
        </is>
      </c>
      <c r="H4078" t="n">
        <v>1</v>
      </c>
    </row>
    <row r="4079">
      <c r="A4079" t="inlineStr">
        <is>
          <t>2024-2025</t>
        </is>
      </c>
      <c r="B4079" t="inlineStr">
        <is>
          <t>2024-07-04</t>
        </is>
      </c>
      <c r="C4079" t="inlineStr">
        <is>
          <t>12:59</t>
        </is>
      </c>
      <c r="D4079" t="inlineStr">
        <is>
          <t>n° 7 + n° 8</t>
        </is>
      </c>
      <c r="E4079" t="inlineStr">
        <is>
          <t>Schweppes</t>
        </is>
      </c>
      <c r="F4079" t="n">
        <v>3.9</v>
      </c>
      <c r="G4079" t="inlineStr">
        <is>
          <t>n° 7 : 0,50 + n° 8 : 0,50</t>
        </is>
      </c>
      <c r="H4079" t="n">
        <v>1</v>
      </c>
    </row>
    <row r="4080">
      <c r="A4080" t="inlineStr">
        <is>
          <t>2024-2025</t>
        </is>
      </c>
      <c r="B4080" t="inlineStr">
        <is>
          <t>2024-07-04</t>
        </is>
      </c>
      <c r="C4080" t="inlineStr">
        <is>
          <t>20:20</t>
        </is>
      </c>
      <c r="D4080" t="inlineStr">
        <is>
          <t>n° 25 + n° 26</t>
        </is>
      </c>
      <c r="E4080" t="inlineStr">
        <is>
          <t>PiCHET TROUSSEAU</t>
        </is>
      </c>
      <c r="F4080" t="n">
        <v>28</v>
      </c>
      <c r="G4080" t="inlineStr">
        <is>
          <t>n° 25 : 0,50 + n° 26 : 0,50</t>
        </is>
      </c>
      <c r="H4080" t="n">
        <v>1</v>
      </c>
    </row>
    <row r="4081">
      <c r="A4081" t="inlineStr">
        <is>
          <t>2024-2025</t>
        </is>
      </c>
      <c r="B4081" t="inlineStr">
        <is>
          <t>2024-07-04</t>
        </is>
      </c>
      <c r="C4081" t="inlineStr">
        <is>
          <t>20:20</t>
        </is>
      </c>
      <c r="D4081" t="inlineStr">
        <is>
          <t>n° 25 + n° 26</t>
        </is>
      </c>
      <c r="E4081" t="inlineStr">
        <is>
          <t>Entrecôte Forestiére</t>
        </is>
      </c>
      <c r="F4081" t="n">
        <v>27.8</v>
      </c>
      <c r="G4081" t="inlineStr">
        <is>
          <t>n° 25 : 0,50 + n° 26 : 0,50</t>
        </is>
      </c>
      <c r="H4081" t="n">
        <v>1</v>
      </c>
    </row>
    <row r="4082">
      <c r="A4082" t="inlineStr">
        <is>
          <t>2024-2025</t>
        </is>
      </c>
      <c r="B4082" t="inlineStr">
        <is>
          <t>2024-07-04</t>
        </is>
      </c>
      <c r="C4082" t="inlineStr">
        <is>
          <t>20:20</t>
        </is>
      </c>
      <c r="D4082" t="inlineStr">
        <is>
          <t>n° 25 + n° 26</t>
        </is>
      </c>
      <c r="E4082" t="inlineStr">
        <is>
          <t>MACHON GOURMET</t>
        </is>
      </c>
      <c r="F4082" t="n">
        <v>25</v>
      </c>
      <c r="G4082" t="inlineStr">
        <is>
          <t>n° 25 : 0,50 + n° 26 : 0,50</t>
        </is>
      </c>
      <c r="H4082" t="n">
        <v>1</v>
      </c>
    </row>
    <row r="4083">
      <c r="A4083" t="inlineStr">
        <is>
          <t>2024-2025</t>
        </is>
      </c>
      <c r="B4083" t="inlineStr">
        <is>
          <t>2024-07-04</t>
        </is>
      </c>
      <c r="C4083" t="inlineStr">
        <is>
          <t>20:20</t>
        </is>
      </c>
      <c r="D4083" t="inlineStr">
        <is>
          <t>n° 25 + n° 26</t>
        </is>
      </c>
      <c r="E4083" t="inlineStr">
        <is>
          <t>Chat perché</t>
        </is>
      </c>
      <c r="F4083" t="n">
        <v>5.9</v>
      </c>
      <c r="G4083" t="inlineStr">
        <is>
          <t>n° 25 : 0,50 + n° 26 : 0,50</t>
        </is>
      </c>
      <c r="H4083" t="n">
        <v>1</v>
      </c>
    </row>
    <row r="4084">
      <c r="A4084" t="inlineStr">
        <is>
          <t>2024-2025</t>
        </is>
      </c>
      <c r="B4084" t="inlineStr">
        <is>
          <t>2024-07-04</t>
        </is>
      </c>
      <c r="C4084" t="inlineStr">
        <is>
          <t>20:20</t>
        </is>
      </c>
      <c r="D4084" t="inlineStr">
        <is>
          <t>n° 25 + n° 26</t>
        </is>
      </c>
      <c r="E4084" t="inlineStr">
        <is>
          <t>Père Gregoire</t>
        </is>
      </c>
      <c r="F4084" t="n">
        <v>5.9</v>
      </c>
      <c r="G4084" t="inlineStr">
        <is>
          <t>n° 25 : 0,50 + n° 26 : 0,50</t>
        </is>
      </c>
      <c r="H4084" t="n">
        <v>1</v>
      </c>
    </row>
    <row r="4085">
      <c r="A4085" t="inlineStr">
        <is>
          <t>2024-2025</t>
        </is>
      </c>
      <c r="B4085" t="inlineStr">
        <is>
          <t>2024-07-05</t>
        </is>
      </c>
      <c r="C4085" t="inlineStr">
        <is>
          <t>20:29</t>
        </is>
      </c>
      <c r="D4085" t="inlineStr">
        <is>
          <t>n° 30 + n° 31</t>
        </is>
      </c>
      <c r="E4085" t="inlineStr">
        <is>
          <t>C du Rhone St  Josep</t>
        </is>
      </c>
      <c r="F4085" t="n">
        <v>48.5</v>
      </c>
      <c r="G4085" t="inlineStr">
        <is>
          <t>n° 30 : 0,50 + n° 31 : 0,50</t>
        </is>
      </c>
      <c r="H4085" t="n">
        <v>1</v>
      </c>
    </row>
    <row r="4086">
      <c r="A4086" t="inlineStr">
        <is>
          <t>2024-2025</t>
        </is>
      </c>
      <c r="B4086" t="inlineStr">
        <is>
          <t>2024-07-05</t>
        </is>
      </c>
      <c r="C4086" t="inlineStr">
        <is>
          <t>20:29</t>
        </is>
      </c>
      <c r="D4086" t="inlineStr">
        <is>
          <t>n° 30 + n° 31</t>
        </is>
      </c>
      <c r="E4086" t="inlineStr">
        <is>
          <t>Saint Véran</t>
        </is>
      </c>
      <c r="F4086" t="n">
        <v>39.5</v>
      </c>
      <c r="G4086" t="inlineStr">
        <is>
          <t>n° 30 : 0,50 + n° 31 : 0,50</t>
        </is>
      </c>
      <c r="H4086" t="n">
        <v>1</v>
      </c>
    </row>
    <row r="4087">
      <c r="A4087" t="inlineStr">
        <is>
          <t>2024-2025</t>
        </is>
      </c>
      <c r="B4087" t="inlineStr">
        <is>
          <t>2024-07-05</t>
        </is>
      </c>
      <c r="C4087" t="inlineStr">
        <is>
          <t>20:29</t>
        </is>
      </c>
      <c r="D4087" t="inlineStr">
        <is>
          <t>n° 30 + n° 31</t>
        </is>
      </c>
      <c r="E4087" t="inlineStr">
        <is>
          <t>Menu Bourguignon</t>
        </is>
      </c>
      <c r="F4087" t="n">
        <v>34</v>
      </c>
      <c r="G4087" t="inlineStr">
        <is>
          <t>n° 30 : 0,50 + n° 31 : 0,50</t>
        </is>
      </c>
      <c r="H4087" t="n">
        <v>1</v>
      </c>
    </row>
    <row r="4088">
      <c r="A4088" t="inlineStr">
        <is>
          <t>2024-2025</t>
        </is>
      </c>
      <c r="B4088" t="inlineStr">
        <is>
          <t>2024-07-05</t>
        </is>
      </c>
      <c r="C4088" t="inlineStr">
        <is>
          <t>20:29</t>
        </is>
      </c>
      <c r="D4088" t="inlineStr">
        <is>
          <t>n° 30 + n° 31</t>
        </is>
      </c>
      <c r="E4088" t="inlineStr">
        <is>
          <t>FRELEE</t>
        </is>
      </c>
      <c r="F4088" t="n">
        <v>19.6</v>
      </c>
      <c r="G4088" t="inlineStr">
        <is>
          <t>n° 30 : 0,50 + n° 31 : 0,50</t>
        </is>
      </c>
      <c r="H4088" t="n">
        <v>1</v>
      </c>
    </row>
    <row r="4089">
      <c r="A4089" t="inlineStr">
        <is>
          <t>2024-2025</t>
        </is>
      </c>
      <c r="B4089" t="inlineStr">
        <is>
          <t>2024-07-05</t>
        </is>
      </c>
      <c r="C4089" t="inlineStr">
        <is>
          <t>20:29</t>
        </is>
      </c>
      <c r="D4089" t="inlineStr">
        <is>
          <t>n° 30 + n° 31</t>
        </is>
      </c>
      <c r="E4089" t="inlineStr">
        <is>
          <t>BARBEULENET</t>
        </is>
      </c>
      <c r="F4089" t="n">
        <v>17.4</v>
      </c>
      <c r="G4089" t="inlineStr">
        <is>
          <t>n° 30 : 0,50 + n° 31 : 0,50</t>
        </is>
      </c>
      <c r="H4089" t="n">
        <v>1</v>
      </c>
    </row>
    <row r="4090">
      <c r="A4090" t="inlineStr">
        <is>
          <t>2024-2025</t>
        </is>
      </c>
      <c r="B4090" t="inlineStr">
        <is>
          <t>2024-07-05</t>
        </is>
      </c>
      <c r="C4090" t="inlineStr">
        <is>
          <t>20:29</t>
        </is>
      </c>
      <c r="D4090" t="inlineStr">
        <is>
          <t>n° 30 + n° 31</t>
        </is>
      </c>
      <c r="E4090" t="inlineStr">
        <is>
          <t>TANTELIN</t>
        </is>
      </c>
      <c r="F4090" t="n">
        <v>17.4</v>
      </c>
      <c r="G4090" t="inlineStr">
        <is>
          <t>n° 30 : 0,50 + n° 31 : 0,50</t>
        </is>
      </c>
      <c r="H4090" t="n">
        <v>1</v>
      </c>
    </row>
    <row r="4091">
      <c r="A4091" t="inlineStr">
        <is>
          <t>2024-2025</t>
        </is>
      </c>
      <c r="B4091" t="inlineStr">
        <is>
          <t>2024-07-05</t>
        </is>
      </c>
      <c r="C4091" t="inlineStr">
        <is>
          <t>20:29</t>
        </is>
      </c>
      <c r="D4091" t="inlineStr">
        <is>
          <t>n° 30 + n° 31</t>
        </is>
      </c>
      <c r="E4091" t="inlineStr">
        <is>
          <t>Sprintz</t>
        </is>
      </c>
      <c r="F4091" t="n">
        <v>9</v>
      </c>
      <c r="G4091" t="inlineStr">
        <is>
          <t>n° 30 : 0,50 + n° 31 : 0,50</t>
        </is>
      </c>
      <c r="H4091" t="n">
        <v>1</v>
      </c>
    </row>
    <row r="4092">
      <c r="A4092" t="inlineStr">
        <is>
          <t>2024-2025</t>
        </is>
      </c>
      <c r="B4092" t="inlineStr">
        <is>
          <t>2024-07-05</t>
        </is>
      </c>
      <c r="C4092" t="inlineStr">
        <is>
          <t>20:29</t>
        </is>
      </c>
      <c r="D4092" t="inlineStr">
        <is>
          <t>n° 30 + n° 31</t>
        </is>
      </c>
      <c r="E4092" t="inlineStr">
        <is>
          <t>Pavlova</t>
        </is>
      </c>
      <c r="F4092" t="n">
        <v>8.9</v>
      </c>
      <c r="G4092" t="inlineStr">
        <is>
          <t>n° 30 : 0,50 + n° 31 : 0,50</t>
        </is>
      </c>
      <c r="H4092" t="n">
        <v>1</v>
      </c>
    </row>
    <row r="4093">
      <c r="A4093" t="inlineStr">
        <is>
          <t>2024-2025</t>
        </is>
      </c>
      <c r="B4093" t="inlineStr">
        <is>
          <t>2024-07-05</t>
        </is>
      </c>
      <c r="C4093" t="inlineStr">
        <is>
          <t>20:29</t>
        </is>
      </c>
      <c r="D4093" t="inlineStr">
        <is>
          <t>n° 30 + n° 31</t>
        </is>
      </c>
      <c r="E4093" t="inlineStr">
        <is>
          <t>Jamhon Persillé</t>
        </is>
      </c>
      <c r="F4093" t="n">
        <v>7.2</v>
      </c>
      <c r="G4093" t="inlineStr">
        <is>
          <t>n° 30 : 1,50 + n° 31 : 1,50</t>
        </is>
      </c>
      <c r="H4093" t="n">
        <v>3</v>
      </c>
    </row>
    <row r="4094">
      <c r="A4094" t="inlineStr">
        <is>
          <t>2024-2025</t>
        </is>
      </c>
      <c r="B4094" t="inlineStr">
        <is>
          <t>2024-07-05</t>
        </is>
      </c>
      <c r="C4094" t="inlineStr">
        <is>
          <t>20:29</t>
        </is>
      </c>
      <c r="D4094" t="inlineStr">
        <is>
          <t>n° 30 + n° 31</t>
        </is>
      </c>
      <c r="E4094" t="inlineStr">
        <is>
          <t>Œuf</t>
        </is>
      </c>
      <c r="F4094" t="n">
        <v>0.9</v>
      </c>
      <c r="G4094" t="inlineStr">
        <is>
          <t>n° 30 : 0,50 + n° 31 : 0,50</t>
        </is>
      </c>
      <c r="H4094" t="n">
        <v>1</v>
      </c>
    </row>
    <row r="4095">
      <c r="A4095" t="inlineStr">
        <is>
          <t>2024-2025</t>
        </is>
      </c>
      <c r="B4095" t="inlineStr">
        <is>
          <t>2024-07-07</t>
        </is>
      </c>
      <c r="C4095" t="inlineStr">
        <is>
          <t>12:20</t>
        </is>
      </c>
      <c r="D4095" t="inlineStr">
        <is>
          <t>n° 6 + n° 7</t>
        </is>
      </c>
      <c r="E4095" t="inlineStr">
        <is>
          <t>Beaujolais Moulin à</t>
        </is>
      </c>
      <c r="F4095" t="n">
        <v>7.6</v>
      </c>
      <c r="G4095" t="inlineStr">
        <is>
          <t>n° 6 : 0,50 + n° 7 : 0,50</t>
        </is>
      </c>
      <c r="H4095" t="n">
        <v>1</v>
      </c>
    </row>
    <row r="4096">
      <c r="A4096" t="inlineStr">
        <is>
          <t>2024-2025</t>
        </is>
      </c>
      <c r="B4096" t="inlineStr">
        <is>
          <t>2024-07-07</t>
        </is>
      </c>
      <c r="C4096" t="inlineStr">
        <is>
          <t>12:20</t>
        </is>
      </c>
      <c r="D4096" t="inlineStr">
        <is>
          <t>n° 6 + n° 7</t>
        </is>
      </c>
      <c r="E4096" t="inlineStr">
        <is>
          <t>Macvin du Jura</t>
        </is>
      </c>
      <c r="F4096" t="n">
        <v>5.9</v>
      </c>
      <c r="G4096" t="inlineStr">
        <is>
          <t>n° 6 : 0,50 + n° 7 : 0,50</t>
        </is>
      </c>
      <c r="H4096" t="n">
        <v>1</v>
      </c>
    </row>
    <row r="4097">
      <c r="A4097" t="inlineStr">
        <is>
          <t>2024-2025</t>
        </is>
      </c>
      <c r="B4097" t="inlineStr">
        <is>
          <t>2024-07-10</t>
        </is>
      </c>
      <c r="C4097" t="inlineStr">
        <is>
          <t>12:28</t>
        </is>
      </c>
      <c r="D4097" t="inlineStr">
        <is>
          <t>n° 3 + n° 4</t>
        </is>
      </c>
      <c r="E4097" t="inlineStr">
        <is>
          <t>VALENTINE</t>
        </is>
      </c>
      <c r="F4097" t="n">
        <v>11.1</v>
      </c>
      <c r="G4097" t="inlineStr">
        <is>
          <t>n° 3 : 0,50 + n° 4 : 0,50</t>
        </is>
      </c>
      <c r="H4097" t="n">
        <v>1</v>
      </c>
    </row>
    <row r="4098">
      <c r="A4098" t="inlineStr">
        <is>
          <t>2024-2025</t>
        </is>
      </c>
      <c r="B4098" t="inlineStr">
        <is>
          <t>2024-07-10</t>
        </is>
      </c>
      <c r="C4098" t="inlineStr">
        <is>
          <t>12:28</t>
        </is>
      </c>
      <c r="D4098" t="inlineStr">
        <is>
          <t>n° 3 + n° 4</t>
        </is>
      </c>
      <c r="E4098" t="inlineStr">
        <is>
          <t>PASSION</t>
        </is>
      </c>
      <c r="F4098" t="n">
        <v>7.3</v>
      </c>
      <c r="G4098" t="inlineStr">
        <is>
          <t>n° 3 : 0,50 + n° 4 : 0,50</t>
        </is>
      </c>
      <c r="H4098" t="n">
        <v>1</v>
      </c>
    </row>
    <row r="4099">
      <c r="A4099" t="inlineStr">
        <is>
          <t>2024-2025</t>
        </is>
      </c>
      <c r="B4099" t="inlineStr">
        <is>
          <t>2024-07-10</t>
        </is>
      </c>
      <c r="C4099" t="inlineStr">
        <is>
          <t>12:51</t>
        </is>
      </c>
      <c r="D4099" t="inlineStr">
        <is>
          <t>n° 8 + n° 9 + n° 11 + n° 12</t>
        </is>
      </c>
      <c r="E4099" t="inlineStr">
        <is>
          <t>TRUITE JURASSIENNE</t>
        </is>
      </c>
      <c r="F4099" t="n">
        <v>18.6</v>
      </c>
      <c r="G4099" t="inlineStr">
        <is>
          <t>n° 8 : 0,50 + n° 9 : 0,50</t>
        </is>
      </c>
      <c r="H4099" t="n">
        <v>1</v>
      </c>
    </row>
    <row r="4100">
      <c r="A4100" t="inlineStr">
        <is>
          <t>2024-2025</t>
        </is>
      </c>
      <c r="B4100" t="inlineStr">
        <is>
          <t>2024-07-10</t>
        </is>
      </c>
      <c r="C4100" t="inlineStr">
        <is>
          <t>12:51</t>
        </is>
      </c>
      <c r="D4100" t="inlineStr">
        <is>
          <t>n° 8 + n° 9 + n° 11 + n° 12</t>
        </is>
      </c>
      <c r="E4100" t="inlineStr">
        <is>
          <t>TANTELIN</t>
        </is>
      </c>
      <c r="F4100" t="n">
        <v>17.4</v>
      </c>
      <c r="G4100" t="inlineStr">
        <is>
          <t>n° 8 : 0,50 + n° 9 : 0,50</t>
        </is>
      </c>
      <c r="H4100" t="n">
        <v>1</v>
      </c>
    </row>
    <row r="4101">
      <c r="A4101" t="inlineStr">
        <is>
          <t>2024-2025</t>
        </is>
      </c>
      <c r="B4101" t="inlineStr">
        <is>
          <t>2024-07-10</t>
        </is>
      </c>
      <c r="C4101" t="inlineStr">
        <is>
          <t>12:51</t>
        </is>
      </c>
      <c r="D4101" t="inlineStr">
        <is>
          <t>n° 8 + n° 9 + n° 11 + n° 12</t>
        </is>
      </c>
      <c r="E4101" t="inlineStr">
        <is>
          <t>Pinte</t>
        </is>
      </c>
      <c r="F4101" t="n">
        <v>8</v>
      </c>
      <c r="G4101" t="inlineStr">
        <is>
          <t>n° 11 : 0,50 + n° 12 : 0,50</t>
        </is>
      </c>
      <c r="H4101" t="n">
        <v>1</v>
      </c>
    </row>
    <row r="4102">
      <c r="A4102" t="inlineStr">
        <is>
          <t>2024-2025</t>
        </is>
      </c>
      <c r="B4102" t="inlineStr">
        <is>
          <t>2024-07-10</t>
        </is>
      </c>
      <c r="C4102" t="inlineStr">
        <is>
          <t>12:51</t>
        </is>
      </c>
      <c r="D4102" t="inlineStr">
        <is>
          <t>n° 8 + n° 9 + n° 11 + n° 12</t>
        </is>
      </c>
      <c r="E4102" t="inlineStr">
        <is>
          <t>VERRE ROSE</t>
        </is>
      </c>
      <c r="F4102" t="n">
        <v>3.9</v>
      </c>
      <c r="G4102" t="inlineStr">
        <is>
          <t>n° 11 : 0,50 + n° 12 : 0,50</t>
        </is>
      </c>
      <c r="H4102" t="n">
        <v>1</v>
      </c>
    </row>
    <row r="4103">
      <c r="A4103" t="inlineStr">
        <is>
          <t>2024-2025</t>
        </is>
      </c>
      <c r="B4103" t="inlineStr">
        <is>
          <t>2024-07-10</t>
        </is>
      </c>
      <c r="C4103" t="inlineStr">
        <is>
          <t>12:51</t>
        </is>
      </c>
      <c r="D4103" t="inlineStr">
        <is>
          <t>n° 8 + n° 9 + n° 11 + n° 12</t>
        </is>
      </c>
      <c r="E4103" t="inlineStr">
        <is>
          <t>Expresso</t>
        </is>
      </c>
      <c r="F4103" t="n">
        <v>2.2</v>
      </c>
      <c r="G4103" t="inlineStr">
        <is>
          <t>n° 8 : 0,50 + n° 9 : 0,50</t>
        </is>
      </c>
      <c r="H4103" t="n">
        <v>1</v>
      </c>
    </row>
    <row r="4104">
      <c r="A4104" t="inlineStr">
        <is>
          <t>2024-2025</t>
        </is>
      </c>
      <c r="B4104" t="inlineStr">
        <is>
          <t>2024-07-10</t>
        </is>
      </c>
      <c r="C4104" t="inlineStr">
        <is>
          <t>19:50</t>
        </is>
      </c>
      <c r="D4104" t="inlineStr">
        <is>
          <t>n° 24 + n° 25</t>
        </is>
      </c>
      <c r="E4104" t="inlineStr">
        <is>
          <t>Arbois Chardonnay Le</t>
        </is>
      </c>
      <c r="F4104" t="n">
        <v>29</v>
      </c>
      <c r="G4104" t="inlineStr">
        <is>
          <t>n° 24 : 0,50 + n° 25 : 0,50</t>
        </is>
      </c>
      <c r="H4104" t="n">
        <v>1</v>
      </c>
    </row>
    <row r="4105">
      <c r="A4105" t="inlineStr">
        <is>
          <t>2024-2025</t>
        </is>
      </c>
      <c r="B4105" t="inlineStr">
        <is>
          <t>2024-07-10</t>
        </is>
      </c>
      <c r="C4105" t="inlineStr">
        <is>
          <t>19:50</t>
        </is>
      </c>
      <c r="D4105" t="inlineStr">
        <is>
          <t>n° 24 + n° 25</t>
        </is>
      </c>
      <c r="E4105" t="inlineStr">
        <is>
          <t>MORTEAU GRILLEE</t>
        </is>
      </c>
      <c r="F4105" t="n">
        <v>18.6</v>
      </c>
      <c r="G4105" t="inlineStr">
        <is>
          <t>n° 24 : 0,50 + n° 25 : 0,50</t>
        </is>
      </c>
      <c r="H4105" t="n">
        <v>1</v>
      </c>
    </row>
    <row r="4106">
      <c r="A4106" t="inlineStr">
        <is>
          <t>2024-2025</t>
        </is>
      </c>
      <c r="B4106" t="inlineStr">
        <is>
          <t>2024-07-10</t>
        </is>
      </c>
      <c r="C4106" t="inlineStr">
        <is>
          <t>19:50</t>
        </is>
      </c>
      <c r="D4106" t="inlineStr">
        <is>
          <t>n° 24 + n° 25</t>
        </is>
      </c>
      <c r="E4106" t="inlineStr">
        <is>
          <t>TRUITE JURASSIENNE</t>
        </is>
      </c>
      <c r="F4106" t="n">
        <v>18.6</v>
      </c>
      <c r="G4106" t="inlineStr">
        <is>
          <t>n° 24 : 0,50 + n° 25 : 0,50</t>
        </is>
      </c>
      <c r="H4106" t="n">
        <v>1</v>
      </c>
    </row>
    <row r="4107">
      <c r="A4107" t="inlineStr">
        <is>
          <t>2024-2025</t>
        </is>
      </c>
      <c r="B4107" t="inlineStr">
        <is>
          <t>2024-07-10</t>
        </is>
      </c>
      <c r="C4107" t="inlineStr">
        <is>
          <t>19:50</t>
        </is>
      </c>
      <c r="D4107" t="inlineStr">
        <is>
          <t>n° 24 + n° 25</t>
        </is>
      </c>
      <c r="E4107" t="inlineStr">
        <is>
          <t>TANTE ARIE</t>
        </is>
      </c>
      <c r="F4107" t="n">
        <v>11.9</v>
      </c>
      <c r="G4107" t="inlineStr">
        <is>
          <t>n° 24 : 0,50 + n° 25 : 0,50</t>
        </is>
      </c>
      <c r="H4107" t="n">
        <v>1</v>
      </c>
    </row>
    <row r="4108">
      <c r="A4108" t="inlineStr">
        <is>
          <t>2024-2025</t>
        </is>
      </c>
      <c r="B4108" t="inlineStr">
        <is>
          <t>2024-07-10</t>
        </is>
      </c>
      <c r="C4108" t="inlineStr">
        <is>
          <t>19:50</t>
        </is>
      </c>
      <c r="D4108" t="inlineStr">
        <is>
          <t>n° 24 + n° 25</t>
        </is>
      </c>
      <c r="E4108" t="inlineStr">
        <is>
          <t>Sprintz</t>
        </is>
      </c>
      <c r="F4108" t="n">
        <v>9</v>
      </c>
      <c r="G4108" t="inlineStr">
        <is>
          <t>n° 24 : 1,50 + n° 25 : 1,50</t>
        </is>
      </c>
      <c r="H4108" t="n">
        <v>3</v>
      </c>
    </row>
    <row r="4109">
      <c r="A4109" t="inlineStr">
        <is>
          <t>2024-2025</t>
        </is>
      </c>
      <c r="B4109" t="inlineStr">
        <is>
          <t>2024-07-10</t>
        </is>
      </c>
      <c r="C4109" t="inlineStr">
        <is>
          <t>19:50</t>
        </is>
      </c>
      <c r="D4109" t="inlineStr">
        <is>
          <t>n° 24 + n° 25</t>
        </is>
      </c>
      <c r="E4109" t="inlineStr">
        <is>
          <t>Baba</t>
        </is>
      </c>
      <c r="F4109" t="n">
        <v>8.9</v>
      </c>
      <c r="G4109" t="inlineStr">
        <is>
          <t>n° 24 : 0,50 + n° 25 : 0,50</t>
        </is>
      </c>
      <c r="H4109" t="n">
        <v>1</v>
      </c>
    </row>
    <row r="4110">
      <c r="A4110" t="inlineStr">
        <is>
          <t>2024-2025</t>
        </is>
      </c>
      <c r="B4110" t="inlineStr">
        <is>
          <t>2024-07-10</t>
        </is>
      </c>
      <c r="C4110" t="inlineStr">
        <is>
          <t>19:50</t>
        </is>
      </c>
      <c r="D4110" t="inlineStr">
        <is>
          <t>n° 24 + n° 25</t>
        </is>
      </c>
      <c r="E4110" t="inlineStr">
        <is>
          <t>Pavlova</t>
        </is>
      </c>
      <c r="F4110" t="n">
        <v>8.9</v>
      </c>
      <c r="G4110" t="inlineStr">
        <is>
          <t>n° 24 : 0,50 + n° 25 : 0,50</t>
        </is>
      </c>
      <c r="H4110" t="n">
        <v>1</v>
      </c>
    </row>
    <row r="4111">
      <c r="A4111" t="inlineStr">
        <is>
          <t>2024-2025</t>
        </is>
      </c>
      <c r="B4111" t="inlineStr">
        <is>
          <t>2024-07-10</t>
        </is>
      </c>
      <c r="C4111" t="inlineStr">
        <is>
          <t>19:50</t>
        </is>
      </c>
      <c r="D4111" t="inlineStr">
        <is>
          <t>n° 24 + n° 25</t>
        </is>
      </c>
      <c r="E4111" t="inlineStr">
        <is>
          <t>KITTYKIR</t>
        </is>
      </c>
      <c r="F4111" t="n">
        <v>5.2</v>
      </c>
      <c r="G4111" t="inlineStr">
        <is>
          <t>n° 24 : 0,50 + n° 25 : 0,50</t>
        </is>
      </c>
      <c r="H4111" t="n">
        <v>1</v>
      </c>
    </row>
    <row r="4112">
      <c r="A4112" t="inlineStr">
        <is>
          <t>2024-2025</t>
        </is>
      </c>
      <c r="B4112" t="inlineStr">
        <is>
          <t>2024-07-10</t>
        </is>
      </c>
      <c r="C4112" t="inlineStr">
        <is>
          <t>19:50</t>
        </is>
      </c>
      <c r="D4112" t="inlineStr">
        <is>
          <t>n° 24 + n° 25</t>
        </is>
      </c>
      <c r="E4112" t="inlineStr">
        <is>
          <t>Crêpe Nutella</t>
        </is>
      </c>
      <c r="F4112" t="n">
        <v>4.9</v>
      </c>
      <c r="G4112" t="inlineStr">
        <is>
          <t>n° 24 : 0,50 + n° 25 : 0,50</t>
        </is>
      </c>
      <c r="H4112" t="n">
        <v>1</v>
      </c>
    </row>
    <row r="4113">
      <c r="A4113" t="inlineStr">
        <is>
          <t>2024-2025</t>
        </is>
      </c>
      <c r="B4113" t="inlineStr">
        <is>
          <t>2024-07-10</t>
        </is>
      </c>
      <c r="C4113" t="inlineStr">
        <is>
          <t>19:50</t>
        </is>
      </c>
      <c r="D4113" t="inlineStr">
        <is>
          <t>n° 24 + n° 25</t>
        </is>
      </c>
      <c r="E4113" t="inlineStr">
        <is>
          <t>Expresso</t>
        </is>
      </c>
      <c r="F4113" t="n">
        <v>2.2</v>
      </c>
      <c r="G4113" t="inlineStr">
        <is>
          <t>n° 24 : 1,50 + n° 25 : 1,50</t>
        </is>
      </c>
      <c r="H4113" t="n">
        <v>3</v>
      </c>
    </row>
    <row r="4114">
      <c r="A4114" t="inlineStr">
        <is>
          <t>2024-2025</t>
        </is>
      </c>
      <c r="B4114" t="inlineStr">
        <is>
          <t>2024-07-10</t>
        </is>
      </c>
      <c r="C4114" t="inlineStr">
        <is>
          <t>20:16</t>
        </is>
      </c>
      <c r="D4114" t="inlineStr">
        <is>
          <t>n° 29 + n° 30 + n° 31 + n° 32</t>
        </is>
      </c>
      <c r="E4114" t="inlineStr">
        <is>
          <t>Crément du Jura</t>
        </is>
      </c>
      <c r="F4114" t="n">
        <v>29</v>
      </c>
      <c r="G4114" t="inlineStr">
        <is>
          <t>n° 29 : 0,50 + n° 30 : 0,50</t>
        </is>
      </c>
      <c r="H4114" t="n">
        <v>1</v>
      </c>
    </row>
    <row r="4115">
      <c r="A4115" t="inlineStr">
        <is>
          <t>2024-2025</t>
        </is>
      </c>
      <c r="B4115" t="inlineStr">
        <is>
          <t>2024-07-10</t>
        </is>
      </c>
      <c r="C4115" t="inlineStr">
        <is>
          <t>20:16</t>
        </is>
      </c>
      <c r="D4115" t="inlineStr">
        <is>
          <t>n° 29 + n° 30 + n° 31 + n° 32</t>
        </is>
      </c>
      <c r="E4115" t="inlineStr">
        <is>
          <t>ASSIETTE PERE GREGOI</t>
        </is>
      </c>
      <c r="F4115" t="n">
        <v>18.6</v>
      </c>
      <c r="G4115" t="inlineStr">
        <is>
          <t>n° 31 : 0,50 + n° 32 : 0,50</t>
        </is>
      </c>
      <c r="H4115" t="n">
        <v>1</v>
      </c>
    </row>
    <row r="4116">
      <c r="A4116" t="inlineStr">
        <is>
          <t>2024-2025</t>
        </is>
      </c>
      <c r="B4116" t="inlineStr">
        <is>
          <t>2024-07-10</t>
        </is>
      </c>
      <c r="C4116" t="inlineStr">
        <is>
          <t>20:16</t>
        </is>
      </c>
      <c r="D4116" t="inlineStr">
        <is>
          <t>n° 29 + n° 30 + n° 31 + n° 32</t>
        </is>
      </c>
      <c r="E4116" t="inlineStr">
        <is>
          <t>BARBEULENET</t>
        </is>
      </c>
      <c r="F4116" t="n">
        <v>17.4</v>
      </c>
      <c r="G4116" t="inlineStr">
        <is>
          <t>n° 29 : 0,50 + n° 30 : 0,50</t>
        </is>
      </c>
      <c r="H4116" t="n">
        <v>1</v>
      </c>
    </row>
    <row r="4117">
      <c r="A4117" t="inlineStr">
        <is>
          <t>2024-2025</t>
        </is>
      </c>
      <c r="B4117" t="inlineStr">
        <is>
          <t>2024-07-10</t>
        </is>
      </c>
      <c r="C4117" t="inlineStr">
        <is>
          <t>20:16</t>
        </is>
      </c>
      <c r="D4117" t="inlineStr">
        <is>
          <t>n° 29 + n° 30 + n° 31 + n° 32</t>
        </is>
      </c>
      <c r="E4117" t="inlineStr">
        <is>
          <t>Galette nature</t>
        </is>
      </c>
      <c r="F4117" t="n">
        <v>3.9</v>
      </c>
      <c r="G4117" t="inlineStr">
        <is>
          <t>n° 29 : 0,50 + n° 30 : 0,50 + n° 31 : 0,50 + n° 32 : 0,50</t>
        </is>
      </c>
      <c r="H4117" t="n">
        <v>2</v>
      </c>
    </row>
    <row r="4118">
      <c r="A4118" t="inlineStr">
        <is>
          <t>2024-2025</t>
        </is>
      </c>
      <c r="B4118" t="inlineStr">
        <is>
          <t>2024-07-10</t>
        </is>
      </c>
      <c r="C4118" t="inlineStr">
        <is>
          <t>20:16</t>
        </is>
      </c>
      <c r="D4118" t="inlineStr">
        <is>
          <t>n° 29 + n° 30 + n° 31 + n° 32</t>
        </is>
      </c>
      <c r="E4118" t="inlineStr">
        <is>
          <t>Fromage de Chèvre</t>
        </is>
      </c>
      <c r="F4118" t="n">
        <v>3.9</v>
      </c>
      <c r="G4118" t="inlineStr">
        <is>
          <t>n° 31 : 0,50 + n° 32 : 0,50</t>
        </is>
      </c>
      <c r="H4118" t="n">
        <v>1</v>
      </c>
    </row>
    <row r="4119">
      <c r="A4119" t="inlineStr">
        <is>
          <t>2024-2025</t>
        </is>
      </c>
      <c r="B4119" t="inlineStr">
        <is>
          <t>2024-07-10</t>
        </is>
      </c>
      <c r="C4119" t="inlineStr">
        <is>
          <t>20:16</t>
        </is>
      </c>
      <c r="D4119" t="inlineStr">
        <is>
          <t>n° 29 + n° 30 + n° 31 + n° 32</t>
        </is>
      </c>
      <c r="E4119" t="inlineStr">
        <is>
          <t>Jambon Blanc</t>
        </is>
      </c>
      <c r="F4119" t="n">
        <v>3.8</v>
      </c>
      <c r="G4119" t="inlineStr">
        <is>
          <t>n° 31 : 0,50 + n° 32 : 0,50</t>
        </is>
      </c>
      <c r="H4119" t="n">
        <v>1</v>
      </c>
    </row>
    <row r="4120">
      <c r="A4120" t="inlineStr">
        <is>
          <t>2024-2025</t>
        </is>
      </c>
      <c r="B4120" t="inlineStr">
        <is>
          <t>2024-07-10</t>
        </is>
      </c>
      <c r="C4120" t="inlineStr">
        <is>
          <t>20:16</t>
        </is>
      </c>
      <c r="D4120" t="inlineStr">
        <is>
          <t>n° 29 + n° 30 + n° 31 + n° 32</t>
        </is>
      </c>
      <c r="E4120" t="inlineStr">
        <is>
          <t>Ratatouille</t>
        </is>
      </c>
      <c r="F4120" t="n">
        <v>3.2</v>
      </c>
      <c r="G4120" t="inlineStr">
        <is>
          <t>n° 29 : 0,50 + n° 30 : 0,50</t>
        </is>
      </c>
      <c r="H4120" t="n">
        <v>1</v>
      </c>
    </row>
    <row r="4121">
      <c r="A4121" t="inlineStr">
        <is>
          <t>2024-2025</t>
        </is>
      </c>
      <c r="B4121" t="inlineStr">
        <is>
          <t>2024-07-10</t>
        </is>
      </c>
      <c r="C4121" t="inlineStr">
        <is>
          <t>20:16</t>
        </is>
      </c>
      <c r="D4121" t="inlineStr">
        <is>
          <t>n° 29 + n° 30 + n° 31 + n° 32</t>
        </is>
      </c>
      <c r="E4121" t="inlineStr">
        <is>
          <t>Pommes de Terre</t>
        </is>
      </c>
      <c r="F4121" t="n">
        <v>3.2</v>
      </c>
      <c r="G4121" t="inlineStr">
        <is>
          <t>n° 29 : 0,50 + n° 30 : 0,50 + n° 31 : 0,50 + n° 32 : 0,50</t>
        </is>
      </c>
      <c r="H4121" t="n">
        <v>2</v>
      </c>
    </row>
    <row r="4122">
      <c r="A4122" t="inlineStr">
        <is>
          <t>2024-2025</t>
        </is>
      </c>
      <c r="B4122" t="inlineStr">
        <is>
          <t>2024-07-10</t>
        </is>
      </c>
      <c r="C4122" t="inlineStr">
        <is>
          <t>20:16</t>
        </is>
      </c>
      <c r="D4122" t="inlineStr">
        <is>
          <t>n° 29 + n° 30 + n° 31 + n° 32</t>
        </is>
      </c>
      <c r="E4122" t="inlineStr">
        <is>
          <t>Salade Verte</t>
        </is>
      </c>
      <c r="F4122" t="n">
        <v>2.9</v>
      </c>
      <c r="G4122" t="inlineStr">
        <is>
          <t>n° 29 : 0,50 + n° 30 : 0,50</t>
        </is>
      </c>
      <c r="H4122" t="n">
        <v>1</v>
      </c>
    </row>
    <row r="4123">
      <c r="A4123" t="inlineStr">
        <is>
          <t>2024-2025</t>
        </is>
      </c>
      <c r="B4123" t="inlineStr">
        <is>
          <t>2024-07-10</t>
        </is>
      </c>
      <c r="C4123" t="inlineStr">
        <is>
          <t>20:16</t>
        </is>
      </c>
      <c r="D4123" t="inlineStr">
        <is>
          <t>n° 29 + n° 30 + n° 31 + n° 32</t>
        </is>
      </c>
      <c r="E4123" t="inlineStr">
        <is>
          <t>ECLATS NOISETTES</t>
        </is>
      </c>
      <c r="F4123" t="n">
        <v>1.4</v>
      </c>
      <c r="G4123" t="inlineStr">
        <is>
          <t>n° 29 : 0,50 + n° 30 : 0,50</t>
        </is>
      </c>
      <c r="H4123" t="n">
        <v>1</v>
      </c>
    </row>
    <row r="4124">
      <c r="A4124" t="inlineStr">
        <is>
          <t>2024-2025</t>
        </is>
      </c>
      <c r="B4124" t="inlineStr">
        <is>
          <t>2024-07-10</t>
        </is>
      </c>
      <c r="C4124" t="inlineStr">
        <is>
          <t>20:16</t>
        </is>
      </c>
      <c r="D4124" t="inlineStr">
        <is>
          <t>n° 29 + n° 30 + n° 31 + n° 32</t>
        </is>
      </c>
      <c r="E4124" t="inlineStr">
        <is>
          <t>Crème Fraîche</t>
        </is>
      </c>
      <c r="F4124" t="n">
        <v>1.4</v>
      </c>
      <c r="G4124" t="inlineStr">
        <is>
          <t>n° 31 : 0,50 + n° 32 : 0,50</t>
        </is>
      </c>
      <c r="H4124" t="n">
        <v>1</v>
      </c>
    </row>
    <row r="4125">
      <c r="A4125" t="inlineStr">
        <is>
          <t>2024-2025</t>
        </is>
      </c>
      <c r="B4125" t="inlineStr">
        <is>
          <t>2024-07-10</t>
        </is>
      </c>
      <c r="C4125" t="inlineStr">
        <is>
          <t>20:16</t>
        </is>
      </c>
      <c r="D4125" t="inlineStr">
        <is>
          <t>n° 29 + n° 30 + n° 31 + n° 32</t>
        </is>
      </c>
      <c r="E4125" t="inlineStr">
        <is>
          <t>Œuf</t>
        </is>
      </c>
      <c r="F4125" t="n">
        <v>0.9</v>
      </c>
      <c r="G4125" t="inlineStr">
        <is>
          <t>n° 29 : 0,50 + n° 30 : 0,50</t>
        </is>
      </c>
      <c r="H4125" t="n">
        <v>1</v>
      </c>
    </row>
    <row r="4126">
      <c r="A4126" t="inlineStr">
        <is>
          <t>2024-2025</t>
        </is>
      </c>
      <c r="B4126" t="inlineStr">
        <is>
          <t>2024-07-11</t>
        </is>
      </c>
      <c r="C4126" t="inlineStr">
        <is>
          <t>20:30</t>
        </is>
      </c>
      <c r="D4126" t="inlineStr">
        <is>
          <t>n° 29 + n° 30</t>
        </is>
      </c>
      <c r="E4126" t="inlineStr">
        <is>
          <t>Entrecôte grillée</t>
        </is>
      </c>
      <c r="F4126" t="n">
        <v>19.9</v>
      </c>
      <c r="G4126" t="inlineStr">
        <is>
          <t>n° 29 : 0,50 + n° 30 : 0,50</t>
        </is>
      </c>
      <c r="H4126" t="n">
        <v>1</v>
      </c>
    </row>
    <row r="4127">
      <c r="A4127" t="inlineStr">
        <is>
          <t>2024-2025</t>
        </is>
      </c>
      <c r="B4127" t="inlineStr">
        <is>
          <t>2024-07-11</t>
        </is>
      </c>
      <c r="C4127" t="inlineStr">
        <is>
          <t>20:30</t>
        </is>
      </c>
      <c r="D4127" t="inlineStr">
        <is>
          <t>n° 29 + n° 30</t>
        </is>
      </c>
      <c r="E4127" t="inlineStr">
        <is>
          <t>MORTEAU GRILLEE</t>
        </is>
      </c>
      <c r="F4127" t="n">
        <v>18.6</v>
      </c>
      <c r="G4127" t="inlineStr">
        <is>
          <t>n° 29 : 0,50 + n° 30 : 0,50</t>
        </is>
      </c>
      <c r="H4127" t="n">
        <v>1</v>
      </c>
    </row>
    <row r="4128">
      <c r="A4128" t="inlineStr">
        <is>
          <t>2024-2025</t>
        </is>
      </c>
      <c r="B4128" t="inlineStr">
        <is>
          <t>2024-07-11</t>
        </is>
      </c>
      <c r="C4128" t="inlineStr">
        <is>
          <t>20:30</t>
        </is>
      </c>
      <c r="D4128" t="inlineStr">
        <is>
          <t>n° 29 + n° 30</t>
        </is>
      </c>
      <c r="E4128" t="inlineStr">
        <is>
          <t>Crêpe Nutella</t>
        </is>
      </c>
      <c r="F4128" t="n">
        <v>4.9</v>
      </c>
      <c r="G4128" t="inlineStr">
        <is>
          <t>n° 29 : 0,50 + n° 30 : 0,50</t>
        </is>
      </c>
      <c r="H4128" t="n">
        <v>1</v>
      </c>
    </row>
    <row r="4129">
      <c r="A4129" t="inlineStr">
        <is>
          <t>2024-2025</t>
        </is>
      </c>
      <c r="B4129" t="inlineStr">
        <is>
          <t>2024-07-11</t>
        </is>
      </c>
      <c r="C4129" t="inlineStr">
        <is>
          <t>20:30</t>
        </is>
      </c>
      <c r="D4129" t="inlineStr">
        <is>
          <t>n° 29 + n° 30</t>
        </is>
      </c>
      <c r="E4129" t="inlineStr">
        <is>
          <t>Jus de Fruit</t>
        </is>
      </c>
      <c r="F4129" t="n">
        <v>4.2</v>
      </c>
      <c r="G4129" t="inlineStr">
        <is>
          <t>n° 29 : 0,50 + n° 30 : 0,50</t>
        </is>
      </c>
      <c r="H4129" t="n">
        <v>1</v>
      </c>
    </row>
    <row r="4130">
      <c r="A4130" t="inlineStr">
        <is>
          <t>2024-2025</t>
        </is>
      </c>
      <c r="B4130" t="inlineStr">
        <is>
          <t>2024-07-11</t>
        </is>
      </c>
      <c r="C4130" t="inlineStr">
        <is>
          <t>20:30</t>
        </is>
      </c>
      <c r="D4130" t="inlineStr">
        <is>
          <t>n° 29 + n° 30</t>
        </is>
      </c>
      <c r="E4130" t="inlineStr">
        <is>
          <t>Limonade (25cl)</t>
        </is>
      </c>
      <c r="F4130" t="n">
        <v>3.9</v>
      </c>
      <c r="G4130" t="inlineStr">
        <is>
          <t>n° 29 : 0,50 + n° 30 : 0,50</t>
        </is>
      </c>
      <c r="H4130" t="n">
        <v>1</v>
      </c>
    </row>
    <row r="4131">
      <c r="A4131" t="inlineStr">
        <is>
          <t>2024-2025</t>
        </is>
      </c>
      <c r="B4131" t="inlineStr">
        <is>
          <t>2024-07-11</t>
        </is>
      </c>
      <c r="C4131" t="inlineStr">
        <is>
          <t>20:30</t>
        </is>
      </c>
      <c r="D4131" t="inlineStr">
        <is>
          <t>n° 29 + n° 30</t>
        </is>
      </c>
      <c r="E4131" t="inlineStr">
        <is>
          <t>Crêpe au sucre</t>
        </is>
      </c>
      <c r="F4131" t="n">
        <v>3.9</v>
      </c>
      <c r="G4131" t="inlineStr">
        <is>
          <t>n° 29 : 0,50 + n° 30 : 0,50</t>
        </is>
      </c>
      <c r="H4131" t="n">
        <v>1</v>
      </c>
    </row>
    <row r="4132">
      <c r="A4132" t="inlineStr">
        <is>
          <t>2024-2025</t>
        </is>
      </c>
      <c r="B4132" t="inlineStr">
        <is>
          <t>2024-07-12</t>
        </is>
      </c>
      <c r="C4132" t="inlineStr">
        <is>
          <t>20:19</t>
        </is>
      </c>
      <c r="D4132" t="inlineStr">
        <is>
          <t>n° 25 + n° 26</t>
        </is>
      </c>
      <c r="E4132" t="inlineStr">
        <is>
          <t>PiCHET TROUSSEAU</t>
        </is>
      </c>
      <c r="F4132" t="n">
        <v>28</v>
      </c>
      <c r="G4132" t="inlineStr">
        <is>
          <t>n° 25 : 0,50 + n° 26 : 0,50</t>
        </is>
      </c>
      <c r="H4132" t="n">
        <v>1</v>
      </c>
    </row>
    <row r="4133">
      <c r="A4133" t="inlineStr">
        <is>
          <t>2024-2025</t>
        </is>
      </c>
      <c r="B4133" t="inlineStr">
        <is>
          <t>2024-07-12</t>
        </is>
      </c>
      <c r="C4133" t="inlineStr">
        <is>
          <t>20:19</t>
        </is>
      </c>
      <c r="D4133" t="inlineStr">
        <is>
          <t>n° 25 + n° 26</t>
        </is>
      </c>
      <c r="E4133" t="inlineStr">
        <is>
          <t>Sprintz</t>
        </is>
      </c>
      <c r="F4133" t="n">
        <v>9</v>
      </c>
      <c r="G4133" t="inlineStr">
        <is>
          <t>n° 25 : 0,50 + n° 26 : 0,50</t>
        </is>
      </c>
      <c r="H4133" t="n">
        <v>1</v>
      </c>
    </row>
    <row r="4134">
      <c r="A4134" t="inlineStr">
        <is>
          <t>2024-2025</t>
        </is>
      </c>
      <c r="B4134" t="inlineStr">
        <is>
          <t>2024-07-12</t>
        </is>
      </c>
      <c r="C4134" t="inlineStr">
        <is>
          <t>20:19</t>
        </is>
      </c>
      <c r="D4134" t="inlineStr">
        <is>
          <t>n° 25 + n° 26</t>
        </is>
      </c>
      <c r="E4134" t="inlineStr">
        <is>
          <t>Pinte</t>
        </is>
      </c>
      <c r="F4134" t="n">
        <v>8</v>
      </c>
      <c r="G4134" t="inlineStr">
        <is>
          <t>n° 25 : 0,50 + n° 26 : 0,50</t>
        </is>
      </c>
      <c r="H4134" t="n">
        <v>1</v>
      </c>
    </row>
    <row r="4135">
      <c r="A4135" t="inlineStr">
        <is>
          <t>2024-2025</t>
        </is>
      </c>
      <c r="B4135" t="inlineStr">
        <is>
          <t>2024-07-12</t>
        </is>
      </c>
      <c r="C4135" t="inlineStr">
        <is>
          <t>20:19</t>
        </is>
      </c>
      <c r="D4135" t="inlineStr">
        <is>
          <t>n° 25 + n° 26</t>
        </is>
      </c>
      <c r="E4135" t="inlineStr">
        <is>
          <t>Chat perché</t>
        </is>
      </c>
      <c r="F4135" t="n">
        <v>5.9</v>
      </c>
      <c r="G4135" t="inlineStr">
        <is>
          <t>n° 25 : 0,50 + n° 26 : 0,50</t>
        </is>
      </c>
      <c r="H4135" t="n">
        <v>1</v>
      </c>
    </row>
    <row r="4136">
      <c r="A4136" t="inlineStr">
        <is>
          <t>2024-2025</t>
        </is>
      </c>
      <c r="B4136" t="inlineStr">
        <is>
          <t>2024-07-12</t>
        </is>
      </c>
      <c r="C4136" t="inlineStr">
        <is>
          <t>20:19</t>
        </is>
      </c>
      <c r="D4136" t="inlineStr">
        <is>
          <t>n° 25 + n° 26</t>
        </is>
      </c>
      <c r="E4136" t="inlineStr">
        <is>
          <t>La Vouivre</t>
        </is>
      </c>
      <c r="F4136" t="n">
        <v>5.9</v>
      </c>
      <c r="G4136" t="inlineStr">
        <is>
          <t>n° 25 : 0,50 + n° 26 : 0,50</t>
        </is>
      </c>
      <c r="H4136" t="n">
        <v>1</v>
      </c>
    </row>
    <row r="4137">
      <c r="A4137" t="inlineStr">
        <is>
          <t>2024-2025</t>
        </is>
      </c>
      <c r="B4137" t="inlineStr">
        <is>
          <t>2024-07-13</t>
        </is>
      </c>
      <c r="C4137" t="inlineStr">
        <is>
          <t>13:04</t>
        </is>
      </c>
      <c r="D4137" t="inlineStr">
        <is>
          <t>n° 10 + n° 11 + n° 14 + n° 15</t>
        </is>
      </c>
      <c r="E4137" t="inlineStr">
        <is>
          <t>Poulet aux Morilles</t>
        </is>
      </c>
      <c r="F4137" t="n">
        <v>28.6</v>
      </c>
      <c r="G4137" t="inlineStr">
        <is>
          <t>n° 14 : 0,50 + n° 15 : 0,50</t>
        </is>
      </c>
      <c r="H4137" t="n">
        <v>1</v>
      </c>
    </row>
    <row r="4138">
      <c r="A4138" t="inlineStr">
        <is>
          <t>2024-2025</t>
        </is>
      </c>
      <c r="B4138" t="inlineStr">
        <is>
          <t>2024-07-13</t>
        </is>
      </c>
      <c r="C4138" t="inlineStr">
        <is>
          <t>13:04</t>
        </is>
      </c>
      <c r="D4138" t="inlineStr">
        <is>
          <t>n° 10 + n° 11 + n° 14 + n° 15</t>
        </is>
      </c>
      <c r="E4138" t="inlineStr">
        <is>
          <t>BURGER COMTOIS</t>
        </is>
      </c>
      <c r="F4138" t="n">
        <v>19</v>
      </c>
      <c r="G4138" t="inlineStr">
        <is>
          <t>n° 14 : 0,50 + n° 15 : 0,50</t>
        </is>
      </c>
      <c r="H4138" t="n">
        <v>1</v>
      </c>
    </row>
    <row r="4139">
      <c r="A4139" t="inlineStr">
        <is>
          <t>2024-2025</t>
        </is>
      </c>
      <c r="B4139" t="inlineStr">
        <is>
          <t>2024-07-13</t>
        </is>
      </c>
      <c r="C4139" t="inlineStr">
        <is>
          <t>13:04</t>
        </is>
      </c>
      <c r="D4139" t="inlineStr">
        <is>
          <t>n° 10 + n° 11 + n° 14 + n° 15</t>
        </is>
      </c>
      <c r="E4139" t="inlineStr">
        <is>
          <t>TRUITE JURASSIENNE</t>
        </is>
      </c>
      <c r="F4139" t="n">
        <v>18.6</v>
      </c>
      <c r="G4139" t="inlineStr">
        <is>
          <t>n° 14 : 0,50 + n° 15 : 0,50</t>
        </is>
      </c>
      <c r="H4139" t="n">
        <v>1</v>
      </c>
    </row>
    <row r="4140">
      <c r="A4140" t="inlineStr">
        <is>
          <t>2024-2025</t>
        </is>
      </c>
      <c r="B4140" t="inlineStr">
        <is>
          <t>2024-07-13</t>
        </is>
      </c>
      <c r="C4140" t="inlineStr">
        <is>
          <t>13:04</t>
        </is>
      </c>
      <c r="D4140" t="inlineStr">
        <is>
          <t>n° 10 + n° 11 + n° 14 + n° 15</t>
        </is>
      </c>
      <c r="E4140" t="inlineStr">
        <is>
          <t>CAMEMBERT ROTI</t>
        </is>
      </c>
      <c r="F4140" t="n">
        <v>18.6</v>
      </c>
      <c r="G4140" t="inlineStr">
        <is>
          <t>n° 14 : 0,50 + n° 15 : 0,50</t>
        </is>
      </c>
      <c r="H4140" t="n">
        <v>1</v>
      </c>
    </row>
    <row r="4141">
      <c r="A4141" t="inlineStr">
        <is>
          <t>2024-2025</t>
        </is>
      </c>
      <c r="B4141" t="inlineStr">
        <is>
          <t>2024-07-13</t>
        </is>
      </c>
      <c r="C4141" t="inlineStr">
        <is>
          <t>13:04</t>
        </is>
      </c>
      <c r="D4141" t="inlineStr">
        <is>
          <t>n° 10 + n° 11 + n° 14 + n° 15</t>
        </is>
      </c>
      <c r="E4141" t="inlineStr">
        <is>
          <t>PEUTE</t>
        </is>
      </c>
      <c r="F4141" t="n">
        <v>17.8</v>
      </c>
      <c r="G4141" t="inlineStr">
        <is>
          <t>n° 14 : 0,50 + n° 15 : 0,50</t>
        </is>
      </c>
      <c r="H4141" t="n">
        <v>1</v>
      </c>
    </row>
    <row r="4142">
      <c r="A4142" t="inlineStr">
        <is>
          <t>2024-2025</t>
        </is>
      </c>
      <c r="B4142" t="inlineStr">
        <is>
          <t>2024-07-13</t>
        </is>
      </c>
      <c r="C4142" t="inlineStr">
        <is>
          <t>13:04</t>
        </is>
      </c>
      <c r="D4142" t="inlineStr">
        <is>
          <t>n° 10 + n° 11 + n° 14 + n° 15</t>
        </is>
      </c>
      <c r="E4142" t="inlineStr">
        <is>
          <t>LIGOUSE</t>
        </is>
      </c>
      <c r="F4142" t="n">
        <v>16.6</v>
      </c>
      <c r="G4142" t="inlineStr">
        <is>
          <t>n° 14 : 0,50 + n° 15 : 0,50</t>
        </is>
      </c>
      <c r="H4142" t="n">
        <v>1</v>
      </c>
    </row>
    <row r="4143">
      <c r="A4143" t="inlineStr">
        <is>
          <t>2024-2025</t>
        </is>
      </c>
      <c r="B4143" t="inlineStr">
        <is>
          <t>2024-07-13</t>
        </is>
      </c>
      <c r="C4143" t="inlineStr">
        <is>
          <t>13:04</t>
        </is>
      </c>
      <c r="D4143" t="inlineStr">
        <is>
          <t>n° 10 + n° 11 + n° 14 + n° 15</t>
        </is>
      </c>
      <c r="E4143" t="inlineStr">
        <is>
          <t>BASILIC</t>
        </is>
      </c>
      <c r="F4143" t="n">
        <v>12.4</v>
      </c>
      <c r="G4143" t="inlineStr">
        <is>
          <t>n° 10 : 0,50 + n° 11 : 0,50</t>
        </is>
      </c>
      <c r="H4143" t="n">
        <v>1</v>
      </c>
    </row>
    <row r="4144">
      <c r="A4144" t="inlineStr">
        <is>
          <t>2024-2025</t>
        </is>
      </c>
      <c r="B4144" t="inlineStr">
        <is>
          <t>2024-07-13</t>
        </is>
      </c>
      <c r="C4144" t="inlineStr">
        <is>
          <t>13:04</t>
        </is>
      </c>
      <c r="D4144" t="inlineStr">
        <is>
          <t>n° 10 + n° 11 + n° 14 + n° 15</t>
        </is>
      </c>
      <c r="E4144" t="inlineStr">
        <is>
          <t>FOULETOT</t>
        </is>
      </c>
      <c r="F4144" t="n">
        <v>11.5</v>
      </c>
      <c r="G4144" t="inlineStr">
        <is>
          <t>n° 10 : 0,50 + n° 11 : 0,50</t>
        </is>
      </c>
      <c r="H4144" t="n">
        <v>1</v>
      </c>
    </row>
    <row r="4145">
      <c r="A4145" t="inlineStr">
        <is>
          <t>2024-2025</t>
        </is>
      </c>
      <c r="B4145" t="inlineStr">
        <is>
          <t>2024-07-13</t>
        </is>
      </c>
      <c r="C4145" t="inlineStr">
        <is>
          <t>13:04</t>
        </is>
      </c>
      <c r="D4145" t="inlineStr">
        <is>
          <t>n° 10 + n° 11 + n° 14 + n° 15</t>
        </is>
      </c>
      <c r="E4145" t="inlineStr">
        <is>
          <t>Menu 'Enfant'</t>
        </is>
      </c>
      <c r="F4145" t="n">
        <v>9.9</v>
      </c>
      <c r="G4145" t="inlineStr">
        <is>
          <t>n° 14 : 0,50 + n° 15 : 0,50</t>
        </is>
      </c>
      <c r="H4145" t="n">
        <v>1</v>
      </c>
    </row>
    <row r="4146">
      <c r="A4146" t="inlineStr">
        <is>
          <t>2024-2025</t>
        </is>
      </c>
      <c r="B4146" t="inlineStr">
        <is>
          <t>2024-07-13</t>
        </is>
      </c>
      <c r="C4146" t="inlineStr">
        <is>
          <t>13:04</t>
        </is>
      </c>
      <c r="D4146" t="inlineStr">
        <is>
          <t>n° 10 + n° 11 + n° 14 + n° 15</t>
        </is>
      </c>
      <c r="E4146" t="inlineStr">
        <is>
          <t>CUPIDON</t>
        </is>
      </c>
      <c r="F4146" t="n">
        <v>9.300000000000001</v>
      </c>
      <c r="G4146" t="inlineStr">
        <is>
          <t>n° 14 : 0,50 + n° 15 : 0,50</t>
        </is>
      </c>
      <c r="H4146" t="n">
        <v>1</v>
      </c>
    </row>
    <row r="4147">
      <c r="A4147" t="inlineStr">
        <is>
          <t>2024-2025</t>
        </is>
      </c>
      <c r="B4147" t="inlineStr">
        <is>
          <t>2024-07-13</t>
        </is>
      </c>
      <c r="C4147" t="inlineStr">
        <is>
          <t>13:04</t>
        </is>
      </c>
      <c r="D4147" t="inlineStr">
        <is>
          <t>n° 10 + n° 11 + n° 14 + n° 15</t>
        </is>
      </c>
      <c r="E4147" t="inlineStr">
        <is>
          <t>Pinte</t>
        </is>
      </c>
      <c r="F4147" t="n">
        <v>8</v>
      </c>
      <c r="G4147" t="inlineStr">
        <is>
          <t>n° 14 : 0,50 + n° 15 : 0,50</t>
        </is>
      </c>
      <c r="H4147" t="n">
        <v>1</v>
      </c>
    </row>
    <row r="4148">
      <c r="A4148" t="inlineStr">
        <is>
          <t>2024-2025</t>
        </is>
      </c>
      <c r="B4148" t="inlineStr">
        <is>
          <t>2024-07-13</t>
        </is>
      </c>
      <c r="C4148" t="inlineStr">
        <is>
          <t>13:04</t>
        </is>
      </c>
      <c r="D4148" t="inlineStr">
        <is>
          <t>n° 10 + n° 11 + n° 14 + n° 15</t>
        </is>
      </c>
      <c r="E4148" t="inlineStr">
        <is>
          <t>bluette</t>
        </is>
      </c>
      <c r="F4148" t="n">
        <v>7.9</v>
      </c>
      <c r="G4148" t="inlineStr">
        <is>
          <t>n° 14 : 0,50 + n° 15 : 0,50</t>
        </is>
      </c>
      <c r="H4148" t="n">
        <v>1</v>
      </c>
    </row>
    <row r="4149">
      <c r="A4149" t="inlineStr">
        <is>
          <t>2024-2025</t>
        </is>
      </c>
      <c r="B4149" t="inlineStr">
        <is>
          <t>2024-07-13</t>
        </is>
      </c>
      <c r="C4149" t="inlineStr">
        <is>
          <t>13:04</t>
        </is>
      </c>
      <c r="D4149" t="inlineStr">
        <is>
          <t>n° 10 + n° 11 + n° 14 + n° 15</t>
        </is>
      </c>
      <c r="E4149" t="inlineStr">
        <is>
          <t>CREME BRULEE</t>
        </is>
      </c>
      <c r="F4149" t="n">
        <v>7.9</v>
      </c>
      <c r="G4149" t="inlineStr">
        <is>
          <t>n° 14 : 0,50 + n° 15 : 0,50</t>
        </is>
      </c>
      <c r="H4149" t="n">
        <v>1</v>
      </c>
    </row>
    <row r="4150">
      <c r="A4150" t="inlineStr">
        <is>
          <t>2024-2025</t>
        </is>
      </c>
      <c r="B4150" t="inlineStr">
        <is>
          <t>2024-07-13</t>
        </is>
      </c>
      <c r="C4150" t="inlineStr">
        <is>
          <t>13:04</t>
        </is>
      </c>
      <c r="D4150" t="inlineStr">
        <is>
          <t>n° 10 + n° 11 + n° 14 + n° 15</t>
        </is>
      </c>
      <c r="E4150" t="inlineStr">
        <is>
          <t>San Pelegrino</t>
        </is>
      </c>
      <c r="F4150" t="n">
        <v>5.9</v>
      </c>
      <c r="G4150" t="inlineStr">
        <is>
          <t>n° 10 : 0,50 + n° 11 : 0,50</t>
        </is>
      </c>
      <c r="H4150" t="n">
        <v>1</v>
      </c>
    </row>
    <row r="4151">
      <c r="A4151" t="inlineStr">
        <is>
          <t>2024-2025</t>
        </is>
      </c>
      <c r="B4151" t="inlineStr">
        <is>
          <t>2024-07-13</t>
        </is>
      </c>
      <c r="C4151" t="inlineStr">
        <is>
          <t>13:04</t>
        </is>
      </c>
      <c r="D4151" t="inlineStr">
        <is>
          <t>n° 10 + n° 11 + n° 14 + n° 15</t>
        </is>
      </c>
      <c r="E4151" t="inlineStr">
        <is>
          <t>Crêpe Nutella</t>
        </is>
      </c>
      <c r="F4151" t="n">
        <v>4.9</v>
      </c>
      <c r="G4151" t="inlineStr">
        <is>
          <t>n° 14 : 0,50 + n° 15 : 0,50</t>
        </is>
      </c>
      <c r="H4151" t="n">
        <v>1</v>
      </c>
    </row>
    <row r="4152">
      <c r="A4152" t="inlineStr">
        <is>
          <t>2024-2025</t>
        </is>
      </c>
      <c r="B4152" t="inlineStr">
        <is>
          <t>2024-07-13</t>
        </is>
      </c>
      <c r="C4152" t="inlineStr">
        <is>
          <t>13:04</t>
        </is>
      </c>
      <c r="D4152" t="inlineStr">
        <is>
          <t>n° 10 + n° 11 + n° 14 + n° 15</t>
        </is>
      </c>
      <c r="E4152" t="inlineStr">
        <is>
          <t>pression</t>
        </is>
      </c>
      <c r="F4152" t="n">
        <v>4.2</v>
      </c>
      <c r="G4152" t="inlineStr">
        <is>
          <t>n° 14 : 0,50 + n° 15 : 0,50</t>
        </is>
      </c>
      <c r="H4152" t="n">
        <v>1</v>
      </c>
    </row>
    <row r="4153">
      <c r="A4153" t="inlineStr">
        <is>
          <t>2024-2025</t>
        </is>
      </c>
      <c r="B4153" t="inlineStr">
        <is>
          <t>2024-07-13</t>
        </is>
      </c>
      <c r="C4153" t="inlineStr">
        <is>
          <t>13:04</t>
        </is>
      </c>
      <c r="D4153" t="inlineStr">
        <is>
          <t>n° 10 + n° 11 + n° 14 + n° 15</t>
        </is>
      </c>
      <c r="E4153" t="inlineStr">
        <is>
          <t>Panaché</t>
        </is>
      </c>
      <c r="F4153" t="n">
        <v>4.2</v>
      </c>
      <c r="G4153" t="inlineStr">
        <is>
          <t>n° 14 : 0,50 + n° 15 : 0,50</t>
        </is>
      </c>
      <c r="H4153" t="n">
        <v>1</v>
      </c>
    </row>
    <row r="4154">
      <c r="A4154" t="inlineStr">
        <is>
          <t>2024-2025</t>
        </is>
      </c>
      <c r="B4154" t="inlineStr">
        <is>
          <t>2024-07-13</t>
        </is>
      </c>
      <c r="C4154" t="inlineStr">
        <is>
          <t>13:04</t>
        </is>
      </c>
      <c r="D4154" t="inlineStr">
        <is>
          <t>n° 10 + n° 11 + n° 14 + n° 15</t>
        </is>
      </c>
      <c r="E4154" t="inlineStr">
        <is>
          <t>Jus de Fruit</t>
        </is>
      </c>
      <c r="F4154" t="n">
        <v>4.2</v>
      </c>
      <c r="G4154" t="inlineStr">
        <is>
          <t>n° 14 : 0,50 + n° 15 : 0,50</t>
        </is>
      </c>
      <c r="H4154" t="n">
        <v>1</v>
      </c>
    </row>
    <row r="4155">
      <c r="A4155" t="inlineStr">
        <is>
          <t>2024-2025</t>
        </is>
      </c>
      <c r="B4155" t="inlineStr">
        <is>
          <t>2024-07-13</t>
        </is>
      </c>
      <c r="C4155" t="inlineStr">
        <is>
          <t>13:04</t>
        </is>
      </c>
      <c r="D4155" t="inlineStr">
        <is>
          <t>n° 10 + n° 11 + n° 14 + n° 15</t>
        </is>
      </c>
      <c r="E4155" t="inlineStr">
        <is>
          <t>Diabolo (25cl)</t>
        </is>
      </c>
      <c r="F4155" t="n">
        <v>3.9</v>
      </c>
      <c r="G4155" t="inlineStr">
        <is>
          <t>n° 14 : 0,50 + n° 15 : 0,50</t>
        </is>
      </c>
      <c r="H4155" t="n">
        <v>1</v>
      </c>
    </row>
    <row r="4156">
      <c r="A4156" t="inlineStr">
        <is>
          <t>2024-2025</t>
        </is>
      </c>
      <c r="B4156" t="inlineStr">
        <is>
          <t>2024-07-13</t>
        </is>
      </c>
      <c r="C4156" t="inlineStr">
        <is>
          <t>13:04</t>
        </is>
      </c>
      <c r="D4156" t="inlineStr">
        <is>
          <t>n° 10 + n° 11 + n° 14 + n° 15</t>
        </is>
      </c>
      <c r="E4156" t="inlineStr">
        <is>
          <t>Expresso</t>
        </is>
      </c>
      <c r="F4156" t="n">
        <v>2.2</v>
      </c>
      <c r="G4156" t="inlineStr">
        <is>
          <t>n° 14 : 0,50 + n° 15 : 0,50</t>
        </is>
      </c>
      <c r="H4156" t="n">
        <v>1</v>
      </c>
    </row>
    <row r="4157">
      <c r="A4157" t="inlineStr">
        <is>
          <t>2024-2025</t>
        </is>
      </c>
      <c r="B4157" t="inlineStr">
        <is>
          <t>2024-07-13</t>
        </is>
      </c>
      <c r="C4157" t="inlineStr">
        <is>
          <t>20:21</t>
        </is>
      </c>
      <c r="D4157" t="inlineStr">
        <is>
          <t>n° 27 + n° 28</t>
        </is>
      </c>
      <c r="E4157" t="inlineStr">
        <is>
          <t>TRUITE PESTO</t>
        </is>
      </c>
      <c r="F4157" t="n">
        <v>16.9</v>
      </c>
      <c r="G4157" t="inlineStr">
        <is>
          <t>n° 27 : 0,50 + n° 28 : 0,50</t>
        </is>
      </c>
      <c r="H4157" t="n">
        <v>1</v>
      </c>
    </row>
    <row r="4158">
      <c r="A4158" t="inlineStr">
        <is>
          <t>2024-2025</t>
        </is>
      </c>
      <c r="B4158" t="inlineStr">
        <is>
          <t>2024-07-13</t>
        </is>
      </c>
      <c r="C4158" t="inlineStr">
        <is>
          <t>20:21</t>
        </is>
      </c>
      <c r="D4158" t="inlineStr">
        <is>
          <t>n° 27 + n° 28</t>
        </is>
      </c>
      <c r="E4158" t="inlineStr">
        <is>
          <t>MACON VERRE</t>
        </is>
      </c>
      <c r="F4158" t="n">
        <v>6.3</v>
      </c>
      <c r="G4158" t="inlineStr">
        <is>
          <t>n° 27 : 1,50 + n° 28 : 1,50</t>
        </is>
      </c>
      <c r="H4158" t="n">
        <v>3</v>
      </c>
    </row>
    <row r="4159">
      <c r="A4159" t="inlineStr">
        <is>
          <t>2024-2025</t>
        </is>
      </c>
      <c r="B4159" t="inlineStr">
        <is>
          <t>2024-07-13</t>
        </is>
      </c>
      <c r="C4159" t="inlineStr">
        <is>
          <t>20:21</t>
        </is>
      </c>
      <c r="D4159" t="inlineStr">
        <is>
          <t>n° 27 + n° 28</t>
        </is>
      </c>
      <c r="E4159" t="inlineStr">
        <is>
          <t>GLACE 1 BOULE</t>
        </is>
      </c>
      <c r="F4159" t="n">
        <v>3.5</v>
      </c>
      <c r="G4159" t="inlineStr">
        <is>
          <t>n° 27 : 1,50 + n° 28 : 1,50</t>
        </is>
      </c>
      <c r="H4159" t="n">
        <v>3</v>
      </c>
    </row>
    <row r="4160">
      <c r="A4160" t="inlineStr">
        <is>
          <t>2024-2025</t>
        </is>
      </c>
      <c r="B4160" t="inlineStr">
        <is>
          <t>2024-07-13</t>
        </is>
      </c>
      <c r="C4160" t="inlineStr">
        <is>
          <t>20:21</t>
        </is>
      </c>
      <c r="D4160" t="inlineStr">
        <is>
          <t>n° 27 + n° 28</t>
        </is>
      </c>
      <c r="E4160" t="inlineStr">
        <is>
          <t>Expresso</t>
        </is>
      </c>
      <c r="F4160" t="n">
        <v>2.2</v>
      </c>
      <c r="G4160" t="inlineStr">
        <is>
          <t>n° 27 : 1,50 + n° 28 : 1,50</t>
        </is>
      </c>
      <c r="H4160" t="n">
        <v>3</v>
      </c>
    </row>
    <row r="4161">
      <c r="A4161" t="inlineStr">
        <is>
          <t>2024-2025</t>
        </is>
      </c>
      <c r="B4161" t="inlineStr">
        <is>
          <t>2024-07-17</t>
        </is>
      </c>
      <c r="C4161" t="inlineStr">
        <is>
          <t>12:56</t>
        </is>
      </c>
      <c r="D4161" t="inlineStr">
        <is>
          <t>n° 8 + n° 9</t>
        </is>
      </c>
      <c r="E4161" t="inlineStr">
        <is>
          <t>PiCHET TROUSSEAU</t>
        </is>
      </c>
      <c r="F4161" t="n">
        <v>28</v>
      </c>
      <c r="G4161" t="inlineStr">
        <is>
          <t>n° 8 : 0,50 + n° 9 : 0,50</t>
        </is>
      </c>
      <c r="H4161" t="n">
        <v>1</v>
      </c>
    </row>
    <row r="4162">
      <c r="A4162" t="inlineStr">
        <is>
          <t>2024-2025</t>
        </is>
      </c>
      <c r="B4162" t="inlineStr">
        <is>
          <t>2024-07-17</t>
        </is>
      </c>
      <c r="C4162" t="inlineStr">
        <is>
          <t>12:56</t>
        </is>
      </c>
      <c r="D4162" t="inlineStr">
        <is>
          <t>n° 8 + n° 9</t>
        </is>
      </c>
      <c r="E4162" t="inlineStr">
        <is>
          <t>La Vouivre</t>
        </is>
      </c>
      <c r="F4162" t="n">
        <v>5.9</v>
      </c>
      <c r="G4162" t="inlineStr">
        <is>
          <t>n° 8 : 0,50 + n° 9 : 0,50</t>
        </is>
      </c>
      <c r="H4162" t="n">
        <v>1</v>
      </c>
    </row>
    <row r="4163">
      <c r="A4163" t="inlineStr">
        <is>
          <t>2024-2025</t>
        </is>
      </c>
      <c r="B4163" t="inlineStr">
        <is>
          <t>2024-07-17</t>
        </is>
      </c>
      <c r="C4163" t="inlineStr">
        <is>
          <t>12:56</t>
        </is>
      </c>
      <c r="D4163" t="inlineStr">
        <is>
          <t>n° 8 + n° 9</t>
        </is>
      </c>
      <c r="E4163" t="inlineStr">
        <is>
          <t>KITTYKIR</t>
        </is>
      </c>
      <c r="F4163" t="n">
        <v>5.2</v>
      </c>
      <c r="G4163" t="inlineStr">
        <is>
          <t>n° 8 : 0,50 + n° 9 : 0,50</t>
        </is>
      </c>
      <c r="H4163" t="n">
        <v>1</v>
      </c>
    </row>
    <row r="4164">
      <c r="A4164" t="inlineStr">
        <is>
          <t>2024-2025</t>
        </is>
      </c>
      <c r="B4164" t="inlineStr">
        <is>
          <t>2024-07-17</t>
        </is>
      </c>
      <c r="C4164" t="inlineStr">
        <is>
          <t>20:00</t>
        </is>
      </c>
      <c r="D4164" t="inlineStr">
        <is>
          <t>n° 25 + n° 26</t>
        </is>
      </c>
      <c r="E4164" t="inlineStr">
        <is>
          <t>VOGEOTTE</t>
        </is>
      </c>
      <c r="F4164" t="n">
        <v>13.1</v>
      </c>
      <c r="G4164" t="inlineStr">
        <is>
          <t>n° 25 : 0,50 + n° 26 : 0,50</t>
        </is>
      </c>
      <c r="H4164" t="n">
        <v>1</v>
      </c>
    </row>
    <row r="4165">
      <c r="A4165" t="inlineStr">
        <is>
          <t>2024-2025</t>
        </is>
      </c>
      <c r="B4165" t="inlineStr">
        <is>
          <t>2024-07-17</t>
        </is>
      </c>
      <c r="C4165" t="inlineStr">
        <is>
          <t>20:00</t>
        </is>
      </c>
      <c r="D4165" t="inlineStr">
        <is>
          <t>n° 25 + n° 26</t>
        </is>
      </c>
      <c r="E4165" t="inlineStr">
        <is>
          <t>VERDELET</t>
        </is>
      </c>
      <c r="F4165" t="n">
        <v>9.800000000000001</v>
      </c>
      <c r="G4165" t="inlineStr">
        <is>
          <t>n° 25 : 0,50 + n° 26 : 0,50</t>
        </is>
      </c>
      <c r="H4165" t="n">
        <v>1</v>
      </c>
    </row>
    <row r="4166">
      <c r="A4166" t="inlineStr">
        <is>
          <t>2024-2025</t>
        </is>
      </c>
      <c r="B4166" t="inlineStr">
        <is>
          <t>2024-07-19</t>
        </is>
      </c>
      <c r="C4166" t="inlineStr">
        <is>
          <t>20:29</t>
        </is>
      </c>
      <c r="D4166" t="inlineStr">
        <is>
          <t>n° 29 + n° 30</t>
        </is>
      </c>
      <c r="E4166" t="inlineStr">
        <is>
          <t>DADOULET</t>
        </is>
      </c>
      <c r="F4166" t="n">
        <v>18.1</v>
      </c>
      <c r="G4166" t="inlineStr">
        <is>
          <t>n° 29 : 0,50 + n° 30 : 0,50</t>
        </is>
      </c>
      <c r="H4166" t="n">
        <v>1</v>
      </c>
    </row>
    <row r="4167">
      <c r="A4167" t="inlineStr">
        <is>
          <t>2024-2025</t>
        </is>
      </c>
      <c r="B4167" t="inlineStr">
        <is>
          <t>2024-07-19</t>
        </is>
      </c>
      <c r="C4167" t="inlineStr">
        <is>
          <t>20:29</t>
        </is>
      </c>
      <c r="D4167" t="inlineStr">
        <is>
          <t>n° 29 + n° 30</t>
        </is>
      </c>
      <c r="E4167" t="inlineStr">
        <is>
          <t>BARBEULENET</t>
        </is>
      </c>
      <c r="F4167" t="n">
        <v>17.4</v>
      </c>
      <c r="G4167" t="inlineStr">
        <is>
          <t>n° 29 : 0,50 + n° 30 : 0,50</t>
        </is>
      </c>
      <c r="H4167" t="n">
        <v>1</v>
      </c>
    </row>
    <row r="4168">
      <c r="A4168" t="inlineStr">
        <is>
          <t>2024-2025</t>
        </is>
      </c>
      <c r="B4168" t="inlineStr">
        <is>
          <t>2024-07-19</t>
        </is>
      </c>
      <c r="C4168" t="inlineStr">
        <is>
          <t>20:29</t>
        </is>
      </c>
      <c r="D4168" t="inlineStr">
        <is>
          <t>n° 29 + n° 30</t>
        </is>
      </c>
      <c r="E4168" t="inlineStr">
        <is>
          <t>Escargots de Bourgog</t>
        </is>
      </c>
      <c r="F4168" t="n">
        <v>16</v>
      </c>
      <c r="G4168" t="inlineStr">
        <is>
          <t>n° 29 : 0,50 + n° 30 : 0,50</t>
        </is>
      </c>
      <c r="H4168" t="n">
        <v>1</v>
      </c>
    </row>
    <row r="4169">
      <c r="A4169" t="inlineStr">
        <is>
          <t>2024-2025</t>
        </is>
      </c>
      <c r="B4169" t="inlineStr">
        <is>
          <t>2024-07-19</t>
        </is>
      </c>
      <c r="C4169" t="inlineStr">
        <is>
          <t>20:29</t>
        </is>
      </c>
      <c r="D4169" t="inlineStr">
        <is>
          <t>n° 29 + n° 30</t>
        </is>
      </c>
      <c r="E4169" t="inlineStr">
        <is>
          <t>ECRESSI</t>
        </is>
      </c>
      <c r="F4169" t="n">
        <v>15.5</v>
      </c>
      <c r="G4169" t="inlineStr">
        <is>
          <t>n° 29 : 0,50 + n° 30 : 0,50</t>
        </is>
      </c>
      <c r="H4169" t="n">
        <v>1</v>
      </c>
    </row>
    <row r="4170">
      <c r="A4170" t="inlineStr">
        <is>
          <t>2024-2025</t>
        </is>
      </c>
      <c r="B4170" t="inlineStr">
        <is>
          <t>2024-07-19</t>
        </is>
      </c>
      <c r="C4170" t="inlineStr">
        <is>
          <t>20:29</t>
        </is>
      </c>
      <c r="D4170" t="inlineStr">
        <is>
          <t>n° 29 + n° 30</t>
        </is>
      </c>
      <c r="E4170" t="inlineStr">
        <is>
          <t>Pinte</t>
        </is>
      </c>
      <c r="F4170" t="n">
        <v>8</v>
      </c>
      <c r="G4170" t="inlineStr">
        <is>
          <t>n° 29 : 1,50 + n° 30 : 1,50</t>
        </is>
      </c>
      <c r="H4170" t="n">
        <v>3</v>
      </c>
    </row>
    <row r="4171">
      <c r="A4171" t="inlineStr">
        <is>
          <t>2024-2025</t>
        </is>
      </c>
      <c r="B4171" t="inlineStr">
        <is>
          <t>2024-07-19</t>
        </is>
      </c>
      <c r="C4171" t="inlineStr">
        <is>
          <t>20:29</t>
        </is>
      </c>
      <c r="D4171" t="inlineStr">
        <is>
          <t>n° 29 + n° 30</t>
        </is>
      </c>
      <c r="E4171" t="inlineStr">
        <is>
          <t>Crémant</t>
        </is>
      </c>
      <c r="F4171" t="n">
        <v>5</v>
      </c>
      <c r="G4171" t="inlineStr">
        <is>
          <t>n° 29 : 0,50 + n° 30 : 0,50</t>
        </is>
      </c>
      <c r="H4171" t="n">
        <v>1</v>
      </c>
    </row>
    <row r="4172">
      <c r="A4172" t="inlineStr">
        <is>
          <t>2024-2025</t>
        </is>
      </c>
      <c r="B4172" t="inlineStr">
        <is>
          <t>2024-07-19</t>
        </is>
      </c>
      <c r="C4172" t="inlineStr">
        <is>
          <t>20:29</t>
        </is>
      </c>
      <c r="D4172" t="inlineStr">
        <is>
          <t>n° 29 + n° 30</t>
        </is>
      </c>
      <c r="E4172" t="inlineStr">
        <is>
          <t>Crément / Jura VERRE</t>
        </is>
      </c>
      <c r="F4172" t="n">
        <v>5</v>
      </c>
      <c r="G4172" t="inlineStr">
        <is>
          <t>n° 29 : 0,50 + n° 30 : 0,50</t>
        </is>
      </c>
      <c r="H4172" t="n">
        <v>1</v>
      </c>
    </row>
    <row r="4173">
      <c r="A4173" t="inlineStr">
        <is>
          <t>2024-2025</t>
        </is>
      </c>
      <c r="B4173" t="inlineStr">
        <is>
          <t>2024-07-19</t>
        </is>
      </c>
      <c r="C4173" t="inlineStr">
        <is>
          <t>20:29</t>
        </is>
      </c>
      <c r="D4173" t="inlineStr">
        <is>
          <t>n° 29 + n° 30</t>
        </is>
      </c>
      <c r="E4173" t="inlineStr">
        <is>
          <t>Comté</t>
        </is>
      </c>
      <c r="F4173" t="n">
        <v>4</v>
      </c>
      <c r="G4173" t="inlineStr">
        <is>
          <t>n° 29 : 0,50 + n° 30 : 0,50</t>
        </is>
      </c>
      <c r="H4173" t="n">
        <v>1</v>
      </c>
    </row>
    <row r="4174">
      <c r="A4174" t="inlineStr">
        <is>
          <t>2024-2025</t>
        </is>
      </c>
      <c r="B4174" t="inlineStr">
        <is>
          <t>2024-07-19</t>
        </is>
      </c>
      <c r="C4174" t="inlineStr">
        <is>
          <t>20:29</t>
        </is>
      </c>
      <c r="D4174" t="inlineStr">
        <is>
          <t>n° 29 + n° 30</t>
        </is>
      </c>
      <c r="E4174" t="inlineStr">
        <is>
          <t>Coca (25cl)</t>
        </is>
      </c>
      <c r="F4174" t="n">
        <v>3.9</v>
      </c>
      <c r="G4174" t="inlineStr">
        <is>
          <t>n° 29 : 0,50 + n° 30 : 0,50</t>
        </is>
      </c>
      <c r="H4174" t="n">
        <v>1</v>
      </c>
    </row>
    <row r="4175">
      <c r="A4175" t="inlineStr">
        <is>
          <t>2024-2025</t>
        </is>
      </c>
      <c r="B4175" t="inlineStr">
        <is>
          <t>2024-07-19</t>
        </is>
      </c>
      <c r="C4175" t="inlineStr">
        <is>
          <t>20:29</t>
        </is>
      </c>
      <c r="D4175" t="inlineStr">
        <is>
          <t>n° 29 + n° 30</t>
        </is>
      </c>
      <c r="E4175" t="inlineStr">
        <is>
          <t>Galette nature</t>
        </is>
      </c>
      <c r="F4175" t="n">
        <v>3.9</v>
      </c>
      <c r="G4175" t="inlineStr">
        <is>
          <t>n° 29 : 0,50 + n° 30 : 0,50</t>
        </is>
      </c>
      <c r="H4175" t="n">
        <v>1</v>
      </c>
    </row>
    <row r="4176">
      <c r="A4176" t="inlineStr">
        <is>
          <t>2024-2025</t>
        </is>
      </c>
      <c r="B4176" t="inlineStr">
        <is>
          <t>2024-07-20</t>
        </is>
      </c>
      <c r="C4176" t="inlineStr">
        <is>
          <t>12:59</t>
        </is>
      </c>
      <c r="D4176" t="inlineStr">
        <is>
          <t>n° 12 + n° 13</t>
        </is>
      </c>
      <c r="E4176" t="inlineStr">
        <is>
          <t>Salade Régionale</t>
        </is>
      </c>
      <c r="F4176" t="n">
        <v>19.9</v>
      </c>
      <c r="G4176" t="inlineStr">
        <is>
          <t>n° 12 : 0,50 + n° 13 : 0,50</t>
        </is>
      </c>
      <c r="H4176" t="n">
        <v>1</v>
      </c>
    </row>
    <row r="4177">
      <c r="A4177" t="inlineStr">
        <is>
          <t>2024-2025</t>
        </is>
      </c>
      <c r="B4177" t="inlineStr">
        <is>
          <t>2024-07-20</t>
        </is>
      </c>
      <c r="C4177" t="inlineStr">
        <is>
          <t>12:59</t>
        </is>
      </c>
      <c r="D4177" t="inlineStr">
        <is>
          <t>n° 12 + n° 13</t>
        </is>
      </c>
      <c r="E4177" t="inlineStr">
        <is>
          <t>POULET JURASSIENNE</t>
        </is>
      </c>
      <c r="F4177" t="n">
        <v>18.6</v>
      </c>
      <c r="G4177" t="inlineStr">
        <is>
          <t>n° 12 : 0,50 + n° 13 : 0,50</t>
        </is>
      </c>
      <c r="H4177" t="n">
        <v>1</v>
      </c>
    </row>
    <row r="4178">
      <c r="A4178" t="inlineStr">
        <is>
          <t>2024-2025</t>
        </is>
      </c>
      <c r="B4178" t="inlineStr">
        <is>
          <t>2024-07-20</t>
        </is>
      </c>
      <c r="C4178" t="inlineStr">
        <is>
          <t>12:59</t>
        </is>
      </c>
      <c r="D4178" t="inlineStr">
        <is>
          <t>n° 12 + n° 13</t>
        </is>
      </c>
      <c r="E4178" t="inlineStr">
        <is>
          <t>PICHET ROSE</t>
        </is>
      </c>
      <c r="F4178" t="n">
        <v>10.5</v>
      </c>
      <c r="G4178" t="inlineStr">
        <is>
          <t>n° 12 : 0,50 + n° 13 : 0,50</t>
        </is>
      </c>
      <c r="H4178" t="n">
        <v>1</v>
      </c>
    </row>
    <row r="4179">
      <c r="A4179" t="inlineStr">
        <is>
          <t>2024-2025</t>
        </is>
      </c>
      <c r="B4179" t="inlineStr">
        <is>
          <t>2024-07-20</t>
        </is>
      </c>
      <c r="C4179" t="inlineStr">
        <is>
          <t>12:59</t>
        </is>
      </c>
      <c r="D4179" t="inlineStr">
        <is>
          <t>n° 12 + n° 13</t>
        </is>
      </c>
      <c r="E4179" t="inlineStr">
        <is>
          <t>Baba</t>
        </is>
      </c>
      <c r="F4179" t="n">
        <v>8.9</v>
      </c>
      <c r="G4179" t="inlineStr">
        <is>
          <t>n° 12 : 0,50 + n° 13 : 0,50</t>
        </is>
      </c>
      <c r="H4179" t="n">
        <v>1</v>
      </c>
    </row>
    <row r="4180">
      <c r="A4180" t="inlineStr">
        <is>
          <t>2024-2025</t>
        </is>
      </c>
      <c r="B4180" t="inlineStr">
        <is>
          <t>2024-07-20</t>
        </is>
      </c>
      <c r="C4180" t="inlineStr">
        <is>
          <t>12:59</t>
        </is>
      </c>
      <c r="D4180" t="inlineStr">
        <is>
          <t>n° 12 + n° 13</t>
        </is>
      </c>
      <c r="E4180" t="inlineStr">
        <is>
          <t>GLACE 3 BOULES</t>
        </is>
      </c>
      <c r="F4180" t="n">
        <v>7.9</v>
      </c>
      <c r="G4180" t="inlineStr">
        <is>
          <t>n° 12 : 0,50 + n° 13 : 0,50</t>
        </is>
      </c>
      <c r="H4180" t="n">
        <v>1</v>
      </c>
    </row>
    <row r="4181">
      <c r="A4181" t="inlineStr">
        <is>
          <t>2024-2025</t>
        </is>
      </c>
      <c r="B4181" t="inlineStr">
        <is>
          <t>2024-07-20</t>
        </is>
      </c>
      <c r="C4181" t="inlineStr">
        <is>
          <t>12:59</t>
        </is>
      </c>
      <c r="D4181" t="inlineStr">
        <is>
          <t>n° 12 + n° 13</t>
        </is>
      </c>
      <c r="E4181" t="inlineStr">
        <is>
          <t>Porto</t>
        </is>
      </c>
      <c r="F4181" t="n">
        <v>4.9</v>
      </c>
      <c r="G4181" t="inlineStr">
        <is>
          <t>n° 12 : 0,50 + n° 13 : 0,50</t>
        </is>
      </c>
      <c r="H4181" t="n">
        <v>1</v>
      </c>
    </row>
    <row r="4182">
      <c r="A4182" t="inlineStr">
        <is>
          <t>2024-2025</t>
        </is>
      </c>
      <c r="B4182" t="inlineStr">
        <is>
          <t>2024-07-20</t>
        </is>
      </c>
      <c r="C4182" t="inlineStr">
        <is>
          <t>12:59</t>
        </is>
      </c>
      <c r="D4182" t="inlineStr">
        <is>
          <t>n° 12 + n° 13</t>
        </is>
      </c>
      <c r="E4182" t="inlineStr">
        <is>
          <t>Jus de Fruit</t>
        </is>
      </c>
      <c r="F4182" t="n">
        <v>4.2</v>
      </c>
      <c r="G4182" t="inlineStr">
        <is>
          <t>n° 12 : 0,50 + n° 13 : 0,50</t>
        </is>
      </c>
      <c r="H4182" t="n">
        <v>1</v>
      </c>
    </row>
    <row r="4183">
      <c r="A4183" t="inlineStr">
        <is>
          <t>2024-2025</t>
        </is>
      </c>
      <c r="B4183" t="inlineStr">
        <is>
          <t>2024-07-20</t>
        </is>
      </c>
      <c r="C4183" t="inlineStr">
        <is>
          <t>12:59</t>
        </is>
      </c>
      <c r="D4183" t="inlineStr">
        <is>
          <t>n° 12 + n° 13</t>
        </is>
      </c>
      <c r="E4183" t="inlineStr">
        <is>
          <t>CHANTILLY</t>
        </is>
      </c>
      <c r="F4183" t="n">
        <v>2.5</v>
      </c>
      <c r="G4183" t="inlineStr">
        <is>
          <t>n° 12 : 0,50 + n° 13 : 0,50</t>
        </is>
      </c>
      <c r="H4183" t="n">
        <v>1</v>
      </c>
    </row>
    <row r="4184">
      <c r="A4184" t="inlineStr">
        <is>
          <t>2024-2025</t>
        </is>
      </c>
      <c r="B4184" t="inlineStr">
        <is>
          <t>2024-07-20</t>
        </is>
      </c>
      <c r="C4184" t="inlineStr">
        <is>
          <t>12:59</t>
        </is>
      </c>
      <c r="D4184" t="inlineStr">
        <is>
          <t>n° 12 + n° 13</t>
        </is>
      </c>
      <c r="E4184" t="inlineStr">
        <is>
          <t>SAUCE CHOCO/CAFE/CAR</t>
        </is>
      </c>
      <c r="F4184" t="n">
        <v>2.4</v>
      </c>
      <c r="G4184" t="inlineStr">
        <is>
          <t>n° 12 : 0,50 + n° 13 : 0,50</t>
        </is>
      </c>
      <c r="H4184" t="n">
        <v>1</v>
      </c>
    </row>
    <row r="4185">
      <c r="A4185" t="inlineStr">
        <is>
          <t>2024-2025</t>
        </is>
      </c>
      <c r="B4185" t="inlineStr">
        <is>
          <t>2024-07-20</t>
        </is>
      </c>
      <c r="C4185" t="inlineStr">
        <is>
          <t>12:59</t>
        </is>
      </c>
      <c r="D4185" t="inlineStr">
        <is>
          <t>n° 12 + n° 13</t>
        </is>
      </c>
      <c r="E4185" t="inlineStr">
        <is>
          <t>Chantilly</t>
        </is>
      </c>
      <c r="F4185" t="n">
        <v>2</v>
      </c>
      <c r="G4185" t="inlineStr">
        <is>
          <t>n° 12 : 0,50 + n° 13 : 0,50</t>
        </is>
      </c>
      <c r="H4185" t="n">
        <v>1</v>
      </c>
    </row>
    <row r="4186">
      <c r="A4186" t="inlineStr">
        <is>
          <t>2024-2025</t>
        </is>
      </c>
      <c r="B4186" t="inlineStr">
        <is>
          <t>2024-07-20</t>
        </is>
      </c>
      <c r="C4186" t="inlineStr">
        <is>
          <t>20:33</t>
        </is>
      </c>
      <c r="D4186" t="inlineStr">
        <is>
          <t>n° 23 + n° 24 + n° 25 + n° 26 + n° 29 + n° 30</t>
        </is>
      </c>
      <c r="E4186" t="inlineStr">
        <is>
          <t>PICHET SAINT VERAN</t>
        </is>
      </c>
      <c r="F4186" t="n">
        <v>30</v>
      </c>
      <c r="G4186" t="inlineStr">
        <is>
          <t>n° 23 : 0,50 + n° 24 : 0,50</t>
        </is>
      </c>
      <c r="H4186" t="n">
        <v>1</v>
      </c>
    </row>
    <row r="4187">
      <c r="A4187" t="inlineStr">
        <is>
          <t>2024-2025</t>
        </is>
      </c>
      <c r="B4187" t="inlineStr">
        <is>
          <t>2024-07-20</t>
        </is>
      </c>
      <c r="C4187" t="inlineStr">
        <is>
          <t>20:33</t>
        </is>
      </c>
      <c r="D4187" t="inlineStr">
        <is>
          <t>n° 23 + n° 24 + n° 25 + n° 26 + n° 29 + n° 30</t>
        </is>
      </c>
      <c r="E4187" t="inlineStr">
        <is>
          <t>Poulet aux Morilles</t>
        </is>
      </c>
      <c r="F4187" t="n">
        <v>28.6</v>
      </c>
      <c r="G4187" t="inlineStr">
        <is>
          <t>n° 23 : 0,50 + n° 24 : 0,50 + n° 25 : 0,50 + n° 26 : 0,50</t>
        </is>
      </c>
      <c r="H4187" t="n">
        <v>2</v>
      </c>
    </row>
    <row r="4188">
      <c r="A4188" t="inlineStr">
        <is>
          <t>2024-2025</t>
        </is>
      </c>
      <c r="B4188" t="inlineStr">
        <is>
          <t>2024-07-20</t>
        </is>
      </c>
      <c r="C4188" t="inlineStr">
        <is>
          <t>20:33</t>
        </is>
      </c>
      <c r="D4188" t="inlineStr">
        <is>
          <t>n° 23 + n° 24 + n° 25 + n° 26 + n° 29 + n° 30</t>
        </is>
      </c>
      <c r="E4188" t="inlineStr">
        <is>
          <t>MACHON GOURMET</t>
        </is>
      </c>
      <c r="F4188" t="n">
        <v>25</v>
      </c>
      <c r="G4188" t="inlineStr">
        <is>
          <t>n° 29 : 0,50 + n° 30 : 0,50</t>
        </is>
      </c>
      <c r="H4188" t="n">
        <v>1</v>
      </c>
    </row>
    <row r="4189">
      <c r="A4189" t="inlineStr">
        <is>
          <t>2024-2025</t>
        </is>
      </c>
      <c r="B4189" t="inlineStr">
        <is>
          <t>2024-07-20</t>
        </is>
      </c>
      <c r="C4189" t="inlineStr">
        <is>
          <t>20:33</t>
        </is>
      </c>
      <c r="D4189" t="inlineStr">
        <is>
          <t>n° 23 + n° 24 + n° 25 + n° 26 + n° 29 + n° 30</t>
        </is>
      </c>
      <c r="E4189" t="inlineStr">
        <is>
          <t>POULET JURASSIENNE</t>
        </is>
      </c>
      <c r="F4189" t="n">
        <v>18.6</v>
      </c>
      <c r="G4189" t="inlineStr">
        <is>
          <t>n° 25 : 0,50 + n° 26 : 0,50 + n° 29 : 0,50 + n° 30 : 0,50</t>
        </is>
      </c>
      <c r="H4189" t="n">
        <v>2</v>
      </c>
    </row>
    <row r="4190">
      <c r="A4190" t="inlineStr">
        <is>
          <t>2024-2025</t>
        </is>
      </c>
      <c r="B4190" t="inlineStr">
        <is>
          <t>2024-07-20</t>
        </is>
      </c>
      <c r="C4190" t="inlineStr">
        <is>
          <t>20:33</t>
        </is>
      </c>
      <c r="D4190" t="inlineStr">
        <is>
          <t>n° 23 + n° 24 + n° 25 + n° 26 + n° 29 + n° 30</t>
        </is>
      </c>
      <c r="E4190" t="inlineStr">
        <is>
          <t>CAMEMBERT ROTI</t>
        </is>
      </c>
      <c r="F4190" t="n">
        <v>18.6</v>
      </c>
      <c r="G4190" t="inlineStr">
        <is>
          <t>n° 29 : 0,50 + n° 30 : 0,50</t>
        </is>
      </c>
      <c r="H4190" t="n">
        <v>1</v>
      </c>
    </row>
    <row r="4191">
      <c r="A4191" t="inlineStr">
        <is>
          <t>2024-2025</t>
        </is>
      </c>
      <c r="B4191" t="inlineStr">
        <is>
          <t>2024-07-20</t>
        </is>
      </c>
      <c r="C4191" t="inlineStr">
        <is>
          <t>20:33</t>
        </is>
      </c>
      <c r="D4191" t="inlineStr">
        <is>
          <t>n° 23 + n° 24 + n° 25 + n° 26 + n° 29 + n° 30</t>
        </is>
      </c>
      <c r="E4191" t="inlineStr">
        <is>
          <t>PEUTE</t>
        </is>
      </c>
      <c r="F4191" t="n">
        <v>17.8</v>
      </c>
      <c r="G4191" t="inlineStr">
        <is>
          <t>n° 29 : 0,50 + n° 30 : 0,50</t>
        </is>
      </c>
      <c r="H4191" t="n">
        <v>1</v>
      </c>
    </row>
    <row r="4192">
      <c r="A4192" t="inlineStr">
        <is>
          <t>2024-2025</t>
        </is>
      </c>
      <c r="B4192" t="inlineStr">
        <is>
          <t>2024-07-20</t>
        </is>
      </c>
      <c r="C4192" t="inlineStr">
        <is>
          <t>20:33</t>
        </is>
      </c>
      <c r="D4192" t="inlineStr">
        <is>
          <t>n° 23 + n° 24 + n° 25 + n° 26 + n° 29 + n° 30</t>
        </is>
      </c>
      <c r="E4192" t="inlineStr">
        <is>
          <t>TRUITE PESTO</t>
        </is>
      </c>
      <c r="F4192" t="n">
        <v>16.9</v>
      </c>
      <c r="G4192" t="inlineStr">
        <is>
          <t>n° 23 : 0,50 + n° 24 : 0,50</t>
        </is>
      </c>
      <c r="H4192" t="n">
        <v>1</v>
      </c>
    </row>
    <row r="4193">
      <c r="A4193" t="inlineStr">
        <is>
          <t>2024-2025</t>
        </is>
      </c>
      <c r="B4193" t="inlineStr">
        <is>
          <t>2024-07-20</t>
        </is>
      </c>
      <c r="C4193" t="inlineStr">
        <is>
          <t>20:33</t>
        </is>
      </c>
      <c r="D4193" t="inlineStr">
        <is>
          <t>n° 23 + n° 24 + n° 25 + n° 26 + n° 29 + n° 30</t>
        </is>
      </c>
      <c r="E4193" t="inlineStr">
        <is>
          <t>Croûtes Morilles</t>
        </is>
      </c>
      <c r="F4193" t="n">
        <v>16.9</v>
      </c>
      <c r="G4193" t="inlineStr">
        <is>
          <t>n° 29 : 0,50 + n° 30 : 0,50</t>
        </is>
      </c>
      <c r="H4193" t="n">
        <v>1</v>
      </c>
    </row>
    <row r="4194">
      <c r="A4194" t="inlineStr">
        <is>
          <t>2024-2025</t>
        </is>
      </c>
      <c r="B4194" t="inlineStr">
        <is>
          <t>2024-07-20</t>
        </is>
      </c>
      <c r="C4194" t="inlineStr">
        <is>
          <t>20:33</t>
        </is>
      </c>
      <c r="D4194" t="inlineStr">
        <is>
          <t>n° 23 + n° 24 + n° 25 + n° 26 + n° 29 + n° 30</t>
        </is>
      </c>
      <c r="E4194" t="inlineStr">
        <is>
          <t>FLAMME</t>
        </is>
      </c>
      <c r="F4194" t="n">
        <v>9.300000000000001</v>
      </c>
      <c r="G4194" t="inlineStr">
        <is>
          <t>n° 23 : 0,50 + n° 24 : 0,50</t>
        </is>
      </c>
      <c r="H4194" t="n">
        <v>1</v>
      </c>
    </row>
    <row r="4195">
      <c r="A4195" t="inlineStr">
        <is>
          <t>2024-2025</t>
        </is>
      </c>
      <c r="B4195" t="inlineStr">
        <is>
          <t>2024-07-20</t>
        </is>
      </c>
      <c r="C4195" t="inlineStr">
        <is>
          <t>20:33</t>
        </is>
      </c>
      <c r="D4195" t="inlineStr">
        <is>
          <t>n° 23 + n° 24 + n° 25 + n° 26 + n° 29 + n° 30</t>
        </is>
      </c>
      <c r="E4195" t="inlineStr">
        <is>
          <t>Saucisse de Morteau</t>
        </is>
      </c>
      <c r="F4195" t="n">
        <v>8.9</v>
      </c>
      <c r="G4195" t="inlineStr">
        <is>
          <t>n° 23 : 0,50 + n° 24 : 0,50</t>
        </is>
      </c>
      <c r="H4195" t="n">
        <v>1</v>
      </c>
    </row>
    <row r="4196">
      <c r="A4196" t="inlineStr">
        <is>
          <t>2024-2025</t>
        </is>
      </c>
      <c r="B4196" t="inlineStr">
        <is>
          <t>2024-07-20</t>
        </is>
      </c>
      <c r="C4196" t="inlineStr">
        <is>
          <t>20:33</t>
        </is>
      </c>
      <c r="D4196" t="inlineStr">
        <is>
          <t>n° 23 + n° 24 + n° 25 + n° 26 + n° 29 + n° 30</t>
        </is>
      </c>
      <c r="E4196" t="inlineStr">
        <is>
          <t>Pavlova</t>
        </is>
      </c>
      <c r="F4196" t="n">
        <v>8.9</v>
      </c>
      <c r="G4196" t="inlineStr">
        <is>
          <t>n° 23 : 0,50 + n° 24 : 0,50</t>
        </is>
      </c>
      <c r="H4196" t="n">
        <v>1</v>
      </c>
    </row>
    <row r="4197">
      <c r="A4197" t="inlineStr">
        <is>
          <t>2024-2025</t>
        </is>
      </c>
      <c r="B4197" t="inlineStr">
        <is>
          <t>2024-07-20</t>
        </is>
      </c>
      <c r="C4197" t="inlineStr">
        <is>
          <t>20:33</t>
        </is>
      </c>
      <c r="D4197" t="inlineStr">
        <is>
          <t>n° 23 + n° 24 + n° 25 + n° 26 + n° 29 + n° 30</t>
        </is>
      </c>
      <c r="E4197" t="inlineStr">
        <is>
          <t>Escargots de Bourgog</t>
        </is>
      </c>
      <c r="F4197" t="n">
        <v>8</v>
      </c>
      <c r="G4197" t="inlineStr">
        <is>
          <t>n° 29 : 0,50 + n° 30 : 0,50</t>
        </is>
      </c>
      <c r="H4197" t="n">
        <v>1</v>
      </c>
    </row>
    <row r="4198">
      <c r="A4198" t="inlineStr">
        <is>
          <t>2024-2025</t>
        </is>
      </c>
      <c r="B4198" t="inlineStr">
        <is>
          <t>2024-07-20</t>
        </is>
      </c>
      <c r="C4198" t="inlineStr">
        <is>
          <t>20:33</t>
        </is>
      </c>
      <c r="D4198" t="inlineStr">
        <is>
          <t>n° 23 + n° 24 + n° 25 + n° 26 + n° 29 + n° 30</t>
        </is>
      </c>
      <c r="E4198" t="inlineStr">
        <is>
          <t>Crêpe Pommes</t>
        </is>
      </c>
      <c r="F4198" t="n">
        <v>7.1</v>
      </c>
      <c r="G4198" t="inlineStr">
        <is>
          <t>n° 29 : 0,50 + n° 30 : 0,50</t>
        </is>
      </c>
      <c r="H4198" t="n">
        <v>1</v>
      </c>
    </row>
    <row r="4199">
      <c r="A4199" t="inlineStr">
        <is>
          <t>2024-2025</t>
        </is>
      </c>
      <c r="B4199" t="inlineStr">
        <is>
          <t>2024-07-20</t>
        </is>
      </c>
      <c r="C4199" t="inlineStr">
        <is>
          <t>20:33</t>
        </is>
      </c>
      <c r="D4199" t="inlineStr">
        <is>
          <t>n° 23 + n° 24 + n° 25 + n° 26 + n° 29 + n° 30</t>
        </is>
      </c>
      <c r="E4199" t="inlineStr">
        <is>
          <t>Mambo</t>
        </is>
      </c>
      <c r="F4199" t="n">
        <v>6.5</v>
      </c>
      <c r="G4199" t="inlineStr">
        <is>
          <t>n° 23 : 0,50 + n° 24 : 0,50</t>
        </is>
      </c>
      <c r="H4199" t="n">
        <v>1</v>
      </c>
    </row>
    <row r="4200">
      <c r="A4200" t="inlineStr">
        <is>
          <t>2024-2025</t>
        </is>
      </c>
      <c r="B4200" t="inlineStr">
        <is>
          <t>2024-07-20</t>
        </is>
      </c>
      <c r="C4200" t="inlineStr">
        <is>
          <t>20:33</t>
        </is>
      </c>
      <c r="D4200" t="inlineStr">
        <is>
          <t>n° 23 + n° 24 + n° 25 + n° 26 + n° 29 + n° 30</t>
        </is>
      </c>
      <c r="E4200" t="inlineStr">
        <is>
          <t>Crêpe Salidou</t>
        </is>
      </c>
      <c r="F4200" t="n">
        <v>6.4</v>
      </c>
      <c r="G4200" t="inlineStr">
        <is>
          <t>n° 29 : 0,50 + n° 30 : 0,50</t>
        </is>
      </c>
      <c r="H4200" t="n">
        <v>1</v>
      </c>
    </row>
    <row r="4201">
      <c r="A4201" t="inlineStr">
        <is>
          <t>2024-2025</t>
        </is>
      </c>
      <c r="B4201" t="inlineStr">
        <is>
          <t>2024-07-20</t>
        </is>
      </c>
      <c r="C4201" t="inlineStr">
        <is>
          <t>20:33</t>
        </is>
      </c>
      <c r="D4201" t="inlineStr">
        <is>
          <t>n° 23 + n° 24 + n° 25 + n° 26 + n° 29 + n° 30</t>
        </is>
      </c>
      <c r="E4201" t="inlineStr">
        <is>
          <t>Luna</t>
        </is>
      </c>
      <c r="F4201" t="n">
        <v>6</v>
      </c>
      <c r="G4201" t="inlineStr">
        <is>
          <t>n° 23 : 0,50 + n° 24 : 0,50</t>
        </is>
      </c>
      <c r="H4201" t="n">
        <v>1</v>
      </c>
    </row>
    <row r="4202">
      <c r="A4202" t="inlineStr">
        <is>
          <t>2024-2025</t>
        </is>
      </c>
      <c r="B4202" t="inlineStr">
        <is>
          <t>2024-07-20</t>
        </is>
      </c>
      <c r="C4202" t="inlineStr">
        <is>
          <t>20:33</t>
        </is>
      </c>
      <c r="D4202" t="inlineStr">
        <is>
          <t>n° 23 + n° 24 + n° 25 + n° 26 + n° 29 + n° 30</t>
        </is>
      </c>
      <c r="E4202" t="inlineStr">
        <is>
          <t>GLACE 2 BOULES</t>
        </is>
      </c>
      <c r="F4202" t="n">
        <v>5.5</v>
      </c>
      <c r="G4202" t="inlineStr">
        <is>
          <t>n° 23 : 0,50 + n° 24 : 0,50 + n° 25 : 0,50 + n° 26 : 0,50 + n° 29 : 0,50 + n° 30 : 0,50</t>
        </is>
      </c>
      <c r="H4202" t="n">
        <v>3</v>
      </c>
    </row>
    <row r="4203">
      <c r="A4203" t="inlineStr">
        <is>
          <t>2024-2025</t>
        </is>
      </c>
      <c r="B4203" t="inlineStr">
        <is>
          <t>2024-07-20</t>
        </is>
      </c>
      <c r="C4203" t="inlineStr">
        <is>
          <t>20:33</t>
        </is>
      </c>
      <c r="D4203" t="inlineStr">
        <is>
          <t>n° 23 + n° 24 + n° 25 + n° 26 + n° 29 + n° 30</t>
        </is>
      </c>
      <c r="E4203" t="inlineStr">
        <is>
          <t>Crêpe Confiture</t>
        </is>
      </c>
      <c r="F4203" t="n">
        <v>5.4</v>
      </c>
      <c r="G4203" t="inlineStr">
        <is>
          <t>n° 29 : 0,50 + n° 30 : 0,50</t>
        </is>
      </c>
      <c r="H4203" t="n">
        <v>1</v>
      </c>
    </row>
    <row r="4204">
      <c r="A4204" t="inlineStr">
        <is>
          <t>2024-2025</t>
        </is>
      </c>
      <c r="B4204" t="inlineStr">
        <is>
          <t>2024-07-20</t>
        </is>
      </c>
      <c r="C4204" t="inlineStr">
        <is>
          <t>20:33</t>
        </is>
      </c>
      <c r="D4204" t="inlineStr">
        <is>
          <t>n° 23 + n° 24 + n° 25 + n° 26 + n° 29 + n° 30</t>
        </is>
      </c>
      <c r="E4204" t="inlineStr">
        <is>
          <t>Pommes grenailles</t>
        </is>
      </c>
      <c r="F4204" t="n">
        <v>3.9</v>
      </c>
      <c r="G4204" t="inlineStr">
        <is>
          <t>n° 23 : 0,50 + n° 24 : 0,50</t>
        </is>
      </c>
      <c r="H4204" t="n">
        <v>1</v>
      </c>
    </row>
    <row r="4205">
      <c r="A4205" t="inlineStr">
        <is>
          <t>2024-2025</t>
        </is>
      </c>
      <c r="B4205" t="inlineStr">
        <is>
          <t>2024-07-20</t>
        </is>
      </c>
      <c r="C4205" t="inlineStr">
        <is>
          <t>20:33</t>
        </is>
      </c>
      <c r="D4205" t="inlineStr">
        <is>
          <t>n° 23 + n° 24 + n° 25 + n° 26 + n° 29 + n° 30</t>
        </is>
      </c>
      <c r="E4205" t="inlineStr">
        <is>
          <t>Galette nature</t>
        </is>
      </c>
      <c r="F4205" t="n">
        <v>3.9</v>
      </c>
      <c r="G4205" t="inlineStr">
        <is>
          <t>n° 23 : 0,50 + n° 24 : 0,50</t>
        </is>
      </c>
      <c r="H4205" t="n">
        <v>1</v>
      </c>
    </row>
    <row r="4206">
      <c r="A4206" t="inlineStr">
        <is>
          <t>2024-2025</t>
        </is>
      </c>
      <c r="B4206" t="inlineStr">
        <is>
          <t>2024-07-20</t>
        </is>
      </c>
      <c r="C4206" t="inlineStr">
        <is>
          <t>20:33</t>
        </is>
      </c>
      <c r="D4206" t="inlineStr">
        <is>
          <t>n° 23 + n° 24 + n° 25 + n° 26 + n° 29 + n° 30</t>
        </is>
      </c>
      <c r="E4206" t="inlineStr">
        <is>
          <t>Crêpe au sucre</t>
        </is>
      </c>
      <c r="F4206" t="n">
        <v>3.9</v>
      </c>
      <c r="G4206" t="inlineStr">
        <is>
          <t>n° 25 : 0,50 + n° 26 : 0,50</t>
        </is>
      </c>
      <c r="H4206" t="n">
        <v>1</v>
      </c>
    </row>
    <row r="4207">
      <c r="A4207" t="inlineStr">
        <is>
          <t>2024-2025</t>
        </is>
      </c>
      <c r="B4207" t="inlineStr">
        <is>
          <t>2024-07-20</t>
        </is>
      </c>
      <c r="C4207" t="inlineStr">
        <is>
          <t>20:33</t>
        </is>
      </c>
      <c r="D4207" t="inlineStr">
        <is>
          <t>n° 23 + n° 24 + n° 25 + n° 26 + n° 29 + n° 30</t>
        </is>
      </c>
      <c r="E4207" t="inlineStr">
        <is>
          <t>1 Boule Glace</t>
        </is>
      </c>
      <c r="F4207" t="n">
        <v>3.5</v>
      </c>
      <c r="G4207" t="inlineStr">
        <is>
          <t>n° 23 : 0,50 + n° 24 : 0,50</t>
        </is>
      </c>
      <c r="H4207" t="n">
        <v>1</v>
      </c>
    </row>
    <row r="4208">
      <c r="A4208" t="inlineStr">
        <is>
          <t>2024-2025</t>
        </is>
      </c>
      <c r="B4208" t="inlineStr">
        <is>
          <t>2024-07-20</t>
        </is>
      </c>
      <c r="C4208" t="inlineStr">
        <is>
          <t>20:33</t>
        </is>
      </c>
      <c r="D4208" t="inlineStr">
        <is>
          <t>n° 23 + n° 24 + n° 25 + n° 26 + n° 29 + n° 30</t>
        </is>
      </c>
      <c r="E4208" t="inlineStr">
        <is>
          <t>Chocolat fondu</t>
        </is>
      </c>
      <c r="F4208" t="n">
        <v>2</v>
      </c>
      <c r="G4208" t="inlineStr">
        <is>
          <t>n° 23 : 0,50 + n° 24 : 0,50</t>
        </is>
      </c>
      <c r="H4208" t="n">
        <v>1</v>
      </c>
    </row>
    <row r="4209">
      <c r="A4209" t="inlineStr">
        <is>
          <t>2024-2025</t>
        </is>
      </c>
      <c r="B4209" t="inlineStr">
        <is>
          <t>2024-07-24</t>
        </is>
      </c>
      <c r="C4209" t="inlineStr">
        <is>
          <t>20:24</t>
        </is>
      </c>
      <c r="D4209" t="inlineStr">
        <is>
          <t>n° 27 + n° 28</t>
        </is>
      </c>
      <c r="E4209" t="inlineStr">
        <is>
          <t>Alsace Gewurztramine</t>
        </is>
      </c>
      <c r="F4209" t="n">
        <v>35</v>
      </c>
      <c r="G4209" t="inlineStr">
        <is>
          <t>n° 27 : 0,50 + n° 28 : 0,50</t>
        </is>
      </c>
      <c r="H4209" t="n">
        <v>1</v>
      </c>
    </row>
    <row r="4210">
      <c r="A4210" t="inlineStr">
        <is>
          <t>2024-2025</t>
        </is>
      </c>
      <c r="B4210" t="inlineStr">
        <is>
          <t>2024-07-24</t>
        </is>
      </c>
      <c r="C4210" t="inlineStr">
        <is>
          <t>20:24</t>
        </is>
      </c>
      <c r="D4210" t="inlineStr">
        <is>
          <t>n° 27 + n° 28</t>
        </is>
      </c>
      <c r="E4210" t="inlineStr">
        <is>
          <t>Menu Bourguignon</t>
        </is>
      </c>
      <c r="F4210" t="n">
        <v>34</v>
      </c>
      <c r="G4210" t="inlineStr">
        <is>
          <t>n° 27 : 0,50 + n° 28 : 0,50</t>
        </is>
      </c>
      <c r="H4210" t="n">
        <v>1</v>
      </c>
    </row>
    <row r="4211">
      <c r="A4211" t="inlineStr">
        <is>
          <t>2024-2025</t>
        </is>
      </c>
      <c r="B4211" t="inlineStr">
        <is>
          <t>2024-07-24</t>
        </is>
      </c>
      <c r="C4211" t="inlineStr">
        <is>
          <t>20:24</t>
        </is>
      </c>
      <c r="D4211" t="inlineStr">
        <is>
          <t>n° 27 + n° 28</t>
        </is>
      </c>
      <c r="E4211" t="inlineStr">
        <is>
          <t>Menu Franc-Comtois</t>
        </is>
      </c>
      <c r="F4211" t="n">
        <v>34</v>
      </c>
      <c r="G4211" t="inlineStr">
        <is>
          <t>n° 27 : 0,50 + n° 28 : 0,50</t>
        </is>
      </c>
      <c r="H4211" t="n">
        <v>1</v>
      </c>
    </row>
    <row r="4212">
      <c r="A4212" t="inlineStr">
        <is>
          <t>2024-2025</t>
        </is>
      </c>
      <c r="B4212" t="inlineStr">
        <is>
          <t>2024-07-24</t>
        </is>
      </c>
      <c r="C4212" t="inlineStr">
        <is>
          <t>20:24</t>
        </is>
      </c>
      <c r="D4212" t="inlineStr">
        <is>
          <t>n° 27 + n° 28</t>
        </is>
      </c>
      <c r="E4212" t="inlineStr">
        <is>
          <t>Entrecôte grillée</t>
        </is>
      </c>
      <c r="F4212" t="n">
        <v>19.9</v>
      </c>
      <c r="G4212" t="inlineStr">
        <is>
          <t>n° 27 : 0,50 + n° 28 : 0,50</t>
        </is>
      </c>
      <c r="H4212" t="n">
        <v>1</v>
      </c>
    </row>
    <row r="4213">
      <c r="A4213" t="inlineStr">
        <is>
          <t>2024-2025</t>
        </is>
      </c>
      <c r="B4213" t="inlineStr">
        <is>
          <t>2024-07-24</t>
        </is>
      </c>
      <c r="C4213" t="inlineStr">
        <is>
          <t>20:24</t>
        </is>
      </c>
      <c r="D4213" t="inlineStr">
        <is>
          <t>n° 27 + n° 28</t>
        </is>
      </c>
      <c r="E4213" t="inlineStr">
        <is>
          <t>TANTELIN</t>
        </is>
      </c>
      <c r="F4213" t="n">
        <v>17.4</v>
      </c>
      <c r="G4213" t="inlineStr">
        <is>
          <t>n° 27 : 0,50 + n° 28 : 0,50</t>
        </is>
      </c>
      <c r="H4213" t="n">
        <v>1</v>
      </c>
    </row>
    <row r="4214">
      <c r="A4214" t="inlineStr">
        <is>
          <t>2024-2025</t>
        </is>
      </c>
      <c r="B4214" t="inlineStr">
        <is>
          <t>2024-07-24</t>
        </is>
      </c>
      <c r="C4214" t="inlineStr">
        <is>
          <t>20:24</t>
        </is>
      </c>
      <c r="D4214" t="inlineStr">
        <is>
          <t>n° 27 + n° 28</t>
        </is>
      </c>
      <c r="E4214" t="inlineStr">
        <is>
          <t>Chèvre  chaud</t>
        </is>
      </c>
      <c r="F4214" t="n">
        <v>9.6</v>
      </c>
      <c r="G4214" t="inlineStr">
        <is>
          <t>n° 27 : 0,50 + n° 28 : 0,50</t>
        </is>
      </c>
      <c r="H4214" t="n">
        <v>1</v>
      </c>
    </row>
    <row r="4215">
      <c r="A4215" t="inlineStr">
        <is>
          <t>2024-2025</t>
        </is>
      </c>
      <c r="B4215" t="inlineStr">
        <is>
          <t>2024-07-24</t>
        </is>
      </c>
      <c r="C4215" t="inlineStr">
        <is>
          <t>20:24</t>
        </is>
      </c>
      <c r="D4215" t="inlineStr">
        <is>
          <t>n° 27 + n° 28</t>
        </is>
      </c>
      <c r="E4215" t="inlineStr">
        <is>
          <t>Chat perché</t>
        </is>
      </c>
      <c r="F4215" t="n">
        <v>5.9</v>
      </c>
      <c r="G4215" t="inlineStr">
        <is>
          <t>n° 27 : 0,50 + n° 28 : 0,50</t>
        </is>
      </c>
      <c r="H4215" t="n">
        <v>1</v>
      </c>
    </row>
    <row r="4216">
      <c r="A4216" t="inlineStr">
        <is>
          <t>2024-2025</t>
        </is>
      </c>
      <c r="B4216" t="inlineStr">
        <is>
          <t>2024-07-24</t>
        </is>
      </c>
      <c r="C4216" t="inlineStr">
        <is>
          <t>20:24</t>
        </is>
      </c>
      <c r="D4216" t="inlineStr">
        <is>
          <t>n° 27 + n° 28</t>
        </is>
      </c>
      <c r="E4216" t="inlineStr">
        <is>
          <t>Jus de Fruit</t>
        </is>
      </c>
      <c r="F4216" t="n">
        <v>4.2</v>
      </c>
      <c r="G4216" t="inlineStr">
        <is>
          <t>n° 27 : 0,50 + n° 28 : 0,50</t>
        </is>
      </c>
      <c r="H4216" t="n">
        <v>1</v>
      </c>
    </row>
    <row r="4217">
      <c r="A4217" t="inlineStr">
        <is>
          <t>2024-2025</t>
        </is>
      </c>
      <c r="B4217" t="inlineStr">
        <is>
          <t>2024-07-24</t>
        </is>
      </c>
      <c r="C4217" t="inlineStr">
        <is>
          <t>20:24</t>
        </is>
      </c>
      <c r="D4217" t="inlineStr">
        <is>
          <t>n° 27 + n° 28</t>
        </is>
      </c>
      <c r="E4217" t="inlineStr">
        <is>
          <t>Salade Verte</t>
        </is>
      </c>
      <c r="F4217" t="n">
        <v>2.9</v>
      </c>
      <c r="G4217" t="inlineStr">
        <is>
          <t>n° 27 : 0,50 + n° 28 : 0,50</t>
        </is>
      </c>
      <c r="H4217" t="n">
        <v>1</v>
      </c>
    </row>
    <row r="4218">
      <c r="A4218" t="inlineStr">
        <is>
          <t>2024-2025</t>
        </is>
      </c>
      <c r="B4218" t="inlineStr">
        <is>
          <t>2024-07-24</t>
        </is>
      </c>
      <c r="C4218" t="inlineStr">
        <is>
          <t>20:24</t>
        </is>
      </c>
      <c r="D4218" t="inlineStr">
        <is>
          <t>n° 27 + n° 28</t>
        </is>
      </c>
      <c r="E4218" t="inlineStr">
        <is>
          <t>Sirop à l'eau</t>
        </is>
      </c>
      <c r="F4218" t="n">
        <v>2.2</v>
      </c>
      <c r="G4218" t="inlineStr">
        <is>
          <t>n° 27 : 0,50 + n° 28 : 0,50</t>
        </is>
      </c>
      <c r="H4218" t="n">
        <v>1</v>
      </c>
    </row>
    <row r="4219">
      <c r="A4219" t="inlineStr">
        <is>
          <t>2024-2025</t>
        </is>
      </c>
      <c r="B4219" t="inlineStr">
        <is>
          <t>2024-07-25</t>
        </is>
      </c>
      <c r="C4219" t="inlineStr">
        <is>
          <t>12:00</t>
        </is>
      </c>
      <c r="D4219" t="inlineStr">
        <is>
          <t>n° 4 + n° 5</t>
        </is>
      </c>
      <c r="E4219" t="inlineStr">
        <is>
          <t>Baba</t>
        </is>
      </c>
      <c r="F4219" t="n">
        <v>8.9</v>
      </c>
      <c r="G4219" t="inlineStr">
        <is>
          <t>n° 4 : 0,50 + n° 5 : 0,50</t>
        </is>
      </c>
      <c r="H4219" t="n">
        <v>1</v>
      </c>
    </row>
    <row r="4220">
      <c r="A4220" t="inlineStr">
        <is>
          <t>2024-2025</t>
        </is>
      </c>
      <c r="B4220" t="inlineStr">
        <is>
          <t>2024-07-25</t>
        </is>
      </c>
      <c r="C4220" t="inlineStr">
        <is>
          <t>12:00</t>
        </is>
      </c>
      <c r="D4220" t="inlineStr">
        <is>
          <t>n° 4 + n° 5</t>
        </is>
      </c>
      <c r="E4220" t="inlineStr">
        <is>
          <t>GLACE 2 BOULES</t>
        </is>
      </c>
      <c r="F4220" t="n">
        <v>5.5</v>
      </c>
      <c r="G4220" t="inlineStr">
        <is>
          <t>n° 4 : 0,50 + n° 5 : 0,50</t>
        </is>
      </c>
      <c r="H4220" t="n">
        <v>1</v>
      </c>
    </row>
    <row r="4221">
      <c r="A4221" t="inlineStr">
        <is>
          <t>2024-2025</t>
        </is>
      </c>
      <c r="B4221" t="inlineStr">
        <is>
          <t>2024-07-25</t>
        </is>
      </c>
      <c r="C4221" t="inlineStr">
        <is>
          <t>12:00</t>
        </is>
      </c>
      <c r="D4221" t="inlineStr">
        <is>
          <t>n° 4 + n° 5</t>
        </is>
      </c>
      <c r="E4221" t="inlineStr">
        <is>
          <t>SAUCE CHOCO/CAFE/CAR</t>
        </is>
      </c>
      <c r="F4221" t="n">
        <v>2.4</v>
      </c>
      <c r="G4221" t="inlineStr">
        <is>
          <t>n° 4 : 0,50 + n° 5 : 0,50</t>
        </is>
      </c>
      <c r="H4221" t="n">
        <v>1</v>
      </c>
    </row>
    <row r="4222">
      <c r="A4222" t="inlineStr">
        <is>
          <t>2024-2025</t>
        </is>
      </c>
      <c r="B4222" t="inlineStr">
        <is>
          <t>2024-07-25</t>
        </is>
      </c>
      <c r="C4222" t="inlineStr">
        <is>
          <t>19:24</t>
        </is>
      </c>
      <c r="D4222" t="inlineStr">
        <is>
          <t>n° 16 + n° 17</t>
        </is>
      </c>
      <c r="E4222" t="inlineStr">
        <is>
          <t>Crémeux du Jura</t>
        </is>
      </c>
      <c r="F4222" t="n">
        <v>19</v>
      </c>
      <c r="G4222" t="inlineStr">
        <is>
          <t>n° 16 : 0,50 + n° 17 : 0,50</t>
        </is>
      </c>
      <c r="H4222" t="n">
        <v>1</v>
      </c>
    </row>
    <row r="4223">
      <c r="A4223" t="inlineStr">
        <is>
          <t>2024-2025</t>
        </is>
      </c>
      <c r="B4223" t="inlineStr">
        <is>
          <t>2024-07-25</t>
        </is>
      </c>
      <c r="C4223" t="inlineStr">
        <is>
          <t>19:24</t>
        </is>
      </c>
      <c r="D4223" t="inlineStr">
        <is>
          <t>n° 16 + n° 17</t>
        </is>
      </c>
      <c r="E4223" t="inlineStr">
        <is>
          <t>BURGER COMTOIS</t>
        </is>
      </c>
      <c r="F4223" t="n">
        <v>19</v>
      </c>
      <c r="G4223" t="inlineStr">
        <is>
          <t>n° 16 : 0,50 + n° 17 : 0,50</t>
        </is>
      </c>
      <c r="H4223" t="n">
        <v>1</v>
      </c>
    </row>
    <row r="4224">
      <c r="A4224" t="inlineStr">
        <is>
          <t>2024-2025</t>
        </is>
      </c>
      <c r="B4224" t="inlineStr">
        <is>
          <t>2024-07-25</t>
        </is>
      </c>
      <c r="C4224" t="inlineStr">
        <is>
          <t>19:24</t>
        </is>
      </c>
      <c r="D4224" t="inlineStr">
        <is>
          <t>n° 16 + n° 17</t>
        </is>
      </c>
      <c r="E4224" t="inlineStr">
        <is>
          <t>Pavlova</t>
        </is>
      </c>
      <c r="F4224" t="n">
        <v>8.9</v>
      </c>
      <c r="G4224" t="inlineStr">
        <is>
          <t>n° 16 : 0,50 + n° 17 : 0,50</t>
        </is>
      </c>
      <c r="H4224" t="n">
        <v>1</v>
      </c>
    </row>
    <row r="4225">
      <c r="A4225" t="inlineStr">
        <is>
          <t>2024-2025</t>
        </is>
      </c>
      <c r="B4225" t="inlineStr">
        <is>
          <t>2024-07-25</t>
        </is>
      </c>
      <c r="C4225" t="inlineStr">
        <is>
          <t>19:24</t>
        </is>
      </c>
      <c r="D4225" t="inlineStr">
        <is>
          <t>n° 16 + n° 17</t>
        </is>
      </c>
      <c r="E4225" t="inlineStr">
        <is>
          <t>CREME BRULEE</t>
        </is>
      </c>
      <c r="F4225" t="n">
        <v>7.9</v>
      </c>
      <c r="G4225" t="inlineStr">
        <is>
          <t>n° 16 : 0,50 + n° 17 : 0,50</t>
        </is>
      </c>
      <c r="H4225" t="n">
        <v>1</v>
      </c>
    </row>
    <row r="4226">
      <c r="A4226" t="inlineStr">
        <is>
          <t>2024-2025</t>
        </is>
      </c>
      <c r="B4226" t="inlineStr">
        <is>
          <t>2024-07-25</t>
        </is>
      </c>
      <c r="C4226" t="inlineStr">
        <is>
          <t>20:45</t>
        </is>
      </c>
      <c r="D4226" t="inlineStr">
        <is>
          <t>n° 29 + n° 30</t>
        </is>
      </c>
      <c r="E4226" t="inlineStr">
        <is>
          <t>TRUITE JURASSIENNE</t>
        </is>
      </c>
      <c r="F4226" t="n">
        <v>18.6</v>
      </c>
      <c r="G4226" t="inlineStr">
        <is>
          <t>n° 29 : 0,50 + n° 30 : 0,50</t>
        </is>
      </c>
      <c r="H4226" t="n">
        <v>1</v>
      </c>
    </row>
    <row r="4227">
      <c r="A4227" t="inlineStr">
        <is>
          <t>2024-2025</t>
        </is>
      </c>
      <c r="B4227" t="inlineStr">
        <is>
          <t>2024-07-25</t>
        </is>
      </c>
      <c r="C4227" t="inlineStr">
        <is>
          <t>20:45</t>
        </is>
      </c>
      <c r="D4227" t="inlineStr">
        <is>
          <t>n° 29 + n° 30</t>
        </is>
      </c>
      <c r="E4227" t="inlineStr">
        <is>
          <t>ECRESSI</t>
        </is>
      </c>
      <c r="F4227" t="n">
        <v>15.5</v>
      </c>
      <c r="G4227" t="inlineStr">
        <is>
          <t>n° 29 : 0,50 + n° 30 : 0,50</t>
        </is>
      </c>
      <c r="H4227" t="n">
        <v>1</v>
      </c>
    </row>
    <row r="4228">
      <c r="A4228" t="inlineStr">
        <is>
          <t>2024-2025</t>
        </is>
      </c>
      <c r="B4228" t="inlineStr">
        <is>
          <t>2024-07-28</t>
        </is>
      </c>
      <c r="C4228" t="inlineStr">
        <is>
          <t>20:04</t>
        </is>
      </c>
      <c r="D4228" t="inlineStr">
        <is>
          <t>n° 21 + n° 22</t>
        </is>
      </c>
      <c r="E4228" t="inlineStr">
        <is>
          <t>Arbois Chardonnay Le</t>
        </is>
      </c>
      <c r="F4228" t="n">
        <v>29</v>
      </c>
      <c r="G4228" t="inlineStr">
        <is>
          <t>n° 21 : 0,50 + n° 22 : 0,50</t>
        </is>
      </c>
      <c r="H4228" t="n">
        <v>1</v>
      </c>
    </row>
    <row r="4229">
      <c r="A4229" t="inlineStr">
        <is>
          <t>2024-2025</t>
        </is>
      </c>
      <c r="B4229" t="inlineStr">
        <is>
          <t>2024-07-28</t>
        </is>
      </c>
      <c r="C4229" t="inlineStr">
        <is>
          <t>20:04</t>
        </is>
      </c>
      <c r="D4229" t="inlineStr">
        <is>
          <t>n° 21 + n° 22</t>
        </is>
      </c>
      <c r="E4229" t="inlineStr">
        <is>
          <t>Truite Morilles</t>
        </is>
      </c>
      <c r="F4229" t="n">
        <v>27.8</v>
      </c>
      <c r="G4229" t="inlineStr">
        <is>
          <t>n° 21 : 0,50 + n° 22 : 0,50</t>
        </is>
      </c>
      <c r="H4229" t="n">
        <v>1</v>
      </c>
    </row>
    <row r="4230">
      <c r="A4230" t="inlineStr">
        <is>
          <t>2024-2025</t>
        </is>
      </c>
      <c r="B4230" t="inlineStr">
        <is>
          <t>2024-07-28</t>
        </is>
      </c>
      <c r="C4230" t="inlineStr">
        <is>
          <t>20:04</t>
        </is>
      </c>
      <c r="D4230" t="inlineStr">
        <is>
          <t>n° 21 + n° 22</t>
        </is>
      </c>
      <c r="E4230" t="inlineStr">
        <is>
          <t>Crémeux du Jura</t>
        </is>
      </c>
      <c r="F4230" t="n">
        <v>19</v>
      </c>
      <c r="G4230" t="inlineStr">
        <is>
          <t>n° 21 : 0,50 + n° 22 : 0,50</t>
        </is>
      </c>
      <c r="H4230" t="n">
        <v>1</v>
      </c>
    </row>
    <row r="4231">
      <c r="A4231" t="inlineStr">
        <is>
          <t>2024-2025</t>
        </is>
      </c>
      <c r="B4231" t="inlineStr">
        <is>
          <t>2024-07-31</t>
        </is>
      </c>
      <c r="C4231" t="inlineStr">
        <is>
          <t>20:15</t>
        </is>
      </c>
      <c r="D4231" t="inlineStr">
        <is>
          <t>n° 33 + n° 34</t>
        </is>
      </c>
      <c r="E4231" t="inlineStr">
        <is>
          <t>BURGER COMTOIS</t>
        </is>
      </c>
      <c r="F4231" t="n">
        <v>19</v>
      </c>
      <c r="G4231" t="inlineStr">
        <is>
          <t>n° 33 : 0,50 + n° 34 : 0,50</t>
        </is>
      </c>
      <c r="H4231" t="n">
        <v>1</v>
      </c>
    </row>
    <row r="4232">
      <c r="A4232" t="inlineStr">
        <is>
          <t>2024-2025</t>
        </is>
      </c>
      <c r="B4232" t="inlineStr">
        <is>
          <t>2024-07-31</t>
        </is>
      </c>
      <c r="C4232" t="inlineStr">
        <is>
          <t>20:15</t>
        </is>
      </c>
      <c r="D4232" t="inlineStr">
        <is>
          <t>n° 33 + n° 34</t>
        </is>
      </c>
      <c r="E4232" t="inlineStr">
        <is>
          <t>MORTEAU GRILLEE</t>
        </is>
      </c>
      <c r="F4232" t="n">
        <v>18.6</v>
      </c>
      <c r="G4232" t="inlineStr">
        <is>
          <t>n° 33 : 0,50 + n° 34 : 0,50</t>
        </is>
      </c>
      <c r="H4232" t="n">
        <v>1</v>
      </c>
    </row>
    <row r="4233">
      <c r="A4233" t="inlineStr">
        <is>
          <t>2024-2025</t>
        </is>
      </c>
      <c r="B4233" t="inlineStr">
        <is>
          <t>2024-07-31</t>
        </is>
      </c>
      <c r="C4233" t="inlineStr">
        <is>
          <t>20:15</t>
        </is>
      </c>
      <c r="D4233" t="inlineStr">
        <is>
          <t>n° 33 + n° 34</t>
        </is>
      </c>
      <c r="E4233" t="inlineStr">
        <is>
          <t>Jus de Fruit</t>
        </is>
      </c>
      <c r="F4233" t="n">
        <v>4.2</v>
      </c>
      <c r="G4233" t="inlineStr">
        <is>
          <t>n° 33 : 0,50 + n° 34 : 0,50</t>
        </is>
      </c>
      <c r="H4233" t="n">
        <v>1</v>
      </c>
    </row>
    <row r="4234">
      <c r="A4234" t="inlineStr">
        <is>
          <t>2024-2025</t>
        </is>
      </c>
      <c r="B4234" t="inlineStr">
        <is>
          <t>2024-07-31</t>
        </is>
      </c>
      <c r="C4234" t="inlineStr">
        <is>
          <t>20:15</t>
        </is>
      </c>
      <c r="D4234" t="inlineStr">
        <is>
          <t>n° 33 + n° 34</t>
        </is>
      </c>
      <c r="E4234" t="inlineStr">
        <is>
          <t>Schweppes</t>
        </is>
      </c>
      <c r="F4234" t="n">
        <v>3.9</v>
      </c>
      <c r="G4234" t="inlineStr">
        <is>
          <t>n° 33 : 0,50 + n° 34 : 0,50</t>
        </is>
      </c>
      <c r="H4234" t="n">
        <v>1</v>
      </c>
    </row>
    <row r="4235">
      <c r="A4235" t="inlineStr">
        <is>
          <t>2024-2025</t>
        </is>
      </c>
      <c r="B4235" t="inlineStr">
        <is>
          <t>2024-07-31</t>
        </is>
      </c>
      <c r="C4235" t="inlineStr">
        <is>
          <t>20:15</t>
        </is>
      </c>
      <c r="D4235" t="inlineStr">
        <is>
          <t>n° 33 + n° 34</t>
        </is>
      </c>
      <c r="E4235" t="inlineStr">
        <is>
          <t>Expresso</t>
        </is>
      </c>
      <c r="F4235" t="n">
        <v>2.2</v>
      </c>
      <c r="G4235" t="inlineStr">
        <is>
          <t>n° 33 : 0,50 + n° 34 : 0,50</t>
        </is>
      </c>
      <c r="H4235" t="n">
        <v>1</v>
      </c>
    </row>
    <row r="4236">
      <c r="A4236" t="inlineStr">
        <is>
          <t>2024-2025</t>
        </is>
      </c>
      <c r="B4236" t="inlineStr">
        <is>
          <t>2024-07-31</t>
        </is>
      </c>
      <c r="C4236" t="inlineStr">
        <is>
          <t>21:15</t>
        </is>
      </c>
      <c r="D4236" t="inlineStr">
        <is>
          <t>n° 40 + n° 41</t>
        </is>
      </c>
      <c r="E4236" t="inlineStr">
        <is>
          <t>MACHON GOURMET</t>
        </is>
      </c>
      <c r="F4236" t="n">
        <v>25</v>
      </c>
      <c r="G4236" t="inlineStr">
        <is>
          <t>n° 40 : 0,50 + n° 41 : 0,50</t>
        </is>
      </c>
      <c r="H4236" t="n">
        <v>1</v>
      </c>
    </row>
    <row r="4237">
      <c r="A4237" t="inlineStr">
        <is>
          <t>2024-2025</t>
        </is>
      </c>
      <c r="B4237" t="inlineStr">
        <is>
          <t>2024-07-31</t>
        </is>
      </c>
      <c r="C4237" t="inlineStr">
        <is>
          <t>21:15</t>
        </is>
      </c>
      <c r="D4237" t="inlineStr">
        <is>
          <t>n° 40 + n° 41</t>
        </is>
      </c>
      <c r="E4237" t="inlineStr">
        <is>
          <t>CAMEMBERT ROTI</t>
        </is>
      </c>
      <c r="F4237" t="n">
        <v>18.6</v>
      </c>
      <c r="G4237" t="inlineStr">
        <is>
          <t>n° 40 : 0,50 + n° 41 : 0,50</t>
        </is>
      </c>
      <c r="H4237" t="n">
        <v>1</v>
      </c>
    </row>
    <row r="4238">
      <c r="A4238" t="inlineStr">
        <is>
          <t>2024-2025</t>
        </is>
      </c>
      <c r="B4238" t="inlineStr">
        <is>
          <t>2024-07-31</t>
        </is>
      </c>
      <c r="C4238" t="inlineStr">
        <is>
          <t>21:15</t>
        </is>
      </c>
      <c r="D4238" t="inlineStr">
        <is>
          <t>n° 40 + n° 41</t>
        </is>
      </c>
      <c r="E4238" t="inlineStr">
        <is>
          <t>CAPRICE</t>
        </is>
      </c>
      <c r="F4238" t="n">
        <v>12</v>
      </c>
      <c r="G4238" t="inlineStr">
        <is>
          <t>n° 40 : 0,50 + n° 41 : 0,50</t>
        </is>
      </c>
      <c r="H4238" t="n">
        <v>1</v>
      </c>
    </row>
    <row r="4239">
      <c r="A4239" t="inlineStr">
        <is>
          <t>2024-2025</t>
        </is>
      </c>
      <c r="B4239" t="inlineStr">
        <is>
          <t>2024-07-31</t>
        </is>
      </c>
      <c r="C4239" t="inlineStr">
        <is>
          <t>21:15</t>
        </is>
      </c>
      <c r="D4239" t="inlineStr">
        <is>
          <t>n° 40 + n° 41</t>
        </is>
      </c>
      <c r="E4239" t="inlineStr">
        <is>
          <t>Diabolo (25cl)</t>
        </is>
      </c>
      <c r="F4239" t="n">
        <v>3.9</v>
      </c>
      <c r="G4239" t="inlineStr">
        <is>
          <t>n° 40 : 0,50 + n° 41 : 0,50</t>
        </is>
      </c>
      <c r="H4239" t="n">
        <v>1</v>
      </c>
    </row>
    <row r="4240">
      <c r="A4240" t="inlineStr">
        <is>
          <t>2024-2025</t>
        </is>
      </c>
      <c r="B4240" t="inlineStr">
        <is>
          <t>2024-07-31</t>
        </is>
      </c>
      <c r="C4240" t="inlineStr">
        <is>
          <t>21:15</t>
        </is>
      </c>
      <c r="D4240" t="inlineStr">
        <is>
          <t>n° 40 + n° 41</t>
        </is>
      </c>
      <c r="E4240" t="inlineStr">
        <is>
          <t>Limonade (25cl)</t>
        </is>
      </c>
      <c r="F4240" t="n">
        <v>3.9</v>
      </c>
      <c r="G4240" t="inlineStr">
        <is>
          <t>n° 40 : 0,50 + n° 41 : 0,50</t>
        </is>
      </c>
      <c r="H4240" t="n">
        <v>1</v>
      </c>
    </row>
    <row r="4241">
      <c r="A4241" t="inlineStr">
        <is>
          <t>2024-2025</t>
        </is>
      </c>
      <c r="B4241" t="inlineStr">
        <is>
          <t>2024-07-31</t>
        </is>
      </c>
      <c r="C4241" t="inlineStr">
        <is>
          <t>21:15</t>
        </is>
      </c>
      <c r="D4241" t="inlineStr">
        <is>
          <t>n° 40 + n° 41</t>
        </is>
      </c>
      <c r="E4241" t="inlineStr">
        <is>
          <t>Crêpe Cassonade</t>
        </is>
      </c>
      <c r="F4241" t="n">
        <v>3.9</v>
      </c>
      <c r="G4241" t="inlineStr">
        <is>
          <t>n° 40 : 0,50 + n° 41 : 0,50</t>
        </is>
      </c>
      <c r="H4241" t="n">
        <v>1</v>
      </c>
    </row>
    <row r="4242">
      <c r="A4242" t="inlineStr">
        <is>
          <t>2024-2025</t>
        </is>
      </c>
      <c r="B4242" t="inlineStr">
        <is>
          <t>2024-07-31</t>
        </is>
      </c>
      <c r="C4242" t="inlineStr">
        <is>
          <t>21:15</t>
        </is>
      </c>
      <c r="D4242" t="inlineStr">
        <is>
          <t>n° 40 + n° 41</t>
        </is>
      </c>
      <c r="E4242" t="inlineStr">
        <is>
          <t>Thé</t>
        </is>
      </c>
      <c r="F4242" t="n">
        <v>3.4</v>
      </c>
      <c r="G4242" t="inlineStr">
        <is>
          <t>n° 40 : 0,50 + n° 41 : 0,50</t>
        </is>
      </c>
      <c r="H4242" t="n">
        <v>1</v>
      </c>
    </row>
    <row r="4243">
      <c r="A4243" t="inlineStr">
        <is>
          <t>2024-2025</t>
        </is>
      </c>
      <c r="B4243" t="inlineStr">
        <is>
          <t>2024-07-31</t>
        </is>
      </c>
      <c r="C4243" t="inlineStr">
        <is>
          <t>21:15</t>
        </is>
      </c>
      <c r="D4243" t="inlineStr">
        <is>
          <t>n° 40 + n° 41</t>
        </is>
      </c>
      <c r="E4243" t="inlineStr">
        <is>
          <t>Infusion</t>
        </is>
      </c>
      <c r="F4243" t="n">
        <v>3.4</v>
      </c>
      <c r="G4243" t="inlineStr">
        <is>
          <t>n° 40 : 0,50 + n° 41 : 0,50</t>
        </is>
      </c>
      <c r="H4243" t="n">
        <v>1</v>
      </c>
    </row>
    <row r="4244">
      <c r="A4244" t="inlineStr">
        <is>
          <t>2024-2025</t>
        </is>
      </c>
      <c r="B4244" t="inlineStr">
        <is>
          <t>2024-07-31</t>
        </is>
      </c>
      <c r="C4244" t="inlineStr">
        <is>
          <t>21:15</t>
        </is>
      </c>
      <c r="D4244" t="inlineStr">
        <is>
          <t>n° 40 + n° 41</t>
        </is>
      </c>
      <c r="E4244" t="inlineStr">
        <is>
          <t>CHANTILLY</t>
        </is>
      </c>
      <c r="F4244" t="n">
        <v>2.5</v>
      </c>
      <c r="G4244" t="inlineStr">
        <is>
          <t>n° 40 : 0,50 + n° 41 : 0,50</t>
        </is>
      </c>
      <c r="H4244" t="n">
        <v>1</v>
      </c>
    </row>
    <row r="4245">
      <c r="A4245" t="inlineStr">
        <is>
          <t>2024-2025</t>
        </is>
      </c>
      <c r="B4245" t="inlineStr">
        <is>
          <t>2024-08-01</t>
        </is>
      </c>
      <c r="C4245" t="inlineStr">
        <is>
          <t>21:14</t>
        </is>
      </c>
      <c r="D4245" t="inlineStr">
        <is>
          <t>n° 32 + n° 33</t>
        </is>
      </c>
      <c r="E4245" t="inlineStr">
        <is>
          <t>BURGER COMTOIS</t>
        </is>
      </c>
      <c r="F4245" t="n">
        <v>19</v>
      </c>
      <c r="G4245" t="inlineStr">
        <is>
          <t>n° 32 : 0,50 + n° 33 : 0,50</t>
        </is>
      </c>
      <c r="H4245" t="n">
        <v>1</v>
      </c>
    </row>
    <row r="4246">
      <c r="A4246" t="inlineStr">
        <is>
          <t>2024-2025</t>
        </is>
      </c>
      <c r="B4246" t="inlineStr">
        <is>
          <t>2024-08-01</t>
        </is>
      </c>
      <c r="C4246" t="inlineStr">
        <is>
          <t>21:14</t>
        </is>
      </c>
      <c r="D4246" t="inlineStr">
        <is>
          <t>n° 32 + n° 33</t>
        </is>
      </c>
      <c r="E4246" t="inlineStr">
        <is>
          <t>CAMEMBERT ROTI</t>
        </is>
      </c>
      <c r="F4246" t="n">
        <v>18.6</v>
      </c>
      <c r="G4246" t="inlineStr">
        <is>
          <t>n° 32 : 0,50 + n° 33 : 0,50</t>
        </is>
      </c>
      <c r="H4246" t="n">
        <v>1</v>
      </c>
    </row>
    <row r="4247">
      <c r="A4247" t="inlineStr">
        <is>
          <t>2024-2025</t>
        </is>
      </c>
      <c r="B4247" t="inlineStr">
        <is>
          <t>2024-08-01</t>
        </is>
      </c>
      <c r="C4247" t="inlineStr">
        <is>
          <t>21:14</t>
        </is>
      </c>
      <c r="D4247" t="inlineStr">
        <is>
          <t>n° 32 + n° 33</t>
        </is>
      </c>
      <c r="E4247" t="inlineStr">
        <is>
          <t>Pavlova</t>
        </is>
      </c>
      <c r="F4247" t="n">
        <v>8.9</v>
      </c>
      <c r="G4247" t="inlineStr">
        <is>
          <t>n° 32 : 0,50 + n° 33 : 0,50</t>
        </is>
      </c>
      <c r="H4247" t="n">
        <v>1</v>
      </c>
    </row>
    <row r="4248">
      <c r="A4248" t="inlineStr">
        <is>
          <t>2024-2025</t>
        </is>
      </c>
      <c r="B4248" t="inlineStr">
        <is>
          <t>2024-08-01</t>
        </is>
      </c>
      <c r="C4248" t="inlineStr">
        <is>
          <t>21:14</t>
        </is>
      </c>
      <c r="D4248" t="inlineStr">
        <is>
          <t>n° 32 + n° 33</t>
        </is>
      </c>
      <c r="E4248" t="inlineStr">
        <is>
          <t>Crêpe Nutella</t>
        </is>
      </c>
      <c r="F4248" t="n">
        <v>4.9</v>
      </c>
      <c r="G4248" t="inlineStr">
        <is>
          <t>n° 32 : 0,50 + n° 33 : 0,50</t>
        </is>
      </c>
      <c r="H4248" t="n">
        <v>1</v>
      </c>
    </row>
    <row r="4249">
      <c r="A4249" t="inlineStr">
        <is>
          <t>2024-2025</t>
        </is>
      </c>
      <c r="B4249" t="inlineStr">
        <is>
          <t>2024-08-01</t>
        </is>
      </c>
      <c r="C4249" t="inlineStr">
        <is>
          <t>21:14</t>
        </is>
      </c>
      <c r="D4249" t="inlineStr">
        <is>
          <t>n° 32 + n° 33</t>
        </is>
      </c>
      <c r="E4249" t="inlineStr">
        <is>
          <t>Pommes cuites</t>
        </is>
      </c>
      <c r="F4249" t="n">
        <v>3.2</v>
      </c>
      <c r="G4249" t="inlineStr">
        <is>
          <t>n° 32 : 0,50 + n° 33 : 0,50</t>
        </is>
      </c>
      <c r="H4249" t="n">
        <v>1</v>
      </c>
    </row>
    <row r="4250">
      <c r="A4250" t="inlineStr">
        <is>
          <t>2024-2025</t>
        </is>
      </c>
      <c r="B4250" t="inlineStr">
        <is>
          <t>2024-08-03</t>
        </is>
      </c>
      <c r="C4250" t="inlineStr">
        <is>
          <t>20:01</t>
        </is>
      </c>
      <c r="D4250" t="inlineStr">
        <is>
          <t>n° 25 + n° 26</t>
        </is>
      </c>
      <c r="E4250" t="inlineStr">
        <is>
          <t>Crémeux du Jura</t>
        </is>
      </c>
      <c r="F4250" t="n">
        <v>19</v>
      </c>
      <c r="G4250" t="inlineStr">
        <is>
          <t>n° 25 : 0,50 + n° 26 : 0,50</t>
        </is>
      </c>
      <c r="H4250" t="n">
        <v>1</v>
      </c>
    </row>
    <row r="4251">
      <c r="A4251" t="inlineStr">
        <is>
          <t>2024-2025</t>
        </is>
      </c>
      <c r="B4251" t="inlineStr">
        <is>
          <t>2024-08-03</t>
        </is>
      </c>
      <c r="C4251" t="inlineStr">
        <is>
          <t>20:01</t>
        </is>
      </c>
      <c r="D4251" t="inlineStr">
        <is>
          <t>n° 25 + n° 26</t>
        </is>
      </c>
      <c r="E4251" t="inlineStr">
        <is>
          <t>CAMEMBERT ROTI</t>
        </is>
      </c>
      <c r="F4251" t="n">
        <v>18.6</v>
      </c>
      <c r="G4251" t="inlineStr">
        <is>
          <t>n° 25 : 0,50 + n° 26 : 0,50</t>
        </is>
      </c>
      <c r="H4251" t="n">
        <v>1</v>
      </c>
    </row>
    <row r="4252">
      <c r="A4252" t="inlineStr">
        <is>
          <t>2024-2025</t>
        </is>
      </c>
      <c r="B4252" t="inlineStr">
        <is>
          <t>2024-08-03</t>
        </is>
      </c>
      <c r="C4252" t="inlineStr">
        <is>
          <t>20:01</t>
        </is>
      </c>
      <c r="D4252" t="inlineStr">
        <is>
          <t>n° 25 + n° 26</t>
        </is>
      </c>
      <c r="E4252" t="inlineStr">
        <is>
          <t>MORTEAU GRILLEE</t>
        </is>
      </c>
      <c r="F4252" t="n">
        <v>18.6</v>
      </c>
      <c r="G4252" t="inlineStr">
        <is>
          <t>n° 25 : 0,50 + n° 26 : 0,50</t>
        </is>
      </c>
      <c r="H4252" t="n">
        <v>1</v>
      </c>
    </row>
    <row r="4253">
      <c r="A4253" t="inlineStr">
        <is>
          <t>2024-2025</t>
        </is>
      </c>
      <c r="B4253" t="inlineStr">
        <is>
          <t>2024-08-03</t>
        </is>
      </c>
      <c r="C4253" t="inlineStr">
        <is>
          <t>20:01</t>
        </is>
      </c>
      <c r="D4253" t="inlineStr">
        <is>
          <t>n° 25 + n° 26</t>
        </is>
      </c>
      <c r="E4253" t="inlineStr">
        <is>
          <t>CUPIDON</t>
        </is>
      </c>
      <c r="F4253" t="n">
        <v>9.300000000000001</v>
      </c>
      <c r="G4253" t="inlineStr">
        <is>
          <t>n° 25 : 0,50 + n° 26 : 0,50</t>
        </is>
      </c>
      <c r="H4253" t="n">
        <v>1</v>
      </c>
    </row>
    <row r="4254">
      <c r="A4254" t="inlineStr">
        <is>
          <t>2024-2025</t>
        </is>
      </c>
      <c r="B4254" t="inlineStr">
        <is>
          <t>2024-08-03</t>
        </is>
      </c>
      <c r="C4254" t="inlineStr">
        <is>
          <t>20:01</t>
        </is>
      </c>
      <c r="D4254" t="inlineStr">
        <is>
          <t>n° 25 + n° 26</t>
        </is>
      </c>
      <c r="E4254" t="inlineStr">
        <is>
          <t>Mambo</t>
        </is>
      </c>
      <c r="F4254" t="n">
        <v>6.5</v>
      </c>
      <c r="G4254" t="inlineStr">
        <is>
          <t>n° 25 : 0,50 + n° 26 : 0,50</t>
        </is>
      </c>
      <c r="H4254" t="n">
        <v>1</v>
      </c>
    </row>
    <row r="4255">
      <c r="A4255" t="inlineStr">
        <is>
          <t>2024-2025</t>
        </is>
      </c>
      <c r="B4255" t="inlineStr">
        <is>
          <t>2024-08-03</t>
        </is>
      </c>
      <c r="C4255" t="inlineStr">
        <is>
          <t>20:01</t>
        </is>
      </c>
      <c r="D4255" t="inlineStr">
        <is>
          <t>n° 25 + n° 26</t>
        </is>
      </c>
      <c r="E4255" t="inlineStr">
        <is>
          <t>Luna</t>
        </is>
      </c>
      <c r="F4255" t="n">
        <v>6</v>
      </c>
      <c r="G4255" t="inlineStr">
        <is>
          <t>n° 25 : 0,50 + n° 26 : 0,50</t>
        </is>
      </c>
      <c r="H4255" t="n">
        <v>1</v>
      </c>
    </row>
    <row r="4256">
      <c r="A4256" t="inlineStr">
        <is>
          <t>2024-2025</t>
        </is>
      </c>
      <c r="B4256" t="inlineStr">
        <is>
          <t>2024-08-03</t>
        </is>
      </c>
      <c r="C4256" t="inlineStr">
        <is>
          <t>20:01</t>
        </is>
      </c>
      <c r="D4256" t="inlineStr">
        <is>
          <t>n° 25 + n° 26</t>
        </is>
      </c>
      <c r="E4256" t="inlineStr">
        <is>
          <t>FANTA</t>
        </is>
      </c>
      <c r="F4256" t="n">
        <v>3.9</v>
      </c>
      <c r="G4256" t="inlineStr">
        <is>
          <t>n° 25 : 0,50 + n° 26 : 0,50</t>
        </is>
      </c>
      <c r="H4256" t="n">
        <v>1</v>
      </c>
    </row>
    <row r="4257">
      <c r="A4257" t="inlineStr">
        <is>
          <t>2024-2025</t>
        </is>
      </c>
      <c r="B4257" t="inlineStr">
        <is>
          <t>2024-08-04</t>
        </is>
      </c>
      <c r="C4257" t="inlineStr">
        <is>
          <t>20:34</t>
        </is>
      </c>
      <c r="D4257" t="inlineStr">
        <is>
          <t>n° 19 + n° 20</t>
        </is>
      </c>
      <c r="E4257" t="inlineStr">
        <is>
          <t>Entrecôte grillée</t>
        </is>
      </c>
      <c r="F4257" t="n">
        <v>19.9</v>
      </c>
      <c r="G4257" t="inlineStr">
        <is>
          <t>n° 19 : 0,50 + n° 20 : 0,50</t>
        </is>
      </c>
      <c r="H4257" t="n">
        <v>1</v>
      </c>
    </row>
    <row r="4258">
      <c r="A4258" t="inlineStr">
        <is>
          <t>2024-2025</t>
        </is>
      </c>
      <c r="B4258" t="inlineStr">
        <is>
          <t>2024-08-04</t>
        </is>
      </c>
      <c r="C4258" t="inlineStr">
        <is>
          <t>20:34</t>
        </is>
      </c>
      <c r="D4258" t="inlineStr">
        <is>
          <t>n° 19 + n° 20</t>
        </is>
      </c>
      <c r="E4258" t="inlineStr">
        <is>
          <t>Menu 'Galette'</t>
        </is>
      </c>
      <c r="F4258" t="n">
        <v>19.5</v>
      </c>
      <c r="G4258" t="inlineStr">
        <is>
          <t>n° 19 : 0,50 + n° 20 : 0,50</t>
        </is>
      </c>
      <c r="H4258" t="n">
        <v>1</v>
      </c>
    </row>
    <row r="4259">
      <c r="A4259" t="inlineStr">
        <is>
          <t>2024-2025</t>
        </is>
      </c>
      <c r="B4259" t="inlineStr">
        <is>
          <t>2024-08-04</t>
        </is>
      </c>
      <c r="C4259" t="inlineStr">
        <is>
          <t>20:34</t>
        </is>
      </c>
      <c r="D4259" t="inlineStr">
        <is>
          <t>n° 19 + n° 20</t>
        </is>
      </c>
      <c r="E4259" t="inlineStr">
        <is>
          <t>CAMEMBERT ROTI</t>
        </is>
      </c>
      <c r="F4259" t="n">
        <v>18.6</v>
      </c>
      <c r="G4259" t="inlineStr">
        <is>
          <t>n° 19 : 0,50 + n° 20 : 0,50</t>
        </is>
      </c>
      <c r="H4259" t="n">
        <v>1</v>
      </c>
    </row>
    <row r="4260">
      <c r="A4260" t="inlineStr">
        <is>
          <t>2024-2025</t>
        </is>
      </c>
      <c r="B4260" t="inlineStr">
        <is>
          <t>2024-08-04</t>
        </is>
      </c>
      <c r="C4260" t="inlineStr">
        <is>
          <t>20:34</t>
        </is>
      </c>
      <c r="D4260" t="inlineStr">
        <is>
          <t>n° 19 + n° 20</t>
        </is>
      </c>
      <c r="E4260" t="inlineStr">
        <is>
          <t>Cidre Bouché Doux</t>
        </is>
      </c>
      <c r="F4260" t="n">
        <v>16</v>
      </c>
      <c r="G4260" t="inlineStr">
        <is>
          <t>n° 19 : 0,50 + n° 20 : 0,50</t>
        </is>
      </c>
      <c r="H4260" t="n">
        <v>1</v>
      </c>
    </row>
    <row r="4261">
      <c r="A4261" t="inlineStr">
        <is>
          <t>2024-2025</t>
        </is>
      </c>
      <c r="B4261" t="inlineStr">
        <is>
          <t>2024-08-04</t>
        </is>
      </c>
      <c r="C4261" t="inlineStr">
        <is>
          <t>20:34</t>
        </is>
      </c>
      <c r="D4261" t="inlineStr">
        <is>
          <t>n° 19 + n° 20</t>
        </is>
      </c>
      <c r="E4261" t="inlineStr">
        <is>
          <t>VOUIVRE</t>
        </is>
      </c>
      <c r="F4261" t="n">
        <v>14.6</v>
      </c>
      <c r="G4261" t="inlineStr">
        <is>
          <t>n° 19 : 0,50 + n° 20 : 0,50</t>
        </is>
      </c>
      <c r="H4261" t="n">
        <v>1</v>
      </c>
    </row>
    <row r="4262">
      <c r="A4262" t="inlineStr">
        <is>
          <t>2024-2025</t>
        </is>
      </c>
      <c r="B4262" t="inlineStr">
        <is>
          <t>2024-08-04</t>
        </is>
      </c>
      <c r="C4262" t="inlineStr">
        <is>
          <t>20:34</t>
        </is>
      </c>
      <c r="D4262" t="inlineStr">
        <is>
          <t>n° 19 + n° 20</t>
        </is>
      </c>
      <c r="E4262" t="inlineStr">
        <is>
          <t>CALIN</t>
        </is>
      </c>
      <c r="F4262" t="n">
        <v>11.8</v>
      </c>
      <c r="G4262" t="inlineStr">
        <is>
          <t>n° 19 : 0,50 + n° 20 : 0,50</t>
        </is>
      </c>
      <c r="H4262" t="n">
        <v>1</v>
      </c>
    </row>
    <row r="4263">
      <c r="A4263" t="inlineStr">
        <is>
          <t>2024-2025</t>
        </is>
      </c>
      <c r="B4263" t="inlineStr">
        <is>
          <t>2024-08-04</t>
        </is>
      </c>
      <c r="C4263" t="inlineStr">
        <is>
          <t>20:34</t>
        </is>
      </c>
      <c r="D4263" t="inlineStr">
        <is>
          <t>n° 19 + n° 20</t>
        </is>
      </c>
      <c r="E4263" t="inlineStr">
        <is>
          <t>BALIDOU</t>
        </is>
      </c>
      <c r="F4263" t="n">
        <v>9</v>
      </c>
      <c r="G4263" t="inlineStr">
        <is>
          <t>n° 19 : 0,50 + n° 20 : 0,50</t>
        </is>
      </c>
      <c r="H4263" t="n">
        <v>1</v>
      </c>
    </row>
    <row r="4264">
      <c r="A4264" t="inlineStr">
        <is>
          <t>2024-2025</t>
        </is>
      </c>
      <c r="B4264" t="inlineStr">
        <is>
          <t>2024-08-04</t>
        </is>
      </c>
      <c r="C4264" t="inlineStr">
        <is>
          <t>20:34</t>
        </is>
      </c>
      <c r="D4264" t="inlineStr">
        <is>
          <t>n° 19 + n° 20</t>
        </is>
      </c>
      <c r="E4264" t="inlineStr">
        <is>
          <t>Sol</t>
        </is>
      </c>
      <c r="F4264" t="n">
        <v>9</v>
      </c>
      <c r="G4264" t="inlineStr">
        <is>
          <t>n° 19 : 0,50 + n° 20 : 0,50</t>
        </is>
      </c>
      <c r="H4264" t="n">
        <v>1</v>
      </c>
    </row>
    <row r="4265">
      <c r="A4265" t="inlineStr">
        <is>
          <t>2024-2025</t>
        </is>
      </c>
      <c r="B4265" t="inlineStr">
        <is>
          <t>2024-08-04</t>
        </is>
      </c>
      <c r="C4265" t="inlineStr">
        <is>
          <t>20:34</t>
        </is>
      </c>
      <c r="D4265" t="inlineStr">
        <is>
          <t>n° 19 + n° 20</t>
        </is>
      </c>
      <c r="E4265" t="inlineStr">
        <is>
          <t>Steak haché</t>
        </is>
      </c>
      <c r="F4265" t="n">
        <v>7.8</v>
      </c>
      <c r="G4265" t="inlineStr">
        <is>
          <t>n° 19 : 0,50 + n° 20 : 0,50</t>
        </is>
      </c>
      <c r="H4265" t="n">
        <v>1</v>
      </c>
    </row>
    <row r="4266">
      <c r="A4266" t="inlineStr">
        <is>
          <t>2024-2025</t>
        </is>
      </c>
      <c r="B4266" t="inlineStr">
        <is>
          <t>2024-08-04</t>
        </is>
      </c>
      <c r="C4266" t="inlineStr">
        <is>
          <t>20:34</t>
        </is>
      </c>
      <c r="D4266" t="inlineStr">
        <is>
          <t>n° 19 + n° 20</t>
        </is>
      </c>
      <c r="E4266" t="inlineStr">
        <is>
          <t>Crêpe Pommes</t>
        </is>
      </c>
      <c r="F4266" t="n">
        <v>7.1</v>
      </c>
      <c r="G4266" t="inlineStr">
        <is>
          <t>n° 19 : 0,50 + n° 20 : 0,50</t>
        </is>
      </c>
      <c r="H4266" t="n">
        <v>1</v>
      </c>
    </row>
    <row r="4267">
      <c r="A4267" t="inlineStr">
        <is>
          <t>2024-2025</t>
        </is>
      </c>
      <c r="B4267" t="inlineStr">
        <is>
          <t>2024-08-04</t>
        </is>
      </c>
      <c r="C4267" t="inlineStr">
        <is>
          <t>20:34</t>
        </is>
      </c>
      <c r="D4267" t="inlineStr">
        <is>
          <t>n° 19 + n° 20</t>
        </is>
      </c>
      <c r="E4267" t="inlineStr">
        <is>
          <t>La Vouivre</t>
        </is>
      </c>
      <c r="F4267" t="n">
        <v>5.9</v>
      </c>
      <c r="G4267" t="inlineStr">
        <is>
          <t>n° 19 : 0,50 + n° 20 : 0,50</t>
        </is>
      </c>
      <c r="H4267" t="n">
        <v>1</v>
      </c>
    </row>
    <row r="4268">
      <c r="A4268" t="inlineStr">
        <is>
          <t>2024-2025</t>
        </is>
      </c>
      <c r="B4268" t="inlineStr">
        <is>
          <t>2024-08-04</t>
        </is>
      </c>
      <c r="C4268" t="inlineStr">
        <is>
          <t>20:34</t>
        </is>
      </c>
      <c r="D4268" t="inlineStr">
        <is>
          <t>n° 19 + n° 20</t>
        </is>
      </c>
      <c r="E4268" t="inlineStr">
        <is>
          <t>Ricard</t>
        </is>
      </c>
      <c r="F4268" t="n">
        <v>4.2</v>
      </c>
      <c r="G4268" t="inlineStr">
        <is>
          <t>n° 19 : 0,50 + n° 20 : 0,50</t>
        </is>
      </c>
      <c r="H4268" t="n">
        <v>1</v>
      </c>
    </row>
    <row r="4269">
      <c r="A4269" t="inlineStr">
        <is>
          <t>2024-2025</t>
        </is>
      </c>
      <c r="B4269" t="inlineStr">
        <is>
          <t>2024-08-04</t>
        </is>
      </c>
      <c r="C4269" t="inlineStr">
        <is>
          <t>20:34</t>
        </is>
      </c>
      <c r="D4269" t="inlineStr">
        <is>
          <t>n° 19 + n° 20</t>
        </is>
      </c>
      <c r="E4269" t="inlineStr">
        <is>
          <t>CHANTILLY</t>
        </is>
      </c>
      <c r="F4269" t="n">
        <v>2.5</v>
      </c>
      <c r="G4269" t="inlineStr">
        <is>
          <t>n° 19 : 0,50 + n° 20 : 0,50</t>
        </is>
      </c>
      <c r="H4269" t="n">
        <v>1</v>
      </c>
    </row>
    <row r="4270">
      <c r="A4270" t="inlineStr">
        <is>
          <t>2024-2025</t>
        </is>
      </c>
      <c r="B4270" t="inlineStr">
        <is>
          <t>2024-08-04</t>
        </is>
      </c>
      <c r="C4270" t="inlineStr">
        <is>
          <t>21:12</t>
        </is>
      </c>
      <c r="D4270" t="inlineStr">
        <is>
          <t>n° 27 + n° 28</t>
        </is>
      </c>
      <c r="E4270" t="inlineStr">
        <is>
          <t>Arbois Savagnin</t>
        </is>
      </c>
      <c r="F4270" t="n">
        <v>41.5</v>
      </c>
      <c r="G4270" t="inlineStr">
        <is>
          <t>n° 27 : 0,50 + n° 28 : 0,50</t>
        </is>
      </c>
      <c r="H4270" t="n">
        <v>1</v>
      </c>
    </row>
    <row r="4271">
      <c r="A4271" t="inlineStr">
        <is>
          <t>2024-2025</t>
        </is>
      </c>
      <c r="B4271" t="inlineStr">
        <is>
          <t>2024-08-04</t>
        </is>
      </c>
      <c r="C4271" t="inlineStr">
        <is>
          <t>21:12</t>
        </is>
      </c>
      <c r="D4271" t="inlineStr">
        <is>
          <t>n° 27 + n° 28</t>
        </is>
      </c>
      <c r="E4271" t="inlineStr">
        <is>
          <t>Menu Franc-Comtois</t>
        </is>
      </c>
      <c r="F4271" t="n">
        <v>34</v>
      </c>
      <c r="G4271" t="inlineStr">
        <is>
          <t>n° 27 : 1,50 + n° 28 : 1,50</t>
        </is>
      </c>
      <c r="H4271" t="n">
        <v>3</v>
      </c>
    </row>
    <row r="4272">
      <c r="A4272" t="inlineStr">
        <is>
          <t>2024-2025</t>
        </is>
      </c>
      <c r="B4272" t="inlineStr">
        <is>
          <t>2024-08-04</t>
        </is>
      </c>
      <c r="C4272" t="inlineStr">
        <is>
          <t>21:12</t>
        </is>
      </c>
      <c r="D4272" t="inlineStr">
        <is>
          <t>n° 27 + n° 28</t>
        </is>
      </c>
      <c r="E4272" t="inlineStr">
        <is>
          <t>ASSIETTE FRANC-COMTO</t>
        </is>
      </c>
      <c r="F4272" t="n">
        <v>18.6</v>
      </c>
      <c r="G4272" t="inlineStr">
        <is>
          <t>n° 27 : 0,50 + n° 28 : 0,50</t>
        </is>
      </c>
      <c r="H4272" t="n">
        <v>1</v>
      </c>
    </row>
    <row r="4273">
      <c r="A4273" t="inlineStr">
        <is>
          <t>2024-2025</t>
        </is>
      </c>
      <c r="B4273" t="inlineStr">
        <is>
          <t>2024-08-04</t>
        </is>
      </c>
      <c r="C4273" t="inlineStr">
        <is>
          <t>21:12</t>
        </is>
      </c>
      <c r="D4273" t="inlineStr">
        <is>
          <t>n° 27 + n° 28</t>
        </is>
      </c>
      <c r="E4273" t="inlineStr">
        <is>
          <t>Baba</t>
        </is>
      </c>
      <c r="F4273" t="n">
        <v>8.9</v>
      </c>
      <c r="G4273" t="inlineStr">
        <is>
          <t>n° 27 : 0,50 + n° 28 : 0,50</t>
        </is>
      </c>
      <c r="H4273" t="n">
        <v>1</v>
      </c>
    </row>
    <row r="4274">
      <c r="A4274" t="inlineStr">
        <is>
          <t>2024-2025</t>
        </is>
      </c>
      <c r="B4274" t="inlineStr">
        <is>
          <t>2024-08-07</t>
        </is>
      </c>
      <c r="C4274" t="inlineStr">
        <is>
          <t>11:54</t>
        </is>
      </c>
      <c r="D4274" t="inlineStr">
        <is>
          <t>n° 3 + n° 4</t>
        </is>
      </c>
      <c r="E4274" t="inlineStr">
        <is>
          <t>ASSIETTE FRANC-COMTO</t>
        </is>
      </c>
      <c r="F4274" t="n">
        <v>18.6</v>
      </c>
      <c r="G4274" t="inlineStr">
        <is>
          <t>n° 3 : 0,50 + n° 4 : 0,50</t>
        </is>
      </c>
      <c r="H4274" t="n">
        <v>1</v>
      </c>
    </row>
    <row r="4275">
      <c r="A4275" t="inlineStr">
        <is>
          <t>2024-2025</t>
        </is>
      </c>
      <c r="B4275" t="inlineStr">
        <is>
          <t>2024-08-07</t>
        </is>
      </c>
      <c r="C4275" t="inlineStr">
        <is>
          <t>11:54</t>
        </is>
      </c>
      <c r="D4275" t="inlineStr">
        <is>
          <t>n° 3 + n° 4</t>
        </is>
      </c>
      <c r="E4275" t="inlineStr">
        <is>
          <t>MORTEAU GRILLEE</t>
        </is>
      </c>
      <c r="F4275" t="n">
        <v>18.6</v>
      </c>
      <c r="G4275" t="inlineStr">
        <is>
          <t>n° 3 : 0,50 + n° 4 : 0,50</t>
        </is>
      </c>
      <c r="H4275" t="n">
        <v>1</v>
      </c>
    </row>
    <row r="4276">
      <c r="A4276" t="inlineStr">
        <is>
          <t>2024-2025</t>
        </is>
      </c>
      <c r="B4276" t="inlineStr">
        <is>
          <t>2024-08-07</t>
        </is>
      </c>
      <c r="C4276" t="inlineStr">
        <is>
          <t>11:54</t>
        </is>
      </c>
      <c r="D4276" t="inlineStr">
        <is>
          <t>n° 3 + n° 4</t>
        </is>
      </c>
      <c r="E4276" t="inlineStr">
        <is>
          <t>pression</t>
        </is>
      </c>
      <c r="F4276" t="n">
        <v>4.2</v>
      </c>
      <c r="G4276" t="inlineStr">
        <is>
          <t>n° 3 : 0,50 + n° 4 : 0,50</t>
        </is>
      </c>
      <c r="H4276" t="n">
        <v>1</v>
      </c>
    </row>
    <row r="4277">
      <c r="A4277" t="inlineStr">
        <is>
          <t>2024-2025</t>
        </is>
      </c>
      <c r="B4277" t="inlineStr">
        <is>
          <t>2024-08-07</t>
        </is>
      </c>
      <c r="C4277" t="inlineStr">
        <is>
          <t>11:54</t>
        </is>
      </c>
      <c r="D4277" t="inlineStr">
        <is>
          <t>n° 3 + n° 4</t>
        </is>
      </c>
      <c r="E4277" t="inlineStr">
        <is>
          <t>Perrier 33cl</t>
        </is>
      </c>
      <c r="F4277" t="n">
        <v>4</v>
      </c>
      <c r="G4277" t="inlineStr">
        <is>
          <t>n° 3 : 0,50 + n° 4 : 0,50</t>
        </is>
      </c>
      <c r="H4277" t="n">
        <v>1</v>
      </c>
    </row>
    <row r="4278">
      <c r="A4278" t="inlineStr">
        <is>
          <t>2024-2025</t>
        </is>
      </c>
      <c r="B4278" t="inlineStr">
        <is>
          <t>2024-08-08</t>
        </is>
      </c>
      <c r="C4278" t="inlineStr">
        <is>
          <t>20:26</t>
        </is>
      </c>
      <c r="D4278" t="inlineStr">
        <is>
          <t>n° 24 + n° 25</t>
        </is>
      </c>
      <c r="E4278" t="inlineStr">
        <is>
          <t>C du Rhone St  Josep</t>
        </is>
      </c>
      <c r="F4278" t="n">
        <v>48.5</v>
      </c>
      <c r="G4278" t="inlineStr">
        <is>
          <t>n° 24 : 0,50 + n° 25 : 0,50</t>
        </is>
      </c>
      <c r="H4278" t="n">
        <v>1</v>
      </c>
    </row>
    <row r="4279">
      <c r="A4279" t="inlineStr">
        <is>
          <t>2024-2025</t>
        </is>
      </c>
      <c r="B4279" t="inlineStr">
        <is>
          <t>2024-08-08</t>
        </is>
      </c>
      <c r="C4279" t="inlineStr">
        <is>
          <t>20:26</t>
        </is>
      </c>
      <c r="D4279" t="inlineStr">
        <is>
          <t>n° 24 + n° 25</t>
        </is>
      </c>
      <c r="E4279" t="inlineStr">
        <is>
          <t>Menu 'Demi Lune'</t>
        </is>
      </c>
      <c r="F4279" t="n">
        <v>45</v>
      </c>
      <c r="G4279" t="inlineStr">
        <is>
          <t>n° 24 : 0,50 + n° 25 : 0,50</t>
        </is>
      </c>
      <c r="H4279" t="n">
        <v>1</v>
      </c>
    </row>
    <row r="4280">
      <c r="A4280" t="inlineStr">
        <is>
          <t>2024-2025</t>
        </is>
      </c>
      <c r="B4280" t="inlineStr">
        <is>
          <t>2024-08-08</t>
        </is>
      </c>
      <c r="C4280" t="inlineStr">
        <is>
          <t>20:26</t>
        </is>
      </c>
      <c r="D4280" t="inlineStr">
        <is>
          <t>n° 24 + n° 25</t>
        </is>
      </c>
      <c r="E4280" t="inlineStr">
        <is>
          <t>Entrecôte Forestiére</t>
        </is>
      </c>
      <c r="F4280" t="n">
        <v>27.8</v>
      </c>
      <c r="G4280" t="inlineStr">
        <is>
          <t>n° 24 : 0,50 + n° 25 : 0,50</t>
        </is>
      </c>
      <c r="H4280" t="n">
        <v>1</v>
      </c>
    </row>
    <row r="4281">
      <c r="A4281" t="inlineStr">
        <is>
          <t>2024-2025</t>
        </is>
      </c>
      <c r="B4281" t="inlineStr">
        <is>
          <t>2024-08-08</t>
        </is>
      </c>
      <c r="C4281" t="inlineStr">
        <is>
          <t>20:26</t>
        </is>
      </c>
      <c r="D4281" t="inlineStr">
        <is>
          <t>n° 24 + n° 25</t>
        </is>
      </c>
      <c r="E4281" t="inlineStr">
        <is>
          <t>Truite Morilles</t>
        </is>
      </c>
      <c r="F4281" t="n">
        <v>27.8</v>
      </c>
      <c r="G4281" t="inlineStr">
        <is>
          <t>n° 24 : 0,50 + n° 25 : 0,50</t>
        </is>
      </c>
      <c r="H4281" t="n">
        <v>1</v>
      </c>
    </row>
    <row r="4282">
      <c r="A4282" t="inlineStr">
        <is>
          <t>2024-2025</t>
        </is>
      </c>
      <c r="B4282" t="inlineStr">
        <is>
          <t>2024-08-08</t>
        </is>
      </c>
      <c r="C4282" t="inlineStr">
        <is>
          <t>20:26</t>
        </is>
      </c>
      <c r="D4282" t="inlineStr">
        <is>
          <t>n° 24 + n° 25</t>
        </is>
      </c>
      <c r="E4282" t="inlineStr">
        <is>
          <t>ASSIETTE PERE GREGOI</t>
        </is>
      </c>
      <c r="F4282" t="n">
        <v>18.6</v>
      </c>
      <c r="G4282" t="inlineStr">
        <is>
          <t>n° 24 : 0,50 + n° 25 : 0,50</t>
        </is>
      </c>
      <c r="H4282" t="n">
        <v>1</v>
      </c>
    </row>
    <row r="4283">
      <c r="A4283" t="inlineStr">
        <is>
          <t>2024-2025</t>
        </is>
      </c>
      <c r="B4283" t="inlineStr">
        <is>
          <t>2024-08-08</t>
        </is>
      </c>
      <c r="C4283" t="inlineStr">
        <is>
          <t>20:26</t>
        </is>
      </c>
      <c r="D4283" t="inlineStr">
        <is>
          <t>n° 24 + n° 25</t>
        </is>
      </c>
      <c r="E4283" t="inlineStr">
        <is>
          <t>TRUITE JURASSIENNE</t>
        </is>
      </c>
      <c r="F4283" t="n">
        <v>18.6</v>
      </c>
      <c r="G4283" t="inlineStr">
        <is>
          <t>n° 24 : 0,50 + n° 25 : 0,50</t>
        </is>
      </c>
      <c r="H4283" t="n">
        <v>1</v>
      </c>
    </row>
    <row r="4284">
      <c r="A4284" t="inlineStr">
        <is>
          <t>2024-2025</t>
        </is>
      </c>
      <c r="B4284" t="inlineStr">
        <is>
          <t>2024-08-08</t>
        </is>
      </c>
      <c r="C4284" t="inlineStr">
        <is>
          <t>20:26</t>
        </is>
      </c>
      <c r="D4284" t="inlineStr">
        <is>
          <t>n° 24 + n° 25</t>
        </is>
      </c>
      <c r="E4284" t="inlineStr">
        <is>
          <t>POULET JURASSIENNE</t>
        </is>
      </c>
      <c r="F4284" t="n">
        <v>18.6</v>
      </c>
      <c r="G4284" t="inlineStr">
        <is>
          <t>n° 24 : 0,50 + n° 25 : 0,50</t>
        </is>
      </c>
      <c r="H4284" t="n">
        <v>1</v>
      </c>
    </row>
    <row r="4285">
      <c r="A4285" t="inlineStr">
        <is>
          <t>2024-2025</t>
        </is>
      </c>
      <c r="B4285" t="inlineStr">
        <is>
          <t>2024-08-08</t>
        </is>
      </c>
      <c r="C4285" t="inlineStr">
        <is>
          <t>20:26</t>
        </is>
      </c>
      <c r="D4285" t="inlineStr">
        <is>
          <t>n° 24 + n° 25</t>
        </is>
      </c>
      <c r="E4285" t="inlineStr">
        <is>
          <t>Escargots de Bourgog</t>
        </is>
      </c>
      <c r="F4285" t="n">
        <v>16</v>
      </c>
      <c r="G4285" t="inlineStr">
        <is>
          <t>n° 24 : 0,50 + n° 25 : 0,50</t>
        </is>
      </c>
      <c r="H4285" t="n">
        <v>1</v>
      </c>
    </row>
    <row r="4286">
      <c r="A4286" t="inlineStr">
        <is>
          <t>2024-2025</t>
        </is>
      </c>
      <c r="B4286" t="inlineStr">
        <is>
          <t>2024-08-08</t>
        </is>
      </c>
      <c r="C4286" t="inlineStr">
        <is>
          <t>20:26</t>
        </is>
      </c>
      <c r="D4286" t="inlineStr">
        <is>
          <t>n° 24 + n° 25</t>
        </is>
      </c>
      <c r="E4286" t="inlineStr">
        <is>
          <t>Escargots de Bourgog</t>
        </is>
      </c>
      <c r="F4286" t="n">
        <v>8</v>
      </c>
      <c r="G4286" t="inlineStr">
        <is>
          <t>n° 24 : 0,50 + n° 25 : 0,50</t>
        </is>
      </c>
      <c r="H4286" t="n">
        <v>1</v>
      </c>
    </row>
    <row r="4287">
      <c r="A4287" t="inlineStr">
        <is>
          <t>2024-2025</t>
        </is>
      </c>
      <c r="B4287" t="inlineStr">
        <is>
          <t>2024-08-09</t>
        </is>
      </c>
      <c r="C4287" t="inlineStr">
        <is>
          <t>12:19</t>
        </is>
      </c>
      <c r="D4287" t="inlineStr">
        <is>
          <t>n° 7 + n° 8</t>
        </is>
      </c>
      <c r="E4287" t="inlineStr">
        <is>
          <t>Pichet CHUSLAN</t>
        </is>
      </c>
      <c r="F4287" t="n">
        <v>9.5</v>
      </c>
      <c r="G4287" t="inlineStr">
        <is>
          <t>n° 7 : 0,50 + n° 8 : 0,50</t>
        </is>
      </c>
      <c r="H4287" t="n">
        <v>1</v>
      </c>
    </row>
    <row r="4288">
      <c r="A4288" t="inlineStr">
        <is>
          <t>2024-2025</t>
        </is>
      </c>
      <c r="B4288" t="inlineStr">
        <is>
          <t>2024-08-09</t>
        </is>
      </c>
      <c r="C4288" t="inlineStr">
        <is>
          <t>12:42</t>
        </is>
      </c>
      <c r="D4288" t="inlineStr">
        <is>
          <t>n° 12 + n° 13</t>
        </is>
      </c>
      <c r="E4288" t="inlineStr">
        <is>
          <t>Expresso</t>
        </is>
      </c>
      <c r="F4288" t="n">
        <v>2.2</v>
      </c>
      <c r="G4288" t="inlineStr">
        <is>
          <t>n° 12 : 0,50 + n° 13 : 0,50</t>
        </is>
      </c>
      <c r="H4288" t="n">
        <v>1</v>
      </c>
    </row>
    <row r="4289">
      <c r="A4289" t="inlineStr">
        <is>
          <t>2024-2025</t>
        </is>
      </c>
      <c r="B4289" t="inlineStr">
        <is>
          <t>2024-08-10</t>
        </is>
      </c>
      <c r="C4289" t="inlineStr">
        <is>
          <t>13:14</t>
        </is>
      </c>
      <c r="D4289" t="inlineStr">
        <is>
          <t>n° 13 + n° 14</t>
        </is>
      </c>
      <c r="E4289" t="inlineStr">
        <is>
          <t>Arbois Trousseau Le</t>
        </is>
      </c>
      <c r="F4289" t="n">
        <v>7.2</v>
      </c>
      <c r="G4289" t="inlineStr">
        <is>
          <t>n° 13 : 0,50 + n° 14 : 0,50</t>
        </is>
      </c>
      <c r="H4289" t="n">
        <v>1</v>
      </c>
    </row>
    <row r="4290">
      <c r="A4290" t="inlineStr">
        <is>
          <t>2024-2025</t>
        </is>
      </c>
      <c r="B4290" t="inlineStr">
        <is>
          <t>2024-08-10</t>
        </is>
      </c>
      <c r="C4290" t="inlineStr">
        <is>
          <t>13:14</t>
        </is>
      </c>
      <c r="D4290" t="inlineStr">
        <is>
          <t>n° 13 + n° 14</t>
        </is>
      </c>
      <c r="E4290" t="inlineStr">
        <is>
          <t>GLACE 2 BOULES</t>
        </is>
      </c>
      <c r="F4290" t="n">
        <v>5.5</v>
      </c>
      <c r="G4290" t="inlineStr">
        <is>
          <t>n° 13 : 0,50 + n° 14 : 0,50</t>
        </is>
      </c>
      <c r="H4290" t="n">
        <v>1</v>
      </c>
    </row>
    <row r="4291">
      <c r="A4291" t="inlineStr">
        <is>
          <t>2024-2025</t>
        </is>
      </c>
      <c r="B4291" t="inlineStr">
        <is>
          <t>2024-08-10</t>
        </is>
      </c>
      <c r="C4291" t="inlineStr">
        <is>
          <t>13:14</t>
        </is>
      </c>
      <c r="D4291" t="inlineStr">
        <is>
          <t>n° 13 + n° 14</t>
        </is>
      </c>
      <c r="E4291" t="inlineStr">
        <is>
          <t>Martini Blanc</t>
        </is>
      </c>
      <c r="F4291" t="n">
        <v>4.9</v>
      </c>
      <c r="G4291" t="inlineStr">
        <is>
          <t>n° 13 : 0,50 + n° 14 : 0,50</t>
        </is>
      </c>
      <c r="H4291" t="n">
        <v>1</v>
      </c>
    </row>
    <row r="4292">
      <c r="A4292" t="inlineStr">
        <is>
          <t>2024-2025</t>
        </is>
      </c>
      <c r="B4292" t="inlineStr">
        <is>
          <t>2024-08-10</t>
        </is>
      </c>
      <c r="C4292" t="inlineStr">
        <is>
          <t>13:14</t>
        </is>
      </c>
      <c r="D4292" t="inlineStr">
        <is>
          <t>n° 13 + n° 14</t>
        </is>
      </c>
      <c r="E4292" t="inlineStr">
        <is>
          <t>pression</t>
        </is>
      </c>
      <c r="F4292" t="n">
        <v>4.2</v>
      </c>
      <c r="G4292" t="inlineStr">
        <is>
          <t>n° 13 : 0,50 + n° 14 : 0,50</t>
        </is>
      </c>
      <c r="H4292" t="n">
        <v>1</v>
      </c>
    </row>
    <row r="4293">
      <c r="A4293" t="inlineStr">
        <is>
          <t>2024-2025</t>
        </is>
      </c>
      <c r="B4293" t="inlineStr">
        <is>
          <t>2024-08-10</t>
        </is>
      </c>
      <c r="C4293" t="inlineStr">
        <is>
          <t>13:14</t>
        </is>
      </c>
      <c r="D4293" t="inlineStr">
        <is>
          <t>n° 13 + n° 14</t>
        </is>
      </c>
      <c r="E4293" t="inlineStr">
        <is>
          <t>Limonade (25cl)</t>
        </is>
      </c>
      <c r="F4293" t="n">
        <v>3.9</v>
      </c>
      <c r="G4293" t="inlineStr">
        <is>
          <t>n° 13 : 0,50 + n° 14 : 0,50</t>
        </is>
      </c>
      <c r="H4293" t="n">
        <v>1</v>
      </c>
    </row>
    <row r="4294">
      <c r="A4294" t="inlineStr">
        <is>
          <t>2024-2025</t>
        </is>
      </c>
      <c r="B4294" t="inlineStr">
        <is>
          <t>2024-08-10</t>
        </is>
      </c>
      <c r="C4294" t="inlineStr">
        <is>
          <t>20:50</t>
        </is>
      </c>
      <c r="D4294" t="inlineStr">
        <is>
          <t>n° 27 + n° 28</t>
        </is>
      </c>
      <c r="E4294" t="inlineStr">
        <is>
          <t>MACHON GOURMET</t>
        </is>
      </c>
      <c r="F4294" t="n">
        <v>25</v>
      </c>
      <c r="G4294" t="inlineStr">
        <is>
          <t>n° 27 : 0,50 + n° 28 : 0,50</t>
        </is>
      </c>
      <c r="H4294" t="n">
        <v>1</v>
      </c>
    </row>
    <row r="4295">
      <c r="A4295" t="inlineStr">
        <is>
          <t>2024-2025</t>
        </is>
      </c>
      <c r="B4295" t="inlineStr">
        <is>
          <t>2024-08-10</t>
        </is>
      </c>
      <c r="C4295" t="inlineStr">
        <is>
          <t>20:50</t>
        </is>
      </c>
      <c r="D4295" t="inlineStr">
        <is>
          <t>n° 27 + n° 28</t>
        </is>
      </c>
      <c r="E4295" t="inlineStr">
        <is>
          <t>LIGOUSE</t>
        </is>
      </c>
      <c r="F4295" t="n">
        <v>16.6</v>
      </c>
      <c r="G4295" t="inlineStr">
        <is>
          <t>n° 27 : 0,50 + n° 28 : 0,50</t>
        </is>
      </c>
      <c r="H4295" t="n">
        <v>1</v>
      </c>
    </row>
    <row r="4296">
      <c r="A4296" t="inlineStr">
        <is>
          <t>2024-2025</t>
        </is>
      </c>
      <c r="B4296" t="inlineStr">
        <is>
          <t>2024-08-10</t>
        </is>
      </c>
      <c r="C4296" t="inlineStr">
        <is>
          <t>20:50</t>
        </is>
      </c>
      <c r="D4296" t="inlineStr">
        <is>
          <t>n° 27 + n° 28</t>
        </is>
      </c>
      <c r="E4296" t="inlineStr">
        <is>
          <t>TANTE ARIE</t>
        </is>
      </c>
      <c r="F4296" t="n">
        <v>11.9</v>
      </c>
      <c r="G4296" t="inlineStr">
        <is>
          <t>n° 27 : 0,50 + n° 28 : 0,50</t>
        </is>
      </c>
      <c r="H4296" t="n">
        <v>1</v>
      </c>
    </row>
    <row r="4297">
      <c r="A4297" t="inlineStr">
        <is>
          <t>2024-2025</t>
        </is>
      </c>
      <c r="B4297" t="inlineStr">
        <is>
          <t>2024-08-10</t>
        </is>
      </c>
      <c r="C4297" t="inlineStr">
        <is>
          <t>20:50</t>
        </is>
      </c>
      <c r="D4297" t="inlineStr">
        <is>
          <t>n° 27 + n° 28</t>
        </is>
      </c>
      <c r="E4297" t="inlineStr">
        <is>
          <t>DOUCEUR</t>
        </is>
      </c>
      <c r="F4297" t="n">
        <v>8.1</v>
      </c>
      <c r="G4297" t="inlineStr">
        <is>
          <t>n° 27 : 0,50 + n° 28 : 0,50</t>
        </is>
      </c>
      <c r="H4297" t="n">
        <v>1</v>
      </c>
    </row>
    <row r="4298">
      <c r="A4298" t="inlineStr">
        <is>
          <t>2024-2025</t>
        </is>
      </c>
      <c r="B4298" t="inlineStr">
        <is>
          <t>2024-08-10</t>
        </is>
      </c>
      <c r="C4298" t="inlineStr">
        <is>
          <t>20:50</t>
        </is>
      </c>
      <c r="D4298" t="inlineStr">
        <is>
          <t>n° 27 + n° 28</t>
        </is>
      </c>
      <c r="E4298" t="inlineStr">
        <is>
          <t>Père Gregoire</t>
        </is>
      </c>
      <c r="F4298" t="n">
        <v>5.9</v>
      </c>
      <c r="G4298" t="inlineStr">
        <is>
          <t>n° 27 : 0,50 + n° 28 : 0,50</t>
        </is>
      </c>
      <c r="H4298" t="n">
        <v>1</v>
      </c>
    </row>
    <row r="4299">
      <c r="A4299" t="inlineStr">
        <is>
          <t>2024-2025</t>
        </is>
      </c>
      <c r="B4299" t="inlineStr">
        <is>
          <t>2024-08-10</t>
        </is>
      </c>
      <c r="C4299" t="inlineStr">
        <is>
          <t>20:50</t>
        </is>
      </c>
      <c r="D4299" t="inlineStr">
        <is>
          <t>n° 27 + n° 28</t>
        </is>
      </c>
      <c r="E4299" t="inlineStr">
        <is>
          <t>Diabolo (25cl)</t>
        </is>
      </c>
      <c r="F4299" t="n">
        <v>3.9</v>
      </c>
      <c r="G4299" t="inlineStr">
        <is>
          <t>n° 27 : 0,50 + n° 28 : 0,50</t>
        </is>
      </c>
      <c r="H4299" t="n">
        <v>1</v>
      </c>
    </row>
    <row r="4300">
      <c r="A4300" t="inlineStr">
        <is>
          <t>2024-2025</t>
        </is>
      </c>
      <c r="B4300" t="inlineStr">
        <is>
          <t>2024-08-17</t>
        </is>
      </c>
      <c r="C4300" t="inlineStr">
        <is>
          <t>13:04</t>
        </is>
      </c>
      <c r="D4300" t="inlineStr">
        <is>
          <t>n° 10 + n° 11</t>
        </is>
      </c>
      <c r="E4300" t="inlineStr">
        <is>
          <t>PAYSANNE</t>
        </is>
      </c>
      <c r="F4300" t="n">
        <v>19.9</v>
      </c>
      <c r="G4300" t="inlineStr">
        <is>
          <t>n° 10 : 0,50 + n° 11 : 0,50</t>
        </is>
      </c>
      <c r="H4300" t="n">
        <v>1</v>
      </c>
    </row>
    <row r="4301">
      <c r="A4301" t="inlineStr">
        <is>
          <t>2024-2025</t>
        </is>
      </c>
      <c r="B4301" t="inlineStr">
        <is>
          <t>2024-08-17</t>
        </is>
      </c>
      <c r="C4301" t="inlineStr">
        <is>
          <t>13:04</t>
        </is>
      </c>
      <c r="D4301" t="inlineStr">
        <is>
          <t>n° 10 + n° 11</t>
        </is>
      </c>
      <c r="E4301" t="inlineStr">
        <is>
          <t>Entrecôte grillée</t>
        </is>
      </c>
      <c r="F4301" t="n">
        <v>19.9</v>
      </c>
      <c r="G4301" t="inlineStr">
        <is>
          <t>n° 10 : 0,50 + n° 11 : 0,50</t>
        </is>
      </c>
      <c r="H4301" t="n">
        <v>1</v>
      </c>
    </row>
    <row r="4302">
      <c r="A4302" t="inlineStr">
        <is>
          <t>2024-2025</t>
        </is>
      </c>
      <c r="B4302" t="inlineStr">
        <is>
          <t>2024-08-17</t>
        </is>
      </c>
      <c r="C4302" t="inlineStr">
        <is>
          <t>13:04</t>
        </is>
      </c>
      <c r="D4302" t="inlineStr">
        <is>
          <t>n° 10 + n° 11</t>
        </is>
      </c>
      <c r="E4302" t="inlineStr">
        <is>
          <t>ECRESSI</t>
        </is>
      </c>
      <c r="F4302" t="n">
        <v>15.5</v>
      </c>
      <c r="G4302" t="inlineStr">
        <is>
          <t>n° 10 : 0,50 + n° 11 : 0,50</t>
        </is>
      </c>
      <c r="H4302" t="n">
        <v>1</v>
      </c>
    </row>
    <row r="4303">
      <c r="A4303" t="inlineStr">
        <is>
          <t>2024-2025</t>
        </is>
      </c>
      <c r="B4303" t="inlineStr">
        <is>
          <t>2024-08-17</t>
        </is>
      </c>
      <c r="C4303" t="inlineStr">
        <is>
          <t>13:04</t>
        </is>
      </c>
      <c r="D4303" t="inlineStr">
        <is>
          <t>n° 10 + n° 11</t>
        </is>
      </c>
      <c r="E4303" t="inlineStr">
        <is>
          <t>Pinte</t>
        </is>
      </c>
      <c r="F4303" t="n">
        <v>8</v>
      </c>
      <c r="G4303" t="inlineStr">
        <is>
          <t>n° 10 : 0,50 + n° 11 : 0,50</t>
        </is>
      </c>
      <c r="H4303" t="n">
        <v>1</v>
      </c>
    </row>
    <row r="4304">
      <c r="A4304" t="inlineStr">
        <is>
          <t>2024-2025</t>
        </is>
      </c>
      <c r="B4304" t="inlineStr">
        <is>
          <t>2024-08-17</t>
        </is>
      </c>
      <c r="C4304" t="inlineStr">
        <is>
          <t>13:04</t>
        </is>
      </c>
      <c r="D4304" t="inlineStr">
        <is>
          <t>n° 10 + n° 11</t>
        </is>
      </c>
      <c r="E4304" t="inlineStr">
        <is>
          <t>CREME BRULEE</t>
        </is>
      </c>
      <c r="F4304" t="n">
        <v>7.9</v>
      </c>
      <c r="G4304" t="inlineStr">
        <is>
          <t>n° 10 : 0,50 + n° 11 : 0,50</t>
        </is>
      </c>
      <c r="H4304" t="n">
        <v>1</v>
      </c>
    </row>
    <row r="4305">
      <c r="A4305" t="inlineStr">
        <is>
          <t>2024-2025</t>
        </is>
      </c>
      <c r="B4305" t="inlineStr">
        <is>
          <t>2024-08-17</t>
        </is>
      </c>
      <c r="C4305" t="inlineStr">
        <is>
          <t>13:04</t>
        </is>
      </c>
      <c r="D4305" t="inlineStr">
        <is>
          <t>n° 10 + n° 11</t>
        </is>
      </c>
      <c r="E4305" t="inlineStr">
        <is>
          <t>Macvin du Jura</t>
        </is>
      </c>
      <c r="F4305" t="n">
        <v>5.9</v>
      </c>
      <c r="G4305" t="inlineStr">
        <is>
          <t>n° 10 : 0,50 + n° 11 : 0,50</t>
        </is>
      </c>
      <c r="H4305" t="n">
        <v>1</v>
      </c>
    </row>
    <row r="4306">
      <c r="A4306" t="inlineStr">
        <is>
          <t>2024-2025</t>
        </is>
      </c>
      <c r="B4306" t="inlineStr">
        <is>
          <t>2024-08-17</t>
        </is>
      </c>
      <c r="C4306" t="inlineStr">
        <is>
          <t>13:04</t>
        </is>
      </c>
      <c r="D4306" t="inlineStr">
        <is>
          <t>n° 10 + n° 11</t>
        </is>
      </c>
      <c r="E4306" t="inlineStr">
        <is>
          <t>GLACE 2 BOULES</t>
        </is>
      </c>
      <c r="F4306" t="n">
        <v>5.5</v>
      </c>
      <c r="G4306" t="inlineStr">
        <is>
          <t>n° 10 : 0,50 + n° 11 : 0,50</t>
        </is>
      </c>
      <c r="H4306" t="n">
        <v>1</v>
      </c>
    </row>
    <row r="4307">
      <c r="A4307" t="inlineStr">
        <is>
          <t>2024-2025</t>
        </is>
      </c>
      <c r="B4307" t="inlineStr">
        <is>
          <t>2024-08-17</t>
        </is>
      </c>
      <c r="C4307" t="inlineStr">
        <is>
          <t>13:04</t>
        </is>
      </c>
      <c r="D4307" t="inlineStr">
        <is>
          <t>n° 10 + n° 11</t>
        </is>
      </c>
      <c r="E4307" t="inlineStr">
        <is>
          <t>pression</t>
        </is>
      </c>
      <c r="F4307" t="n">
        <v>4.2</v>
      </c>
      <c r="G4307" t="inlineStr">
        <is>
          <t>n° 10 : 0,50 + n° 11 : 0,50</t>
        </is>
      </c>
      <c r="H4307" t="n">
        <v>1</v>
      </c>
    </row>
    <row r="4308">
      <c r="A4308" t="inlineStr">
        <is>
          <t>2024-2025</t>
        </is>
      </c>
      <c r="B4308" t="inlineStr">
        <is>
          <t>2024-08-17</t>
        </is>
      </c>
      <c r="C4308" t="inlineStr">
        <is>
          <t>13:04</t>
        </is>
      </c>
      <c r="D4308" t="inlineStr">
        <is>
          <t>n° 10 + n° 11</t>
        </is>
      </c>
      <c r="E4308" t="inlineStr">
        <is>
          <t>Coca (25cl)</t>
        </is>
      </c>
      <c r="F4308" t="n">
        <v>3.9</v>
      </c>
      <c r="G4308" t="inlineStr">
        <is>
          <t>n° 10 : 0,50 + n° 11 : 0,50</t>
        </is>
      </c>
      <c r="H4308" t="n">
        <v>1</v>
      </c>
    </row>
    <row r="4309">
      <c r="A4309" t="inlineStr">
        <is>
          <t>2024-2025</t>
        </is>
      </c>
      <c r="B4309" t="inlineStr">
        <is>
          <t>2024-08-17</t>
        </is>
      </c>
      <c r="C4309" t="inlineStr">
        <is>
          <t>13:04</t>
        </is>
      </c>
      <c r="D4309" t="inlineStr">
        <is>
          <t>n° 10 + n° 11</t>
        </is>
      </c>
      <c r="E4309" t="inlineStr">
        <is>
          <t>Sirop à l'eau</t>
        </is>
      </c>
      <c r="F4309" t="n">
        <v>2.2</v>
      </c>
      <c r="G4309" t="inlineStr">
        <is>
          <t>n° 10 : 0,50 + n° 11 : 0,50</t>
        </is>
      </c>
      <c r="H4309" t="n">
        <v>1</v>
      </c>
    </row>
    <row r="4310">
      <c r="A4310" t="inlineStr">
        <is>
          <t>2024-2025</t>
        </is>
      </c>
      <c r="B4310" t="inlineStr">
        <is>
          <t>2024-08-17</t>
        </is>
      </c>
      <c r="C4310" t="inlineStr">
        <is>
          <t>13:04</t>
        </is>
      </c>
      <c r="D4310" t="inlineStr">
        <is>
          <t>n° 10 + n° 11</t>
        </is>
      </c>
      <c r="E4310" t="inlineStr">
        <is>
          <t>Expresso</t>
        </is>
      </c>
      <c r="F4310" t="n">
        <v>2.2</v>
      </c>
      <c r="G4310" t="inlineStr">
        <is>
          <t>n° 10 : 0,50 + n° 11 : 0,50</t>
        </is>
      </c>
      <c r="H4310" t="n">
        <v>1</v>
      </c>
    </row>
    <row r="4311">
      <c r="A4311" t="inlineStr">
        <is>
          <t>2024-2025</t>
        </is>
      </c>
      <c r="B4311" t="inlineStr">
        <is>
          <t>2024-08-18</t>
        </is>
      </c>
      <c r="C4311" t="inlineStr">
        <is>
          <t>19:24</t>
        </is>
      </c>
      <c r="D4311" t="inlineStr">
        <is>
          <t>n° 19 + n° 20</t>
        </is>
      </c>
      <c r="E4311" t="inlineStr">
        <is>
          <t>Menu Végétarien</t>
        </is>
      </c>
      <c r="F4311" t="n">
        <v>26.5</v>
      </c>
      <c r="G4311" t="inlineStr">
        <is>
          <t>n° 19 : 0,50 + n° 20 : 0,50</t>
        </is>
      </c>
      <c r="H4311" t="n">
        <v>1</v>
      </c>
    </row>
    <row r="4312">
      <c r="A4312" t="inlineStr">
        <is>
          <t>2024-2025</t>
        </is>
      </c>
      <c r="B4312" t="inlineStr">
        <is>
          <t>2024-08-18</t>
        </is>
      </c>
      <c r="C4312" t="inlineStr">
        <is>
          <t>19:24</t>
        </is>
      </c>
      <c r="D4312" t="inlineStr">
        <is>
          <t>n° 19 + n° 20</t>
        </is>
      </c>
      <c r="E4312" t="inlineStr">
        <is>
          <t>Entrecôte grillée</t>
        </is>
      </c>
      <c r="F4312" t="n">
        <v>19.9</v>
      </c>
      <c r="G4312" t="inlineStr">
        <is>
          <t>n° 19 : 0,50 + n° 20 : 0,50</t>
        </is>
      </c>
      <c r="H4312" t="n">
        <v>1</v>
      </c>
    </row>
    <row r="4313">
      <c r="A4313" t="inlineStr">
        <is>
          <t>2024-2025</t>
        </is>
      </c>
      <c r="B4313" t="inlineStr">
        <is>
          <t>2024-08-18</t>
        </is>
      </c>
      <c r="C4313" t="inlineStr">
        <is>
          <t>19:24</t>
        </is>
      </c>
      <c r="D4313" t="inlineStr">
        <is>
          <t>n° 19 + n° 20</t>
        </is>
      </c>
      <c r="E4313" t="inlineStr">
        <is>
          <t>Menu 'Galette'</t>
        </is>
      </c>
      <c r="F4313" t="n">
        <v>19.5</v>
      </c>
      <c r="G4313" t="inlineStr">
        <is>
          <t>n° 19 : 0,50 + n° 20 : 0,50</t>
        </is>
      </c>
      <c r="H4313" t="n">
        <v>1</v>
      </c>
    </row>
    <row r="4314">
      <c r="A4314" t="inlineStr">
        <is>
          <t>2024-2025</t>
        </is>
      </c>
      <c r="B4314" t="inlineStr">
        <is>
          <t>2024-08-18</t>
        </is>
      </c>
      <c r="C4314" t="inlineStr">
        <is>
          <t>19:24</t>
        </is>
      </c>
      <c r="D4314" t="inlineStr">
        <is>
          <t>n° 19 + n° 20</t>
        </is>
      </c>
      <c r="E4314" t="inlineStr">
        <is>
          <t>Menu 'Enfant'</t>
        </is>
      </c>
      <c r="F4314" t="n">
        <v>9.9</v>
      </c>
      <c r="G4314" t="inlineStr">
        <is>
          <t>n° 19 : 0,50 + n° 20 : 0,50</t>
        </is>
      </c>
      <c r="H4314" t="n">
        <v>1</v>
      </c>
    </row>
    <row r="4315">
      <c r="A4315" t="inlineStr">
        <is>
          <t>2024-2025</t>
        </is>
      </c>
      <c r="B4315" t="inlineStr">
        <is>
          <t>2024-08-18</t>
        </is>
      </c>
      <c r="C4315" t="inlineStr">
        <is>
          <t>19:24</t>
        </is>
      </c>
      <c r="D4315" t="inlineStr">
        <is>
          <t>n° 19 + n° 20</t>
        </is>
      </c>
      <c r="E4315" t="inlineStr">
        <is>
          <t>CREME BRULEE</t>
        </is>
      </c>
      <c r="F4315" t="n">
        <v>7.9</v>
      </c>
      <c r="G4315" t="inlineStr">
        <is>
          <t>n° 19 : 0,50 + n° 20 : 0,50</t>
        </is>
      </c>
      <c r="H4315" t="n">
        <v>1</v>
      </c>
    </row>
    <row r="4316">
      <c r="A4316" t="inlineStr">
        <is>
          <t>2024-2025</t>
        </is>
      </c>
      <c r="B4316" t="inlineStr">
        <is>
          <t>2024-08-18</t>
        </is>
      </c>
      <c r="C4316" t="inlineStr">
        <is>
          <t>19:24</t>
        </is>
      </c>
      <c r="D4316" t="inlineStr">
        <is>
          <t>n° 19 + n° 20</t>
        </is>
      </c>
      <c r="E4316" t="inlineStr">
        <is>
          <t>Blanche des plateaux</t>
        </is>
      </c>
      <c r="F4316" t="n">
        <v>6.9</v>
      </c>
      <c r="G4316" t="inlineStr">
        <is>
          <t>n° 19 : 0,50 + n° 20 : 0,50</t>
        </is>
      </c>
      <c r="H4316" t="n">
        <v>1</v>
      </c>
    </row>
    <row r="4317">
      <c r="A4317" t="inlineStr">
        <is>
          <t>2024-2025</t>
        </is>
      </c>
      <c r="B4317" t="inlineStr">
        <is>
          <t>2024-08-18</t>
        </is>
      </c>
      <c r="C4317" t="inlineStr">
        <is>
          <t>19:24</t>
        </is>
      </c>
      <c r="D4317" t="inlineStr">
        <is>
          <t>n° 19 + n° 20</t>
        </is>
      </c>
      <c r="E4317" t="inlineStr">
        <is>
          <t>San Pelegrino</t>
        </is>
      </c>
      <c r="F4317" t="n">
        <v>5.9</v>
      </c>
      <c r="G4317" t="inlineStr">
        <is>
          <t>n° 19 : 0,50 + n° 20 : 0,50</t>
        </is>
      </c>
      <c r="H4317" t="n">
        <v>1</v>
      </c>
    </row>
    <row r="4318">
      <c r="A4318" t="inlineStr">
        <is>
          <t>2024-2025</t>
        </is>
      </c>
      <c r="B4318" t="inlineStr">
        <is>
          <t>2024-08-18</t>
        </is>
      </c>
      <c r="C4318" t="inlineStr">
        <is>
          <t>19:24</t>
        </is>
      </c>
      <c r="D4318" t="inlineStr">
        <is>
          <t>n° 19 + n° 20</t>
        </is>
      </c>
      <c r="E4318" t="inlineStr">
        <is>
          <t>GLACE 2 BOULES</t>
        </is>
      </c>
      <c r="F4318" t="n">
        <v>5.5</v>
      </c>
      <c r="G4318" t="inlineStr">
        <is>
          <t>n° 19 : 0,50 + n° 20 : 0,50</t>
        </is>
      </c>
      <c r="H4318" t="n">
        <v>1</v>
      </c>
    </row>
    <row r="4319">
      <c r="A4319" t="inlineStr">
        <is>
          <t>2024-2025</t>
        </is>
      </c>
      <c r="B4319" t="inlineStr">
        <is>
          <t>2024-08-18</t>
        </is>
      </c>
      <c r="C4319" t="inlineStr">
        <is>
          <t>19:24</t>
        </is>
      </c>
      <c r="D4319" t="inlineStr">
        <is>
          <t>n° 19 + n° 20</t>
        </is>
      </c>
      <c r="E4319" t="inlineStr">
        <is>
          <t>pression</t>
        </is>
      </c>
      <c r="F4319" t="n">
        <v>4.2</v>
      </c>
      <c r="G4319" t="inlineStr">
        <is>
          <t>n° 19 : 0,50 + n° 20 : 0,50</t>
        </is>
      </c>
      <c r="H4319" t="n">
        <v>1</v>
      </c>
    </row>
    <row r="4320">
      <c r="A4320" t="inlineStr">
        <is>
          <t>2024-2025</t>
        </is>
      </c>
      <c r="B4320" t="inlineStr">
        <is>
          <t>2024-08-18</t>
        </is>
      </c>
      <c r="C4320" t="inlineStr">
        <is>
          <t>19:24</t>
        </is>
      </c>
      <c r="D4320" t="inlineStr">
        <is>
          <t>n° 19 + n° 20</t>
        </is>
      </c>
      <c r="E4320" t="inlineStr">
        <is>
          <t>Orangina (25cl)</t>
        </is>
      </c>
      <c r="F4320" t="n">
        <v>3.9</v>
      </c>
      <c r="G4320" t="inlineStr">
        <is>
          <t>n° 19 : 0,50 + n° 20 : 0,50</t>
        </is>
      </c>
      <c r="H4320" t="n">
        <v>1</v>
      </c>
    </row>
    <row r="4321">
      <c r="A4321" t="inlineStr">
        <is>
          <t>2024-2025</t>
        </is>
      </c>
      <c r="B4321" t="inlineStr">
        <is>
          <t>2024-08-18</t>
        </is>
      </c>
      <c r="C4321" t="inlineStr">
        <is>
          <t>19:24</t>
        </is>
      </c>
      <c r="D4321" t="inlineStr">
        <is>
          <t>n° 19 + n° 20</t>
        </is>
      </c>
      <c r="E4321" t="inlineStr">
        <is>
          <t>Fuze Tea</t>
        </is>
      </c>
      <c r="F4321" t="n">
        <v>3.9</v>
      </c>
      <c r="G4321" t="inlineStr">
        <is>
          <t>n° 19 : 0,50 + n° 20 : 0,50</t>
        </is>
      </c>
      <c r="H4321" t="n">
        <v>1</v>
      </c>
    </row>
    <row r="4322">
      <c r="A4322" t="inlineStr">
        <is>
          <t>2024-2025</t>
        </is>
      </c>
      <c r="B4322" t="inlineStr">
        <is>
          <t>2024-08-21</t>
        </is>
      </c>
      <c r="C4322" t="inlineStr">
        <is>
          <t>13:22</t>
        </is>
      </c>
      <c r="D4322" t="inlineStr">
        <is>
          <t>n° 11 + n° 12</t>
        </is>
      </c>
      <c r="E4322" t="inlineStr">
        <is>
          <t>Menu Franc-Comtois</t>
        </is>
      </c>
      <c r="F4322" t="n">
        <v>34</v>
      </c>
      <c r="G4322" t="inlineStr">
        <is>
          <t>n° 11 : 1,50 + n° 12 : 1,50</t>
        </is>
      </c>
      <c r="H4322" t="n">
        <v>3</v>
      </c>
    </row>
    <row r="4323">
      <c r="A4323" t="inlineStr">
        <is>
          <t>2024-2025</t>
        </is>
      </c>
      <c r="B4323" t="inlineStr">
        <is>
          <t>2024-08-21</t>
        </is>
      </c>
      <c r="C4323" t="inlineStr">
        <is>
          <t>13:22</t>
        </is>
      </c>
      <c r="D4323" t="inlineStr">
        <is>
          <t>n° 11 + n° 12</t>
        </is>
      </c>
      <c r="E4323" t="inlineStr">
        <is>
          <t>Salade Végétarienne</t>
        </is>
      </c>
      <c r="F4323" t="n">
        <v>19.9</v>
      </c>
      <c r="G4323" t="inlineStr">
        <is>
          <t>n° 11 : 0,50 + n° 12 : 0,50</t>
        </is>
      </c>
      <c r="H4323" t="n">
        <v>1</v>
      </c>
    </row>
    <row r="4324">
      <c r="A4324" t="inlineStr">
        <is>
          <t>2024-2025</t>
        </is>
      </c>
      <c r="B4324" t="inlineStr">
        <is>
          <t>2024-08-23</t>
        </is>
      </c>
      <c r="C4324" t="inlineStr">
        <is>
          <t>13:11</t>
        </is>
      </c>
      <c r="D4324" t="inlineStr">
        <is>
          <t>n° 12 + n° 13</t>
        </is>
      </c>
      <c r="E4324" t="inlineStr">
        <is>
          <t>ASSIETTE FRANC-COMTO</t>
        </is>
      </c>
      <c r="F4324" t="n">
        <v>18.6</v>
      </c>
      <c r="G4324" t="inlineStr">
        <is>
          <t>n° 12 : 0,50 + n° 13 : 0,50</t>
        </is>
      </c>
      <c r="H4324" t="n">
        <v>1</v>
      </c>
    </row>
    <row r="4325">
      <c r="A4325" t="inlineStr">
        <is>
          <t>2024-2025</t>
        </is>
      </c>
      <c r="B4325" t="inlineStr">
        <is>
          <t>2024-08-23</t>
        </is>
      </c>
      <c r="C4325" t="inlineStr">
        <is>
          <t>13:11</t>
        </is>
      </c>
      <c r="D4325" t="inlineStr">
        <is>
          <t>n° 12 + n° 13</t>
        </is>
      </c>
      <c r="E4325" t="inlineStr">
        <is>
          <t>POULET JURASSIENNE</t>
        </is>
      </c>
      <c r="F4325" t="n">
        <v>18.6</v>
      </c>
      <c r="G4325" t="inlineStr">
        <is>
          <t>n° 12 : 0,50 + n° 13 : 0,50</t>
        </is>
      </c>
      <c r="H4325" t="n">
        <v>1</v>
      </c>
    </row>
    <row r="4326">
      <c r="A4326" t="inlineStr">
        <is>
          <t>2024-2025</t>
        </is>
      </c>
      <c r="B4326" t="inlineStr">
        <is>
          <t>2024-08-23</t>
        </is>
      </c>
      <c r="C4326" t="inlineStr">
        <is>
          <t>13:11</t>
        </is>
      </c>
      <c r="D4326" t="inlineStr">
        <is>
          <t>n° 12 + n° 13</t>
        </is>
      </c>
      <c r="E4326" t="inlineStr">
        <is>
          <t>Baba</t>
        </is>
      </c>
      <c r="F4326" t="n">
        <v>8.9</v>
      </c>
      <c r="G4326" t="inlineStr">
        <is>
          <t>n° 12 : 0,50 + n° 13 : 0,50</t>
        </is>
      </c>
      <c r="H4326" t="n">
        <v>1</v>
      </c>
    </row>
    <row r="4327">
      <c r="A4327" t="inlineStr">
        <is>
          <t>2024-2025</t>
        </is>
      </c>
      <c r="B4327" t="inlineStr">
        <is>
          <t>2024-08-23</t>
        </is>
      </c>
      <c r="C4327" t="inlineStr">
        <is>
          <t>13:11</t>
        </is>
      </c>
      <c r="D4327" t="inlineStr">
        <is>
          <t>n° 12 + n° 13</t>
        </is>
      </c>
      <c r="E4327" t="inlineStr">
        <is>
          <t>Pavlova</t>
        </is>
      </c>
      <c r="F4327" t="n">
        <v>8.9</v>
      </c>
      <c r="G4327" t="inlineStr">
        <is>
          <t>n° 12 : 1,50 + n° 13 : 1,50</t>
        </is>
      </c>
      <c r="H4327" t="n">
        <v>3</v>
      </c>
    </row>
    <row r="4328">
      <c r="A4328" t="inlineStr">
        <is>
          <t>2024-2025</t>
        </is>
      </c>
      <c r="B4328" t="inlineStr">
        <is>
          <t>2024-08-23</t>
        </is>
      </c>
      <c r="C4328" t="inlineStr">
        <is>
          <t>13:34</t>
        </is>
      </c>
      <c r="D4328" t="inlineStr">
        <is>
          <t>n° 18 + n° 19</t>
        </is>
      </c>
      <c r="E4328" t="inlineStr">
        <is>
          <t>Menu 'Demi Lune'</t>
        </is>
      </c>
      <c r="F4328" t="n">
        <v>45</v>
      </c>
      <c r="G4328" t="inlineStr">
        <is>
          <t>n° 18 : 0,50 + n° 19 : 0,50</t>
        </is>
      </c>
      <c r="H4328" t="n">
        <v>1</v>
      </c>
    </row>
    <row r="4329">
      <c r="A4329" t="inlineStr">
        <is>
          <t>2024-2025</t>
        </is>
      </c>
      <c r="B4329" t="inlineStr">
        <is>
          <t>2024-08-23</t>
        </is>
      </c>
      <c r="C4329" t="inlineStr">
        <is>
          <t>13:34</t>
        </is>
      </c>
      <c r="D4329" t="inlineStr">
        <is>
          <t>n° 18 + n° 19</t>
        </is>
      </c>
      <c r="E4329" t="inlineStr">
        <is>
          <t>CANCOINE</t>
        </is>
      </c>
      <c r="F4329" t="n">
        <v>25.5</v>
      </c>
      <c r="G4329" t="inlineStr">
        <is>
          <t>n° 18 : 0,50 + n° 19 : 0,50</t>
        </is>
      </c>
      <c r="H4329" t="n">
        <v>1</v>
      </c>
    </row>
    <row r="4330">
      <c r="A4330" t="inlineStr">
        <is>
          <t>2024-2025</t>
        </is>
      </c>
      <c r="B4330" t="inlineStr">
        <is>
          <t>2024-08-23</t>
        </is>
      </c>
      <c r="C4330" t="inlineStr">
        <is>
          <t>13:34</t>
        </is>
      </c>
      <c r="D4330" t="inlineStr">
        <is>
          <t>n° 18 + n° 19</t>
        </is>
      </c>
      <c r="E4330" t="inlineStr">
        <is>
          <t>ASSIETTE FRANC-COMTO</t>
        </is>
      </c>
      <c r="F4330" t="n">
        <v>18.6</v>
      </c>
      <c r="G4330" t="inlineStr">
        <is>
          <t>n° 18 : 0,50 + n° 19 : 0,50</t>
        </is>
      </c>
      <c r="H4330" t="n">
        <v>1</v>
      </c>
    </row>
    <row r="4331">
      <c r="A4331" t="inlineStr">
        <is>
          <t>2024-2025</t>
        </is>
      </c>
      <c r="B4331" t="inlineStr">
        <is>
          <t>2024-08-23</t>
        </is>
      </c>
      <c r="C4331" t="inlineStr">
        <is>
          <t>13:34</t>
        </is>
      </c>
      <c r="D4331" t="inlineStr">
        <is>
          <t>n° 18 + n° 19</t>
        </is>
      </c>
      <c r="E4331" t="inlineStr">
        <is>
          <t>POULET JURASSIENNE</t>
        </is>
      </c>
      <c r="F4331" t="n">
        <v>18.6</v>
      </c>
      <c r="G4331" t="inlineStr">
        <is>
          <t>n° 18 : 0,50 + n° 19 : 0,50</t>
        </is>
      </c>
      <c r="H4331" t="n">
        <v>1</v>
      </c>
    </row>
    <row r="4332">
      <c r="A4332" t="inlineStr">
        <is>
          <t>2024-2025</t>
        </is>
      </c>
      <c r="B4332" t="inlineStr">
        <is>
          <t>2024-08-23</t>
        </is>
      </c>
      <c r="C4332" t="inlineStr">
        <is>
          <t>13:34</t>
        </is>
      </c>
      <c r="D4332" t="inlineStr">
        <is>
          <t>n° 18 + n° 19</t>
        </is>
      </c>
      <c r="E4332" t="inlineStr">
        <is>
          <t>Vin jaune</t>
        </is>
      </c>
      <c r="F4332" t="n">
        <v>12</v>
      </c>
      <c r="G4332" t="inlineStr">
        <is>
          <t>n° 18 : 0,50 + n° 19 : 0,50</t>
        </is>
      </c>
      <c r="H4332" t="n">
        <v>1</v>
      </c>
    </row>
    <row r="4333">
      <c r="A4333" t="inlineStr">
        <is>
          <t>2024-2025</t>
        </is>
      </c>
      <c r="B4333" t="inlineStr">
        <is>
          <t>2024-08-23</t>
        </is>
      </c>
      <c r="C4333" t="inlineStr">
        <is>
          <t>13:34</t>
        </is>
      </c>
      <c r="D4333" t="inlineStr">
        <is>
          <t>n° 18 + n° 19</t>
        </is>
      </c>
      <c r="E4333" t="inlineStr">
        <is>
          <t>Baba</t>
        </is>
      </c>
      <c r="F4333" t="n">
        <v>8.9</v>
      </c>
      <c r="G4333" t="inlineStr">
        <is>
          <t>n° 18 : 0,50 + n° 19 : 0,50</t>
        </is>
      </c>
      <c r="H4333" t="n">
        <v>1</v>
      </c>
    </row>
    <row r="4334">
      <c r="A4334" t="inlineStr">
        <is>
          <t>2024-2025</t>
        </is>
      </c>
      <c r="B4334" t="inlineStr">
        <is>
          <t>2024-08-23</t>
        </is>
      </c>
      <c r="C4334" t="inlineStr">
        <is>
          <t>13:34</t>
        </is>
      </c>
      <c r="D4334" t="inlineStr">
        <is>
          <t>n° 18 + n° 19</t>
        </is>
      </c>
      <c r="E4334" t="inlineStr">
        <is>
          <t>Pavlova</t>
        </is>
      </c>
      <c r="F4334" t="n">
        <v>8.9</v>
      </c>
      <c r="G4334" t="inlineStr">
        <is>
          <t>n° 18 : 0,50 + n° 19 : 0,50</t>
        </is>
      </c>
      <c r="H4334" t="n">
        <v>1</v>
      </c>
    </row>
    <row r="4335">
      <c r="A4335" t="inlineStr">
        <is>
          <t>2024-2025</t>
        </is>
      </c>
      <c r="B4335" t="inlineStr">
        <is>
          <t>2024-08-23</t>
        </is>
      </c>
      <c r="C4335" t="inlineStr">
        <is>
          <t>13:34</t>
        </is>
      </c>
      <c r="D4335" t="inlineStr">
        <is>
          <t>n° 18 + n° 19</t>
        </is>
      </c>
      <c r="E4335" t="inlineStr">
        <is>
          <t>CREME BRULEE</t>
        </is>
      </c>
      <c r="F4335" t="n">
        <v>7.9</v>
      </c>
      <c r="G4335" t="inlineStr">
        <is>
          <t>n° 18 : 0,50 + n° 19 : 0,50</t>
        </is>
      </c>
      <c r="H4335" t="n">
        <v>1</v>
      </c>
    </row>
    <row r="4336">
      <c r="A4336" t="inlineStr">
        <is>
          <t>2024-2025</t>
        </is>
      </c>
      <c r="B4336" t="inlineStr">
        <is>
          <t>2024-08-23</t>
        </is>
      </c>
      <c r="C4336" t="inlineStr">
        <is>
          <t>13:34</t>
        </is>
      </c>
      <c r="D4336" t="inlineStr">
        <is>
          <t>n° 18 + n° 19</t>
        </is>
      </c>
      <c r="E4336" t="inlineStr">
        <is>
          <t>Chat perché</t>
        </is>
      </c>
      <c r="F4336" t="n">
        <v>5.9</v>
      </c>
      <c r="G4336" t="inlineStr">
        <is>
          <t>n° 18 : 0,50 + n° 19 : 0,50</t>
        </is>
      </c>
      <c r="H4336" t="n">
        <v>1</v>
      </c>
    </row>
    <row r="4337">
      <c r="A4337" t="inlineStr">
        <is>
          <t>2024-2025</t>
        </is>
      </c>
      <c r="B4337" t="inlineStr">
        <is>
          <t>2024-08-23</t>
        </is>
      </c>
      <c r="C4337" t="inlineStr">
        <is>
          <t>13:34</t>
        </is>
      </c>
      <c r="D4337" t="inlineStr">
        <is>
          <t>n° 18 + n° 19</t>
        </is>
      </c>
      <c r="E4337" t="inlineStr">
        <is>
          <t>Macvin du Jura</t>
        </is>
      </c>
      <c r="F4337" t="n">
        <v>5.9</v>
      </c>
      <c r="G4337" t="inlineStr">
        <is>
          <t>n° 18 : 0,50 + n° 19 : 0,50</t>
        </is>
      </c>
      <c r="H4337" t="n">
        <v>1</v>
      </c>
    </row>
    <row r="4338">
      <c r="A4338" t="inlineStr">
        <is>
          <t>2024-2025</t>
        </is>
      </c>
      <c r="B4338" t="inlineStr">
        <is>
          <t>2024-08-23</t>
        </is>
      </c>
      <c r="C4338" t="inlineStr">
        <is>
          <t>13:34</t>
        </is>
      </c>
      <c r="D4338" t="inlineStr">
        <is>
          <t>n° 18 + n° 19</t>
        </is>
      </c>
      <c r="E4338" t="inlineStr">
        <is>
          <t>Père Gregoire</t>
        </is>
      </c>
      <c r="F4338" t="n">
        <v>5.9</v>
      </c>
      <c r="G4338" t="inlineStr">
        <is>
          <t>n° 18 : 0,50 + n° 19 : 0,50</t>
        </is>
      </c>
      <c r="H4338" t="n">
        <v>1</v>
      </c>
    </row>
    <row r="4339">
      <c r="A4339" t="inlineStr">
        <is>
          <t>2024-2025</t>
        </is>
      </c>
      <c r="B4339" t="inlineStr">
        <is>
          <t>2024-08-23</t>
        </is>
      </c>
      <c r="C4339" t="inlineStr">
        <is>
          <t>13:34</t>
        </is>
      </c>
      <c r="D4339" t="inlineStr">
        <is>
          <t>n° 18 + n° 19</t>
        </is>
      </c>
      <c r="E4339" t="inlineStr">
        <is>
          <t>Cancoillotte</t>
        </is>
      </c>
      <c r="F4339" t="n">
        <v>3.9</v>
      </c>
      <c r="G4339" t="inlineStr">
        <is>
          <t>n° 18 : 0,50 + n° 19 : 0,50</t>
        </is>
      </c>
      <c r="H4339" t="n">
        <v>1</v>
      </c>
    </row>
    <row r="4340">
      <c r="A4340" t="inlineStr">
        <is>
          <t>2024-2025</t>
        </is>
      </c>
      <c r="B4340" t="inlineStr">
        <is>
          <t>2024-08-24</t>
        </is>
      </c>
      <c r="C4340" t="inlineStr">
        <is>
          <t>12:48</t>
        </is>
      </c>
      <c r="D4340" t="inlineStr">
        <is>
          <t>n° 8 + n° 9</t>
        </is>
      </c>
      <c r="E4340" t="inlineStr">
        <is>
          <t>Entrecôte grillée</t>
        </is>
      </c>
      <c r="F4340" t="n">
        <v>19.9</v>
      </c>
      <c r="G4340" t="inlineStr">
        <is>
          <t>n° 8 : 0,50 + n° 9 : 0,50</t>
        </is>
      </c>
      <c r="H4340" t="n">
        <v>1</v>
      </c>
    </row>
    <row r="4341">
      <c r="A4341" t="inlineStr">
        <is>
          <t>2024-2025</t>
        </is>
      </c>
      <c r="B4341" t="inlineStr">
        <is>
          <t>2024-08-24</t>
        </is>
      </c>
      <c r="C4341" t="inlineStr">
        <is>
          <t>12:48</t>
        </is>
      </c>
      <c r="D4341" t="inlineStr">
        <is>
          <t>n° 8 + n° 9</t>
        </is>
      </c>
      <c r="E4341" t="inlineStr">
        <is>
          <t>BURGER COMTOIS</t>
        </is>
      </c>
      <c r="F4341" t="n">
        <v>19</v>
      </c>
      <c r="G4341" t="inlineStr">
        <is>
          <t>n° 8 : 0,50 + n° 9 : 0,50</t>
        </is>
      </c>
      <c r="H4341" t="n">
        <v>1</v>
      </c>
    </row>
    <row r="4342">
      <c r="A4342" t="inlineStr">
        <is>
          <t>2024-2025</t>
        </is>
      </c>
      <c r="B4342" t="inlineStr">
        <is>
          <t>2024-08-24</t>
        </is>
      </c>
      <c r="C4342" t="inlineStr">
        <is>
          <t>12:48</t>
        </is>
      </c>
      <c r="D4342" t="inlineStr">
        <is>
          <t>n° 8 + n° 9</t>
        </is>
      </c>
      <c r="E4342" t="inlineStr">
        <is>
          <t>CABRICHOU</t>
        </is>
      </c>
      <c r="F4342" t="n">
        <v>16.9</v>
      </c>
      <c r="G4342" t="inlineStr">
        <is>
          <t>n° 8 : 0,50 + n° 9 : 0,50</t>
        </is>
      </c>
      <c r="H4342" t="n">
        <v>1</v>
      </c>
    </row>
    <row r="4343">
      <c r="A4343" t="inlineStr">
        <is>
          <t>2024-2025</t>
        </is>
      </c>
      <c r="B4343" t="inlineStr">
        <is>
          <t>2024-08-24</t>
        </is>
      </c>
      <c r="C4343" t="inlineStr">
        <is>
          <t>12:48</t>
        </is>
      </c>
      <c r="D4343" t="inlineStr">
        <is>
          <t>n° 8 + n° 9</t>
        </is>
      </c>
      <c r="E4343" t="inlineStr">
        <is>
          <t>Menu 'Enfant'</t>
        </is>
      </c>
      <c r="F4343" t="n">
        <v>9.9</v>
      </c>
      <c r="G4343" t="inlineStr">
        <is>
          <t>n° 8 : 0,50 + n° 9 : 0,50</t>
        </is>
      </c>
      <c r="H4343" t="n">
        <v>1</v>
      </c>
    </row>
    <row r="4344">
      <c r="A4344" t="inlineStr">
        <is>
          <t>2024-2025</t>
        </is>
      </c>
      <c r="B4344" t="inlineStr">
        <is>
          <t>2024-08-24</t>
        </is>
      </c>
      <c r="C4344" t="inlineStr">
        <is>
          <t>12:48</t>
        </is>
      </c>
      <c r="D4344" t="inlineStr">
        <is>
          <t>n° 8 + n° 9</t>
        </is>
      </c>
      <c r="E4344" t="inlineStr">
        <is>
          <t>Pavlova</t>
        </is>
      </c>
      <c r="F4344" t="n">
        <v>8.9</v>
      </c>
      <c r="G4344" t="inlineStr">
        <is>
          <t>n° 8 : 0,50 + n° 9 : 0,50</t>
        </is>
      </c>
      <c r="H4344" t="n">
        <v>1</v>
      </c>
    </row>
    <row r="4345">
      <c r="A4345" t="inlineStr">
        <is>
          <t>2024-2025</t>
        </is>
      </c>
      <c r="B4345" t="inlineStr">
        <is>
          <t>2024-08-24</t>
        </is>
      </c>
      <c r="C4345" t="inlineStr">
        <is>
          <t>12:48</t>
        </is>
      </c>
      <c r="D4345" t="inlineStr">
        <is>
          <t>n° 8 + n° 9</t>
        </is>
      </c>
      <c r="E4345" t="inlineStr">
        <is>
          <t>Blanche des plateaux</t>
        </is>
      </c>
      <c r="F4345" t="n">
        <v>6.9</v>
      </c>
      <c r="G4345" t="inlineStr">
        <is>
          <t>n° 8 : 0,50 + n° 9 : 0,50</t>
        </is>
      </c>
      <c r="H4345" t="n">
        <v>1</v>
      </c>
    </row>
    <row r="4346">
      <c r="A4346" t="inlineStr">
        <is>
          <t>2024-2025</t>
        </is>
      </c>
      <c r="B4346" t="inlineStr">
        <is>
          <t>2024-08-24</t>
        </is>
      </c>
      <c r="C4346" t="inlineStr">
        <is>
          <t>12:48</t>
        </is>
      </c>
      <c r="D4346" t="inlineStr">
        <is>
          <t>n° 8 + n° 9</t>
        </is>
      </c>
      <c r="E4346" t="inlineStr">
        <is>
          <t>San Pelegrino</t>
        </is>
      </c>
      <c r="F4346" t="n">
        <v>5.9</v>
      </c>
      <c r="G4346" t="inlineStr">
        <is>
          <t>n° 8 : 0,50 + n° 9 : 0,50</t>
        </is>
      </c>
      <c r="H4346" t="n">
        <v>1</v>
      </c>
    </row>
    <row r="4347">
      <c r="A4347" t="inlineStr">
        <is>
          <t>2024-2025</t>
        </is>
      </c>
      <c r="B4347" t="inlineStr">
        <is>
          <t>2024-08-24</t>
        </is>
      </c>
      <c r="C4347" t="inlineStr">
        <is>
          <t>12:48</t>
        </is>
      </c>
      <c r="D4347" t="inlineStr">
        <is>
          <t>n° 8 + n° 9</t>
        </is>
      </c>
      <c r="E4347" t="inlineStr">
        <is>
          <t>GLACE 2 BOULES</t>
        </is>
      </c>
      <c r="F4347" t="n">
        <v>5.5</v>
      </c>
      <c r="G4347" t="inlineStr">
        <is>
          <t>n° 8 : 1,50 + n° 9 : 1,50</t>
        </is>
      </c>
      <c r="H4347" t="n">
        <v>3</v>
      </c>
    </row>
    <row r="4348">
      <c r="A4348" t="inlineStr">
        <is>
          <t>2024-2025</t>
        </is>
      </c>
      <c r="B4348" t="inlineStr">
        <is>
          <t>2024-08-24</t>
        </is>
      </c>
      <c r="C4348" t="inlineStr">
        <is>
          <t>12:48</t>
        </is>
      </c>
      <c r="D4348" t="inlineStr">
        <is>
          <t>n° 8 + n° 9</t>
        </is>
      </c>
      <c r="E4348" t="inlineStr">
        <is>
          <t>pression</t>
        </is>
      </c>
      <c r="F4348" t="n">
        <v>4.2</v>
      </c>
      <c r="G4348" t="inlineStr">
        <is>
          <t>n° 8 : 0,50 + n° 9 : 0,50</t>
        </is>
      </c>
      <c r="H4348" t="n">
        <v>1</v>
      </c>
    </row>
    <row r="4349">
      <c r="A4349" t="inlineStr">
        <is>
          <t>2024-2025</t>
        </is>
      </c>
      <c r="B4349" t="inlineStr">
        <is>
          <t>2024-08-24</t>
        </is>
      </c>
      <c r="C4349" t="inlineStr">
        <is>
          <t>12:48</t>
        </is>
      </c>
      <c r="D4349" t="inlineStr">
        <is>
          <t>n° 8 + n° 9</t>
        </is>
      </c>
      <c r="E4349" t="inlineStr">
        <is>
          <t>Fuze Tea</t>
        </is>
      </c>
      <c r="F4349" t="n">
        <v>3.9</v>
      </c>
      <c r="G4349" t="inlineStr">
        <is>
          <t>n° 8 : 0,50 + n° 9 : 0,50</t>
        </is>
      </c>
      <c r="H4349" t="n">
        <v>1</v>
      </c>
    </row>
    <row r="4350">
      <c r="A4350" t="inlineStr">
        <is>
          <t>2024-2025</t>
        </is>
      </c>
      <c r="B4350" t="inlineStr">
        <is>
          <t>2024-08-24</t>
        </is>
      </c>
      <c r="C4350" t="inlineStr">
        <is>
          <t>12:48</t>
        </is>
      </c>
      <c r="D4350" t="inlineStr">
        <is>
          <t>n° 8 + n° 9</t>
        </is>
      </c>
      <c r="E4350" t="inlineStr">
        <is>
          <t>Jambon Blanc</t>
        </is>
      </c>
      <c r="F4350" t="n">
        <v>3.8</v>
      </c>
      <c r="G4350" t="inlineStr">
        <is>
          <t>n° 8 : 0,50 + n° 9 : 0,50</t>
        </is>
      </c>
      <c r="H4350" t="n">
        <v>1</v>
      </c>
    </row>
    <row r="4351">
      <c r="A4351" t="inlineStr">
        <is>
          <t>2024-2025</t>
        </is>
      </c>
      <c r="B4351" t="inlineStr">
        <is>
          <t>2024-08-24</t>
        </is>
      </c>
      <c r="C4351" t="inlineStr">
        <is>
          <t>12:48</t>
        </is>
      </c>
      <c r="D4351" t="inlineStr">
        <is>
          <t>n° 8 + n° 9</t>
        </is>
      </c>
      <c r="E4351" t="inlineStr">
        <is>
          <t>GLACE 1 BOULE</t>
        </is>
      </c>
      <c r="F4351" t="n">
        <v>3.5</v>
      </c>
      <c r="G4351" t="inlineStr">
        <is>
          <t>n° 8 : 0,50 + n° 9 : 0,50</t>
        </is>
      </c>
      <c r="H4351" t="n">
        <v>1</v>
      </c>
    </row>
    <row r="4352">
      <c r="A4352" t="inlineStr">
        <is>
          <t>2024-2025</t>
        </is>
      </c>
      <c r="B4352" t="inlineStr">
        <is>
          <t>2024-08-25</t>
        </is>
      </c>
      <c r="C4352" t="inlineStr">
        <is>
          <t>13:02</t>
        </is>
      </c>
      <c r="D4352" t="inlineStr">
        <is>
          <t>n° 16 + n° 17</t>
        </is>
      </c>
      <c r="E4352" t="inlineStr">
        <is>
          <t>Entrecôte Forestiére</t>
        </is>
      </c>
      <c r="F4352" t="n">
        <v>27.8</v>
      </c>
      <c r="G4352" t="inlineStr">
        <is>
          <t>n° 16 : 0,50 + n° 17 : 0,50</t>
        </is>
      </c>
      <c r="H4352" t="n">
        <v>1</v>
      </c>
    </row>
    <row r="4353">
      <c r="A4353" t="inlineStr">
        <is>
          <t>2024-2025</t>
        </is>
      </c>
      <c r="B4353" t="inlineStr">
        <is>
          <t>2024-08-25</t>
        </is>
      </c>
      <c r="C4353" t="inlineStr">
        <is>
          <t>13:02</t>
        </is>
      </c>
      <c r="D4353" t="inlineStr">
        <is>
          <t>n° 16 + n° 17</t>
        </is>
      </c>
      <c r="E4353" t="inlineStr">
        <is>
          <t>TRUITE PESTO</t>
        </is>
      </c>
      <c r="F4353" t="n">
        <v>16.9</v>
      </c>
      <c r="G4353" t="inlineStr">
        <is>
          <t>n° 16 : 0,50 + n° 17 : 0,50</t>
        </is>
      </c>
      <c r="H4353" t="n">
        <v>1</v>
      </c>
    </row>
    <row r="4354">
      <c r="A4354" t="inlineStr">
        <is>
          <t>2024-2025</t>
        </is>
      </c>
      <c r="B4354" t="inlineStr">
        <is>
          <t>2024-08-25</t>
        </is>
      </c>
      <c r="C4354" t="inlineStr">
        <is>
          <t>13:02</t>
        </is>
      </c>
      <c r="D4354" t="inlineStr">
        <is>
          <t>n° 16 + n° 17</t>
        </is>
      </c>
      <c r="E4354" t="inlineStr">
        <is>
          <t>Vin jaune</t>
        </is>
      </c>
      <c r="F4354" t="n">
        <v>12</v>
      </c>
      <c r="G4354" t="inlineStr">
        <is>
          <t>n° 16 : 0,50 + n° 17 : 0,50</t>
        </is>
      </c>
      <c r="H4354" t="n">
        <v>1</v>
      </c>
    </row>
    <row r="4355">
      <c r="A4355" t="inlineStr">
        <is>
          <t>2024-2025</t>
        </is>
      </c>
      <c r="B4355" t="inlineStr">
        <is>
          <t>2024-08-28</t>
        </is>
      </c>
      <c r="C4355" t="inlineStr">
        <is>
          <t>20:31</t>
        </is>
      </c>
      <c r="D4355" t="inlineStr">
        <is>
          <t>n° 27 + n° 28</t>
        </is>
      </c>
      <c r="E4355" t="inlineStr">
        <is>
          <t>Arbois Béthanie</t>
        </is>
      </c>
      <c r="F4355" t="n">
        <v>36</v>
      </c>
      <c r="G4355" t="inlineStr">
        <is>
          <t>n° 27 : 0,50 + n° 28 : 0,50</t>
        </is>
      </c>
      <c r="H4355" t="n">
        <v>1</v>
      </c>
    </row>
    <row r="4356">
      <c r="A4356" t="inlineStr">
        <is>
          <t>2024-2025</t>
        </is>
      </c>
      <c r="B4356" t="inlineStr">
        <is>
          <t>2024-08-28</t>
        </is>
      </c>
      <c r="C4356" t="inlineStr">
        <is>
          <t>20:31</t>
        </is>
      </c>
      <c r="D4356" t="inlineStr">
        <is>
          <t>n° 27 + n° 28</t>
        </is>
      </c>
      <c r="E4356" t="inlineStr">
        <is>
          <t>MACHON GOURMET</t>
        </is>
      </c>
      <c r="F4356" t="n">
        <v>25</v>
      </c>
      <c r="G4356" t="inlineStr">
        <is>
          <t>n° 27 : 0,50 + n° 28 : 0,50</t>
        </is>
      </c>
      <c r="H4356" t="n">
        <v>1</v>
      </c>
    </row>
    <row r="4357">
      <c r="A4357" t="inlineStr">
        <is>
          <t>2024-2025</t>
        </is>
      </c>
      <c r="B4357" t="inlineStr">
        <is>
          <t>2024-08-28</t>
        </is>
      </c>
      <c r="C4357" t="inlineStr">
        <is>
          <t>20:31</t>
        </is>
      </c>
      <c r="D4357" t="inlineStr">
        <is>
          <t>n° 27 + n° 28</t>
        </is>
      </c>
      <c r="E4357" t="inlineStr">
        <is>
          <t>Crémeux du Jura</t>
        </is>
      </c>
      <c r="F4357" t="n">
        <v>19</v>
      </c>
      <c r="G4357" t="inlineStr">
        <is>
          <t>n° 27 : 0,50 + n° 28 : 0,50</t>
        </is>
      </c>
      <c r="H4357" t="n">
        <v>1</v>
      </c>
    </row>
    <row r="4358">
      <c r="A4358" t="inlineStr">
        <is>
          <t>2024-2025</t>
        </is>
      </c>
      <c r="B4358" t="inlineStr">
        <is>
          <t>2024-08-28</t>
        </is>
      </c>
      <c r="C4358" t="inlineStr">
        <is>
          <t>20:31</t>
        </is>
      </c>
      <c r="D4358" t="inlineStr">
        <is>
          <t>n° 27 + n° 28</t>
        </is>
      </c>
      <c r="E4358" t="inlineStr">
        <is>
          <t>CAMEMBERT ROTI</t>
        </is>
      </c>
      <c r="F4358" t="n">
        <v>18.6</v>
      </c>
      <c r="G4358" t="inlineStr">
        <is>
          <t>n° 27 : 0,50 + n° 28 : 0,50</t>
        </is>
      </c>
      <c r="H4358" t="n">
        <v>1</v>
      </c>
    </row>
    <row r="4359">
      <c r="A4359" t="inlineStr">
        <is>
          <t>2024-2025</t>
        </is>
      </c>
      <c r="B4359" t="inlineStr">
        <is>
          <t>2024-08-28</t>
        </is>
      </c>
      <c r="C4359" t="inlineStr">
        <is>
          <t>20:31</t>
        </is>
      </c>
      <c r="D4359" t="inlineStr">
        <is>
          <t>n° 27 + n° 28</t>
        </is>
      </c>
      <c r="E4359" t="inlineStr">
        <is>
          <t>Croûtes Morilles</t>
        </is>
      </c>
      <c r="F4359" t="n">
        <v>16.9</v>
      </c>
      <c r="G4359" t="inlineStr">
        <is>
          <t>n° 27 : 0,50 + n° 28 : 0,50</t>
        </is>
      </c>
      <c r="H4359" t="n">
        <v>1</v>
      </c>
    </row>
    <row r="4360">
      <c r="A4360" t="inlineStr">
        <is>
          <t>2024-2025</t>
        </is>
      </c>
      <c r="B4360" t="inlineStr">
        <is>
          <t>2024-08-28</t>
        </is>
      </c>
      <c r="C4360" t="inlineStr">
        <is>
          <t>20:31</t>
        </is>
      </c>
      <c r="D4360" t="inlineStr">
        <is>
          <t>n° 27 + n° 28</t>
        </is>
      </c>
      <c r="E4360" t="inlineStr">
        <is>
          <t>BASILIC</t>
        </is>
      </c>
      <c r="F4360" t="n">
        <v>12.4</v>
      </c>
      <c r="G4360" t="inlineStr">
        <is>
          <t>n° 27 : 0,50 + n° 28 : 0,50</t>
        </is>
      </c>
      <c r="H4360" t="n">
        <v>1</v>
      </c>
    </row>
    <row r="4361">
      <c r="A4361" t="inlineStr">
        <is>
          <t>2024-2025</t>
        </is>
      </c>
      <c r="B4361" t="inlineStr">
        <is>
          <t>2024-08-28</t>
        </is>
      </c>
      <c r="C4361" t="inlineStr">
        <is>
          <t>20:31</t>
        </is>
      </c>
      <c r="D4361" t="inlineStr">
        <is>
          <t>n° 27 + n° 28</t>
        </is>
      </c>
      <c r="E4361" t="inlineStr">
        <is>
          <t>TOQUADE</t>
        </is>
      </c>
      <c r="F4361" t="n">
        <v>11.8</v>
      </c>
      <c r="G4361" t="inlineStr">
        <is>
          <t>n° 27 : 0,50 + n° 28 : 0,50</t>
        </is>
      </c>
      <c r="H4361" t="n">
        <v>1</v>
      </c>
    </row>
    <row r="4362">
      <c r="A4362" t="inlineStr">
        <is>
          <t>2024-2025</t>
        </is>
      </c>
      <c r="B4362" t="inlineStr">
        <is>
          <t>2024-08-28</t>
        </is>
      </c>
      <c r="C4362" t="inlineStr">
        <is>
          <t>20:31</t>
        </is>
      </c>
      <c r="D4362" t="inlineStr">
        <is>
          <t>n° 27 + n° 28</t>
        </is>
      </c>
      <c r="E4362" t="inlineStr">
        <is>
          <t>Menu 'Enfant'</t>
        </is>
      </c>
      <c r="F4362" t="n">
        <v>9.9</v>
      </c>
      <c r="G4362" t="inlineStr">
        <is>
          <t>n° 27 : 1,50 + n° 28 : 1,50</t>
        </is>
      </c>
      <c r="H4362" t="n">
        <v>3</v>
      </c>
    </row>
    <row r="4363">
      <c r="A4363" t="inlineStr">
        <is>
          <t>2024-2025</t>
        </is>
      </c>
      <c r="B4363" t="inlineStr">
        <is>
          <t>2024-08-28</t>
        </is>
      </c>
      <c r="C4363" t="inlineStr">
        <is>
          <t>20:31</t>
        </is>
      </c>
      <c r="D4363" t="inlineStr">
        <is>
          <t>n° 27 + n° 28</t>
        </is>
      </c>
      <c r="E4363" t="inlineStr">
        <is>
          <t>Chèvre  chaud</t>
        </is>
      </c>
      <c r="F4363" t="n">
        <v>9.6</v>
      </c>
      <c r="G4363" t="inlineStr">
        <is>
          <t>n° 27 : 0,50 + n° 28 : 0,50</t>
        </is>
      </c>
      <c r="H4363" t="n">
        <v>1</v>
      </c>
    </row>
    <row r="4364">
      <c r="A4364" t="inlineStr">
        <is>
          <t>2024-2025</t>
        </is>
      </c>
      <c r="B4364" t="inlineStr">
        <is>
          <t>2024-08-28</t>
        </is>
      </c>
      <c r="C4364" t="inlineStr">
        <is>
          <t>20:31</t>
        </is>
      </c>
      <c r="D4364" t="inlineStr">
        <is>
          <t>n° 27 + n° 28</t>
        </is>
      </c>
      <c r="E4364" t="inlineStr">
        <is>
          <t>FLAMME</t>
        </is>
      </c>
      <c r="F4364" t="n">
        <v>9.300000000000001</v>
      </c>
      <c r="G4364" t="inlineStr">
        <is>
          <t>n° 27 : 0,50 + n° 28 : 0,50</t>
        </is>
      </c>
      <c r="H4364" t="n">
        <v>1</v>
      </c>
    </row>
    <row r="4365">
      <c r="A4365" t="inlineStr">
        <is>
          <t>2024-2025</t>
        </is>
      </c>
      <c r="B4365" t="inlineStr">
        <is>
          <t>2024-08-28</t>
        </is>
      </c>
      <c r="C4365" t="inlineStr">
        <is>
          <t>20:31</t>
        </is>
      </c>
      <c r="D4365" t="inlineStr">
        <is>
          <t>n° 27 + n° 28</t>
        </is>
      </c>
      <c r="E4365" t="inlineStr">
        <is>
          <t>CREME BRULEE</t>
        </is>
      </c>
      <c r="F4365" t="n">
        <v>7.9</v>
      </c>
      <c r="G4365" t="inlineStr">
        <is>
          <t>n° 27 : 0,50 + n° 28 : 0,50</t>
        </is>
      </c>
      <c r="H4365" t="n">
        <v>1</v>
      </c>
    </row>
    <row r="4366">
      <c r="A4366" t="inlineStr">
        <is>
          <t>2024-2025</t>
        </is>
      </c>
      <c r="B4366" t="inlineStr">
        <is>
          <t>2024-08-28</t>
        </is>
      </c>
      <c r="C4366" t="inlineStr">
        <is>
          <t>20:31</t>
        </is>
      </c>
      <c r="D4366" t="inlineStr">
        <is>
          <t>n° 27 + n° 28</t>
        </is>
      </c>
      <c r="E4366" t="inlineStr">
        <is>
          <t>Jack Daniel's</t>
        </is>
      </c>
      <c r="F4366" t="n">
        <v>7.5</v>
      </c>
      <c r="G4366" t="inlineStr">
        <is>
          <t>n° 27 : 0,50 + n° 28 : 0,50</t>
        </is>
      </c>
      <c r="H4366" t="n">
        <v>1</v>
      </c>
    </row>
    <row r="4367">
      <c r="A4367" t="inlineStr">
        <is>
          <t>2024-2025</t>
        </is>
      </c>
      <c r="B4367" t="inlineStr">
        <is>
          <t>2024-08-28</t>
        </is>
      </c>
      <c r="C4367" t="inlineStr">
        <is>
          <t>20:31</t>
        </is>
      </c>
      <c r="D4367" t="inlineStr">
        <is>
          <t>n° 27 + n° 28</t>
        </is>
      </c>
      <c r="E4367" t="inlineStr">
        <is>
          <t>Baileys</t>
        </is>
      </c>
      <c r="F4367" t="n">
        <v>6.5</v>
      </c>
      <c r="G4367" t="inlineStr">
        <is>
          <t>n° 27 : 0,50 + n° 28 : 0,50</t>
        </is>
      </c>
      <c r="H4367" t="n">
        <v>1</v>
      </c>
    </row>
    <row r="4368">
      <c r="A4368" t="inlineStr">
        <is>
          <t>2024-2025</t>
        </is>
      </c>
      <c r="B4368" t="inlineStr">
        <is>
          <t>2024-08-28</t>
        </is>
      </c>
      <c r="C4368" t="inlineStr">
        <is>
          <t>20:31</t>
        </is>
      </c>
      <c r="D4368" t="inlineStr">
        <is>
          <t>n° 27 + n° 28</t>
        </is>
      </c>
      <c r="E4368" t="inlineStr">
        <is>
          <t>GLACE 2 BOULES</t>
        </is>
      </c>
      <c r="F4368" t="n">
        <v>5.5</v>
      </c>
      <c r="G4368" t="inlineStr">
        <is>
          <t>n° 27 : 0,50 + n° 28 : 0,50</t>
        </is>
      </c>
      <c r="H4368" t="n">
        <v>1</v>
      </c>
    </row>
    <row r="4369">
      <c r="A4369" t="inlineStr">
        <is>
          <t>2024-2025</t>
        </is>
      </c>
      <c r="B4369" t="inlineStr">
        <is>
          <t>2024-08-28</t>
        </is>
      </c>
      <c r="C4369" t="inlineStr">
        <is>
          <t>20:31</t>
        </is>
      </c>
      <c r="D4369" t="inlineStr">
        <is>
          <t>n° 27 + n° 28</t>
        </is>
      </c>
      <c r="E4369" t="inlineStr">
        <is>
          <t>Ricard</t>
        </is>
      </c>
      <c r="F4369" t="n">
        <v>4.2</v>
      </c>
      <c r="G4369" t="inlineStr">
        <is>
          <t>n° 27 : 0,50 + n° 28 : 0,50</t>
        </is>
      </c>
      <c r="H4369" t="n">
        <v>1</v>
      </c>
    </row>
    <row r="4370">
      <c r="A4370" t="inlineStr">
        <is>
          <t>2024-2025</t>
        </is>
      </c>
      <c r="B4370" t="inlineStr">
        <is>
          <t>2024-08-28</t>
        </is>
      </c>
      <c r="C4370" t="inlineStr">
        <is>
          <t>20:31</t>
        </is>
      </c>
      <c r="D4370" t="inlineStr">
        <is>
          <t>n° 27 + n° 28</t>
        </is>
      </c>
      <c r="E4370" t="inlineStr">
        <is>
          <t>Orangina (25cl)</t>
        </is>
      </c>
      <c r="F4370" t="n">
        <v>3.9</v>
      </c>
      <c r="G4370" t="inlineStr">
        <is>
          <t>n° 27 : 0,50 + n° 28 : 0,50</t>
        </is>
      </c>
      <c r="H4370" t="n">
        <v>1</v>
      </c>
    </row>
    <row r="4371">
      <c r="A4371" t="inlineStr">
        <is>
          <t>2024-2025</t>
        </is>
      </c>
      <c r="B4371" t="inlineStr">
        <is>
          <t>2024-08-28</t>
        </is>
      </c>
      <c r="C4371" t="inlineStr">
        <is>
          <t>20:31</t>
        </is>
      </c>
      <c r="D4371" t="inlineStr">
        <is>
          <t>n° 27 + n° 28</t>
        </is>
      </c>
      <c r="E4371" t="inlineStr">
        <is>
          <t>Expresso</t>
        </is>
      </c>
      <c r="F4371" t="n">
        <v>2.2</v>
      </c>
      <c r="G4371" t="inlineStr">
        <is>
          <t>n° 27 : 0,50 + n° 28 : 0,50</t>
        </is>
      </c>
      <c r="H4371" t="n">
        <v>1</v>
      </c>
    </row>
    <row r="4372">
      <c r="A4372" t="inlineStr">
        <is>
          <t>2024-2025</t>
        </is>
      </c>
      <c r="B4372" t="inlineStr">
        <is>
          <t>2024-08-29</t>
        </is>
      </c>
      <c r="C4372" t="inlineStr">
        <is>
          <t>19:39</t>
        </is>
      </c>
      <c r="D4372" t="inlineStr">
        <is>
          <t>n° 27 + n° 28</t>
        </is>
      </c>
      <c r="E4372" t="inlineStr">
        <is>
          <t>LOURNETTE</t>
        </is>
      </c>
      <c r="F4372" t="n">
        <v>17.9</v>
      </c>
      <c r="G4372" t="inlineStr">
        <is>
          <t>n° 27 : 0,50 + n° 28 : 0,50</t>
        </is>
      </c>
      <c r="H4372" t="n">
        <v>1</v>
      </c>
    </row>
    <row r="4373">
      <c r="A4373" t="inlineStr">
        <is>
          <t>2024-2025</t>
        </is>
      </c>
      <c r="B4373" t="inlineStr">
        <is>
          <t>2024-08-29</t>
        </is>
      </c>
      <c r="C4373" t="inlineStr">
        <is>
          <t>19:39</t>
        </is>
      </c>
      <c r="D4373" t="inlineStr">
        <is>
          <t>n° 27 + n° 28</t>
        </is>
      </c>
      <c r="E4373" t="inlineStr">
        <is>
          <t>BARBEULENET</t>
        </is>
      </c>
      <c r="F4373" t="n">
        <v>17.4</v>
      </c>
      <c r="G4373" t="inlineStr">
        <is>
          <t>n° 27 : 0,50 + n° 28 : 0,50</t>
        </is>
      </c>
      <c r="H4373" t="n">
        <v>1</v>
      </c>
    </row>
    <row r="4374">
      <c r="A4374" t="inlineStr">
        <is>
          <t>2024-2025</t>
        </is>
      </c>
      <c r="B4374" t="inlineStr">
        <is>
          <t>2024-08-30</t>
        </is>
      </c>
      <c r="C4374" t="inlineStr">
        <is>
          <t>12:41</t>
        </is>
      </c>
      <c r="D4374" t="inlineStr">
        <is>
          <t>n° 12 + n° 13 + n° 14 + n° 15 + n° 17 + n° 18</t>
        </is>
      </c>
      <c r="E4374" t="inlineStr">
        <is>
          <t>MACHON GOURMET</t>
        </is>
      </c>
      <c r="F4374" t="n">
        <v>25</v>
      </c>
      <c r="G4374" t="inlineStr">
        <is>
          <t>n° 17 : 0,50 + n° 18 : 0,50</t>
        </is>
      </c>
      <c r="H4374" t="n">
        <v>1</v>
      </c>
    </row>
    <row r="4375">
      <c r="A4375" t="inlineStr">
        <is>
          <t>2024-2025</t>
        </is>
      </c>
      <c r="B4375" t="inlineStr">
        <is>
          <t>2024-08-30</t>
        </is>
      </c>
      <c r="C4375" t="inlineStr">
        <is>
          <t>12:41</t>
        </is>
      </c>
      <c r="D4375" t="inlineStr">
        <is>
          <t>n° 12 + n° 13 + n° 14 + n° 15 + n° 17 + n° 18</t>
        </is>
      </c>
      <c r="E4375" t="inlineStr">
        <is>
          <t>PAYSANNE</t>
        </is>
      </c>
      <c r="F4375" t="n">
        <v>19.9</v>
      </c>
      <c r="G4375" t="inlineStr">
        <is>
          <t>n° 12 : 0,25 + n° 13 : 0,25 + n° 14 : 0,25 + n° 15 : 0,25</t>
        </is>
      </c>
      <c r="H4375" t="n">
        <v>1</v>
      </c>
    </row>
    <row r="4376">
      <c r="A4376" t="inlineStr">
        <is>
          <t>2024-2025</t>
        </is>
      </c>
      <c r="B4376" t="inlineStr">
        <is>
          <t>2024-08-30</t>
        </is>
      </c>
      <c r="C4376" t="inlineStr">
        <is>
          <t>12:41</t>
        </is>
      </c>
      <c r="D4376" t="inlineStr">
        <is>
          <t>n° 12 + n° 13 + n° 14 + n° 15 + n° 17 + n° 18</t>
        </is>
      </c>
      <c r="E4376" t="inlineStr">
        <is>
          <t>Menu 'Galette'</t>
        </is>
      </c>
      <c r="F4376" t="n">
        <v>19.5</v>
      </c>
      <c r="G4376" t="inlineStr">
        <is>
          <t>n° 12 : 0,25 + n° 13 : 0,25 + n° 14 : 0,25 + n° 15 : 0,25</t>
        </is>
      </c>
      <c r="H4376" t="n">
        <v>1</v>
      </c>
    </row>
    <row r="4377">
      <c r="A4377" t="inlineStr">
        <is>
          <t>2024-2025</t>
        </is>
      </c>
      <c r="B4377" t="inlineStr">
        <is>
          <t>2024-08-30</t>
        </is>
      </c>
      <c r="C4377" t="inlineStr">
        <is>
          <t>12:41</t>
        </is>
      </c>
      <c r="D4377" t="inlineStr">
        <is>
          <t>n° 12 + n° 13 + n° 14 + n° 15 + n° 17 + n° 18</t>
        </is>
      </c>
      <c r="E4377" t="inlineStr">
        <is>
          <t>FORMULE EXPRESS</t>
        </is>
      </c>
      <c r="F4377" t="n">
        <v>18.6</v>
      </c>
      <c r="G4377" t="inlineStr">
        <is>
          <t>n° 12 : 0,25 + n° 13 : 0,25 + n° 14 : 0,25 + n° 15 : 0,25</t>
        </is>
      </c>
      <c r="H4377" t="n">
        <v>1</v>
      </c>
    </row>
    <row r="4378">
      <c r="A4378" t="inlineStr">
        <is>
          <t>2024-2025</t>
        </is>
      </c>
      <c r="B4378" t="inlineStr">
        <is>
          <t>2024-08-30</t>
        </is>
      </c>
      <c r="C4378" t="inlineStr">
        <is>
          <t>12:41</t>
        </is>
      </c>
      <c r="D4378" t="inlineStr">
        <is>
          <t>n° 12 + n° 13 + n° 14 + n° 15 + n° 17 + n° 18</t>
        </is>
      </c>
      <c r="E4378" t="inlineStr">
        <is>
          <t>POULET JURASSIENNE</t>
        </is>
      </c>
      <c r="F4378" t="n">
        <v>18.6</v>
      </c>
      <c r="G4378" t="inlineStr">
        <is>
          <t>n° 17 : 0,50 + n° 18 : 0,50</t>
        </is>
      </c>
      <c r="H4378" t="n">
        <v>1</v>
      </c>
    </row>
    <row r="4379">
      <c r="A4379" t="inlineStr">
        <is>
          <t>2024-2025</t>
        </is>
      </c>
      <c r="B4379" t="inlineStr">
        <is>
          <t>2024-08-30</t>
        </is>
      </c>
      <c r="C4379" t="inlineStr">
        <is>
          <t>12:41</t>
        </is>
      </c>
      <c r="D4379" t="inlineStr">
        <is>
          <t>n° 12 + n° 13 + n° 14 + n° 15 + n° 17 + n° 18</t>
        </is>
      </c>
      <c r="E4379" t="inlineStr">
        <is>
          <t>Formule à 12.5</t>
        </is>
      </c>
      <c r="F4379" t="n">
        <v>12.5</v>
      </c>
      <c r="G4379" t="inlineStr">
        <is>
          <t>n° 12 : 0,25 + n° 13 : 0,25 + n° 14 : 0,25 + n° 15 : 0,25</t>
        </is>
      </c>
      <c r="H4379" t="n">
        <v>1</v>
      </c>
    </row>
    <row r="4380">
      <c r="A4380" t="inlineStr">
        <is>
          <t>2024-2025</t>
        </is>
      </c>
      <c r="B4380" t="inlineStr">
        <is>
          <t>2024-08-30</t>
        </is>
      </c>
      <c r="C4380" t="inlineStr">
        <is>
          <t>12:41</t>
        </is>
      </c>
      <c r="D4380" t="inlineStr">
        <is>
          <t>n° 12 + n° 13 + n° 14 + n° 15 + n° 17 + n° 18</t>
        </is>
      </c>
      <c r="E4380" t="inlineStr">
        <is>
          <t>FOULETOT</t>
        </is>
      </c>
      <c r="F4380" t="n">
        <v>11.5</v>
      </c>
      <c r="G4380" t="inlineStr">
        <is>
          <t>n° 17 : 0,50 + n° 18 : 0,50</t>
        </is>
      </c>
      <c r="H4380" t="n">
        <v>1</v>
      </c>
    </row>
    <row r="4381">
      <c r="A4381" t="inlineStr">
        <is>
          <t>2024-2025</t>
        </is>
      </c>
      <c r="B4381" t="inlineStr">
        <is>
          <t>2024-08-30</t>
        </is>
      </c>
      <c r="C4381" t="inlineStr">
        <is>
          <t>12:41</t>
        </is>
      </c>
      <c r="D4381" t="inlineStr">
        <is>
          <t>n° 12 + n° 13 + n° 14 + n° 15 + n° 17 + n° 18</t>
        </is>
      </c>
      <c r="E4381" t="inlineStr">
        <is>
          <t>CUPIDON</t>
        </is>
      </c>
      <c r="F4381" t="n">
        <v>9.300000000000001</v>
      </c>
      <c r="G4381" t="inlineStr">
        <is>
          <t>n° 17 : 0,50 + n° 18 : 0,50</t>
        </is>
      </c>
      <c r="H4381" t="n">
        <v>1</v>
      </c>
    </row>
    <row r="4382">
      <c r="A4382" t="inlineStr">
        <is>
          <t>2024-2025</t>
        </is>
      </c>
      <c r="B4382" t="inlineStr">
        <is>
          <t>2024-08-30</t>
        </is>
      </c>
      <c r="C4382" t="inlineStr">
        <is>
          <t>12:41</t>
        </is>
      </c>
      <c r="D4382" t="inlineStr">
        <is>
          <t>n° 12 + n° 13 + n° 14 + n° 15 + n° 17 + n° 18</t>
        </is>
      </c>
      <c r="E4382" t="inlineStr">
        <is>
          <t>Blanche des plateaux</t>
        </is>
      </c>
      <c r="F4382" t="n">
        <v>6.9</v>
      </c>
      <c r="G4382" t="inlineStr">
        <is>
          <t>n° 12 : 0,25 + n° 13 : 0,25 + n° 14 : 0,25 + n° 15 : 0,25</t>
        </is>
      </c>
      <c r="H4382" t="n">
        <v>1</v>
      </c>
    </row>
    <row r="4383">
      <c r="A4383" t="inlineStr">
        <is>
          <t>2024-2025</t>
        </is>
      </c>
      <c r="B4383" t="inlineStr">
        <is>
          <t>2024-08-30</t>
        </is>
      </c>
      <c r="C4383" t="inlineStr">
        <is>
          <t>12:41</t>
        </is>
      </c>
      <c r="D4383" t="inlineStr">
        <is>
          <t>n° 12 + n° 13 + n° 14 + n° 15 + n° 17 + n° 18</t>
        </is>
      </c>
      <c r="E4383" t="inlineStr">
        <is>
          <t>La Vouivre</t>
        </is>
      </c>
      <c r="F4383" t="n">
        <v>5.9</v>
      </c>
      <c r="G4383" t="inlineStr">
        <is>
          <t>n° 12 : 0,25 + n° 13 : 0,25 + n° 14 : 0,25 + n° 15 : 0,25 + n° 17 : 1,00 + n° 18 : 1,00</t>
        </is>
      </c>
      <c r="H4383" t="n">
        <v>3</v>
      </c>
    </row>
    <row r="4384">
      <c r="A4384" t="inlineStr">
        <is>
          <t>2024-2025</t>
        </is>
      </c>
      <c r="B4384" t="inlineStr">
        <is>
          <t>2024-08-30</t>
        </is>
      </c>
      <c r="C4384" t="inlineStr">
        <is>
          <t>12:41</t>
        </is>
      </c>
      <c r="D4384" t="inlineStr">
        <is>
          <t>n° 12 + n° 13 + n° 14 + n° 15 + n° 17 + n° 18</t>
        </is>
      </c>
      <c r="E4384" t="inlineStr">
        <is>
          <t>pression</t>
        </is>
      </c>
      <c r="F4384" t="n">
        <v>4.2</v>
      </c>
      <c r="G4384" t="inlineStr">
        <is>
          <t>n° 12 : 0,25 + n° 13 : 0,25 + n° 14 : 0,25 + n° 15 : 0,25</t>
        </is>
      </c>
      <c r="H4384" t="n">
        <v>1</v>
      </c>
    </row>
    <row r="4385">
      <c r="A4385" t="inlineStr">
        <is>
          <t>2024-2025</t>
        </is>
      </c>
      <c r="B4385" t="inlineStr">
        <is>
          <t>2024-08-30</t>
        </is>
      </c>
      <c r="C4385" t="inlineStr">
        <is>
          <t>12:41</t>
        </is>
      </c>
      <c r="D4385" t="inlineStr">
        <is>
          <t>n° 12 + n° 13 + n° 14 + n° 15 + n° 17 + n° 18</t>
        </is>
      </c>
      <c r="E4385" t="inlineStr">
        <is>
          <t>Verre Rosé</t>
        </is>
      </c>
      <c r="F4385" t="n">
        <v>3.9</v>
      </c>
      <c r="G4385" t="inlineStr">
        <is>
          <t>n° 12 : 0,25 + n° 13 : 0,25 + n° 14 : 0,25 + n° 15 : 0,25</t>
        </is>
      </c>
      <c r="H4385" t="n">
        <v>1</v>
      </c>
    </row>
    <row r="4386">
      <c r="A4386" t="inlineStr">
        <is>
          <t>2024-2025</t>
        </is>
      </c>
      <c r="B4386" t="inlineStr">
        <is>
          <t>2024-08-30</t>
        </is>
      </c>
      <c r="C4386" t="inlineStr">
        <is>
          <t>19:58</t>
        </is>
      </c>
      <c r="D4386" t="inlineStr">
        <is>
          <t>n° 22 + n° 23</t>
        </is>
      </c>
      <c r="E4386" t="inlineStr">
        <is>
          <t>PEUTE</t>
        </is>
      </c>
      <c r="F4386" t="n">
        <v>17.8</v>
      </c>
      <c r="G4386" t="inlineStr">
        <is>
          <t>n° 22 : 0,50 + n° 23 : 0,50</t>
        </is>
      </c>
      <c r="H4386" t="n">
        <v>1</v>
      </c>
    </row>
    <row r="4387">
      <c r="A4387" t="inlineStr">
        <is>
          <t>2024-2025</t>
        </is>
      </c>
      <c r="B4387" t="inlineStr">
        <is>
          <t>2024-08-30</t>
        </is>
      </c>
      <c r="C4387" t="inlineStr">
        <is>
          <t>19:58</t>
        </is>
      </c>
      <c r="D4387" t="inlineStr">
        <is>
          <t>n° 22 + n° 23</t>
        </is>
      </c>
      <c r="E4387" t="inlineStr">
        <is>
          <t>CABRICHOU</t>
        </is>
      </c>
      <c r="F4387" t="n">
        <v>16.9</v>
      </c>
      <c r="G4387" t="inlineStr">
        <is>
          <t>n° 22 : 0,50 + n° 23 : 0,50</t>
        </is>
      </c>
      <c r="H4387" t="n">
        <v>1</v>
      </c>
    </row>
    <row r="4388">
      <c r="A4388" t="inlineStr">
        <is>
          <t>2024-2025</t>
        </is>
      </c>
      <c r="B4388" t="inlineStr">
        <is>
          <t>2024-08-30</t>
        </is>
      </c>
      <c r="C4388" t="inlineStr">
        <is>
          <t>19:58</t>
        </is>
      </c>
      <c r="D4388" t="inlineStr">
        <is>
          <t>n° 22 + n° 23</t>
        </is>
      </c>
      <c r="E4388" t="inlineStr">
        <is>
          <t>Crêpe Salidou</t>
        </is>
      </c>
      <c r="F4388" t="n">
        <v>6.4</v>
      </c>
      <c r="G4388" t="inlineStr">
        <is>
          <t>n° 22 : 0,50 + n° 23 : 0,50</t>
        </is>
      </c>
      <c r="H4388" t="n">
        <v>1</v>
      </c>
    </row>
    <row r="4389">
      <c r="A4389" t="inlineStr">
        <is>
          <t>2024-2025</t>
        </is>
      </c>
      <c r="B4389" t="inlineStr">
        <is>
          <t>2024-08-30</t>
        </is>
      </c>
      <c r="C4389" t="inlineStr">
        <is>
          <t>19:58</t>
        </is>
      </c>
      <c r="D4389" t="inlineStr">
        <is>
          <t>n° 22 + n° 23</t>
        </is>
      </c>
      <c r="E4389" t="inlineStr">
        <is>
          <t>GLACE 2 BOULES</t>
        </is>
      </c>
      <c r="F4389" t="n">
        <v>5.5</v>
      </c>
      <c r="G4389" t="inlineStr">
        <is>
          <t>n° 22 : 0,50 + n° 23 : 0,50</t>
        </is>
      </c>
      <c r="H4389" t="n">
        <v>1</v>
      </c>
    </row>
    <row r="4390">
      <c r="A4390" t="inlineStr">
        <is>
          <t>2024-2025</t>
        </is>
      </c>
      <c r="B4390" t="inlineStr">
        <is>
          <t>2024-08-30</t>
        </is>
      </c>
      <c r="C4390" t="inlineStr">
        <is>
          <t>19:58</t>
        </is>
      </c>
      <c r="D4390" t="inlineStr">
        <is>
          <t>n° 22 + n° 23</t>
        </is>
      </c>
      <c r="E4390" t="inlineStr">
        <is>
          <t>Fuze Tea</t>
        </is>
      </c>
      <c r="F4390" t="n">
        <v>3.9</v>
      </c>
      <c r="G4390" t="inlineStr">
        <is>
          <t>n° 22 : 0,50 + n° 23 : 0,50</t>
        </is>
      </c>
      <c r="H4390" t="n">
        <v>1</v>
      </c>
    </row>
    <row r="4391">
      <c r="A4391" t="inlineStr">
        <is>
          <t>2024-2025</t>
        </is>
      </c>
      <c r="B4391" t="inlineStr">
        <is>
          <t>2024-08-30</t>
        </is>
      </c>
      <c r="C4391" t="inlineStr">
        <is>
          <t>19:58</t>
        </is>
      </c>
      <c r="D4391" t="inlineStr">
        <is>
          <t>n° 22 + n° 23</t>
        </is>
      </c>
      <c r="E4391" t="inlineStr">
        <is>
          <t>Orangina (25cl)</t>
        </is>
      </c>
      <c r="F4391" t="n">
        <v>3.9</v>
      </c>
      <c r="G4391" t="inlineStr">
        <is>
          <t>n° 22 : 0,50 + n° 23 : 0,50</t>
        </is>
      </c>
      <c r="H4391" t="n">
        <v>1</v>
      </c>
    </row>
    <row r="4392">
      <c r="A4392" t="inlineStr">
        <is>
          <t>2024-2025</t>
        </is>
      </c>
      <c r="B4392" t="inlineStr">
        <is>
          <t>2024-08-31</t>
        </is>
      </c>
      <c r="C4392" t="inlineStr">
        <is>
          <t>19:23</t>
        </is>
      </c>
      <c r="D4392" t="inlineStr">
        <is>
          <t>n° 17 + n° 18</t>
        </is>
      </c>
      <c r="E4392" t="inlineStr">
        <is>
          <t>Clair de Rosé</t>
        </is>
      </c>
      <c r="F4392" t="n">
        <v>18</v>
      </c>
      <c r="G4392" t="inlineStr">
        <is>
          <t>n° 17 : 0,50 + n° 18 : 0,50</t>
        </is>
      </c>
      <c r="H4392" t="n">
        <v>1</v>
      </c>
    </row>
    <row r="4393">
      <c r="A4393" t="inlineStr">
        <is>
          <t>2024-2025</t>
        </is>
      </c>
      <c r="B4393" t="inlineStr">
        <is>
          <t>2024-08-31</t>
        </is>
      </c>
      <c r="C4393" t="inlineStr">
        <is>
          <t>19:23</t>
        </is>
      </c>
      <c r="D4393" t="inlineStr">
        <is>
          <t>n° 17 + n° 18</t>
        </is>
      </c>
      <c r="E4393" t="inlineStr">
        <is>
          <t>TANTELIN</t>
        </is>
      </c>
      <c r="F4393" t="n">
        <v>17.4</v>
      </c>
      <c r="G4393" t="inlineStr">
        <is>
          <t>n° 17 : 0,50 + n° 18 : 0,50</t>
        </is>
      </c>
      <c r="H4393" t="n">
        <v>1</v>
      </c>
    </row>
    <row r="4394">
      <c r="A4394" t="inlineStr">
        <is>
          <t>2024-2025</t>
        </is>
      </c>
      <c r="B4394" t="inlineStr">
        <is>
          <t>2024-08-31</t>
        </is>
      </c>
      <c r="C4394" t="inlineStr">
        <is>
          <t>19:23</t>
        </is>
      </c>
      <c r="D4394" t="inlineStr">
        <is>
          <t>n° 17 + n° 18</t>
        </is>
      </c>
      <c r="E4394" t="inlineStr">
        <is>
          <t>Complète</t>
        </is>
      </c>
      <c r="F4394" t="n">
        <v>11.6</v>
      </c>
      <c r="G4394" t="inlineStr">
        <is>
          <t>n° 17 : 0,50 + n° 18 : 0,50</t>
        </is>
      </c>
      <c r="H4394" t="n">
        <v>1</v>
      </c>
    </row>
    <row r="4395">
      <c r="A4395" t="inlineStr">
        <is>
          <t>2024-2025</t>
        </is>
      </c>
      <c r="B4395" t="inlineStr">
        <is>
          <t>2024-09-01</t>
        </is>
      </c>
      <c r="C4395" t="inlineStr">
        <is>
          <t>12:47</t>
        </is>
      </c>
      <c r="D4395" t="inlineStr">
        <is>
          <t>n° 10 + n° 11</t>
        </is>
      </c>
      <c r="E4395" t="inlineStr">
        <is>
          <t>PAYSANNE</t>
        </is>
      </c>
      <c r="F4395" t="n">
        <v>19.9</v>
      </c>
      <c r="G4395" t="inlineStr">
        <is>
          <t>n° 10 : 0,50 + n° 11 : 0,50</t>
        </is>
      </c>
      <c r="H4395" t="n">
        <v>1</v>
      </c>
    </row>
    <row r="4396">
      <c r="A4396" t="inlineStr">
        <is>
          <t>2024-2025</t>
        </is>
      </c>
      <c r="B4396" t="inlineStr">
        <is>
          <t>2024-09-01</t>
        </is>
      </c>
      <c r="C4396" t="inlineStr">
        <is>
          <t>12:47</t>
        </is>
      </c>
      <c r="D4396" t="inlineStr">
        <is>
          <t>n° 10 + n° 11</t>
        </is>
      </c>
      <c r="E4396" t="inlineStr">
        <is>
          <t>POULET JURASSIENNE</t>
        </is>
      </c>
      <c r="F4396" t="n">
        <v>18.6</v>
      </c>
      <c r="G4396" t="inlineStr">
        <is>
          <t>n° 10 : 0,50 + n° 11 : 0,50</t>
        </is>
      </c>
      <c r="H4396" t="n">
        <v>1</v>
      </c>
    </row>
    <row r="4397">
      <c r="A4397" t="inlineStr">
        <is>
          <t>2024-2025</t>
        </is>
      </c>
      <c r="B4397" t="inlineStr">
        <is>
          <t>2024-09-01</t>
        </is>
      </c>
      <c r="C4397" t="inlineStr">
        <is>
          <t>12:47</t>
        </is>
      </c>
      <c r="D4397" t="inlineStr">
        <is>
          <t>n° 10 + n° 11</t>
        </is>
      </c>
      <c r="E4397" t="inlineStr">
        <is>
          <t>Expresso</t>
        </is>
      </c>
      <c r="F4397" t="n">
        <v>2.2</v>
      </c>
      <c r="G4397" t="inlineStr">
        <is>
          <t>n° 10 : 1,50 + n° 11 : 1,50</t>
        </is>
      </c>
      <c r="H4397" t="n">
        <v>3</v>
      </c>
    </row>
    <row r="4398">
      <c r="A4398" t="inlineStr">
        <is>
          <t>2024-2025</t>
        </is>
      </c>
      <c r="B4398" t="inlineStr">
        <is>
          <t>2024-09-04</t>
        </is>
      </c>
      <c r="C4398" t="inlineStr">
        <is>
          <t>12:46</t>
        </is>
      </c>
      <c r="D4398" t="inlineStr">
        <is>
          <t>n° 10 + n° 11</t>
        </is>
      </c>
      <c r="E4398" t="inlineStr">
        <is>
          <t>Chèvre  chaud</t>
        </is>
      </c>
      <c r="F4398" t="n">
        <v>9.6</v>
      </c>
      <c r="G4398" t="inlineStr">
        <is>
          <t>n° 10 : 1,50 + n° 11 : 1,50</t>
        </is>
      </c>
      <c r="H4398" t="n">
        <v>3</v>
      </c>
    </row>
    <row r="4399">
      <c r="A4399" t="inlineStr">
        <is>
          <t>2024-2025</t>
        </is>
      </c>
      <c r="B4399" t="inlineStr">
        <is>
          <t>2024-09-04</t>
        </is>
      </c>
      <c r="C4399" t="inlineStr">
        <is>
          <t>12:46</t>
        </is>
      </c>
      <c r="D4399" t="inlineStr">
        <is>
          <t>n° 10 + n° 11</t>
        </is>
      </c>
      <c r="E4399" t="inlineStr">
        <is>
          <t>Pinte</t>
        </is>
      </c>
      <c r="F4399" t="n">
        <v>8</v>
      </c>
      <c r="G4399" t="inlineStr">
        <is>
          <t>n° 10 : 0,50 + n° 11 : 0,50</t>
        </is>
      </c>
      <c r="H4399" t="n">
        <v>1</v>
      </c>
    </row>
    <row r="4400">
      <c r="A4400" t="inlineStr">
        <is>
          <t>2024-2025</t>
        </is>
      </c>
      <c r="B4400" t="inlineStr">
        <is>
          <t>2024-09-04</t>
        </is>
      </c>
      <c r="C4400" t="inlineStr">
        <is>
          <t>12:46</t>
        </is>
      </c>
      <c r="D4400" t="inlineStr">
        <is>
          <t>n° 10 + n° 11</t>
        </is>
      </c>
      <c r="E4400" t="inlineStr">
        <is>
          <t>Escargots de Bourgog</t>
        </is>
      </c>
      <c r="F4400" t="n">
        <v>8</v>
      </c>
      <c r="G4400" t="inlineStr">
        <is>
          <t>n° 10 : 0,50 + n° 11 : 0,50</t>
        </is>
      </c>
      <c r="H4400" t="n">
        <v>1</v>
      </c>
    </row>
    <row r="4401">
      <c r="A4401" t="inlineStr">
        <is>
          <t>2024-2025</t>
        </is>
      </c>
      <c r="B4401" t="inlineStr">
        <is>
          <t>2024-09-04</t>
        </is>
      </c>
      <c r="C4401" t="inlineStr">
        <is>
          <t>12:46</t>
        </is>
      </c>
      <c r="D4401" t="inlineStr">
        <is>
          <t>n° 10 + n° 11</t>
        </is>
      </c>
      <c r="E4401" t="inlineStr">
        <is>
          <t>CREME BRULEE</t>
        </is>
      </c>
      <c r="F4401" t="n">
        <v>7.9</v>
      </c>
      <c r="G4401" t="inlineStr">
        <is>
          <t>n° 10 : 0,50 + n° 11 : 0,50</t>
        </is>
      </c>
      <c r="H4401" t="n">
        <v>1</v>
      </c>
    </row>
    <row r="4402">
      <c r="A4402" t="inlineStr">
        <is>
          <t>2024-2025</t>
        </is>
      </c>
      <c r="B4402" t="inlineStr">
        <is>
          <t>2024-09-04</t>
        </is>
      </c>
      <c r="C4402" t="inlineStr">
        <is>
          <t>12:46</t>
        </is>
      </c>
      <c r="D4402" t="inlineStr">
        <is>
          <t>n° 10 + n° 11</t>
        </is>
      </c>
      <c r="E4402" t="inlineStr">
        <is>
          <t>Beaujolais Moulin à</t>
        </is>
      </c>
      <c r="F4402" t="n">
        <v>7.6</v>
      </c>
      <c r="G4402" t="inlineStr">
        <is>
          <t>n° 10 : 0,50 + n° 11 : 0,50</t>
        </is>
      </c>
      <c r="H4402" t="n">
        <v>1</v>
      </c>
    </row>
    <row r="4403">
      <c r="A4403" t="inlineStr">
        <is>
          <t>2024-2025</t>
        </is>
      </c>
      <c r="B4403" t="inlineStr">
        <is>
          <t>2024-09-04</t>
        </is>
      </c>
      <c r="C4403" t="inlineStr">
        <is>
          <t>12:46</t>
        </is>
      </c>
      <c r="D4403" t="inlineStr">
        <is>
          <t>n° 10 + n° 11</t>
        </is>
      </c>
      <c r="E4403" t="inlineStr">
        <is>
          <t>Jamhon Persillé</t>
        </is>
      </c>
      <c r="F4403" t="n">
        <v>7.2</v>
      </c>
      <c r="G4403" t="inlineStr">
        <is>
          <t>n° 10 : 0,50 + n° 11 : 0,50</t>
        </is>
      </c>
      <c r="H4403" t="n">
        <v>1</v>
      </c>
    </row>
    <row r="4404">
      <c r="A4404" t="inlineStr">
        <is>
          <t>2024-2025</t>
        </is>
      </c>
      <c r="B4404" t="inlineStr">
        <is>
          <t>2024-09-04</t>
        </is>
      </c>
      <c r="C4404" t="inlineStr">
        <is>
          <t>12:46</t>
        </is>
      </c>
      <c r="D4404" t="inlineStr">
        <is>
          <t>n° 10 + n° 11</t>
        </is>
      </c>
      <c r="E4404" t="inlineStr">
        <is>
          <t>pression</t>
        </is>
      </c>
      <c r="F4404" t="n">
        <v>4.2</v>
      </c>
      <c r="G4404" t="inlineStr">
        <is>
          <t>n° 10 : 0,50 + n° 11 : 0,50</t>
        </is>
      </c>
      <c r="H4404" t="n">
        <v>1</v>
      </c>
    </row>
    <row r="4405">
      <c r="A4405" t="inlineStr">
        <is>
          <t>2024-2025</t>
        </is>
      </c>
      <c r="B4405" t="inlineStr">
        <is>
          <t>2024-09-04</t>
        </is>
      </c>
      <c r="C4405" t="inlineStr">
        <is>
          <t>13:28</t>
        </is>
      </c>
      <c r="D4405" t="inlineStr">
        <is>
          <t>n° 17 + n° 18</t>
        </is>
      </c>
      <c r="E4405" t="inlineStr">
        <is>
          <t>Arbois Trousseau Bou</t>
        </is>
      </c>
      <c r="F4405" t="n">
        <v>36</v>
      </c>
      <c r="G4405" t="inlineStr">
        <is>
          <t>n° 17 : 0,50 + n° 18 : 0,50</t>
        </is>
      </c>
      <c r="H4405" t="n">
        <v>1</v>
      </c>
    </row>
    <row r="4406">
      <c r="A4406" t="inlineStr">
        <is>
          <t>2024-2025</t>
        </is>
      </c>
      <c r="B4406" t="inlineStr">
        <is>
          <t>2024-09-04</t>
        </is>
      </c>
      <c r="C4406" t="inlineStr">
        <is>
          <t>13:28</t>
        </is>
      </c>
      <c r="D4406" t="inlineStr">
        <is>
          <t>n° 17 + n° 18</t>
        </is>
      </c>
      <c r="E4406" t="inlineStr">
        <is>
          <t>Entrecôte Forestiére</t>
        </is>
      </c>
      <c r="F4406" t="n">
        <v>27.8</v>
      </c>
      <c r="G4406" t="inlineStr">
        <is>
          <t>n° 17 : 0,50 + n° 18 : 0,50</t>
        </is>
      </c>
      <c r="H4406" t="n">
        <v>1</v>
      </c>
    </row>
    <row r="4407">
      <c r="A4407" t="inlineStr">
        <is>
          <t>2024-2025</t>
        </is>
      </c>
      <c r="B4407" t="inlineStr">
        <is>
          <t>2024-09-04</t>
        </is>
      </c>
      <c r="C4407" t="inlineStr">
        <is>
          <t>13:28</t>
        </is>
      </c>
      <c r="D4407" t="inlineStr">
        <is>
          <t>n° 17 + n° 18</t>
        </is>
      </c>
      <c r="E4407" t="inlineStr">
        <is>
          <t>TRUITE JURASSIENNE</t>
        </is>
      </c>
      <c r="F4407" t="n">
        <v>18.6</v>
      </c>
      <c r="G4407" t="inlineStr">
        <is>
          <t>n° 17 : 0,50 + n° 18 : 0,50</t>
        </is>
      </c>
      <c r="H4407" t="n">
        <v>1</v>
      </c>
    </row>
    <row r="4408">
      <c r="A4408" t="inlineStr">
        <is>
          <t>2024-2025</t>
        </is>
      </c>
      <c r="B4408" t="inlineStr">
        <is>
          <t>2024-09-04</t>
        </is>
      </c>
      <c r="C4408" t="inlineStr">
        <is>
          <t>13:28</t>
        </is>
      </c>
      <c r="D4408" t="inlineStr">
        <is>
          <t>n° 17 + n° 18</t>
        </is>
      </c>
      <c r="E4408" t="inlineStr">
        <is>
          <t>bluette</t>
        </is>
      </c>
      <c r="F4408" t="n">
        <v>7.9</v>
      </c>
      <c r="G4408" t="inlineStr">
        <is>
          <t>n° 17 : 0,50 + n° 18 : 0,50</t>
        </is>
      </c>
      <c r="H4408" t="n">
        <v>1</v>
      </c>
    </row>
    <row r="4409">
      <c r="A4409" t="inlineStr">
        <is>
          <t>2024-2025</t>
        </is>
      </c>
      <c r="B4409" t="inlineStr">
        <is>
          <t>2024-09-04</t>
        </is>
      </c>
      <c r="C4409" t="inlineStr">
        <is>
          <t>13:28</t>
        </is>
      </c>
      <c r="D4409" t="inlineStr">
        <is>
          <t>n° 17 + n° 18</t>
        </is>
      </c>
      <c r="E4409" t="inlineStr">
        <is>
          <t>Chat perché</t>
        </is>
      </c>
      <c r="F4409" t="n">
        <v>5.9</v>
      </c>
      <c r="G4409" t="inlineStr">
        <is>
          <t>n° 17 : 1,50 + n° 18 : 1,50</t>
        </is>
      </c>
      <c r="H4409" t="n">
        <v>3</v>
      </c>
    </row>
    <row r="4410">
      <c r="A4410" t="inlineStr">
        <is>
          <t>2024-2025</t>
        </is>
      </c>
      <c r="B4410" t="inlineStr">
        <is>
          <t>2024-09-04</t>
        </is>
      </c>
      <c r="C4410" t="inlineStr">
        <is>
          <t>13:28</t>
        </is>
      </c>
      <c r="D4410" t="inlineStr">
        <is>
          <t>n° 17 + n° 18</t>
        </is>
      </c>
      <c r="E4410" t="inlineStr">
        <is>
          <t>La Vouivre</t>
        </is>
      </c>
      <c r="F4410" t="n">
        <v>5.9</v>
      </c>
      <c r="G4410" t="inlineStr">
        <is>
          <t>n° 17 : 0,50 + n° 18 : 0,50</t>
        </is>
      </c>
      <c r="H4410" t="n">
        <v>1</v>
      </c>
    </row>
    <row r="4411">
      <c r="A4411" t="inlineStr">
        <is>
          <t>2024-2025</t>
        </is>
      </c>
      <c r="B4411" t="inlineStr">
        <is>
          <t>2024-09-04</t>
        </is>
      </c>
      <c r="C4411" t="inlineStr">
        <is>
          <t>13:28</t>
        </is>
      </c>
      <c r="D4411" t="inlineStr">
        <is>
          <t>n° 17 + n° 18</t>
        </is>
      </c>
      <c r="E4411" t="inlineStr">
        <is>
          <t>GLACE 2 BOULES</t>
        </is>
      </c>
      <c r="F4411" t="n">
        <v>5.5</v>
      </c>
      <c r="G4411" t="inlineStr">
        <is>
          <t>n° 17 : 0,50 + n° 18 : 0,50</t>
        </is>
      </c>
      <c r="H4411" t="n">
        <v>1</v>
      </c>
    </row>
    <row r="4412">
      <c r="A4412" t="inlineStr">
        <is>
          <t>2024-2025</t>
        </is>
      </c>
      <c r="B4412" t="inlineStr">
        <is>
          <t>2024-09-05</t>
        </is>
      </c>
      <c r="C4412" t="inlineStr">
        <is>
          <t>12:19</t>
        </is>
      </c>
      <c r="D4412" t="inlineStr">
        <is>
          <t>n° 7 + n° 8 + n° 9</t>
        </is>
      </c>
      <c r="E4412" t="inlineStr">
        <is>
          <t>Cidre Bouché Brut</t>
        </is>
      </c>
      <c r="F4412" t="n">
        <v>16</v>
      </c>
      <c r="G4412" t="inlineStr">
        <is>
          <t>n° 7 : 0,33 + n° 8 : 0,34 + n° 9 : 0,33</t>
        </is>
      </c>
      <c r="H4412" t="n">
        <v>1</v>
      </c>
    </row>
    <row r="4413">
      <c r="A4413" t="inlineStr">
        <is>
          <t>2024-2025</t>
        </is>
      </c>
      <c r="B4413" t="inlineStr">
        <is>
          <t>2024-09-06</t>
        </is>
      </c>
      <c r="C4413" t="inlineStr">
        <is>
          <t>11:53</t>
        </is>
      </c>
      <c r="D4413" t="inlineStr">
        <is>
          <t>n° 2 + n° 3</t>
        </is>
      </c>
      <c r="E4413" t="inlineStr">
        <is>
          <t>FORMULE EXPRESS</t>
        </is>
      </c>
      <c r="F4413" t="n">
        <v>18.6</v>
      </c>
      <c r="G4413" t="inlineStr">
        <is>
          <t>n° 2 : 0,33 + n° 3 : 0,67</t>
        </is>
      </c>
      <c r="H4413" t="n">
        <v>1</v>
      </c>
    </row>
    <row r="4414">
      <c r="A4414" t="inlineStr">
        <is>
          <t>2024-2025</t>
        </is>
      </c>
      <c r="B4414" t="inlineStr">
        <is>
          <t>2024-09-06</t>
        </is>
      </c>
      <c r="C4414" t="inlineStr">
        <is>
          <t>11:53</t>
        </is>
      </c>
      <c r="D4414" t="inlineStr">
        <is>
          <t>n° 2 + n° 3</t>
        </is>
      </c>
      <c r="E4414" t="inlineStr">
        <is>
          <t>Cidre Bouché Brut</t>
        </is>
      </c>
      <c r="F4414" t="n">
        <v>16</v>
      </c>
      <c r="G4414" t="inlineStr">
        <is>
          <t>n° 2 : 0,33 + n° 3 : 0,67</t>
        </is>
      </c>
      <c r="H4414" t="n">
        <v>1</v>
      </c>
    </row>
    <row r="4415">
      <c r="A4415" t="inlineStr">
        <is>
          <t>2024-2025</t>
        </is>
      </c>
      <c r="B4415" t="inlineStr">
        <is>
          <t>2024-09-06</t>
        </is>
      </c>
      <c r="C4415" t="inlineStr">
        <is>
          <t>11:53</t>
        </is>
      </c>
      <c r="D4415" t="inlineStr">
        <is>
          <t>n° 2 + n° 3</t>
        </is>
      </c>
      <c r="E4415" t="inlineStr">
        <is>
          <t>Formule à 12.5</t>
        </is>
      </c>
      <c r="F4415" t="n">
        <v>12.5</v>
      </c>
      <c r="G4415" t="inlineStr">
        <is>
          <t>n° 2 : 0,67 + n° 3 : 1,33</t>
        </is>
      </c>
      <c r="H4415" t="n">
        <v>2</v>
      </c>
    </row>
    <row r="4416">
      <c r="A4416" t="inlineStr">
        <is>
          <t>2024-2025</t>
        </is>
      </c>
      <c r="B4416" t="inlineStr">
        <is>
          <t>2024-09-07</t>
        </is>
      </c>
      <c r="C4416" t="inlineStr">
        <is>
          <t>13:01</t>
        </is>
      </c>
      <c r="D4416" t="inlineStr">
        <is>
          <t>n° 12 + n° 13</t>
        </is>
      </c>
      <c r="E4416" t="inlineStr">
        <is>
          <t>Arbois Savagnin</t>
        </is>
      </c>
      <c r="F4416" t="n">
        <v>41.5</v>
      </c>
      <c r="G4416" t="inlineStr">
        <is>
          <t>n° 12 : 0,50 + n° 13 : 0,50</t>
        </is>
      </c>
      <c r="H4416" t="n">
        <v>1</v>
      </c>
    </row>
    <row r="4417">
      <c r="A4417" t="inlineStr">
        <is>
          <t>2024-2025</t>
        </is>
      </c>
      <c r="B4417" t="inlineStr">
        <is>
          <t>2024-09-07</t>
        </is>
      </c>
      <c r="C4417" t="inlineStr">
        <is>
          <t>13:01</t>
        </is>
      </c>
      <c r="D4417" t="inlineStr">
        <is>
          <t>n° 12 + n° 13</t>
        </is>
      </c>
      <c r="E4417" t="inlineStr">
        <is>
          <t>Crémeux du Jura</t>
        </is>
      </c>
      <c r="F4417" t="n">
        <v>19</v>
      </c>
      <c r="G4417" t="inlineStr">
        <is>
          <t>n° 12 : 0,50 + n° 13 : 0,50</t>
        </is>
      </c>
      <c r="H4417" t="n">
        <v>1</v>
      </c>
    </row>
    <row r="4418">
      <c r="A4418" t="inlineStr">
        <is>
          <t>2024-2025</t>
        </is>
      </c>
      <c r="B4418" t="inlineStr">
        <is>
          <t>2024-09-07</t>
        </is>
      </c>
      <c r="C4418" t="inlineStr">
        <is>
          <t>13:01</t>
        </is>
      </c>
      <c r="D4418" t="inlineStr">
        <is>
          <t>n° 12 + n° 13</t>
        </is>
      </c>
      <c r="E4418" t="inlineStr">
        <is>
          <t>ASSIETTE FRANC-COMTO</t>
        </is>
      </c>
      <c r="F4418" t="n">
        <v>18.6</v>
      </c>
      <c r="G4418" t="inlineStr">
        <is>
          <t>n° 12 : 0,50 + n° 13 : 0,50</t>
        </is>
      </c>
      <c r="H4418" t="n">
        <v>1</v>
      </c>
    </row>
    <row r="4419">
      <c r="A4419" t="inlineStr">
        <is>
          <t>2024-2025</t>
        </is>
      </c>
      <c r="B4419" t="inlineStr">
        <is>
          <t>2024-09-07</t>
        </is>
      </c>
      <c r="C4419" t="inlineStr">
        <is>
          <t>13:01</t>
        </is>
      </c>
      <c r="D4419" t="inlineStr">
        <is>
          <t>n° 12 + n° 13</t>
        </is>
      </c>
      <c r="E4419" t="inlineStr">
        <is>
          <t>TANTE ARIE</t>
        </is>
      </c>
      <c r="F4419" t="n">
        <v>11.9</v>
      </c>
      <c r="G4419" t="inlineStr">
        <is>
          <t>n° 12 : 0,50 + n° 13 : 0,50</t>
        </is>
      </c>
      <c r="H4419" t="n">
        <v>1</v>
      </c>
    </row>
    <row r="4420">
      <c r="A4420" t="inlineStr">
        <is>
          <t>2024-2025</t>
        </is>
      </c>
      <c r="B4420" t="inlineStr">
        <is>
          <t>2024-09-07</t>
        </is>
      </c>
      <c r="C4420" t="inlineStr">
        <is>
          <t>13:01</t>
        </is>
      </c>
      <c r="D4420" t="inlineStr">
        <is>
          <t>n° 12 + n° 13</t>
        </is>
      </c>
      <c r="E4420" t="inlineStr">
        <is>
          <t>Assortiment charcute</t>
        </is>
      </c>
      <c r="F4420" t="n">
        <v>8.9</v>
      </c>
      <c r="G4420" t="inlineStr">
        <is>
          <t>n° 12 : 0,50 + n° 13 : 0,50</t>
        </is>
      </c>
      <c r="H4420" t="n">
        <v>1</v>
      </c>
    </row>
    <row r="4421">
      <c r="A4421" t="inlineStr">
        <is>
          <t>2024-2025</t>
        </is>
      </c>
      <c r="B4421" t="inlineStr">
        <is>
          <t>2024-09-07</t>
        </is>
      </c>
      <c r="C4421" t="inlineStr">
        <is>
          <t>13:01</t>
        </is>
      </c>
      <c r="D4421" t="inlineStr">
        <is>
          <t>n° 12 + n° 13</t>
        </is>
      </c>
      <c r="E4421" t="inlineStr">
        <is>
          <t>Pavlova</t>
        </is>
      </c>
      <c r="F4421" t="n">
        <v>8.9</v>
      </c>
      <c r="G4421" t="inlineStr">
        <is>
          <t>n° 12 : 0,50 + n° 13 : 0,50</t>
        </is>
      </c>
      <c r="H4421" t="n">
        <v>1</v>
      </c>
    </row>
    <row r="4422">
      <c r="A4422" t="inlineStr">
        <is>
          <t>2024-2025</t>
        </is>
      </c>
      <c r="B4422" t="inlineStr">
        <is>
          <t>2024-09-07</t>
        </is>
      </c>
      <c r="C4422" t="inlineStr">
        <is>
          <t>13:01</t>
        </is>
      </c>
      <c r="D4422" t="inlineStr">
        <is>
          <t>n° 12 + n° 13</t>
        </is>
      </c>
      <c r="E4422" t="inlineStr">
        <is>
          <t>Crêpe Salidou</t>
        </is>
      </c>
      <c r="F4422" t="n">
        <v>6.4</v>
      </c>
      <c r="G4422" t="inlineStr">
        <is>
          <t>n° 12 : 0,50 + n° 13 : 0,50</t>
        </is>
      </c>
      <c r="H4422" t="n">
        <v>1</v>
      </c>
    </row>
    <row r="4423">
      <c r="A4423" t="inlineStr">
        <is>
          <t>2024-2025</t>
        </is>
      </c>
      <c r="B4423" t="inlineStr">
        <is>
          <t>2024-09-07</t>
        </is>
      </c>
      <c r="C4423" t="inlineStr">
        <is>
          <t>13:01</t>
        </is>
      </c>
      <c r="D4423" t="inlineStr">
        <is>
          <t>n° 12 + n° 13</t>
        </is>
      </c>
      <c r="E4423" t="inlineStr">
        <is>
          <t>Crepe Chocolat</t>
        </is>
      </c>
      <c r="F4423" t="n">
        <v>5.9</v>
      </c>
      <c r="G4423" t="inlineStr">
        <is>
          <t>n° 12 : 0,50 + n° 13 : 0,50</t>
        </is>
      </c>
      <c r="H4423" t="n">
        <v>1</v>
      </c>
    </row>
    <row r="4424">
      <c r="A4424" t="inlineStr">
        <is>
          <t>2024-2025</t>
        </is>
      </c>
      <c r="B4424" t="inlineStr">
        <is>
          <t>2024-09-07</t>
        </is>
      </c>
      <c r="C4424" t="inlineStr">
        <is>
          <t>13:01</t>
        </is>
      </c>
      <c r="D4424" t="inlineStr">
        <is>
          <t>n° 12 + n° 13</t>
        </is>
      </c>
      <c r="E4424" t="inlineStr">
        <is>
          <t>Pommes grenailles</t>
        </is>
      </c>
      <c r="F4424" t="n">
        <v>3.9</v>
      </c>
      <c r="G4424" t="inlineStr">
        <is>
          <t>n° 12 : 0,50 + n° 13 : 0,50</t>
        </is>
      </c>
      <c r="H4424" t="n">
        <v>1</v>
      </c>
    </row>
    <row r="4425">
      <c r="A4425" t="inlineStr">
        <is>
          <t>2024-2025</t>
        </is>
      </c>
      <c r="B4425" t="inlineStr">
        <is>
          <t>2024-09-07</t>
        </is>
      </c>
      <c r="C4425" t="inlineStr">
        <is>
          <t>13:30</t>
        </is>
      </c>
      <c r="D4425" t="inlineStr">
        <is>
          <t>n° 17 + n° 18</t>
        </is>
      </c>
      <c r="E4425" t="inlineStr">
        <is>
          <t>TRUITE JURASSIENNE</t>
        </is>
      </c>
      <c r="F4425" t="n">
        <v>18.6</v>
      </c>
      <c r="G4425" t="inlineStr">
        <is>
          <t>n° 17 : 0,50 + n° 18 : 0,50</t>
        </is>
      </c>
      <c r="H4425" t="n">
        <v>1</v>
      </c>
    </row>
    <row r="4426">
      <c r="A4426" t="inlineStr">
        <is>
          <t>2024-2025</t>
        </is>
      </c>
      <c r="B4426" t="inlineStr">
        <is>
          <t>2024-09-07</t>
        </is>
      </c>
      <c r="C4426" t="inlineStr">
        <is>
          <t>13:30</t>
        </is>
      </c>
      <c r="D4426" t="inlineStr">
        <is>
          <t>n° 17 + n° 18</t>
        </is>
      </c>
      <c r="E4426" t="inlineStr">
        <is>
          <t>TRUITE PESTO</t>
        </is>
      </c>
      <c r="F4426" t="n">
        <v>16.9</v>
      </c>
      <c r="G4426" t="inlineStr">
        <is>
          <t>n° 17 : 0,50 + n° 18 : 0,50</t>
        </is>
      </c>
      <c r="H4426" t="n">
        <v>1</v>
      </c>
    </row>
    <row r="4427">
      <c r="A4427" t="inlineStr">
        <is>
          <t>2024-2025</t>
        </is>
      </c>
      <c r="B4427" t="inlineStr">
        <is>
          <t>2024-09-07</t>
        </is>
      </c>
      <c r="C4427" t="inlineStr">
        <is>
          <t>13:30</t>
        </is>
      </c>
      <c r="D4427" t="inlineStr">
        <is>
          <t>n° 17 + n° 18</t>
        </is>
      </c>
      <c r="E4427" t="inlineStr">
        <is>
          <t>Pavlova</t>
        </is>
      </c>
      <c r="F4427" t="n">
        <v>8.9</v>
      </c>
      <c r="G4427" t="inlineStr">
        <is>
          <t>n° 17 : 0,50 + n° 18 : 0,50</t>
        </is>
      </c>
      <c r="H4427" t="n">
        <v>1</v>
      </c>
    </row>
    <row r="4428">
      <c r="A4428" t="inlineStr">
        <is>
          <t>2024-2025</t>
        </is>
      </c>
      <c r="B4428" t="inlineStr">
        <is>
          <t>2024-09-07</t>
        </is>
      </c>
      <c r="C4428" t="inlineStr">
        <is>
          <t>13:30</t>
        </is>
      </c>
      <c r="D4428" t="inlineStr">
        <is>
          <t>n° 17 + n° 18</t>
        </is>
      </c>
      <c r="E4428" t="inlineStr">
        <is>
          <t>CREME BRULEE</t>
        </is>
      </c>
      <c r="F4428" t="n">
        <v>7.9</v>
      </c>
      <c r="G4428" t="inlineStr">
        <is>
          <t>n° 17 : 0,50 + n° 18 : 0,50</t>
        </is>
      </c>
      <c r="H4428" t="n">
        <v>1</v>
      </c>
    </row>
    <row r="4429">
      <c r="A4429" t="inlineStr">
        <is>
          <t>2024-2025</t>
        </is>
      </c>
      <c r="B4429" t="inlineStr">
        <is>
          <t>2024-09-07</t>
        </is>
      </c>
      <c r="C4429" t="inlineStr">
        <is>
          <t>13:30</t>
        </is>
      </c>
      <c r="D4429" t="inlineStr">
        <is>
          <t>n° 17 + n° 18</t>
        </is>
      </c>
      <c r="E4429" t="inlineStr">
        <is>
          <t>Expresso</t>
        </is>
      </c>
      <c r="F4429" t="n">
        <v>2.2</v>
      </c>
      <c r="G4429" t="inlineStr">
        <is>
          <t>n° 17 : 1,50 + n° 18 : 1,50</t>
        </is>
      </c>
      <c r="H4429" t="n">
        <v>3</v>
      </c>
    </row>
    <row r="4430">
      <c r="A4430" t="inlineStr">
        <is>
          <t>2024-2025</t>
        </is>
      </c>
      <c r="B4430" t="inlineStr">
        <is>
          <t>2024-09-11</t>
        </is>
      </c>
      <c r="C4430" t="inlineStr">
        <is>
          <t>12:38</t>
        </is>
      </c>
      <c r="D4430" t="inlineStr">
        <is>
          <t>n° 4 + n° 5</t>
        </is>
      </c>
      <c r="E4430" t="inlineStr">
        <is>
          <t>Entrecôte grillée</t>
        </is>
      </c>
      <c r="F4430" t="n">
        <v>19.9</v>
      </c>
      <c r="G4430" t="inlineStr">
        <is>
          <t>n° 4 : 0,50 + n° 5 : 0,50</t>
        </is>
      </c>
      <c r="H4430" t="n">
        <v>1</v>
      </c>
    </row>
    <row r="4431">
      <c r="A4431" t="inlineStr">
        <is>
          <t>2024-2025</t>
        </is>
      </c>
      <c r="B4431" t="inlineStr">
        <is>
          <t>2024-09-11</t>
        </is>
      </c>
      <c r="C4431" t="inlineStr">
        <is>
          <t>12:38</t>
        </is>
      </c>
      <c r="D4431" t="inlineStr">
        <is>
          <t>n° 4 + n° 5</t>
        </is>
      </c>
      <c r="E4431" t="inlineStr">
        <is>
          <t>Menu 'Galette'</t>
        </is>
      </c>
      <c r="F4431" t="n">
        <v>19.5</v>
      </c>
      <c r="G4431" t="inlineStr">
        <is>
          <t>n° 4 : 0,50 + n° 5 : 0,50</t>
        </is>
      </c>
      <c r="H4431" t="n">
        <v>1</v>
      </c>
    </row>
    <row r="4432">
      <c r="A4432" t="inlineStr">
        <is>
          <t>2024-2025</t>
        </is>
      </c>
      <c r="B4432" t="inlineStr">
        <is>
          <t>2024-09-11</t>
        </is>
      </c>
      <c r="C4432" t="inlineStr">
        <is>
          <t>12:38</t>
        </is>
      </c>
      <c r="D4432" t="inlineStr">
        <is>
          <t>n° 4 + n° 5</t>
        </is>
      </c>
      <c r="E4432" t="inlineStr">
        <is>
          <t>PICHET ROSE</t>
        </is>
      </c>
      <c r="F4432" t="n">
        <v>10.5</v>
      </c>
      <c r="G4432" t="inlineStr">
        <is>
          <t>n° 4 : 0,50 + n° 5 : 0,50</t>
        </is>
      </c>
      <c r="H4432" t="n">
        <v>1</v>
      </c>
    </row>
    <row r="4433">
      <c r="A4433" t="inlineStr">
        <is>
          <t>2024-2025</t>
        </is>
      </c>
      <c r="B4433" t="inlineStr">
        <is>
          <t>2024-09-11</t>
        </is>
      </c>
      <c r="C4433" t="inlineStr">
        <is>
          <t>19:54</t>
        </is>
      </c>
      <c r="D4433" t="inlineStr">
        <is>
          <t>n° 21 + n° 22</t>
        </is>
      </c>
      <c r="E4433" t="inlineStr">
        <is>
          <t>Crémeux du Jura</t>
        </is>
      </c>
      <c r="F4433" t="n">
        <v>19</v>
      </c>
      <c r="G4433" t="inlineStr">
        <is>
          <t>n° 21 : 0,50 + n° 22 : 0,50</t>
        </is>
      </c>
      <c r="H4433" t="n">
        <v>1</v>
      </c>
    </row>
    <row r="4434">
      <c r="A4434" t="inlineStr">
        <is>
          <t>2024-2025</t>
        </is>
      </c>
      <c r="B4434" t="inlineStr">
        <is>
          <t>2024-09-11</t>
        </is>
      </c>
      <c r="C4434" t="inlineStr">
        <is>
          <t>19:54</t>
        </is>
      </c>
      <c r="D4434" t="inlineStr">
        <is>
          <t>n° 21 + n° 22</t>
        </is>
      </c>
      <c r="E4434" t="inlineStr">
        <is>
          <t>CAMEMBERT ROTI</t>
        </is>
      </c>
      <c r="F4434" t="n">
        <v>18.6</v>
      </c>
      <c r="G4434" t="inlineStr">
        <is>
          <t>n° 21 : 0,50 + n° 22 : 0,50</t>
        </is>
      </c>
      <c r="H4434" t="n">
        <v>1</v>
      </c>
    </row>
    <row r="4435">
      <c r="A4435" t="inlineStr">
        <is>
          <t>2024-2025</t>
        </is>
      </c>
      <c r="B4435" t="inlineStr">
        <is>
          <t>2024-09-11</t>
        </is>
      </c>
      <c r="C4435" t="inlineStr">
        <is>
          <t>19:54</t>
        </is>
      </c>
      <c r="D4435" t="inlineStr">
        <is>
          <t>n° 21 + n° 22</t>
        </is>
      </c>
      <c r="E4435" t="inlineStr">
        <is>
          <t>VOUIVRE</t>
        </is>
      </c>
      <c r="F4435" t="n">
        <v>14.6</v>
      </c>
      <c r="G4435" t="inlineStr">
        <is>
          <t>n° 21 : 0,50 + n° 22 : 0,50</t>
        </is>
      </c>
      <c r="H4435" t="n">
        <v>1</v>
      </c>
    </row>
    <row r="4436">
      <c r="A4436" t="inlineStr">
        <is>
          <t>2024-2025</t>
        </is>
      </c>
      <c r="B4436" t="inlineStr">
        <is>
          <t>2024-09-11</t>
        </is>
      </c>
      <c r="C4436" t="inlineStr">
        <is>
          <t>19:54</t>
        </is>
      </c>
      <c r="D4436" t="inlineStr">
        <is>
          <t>n° 21 + n° 22</t>
        </is>
      </c>
      <c r="E4436" t="inlineStr">
        <is>
          <t>BASILIC</t>
        </is>
      </c>
      <c r="F4436" t="n">
        <v>12.4</v>
      </c>
      <c r="G4436" t="inlineStr">
        <is>
          <t>n° 21 : 0,50 + n° 22 : 0,50</t>
        </is>
      </c>
      <c r="H4436" t="n">
        <v>1</v>
      </c>
    </row>
    <row r="4437">
      <c r="A4437" t="inlineStr">
        <is>
          <t>2024-2025</t>
        </is>
      </c>
      <c r="B4437" t="inlineStr">
        <is>
          <t>2024-09-11</t>
        </is>
      </c>
      <c r="C4437" t="inlineStr">
        <is>
          <t>19:54</t>
        </is>
      </c>
      <c r="D4437" t="inlineStr">
        <is>
          <t>n° 21 + n° 22</t>
        </is>
      </c>
      <c r="E4437" t="inlineStr">
        <is>
          <t>Chat perché</t>
        </is>
      </c>
      <c r="F4437" t="n">
        <v>5.9</v>
      </c>
      <c r="G4437" t="inlineStr">
        <is>
          <t>n° 21 : 0,50 + n° 22 : 0,50</t>
        </is>
      </c>
      <c r="H4437" t="n">
        <v>1</v>
      </c>
    </row>
    <row r="4438">
      <c r="A4438" t="inlineStr">
        <is>
          <t>2024-2025</t>
        </is>
      </c>
      <c r="B4438" t="inlineStr">
        <is>
          <t>2024-09-11</t>
        </is>
      </c>
      <c r="C4438" t="inlineStr">
        <is>
          <t>19:54</t>
        </is>
      </c>
      <c r="D4438" t="inlineStr">
        <is>
          <t>n° 21 + n° 22</t>
        </is>
      </c>
      <c r="E4438" t="inlineStr">
        <is>
          <t>KITTYKIR</t>
        </is>
      </c>
      <c r="F4438" t="n">
        <v>5.2</v>
      </c>
      <c r="G4438" t="inlineStr">
        <is>
          <t>n° 21 : 0,50 + n° 22 : 0,50</t>
        </is>
      </c>
      <c r="H4438" t="n">
        <v>1</v>
      </c>
    </row>
    <row r="4439">
      <c r="A4439" t="inlineStr">
        <is>
          <t>2024-2025</t>
        </is>
      </c>
      <c r="B4439" t="inlineStr">
        <is>
          <t>2024-09-11</t>
        </is>
      </c>
      <c r="C4439" t="inlineStr">
        <is>
          <t>20:13</t>
        </is>
      </c>
      <c r="D4439" t="inlineStr">
        <is>
          <t>n° 25 + n° 26</t>
        </is>
      </c>
      <c r="E4439" t="inlineStr">
        <is>
          <t>CANCOINE</t>
        </is>
      </c>
      <c r="F4439" t="n">
        <v>25.5</v>
      </c>
      <c r="G4439" t="inlineStr">
        <is>
          <t>n° 25 : 0,50 + n° 26 : 0,50</t>
        </is>
      </c>
      <c r="H4439" t="n">
        <v>1</v>
      </c>
    </row>
    <row r="4440">
      <c r="A4440" t="inlineStr">
        <is>
          <t>2024-2025</t>
        </is>
      </c>
      <c r="B4440" t="inlineStr">
        <is>
          <t>2024-09-11</t>
        </is>
      </c>
      <c r="C4440" t="inlineStr">
        <is>
          <t>20:13</t>
        </is>
      </c>
      <c r="D4440" t="inlineStr">
        <is>
          <t>n° 25 + n° 26</t>
        </is>
      </c>
      <c r="E4440" t="inlineStr">
        <is>
          <t>PEUTE</t>
        </is>
      </c>
      <c r="F4440" t="n">
        <v>17.8</v>
      </c>
      <c r="G4440" t="inlineStr">
        <is>
          <t>n° 25 : 0,50 + n° 26 : 0,50</t>
        </is>
      </c>
      <c r="H4440" t="n">
        <v>1</v>
      </c>
    </row>
    <row r="4441">
      <c r="A4441" t="inlineStr">
        <is>
          <t>2024-2025</t>
        </is>
      </c>
      <c r="B4441" t="inlineStr">
        <is>
          <t>2024-09-12</t>
        </is>
      </c>
      <c r="C4441" t="inlineStr">
        <is>
          <t>13:05</t>
        </is>
      </c>
      <c r="D4441" t="inlineStr">
        <is>
          <t>n° 14 + n° 15</t>
        </is>
      </c>
      <c r="E4441" t="inlineStr">
        <is>
          <t>Menu 'Galette'</t>
        </is>
      </c>
      <c r="F4441" t="n">
        <v>19.5</v>
      </c>
      <c r="G4441" t="inlineStr">
        <is>
          <t>n° 14 : 0,50 + n° 15 : 0,50</t>
        </is>
      </c>
      <c r="H4441" t="n">
        <v>1</v>
      </c>
    </row>
    <row r="4442">
      <c r="A4442" t="inlineStr">
        <is>
          <t>2024-2025</t>
        </is>
      </c>
      <c r="B4442" t="inlineStr">
        <is>
          <t>2024-09-12</t>
        </is>
      </c>
      <c r="C4442" t="inlineStr">
        <is>
          <t>13:05</t>
        </is>
      </c>
      <c r="D4442" t="inlineStr">
        <is>
          <t>n° 14 + n° 15</t>
        </is>
      </c>
      <c r="E4442" t="inlineStr">
        <is>
          <t>TANTELIN</t>
        </is>
      </c>
      <c r="F4442" t="n">
        <v>17.4</v>
      </c>
      <c r="G4442" t="inlineStr">
        <is>
          <t>n° 14 : 0,50 + n° 15 : 0,50</t>
        </is>
      </c>
      <c r="H4442" t="n">
        <v>1</v>
      </c>
    </row>
    <row r="4443">
      <c r="A4443" t="inlineStr">
        <is>
          <t>2024-2025</t>
        </is>
      </c>
      <c r="B4443" t="inlineStr">
        <is>
          <t>2024-09-12</t>
        </is>
      </c>
      <c r="C4443" t="inlineStr">
        <is>
          <t>13:05</t>
        </is>
      </c>
      <c r="D4443" t="inlineStr">
        <is>
          <t>n° 14 + n° 15</t>
        </is>
      </c>
      <c r="E4443" t="inlineStr">
        <is>
          <t>BARBEULENET</t>
        </is>
      </c>
      <c r="F4443" t="n">
        <v>17.4</v>
      </c>
      <c r="G4443" t="inlineStr">
        <is>
          <t>n° 14 : 0,50 + n° 15 : 0,50</t>
        </is>
      </c>
      <c r="H4443" t="n">
        <v>1</v>
      </c>
    </row>
    <row r="4444">
      <c r="A4444" t="inlineStr">
        <is>
          <t>2024-2025</t>
        </is>
      </c>
      <c r="B4444" t="inlineStr">
        <is>
          <t>2024-09-12</t>
        </is>
      </c>
      <c r="C4444" t="inlineStr">
        <is>
          <t>13:05</t>
        </is>
      </c>
      <c r="D4444" t="inlineStr">
        <is>
          <t>n° 14 + n° 15</t>
        </is>
      </c>
      <c r="E4444" t="inlineStr">
        <is>
          <t>Cidre Bouché Brut</t>
        </is>
      </c>
      <c r="F4444" t="n">
        <v>16</v>
      </c>
      <c r="G4444" t="inlineStr">
        <is>
          <t>n° 14 : 0,50 + n° 15 : 0,50</t>
        </is>
      </c>
      <c r="H4444" t="n">
        <v>1</v>
      </c>
    </row>
    <row r="4445">
      <c r="A4445" t="inlineStr">
        <is>
          <t>2024-2025</t>
        </is>
      </c>
      <c r="B4445" t="inlineStr">
        <is>
          <t>2024-09-12</t>
        </is>
      </c>
      <c r="C4445" t="inlineStr">
        <is>
          <t>13:05</t>
        </is>
      </c>
      <c r="D4445" t="inlineStr">
        <is>
          <t>n° 14 + n° 15</t>
        </is>
      </c>
      <c r="E4445" t="inlineStr">
        <is>
          <t>Sauce Morilles</t>
        </is>
      </c>
      <c r="F4445" t="n">
        <v>14.9</v>
      </c>
      <c r="G4445" t="inlineStr">
        <is>
          <t>n° 14 : 0,50 + n° 15 : 0,50</t>
        </is>
      </c>
      <c r="H4445" t="n">
        <v>1</v>
      </c>
    </row>
    <row r="4446">
      <c r="A4446" t="inlineStr">
        <is>
          <t>2024-2025</t>
        </is>
      </c>
      <c r="B4446" t="inlineStr">
        <is>
          <t>2024-09-12</t>
        </is>
      </c>
      <c r="C4446" t="inlineStr">
        <is>
          <t>13:05</t>
        </is>
      </c>
      <c r="D4446" t="inlineStr">
        <is>
          <t>n° 14 + n° 15</t>
        </is>
      </c>
      <c r="E4446" t="inlineStr">
        <is>
          <t>FOULETOT</t>
        </is>
      </c>
      <c r="F4446" t="n">
        <v>11.5</v>
      </c>
      <c r="G4446" t="inlineStr">
        <is>
          <t>n° 14 : 0,50 + n° 15 : 0,50</t>
        </is>
      </c>
      <c r="H4446" t="n">
        <v>1</v>
      </c>
    </row>
    <row r="4447">
      <c r="A4447" t="inlineStr">
        <is>
          <t>2024-2025</t>
        </is>
      </c>
      <c r="B4447" t="inlineStr">
        <is>
          <t>2024-09-12</t>
        </is>
      </c>
      <c r="C4447" t="inlineStr">
        <is>
          <t>13:05</t>
        </is>
      </c>
      <c r="D4447" t="inlineStr">
        <is>
          <t>n° 14 + n° 15</t>
        </is>
      </c>
      <c r="E4447" t="inlineStr">
        <is>
          <t>NOIRAUD</t>
        </is>
      </c>
      <c r="F4447" t="n">
        <v>7.9</v>
      </c>
      <c r="G4447" t="inlineStr">
        <is>
          <t>n° 14 : 0,50 + n° 15 : 0,50</t>
        </is>
      </c>
      <c r="H4447" t="n">
        <v>1</v>
      </c>
    </row>
    <row r="4448">
      <c r="A4448" t="inlineStr">
        <is>
          <t>2024-2025</t>
        </is>
      </c>
      <c r="B4448" t="inlineStr">
        <is>
          <t>2024-09-12</t>
        </is>
      </c>
      <c r="C4448" t="inlineStr">
        <is>
          <t>13:05</t>
        </is>
      </c>
      <c r="D4448" t="inlineStr">
        <is>
          <t>n° 14 + n° 15</t>
        </is>
      </c>
      <c r="E4448" t="inlineStr">
        <is>
          <t>Crepe Chocolat</t>
        </is>
      </c>
      <c r="F4448" t="n">
        <v>5.9</v>
      </c>
      <c r="G4448" t="inlineStr">
        <is>
          <t>n° 14 : 0,50 + n° 15 : 0,50</t>
        </is>
      </c>
      <c r="H4448" t="n">
        <v>1</v>
      </c>
    </row>
    <row r="4449">
      <c r="A4449" t="inlineStr">
        <is>
          <t>2024-2025</t>
        </is>
      </c>
      <c r="B4449" t="inlineStr">
        <is>
          <t>2024-09-12</t>
        </is>
      </c>
      <c r="C4449" t="inlineStr">
        <is>
          <t>13:05</t>
        </is>
      </c>
      <c r="D4449" t="inlineStr">
        <is>
          <t>n° 14 + n° 15</t>
        </is>
      </c>
      <c r="E4449" t="inlineStr">
        <is>
          <t>Galette nature</t>
        </is>
      </c>
      <c r="F4449" t="n">
        <v>3.9</v>
      </c>
      <c r="G4449" t="inlineStr">
        <is>
          <t>n° 14 : 0,50 + n° 15 : 0,50</t>
        </is>
      </c>
      <c r="H4449" t="n">
        <v>1</v>
      </c>
    </row>
    <row r="4450">
      <c r="A4450" t="inlineStr">
        <is>
          <t>2024-2025</t>
        </is>
      </c>
      <c r="B4450" t="inlineStr">
        <is>
          <t>2024-09-12</t>
        </is>
      </c>
      <c r="C4450" t="inlineStr">
        <is>
          <t>13:05</t>
        </is>
      </c>
      <c r="D4450" t="inlineStr">
        <is>
          <t>n° 14 + n° 15</t>
        </is>
      </c>
      <c r="E4450" t="inlineStr">
        <is>
          <t>Bacon</t>
        </is>
      </c>
      <c r="F4450" t="n">
        <v>3.3</v>
      </c>
      <c r="G4450" t="inlineStr">
        <is>
          <t>n° 14 : 0,50 + n° 15 : 0,50</t>
        </is>
      </c>
      <c r="H4450" t="n">
        <v>1</v>
      </c>
    </row>
    <row r="4451">
      <c r="A4451" t="inlineStr">
        <is>
          <t>2024-2025</t>
        </is>
      </c>
      <c r="B4451" t="inlineStr">
        <is>
          <t>2024-09-12</t>
        </is>
      </c>
      <c r="C4451" t="inlineStr">
        <is>
          <t>13:05</t>
        </is>
      </c>
      <c r="D4451" t="inlineStr">
        <is>
          <t>n° 14 + n° 15</t>
        </is>
      </c>
      <c r="E4451" t="inlineStr">
        <is>
          <t>Jus de citron</t>
        </is>
      </c>
      <c r="F4451" t="n">
        <v>1.2</v>
      </c>
      <c r="G4451" t="inlineStr">
        <is>
          <t>n° 14 : 0,50 + n° 15 : 0,50</t>
        </is>
      </c>
      <c r="H4451" t="n">
        <v>1</v>
      </c>
    </row>
    <row r="4452">
      <c r="A4452" t="inlineStr">
        <is>
          <t>2024-2025</t>
        </is>
      </c>
      <c r="B4452" t="inlineStr">
        <is>
          <t>2024-09-12</t>
        </is>
      </c>
      <c r="C4452" t="inlineStr">
        <is>
          <t>20:46</t>
        </is>
      </c>
      <c r="D4452" t="inlineStr">
        <is>
          <t>n° 26 + n° 27</t>
        </is>
      </c>
      <c r="E4452" t="inlineStr">
        <is>
          <t>VERDELET</t>
        </is>
      </c>
      <c r="F4452" t="n">
        <v>9.800000000000001</v>
      </c>
      <c r="G4452" t="inlineStr">
        <is>
          <t>n° 26 : 0,50 + n° 27 : 0,50</t>
        </is>
      </c>
      <c r="H4452" t="n">
        <v>1</v>
      </c>
    </row>
    <row r="4453">
      <c r="A4453" t="inlineStr">
        <is>
          <t>2024-2025</t>
        </is>
      </c>
      <c r="B4453" t="inlineStr">
        <is>
          <t>2024-09-12</t>
        </is>
      </c>
      <c r="C4453" t="inlineStr">
        <is>
          <t>20:46</t>
        </is>
      </c>
      <c r="D4453" t="inlineStr">
        <is>
          <t>n° 26 + n° 27</t>
        </is>
      </c>
      <c r="E4453" t="inlineStr">
        <is>
          <t>Mambo</t>
        </is>
      </c>
      <c r="F4453" t="n">
        <v>6.5</v>
      </c>
      <c r="G4453" t="inlineStr">
        <is>
          <t>n° 26 : 0,50 + n° 27 : 0,50</t>
        </is>
      </c>
      <c r="H4453" t="n">
        <v>1</v>
      </c>
    </row>
    <row r="4454">
      <c r="A4454" t="inlineStr">
        <is>
          <t>2024-2025</t>
        </is>
      </c>
      <c r="B4454" t="inlineStr">
        <is>
          <t>2024-09-12</t>
        </is>
      </c>
      <c r="C4454" t="inlineStr">
        <is>
          <t>20:46</t>
        </is>
      </c>
      <c r="D4454" t="inlineStr">
        <is>
          <t>n° 26 + n° 27</t>
        </is>
      </c>
      <c r="E4454" t="inlineStr">
        <is>
          <t>Crêpe Nutella</t>
        </is>
      </c>
      <c r="F4454" t="n">
        <v>4.9</v>
      </c>
      <c r="G4454" t="inlineStr">
        <is>
          <t>n° 26 : 0,50 + n° 27 : 0,50</t>
        </is>
      </c>
      <c r="H4454" t="n">
        <v>1</v>
      </c>
    </row>
    <row r="4455">
      <c r="A4455" t="inlineStr">
        <is>
          <t>2024-2025</t>
        </is>
      </c>
      <c r="B4455" t="inlineStr">
        <is>
          <t>2024-09-12</t>
        </is>
      </c>
      <c r="C4455" t="inlineStr">
        <is>
          <t>20:46</t>
        </is>
      </c>
      <c r="D4455" t="inlineStr">
        <is>
          <t>n° 26 + n° 27</t>
        </is>
      </c>
      <c r="E4455" t="inlineStr">
        <is>
          <t>Diabolo (25cl)</t>
        </is>
      </c>
      <c r="F4455" t="n">
        <v>3.9</v>
      </c>
      <c r="G4455" t="inlineStr">
        <is>
          <t>n° 26 : 0,50 + n° 27 : 0,50</t>
        </is>
      </c>
      <c r="H4455" t="n">
        <v>1</v>
      </c>
    </row>
    <row r="4456">
      <c r="A4456" t="inlineStr">
        <is>
          <t>2024-2025</t>
        </is>
      </c>
      <c r="B4456" t="inlineStr">
        <is>
          <t>2024-09-13</t>
        </is>
      </c>
      <c r="C4456" t="inlineStr">
        <is>
          <t>12:16</t>
        </is>
      </c>
      <c r="D4456" t="inlineStr">
        <is>
          <t>n° 1 + n° 2</t>
        </is>
      </c>
      <c r="E4456" t="inlineStr">
        <is>
          <t>Entrecôte grillée</t>
        </is>
      </c>
      <c r="F4456" t="n">
        <v>19.9</v>
      </c>
      <c r="G4456" t="inlineStr">
        <is>
          <t>n° 1 : 0,50 + n° 2 : 0,50</t>
        </is>
      </c>
      <c r="H4456" t="n">
        <v>1</v>
      </c>
    </row>
    <row r="4457">
      <c r="A4457" t="inlineStr">
        <is>
          <t>2024-2025</t>
        </is>
      </c>
      <c r="B4457" t="inlineStr">
        <is>
          <t>2024-09-13</t>
        </is>
      </c>
      <c r="C4457" t="inlineStr">
        <is>
          <t>12:16</t>
        </is>
      </c>
      <c r="D4457" t="inlineStr">
        <is>
          <t>n° 1 + n° 2</t>
        </is>
      </c>
      <c r="E4457" t="inlineStr">
        <is>
          <t>POULET JURASSIENNE</t>
        </is>
      </c>
      <c r="F4457" t="n">
        <v>18.6</v>
      </c>
      <c r="G4457" t="inlineStr">
        <is>
          <t>n° 1 : 0,50 + n° 2 : 0,50</t>
        </is>
      </c>
      <c r="H4457" t="n">
        <v>1</v>
      </c>
    </row>
    <row r="4458">
      <c r="A4458" t="inlineStr">
        <is>
          <t>2024-2025</t>
        </is>
      </c>
      <c r="B4458" t="inlineStr">
        <is>
          <t>2024-09-14</t>
        </is>
      </c>
      <c r="C4458" t="inlineStr">
        <is>
          <t>12:41</t>
        </is>
      </c>
      <c r="D4458" t="inlineStr">
        <is>
          <t>n° 9 + n° 10</t>
        </is>
      </c>
      <c r="E4458" t="inlineStr">
        <is>
          <t>H.C.DE BEAUNE  VERRE</t>
        </is>
      </c>
      <c r="F4458" t="n">
        <v>9.5</v>
      </c>
      <c r="G4458" t="inlineStr">
        <is>
          <t>n° 9 : 0,50 + n° 10 : 0,50</t>
        </is>
      </c>
      <c r="H4458" t="n">
        <v>1</v>
      </c>
    </row>
    <row r="4459">
      <c r="A4459" t="inlineStr">
        <is>
          <t>2024-2025</t>
        </is>
      </c>
      <c r="B4459" t="inlineStr">
        <is>
          <t>2024-09-14</t>
        </is>
      </c>
      <c r="C4459" t="inlineStr">
        <is>
          <t>12:41</t>
        </is>
      </c>
      <c r="D4459" t="inlineStr">
        <is>
          <t>n° 9 + n° 10</t>
        </is>
      </c>
      <c r="E4459" t="inlineStr">
        <is>
          <t>Menu Bambin</t>
        </is>
      </c>
      <c r="F4459" t="n">
        <v>6.9</v>
      </c>
      <c r="G4459" t="inlineStr">
        <is>
          <t>n° 9 : 0,50 + n° 10 : 0,50</t>
        </is>
      </c>
      <c r="H4459" t="n">
        <v>1</v>
      </c>
    </row>
    <row r="4460">
      <c r="A4460" t="inlineStr">
        <is>
          <t>2024-2025</t>
        </is>
      </c>
      <c r="B4460" t="inlineStr">
        <is>
          <t>2024-09-15</t>
        </is>
      </c>
      <c r="C4460" t="inlineStr">
        <is>
          <t>20:24</t>
        </is>
      </c>
      <c r="D4460" t="inlineStr">
        <is>
          <t>n° 26 + n° 27</t>
        </is>
      </c>
      <c r="E4460" t="inlineStr">
        <is>
          <t>Menu Franc-Comtois</t>
        </is>
      </c>
      <c r="F4460" t="n">
        <v>34</v>
      </c>
      <c r="G4460" t="inlineStr">
        <is>
          <t>n° 26 : 0,50 + n° 27 : 0,50</t>
        </is>
      </c>
      <c r="H4460" t="n">
        <v>1</v>
      </c>
    </row>
    <row r="4461">
      <c r="A4461" t="inlineStr">
        <is>
          <t>2024-2025</t>
        </is>
      </c>
      <c r="B4461" t="inlineStr">
        <is>
          <t>2024-09-15</t>
        </is>
      </c>
      <c r="C4461" t="inlineStr">
        <is>
          <t>20:24</t>
        </is>
      </c>
      <c r="D4461" t="inlineStr">
        <is>
          <t>n° 26 + n° 27</t>
        </is>
      </c>
      <c r="E4461" t="inlineStr">
        <is>
          <t>Entrecôte grillée</t>
        </is>
      </c>
      <c r="F4461" t="n">
        <v>19.9</v>
      </c>
      <c r="G4461" t="inlineStr">
        <is>
          <t>n° 26 : 0,50 + n° 27 : 0,50</t>
        </is>
      </c>
      <c r="H4461" t="n">
        <v>1</v>
      </c>
    </row>
    <row r="4462">
      <c r="A4462" t="inlineStr">
        <is>
          <t>2024-2025</t>
        </is>
      </c>
      <c r="B4462" t="inlineStr">
        <is>
          <t>2024-09-15</t>
        </is>
      </c>
      <c r="C4462" t="inlineStr">
        <is>
          <t>20:24</t>
        </is>
      </c>
      <c r="D4462" t="inlineStr">
        <is>
          <t>n° 26 + n° 27</t>
        </is>
      </c>
      <c r="E4462" t="inlineStr">
        <is>
          <t>Menu 'Galette'</t>
        </is>
      </c>
      <c r="F4462" t="n">
        <v>19.5</v>
      </c>
      <c r="G4462" t="inlineStr">
        <is>
          <t>n° 26 : 0,50 + n° 27 : 0,50</t>
        </is>
      </c>
      <c r="H4462" t="n">
        <v>1</v>
      </c>
    </row>
    <row r="4463">
      <c r="A4463" t="inlineStr">
        <is>
          <t>2024-2025</t>
        </is>
      </c>
      <c r="B4463" t="inlineStr">
        <is>
          <t>2024-09-15</t>
        </is>
      </c>
      <c r="C4463" t="inlineStr">
        <is>
          <t>20:24</t>
        </is>
      </c>
      <c r="D4463" t="inlineStr">
        <is>
          <t>n° 26 + n° 27</t>
        </is>
      </c>
      <c r="E4463" t="inlineStr">
        <is>
          <t>POULET JURASSIENNE</t>
        </is>
      </c>
      <c r="F4463" t="n">
        <v>18.6</v>
      </c>
      <c r="G4463" t="inlineStr">
        <is>
          <t>n° 26 : 0,50 + n° 27 : 0,50</t>
        </is>
      </c>
      <c r="H4463" t="n">
        <v>1</v>
      </c>
    </row>
    <row r="4464">
      <c r="A4464" t="inlineStr">
        <is>
          <t>2024-2025</t>
        </is>
      </c>
      <c r="B4464" t="inlineStr">
        <is>
          <t>2024-09-15</t>
        </is>
      </c>
      <c r="C4464" t="inlineStr">
        <is>
          <t>20:24</t>
        </is>
      </c>
      <c r="D4464" t="inlineStr">
        <is>
          <t>n° 26 + n° 27</t>
        </is>
      </c>
      <c r="E4464" t="inlineStr">
        <is>
          <t>VERDELET</t>
        </is>
      </c>
      <c r="F4464" t="n">
        <v>9.800000000000001</v>
      </c>
      <c r="G4464" t="inlineStr">
        <is>
          <t>n° 26 : 0,50 + n° 27 : 0,50</t>
        </is>
      </c>
      <c r="H4464" t="n">
        <v>1</v>
      </c>
    </row>
    <row r="4465">
      <c r="A4465" t="inlineStr">
        <is>
          <t>2024-2025</t>
        </is>
      </c>
      <c r="B4465" t="inlineStr">
        <is>
          <t>2024-09-15</t>
        </is>
      </c>
      <c r="C4465" t="inlineStr">
        <is>
          <t>20:24</t>
        </is>
      </c>
      <c r="D4465" t="inlineStr">
        <is>
          <t>n° 26 + n° 27</t>
        </is>
      </c>
      <c r="E4465" t="inlineStr">
        <is>
          <t>C du  Rhone St Josep</t>
        </is>
      </c>
      <c r="F4465" t="n">
        <v>9.699999999999999</v>
      </c>
      <c r="G4465" t="inlineStr">
        <is>
          <t>n° 26 : 0,50 + n° 27 : 0,50</t>
        </is>
      </c>
      <c r="H4465" t="n">
        <v>1</v>
      </c>
    </row>
    <row r="4466">
      <c r="A4466" t="inlineStr">
        <is>
          <t>2024-2025</t>
        </is>
      </c>
      <c r="B4466" t="inlineStr">
        <is>
          <t>2024-09-15</t>
        </is>
      </c>
      <c r="C4466" t="inlineStr">
        <is>
          <t>20:24</t>
        </is>
      </c>
      <c r="D4466" t="inlineStr">
        <is>
          <t>n° 26 + n° 27</t>
        </is>
      </c>
      <c r="E4466" t="inlineStr">
        <is>
          <t>Chèvre  chaud</t>
        </is>
      </c>
      <c r="F4466" t="n">
        <v>9.6</v>
      </c>
      <c r="G4466" t="inlineStr">
        <is>
          <t>n° 26 : 0,50 + n° 27 : 0,50</t>
        </is>
      </c>
      <c r="H4466" t="n">
        <v>1</v>
      </c>
    </row>
    <row r="4467">
      <c r="A4467" t="inlineStr">
        <is>
          <t>2024-2025</t>
        </is>
      </c>
      <c r="B4467" t="inlineStr">
        <is>
          <t>2024-09-15</t>
        </is>
      </c>
      <c r="C4467" t="inlineStr">
        <is>
          <t>20:24</t>
        </is>
      </c>
      <c r="D4467" t="inlineStr">
        <is>
          <t>n° 26 + n° 27</t>
        </is>
      </c>
      <c r="E4467" t="inlineStr">
        <is>
          <t>MAEVA</t>
        </is>
      </c>
      <c r="F4467" t="n">
        <v>9</v>
      </c>
      <c r="G4467" t="inlineStr">
        <is>
          <t>n° 26 : 0,50 + n° 27 : 0,50</t>
        </is>
      </c>
      <c r="H4467" t="n">
        <v>1</v>
      </c>
    </row>
    <row r="4468">
      <c r="A4468" t="inlineStr">
        <is>
          <t>2024-2025</t>
        </is>
      </c>
      <c r="B4468" t="inlineStr">
        <is>
          <t>2024-09-15</t>
        </is>
      </c>
      <c r="C4468" t="inlineStr">
        <is>
          <t>20:24</t>
        </is>
      </c>
      <c r="D4468" t="inlineStr">
        <is>
          <t>n° 26 + n° 27</t>
        </is>
      </c>
      <c r="E4468" t="inlineStr">
        <is>
          <t>Pavlova</t>
        </is>
      </c>
      <c r="F4468" t="n">
        <v>8.9</v>
      </c>
      <c r="G4468" t="inlineStr">
        <is>
          <t>n° 26 : 0,50 + n° 27 : 0,50</t>
        </is>
      </c>
      <c r="H4468" t="n">
        <v>1</v>
      </c>
    </row>
    <row r="4469">
      <c r="A4469" t="inlineStr">
        <is>
          <t>2024-2025</t>
        </is>
      </c>
      <c r="B4469" t="inlineStr">
        <is>
          <t>2024-09-15</t>
        </is>
      </c>
      <c r="C4469" t="inlineStr">
        <is>
          <t>20:24</t>
        </is>
      </c>
      <c r="D4469" t="inlineStr">
        <is>
          <t>n° 26 + n° 27</t>
        </is>
      </c>
      <c r="E4469" t="inlineStr">
        <is>
          <t>Pinte</t>
        </is>
      </c>
      <c r="F4469" t="n">
        <v>8</v>
      </c>
      <c r="G4469" t="inlineStr">
        <is>
          <t>n° 26 : 0,50 + n° 27 : 0,50</t>
        </is>
      </c>
      <c r="H4469" t="n">
        <v>1</v>
      </c>
    </row>
    <row r="4470">
      <c r="A4470" t="inlineStr">
        <is>
          <t>2024-2025</t>
        </is>
      </c>
      <c r="B4470" t="inlineStr">
        <is>
          <t>2024-09-15</t>
        </is>
      </c>
      <c r="C4470" t="inlineStr">
        <is>
          <t>20:24</t>
        </is>
      </c>
      <c r="D4470" t="inlineStr">
        <is>
          <t>n° 26 + n° 27</t>
        </is>
      </c>
      <c r="E4470" t="inlineStr">
        <is>
          <t>Escargots de Bourgog</t>
        </is>
      </c>
      <c r="F4470" t="n">
        <v>8</v>
      </c>
      <c r="G4470" t="inlineStr">
        <is>
          <t>n° 26 : 0,50 + n° 27 : 0,50</t>
        </is>
      </c>
      <c r="H4470" t="n">
        <v>1</v>
      </c>
    </row>
    <row r="4471">
      <c r="A4471" t="inlineStr">
        <is>
          <t>2024-2025</t>
        </is>
      </c>
      <c r="B4471" t="inlineStr">
        <is>
          <t>2024-09-15</t>
        </is>
      </c>
      <c r="C4471" t="inlineStr">
        <is>
          <t>20:24</t>
        </is>
      </c>
      <c r="D4471" t="inlineStr">
        <is>
          <t>n° 26 + n° 27</t>
        </is>
      </c>
      <c r="E4471" t="inlineStr">
        <is>
          <t>VIN PAILLE</t>
        </is>
      </c>
      <c r="F4471" t="n">
        <v>6.9</v>
      </c>
      <c r="G4471" t="inlineStr">
        <is>
          <t>n° 26 : 0,50 + n° 27 : 0,50</t>
        </is>
      </c>
      <c r="H4471" t="n">
        <v>1</v>
      </c>
    </row>
    <row r="4472">
      <c r="A4472" t="inlineStr">
        <is>
          <t>2024-2025</t>
        </is>
      </c>
      <c r="B4472" t="inlineStr">
        <is>
          <t>2024-09-19</t>
        </is>
      </c>
      <c r="C4472" t="inlineStr">
        <is>
          <t>20:04</t>
        </is>
      </c>
      <c r="D4472" t="inlineStr">
        <is>
          <t>n° 28 + n° 29</t>
        </is>
      </c>
      <c r="E4472" t="inlineStr">
        <is>
          <t>Beaujolais Moulin à</t>
        </is>
      </c>
      <c r="F4472" t="n">
        <v>38</v>
      </c>
      <c r="G4472" t="inlineStr">
        <is>
          <t>n° 28 : 0,50 + n° 29 : 0,50</t>
        </is>
      </c>
      <c r="H4472" t="n">
        <v>1</v>
      </c>
    </row>
    <row r="4473">
      <c r="A4473" t="inlineStr">
        <is>
          <t>2024-2025</t>
        </is>
      </c>
      <c r="B4473" t="inlineStr">
        <is>
          <t>2024-09-19</t>
        </is>
      </c>
      <c r="C4473" t="inlineStr">
        <is>
          <t>20:04</t>
        </is>
      </c>
      <c r="D4473" t="inlineStr">
        <is>
          <t>n° 28 + n° 29</t>
        </is>
      </c>
      <c r="E4473" t="inlineStr">
        <is>
          <t>Truite Morilles</t>
        </is>
      </c>
      <c r="F4473" t="n">
        <v>27.8</v>
      </c>
      <c r="G4473" t="inlineStr">
        <is>
          <t>n° 28 : 0,50 + n° 29 : 0,50</t>
        </is>
      </c>
      <c r="H4473" t="n">
        <v>1</v>
      </c>
    </row>
    <row r="4474">
      <c r="A4474" t="inlineStr">
        <is>
          <t>2024-2025</t>
        </is>
      </c>
      <c r="B4474" t="inlineStr">
        <is>
          <t>2024-09-19</t>
        </is>
      </c>
      <c r="C4474" t="inlineStr">
        <is>
          <t>20:04</t>
        </is>
      </c>
      <c r="D4474" t="inlineStr">
        <is>
          <t>n° 28 + n° 29</t>
        </is>
      </c>
      <c r="E4474" t="inlineStr">
        <is>
          <t>TRUITE JURASSIENNE</t>
        </is>
      </c>
      <c r="F4474" t="n">
        <v>18.6</v>
      </c>
      <c r="G4474" t="inlineStr">
        <is>
          <t>n° 28 : 0,50 + n° 29 : 0,50</t>
        </is>
      </c>
      <c r="H4474" t="n">
        <v>1</v>
      </c>
    </row>
    <row r="4475">
      <c r="A4475" t="inlineStr">
        <is>
          <t>2024-2025</t>
        </is>
      </c>
      <c r="B4475" t="inlineStr">
        <is>
          <t>2024-09-19</t>
        </is>
      </c>
      <c r="C4475" t="inlineStr">
        <is>
          <t>20:04</t>
        </is>
      </c>
      <c r="D4475" t="inlineStr">
        <is>
          <t>n° 28 + n° 29</t>
        </is>
      </c>
      <c r="E4475" t="inlineStr">
        <is>
          <t>Chat perché</t>
        </is>
      </c>
      <c r="F4475" t="n">
        <v>5.9</v>
      </c>
      <c r="G4475" t="inlineStr">
        <is>
          <t>n° 28 : 0,50 + n° 29 : 0,50</t>
        </is>
      </c>
      <c r="H4475" t="n">
        <v>1</v>
      </c>
    </row>
    <row r="4476">
      <c r="A4476" t="inlineStr">
        <is>
          <t>2024-2025</t>
        </is>
      </c>
      <c r="B4476" t="inlineStr">
        <is>
          <t>2024-09-20</t>
        </is>
      </c>
      <c r="C4476" t="inlineStr">
        <is>
          <t>19:36</t>
        </is>
      </c>
      <c r="D4476" t="inlineStr">
        <is>
          <t>n° 23 + n° 24 + n° 26 + n° 27</t>
        </is>
      </c>
      <c r="E4476" t="inlineStr">
        <is>
          <t>Saint Véran</t>
        </is>
      </c>
      <c r="F4476" t="n">
        <v>39.5</v>
      </c>
      <c r="G4476" t="inlineStr">
        <is>
          <t>n° 23 : 0,50 + n° 24 : 0,50</t>
        </is>
      </c>
      <c r="H4476" t="n">
        <v>1</v>
      </c>
    </row>
    <row r="4477">
      <c r="A4477" t="inlineStr">
        <is>
          <t>2024-2025</t>
        </is>
      </c>
      <c r="B4477" t="inlineStr">
        <is>
          <t>2024-09-20</t>
        </is>
      </c>
      <c r="C4477" t="inlineStr">
        <is>
          <t>19:36</t>
        </is>
      </c>
      <c r="D4477" t="inlineStr">
        <is>
          <t>n° 23 + n° 24 + n° 26 + n° 27</t>
        </is>
      </c>
      <c r="E4477" t="inlineStr">
        <is>
          <t>FLAMME</t>
        </is>
      </c>
      <c r="F4477" t="n">
        <v>9.300000000000001</v>
      </c>
      <c r="G4477" t="inlineStr">
        <is>
          <t>n° 23 : 0,50 + n° 24 : 0,50</t>
        </is>
      </c>
      <c r="H4477" t="n">
        <v>1</v>
      </c>
    </row>
    <row r="4478">
      <c r="A4478" t="inlineStr">
        <is>
          <t>2024-2025</t>
        </is>
      </c>
      <c r="B4478" t="inlineStr">
        <is>
          <t>2024-09-20</t>
        </is>
      </c>
      <c r="C4478" t="inlineStr">
        <is>
          <t>19:36</t>
        </is>
      </c>
      <c r="D4478" t="inlineStr">
        <is>
          <t>n° 23 + n° 24 + n° 26 + n° 27</t>
        </is>
      </c>
      <c r="E4478" t="inlineStr">
        <is>
          <t>Menu Bambin</t>
        </is>
      </c>
      <c r="F4478" t="n">
        <v>6.9</v>
      </c>
      <c r="G4478" t="inlineStr">
        <is>
          <t>n° 23 : 0,50 + n° 24 : 0,50</t>
        </is>
      </c>
      <c r="H4478" t="n">
        <v>1</v>
      </c>
    </row>
    <row r="4479">
      <c r="A4479" t="inlineStr">
        <is>
          <t>2024-2025</t>
        </is>
      </c>
      <c r="B4479" t="inlineStr">
        <is>
          <t>2024-09-20</t>
        </is>
      </c>
      <c r="C4479" t="inlineStr">
        <is>
          <t>19:36</t>
        </is>
      </c>
      <c r="D4479" t="inlineStr">
        <is>
          <t>n° 23 + n° 24 + n° 26 + n° 27</t>
        </is>
      </c>
      <c r="E4479" t="inlineStr">
        <is>
          <t>Mambo</t>
        </is>
      </c>
      <c r="F4479" t="n">
        <v>6.5</v>
      </c>
      <c r="G4479" t="inlineStr">
        <is>
          <t>n° 26 : 0,50 + n° 27 : 0,50</t>
        </is>
      </c>
      <c r="H4479" t="n">
        <v>1</v>
      </c>
    </row>
    <row r="4480">
      <c r="A4480" t="inlineStr">
        <is>
          <t>2024-2025</t>
        </is>
      </c>
      <c r="B4480" t="inlineStr">
        <is>
          <t>2024-09-20</t>
        </is>
      </c>
      <c r="C4480" t="inlineStr">
        <is>
          <t>19:36</t>
        </is>
      </c>
      <c r="D4480" t="inlineStr">
        <is>
          <t>n° 23 + n° 24 + n° 26 + n° 27</t>
        </is>
      </c>
      <c r="E4480" t="inlineStr">
        <is>
          <t>KITTYKIR</t>
        </is>
      </c>
      <c r="F4480" t="n">
        <v>5.2</v>
      </c>
      <c r="G4480" t="inlineStr">
        <is>
          <t>n° 26 : 0,50 + n° 27 : 0,50</t>
        </is>
      </c>
      <c r="H4480" t="n">
        <v>1</v>
      </c>
    </row>
    <row r="4481">
      <c r="A4481" t="inlineStr">
        <is>
          <t>2024-2025</t>
        </is>
      </c>
      <c r="B4481" t="inlineStr">
        <is>
          <t>2024-09-20</t>
        </is>
      </c>
      <c r="C4481" t="inlineStr">
        <is>
          <t>19:36</t>
        </is>
      </c>
      <c r="D4481" t="inlineStr">
        <is>
          <t>n° 23 + n° 24 + n° 26 + n° 27</t>
        </is>
      </c>
      <c r="E4481" t="inlineStr">
        <is>
          <t>Pommes grenailles</t>
        </is>
      </c>
      <c r="F4481" t="n">
        <v>3.9</v>
      </c>
      <c r="G4481" t="inlineStr">
        <is>
          <t>n° 23 : 0,50 + n° 24 : 0,50</t>
        </is>
      </c>
      <c r="H4481" t="n">
        <v>1</v>
      </c>
    </row>
    <row r="4482">
      <c r="A4482" t="inlineStr">
        <is>
          <t>2024-2025</t>
        </is>
      </c>
      <c r="B4482" t="inlineStr">
        <is>
          <t>2024-09-20</t>
        </is>
      </c>
      <c r="C4482" t="inlineStr">
        <is>
          <t>19:36</t>
        </is>
      </c>
      <c r="D4482" t="inlineStr">
        <is>
          <t>n° 23 + n° 24 + n° 26 + n° 27</t>
        </is>
      </c>
      <c r="E4482" t="inlineStr">
        <is>
          <t>Expresso</t>
        </is>
      </c>
      <c r="F4482" t="n">
        <v>2.2</v>
      </c>
      <c r="G4482" t="inlineStr">
        <is>
          <t>n° 23 : 0,50 + n° 24 : 0,50</t>
        </is>
      </c>
      <c r="H4482" t="n">
        <v>1</v>
      </c>
    </row>
    <row r="4483">
      <c r="A4483" t="inlineStr">
        <is>
          <t>2024-2025</t>
        </is>
      </c>
      <c r="B4483" t="inlineStr">
        <is>
          <t>2024-09-21</t>
        </is>
      </c>
      <c r="C4483" t="inlineStr">
        <is>
          <t>13:33</t>
        </is>
      </c>
      <c r="D4483" t="inlineStr">
        <is>
          <t>n° 14 + n° 15</t>
        </is>
      </c>
      <c r="E4483" t="inlineStr">
        <is>
          <t>Expresso</t>
        </is>
      </c>
      <c r="F4483" t="n">
        <v>2.2</v>
      </c>
      <c r="G4483" t="inlineStr">
        <is>
          <t>n° 14 : 0,50 + n° 15 : 0,50</t>
        </is>
      </c>
      <c r="H4483" t="n">
        <v>1</v>
      </c>
    </row>
    <row r="4484">
      <c r="A4484" t="inlineStr">
        <is>
          <t>2024-2025</t>
        </is>
      </c>
      <c r="B4484" t="inlineStr">
        <is>
          <t>2024-09-22</t>
        </is>
      </c>
      <c r="C4484" t="inlineStr">
        <is>
          <t>19:59</t>
        </is>
      </c>
      <c r="D4484" t="inlineStr">
        <is>
          <t>n° 21 + n° 22 + n° 25 + n° 26</t>
        </is>
      </c>
      <c r="E4484" t="inlineStr">
        <is>
          <t>PiCHET TROUSSEAU</t>
        </is>
      </c>
      <c r="F4484" t="n">
        <v>28</v>
      </c>
      <c r="G4484" t="inlineStr">
        <is>
          <t>n° 25 : 0,50 + n° 26 : 0,50</t>
        </is>
      </c>
      <c r="H4484" t="n">
        <v>1</v>
      </c>
    </row>
    <row r="4485">
      <c r="A4485" t="inlineStr">
        <is>
          <t>2024-2025</t>
        </is>
      </c>
      <c r="B4485" t="inlineStr">
        <is>
          <t>2024-09-22</t>
        </is>
      </c>
      <c r="C4485" t="inlineStr">
        <is>
          <t>19:59</t>
        </is>
      </c>
      <c r="D4485" t="inlineStr">
        <is>
          <t>n° 21 + n° 22 + n° 25 + n° 26</t>
        </is>
      </c>
      <c r="E4485" t="inlineStr">
        <is>
          <t>ASSIETTE FRANC-COMTO</t>
        </is>
      </c>
      <c r="F4485" t="n">
        <v>18.6</v>
      </c>
      <c r="G4485" t="inlineStr">
        <is>
          <t>n° 21 : 0,50 + n° 22 : 0,50</t>
        </is>
      </c>
      <c r="H4485" t="n">
        <v>1</v>
      </c>
    </row>
    <row r="4486">
      <c r="A4486" t="inlineStr">
        <is>
          <t>2024-2025</t>
        </is>
      </c>
      <c r="B4486" t="inlineStr">
        <is>
          <t>2024-09-22</t>
        </is>
      </c>
      <c r="C4486" t="inlineStr">
        <is>
          <t>19:59</t>
        </is>
      </c>
      <c r="D4486" t="inlineStr">
        <is>
          <t>n° 21 + n° 22 + n° 25 + n° 26</t>
        </is>
      </c>
      <c r="E4486" t="inlineStr">
        <is>
          <t>TANTE ARIE</t>
        </is>
      </c>
      <c r="F4486" t="n">
        <v>11.9</v>
      </c>
      <c r="G4486" t="inlineStr">
        <is>
          <t>n° 21 : 0,50 + n° 22 : 0,50</t>
        </is>
      </c>
      <c r="H4486" t="n">
        <v>1</v>
      </c>
    </row>
    <row r="4487">
      <c r="A4487" t="inlineStr">
        <is>
          <t>2024-2025</t>
        </is>
      </c>
      <c r="B4487" t="inlineStr">
        <is>
          <t>2024-09-22</t>
        </is>
      </c>
      <c r="C4487" t="inlineStr">
        <is>
          <t>19:59</t>
        </is>
      </c>
      <c r="D4487" t="inlineStr">
        <is>
          <t>n° 21 + n° 22 + n° 25 + n° 26</t>
        </is>
      </c>
      <c r="E4487" t="inlineStr">
        <is>
          <t>GLACE 2 BOULES</t>
        </is>
      </c>
      <c r="F4487" t="n">
        <v>5.5</v>
      </c>
      <c r="G4487" t="inlineStr">
        <is>
          <t>n° 21 : 0,50 + n° 22 : 0,50</t>
        </is>
      </c>
      <c r="H4487" t="n">
        <v>1</v>
      </c>
    </row>
    <row r="4488">
      <c r="A4488" t="inlineStr">
        <is>
          <t>2024-2025</t>
        </is>
      </c>
      <c r="B4488" t="inlineStr">
        <is>
          <t>2024-09-22</t>
        </is>
      </c>
      <c r="C4488" t="inlineStr">
        <is>
          <t>19:59</t>
        </is>
      </c>
      <c r="D4488" t="inlineStr">
        <is>
          <t>n° 21 + n° 22 + n° 25 + n° 26</t>
        </is>
      </c>
      <c r="E4488" t="inlineStr">
        <is>
          <t>KITTYKIR</t>
        </is>
      </c>
      <c r="F4488" t="n">
        <v>5.2</v>
      </c>
      <c r="G4488" t="inlineStr">
        <is>
          <t>n° 21 : 0,50 + n° 22 : 0,50</t>
        </is>
      </c>
      <c r="H4488" t="n">
        <v>1</v>
      </c>
    </row>
    <row r="4489">
      <c r="A4489" t="inlineStr">
        <is>
          <t>2024-2025</t>
        </is>
      </c>
      <c r="B4489" t="inlineStr">
        <is>
          <t>2024-09-22</t>
        </is>
      </c>
      <c r="C4489" t="inlineStr">
        <is>
          <t>19:59</t>
        </is>
      </c>
      <c r="D4489" t="inlineStr">
        <is>
          <t>n° 21 + n° 22 + n° 25 + n° 26</t>
        </is>
      </c>
      <c r="E4489" t="inlineStr">
        <is>
          <t>Comté</t>
        </is>
      </c>
      <c r="F4489" t="n">
        <v>4</v>
      </c>
      <c r="G4489" t="inlineStr">
        <is>
          <t>n° 21 : 0,50 + n° 22 : 0,50</t>
        </is>
      </c>
      <c r="H4489" t="n">
        <v>1</v>
      </c>
    </row>
    <row r="4490">
      <c r="A4490" t="inlineStr">
        <is>
          <t>2024-2025</t>
        </is>
      </c>
      <c r="B4490" t="inlineStr">
        <is>
          <t>2024-09-22</t>
        </is>
      </c>
      <c r="C4490" t="inlineStr">
        <is>
          <t>19:59</t>
        </is>
      </c>
      <c r="D4490" t="inlineStr">
        <is>
          <t>n° 21 + n° 22 + n° 25 + n° 26</t>
        </is>
      </c>
      <c r="E4490" t="inlineStr">
        <is>
          <t>Perrier 33cl</t>
        </is>
      </c>
      <c r="F4490" t="n">
        <v>4</v>
      </c>
      <c r="G4490" t="inlineStr">
        <is>
          <t>n° 21 : 0,50 + n° 22 : 0,50</t>
        </is>
      </c>
      <c r="H4490" t="n">
        <v>1</v>
      </c>
    </row>
    <row r="4491">
      <c r="A4491" t="inlineStr">
        <is>
          <t>2024-2025</t>
        </is>
      </c>
      <c r="B4491" t="inlineStr">
        <is>
          <t>2024-09-22</t>
        </is>
      </c>
      <c r="C4491" t="inlineStr">
        <is>
          <t>19:59</t>
        </is>
      </c>
      <c r="D4491" t="inlineStr">
        <is>
          <t>n° 21 + n° 22 + n° 25 + n° 26</t>
        </is>
      </c>
      <c r="E4491" t="inlineStr">
        <is>
          <t>Galette nature</t>
        </is>
      </c>
      <c r="F4491" t="n">
        <v>3.9</v>
      </c>
      <c r="G4491" t="inlineStr">
        <is>
          <t>n° 21 : 0,50 + n° 22 : 0,50</t>
        </is>
      </c>
      <c r="H4491" t="n">
        <v>1</v>
      </c>
    </row>
    <row r="4492">
      <c r="A4492" t="inlineStr">
        <is>
          <t>2024-2025</t>
        </is>
      </c>
      <c r="B4492" t="inlineStr">
        <is>
          <t>2024-09-22</t>
        </is>
      </c>
      <c r="C4492" t="inlineStr">
        <is>
          <t>19:59</t>
        </is>
      </c>
      <c r="D4492" t="inlineStr">
        <is>
          <t>n° 21 + n° 22 + n° 25 + n° 26</t>
        </is>
      </c>
      <c r="E4492" t="inlineStr">
        <is>
          <t>Cancoillotte</t>
        </is>
      </c>
      <c r="F4492" t="n">
        <v>3.9</v>
      </c>
      <c r="G4492" t="inlineStr">
        <is>
          <t>n° 21 : 0,50 + n° 22 : 0,50</t>
        </is>
      </c>
      <c r="H4492" t="n">
        <v>1</v>
      </c>
    </row>
    <row r="4493">
      <c r="A4493" t="inlineStr">
        <is>
          <t>2024-2025</t>
        </is>
      </c>
      <c r="B4493" t="inlineStr">
        <is>
          <t>2024-09-22</t>
        </is>
      </c>
      <c r="C4493" t="inlineStr">
        <is>
          <t>19:59</t>
        </is>
      </c>
      <c r="D4493" t="inlineStr">
        <is>
          <t>n° 21 + n° 22 + n° 25 + n° 26</t>
        </is>
      </c>
      <c r="E4493" t="inlineStr">
        <is>
          <t>Pommes de Terre</t>
        </is>
      </c>
      <c r="F4493" t="n">
        <v>3.2</v>
      </c>
      <c r="G4493" t="inlineStr">
        <is>
          <t>n° 21 : 0,50 + n° 22 : 0,50</t>
        </is>
      </c>
      <c r="H4493" t="n">
        <v>1</v>
      </c>
    </row>
    <row r="4494">
      <c r="A4494" t="inlineStr">
        <is>
          <t>2024-2025</t>
        </is>
      </c>
      <c r="B4494" t="inlineStr">
        <is>
          <t>2024-09-22</t>
        </is>
      </c>
      <c r="C4494" t="inlineStr">
        <is>
          <t>19:59</t>
        </is>
      </c>
      <c r="D4494" t="inlineStr">
        <is>
          <t>n° 21 + n° 22 + n° 25 + n° 26</t>
        </is>
      </c>
      <c r="E4494" t="inlineStr">
        <is>
          <t>Noix</t>
        </is>
      </c>
      <c r="F4494" t="n">
        <v>1.4</v>
      </c>
      <c r="G4494" t="inlineStr">
        <is>
          <t>n° 21 : 0,50 + n° 22 : 0,50</t>
        </is>
      </c>
      <c r="H4494" t="n">
        <v>1</v>
      </c>
    </row>
    <row r="4495">
      <c r="A4495" t="inlineStr">
        <is>
          <t>2024-2025</t>
        </is>
      </c>
      <c r="B4495" t="inlineStr">
        <is>
          <t>2024-09-25</t>
        </is>
      </c>
      <c r="C4495" t="inlineStr">
        <is>
          <t>20:27</t>
        </is>
      </c>
      <c r="D4495" t="inlineStr">
        <is>
          <t>n° 28 + n° 29 + n° 30</t>
        </is>
      </c>
      <c r="E4495" t="inlineStr">
        <is>
          <t>BARBEULENET</t>
        </is>
      </c>
      <c r="F4495" t="n">
        <v>17.4</v>
      </c>
      <c r="G4495" t="inlineStr">
        <is>
          <t>n° 28 : 0,67 + n° 29 : 0,67 + n° 30 : 0,66</t>
        </is>
      </c>
      <c r="H4495" t="n">
        <v>2</v>
      </c>
    </row>
    <row r="4496">
      <c r="A4496" t="inlineStr">
        <is>
          <t>2024-2025</t>
        </is>
      </c>
      <c r="B4496" t="inlineStr">
        <is>
          <t>2024-09-25</t>
        </is>
      </c>
      <c r="C4496" t="inlineStr">
        <is>
          <t>20:27</t>
        </is>
      </c>
      <c r="D4496" t="inlineStr">
        <is>
          <t>n° 28 + n° 29 + n° 30</t>
        </is>
      </c>
      <c r="E4496" t="inlineStr">
        <is>
          <t>Saucisse de Morteau</t>
        </is>
      </c>
      <c r="F4496" t="n">
        <v>8.9</v>
      </c>
      <c r="G4496" t="inlineStr">
        <is>
          <t>n° 28 : 0,33 + n° 29 : 0,34 + n° 30 : 0,33</t>
        </is>
      </c>
      <c r="H4496" t="n">
        <v>1</v>
      </c>
    </row>
    <row r="4497">
      <c r="A4497" t="inlineStr">
        <is>
          <t>2024-2025</t>
        </is>
      </c>
      <c r="B4497" t="inlineStr">
        <is>
          <t>2024-09-25</t>
        </is>
      </c>
      <c r="C4497" t="inlineStr">
        <is>
          <t>20:27</t>
        </is>
      </c>
      <c r="D4497" t="inlineStr">
        <is>
          <t>n° 28 + n° 29 + n° 30</t>
        </is>
      </c>
      <c r="E4497" t="inlineStr">
        <is>
          <t>Arbois Trousseau Le</t>
        </is>
      </c>
      <c r="F4497" t="n">
        <v>7.2</v>
      </c>
      <c r="G4497" t="inlineStr">
        <is>
          <t>n° 28 : 0,33 + n° 29 : 0,34 + n° 30 : 0,33</t>
        </is>
      </c>
      <c r="H4497" t="n">
        <v>1</v>
      </c>
    </row>
    <row r="4498">
      <c r="A4498" t="inlineStr">
        <is>
          <t>2024-2025</t>
        </is>
      </c>
      <c r="B4498" t="inlineStr">
        <is>
          <t>2024-09-25</t>
        </is>
      </c>
      <c r="C4498" t="inlineStr">
        <is>
          <t>20:27</t>
        </is>
      </c>
      <c r="D4498" t="inlineStr">
        <is>
          <t>n° 28 + n° 29 + n° 30</t>
        </is>
      </c>
      <c r="E4498" t="inlineStr">
        <is>
          <t>KITTYKIR</t>
        </is>
      </c>
      <c r="F4498" t="n">
        <v>5.2</v>
      </c>
      <c r="G4498" t="inlineStr">
        <is>
          <t>n° 28 : 0,67 + n° 29 : 0,67 + n° 30 : 0,66</t>
        </is>
      </c>
      <c r="H4498" t="n">
        <v>2</v>
      </c>
    </row>
    <row r="4499">
      <c r="A4499" t="inlineStr">
        <is>
          <t>2024-2025</t>
        </is>
      </c>
      <c r="B4499" t="inlineStr">
        <is>
          <t>2024-09-25</t>
        </is>
      </c>
      <c r="C4499" t="inlineStr">
        <is>
          <t>20:27</t>
        </is>
      </c>
      <c r="D4499" t="inlineStr">
        <is>
          <t>n° 28 + n° 29 + n° 30</t>
        </is>
      </c>
      <c r="E4499" t="inlineStr">
        <is>
          <t>Galette nature</t>
        </is>
      </c>
      <c r="F4499" t="n">
        <v>3.9</v>
      </c>
      <c r="G4499" t="inlineStr">
        <is>
          <t>n° 28 : 0,33 + n° 29 : 0,34 + n° 30 : 0,33</t>
        </is>
      </c>
      <c r="H4499" t="n">
        <v>1</v>
      </c>
    </row>
    <row r="4500">
      <c r="A4500" t="inlineStr">
        <is>
          <t>2024-2025</t>
        </is>
      </c>
      <c r="B4500" t="inlineStr">
        <is>
          <t>2024-09-25</t>
        </is>
      </c>
      <c r="C4500" t="inlineStr">
        <is>
          <t>20:27</t>
        </is>
      </c>
      <c r="D4500" t="inlineStr">
        <is>
          <t>n° 28 + n° 29 + n° 30</t>
        </is>
      </c>
      <c r="E4500" t="inlineStr">
        <is>
          <t>Thé</t>
        </is>
      </c>
      <c r="F4500" t="n">
        <v>3.4</v>
      </c>
      <c r="G4500" t="inlineStr">
        <is>
          <t>n° 28 : 0,67 + n° 29 : 0,67 + n° 30 : 0,66</t>
        </is>
      </c>
      <c r="H4500" t="n">
        <v>2</v>
      </c>
    </row>
    <row r="4501">
      <c r="A4501" t="inlineStr">
        <is>
          <t>2024-2025</t>
        </is>
      </c>
      <c r="B4501" t="inlineStr">
        <is>
          <t>2024-09-25</t>
        </is>
      </c>
      <c r="C4501" t="inlineStr">
        <is>
          <t>20:27</t>
        </is>
      </c>
      <c r="D4501" t="inlineStr">
        <is>
          <t>n° 28 + n° 29 + n° 30</t>
        </is>
      </c>
      <c r="E4501" t="inlineStr">
        <is>
          <t>Salade Verte</t>
        </is>
      </c>
      <c r="F4501" t="n">
        <v>2.9</v>
      </c>
      <c r="G4501" t="inlineStr">
        <is>
          <t>n° 28 : 0,33 + n° 29 : 0,34 + n° 30 : 0,33</t>
        </is>
      </c>
      <c r="H4501" t="n">
        <v>1</v>
      </c>
    </row>
    <row r="4502">
      <c r="A4502" t="inlineStr">
        <is>
          <t>2024-2025</t>
        </is>
      </c>
      <c r="B4502" t="inlineStr">
        <is>
          <t>2024-09-25</t>
        </is>
      </c>
      <c r="C4502" t="inlineStr">
        <is>
          <t>20:27</t>
        </is>
      </c>
      <c r="D4502" t="inlineStr">
        <is>
          <t>n° 28 + n° 29 + n° 30</t>
        </is>
      </c>
      <c r="E4502" t="inlineStr">
        <is>
          <t>Expresso</t>
        </is>
      </c>
      <c r="F4502" t="n">
        <v>2.2</v>
      </c>
      <c r="G4502" t="inlineStr">
        <is>
          <t>n° 28 : 0,33 + n° 29 : 0,34 + n° 30 : 0,33</t>
        </is>
      </c>
      <c r="H4502" t="n">
        <v>1</v>
      </c>
    </row>
    <row r="4503">
      <c r="A4503" t="inlineStr">
        <is>
          <t>2024-2025</t>
        </is>
      </c>
      <c r="B4503" t="inlineStr">
        <is>
          <t>2024-09-26</t>
        </is>
      </c>
      <c r="C4503" t="inlineStr">
        <is>
          <t>20:43</t>
        </is>
      </c>
      <c r="D4503" t="inlineStr">
        <is>
          <t>n° 15 + n° 16</t>
        </is>
      </c>
      <c r="E4503" t="inlineStr">
        <is>
          <t>Pichet CdR CHUSCLAN</t>
        </is>
      </c>
      <c r="F4503" t="n">
        <v>9.5</v>
      </c>
      <c r="G4503" t="inlineStr">
        <is>
          <t>n° 15 : 0,50 + n° 16 : 0,50</t>
        </is>
      </c>
      <c r="H4503" t="n">
        <v>1</v>
      </c>
    </row>
    <row r="4504">
      <c r="A4504" t="inlineStr">
        <is>
          <t>2024-2025</t>
        </is>
      </c>
      <c r="B4504" t="inlineStr">
        <is>
          <t>2024-09-27</t>
        </is>
      </c>
      <c r="C4504" t="inlineStr">
        <is>
          <t>20:44</t>
        </is>
      </c>
      <c r="D4504" t="inlineStr">
        <is>
          <t>n° 14 + n° 15 + n° 16 + n° 17</t>
        </is>
      </c>
      <c r="E4504" t="inlineStr">
        <is>
          <t>Menu Franc-Comtois</t>
        </is>
      </c>
      <c r="F4504" t="n">
        <v>34</v>
      </c>
      <c r="G4504" t="inlineStr">
        <is>
          <t>n° 14 : 1,50 + n° 15 : 1,50</t>
        </is>
      </c>
      <c r="H4504" t="n">
        <v>3</v>
      </c>
    </row>
    <row r="4505">
      <c r="A4505" t="inlineStr">
        <is>
          <t>2024-2025</t>
        </is>
      </c>
      <c r="B4505" t="inlineStr">
        <is>
          <t>2024-09-27</t>
        </is>
      </c>
      <c r="C4505" t="inlineStr">
        <is>
          <t>20:44</t>
        </is>
      </c>
      <c r="D4505" t="inlineStr">
        <is>
          <t>n° 14 + n° 15 + n° 16 + n° 17</t>
        </is>
      </c>
      <c r="E4505" t="inlineStr">
        <is>
          <t>Menu Bourguignon</t>
        </is>
      </c>
      <c r="F4505" t="n">
        <v>34</v>
      </c>
      <c r="G4505" t="inlineStr">
        <is>
          <t>n° 14 : 0,50 + n° 15 : 0,50 + n° 16 : 0,50 + n° 17 : 0,50</t>
        </is>
      </c>
      <c r="H4505" t="n">
        <v>2</v>
      </c>
    </row>
    <row r="4506">
      <c r="A4506" t="inlineStr">
        <is>
          <t>2024-2025</t>
        </is>
      </c>
      <c r="B4506" t="inlineStr">
        <is>
          <t>2024-09-27</t>
        </is>
      </c>
      <c r="C4506" t="inlineStr">
        <is>
          <t>20:44</t>
        </is>
      </c>
      <c r="D4506" t="inlineStr">
        <is>
          <t>n° 14 + n° 15 + n° 16 + n° 17</t>
        </is>
      </c>
      <c r="E4506" t="inlineStr">
        <is>
          <t>Menu 'Galette'</t>
        </is>
      </c>
      <c r="F4506" t="n">
        <v>19.5</v>
      </c>
      <c r="G4506" t="inlineStr">
        <is>
          <t>n° 16 : 0,50 + n° 17 : 0,50</t>
        </is>
      </c>
      <c r="H4506" t="n">
        <v>1</v>
      </c>
    </row>
    <row r="4507">
      <c r="A4507" t="inlineStr">
        <is>
          <t>2024-2025</t>
        </is>
      </c>
      <c r="B4507" t="inlineStr">
        <is>
          <t>2024-09-27</t>
        </is>
      </c>
      <c r="C4507" t="inlineStr">
        <is>
          <t>20:44</t>
        </is>
      </c>
      <c r="D4507" t="inlineStr">
        <is>
          <t>n° 14 + n° 15 + n° 16 + n° 17</t>
        </is>
      </c>
      <c r="E4507" t="inlineStr">
        <is>
          <t>Saint Véran Verre</t>
        </is>
      </c>
      <c r="F4507" t="n">
        <v>7.9</v>
      </c>
      <c r="G4507" t="inlineStr">
        <is>
          <t>n° 14 : 0,50 + n° 15 : 0,50</t>
        </is>
      </c>
      <c r="H4507" t="n">
        <v>1</v>
      </c>
    </row>
    <row r="4508">
      <c r="A4508" t="inlineStr">
        <is>
          <t>2024-2025</t>
        </is>
      </c>
      <c r="B4508" t="inlineStr">
        <is>
          <t>2024-09-27</t>
        </is>
      </c>
      <c r="C4508" t="inlineStr">
        <is>
          <t>20:44</t>
        </is>
      </c>
      <c r="D4508" t="inlineStr">
        <is>
          <t>n° 14 + n° 15 + n° 16 + n° 17</t>
        </is>
      </c>
      <c r="E4508" t="inlineStr">
        <is>
          <t>VIN PAILLE</t>
        </is>
      </c>
      <c r="F4508" t="n">
        <v>6.9</v>
      </c>
      <c r="G4508" t="inlineStr">
        <is>
          <t>n° 16 : 0,50 + n° 17 : 0,50</t>
        </is>
      </c>
      <c r="H4508" t="n">
        <v>1</v>
      </c>
    </row>
    <row r="4509">
      <c r="A4509" t="inlineStr">
        <is>
          <t>2024-2025</t>
        </is>
      </c>
      <c r="B4509" t="inlineStr">
        <is>
          <t>2024-09-27</t>
        </is>
      </c>
      <c r="C4509" t="inlineStr">
        <is>
          <t>20:44</t>
        </is>
      </c>
      <c r="D4509" t="inlineStr">
        <is>
          <t>n° 14 + n° 15 + n° 16 + n° 17</t>
        </is>
      </c>
      <c r="E4509" t="inlineStr">
        <is>
          <t>La Vouivre</t>
        </is>
      </c>
      <c r="F4509" t="n">
        <v>5.9</v>
      </c>
      <c r="G4509" t="inlineStr">
        <is>
          <t>n° 14 : 0,50 + n° 15 : 0,50</t>
        </is>
      </c>
      <c r="H4509" t="n">
        <v>1</v>
      </c>
    </row>
    <row r="4510">
      <c r="A4510" t="inlineStr">
        <is>
          <t>2024-2025</t>
        </is>
      </c>
      <c r="B4510" t="inlineStr">
        <is>
          <t>2024-09-27</t>
        </is>
      </c>
      <c r="C4510" t="inlineStr">
        <is>
          <t>20:44</t>
        </is>
      </c>
      <c r="D4510" t="inlineStr">
        <is>
          <t>n° 14 + n° 15 + n° 16 + n° 17</t>
        </is>
      </c>
      <c r="E4510" t="inlineStr">
        <is>
          <t>Jus de Fruit</t>
        </is>
      </c>
      <c r="F4510" t="n">
        <v>4.2</v>
      </c>
      <c r="G4510" t="inlineStr">
        <is>
          <t>n° 14 : 0,50 + n° 15 : 0,50</t>
        </is>
      </c>
      <c r="H4510" t="n">
        <v>1</v>
      </c>
    </row>
    <row r="4511">
      <c r="A4511" t="inlineStr">
        <is>
          <t>2024-2025</t>
        </is>
      </c>
      <c r="B4511" t="inlineStr">
        <is>
          <t>2024-09-27</t>
        </is>
      </c>
      <c r="C4511" t="inlineStr">
        <is>
          <t>20:44</t>
        </is>
      </c>
      <c r="D4511" t="inlineStr">
        <is>
          <t>n° 14 + n° 15 + n° 16 + n° 17</t>
        </is>
      </c>
      <c r="E4511" t="inlineStr">
        <is>
          <t>pression</t>
        </is>
      </c>
      <c r="F4511" t="n">
        <v>4.2</v>
      </c>
      <c r="G4511" t="inlineStr">
        <is>
          <t>n° 14 : 0,50 + n° 15 : 0,50</t>
        </is>
      </c>
      <c r="H4511" t="n">
        <v>1</v>
      </c>
    </row>
    <row r="4512">
      <c r="A4512" t="inlineStr">
        <is>
          <t>2024-2025</t>
        </is>
      </c>
      <c r="B4512" t="inlineStr">
        <is>
          <t>2024-09-27</t>
        </is>
      </c>
      <c r="C4512" t="inlineStr">
        <is>
          <t>20:44</t>
        </is>
      </c>
      <c r="D4512" t="inlineStr">
        <is>
          <t>n° 14 + n° 15 + n° 16 + n° 17</t>
        </is>
      </c>
      <c r="E4512" t="inlineStr">
        <is>
          <t>Ricard</t>
        </is>
      </c>
      <c r="F4512" t="n">
        <v>4.2</v>
      </c>
      <c r="G4512" t="inlineStr">
        <is>
          <t>n° 14 : 0,50 + n° 15 : 0,50</t>
        </is>
      </c>
      <c r="H4512" t="n">
        <v>1</v>
      </c>
    </row>
    <row r="4513">
      <c r="A4513" t="inlineStr">
        <is>
          <t>2024-2025</t>
        </is>
      </c>
      <c r="B4513" t="inlineStr">
        <is>
          <t>2024-09-27</t>
        </is>
      </c>
      <c r="C4513" t="inlineStr">
        <is>
          <t>20:44</t>
        </is>
      </c>
      <c r="D4513" t="inlineStr">
        <is>
          <t>n° 14 + n° 15 + n° 16 + n° 17</t>
        </is>
      </c>
      <c r="E4513" t="inlineStr">
        <is>
          <t>Coca (25cl)</t>
        </is>
      </c>
      <c r="F4513" t="n">
        <v>3.9</v>
      </c>
      <c r="G4513" t="inlineStr">
        <is>
          <t>n° 16 : 0,50 + n° 17 : 0,50</t>
        </is>
      </c>
      <c r="H4513" t="n">
        <v>1</v>
      </c>
    </row>
    <row r="4514">
      <c r="A4514" t="inlineStr">
        <is>
          <t>2024-2025</t>
        </is>
      </c>
      <c r="B4514" t="inlineStr">
        <is>
          <t>2024-09-29</t>
        </is>
      </c>
      <c r="C4514" t="inlineStr">
        <is>
          <t>12:42</t>
        </is>
      </c>
      <c r="D4514" t="inlineStr">
        <is>
          <t>n° 5 + n° 6 + n° 8 + n° 9 + n° 10 + n° 11</t>
        </is>
      </c>
      <c r="E4514" t="inlineStr">
        <is>
          <t>H.C.B BEAUNE BTL</t>
        </is>
      </c>
      <c r="F4514" t="n">
        <v>49</v>
      </c>
      <c r="G4514" t="inlineStr">
        <is>
          <t>n° 5 : 0,50 + n° 6 : 0,50</t>
        </is>
      </c>
      <c r="H4514" t="n">
        <v>1</v>
      </c>
    </row>
    <row r="4515">
      <c r="A4515" t="inlineStr">
        <is>
          <t>2024-2025</t>
        </is>
      </c>
      <c r="B4515" t="inlineStr">
        <is>
          <t>2024-09-29</t>
        </is>
      </c>
      <c r="C4515" t="inlineStr">
        <is>
          <t>12:42</t>
        </is>
      </c>
      <c r="D4515" t="inlineStr">
        <is>
          <t>n° 5 + n° 6 + n° 8 + n° 9 + n° 10 + n° 11</t>
        </is>
      </c>
      <c r="E4515" t="inlineStr">
        <is>
          <t>Arbois Béthanie</t>
        </is>
      </c>
      <c r="F4515" t="n">
        <v>36</v>
      </c>
      <c r="G4515" t="inlineStr">
        <is>
          <t>n° 10 : 0,50 + n° 11 : 0,50</t>
        </is>
      </c>
      <c r="H4515" t="n">
        <v>1</v>
      </c>
    </row>
    <row r="4516">
      <c r="A4516" t="inlineStr">
        <is>
          <t>2024-2025</t>
        </is>
      </c>
      <c r="B4516" t="inlineStr">
        <is>
          <t>2024-09-29</t>
        </is>
      </c>
      <c r="C4516" t="inlineStr">
        <is>
          <t>12:42</t>
        </is>
      </c>
      <c r="D4516" t="inlineStr">
        <is>
          <t>n° 5 + n° 6 + n° 8 + n° 9 + n° 10 + n° 11</t>
        </is>
      </c>
      <c r="E4516" t="inlineStr">
        <is>
          <t>Menu Franc-Comtois</t>
        </is>
      </c>
      <c r="F4516" t="n">
        <v>34</v>
      </c>
      <c r="G4516" t="inlineStr">
        <is>
          <t>n° 10 : 0,50 + n° 11 : 0,50</t>
        </is>
      </c>
      <c r="H4516" t="n">
        <v>1</v>
      </c>
    </row>
    <row r="4517">
      <c r="A4517" t="inlineStr">
        <is>
          <t>2024-2025</t>
        </is>
      </c>
      <c r="B4517" t="inlineStr">
        <is>
          <t>2024-09-29</t>
        </is>
      </c>
      <c r="C4517" t="inlineStr">
        <is>
          <t>12:42</t>
        </is>
      </c>
      <c r="D4517" t="inlineStr">
        <is>
          <t>n° 5 + n° 6 + n° 8 + n° 9 + n° 10 + n° 11</t>
        </is>
      </c>
      <c r="E4517" t="inlineStr">
        <is>
          <t>Truite Morilles</t>
        </is>
      </c>
      <c r="F4517" t="n">
        <v>27.8</v>
      </c>
      <c r="G4517" t="inlineStr">
        <is>
          <t>n° 8 : 0,50 + n° 9 : 0,50</t>
        </is>
      </c>
      <c r="H4517" t="n">
        <v>1</v>
      </c>
    </row>
    <row r="4518">
      <c r="A4518" t="inlineStr">
        <is>
          <t>2024-2025</t>
        </is>
      </c>
      <c r="B4518" t="inlineStr">
        <is>
          <t>2024-09-29</t>
        </is>
      </c>
      <c r="C4518" t="inlineStr">
        <is>
          <t>12:42</t>
        </is>
      </c>
      <c r="D4518" t="inlineStr">
        <is>
          <t>n° 5 + n° 6 + n° 8 + n° 9 + n° 10 + n° 11</t>
        </is>
      </c>
      <c r="E4518" t="inlineStr">
        <is>
          <t>Entrecôte grillée</t>
        </is>
      </c>
      <c r="F4518" t="n">
        <v>19.9</v>
      </c>
      <c r="G4518" t="inlineStr">
        <is>
          <t>n° 5 : 0,50 + n° 6 : 0,50</t>
        </is>
      </c>
      <c r="H4518" t="n">
        <v>1</v>
      </c>
    </row>
    <row r="4519">
      <c r="A4519" t="inlineStr">
        <is>
          <t>2024-2025</t>
        </is>
      </c>
      <c r="B4519" t="inlineStr">
        <is>
          <t>2024-09-29</t>
        </is>
      </c>
      <c r="C4519" t="inlineStr">
        <is>
          <t>12:42</t>
        </is>
      </c>
      <c r="D4519" t="inlineStr">
        <is>
          <t>n° 5 + n° 6 + n° 8 + n° 9 + n° 10 + n° 11</t>
        </is>
      </c>
      <c r="E4519" t="inlineStr">
        <is>
          <t>Salade Régionale</t>
        </is>
      </c>
      <c r="F4519" t="n">
        <v>19.9</v>
      </c>
      <c r="G4519" t="inlineStr">
        <is>
          <t>n° 10 : 0,50 + n° 11 : 0,50</t>
        </is>
      </c>
      <c r="H4519" t="n">
        <v>1</v>
      </c>
    </row>
    <row r="4520">
      <c r="A4520" t="inlineStr">
        <is>
          <t>2024-2025</t>
        </is>
      </c>
      <c r="B4520" t="inlineStr">
        <is>
          <t>2024-09-29</t>
        </is>
      </c>
      <c r="C4520" t="inlineStr">
        <is>
          <t>12:42</t>
        </is>
      </c>
      <c r="D4520" t="inlineStr">
        <is>
          <t>n° 5 + n° 6 + n° 8 + n° 9 + n° 10 + n° 11</t>
        </is>
      </c>
      <c r="E4520" t="inlineStr">
        <is>
          <t>FRELEE</t>
        </is>
      </c>
      <c r="F4520" t="n">
        <v>19.6</v>
      </c>
      <c r="G4520" t="inlineStr">
        <is>
          <t>n° 5 : 0,50 + n° 6 : 0,50</t>
        </is>
      </c>
      <c r="H4520" t="n">
        <v>1</v>
      </c>
    </row>
    <row r="4521">
      <c r="A4521" t="inlineStr">
        <is>
          <t>2024-2025</t>
        </is>
      </c>
      <c r="B4521" t="inlineStr">
        <is>
          <t>2024-09-29</t>
        </is>
      </c>
      <c r="C4521" t="inlineStr">
        <is>
          <t>12:42</t>
        </is>
      </c>
      <c r="D4521" t="inlineStr">
        <is>
          <t>n° 5 + n° 6 + n° 8 + n° 9 + n° 10 + n° 11</t>
        </is>
      </c>
      <c r="E4521" t="inlineStr">
        <is>
          <t>MORTEAU GRILLEE</t>
        </is>
      </c>
      <c r="F4521" t="n">
        <v>18.6</v>
      </c>
      <c r="G4521" t="inlineStr">
        <is>
          <t>n° 5 : 0,50 + n° 6 : 0,50 + n° 10 : 0,50 + n° 11 : 0,50</t>
        </is>
      </c>
      <c r="H4521" t="n">
        <v>2</v>
      </c>
    </row>
    <row r="4522">
      <c r="A4522" t="inlineStr">
        <is>
          <t>2024-2025</t>
        </is>
      </c>
      <c r="B4522" t="inlineStr">
        <is>
          <t>2024-09-29</t>
        </is>
      </c>
      <c r="C4522" t="inlineStr">
        <is>
          <t>12:42</t>
        </is>
      </c>
      <c r="D4522" t="inlineStr">
        <is>
          <t>n° 5 + n° 6 + n° 8 + n° 9 + n° 10 + n° 11</t>
        </is>
      </c>
      <c r="E4522" t="inlineStr">
        <is>
          <t>POULET JURASSIENNE</t>
        </is>
      </c>
      <c r="F4522" t="n">
        <v>18.6</v>
      </c>
      <c r="G4522" t="inlineStr">
        <is>
          <t>n° 8 : 0,50 + n° 9 : 0,50</t>
        </is>
      </c>
      <c r="H4522" t="n">
        <v>1</v>
      </c>
    </row>
    <row r="4523">
      <c r="A4523" t="inlineStr">
        <is>
          <t>2024-2025</t>
        </is>
      </c>
      <c r="B4523" t="inlineStr">
        <is>
          <t>2024-09-29</t>
        </is>
      </c>
      <c r="C4523" t="inlineStr">
        <is>
          <t>12:42</t>
        </is>
      </c>
      <c r="D4523" t="inlineStr">
        <is>
          <t>n° 5 + n° 6 + n° 8 + n° 9 + n° 10 + n° 11</t>
        </is>
      </c>
      <c r="E4523" t="inlineStr">
        <is>
          <t>ASSIETTE FRANC-COMTO</t>
        </is>
      </c>
      <c r="F4523" t="n">
        <v>18.6</v>
      </c>
      <c r="G4523" t="inlineStr">
        <is>
          <t>n° 10 : 0,50 + n° 11 : 0,50</t>
        </is>
      </c>
      <c r="H4523" t="n">
        <v>1</v>
      </c>
    </row>
    <row r="4524">
      <c r="A4524" t="inlineStr">
        <is>
          <t>2024-2025</t>
        </is>
      </c>
      <c r="B4524" t="inlineStr">
        <is>
          <t>2024-09-29</t>
        </is>
      </c>
      <c r="C4524" t="inlineStr">
        <is>
          <t>12:42</t>
        </is>
      </c>
      <c r="D4524" t="inlineStr">
        <is>
          <t>n° 5 + n° 6 + n° 8 + n° 9 + n° 10 + n° 11</t>
        </is>
      </c>
      <c r="E4524" t="inlineStr">
        <is>
          <t>PEUTE</t>
        </is>
      </c>
      <c r="F4524" t="n">
        <v>17.8</v>
      </c>
      <c r="G4524" t="inlineStr">
        <is>
          <t>n° 5 : 0,50 + n° 6 : 0,50</t>
        </is>
      </c>
      <c r="H4524" t="n">
        <v>1</v>
      </c>
    </row>
    <row r="4525">
      <c r="A4525" t="inlineStr">
        <is>
          <t>2024-2025</t>
        </is>
      </c>
      <c r="B4525" t="inlineStr">
        <is>
          <t>2024-09-29</t>
        </is>
      </c>
      <c r="C4525" t="inlineStr">
        <is>
          <t>12:42</t>
        </is>
      </c>
      <c r="D4525" t="inlineStr">
        <is>
          <t>n° 5 + n° 6 + n° 8 + n° 9 + n° 10 + n° 11</t>
        </is>
      </c>
      <c r="E4525" t="inlineStr">
        <is>
          <t>Croûtes Morilles</t>
        </is>
      </c>
      <c r="F4525" t="n">
        <v>16.9</v>
      </c>
      <c r="G4525" t="inlineStr">
        <is>
          <t>n° 5 : 0,50 + n° 6 : 0,50</t>
        </is>
      </c>
      <c r="H4525" t="n">
        <v>1</v>
      </c>
    </row>
    <row r="4526">
      <c r="A4526" t="inlineStr">
        <is>
          <t>2024-2025</t>
        </is>
      </c>
      <c r="B4526" t="inlineStr">
        <is>
          <t>2024-09-29</t>
        </is>
      </c>
      <c r="C4526" t="inlineStr">
        <is>
          <t>12:42</t>
        </is>
      </c>
      <c r="D4526" t="inlineStr">
        <is>
          <t>n° 5 + n° 6 + n° 8 + n° 9 + n° 10 + n° 11</t>
        </is>
      </c>
      <c r="E4526" t="inlineStr">
        <is>
          <t>VOUIVRE</t>
        </is>
      </c>
      <c r="F4526" t="n">
        <v>14.6</v>
      </c>
      <c r="G4526" t="inlineStr">
        <is>
          <t>n° 8 : 0,50 + n° 9 : 0,50</t>
        </is>
      </c>
      <c r="H4526" t="n">
        <v>1</v>
      </c>
    </row>
    <row r="4527">
      <c r="A4527" t="inlineStr">
        <is>
          <t>2024-2025</t>
        </is>
      </c>
      <c r="B4527" t="inlineStr">
        <is>
          <t>2024-09-29</t>
        </is>
      </c>
      <c r="C4527" t="inlineStr">
        <is>
          <t>12:42</t>
        </is>
      </c>
      <c r="D4527" t="inlineStr">
        <is>
          <t>n° 5 + n° 6 + n° 8 + n° 9 + n° 10 + n° 11</t>
        </is>
      </c>
      <c r="E4527" t="inlineStr">
        <is>
          <t>TANTE ARIE</t>
        </is>
      </c>
      <c r="F4527" t="n">
        <v>11.9</v>
      </c>
      <c r="G4527" t="inlineStr">
        <is>
          <t>n° 8 : 0,50 + n° 9 : 0,50</t>
        </is>
      </c>
      <c r="H4527" t="n">
        <v>1</v>
      </c>
    </row>
    <row r="4528">
      <c r="A4528" t="inlineStr">
        <is>
          <t>2024-2025</t>
        </is>
      </c>
      <c r="B4528" t="inlineStr">
        <is>
          <t>2024-09-29</t>
        </is>
      </c>
      <c r="C4528" t="inlineStr">
        <is>
          <t>12:42</t>
        </is>
      </c>
      <c r="D4528" t="inlineStr">
        <is>
          <t>n° 5 + n° 6 + n° 8 + n° 9 + n° 10 + n° 11</t>
        </is>
      </c>
      <c r="E4528" t="inlineStr">
        <is>
          <t>Feuilleté Forestier</t>
        </is>
      </c>
      <c r="F4528" t="n">
        <v>10.9</v>
      </c>
      <c r="G4528" t="inlineStr">
        <is>
          <t>n° 5 : 0,50 + n° 6 : 0,50</t>
        </is>
      </c>
      <c r="H4528" t="n">
        <v>1</v>
      </c>
    </row>
    <row r="4529">
      <c r="A4529" t="inlineStr">
        <is>
          <t>2024-2025</t>
        </is>
      </c>
      <c r="B4529" t="inlineStr">
        <is>
          <t>2024-09-29</t>
        </is>
      </c>
      <c r="C4529" t="inlineStr">
        <is>
          <t>12:42</t>
        </is>
      </c>
      <c r="D4529" t="inlineStr">
        <is>
          <t>n° 5 + n° 6 + n° 8 + n° 9 + n° 10 + n° 11</t>
        </is>
      </c>
      <c r="E4529" t="inlineStr">
        <is>
          <t>Sprintz</t>
        </is>
      </c>
      <c r="F4529" t="n">
        <v>9</v>
      </c>
      <c r="G4529" t="inlineStr">
        <is>
          <t>n° 5 : 0,50 + n° 6 : 0,50</t>
        </is>
      </c>
      <c r="H4529" t="n">
        <v>1</v>
      </c>
    </row>
    <row r="4530">
      <c r="A4530" t="inlineStr">
        <is>
          <t>2024-2025</t>
        </is>
      </c>
      <c r="B4530" t="inlineStr">
        <is>
          <t>2024-09-29</t>
        </is>
      </c>
      <c r="C4530" t="inlineStr">
        <is>
          <t>12:42</t>
        </is>
      </c>
      <c r="D4530" t="inlineStr">
        <is>
          <t>n° 5 + n° 6 + n° 8 + n° 9 + n° 10 + n° 11</t>
        </is>
      </c>
      <c r="E4530" t="inlineStr">
        <is>
          <t>Escargots de Bourgog</t>
        </is>
      </c>
      <c r="F4530" t="n">
        <v>8</v>
      </c>
      <c r="G4530" t="inlineStr">
        <is>
          <t>n° 5 : 3,00 + n° 6 : 3,00 + n° 10 : 1,50 + n° 11 : 1,50</t>
        </is>
      </c>
      <c r="H4530" t="n">
        <v>9</v>
      </c>
    </row>
    <row r="4531">
      <c r="A4531" t="inlineStr">
        <is>
          <t>2024-2025</t>
        </is>
      </c>
      <c r="B4531" t="inlineStr">
        <is>
          <t>2024-09-29</t>
        </is>
      </c>
      <c r="C4531" t="inlineStr">
        <is>
          <t>12:42</t>
        </is>
      </c>
      <c r="D4531" t="inlineStr">
        <is>
          <t>n° 5 + n° 6 + n° 8 + n° 9 + n° 10 + n° 11</t>
        </is>
      </c>
      <c r="E4531" t="inlineStr">
        <is>
          <t>Père Gregoire</t>
        </is>
      </c>
      <c r="F4531" t="n">
        <v>5.9</v>
      </c>
      <c r="G4531" t="inlineStr">
        <is>
          <t>n° 5 : 0,50 + n° 6 : 0,50</t>
        </is>
      </c>
      <c r="H4531" t="n">
        <v>1</v>
      </c>
    </row>
    <row r="4532">
      <c r="A4532" t="inlineStr">
        <is>
          <t>2024-2025</t>
        </is>
      </c>
      <c r="B4532" t="inlineStr">
        <is>
          <t>2024-09-29</t>
        </is>
      </c>
      <c r="C4532" t="inlineStr">
        <is>
          <t>12:42</t>
        </is>
      </c>
      <c r="D4532" t="inlineStr">
        <is>
          <t>n° 5 + n° 6 + n° 8 + n° 9 + n° 10 + n° 11</t>
        </is>
      </c>
      <c r="E4532" t="inlineStr">
        <is>
          <t>La Vouivre</t>
        </is>
      </c>
      <c r="F4532" t="n">
        <v>5.9</v>
      </c>
      <c r="G4532" t="inlineStr">
        <is>
          <t>n° 5 : 0,50 + n° 6 : 0,50</t>
        </is>
      </c>
      <c r="H4532" t="n">
        <v>1</v>
      </c>
    </row>
    <row r="4533">
      <c r="A4533" t="inlineStr">
        <is>
          <t>2024-2025</t>
        </is>
      </c>
      <c r="B4533" t="inlineStr">
        <is>
          <t>2024-09-29</t>
        </is>
      </c>
      <c r="C4533" t="inlineStr">
        <is>
          <t>12:42</t>
        </is>
      </c>
      <c r="D4533" t="inlineStr">
        <is>
          <t>n° 5 + n° 6 + n° 8 + n° 9 + n° 10 + n° 11</t>
        </is>
      </c>
      <c r="E4533" t="inlineStr">
        <is>
          <t>Macvin du Jura</t>
        </is>
      </c>
      <c r="F4533" t="n">
        <v>5.9</v>
      </c>
      <c r="G4533" t="inlineStr">
        <is>
          <t>n° 5 : 0,50 + n° 6 : 0,50</t>
        </is>
      </c>
      <c r="H4533" t="n">
        <v>1</v>
      </c>
    </row>
    <row r="4534">
      <c r="A4534" t="inlineStr">
        <is>
          <t>2024-2025</t>
        </is>
      </c>
      <c r="B4534" t="inlineStr">
        <is>
          <t>2024-09-29</t>
        </is>
      </c>
      <c r="C4534" t="inlineStr">
        <is>
          <t>12:42</t>
        </is>
      </c>
      <c r="D4534" t="inlineStr">
        <is>
          <t>n° 5 + n° 6 + n° 8 + n° 9 + n° 10 + n° 11</t>
        </is>
      </c>
      <c r="E4534" t="inlineStr">
        <is>
          <t>Chat perché</t>
        </is>
      </c>
      <c r="F4534" t="n">
        <v>5.9</v>
      </c>
      <c r="G4534" t="inlineStr">
        <is>
          <t>n° 8 : 0,50 + n° 9 : 0,50</t>
        </is>
      </c>
      <c r="H4534" t="n">
        <v>1</v>
      </c>
    </row>
    <row r="4535">
      <c r="A4535" t="inlineStr">
        <is>
          <t>2024-2025</t>
        </is>
      </c>
      <c r="B4535" t="inlineStr">
        <is>
          <t>2024-09-29</t>
        </is>
      </c>
      <c r="C4535" t="inlineStr">
        <is>
          <t>12:42</t>
        </is>
      </c>
      <c r="D4535" t="inlineStr">
        <is>
          <t>n° 5 + n° 6 + n° 8 + n° 9 + n° 10 + n° 11</t>
        </is>
      </c>
      <c r="E4535" t="inlineStr">
        <is>
          <t>Jus de Fruit</t>
        </is>
      </c>
      <c r="F4535" t="n">
        <v>4.2</v>
      </c>
      <c r="G4535" t="inlineStr">
        <is>
          <t>n° 8 : 0,50 + n° 9 : 0,50</t>
        </is>
      </c>
      <c r="H4535" t="n">
        <v>1</v>
      </c>
    </row>
    <row r="4536">
      <c r="A4536" t="inlineStr">
        <is>
          <t>2024-2025</t>
        </is>
      </c>
      <c r="B4536" t="inlineStr">
        <is>
          <t>2024-09-29</t>
        </is>
      </c>
      <c r="C4536" t="inlineStr">
        <is>
          <t>12:42</t>
        </is>
      </c>
      <c r="D4536" t="inlineStr">
        <is>
          <t>n° 5 + n° 6 + n° 8 + n° 9 + n° 10 + n° 11</t>
        </is>
      </c>
      <c r="E4536" t="inlineStr">
        <is>
          <t>Expresso</t>
        </is>
      </c>
      <c r="F4536" t="n">
        <v>2.2</v>
      </c>
      <c r="G4536" t="inlineStr">
        <is>
          <t>n° 5 : 2,00 + n° 6 : 2,00 + n° 8 : 0,50 + n° 9 : 0,50 + n° 10 : 1,00 + n° 11 : 1,00</t>
        </is>
      </c>
      <c r="H4536" t="n">
        <v>7</v>
      </c>
    </row>
    <row r="4537">
      <c r="A4537" t="inlineStr">
        <is>
          <t>2024-2025</t>
        </is>
      </c>
      <c r="B4537" t="inlineStr">
        <is>
          <t>2024-10-03</t>
        </is>
      </c>
      <c r="C4537" t="inlineStr">
        <is>
          <t>12:19</t>
        </is>
      </c>
      <c r="D4537" t="inlineStr">
        <is>
          <t>n° 6 + n° 7</t>
        </is>
      </c>
      <c r="E4537" t="inlineStr">
        <is>
          <t>BURGER COMTOIS</t>
        </is>
      </c>
      <c r="F4537" t="n">
        <v>19</v>
      </c>
      <c r="G4537" t="inlineStr">
        <is>
          <t>n° 6 : 0,50 + n° 7 : 0,50</t>
        </is>
      </c>
      <c r="H4537" t="n">
        <v>1</v>
      </c>
    </row>
    <row r="4538">
      <c r="A4538" t="inlineStr">
        <is>
          <t>2024-2025</t>
        </is>
      </c>
      <c r="B4538" t="inlineStr">
        <is>
          <t>2024-10-03</t>
        </is>
      </c>
      <c r="C4538" t="inlineStr">
        <is>
          <t>12:19</t>
        </is>
      </c>
      <c r="D4538" t="inlineStr">
        <is>
          <t>n° 6 + n° 7</t>
        </is>
      </c>
      <c r="E4538" t="inlineStr">
        <is>
          <t>FORMULE EXPRESS</t>
        </is>
      </c>
      <c r="F4538" t="n">
        <v>18.6</v>
      </c>
      <c r="G4538" t="inlineStr">
        <is>
          <t>n° 6 : 0,50 + n° 7 : 0,50</t>
        </is>
      </c>
      <c r="H4538" t="n">
        <v>1</v>
      </c>
    </row>
    <row r="4539">
      <c r="A4539" t="inlineStr">
        <is>
          <t>2024-2025</t>
        </is>
      </c>
      <c r="B4539" t="inlineStr">
        <is>
          <t>2024-10-04</t>
        </is>
      </c>
      <c r="C4539" t="inlineStr">
        <is>
          <t>13:05</t>
        </is>
      </c>
      <c r="D4539" t="inlineStr">
        <is>
          <t>n° 4 + n° 5</t>
        </is>
      </c>
      <c r="E4539" t="inlineStr">
        <is>
          <t>Pichet CHUSLAN</t>
        </is>
      </c>
      <c r="F4539" t="n">
        <v>9.5</v>
      </c>
      <c r="G4539" t="inlineStr">
        <is>
          <t>n° 4 : 0,50 + n° 5 : 0,50</t>
        </is>
      </c>
      <c r="H4539" t="n">
        <v>1</v>
      </c>
    </row>
    <row r="4540">
      <c r="A4540" t="inlineStr">
        <is>
          <t>2024-2025</t>
        </is>
      </c>
      <c r="B4540" t="inlineStr">
        <is>
          <t>2024-10-04</t>
        </is>
      </c>
      <c r="C4540" t="inlineStr">
        <is>
          <t>13:05</t>
        </is>
      </c>
      <c r="D4540" t="inlineStr">
        <is>
          <t>n° 4 + n° 5</t>
        </is>
      </c>
      <c r="E4540" t="inlineStr">
        <is>
          <t>Baba</t>
        </is>
      </c>
      <c r="F4540" t="n">
        <v>8.9</v>
      </c>
      <c r="G4540" t="inlineStr">
        <is>
          <t>n° 4 : 0,50 + n° 5 : 0,50</t>
        </is>
      </c>
      <c r="H4540" t="n">
        <v>1</v>
      </c>
    </row>
    <row r="4541">
      <c r="A4541" t="inlineStr">
        <is>
          <t>2024-2025</t>
        </is>
      </c>
      <c r="B4541" t="inlineStr">
        <is>
          <t>2024-10-04</t>
        </is>
      </c>
      <c r="C4541" t="inlineStr">
        <is>
          <t>13:05</t>
        </is>
      </c>
      <c r="D4541" t="inlineStr">
        <is>
          <t>n° 4 + n° 5</t>
        </is>
      </c>
      <c r="E4541" t="inlineStr">
        <is>
          <t>FROMAGES REGIONAUX</t>
        </is>
      </c>
      <c r="F4541" t="n">
        <v>7.9</v>
      </c>
      <c r="G4541" t="inlineStr">
        <is>
          <t>n° 4 : 0,50 + n° 5 : 0,50</t>
        </is>
      </c>
      <c r="H4541" t="n">
        <v>1</v>
      </c>
    </row>
    <row r="4542">
      <c r="A4542" t="inlineStr">
        <is>
          <t>2024-2025</t>
        </is>
      </c>
      <c r="B4542" t="inlineStr">
        <is>
          <t>2024-10-04</t>
        </is>
      </c>
      <c r="C4542" t="inlineStr">
        <is>
          <t>13:05</t>
        </is>
      </c>
      <c r="D4542" t="inlineStr">
        <is>
          <t>n° 4 + n° 5</t>
        </is>
      </c>
      <c r="E4542" t="inlineStr">
        <is>
          <t>Pastis</t>
        </is>
      </c>
      <c r="F4542" t="n">
        <v>4.2</v>
      </c>
      <c r="G4542" t="inlineStr">
        <is>
          <t>n° 4 : 0,50 + n° 5 : 0,50</t>
        </is>
      </c>
      <c r="H4542" t="n">
        <v>1</v>
      </c>
    </row>
    <row r="4543">
      <c r="A4543" t="inlineStr">
        <is>
          <t>2024-2025</t>
        </is>
      </c>
      <c r="B4543" t="inlineStr">
        <is>
          <t>2024-10-04</t>
        </is>
      </c>
      <c r="C4543" t="inlineStr">
        <is>
          <t>13:05</t>
        </is>
      </c>
      <c r="D4543" t="inlineStr">
        <is>
          <t>n° 4 + n° 5</t>
        </is>
      </c>
      <c r="E4543" t="inlineStr">
        <is>
          <t>pression</t>
        </is>
      </c>
      <c r="F4543" t="n">
        <v>4.2</v>
      </c>
      <c r="G4543" t="inlineStr">
        <is>
          <t>n° 4 : 0,50 + n° 5 : 0,50</t>
        </is>
      </c>
      <c r="H4543" t="n">
        <v>1</v>
      </c>
    </row>
    <row r="4544">
      <c r="A4544" t="inlineStr">
        <is>
          <t>2024-2025</t>
        </is>
      </c>
      <c r="B4544" t="inlineStr">
        <is>
          <t>2024-10-04</t>
        </is>
      </c>
      <c r="C4544" t="inlineStr">
        <is>
          <t>13:05</t>
        </is>
      </c>
      <c r="D4544" t="inlineStr">
        <is>
          <t>n° 4 + n° 5</t>
        </is>
      </c>
      <c r="E4544" t="inlineStr">
        <is>
          <t>Expresso</t>
        </is>
      </c>
      <c r="F4544" t="n">
        <v>2.2</v>
      </c>
      <c r="G4544" t="inlineStr">
        <is>
          <t>n° 4 : 1,50 + n° 5 : 1,50</t>
        </is>
      </c>
      <c r="H4544" t="n">
        <v>3</v>
      </c>
    </row>
    <row r="4545">
      <c r="A4545" t="inlineStr">
        <is>
          <t>2024-2025</t>
        </is>
      </c>
      <c r="B4545" t="inlineStr">
        <is>
          <t>2024-10-04</t>
        </is>
      </c>
      <c r="C4545" t="inlineStr">
        <is>
          <t>13:22</t>
        </is>
      </c>
      <c r="D4545" t="inlineStr">
        <is>
          <t>n° 8 + n° 9</t>
        </is>
      </c>
      <c r="E4545" t="inlineStr">
        <is>
          <t>Père Gregoire</t>
        </is>
      </c>
      <c r="F4545" t="n">
        <v>5.9</v>
      </c>
      <c r="G4545" t="inlineStr">
        <is>
          <t>n° 8 : 0,50 + n° 9 : 0,50</t>
        </is>
      </c>
      <c r="H4545" t="n">
        <v>1</v>
      </c>
    </row>
    <row r="4546">
      <c r="A4546" t="inlineStr">
        <is>
          <t>2024-2025</t>
        </is>
      </c>
      <c r="B4546" t="inlineStr">
        <is>
          <t>2024-10-04</t>
        </is>
      </c>
      <c r="C4546" t="inlineStr">
        <is>
          <t>13:22</t>
        </is>
      </c>
      <c r="D4546" t="inlineStr">
        <is>
          <t>n° 8 + n° 9</t>
        </is>
      </c>
      <c r="E4546" t="inlineStr">
        <is>
          <t>KITTYKIR</t>
        </is>
      </c>
      <c r="F4546" t="n">
        <v>5.2</v>
      </c>
      <c r="G4546" t="inlineStr">
        <is>
          <t>n° 8 : 0,50 + n° 9 : 0,50</t>
        </is>
      </c>
      <c r="H4546" t="n">
        <v>1</v>
      </c>
    </row>
    <row r="4547">
      <c r="A4547" t="inlineStr">
        <is>
          <t>2024-2025</t>
        </is>
      </c>
      <c r="B4547" t="inlineStr">
        <is>
          <t>2024-10-06</t>
        </is>
      </c>
      <c r="C4547" t="inlineStr">
        <is>
          <t>12:37</t>
        </is>
      </c>
      <c r="D4547" t="inlineStr">
        <is>
          <t>n° 8 + n° 9</t>
        </is>
      </c>
      <c r="E4547" t="inlineStr">
        <is>
          <t>POULET JURASSIENNE</t>
        </is>
      </c>
      <c r="F4547" t="n">
        <v>18.6</v>
      </c>
      <c r="G4547" t="inlineStr">
        <is>
          <t>n° 8 : 0,50 + n° 9 : 0,50</t>
        </is>
      </c>
      <c r="H4547" t="n">
        <v>1</v>
      </c>
    </row>
    <row r="4548">
      <c r="A4548" t="inlineStr">
        <is>
          <t>2024-2025</t>
        </is>
      </c>
      <c r="B4548" t="inlineStr">
        <is>
          <t>2024-10-06</t>
        </is>
      </c>
      <c r="C4548" t="inlineStr">
        <is>
          <t>12:37</t>
        </is>
      </c>
      <c r="D4548" t="inlineStr">
        <is>
          <t>n° 8 + n° 9</t>
        </is>
      </c>
      <c r="E4548" t="inlineStr">
        <is>
          <t>MORTEAU GRILLEE</t>
        </is>
      </c>
      <c r="F4548" t="n">
        <v>18.6</v>
      </c>
      <c r="G4548" t="inlineStr">
        <is>
          <t>n° 8 : 0,50 + n° 9 : 0,50</t>
        </is>
      </c>
      <c r="H4548" t="n">
        <v>1</v>
      </c>
    </row>
    <row r="4549">
      <c r="A4549" t="inlineStr">
        <is>
          <t>2024-2025</t>
        </is>
      </c>
      <c r="B4549" t="inlineStr">
        <is>
          <t>2024-10-06</t>
        </is>
      </c>
      <c r="C4549" t="inlineStr">
        <is>
          <t>12:37</t>
        </is>
      </c>
      <c r="D4549" t="inlineStr">
        <is>
          <t>n° 8 + n° 9</t>
        </is>
      </c>
      <c r="E4549" t="inlineStr">
        <is>
          <t>cidre la Mordue</t>
        </is>
      </c>
      <c r="F4549" t="n">
        <v>4.8</v>
      </c>
      <c r="G4549" t="inlineStr">
        <is>
          <t>n° 8 : 0,50 + n° 9 : 0,50</t>
        </is>
      </c>
      <c r="H4549" t="n">
        <v>1</v>
      </c>
    </row>
    <row r="4550">
      <c r="A4550" t="inlineStr">
        <is>
          <t>2024-2025</t>
        </is>
      </c>
      <c r="B4550" t="inlineStr">
        <is>
          <t>2024-10-06</t>
        </is>
      </c>
      <c r="C4550" t="inlineStr">
        <is>
          <t>12:37</t>
        </is>
      </c>
      <c r="D4550" t="inlineStr">
        <is>
          <t>n° 8 + n° 9</t>
        </is>
      </c>
      <c r="E4550" t="inlineStr">
        <is>
          <t>Expresso</t>
        </is>
      </c>
      <c r="F4550" t="n">
        <v>2.2</v>
      </c>
      <c r="G4550" t="inlineStr">
        <is>
          <t>n° 8 : 0,50 + n° 9 : 0,50</t>
        </is>
      </c>
      <c r="H4550" t="n">
        <v>1</v>
      </c>
    </row>
    <row r="4551">
      <c r="A4551" t="inlineStr">
        <is>
          <t>2024-2025</t>
        </is>
      </c>
      <c r="B4551" t="inlineStr">
        <is>
          <t>2024-10-09</t>
        </is>
      </c>
      <c r="C4551" t="inlineStr">
        <is>
          <t>12:43</t>
        </is>
      </c>
      <c r="D4551" t="inlineStr">
        <is>
          <t>n° 5 + n° 6</t>
        </is>
      </c>
      <c r="E4551" t="inlineStr">
        <is>
          <t>Entrecôte grillée</t>
        </is>
      </c>
      <c r="F4551" t="n">
        <v>19.9</v>
      </c>
      <c r="G4551" t="inlineStr">
        <is>
          <t>n° 5 : 0,50 + n° 6 : 0,50</t>
        </is>
      </c>
      <c r="H4551" t="n">
        <v>1</v>
      </c>
    </row>
    <row r="4552">
      <c r="A4552" t="inlineStr">
        <is>
          <t>2024-2025</t>
        </is>
      </c>
      <c r="B4552" t="inlineStr">
        <is>
          <t>2024-10-09</t>
        </is>
      </c>
      <c r="C4552" t="inlineStr">
        <is>
          <t>12:43</t>
        </is>
      </c>
      <c r="D4552" t="inlineStr">
        <is>
          <t>n° 5 + n° 6</t>
        </is>
      </c>
      <c r="E4552" t="inlineStr">
        <is>
          <t>TRUITE JURASSIENNE</t>
        </is>
      </c>
      <c r="F4552" t="n">
        <v>18.6</v>
      </c>
      <c r="G4552" t="inlineStr">
        <is>
          <t>n° 5 : 0,50 + n° 6 : 0,50</t>
        </is>
      </c>
      <c r="H4552" t="n">
        <v>1</v>
      </c>
    </row>
    <row r="4553">
      <c r="A4553" t="inlineStr">
        <is>
          <t>2024-2025</t>
        </is>
      </c>
      <c r="B4553" t="inlineStr">
        <is>
          <t>2024-10-09</t>
        </is>
      </c>
      <c r="C4553" t="inlineStr">
        <is>
          <t>12:43</t>
        </is>
      </c>
      <c r="D4553" t="inlineStr">
        <is>
          <t>n° 5 + n° 6</t>
        </is>
      </c>
      <c r="E4553" t="inlineStr">
        <is>
          <t>Monaco</t>
        </is>
      </c>
      <c r="F4553" t="n">
        <v>4.2</v>
      </c>
      <c r="G4553" t="inlineStr">
        <is>
          <t>n° 5 : 0,50 + n° 6 : 0,50</t>
        </is>
      </c>
      <c r="H4553" t="n">
        <v>1</v>
      </c>
    </row>
    <row r="4554">
      <c r="A4554" t="inlineStr">
        <is>
          <t>2024-2025</t>
        </is>
      </c>
      <c r="B4554" t="inlineStr">
        <is>
          <t>2024-10-09</t>
        </is>
      </c>
      <c r="C4554" t="inlineStr">
        <is>
          <t>12:43</t>
        </is>
      </c>
      <c r="D4554" t="inlineStr">
        <is>
          <t>n° 5 + n° 6</t>
        </is>
      </c>
      <c r="E4554" t="inlineStr">
        <is>
          <t>Orangina (25cl)</t>
        </is>
      </c>
      <c r="F4554" t="n">
        <v>3.9</v>
      </c>
      <c r="G4554" t="inlineStr">
        <is>
          <t>n° 5 : 0,50 + n° 6 : 0,50</t>
        </is>
      </c>
      <c r="H4554" t="n">
        <v>1</v>
      </c>
    </row>
    <row r="4555">
      <c r="A4555" t="inlineStr">
        <is>
          <t>2024-2025</t>
        </is>
      </c>
      <c r="B4555" t="inlineStr">
        <is>
          <t>2024-10-09</t>
        </is>
      </c>
      <c r="C4555" t="inlineStr">
        <is>
          <t>12:43</t>
        </is>
      </c>
      <c r="D4555" t="inlineStr">
        <is>
          <t>n° 5 + n° 6</t>
        </is>
      </c>
      <c r="E4555" t="inlineStr">
        <is>
          <t>Expresso</t>
        </is>
      </c>
      <c r="F4555" t="n">
        <v>2.2</v>
      </c>
      <c r="G4555" t="inlineStr">
        <is>
          <t>n° 5 : 1,50 + n° 6 : 1,50</t>
        </is>
      </c>
      <c r="H4555" t="n">
        <v>3</v>
      </c>
    </row>
    <row r="4556">
      <c r="A4556" t="inlineStr">
        <is>
          <t>2024-2025</t>
        </is>
      </c>
      <c r="B4556" t="inlineStr">
        <is>
          <t>2024-10-09</t>
        </is>
      </c>
      <c r="C4556" t="inlineStr">
        <is>
          <t>20:16</t>
        </is>
      </c>
      <c r="D4556" t="inlineStr">
        <is>
          <t>n° 23 + n° 24</t>
        </is>
      </c>
      <c r="E4556" t="inlineStr">
        <is>
          <t>Arbois Béthanie</t>
        </is>
      </c>
      <c r="F4556" t="n">
        <v>36</v>
      </c>
      <c r="G4556" t="inlineStr">
        <is>
          <t>n° 23 : 0,50 + n° 24 : 0,50</t>
        </is>
      </c>
      <c r="H4556" t="n">
        <v>1</v>
      </c>
    </row>
    <row r="4557">
      <c r="A4557" t="inlineStr">
        <is>
          <t>2024-2025</t>
        </is>
      </c>
      <c r="B4557" t="inlineStr">
        <is>
          <t>2024-10-09</t>
        </is>
      </c>
      <c r="C4557" t="inlineStr">
        <is>
          <t>20:16</t>
        </is>
      </c>
      <c r="D4557" t="inlineStr">
        <is>
          <t>n° 23 + n° 24</t>
        </is>
      </c>
      <c r="E4557" t="inlineStr">
        <is>
          <t>Crémeux du Jura</t>
        </is>
      </c>
      <c r="F4557" t="n">
        <v>19</v>
      </c>
      <c r="G4557" t="inlineStr">
        <is>
          <t>n° 23 : 0,50 + n° 24 : 0,50</t>
        </is>
      </c>
      <c r="H4557" t="n">
        <v>1</v>
      </c>
    </row>
    <row r="4558">
      <c r="A4558" t="inlineStr">
        <is>
          <t>2024-2025</t>
        </is>
      </c>
      <c r="B4558" t="inlineStr">
        <is>
          <t>2024-10-09</t>
        </is>
      </c>
      <c r="C4558" t="inlineStr">
        <is>
          <t>20:16</t>
        </is>
      </c>
      <c r="D4558" t="inlineStr">
        <is>
          <t>n° 23 + n° 24</t>
        </is>
      </c>
      <c r="E4558" t="inlineStr">
        <is>
          <t>POULET JURASSIENNE</t>
        </is>
      </c>
      <c r="F4558" t="n">
        <v>18.6</v>
      </c>
      <c r="G4558" t="inlineStr">
        <is>
          <t>n° 23 : 0,50 + n° 24 : 0,50</t>
        </is>
      </c>
      <c r="H4558" t="n">
        <v>1</v>
      </c>
    </row>
    <row r="4559">
      <c r="A4559" t="inlineStr">
        <is>
          <t>2024-2025</t>
        </is>
      </c>
      <c r="B4559" t="inlineStr">
        <is>
          <t>2024-10-09</t>
        </is>
      </c>
      <c r="C4559" t="inlineStr">
        <is>
          <t>20:16</t>
        </is>
      </c>
      <c r="D4559" t="inlineStr">
        <is>
          <t>n° 23 + n° 24</t>
        </is>
      </c>
      <c r="E4559" t="inlineStr">
        <is>
          <t>Baba</t>
        </is>
      </c>
      <c r="F4559" t="n">
        <v>8.9</v>
      </c>
      <c r="G4559" t="inlineStr">
        <is>
          <t>n° 23 : 0,50 + n° 24 : 0,50</t>
        </is>
      </c>
      <c r="H4559" t="n">
        <v>1</v>
      </c>
    </row>
    <row r="4560">
      <c r="A4560" t="inlineStr">
        <is>
          <t>2024-2025</t>
        </is>
      </c>
      <c r="B4560" t="inlineStr">
        <is>
          <t>2024-10-09</t>
        </is>
      </c>
      <c r="C4560" t="inlineStr">
        <is>
          <t>20:16</t>
        </is>
      </c>
      <c r="D4560" t="inlineStr">
        <is>
          <t>n° 23 + n° 24</t>
        </is>
      </c>
      <c r="E4560" t="inlineStr">
        <is>
          <t>CREME BRULEE</t>
        </is>
      </c>
      <c r="F4560" t="n">
        <v>7.9</v>
      </c>
      <c r="G4560" t="inlineStr">
        <is>
          <t>n° 23 : 0,50 + n° 24 : 0,50</t>
        </is>
      </c>
      <c r="H4560" t="n">
        <v>1</v>
      </c>
    </row>
    <row r="4561">
      <c r="A4561" t="inlineStr">
        <is>
          <t>2024-2025</t>
        </is>
      </c>
      <c r="B4561" t="inlineStr">
        <is>
          <t>2024-10-09</t>
        </is>
      </c>
      <c r="C4561" t="inlineStr">
        <is>
          <t>20:40</t>
        </is>
      </c>
      <c r="D4561" t="inlineStr">
        <is>
          <t>n° 25 + n° 26</t>
        </is>
      </c>
      <c r="E4561" t="inlineStr">
        <is>
          <t>Assortiment charcute</t>
        </is>
      </c>
      <c r="F4561" t="n">
        <v>8.9</v>
      </c>
      <c r="G4561" t="inlineStr">
        <is>
          <t>n° 25 : 0,50 + n° 26 : 0,50</t>
        </is>
      </c>
      <c r="H4561" t="n">
        <v>1</v>
      </c>
    </row>
    <row r="4562">
      <c r="A4562" t="inlineStr">
        <is>
          <t>2024-2025</t>
        </is>
      </c>
      <c r="B4562" t="inlineStr">
        <is>
          <t>2024-10-09</t>
        </is>
      </c>
      <c r="C4562" t="inlineStr">
        <is>
          <t>20:40</t>
        </is>
      </c>
      <c r="D4562" t="inlineStr">
        <is>
          <t>n° 25 + n° 26</t>
        </is>
      </c>
      <c r="E4562" t="inlineStr">
        <is>
          <t>Salade Verte</t>
        </is>
      </c>
      <c r="F4562" t="n">
        <v>5.9</v>
      </c>
      <c r="G4562" t="inlineStr">
        <is>
          <t>n° 25 : 0,50 + n° 26 : 0,50</t>
        </is>
      </c>
      <c r="H4562" t="n">
        <v>1</v>
      </c>
    </row>
    <row r="4563">
      <c r="A4563" t="inlineStr">
        <is>
          <t>2024-2025</t>
        </is>
      </c>
      <c r="B4563" t="inlineStr">
        <is>
          <t>2024-10-09</t>
        </is>
      </c>
      <c r="C4563" t="inlineStr">
        <is>
          <t>20:40</t>
        </is>
      </c>
      <c r="D4563" t="inlineStr">
        <is>
          <t>n° 25 + n° 26</t>
        </is>
      </c>
      <c r="E4563" t="inlineStr">
        <is>
          <t>Pommes grenailles</t>
        </is>
      </c>
      <c r="F4563" t="n">
        <v>3.9</v>
      </c>
      <c r="G4563" t="inlineStr">
        <is>
          <t>n° 25 : 0,50 + n° 26 : 0,50</t>
        </is>
      </c>
      <c r="H4563" t="n">
        <v>1</v>
      </c>
    </row>
    <row r="4564">
      <c r="A4564" t="inlineStr">
        <is>
          <t>2024-2025</t>
        </is>
      </c>
      <c r="B4564" t="inlineStr">
        <is>
          <t>2024-10-09</t>
        </is>
      </c>
      <c r="C4564" t="inlineStr">
        <is>
          <t>20:40</t>
        </is>
      </c>
      <c r="D4564" t="inlineStr">
        <is>
          <t>n° 25 + n° 26</t>
        </is>
      </c>
      <c r="E4564" t="inlineStr">
        <is>
          <t>GLACE 1 BOULE</t>
        </is>
      </c>
      <c r="F4564" t="n">
        <v>3.5</v>
      </c>
      <c r="G4564" t="inlineStr">
        <is>
          <t>n° 25 : 0,50 + n° 26 : 0,50</t>
        </is>
      </c>
      <c r="H4564" t="n">
        <v>1</v>
      </c>
    </row>
    <row r="4565">
      <c r="A4565" t="inlineStr">
        <is>
          <t>2024-2025</t>
        </is>
      </c>
      <c r="B4565" t="inlineStr">
        <is>
          <t>2024-10-11</t>
        </is>
      </c>
      <c r="C4565" t="inlineStr">
        <is>
          <t>11:48</t>
        </is>
      </c>
      <c r="D4565" t="inlineStr">
        <is>
          <t>n° 2 + n° 3</t>
        </is>
      </c>
      <c r="E4565" t="inlineStr">
        <is>
          <t>Poulet aux Morilles</t>
        </is>
      </c>
      <c r="F4565" t="n">
        <v>28.6</v>
      </c>
      <c r="G4565" t="inlineStr">
        <is>
          <t>n° 2 : 0,50 + n° 3 : 0,50</t>
        </is>
      </c>
      <c r="H4565" t="n">
        <v>1</v>
      </c>
    </row>
    <row r="4566">
      <c r="A4566" t="inlineStr">
        <is>
          <t>2024-2025</t>
        </is>
      </c>
      <c r="B4566" t="inlineStr">
        <is>
          <t>2024-10-11</t>
        </is>
      </c>
      <c r="C4566" t="inlineStr">
        <is>
          <t>11:48</t>
        </is>
      </c>
      <c r="D4566" t="inlineStr">
        <is>
          <t>n° 2 + n° 3</t>
        </is>
      </c>
      <c r="E4566" t="inlineStr">
        <is>
          <t>Crémeux du Jura</t>
        </is>
      </c>
      <c r="F4566" t="n">
        <v>19</v>
      </c>
      <c r="G4566" t="inlineStr">
        <is>
          <t>n° 2 : 1,50 + n° 3 : 1,50</t>
        </is>
      </c>
      <c r="H4566" t="n">
        <v>3</v>
      </c>
    </row>
    <row r="4567">
      <c r="A4567" t="inlineStr">
        <is>
          <t>2024-2025</t>
        </is>
      </c>
      <c r="B4567" t="inlineStr">
        <is>
          <t>2024-10-11</t>
        </is>
      </c>
      <c r="C4567" t="inlineStr">
        <is>
          <t>11:48</t>
        </is>
      </c>
      <c r="D4567" t="inlineStr">
        <is>
          <t>n° 2 + n° 3</t>
        </is>
      </c>
      <c r="E4567" t="inlineStr">
        <is>
          <t>Savagnin verre</t>
        </is>
      </c>
      <c r="F4567" t="n">
        <v>8.300000000000001</v>
      </c>
      <c r="G4567" t="inlineStr">
        <is>
          <t>n° 2 : 0,50 + n° 3 : 0,50</t>
        </is>
      </c>
      <c r="H4567" t="n">
        <v>1</v>
      </c>
    </row>
    <row r="4568">
      <c r="A4568" t="inlineStr">
        <is>
          <t>2024-2025</t>
        </is>
      </c>
      <c r="B4568" t="inlineStr">
        <is>
          <t>2024-10-11</t>
        </is>
      </c>
      <c r="C4568" t="inlineStr">
        <is>
          <t>11:48</t>
        </is>
      </c>
      <c r="D4568" t="inlineStr">
        <is>
          <t>n° 2 + n° 3</t>
        </is>
      </c>
      <c r="E4568" t="inlineStr">
        <is>
          <t>Chat perché</t>
        </is>
      </c>
      <c r="F4568" t="n">
        <v>5.9</v>
      </c>
      <c r="G4568" t="inlineStr">
        <is>
          <t>n° 2 : 0,50 + n° 3 : 0,50</t>
        </is>
      </c>
      <c r="H4568" t="n">
        <v>1</v>
      </c>
    </row>
    <row r="4569">
      <c r="A4569" t="inlineStr">
        <is>
          <t>2024-2025</t>
        </is>
      </c>
      <c r="B4569" t="inlineStr">
        <is>
          <t>2024-10-11</t>
        </is>
      </c>
      <c r="C4569" t="inlineStr">
        <is>
          <t>11:48</t>
        </is>
      </c>
      <c r="D4569" t="inlineStr">
        <is>
          <t>n° 2 + n° 3</t>
        </is>
      </c>
      <c r="E4569" t="inlineStr">
        <is>
          <t>Pastis</t>
        </is>
      </c>
      <c r="F4569" t="n">
        <v>4.2</v>
      </c>
      <c r="G4569" t="inlineStr">
        <is>
          <t>n° 2 : 0,50 + n° 3 : 0,50</t>
        </is>
      </c>
      <c r="H4569" t="n">
        <v>1</v>
      </c>
    </row>
    <row r="4570">
      <c r="A4570" t="inlineStr">
        <is>
          <t>2024-2025</t>
        </is>
      </c>
      <c r="B4570" t="inlineStr">
        <is>
          <t>2024-10-11</t>
        </is>
      </c>
      <c r="C4570" t="inlineStr">
        <is>
          <t>11:48</t>
        </is>
      </c>
      <c r="D4570" t="inlineStr">
        <is>
          <t>n° 2 + n° 3</t>
        </is>
      </c>
      <c r="E4570" t="inlineStr">
        <is>
          <t>pression</t>
        </is>
      </c>
      <c r="F4570" t="n">
        <v>4.2</v>
      </c>
      <c r="G4570" t="inlineStr">
        <is>
          <t>n° 2 : 0,50 + n° 3 : 0,50</t>
        </is>
      </c>
      <c r="H4570" t="n">
        <v>1</v>
      </c>
    </row>
    <row r="4571">
      <c r="A4571" t="inlineStr">
        <is>
          <t>2024-2025</t>
        </is>
      </c>
      <c r="B4571" t="inlineStr">
        <is>
          <t>2024-10-11</t>
        </is>
      </c>
      <c r="C4571" t="inlineStr">
        <is>
          <t>11:48</t>
        </is>
      </c>
      <c r="D4571" t="inlineStr">
        <is>
          <t>n° 2 + n° 3</t>
        </is>
      </c>
      <c r="E4571" t="inlineStr">
        <is>
          <t>Thé</t>
        </is>
      </c>
      <c r="F4571" t="n">
        <v>3.4</v>
      </c>
      <c r="G4571" t="inlineStr">
        <is>
          <t>n° 2 : 0,50 + n° 3 : 0,50</t>
        </is>
      </c>
      <c r="H4571" t="n">
        <v>1</v>
      </c>
    </row>
    <row r="4572">
      <c r="A4572" t="inlineStr">
        <is>
          <t>2024-2025</t>
        </is>
      </c>
      <c r="B4572" t="inlineStr">
        <is>
          <t>2024-10-11</t>
        </is>
      </c>
      <c r="C4572" t="inlineStr">
        <is>
          <t>11:48</t>
        </is>
      </c>
      <c r="D4572" t="inlineStr">
        <is>
          <t>n° 2 + n° 3</t>
        </is>
      </c>
      <c r="E4572" t="inlineStr">
        <is>
          <t>Expresso</t>
        </is>
      </c>
      <c r="F4572" t="n">
        <v>2.2</v>
      </c>
      <c r="G4572" t="inlineStr">
        <is>
          <t>n° 2 : 1,50 + n° 3 : 1,50</t>
        </is>
      </c>
      <c r="H4572" t="n">
        <v>3</v>
      </c>
    </row>
    <row r="4573">
      <c r="A4573" t="inlineStr">
        <is>
          <t>2024-2025</t>
        </is>
      </c>
      <c r="B4573" t="inlineStr">
        <is>
          <t>2024-10-12</t>
        </is>
      </c>
      <c r="C4573" t="inlineStr">
        <is>
          <t>11:56</t>
        </is>
      </c>
      <c r="D4573" t="inlineStr">
        <is>
          <t>n° 1 + n° 2</t>
        </is>
      </c>
      <c r="E4573" t="inlineStr">
        <is>
          <t>Poulet aux Morilles</t>
        </is>
      </c>
      <c r="F4573" t="n">
        <v>28.6</v>
      </c>
      <c r="G4573" t="inlineStr">
        <is>
          <t>n° 1 : 0,50 + n° 2 : 0,50</t>
        </is>
      </c>
      <c r="H4573" t="n">
        <v>1</v>
      </c>
    </row>
    <row r="4574">
      <c r="A4574" t="inlineStr">
        <is>
          <t>2024-2025</t>
        </is>
      </c>
      <c r="B4574" t="inlineStr">
        <is>
          <t>2024-10-12</t>
        </is>
      </c>
      <c r="C4574" t="inlineStr">
        <is>
          <t>11:56</t>
        </is>
      </c>
      <c r="D4574" t="inlineStr">
        <is>
          <t>n° 1 + n° 2</t>
        </is>
      </c>
      <c r="E4574" t="inlineStr">
        <is>
          <t>Crémeux du Jura</t>
        </is>
      </c>
      <c r="F4574" t="n">
        <v>19</v>
      </c>
      <c r="G4574" t="inlineStr">
        <is>
          <t>n° 1 : 0,50 + n° 2 : 0,50</t>
        </is>
      </c>
      <c r="H4574" t="n">
        <v>1</v>
      </c>
    </row>
    <row r="4575">
      <c r="A4575" t="inlineStr">
        <is>
          <t>2024-2025</t>
        </is>
      </c>
      <c r="B4575" t="inlineStr">
        <is>
          <t>2024-10-12</t>
        </is>
      </c>
      <c r="C4575" t="inlineStr">
        <is>
          <t>11:56</t>
        </is>
      </c>
      <c r="D4575" t="inlineStr">
        <is>
          <t>n° 1 + n° 2</t>
        </is>
      </c>
      <c r="E4575" t="inlineStr">
        <is>
          <t>Mambo</t>
        </is>
      </c>
      <c r="F4575" t="n">
        <v>6.5</v>
      </c>
      <c r="G4575" t="inlineStr">
        <is>
          <t>n° 1 : 0,50 + n° 2 : 0,50</t>
        </is>
      </c>
      <c r="H4575" t="n">
        <v>1</v>
      </c>
    </row>
    <row r="4576">
      <c r="A4576" t="inlineStr">
        <is>
          <t>2024-2025</t>
        </is>
      </c>
      <c r="B4576" t="inlineStr">
        <is>
          <t>2024-10-12</t>
        </is>
      </c>
      <c r="C4576" t="inlineStr">
        <is>
          <t>11:56</t>
        </is>
      </c>
      <c r="D4576" t="inlineStr">
        <is>
          <t>n° 1 + n° 2</t>
        </is>
      </c>
      <c r="E4576" t="inlineStr">
        <is>
          <t>Fuze Tea</t>
        </is>
      </c>
      <c r="F4576" t="n">
        <v>3.9</v>
      </c>
      <c r="G4576" t="inlineStr">
        <is>
          <t>n° 1 : 0,50 + n° 2 : 0,50</t>
        </is>
      </c>
      <c r="H4576" t="n">
        <v>1</v>
      </c>
    </row>
    <row r="4577">
      <c r="A4577" t="inlineStr">
        <is>
          <t>2024-2025</t>
        </is>
      </c>
      <c r="B4577" t="inlineStr">
        <is>
          <t>2024-10-12</t>
        </is>
      </c>
      <c r="C4577" t="inlineStr">
        <is>
          <t>12:20</t>
        </is>
      </c>
      <c r="D4577" t="inlineStr">
        <is>
          <t>n° 3 + n° 4</t>
        </is>
      </c>
      <c r="E4577" t="inlineStr">
        <is>
          <t>Pavlova</t>
        </is>
      </c>
      <c r="F4577" t="n">
        <v>8.9</v>
      </c>
      <c r="G4577" t="inlineStr">
        <is>
          <t>n° 3 : 0,50 + n° 4 : 0,50</t>
        </is>
      </c>
      <c r="H4577" t="n">
        <v>1</v>
      </c>
    </row>
    <row r="4578">
      <c r="A4578" t="inlineStr">
        <is>
          <t>2024-2025</t>
        </is>
      </c>
      <c r="B4578" t="inlineStr">
        <is>
          <t>2024-10-12</t>
        </is>
      </c>
      <c r="C4578" t="inlineStr">
        <is>
          <t>12:20</t>
        </is>
      </c>
      <c r="D4578" t="inlineStr">
        <is>
          <t>n° 3 + n° 4</t>
        </is>
      </c>
      <c r="E4578" t="inlineStr">
        <is>
          <t>CREME BRULEE</t>
        </is>
      </c>
      <c r="F4578" t="n">
        <v>7.9</v>
      </c>
      <c r="G4578" t="inlineStr">
        <is>
          <t>n° 3 : 0,50 + n° 4 : 0,50</t>
        </is>
      </c>
      <c r="H4578" t="n">
        <v>1</v>
      </c>
    </row>
    <row r="4579">
      <c r="A4579" t="inlineStr">
        <is>
          <t>2024-2025</t>
        </is>
      </c>
      <c r="B4579" t="inlineStr">
        <is>
          <t>2024-10-12</t>
        </is>
      </c>
      <c r="C4579" t="inlineStr">
        <is>
          <t>12:55</t>
        </is>
      </c>
      <c r="D4579" t="inlineStr">
        <is>
          <t>n° 10 + n° 11</t>
        </is>
      </c>
      <c r="E4579" t="inlineStr">
        <is>
          <t>pichet Saint Joseph</t>
        </is>
      </c>
      <c r="F4579" t="n">
        <v>32.2</v>
      </c>
      <c r="G4579" t="inlineStr">
        <is>
          <t>n° 10 : 0,50 + n° 11 : 0,50</t>
        </is>
      </c>
      <c r="H4579" t="n">
        <v>1</v>
      </c>
    </row>
    <row r="4580">
      <c r="A4580" t="inlineStr">
        <is>
          <t>2024-2025</t>
        </is>
      </c>
      <c r="B4580" t="inlineStr">
        <is>
          <t>2024-10-12</t>
        </is>
      </c>
      <c r="C4580" t="inlineStr">
        <is>
          <t>12:55</t>
        </is>
      </c>
      <c r="D4580" t="inlineStr">
        <is>
          <t>n° 10 + n° 11</t>
        </is>
      </c>
      <c r="E4580" t="inlineStr">
        <is>
          <t>PICHET SAINT VERAN</t>
        </is>
      </c>
      <c r="F4580" t="n">
        <v>30</v>
      </c>
      <c r="G4580" t="inlineStr">
        <is>
          <t>n° 10 : 0,50 + n° 11 : 0,50</t>
        </is>
      </c>
      <c r="H4580" t="n">
        <v>1</v>
      </c>
    </row>
    <row r="4581">
      <c r="A4581" t="inlineStr">
        <is>
          <t>2024-2025</t>
        </is>
      </c>
      <c r="B4581" t="inlineStr">
        <is>
          <t>2024-10-12</t>
        </is>
      </c>
      <c r="C4581" t="inlineStr">
        <is>
          <t>12:55</t>
        </is>
      </c>
      <c r="D4581" t="inlineStr">
        <is>
          <t>n° 10 + n° 11</t>
        </is>
      </c>
      <c r="E4581" t="inlineStr">
        <is>
          <t>Poulet aux Morilles</t>
        </is>
      </c>
      <c r="F4581" t="n">
        <v>28.6</v>
      </c>
      <c r="G4581" t="inlineStr">
        <is>
          <t>n° 10 : 0,50 + n° 11 : 0,50</t>
        </is>
      </c>
      <c r="H4581" t="n">
        <v>1</v>
      </c>
    </row>
    <row r="4582">
      <c r="A4582" t="inlineStr">
        <is>
          <t>2024-2025</t>
        </is>
      </c>
      <c r="B4582" t="inlineStr">
        <is>
          <t>2024-10-12</t>
        </is>
      </c>
      <c r="C4582" t="inlineStr">
        <is>
          <t>12:55</t>
        </is>
      </c>
      <c r="D4582" t="inlineStr">
        <is>
          <t>n° 10 + n° 11</t>
        </is>
      </c>
      <c r="E4582" t="inlineStr">
        <is>
          <t>BURGER COMTOIS</t>
        </is>
      </c>
      <c r="F4582" t="n">
        <v>19</v>
      </c>
      <c r="G4582" t="inlineStr">
        <is>
          <t>n° 10 : 0,50 + n° 11 : 0,50</t>
        </is>
      </c>
      <c r="H4582" t="n">
        <v>1</v>
      </c>
    </row>
    <row r="4583">
      <c r="A4583" t="inlineStr">
        <is>
          <t>2024-2025</t>
        </is>
      </c>
      <c r="B4583" t="inlineStr">
        <is>
          <t>2024-10-12</t>
        </is>
      </c>
      <c r="C4583" t="inlineStr">
        <is>
          <t>12:55</t>
        </is>
      </c>
      <c r="D4583" t="inlineStr">
        <is>
          <t>n° 10 + n° 11</t>
        </is>
      </c>
      <c r="E4583" t="inlineStr">
        <is>
          <t>Crêpe Nutella</t>
        </is>
      </c>
      <c r="F4583" t="n">
        <v>4.9</v>
      </c>
      <c r="G4583" t="inlineStr">
        <is>
          <t>n° 10 : 0,50 + n° 11 : 0,50</t>
        </is>
      </c>
      <c r="H4583" t="n">
        <v>1</v>
      </c>
    </row>
    <row r="4584">
      <c r="A4584" t="inlineStr">
        <is>
          <t>2024-2025</t>
        </is>
      </c>
      <c r="B4584" t="inlineStr">
        <is>
          <t>2024-10-12</t>
        </is>
      </c>
      <c r="C4584" t="inlineStr">
        <is>
          <t>12:55</t>
        </is>
      </c>
      <c r="D4584" t="inlineStr">
        <is>
          <t>n° 10 + n° 11</t>
        </is>
      </c>
      <c r="E4584" t="inlineStr">
        <is>
          <t>Picon bière</t>
        </is>
      </c>
      <c r="F4584" t="n">
        <v>4.8</v>
      </c>
      <c r="G4584" t="inlineStr">
        <is>
          <t>n° 10 : 0,50 + n° 11 : 0,50</t>
        </is>
      </c>
      <c r="H4584" t="n">
        <v>1</v>
      </c>
    </row>
    <row r="4585">
      <c r="A4585" t="inlineStr">
        <is>
          <t>2024-2025</t>
        </is>
      </c>
      <c r="B4585" t="inlineStr">
        <is>
          <t>2024-10-12</t>
        </is>
      </c>
      <c r="C4585" t="inlineStr">
        <is>
          <t>12:55</t>
        </is>
      </c>
      <c r="D4585" t="inlineStr">
        <is>
          <t>n° 10 + n° 11</t>
        </is>
      </c>
      <c r="E4585" t="inlineStr">
        <is>
          <t>Coca (25cl)</t>
        </is>
      </c>
      <c r="F4585" t="n">
        <v>3.9</v>
      </c>
      <c r="G4585" t="inlineStr">
        <is>
          <t>n° 10 : 0,50 + n° 11 : 0,50</t>
        </is>
      </c>
      <c r="H4585" t="n">
        <v>1</v>
      </c>
    </row>
    <row r="4586">
      <c r="A4586" t="inlineStr">
        <is>
          <t>2024-2025</t>
        </is>
      </c>
      <c r="B4586" t="inlineStr">
        <is>
          <t>2024-10-12</t>
        </is>
      </c>
      <c r="C4586" t="inlineStr">
        <is>
          <t>20:24</t>
        </is>
      </c>
      <c r="D4586" t="inlineStr">
        <is>
          <t>n° 23 + n° 24</t>
        </is>
      </c>
      <c r="E4586" t="inlineStr">
        <is>
          <t>POULET JURASSIENNE</t>
        </is>
      </c>
      <c r="F4586" t="n">
        <v>18.6</v>
      </c>
      <c r="G4586" t="inlineStr">
        <is>
          <t>n° 23 : 0,50 + n° 24 : 0,50</t>
        </is>
      </c>
      <c r="H4586" t="n">
        <v>1</v>
      </c>
    </row>
    <row r="4587">
      <c r="A4587" t="inlineStr">
        <is>
          <t>2024-2025</t>
        </is>
      </c>
      <c r="B4587" t="inlineStr">
        <is>
          <t>2024-10-12</t>
        </is>
      </c>
      <c r="C4587" t="inlineStr">
        <is>
          <t>20:24</t>
        </is>
      </c>
      <c r="D4587" t="inlineStr">
        <is>
          <t>n° 23 + n° 24</t>
        </is>
      </c>
      <c r="E4587" t="inlineStr">
        <is>
          <t>BARBEULENET</t>
        </is>
      </c>
      <c r="F4587" t="n">
        <v>17.4</v>
      </c>
      <c r="G4587" t="inlineStr">
        <is>
          <t>n° 23 : 0,50 + n° 24 : 0,50</t>
        </is>
      </c>
      <c r="H4587" t="n">
        <v>1</v>
      </c>
    </row>
    <row r="4588">
      <c r="A4588" t="inlineStr">
        <is>
          <t>2024-2025</t>
        </is>
      </c>
      <c r="B4588" t="inlineStr">
        <is>
          <t>2024-10-12</t>
        </is>
      </c>
      <c r="C4588" t="inlineStr">
        <is>
          <t>20:24</t>
        </is>
      </c>
      <c r="D4588" t="inlineStr">
        <is>
          <t>n° 23 + n° 24</t>
        </is>
      </c>
      <c r="E4588" t="inlineStr">
        <is>
          <t>CABRICHOU</t>
        </is>
      </c>
      <c r="F4588" t="n">
        <v>16.9</v>
      </c>
      <c r="G4588" t="inlineStr">
        <is>
          <t>n° 23 : 0,50 + n° 24 : 0,50</t>
        </is>
      </c>
      <c r="H4588" t="n">
        <v>1</v>
      </c>
    </row>
    <row r="4589">
      <c r="A4589" t="inlineStr">
        <is>
          <t>2024-2025</t>
        </is>
      </c>
      <c r="B4589" t="inlineStr">
        <is>
          <t>2024-10-12</t>
        </is>
      </c>
      <c r="C4589" t="inlineStr">
        <is>
          <t>20:24</t>
        </is>
      </c>
      <c r="D4589" t="inlineStr">
        <is>
          <t>n° 23 + n° 24</t>
        </is>
      </c>
      <c r="E4589" t="inlineStr">
        <is>
          <t>Escargots de Bourgog</t>
        </is>
      </c>
      <c r="F4589" t="n">
        <v>16</v>
      </c>
      <c r="G4589" t="inlineStr">
        <is>
          <t>n° 23 : 0,50 + n° 24 : 0,50</t>
        </is>
      </c>
      <c r="H4589" t="n">
        <v>1</v>
      </c>
    </row>
    <row r="4590">
      <c r="A4590" t="inlineStr">
        <is>
          <t>2024-2025</t>
        </is>
      </c>
      <c r="B4590" t="inlineStr">
        <is>
          <t>2024-10-12</t>
        </is>
      </c>
      <c r="C4590" t="inlineStr">
        <is>
          <t>20:24</t>
        </is>
      </c>
      <c r="D4590" t="inlineStr">
        <is>
          <t>n° 23 + n° 24</t>
        </is>
      </c>
      <c r="E4590" t="inlineStr">
        <is>
          <t>Sol</t>
        </is>
      </c>
      <c r="F4590" t="n">
        <v>9</v>
      </c>
      <c r="G4590" t="inlineStr">
        <is>
          <t>n° 23 : 0,50 + n° 24 : 0,50</t>
        </is>
      </c>
      <c r="H4590" t="n">
        <v>1</v>
      </c>
    </row>
    <row r="4591">
      <c r="A4591" t="inlineStr">
        <is>
          <t>2024-2025</t>
        </is>
      </c>
      <c r="B4591" t="inlineStr">
        <is>
          <t>2024-10-12</t>
        </is>
      </c>
      <c r="C4591" t="inlineStr">
        <is>
          <t>20:24</t>
        </is>
      </c>
      <c r="D4591" t="inlineStr">
        <is>
          <t>n° 23 + n° 24</t>
        </is>
      </c>
      <c r="E4591" t="inlineStr">
        <is>
          <t>Get 27 (4cl)</t>
        </is>
      </c>
      <c r="F4591" t="n">
        <v>6.5</v>
      </c>
      <c r="G4591" t="inlineStr">
        <is>
          <t>n° 23 : 0,50 + n° 24 : 0,50</t>
        </is>
      </c>
      <c r="H4591" t="n">
        <v>1</v>
      </c>
    </row>
    <row r="4592">
      <c r="A4592" t="inlineStr">
        <is>
          <t>2024-2025</t>
        </is>
      </c>
      <c r="B4592" t="inlineStr">
        <is>
          <t>2024-10-12</t>
        </is>
      </c>
      <c r="C4592" t="inlineStr">
        <is>
          <t>20:24</t>
        </is>
      </c>
      <c r="D4592" t="inlineStr">
        <is>
          <t>n° 23 + n° 24</t>
        </is>
      </c>
      <c r="E4592" t="inlineStr">
        <is>
          <t>Coca (25cl)</t>
        </is>
      </c>
      <c r="F4592" t="n">
        <v>3.9</v>
      </c>
      <c r="G4592" t="inlineStr">
        <is>
          <t>n° 23 : 0,50 + n° 24 : 0,50</t>
        </is>
      </c>
      <c r="H4592" t="n">
        <v>1</v>
      </c>
    </row>
    <row r="4593">
      <c r="A4593" t="inlineStr">
        <is>
          <t>2024-2025</t>
        </is>
      </c>
      <c r="B4593" t="inlineStr">
        <is>
          <t>2024-10-12</t>
        </is>
      </c>
      <c r="C4593" t="inlineStr">
        <is>
          <t>20:24</t>
        </is>
      </c>
      <c r="D4593" t="inlineStr">
        <is>
          <t>n° 23 + n° 24</t>
        </is>
      </c>
      <c r="E4593" t="inlineStr">
        <is>
          <t>Expresso</t>
        </is>
      </c>
      <c r="F4593" t="n">
        <v>2.2</v>
      </c>
      <c r="G4593" t="inlineStr">
        <is>
          <t>n° 23 : 0,50 + n° 24 : 0,50</t>
        </is>
      </c>
      <c r="H4593" t="n">
        <v>1</v>
      </c>
    </row>
    <row r="4594">
      <c r="A4594" t="inlineStr">
        <is>
          <t>2024-2025</t>
        </is>
      </c>
      <c r="B4594" t="inlineStr">
        <is>
          <t>2024-10-13</t>
        </is>
      </c>
      <c r="C4594" t="inlineStr">
        <is>
          <t>12:05</t>
        </is>
      </c>
      <c r="D4594" t="inlineStr">
        <is>
          <t>n° 1 + n° 2</t>
        </is>
      </c>
      <c r="E4594" t="inlineStr">
        <is>
          <t>PICHET ALIGOTE 50cL</t>
        </is>
      </c>
      <c r="F4594" t="n">
        <v>10.5</v>
      </c>
      <c r="G4594" t="inlineStr">
        <is>
          <t>n° 1 : 0,50 + n° 2 : 0,50</t>
        </is>
      </c>
      <c r="H4594" t="n">
        <v>1</v>
      </c>
    </row>
    <row r="4595">
      <c r="A4595" t="inlineStr">
        <is>
          <t>2024-2025</t>
        </is>
      </c>
      <c r="B4595" t="inlineStr">
        <is>
          <t>2024-10-13</t>
        </is>
      </c>
      <c r="C4595" t="inlineStr">
        <is>
          <t>12:05</t>
        </is>
      </c>
      <c r="D4595" t="inlineStr">
        <is>
          <t>n° 1 + n° 2</t>
        </is>
      </c>
      <c r="E4595" t="inlineStr">
        <is>
          <t>Salade Verte</t>
        </is>
      </c>
      <c r="F4595" t="n">
        <v>5.9</v>
      </c>
      <c r="G4595" t="inlineStr">
        <is>
          <t>n° 1 : 0,50 + n° 2 : 0,50</t>
        </is>
      </c>
      <c r="H4595" t="n">
        <v>1</v>
      </c>
    </row>
    <row r="4596">
      <c r="A4596" t="inlineStr">
        <is>
          <t>2024-2025</t>
        </is>
      </c>
      <c r="B4596" t="inlineStr">
        <is>
          <t>2024-10-13</t>
        </is>
      </c>
      <c r="C4596" t="inlineStr">
        <is>
          <t>13:21</t>
        </is>
      </c>
      <c r="D4596" t="inlineStr">
        <is>
          <t>n° 13 + n° 14</t>
        </is>
      </c>
      <c r="E4596" t="inlineStr">
        <is>
          <t>Menu Franc-Comtois</t>
        </is>
      </c>
      <c r="F4596" t="n">
        <v>34</v>
      </c>
      <c r="G4596" t="inlineStr">
        <is>
          <t>n° 13 : 0,50 + n° 14 : 0,50</t>
        </is>
      </c>
      <c r="H4596" t="n">
        <v>1</v>
      </c>
    </row>
    <row r="4597">
      <c r="A4597" t="inlineStr">
        <is>
          <t>2024-2025</t>
        </is>
      </c>
      <c r="B4597" t="inlineStr">
        <is>
          <t>2024-10-13</t>
        </is>
      </c>
      <c r="C4597" t="inlineStr">
        <is>
          <t>13:21</t>
        </is>
      </c>
      <c r="D4597" t="inlineStr">
        <is>
          <t>n° 13 + n° 14</t>
        </is>
      </c>
      <c r="E4597" t="inlineStr">
        <is>
          <t>Menu du Dahu</t>
        </is>
      </c>
      <c r="F4597" t="n">
        <v>29.9</v>
      </c>
      <c r="G4597" t="inlineStr">
        <is>
          <t>n° 13 : 0,50 + n° 14 : 0,50</t>
        </is>
      </c>
      <c r="H4597" t="n">
        <v>1</v>
      </c>
    </row>
    <row r="4598">
      <c r="A4598" t="inlineStr">
        <is>
          <t>2024-2025</t>
        </is>
      </c>
      <c r="B4598" t="inlineStr">
        <is>
          <t>2024-10-13</t>
        </is>
      </c>
      <c r="C4598" t="inlineStr">
        <is>
          <t>13:21</t>
        </is>
      </c>
      <c r="D4598" t="inlineStr">
        <is>
          <t>n° 13 + n° 14</t>
        </is>
      </c>
      <c r="E4598" t="inlineStr">
        <is>
          <t>PiCHET TROUSSEAU</t>
        </is>
      </c>
      <c r="F4598" t="n">
        <v>28</v>
      </c>
      <c r="G4598" t="inlineStr">
        <is>
          <t>n° 13 : 0,50 + n° 14 : 0,50</t>
        </is>
      </c>
      <c r="H4598" t="n">
        <v>1</v>
      </c>
    </row>
    <row r="4599">
      <c r="A4599" t="inlineStr">
        <is>
          <t>2024-2025</t>
        </is>
      </c>
      <c r="B4599" t="inlineStr">
        <is>
          <t>2024-10-13</t>
        </is>
      </c>
      <c r="C4599" t="inlineStr">
        <is>
          <t>13:21</t>
        </is>
      </c>
      <c r="D4599" t="inlineStr">
        <is>
          <t>n° 13 + n° 14</t>
        </is>
      </c>
      <c r="E4599" t="inlineStr">
        <is>
          <t>Menu 'Galette'</t>
        </is>
      </c>
      <c r="F4599" t="n">
        <v>19.5</v>
      </c>
      <c r="G4599" t="inlineStr">
        <is>
          <t>n° 13 : 0,50 + n° 14 : 0,50</t>
        </is>
      </c>
      <c r="H4599" t="n">
        <v>1</v>
      </c>
    </row>
    <row r="4600">
      <c r="A4600" t="inlineStr">
        <is>
          <t>2024-2025</t>
        </is>
      </c>
      <c r="B4600" t="inlineStr">
        <is>
          <t>2024-10-13</t>
        </is>
      </c>
      <c r="C4600" t="inlineStr">
        <is>
          <t>13:21</t>
        </is>
      </c>
      <c r="D4600" t="inlineStr">
        <is>
          <t>n° 13 + n° 14</t>
        </is>
      </c>
      <c r="E4600" t="inlineStr">
        <is>
          <t>CREME BRULEE</t>
        </is>
      </c>
      <c r="F4600" t="n">
        <v>7.9</v>
      </c>
      <c r="G4600" t="inlineStr">
        <is>
          <t>n° 13 : 0,50 + n° 14 : 0,50</t>
        </is>
      </c>
      <c r="H4600" t="n">
        <v>1</v>
      </c>
    </row>
    <row r="4601">
      <c r="A4601" t="inlineStr">
        <is>
          <t>2024-2025</t>
        </is>
      </c>
      <c r="B4601" t="inlineStr">
        <is>
          <t>2024-10-13</t>
        </is>
      </c>
      <c r="C4601" t="inlineStr">
        <is>
          <t>13:21</t>
        </is>
      </c>
      <c r="D4601" t="inlineStr">
        <is>
          <t>n° 13 + n° 14</t>
        </is>
      </c>
      <c r="E4601" t="inlineStr">
        <is>
          <t>Mambo</t>
        </is>
      </c>
      <c r="F4601" t="n">
        <v>6.5</v>
      </c>
      <c r="G4601" t="inlineStr">
        <is>
          <t>n° 13 : 0,50 + n° 14 : 0,50</t>
        </is>
      </c>
      <c r="H4601" t="n">
        <v>1</v>
      </c>
    </row>
    <row r="4602">
      <c r="A4602" t="inlineStr">
        <is>
          <t>2024-2025</t>
        </is>
      </c>
      <c r="B4602" t="inlineStr">
        <is>
          <t>2024-10-13</t>
        </is>
      </c>
      <c r="C4602" t="inlineStr">
        <is>
          <t>13:21</t>
        </is>
      </c>
      <c r="D4602" t="inlineStr">
        <is>
          <t>n° 13 + n° 14</t>
        </is>
      </c>
      <c r="E4602" t="inlineStr">
        <is>
          <t>Luna</t>
        </is>
      </c>
      <c r="F4602" t="n">
        <v>6</v>
      </c>
      <c r="G4602" t="inlineStr">
        <is>
          <t>n° 13 : 0,50 + n° 14 : 0,50</t>
        </is>
      </c>
      <c r="H4602" t="n">
        <v>1</v>
      </c>
    </row>
    <row r="4603">
      <c r="A4603" t="inlineStr">
        <is>
          <t>2024-2025</t>
        </is>
      </c>
      <c r="B4603" t="inlineStr">
        <is>
          <t>2024-10-13</t>
        </is>
      </c>
      <c r="C4603" t="inlineStr">
        <is>
          <t>13:21</t>
        </is>
      </c>
      <c r="D4603" t="inlineStr">
        <is>
          <t>n° 13 + n° 14</t>
        </is>
      </c>
      <c r="E4603" t="inlineStr">
        <is>
          <t>Crémant</t>
        </is>
      </c>
      <c r="F4603" t="n">
        <v>5</v>
      </c>
      <c r="G4603" t="inlineStr">
        <is>
          <t>n° 13 : 0,50 + n° 14 : 0,50</t>
        </is>
      </c>
      <c r="H4603" t="n">
        <v>1</v>
      </c>
    </row>
    <row r="4604">
      <c r="A4604" t="inlineStr">
        <is>
          <t>2024-2025</t>
        </is>
      </c>
      <c r="B4604" t="inlineStr">
        <is>
          <t>2024-10-13</t>
        </is>
      </c>
      <c r="C4604" t="inlineStr">
        <is>
          <t>13:21</t>
        </is>
      </c>
      <c r="D4604" t="inlineStr">
        <is>
          <t>n° 13 + n° 14</t>
        </is>
      </c>
      <c r="E4604" t="inlineStr">
        <is>
          <t>Galette nature</t>
        </is>
      </c>
      <c r="F4604" t="n">
        <v>3.9</v>
      </c>
      <c r="G4604" t="inlineStr">
        <is>
          <t>n° 13 : 0,50 + n° 14 : 0,50</t>
        </is>
      </c>
      <c r="H4604" t="n">
        <v>1</v>
      </c>
    </row>
    <row r="4605">
      <c r="A4605" t="inlineStr">
        <is>
          <t>2024-2025</t>
        </is>
      </c>
      <c r="B4605" t="inlineStr">
        <is>
          <t>2024-10-13</t>
        </is>
      </c>
      <c r="C4605" t="inlineStr">
        <is>
          <t>13:21</t>
        </is>
      </c>
      <c r="D4605" t="inlineStr">
        <is>
          <t>n° 13 + n° 14</t>
        </is>
      </c>
      <c r="E4605" t="inlineStr">
        <is>
          <t>Cancoillotte</t>
        </is>
      </c>
      <c r="F4605" t="n">
        <v>3.9</v>
      </c>
      <c r="G4605" t="inlineStr">
        <is>
          <t>n° 13 : 0,50 + n° 14 : 0,50</t>
        </is>
      </c>
      <c r="H4605" t="n">
        <v>1</v>
      </c>
    </row>
    <row r="4606">
      <c r="A4606" t="inlineStr">
        <is>
          <t>2024-2025</t>
        </is>
      </c>
      <c r="B4606" t="inlineStr">
        <is>
          <t>2024-10-13</t>
        </is>
      </c>
      <c r="C4606" t="inlineStr">
        <is>
          <t>13:21</t>
        </is>
      </c>
      <c r="D4606" t="inlineStr">
        <is>
          <t>n° 13 + n° 14</t>
        </is>
      </c>
      <c r="E4606" t="inlineStr">
        <is>
          <t>Expresso</t>
        </is>
      </c>
      <c r="F4606" t="n">
        <v>2.2</v>
      </c>
      <c r="G4606" t="inlineStr">
        <is>
          <t>n° 13 : 1,50 + n° 14 : 1,50</t>
        </is>
      </c>
      <c r="H4606" t="n">
        <v>3</v>
      </c>
    </row>
    <row r="4607">
      <c r="A4607" t="inlineStr">
        <is>
          <t>2024-2025</t>
        </is>
      </c>
      <c r="B4607" t="inlineStr">
        <is>
          <t>2024-10-16</t>
        </is>
      </c>
      <c r="C4607" t="inlineStr">
        <is>
          <t>12:37</t>
        </is>
      </c>
      <c r="D4607" t="inlineStr">
        <is>
          <t>n° 6 + n° 7</t>
        </is>
      </c>
      <c r="E4607" t="inlineStr">
        <is>
          <t>Savagnin verre</t>
        </is>
      </c>
      <c r="F4607" t="n">
        <v>8.300000000000001</v>
      </c>
      <c r="G4607" t="inlineStr">
        <is>
          <t>n° 6 : 0,50 + n° 7 : 0,50</t>
        </is>
      </c>
      <c r="H4607" t="n">
        <v>1</v>
      </c>
    </row>
    <row r="4608">
      <c r="A4608" t="inlineStr">
        <is>
          <t>2024-2025</t>
        </is>
      </c>
      <c r="B4608" t="inlineStr">
        <is>
          <t>2024-10-16</t>
        </is>
      </c>
      <c r="C4608" t="inlineStr">
        <is>
          <t>12:37</t>
        </is>
      </c>
      <c r="D4608" t="inlineStr">
        <is>
          <t>n° 6 + n° 7</t>
        </is>
      </c>
      <c r="E4608" t="inlineStr">
        <is>
          <t>Salade Verte</t>
        </is>
      </c>
      <c r="F4608" t="n">
        <v>5.9</v>
      </c>
      <c r="G4608" t="inlineStr">
        <is>
          <t>n° 6 : 0,50 + n° 7 : 0,50</t>
        </is>
      </c>
      <c r="H4608" t="n">
        <v>1</v>
      </c>
    </row>
    <row r="4609">
      <c r="A4609" t="inlineStr">
        <is>
          <t>2024-2025</t>
        </is>
      </c>
      <c r="B4609" t="inlineStr">
        <is>
          <t>2024-10-16</t>
        </is>
      </c>
      <c r="C4609" t="inlineStr">
        <is>
          <t>12:37</t>
        </is>
      </c>
      <c r="D4609" t="inlineStr">
        <is>
          <t>n° 6 + n° 7</t>
        </is>
      </c>
      <c r="E4609" t="inlineStr">
        <is>
          <t>Jus de Fruit</t>
        </is>
      </c>
      <c r="F4609" t="n">
        <v>4.2</v>
      </c>
      <c r="G4609" t="inlineStr">
        <is>
          <t>n° 6 : 0,50 + n° 7 : 0,50</t>
        </is>
      </c>
      <c r="H4609" t="n">
        <v>1</v>
      </c>
    </row>
    <row r="4610">
      <c r="A4610" t="inlineStr">
        <is>
          <t>2024-2025</t>
        </is>
      </c>
      <c r="B4610" t="inlineStr">
        <is>
          <t>2024-10-17</t>
        </is>
      </c>
      <c r="C4610" t="inlineStr">
        <is>
          <t>20:28</t>
        </is>
      </c>
      <c r="D4610" t="inlineStr">
        <is>
          <t>n° 21 + n° 22</t>
        </is>
      </c>
      <c r="E4610" t="inlineStr">
        <is>
          <t>Beaujolais Moulin à</t>
        </is>
      </c>
      <c r="F4610" t="n">
        <v>38</v>
      </c>
      <c r="G4610" t="inlineStr">
        <is>
          <t>n° 21 : 0,50 + n° 22 : 0,50</t>
        </is>
      </c>
      <c r="H4610" t="n">
        <v>1</v>
      </c>
    </row>
    <row r="4611">
      <c r="A4611" t="inlineStr">
        <is>
          <t>2024-2025</t>
        </is>
      </c>
      <c r="B4611" t="inlineStr">
        <is>
          <t>2024-10-17</t>
        </is>
      </c>
      <c r="C4611" t="inlineStr">
        <is>
          <t>20:28</t>
        </is>
      </c>
      <c r="D4611" t="inlineStr">
        <is>
          <t>n° 21 + n° 22</t>
        </is>
      </c>
      <c r="E4611" t="inlineStr">
        <is>
          <t>Poulet aux Morilles</t>
        </is>
      </c>
      <c r="F4611" t="n">
        <v>28.6</v>
      </c>
      <c r="G4611" t="inlineStr">
        <is>
          <t>n° 21 : 0,50 + n° 22 : 0,50</t>
        </is>
      </c>
      <c r="H4611" t="n">
        <v>1</v>
      </c>
    </row>
    <row r="4612">
      <c r="A4612" t="inlineStr">
        <is>
          <t>2024-2025</t>
        </is>
      </c>
      <c r="B4612" t="inlineStr">
        <is>
          <t>2024-10-17</t>
        </is>
      </c>
      <c r="C4612" t="inlineStr">
        <is>
          <t>20:28</t>
        </is>
      </c>
      <c r="D4612" t="inlineStr">
        <is>
          <t>n° 21 + n° 22</t>
        </is>
      </c>
      <c r="E4612" t="inlineStr">
        <is>
          <t>Truite Morilles</t>
        </is>
      </c>
      <c r="F4612" t="n">
        <v>27.8</v>
      </c>
      <c r="G4612" t="inlineStr">
        <is>
          <t>n° 21 : 0,50 + n° 22 : 0,50</t>
        </is>
      </c>
      <c r="H4612" t="n">
        <v>1</v>
      </c>
    </row>
    <row r="4613">
      <c r="A4613" t="inlineStr">
        <is>
          <t>2024-2025</t>
        </is>
      </c>
      <c r="B4613" t="inlineStr">
        <is>
          <t>2024-10-17</t>
        </is>
      </c>
      <c r="C4613" t="inlineStr">
        <is>
          <t>20:28</t>
        </is>
      </c>
      <c r="D4613" t="inlineStr">
        <is>
          <t>n° 21 + n° 22</t>
        </is>
      </c>
      <c r="E4613" t="inlineStr">
        <is>
          <t>Entrecôte grillée</t>
        </is>
      </c>
      <c r="F4613" t="n">
        <v>19.9</v>
      </c>
      <c r="G4613" t="inlineStr">
        <is>
          <t>n° 21 : 0,50 + n° 22 : 0,50</t>
        </is>
      </c>
      <c r="H4613" t="n">
        <v>1</v>
      </c>
    </row>
    <row r="4614">
      <c r="A4614" t="inlineStr">
        <is>
          <t>2024-2025</t>
        </is>
      </c>
      <c r="B4614" t="inlineStr">
        <is>
          <t>2024-10-17</t>
        </is>
      </c>
      <c r="C4614" t="inlineStr">
        <is>
          <t>20:28</t>
        </is>
      </c>
      <c r="D4614" t="inlineStr">
        <is>
          <t>n° 21 + n° 22</t>
        </is>
      </c>
      <c r="E4614" t="inlineStr">
        <is>
          <t>TRUITE PESTO</t>
        </is>
      </c>
      <c r="F4614" t="n">
        <v>16.9</v>
      </c>
      <c r="G4614" t="inlineStr">
        <is>
          <t>n° 21 : 0,50 + n° 22 : 0,50</t>
        </is>
      </c>
      <c r="H4614" t="n">
        <v>1</v>
      </c>
    </row>
    <row r="4615">
      <c r="A4615" t="inlineStr">
        <is>
          <t>2024-2025</t>
        </is>
      </c>
      <c r="B4615" t="inlineStr">
        <is>
          <t>2024-10-17</t>
        </is>
      </c>
      <c r="C4615" t="inlineStr">
        <is>
          <t>20:28</t>
        </is>
      </c>
      <c r="D4615" t="inlineStr">
        <is>
          <t>n° 21 + n° 22</t>
        </is>
      </c>
      <c r="E4615" t="inlineStr">
        <is>
          <t>GLACE 2 BOULES</t>
        </is>
      </c>
      <c r="F4615" t="n">
        <v>5.5</v>
      </c>
      <c r="G4615" t="inlineStr">
        <is>
          <t>n° 21 : 1,50 + n° 22 : 1,50</t>
        </is>
      </c>
      <c r="H4615" t="n">
        <v>3</v>
      </c>
    </row>
    <row r="4616">
      <c r="A4616" t="inlineStr">
        <is>
          <t>2024-2025</t>
        </is>
      </c>
      <c r="B4616" t="inlineStr">
        <is>
          <t>2024-10-17</t>
        </is>
      </c>
      <c r="C4616" t="inlineStr">
        <is>
          <t>20:28</t>
        </is>
      </c>
      <c r="D4616" t="inlineStr">
        <is>
          <t>n° 21 + n° 22</t>
        </is>
      </c>
      <c r="E4616" t="inlineStr">
        <is>
          <t>Crémant</t>
        </is>
      </c>
      <c r="F4616" t="n">
        <v>5</v>
      </c>
      <c r="G4616" t="inlineStr">
        <is>
          <t>n° 21 : 1,50 + n° 22 : 1,50</t>
        </is>
      </c>
      <c r="H4616" t="n">
        <v>3</v>
      </c>
    </row>
    <row r="4617">
      <c r="A4617" t="inlineStr">
        <is>
          <t>2024-2025</t>
        </is>
      </c>
      <c r="B4617" t="inlineStr">
        <is>
          <t>2024-10-17</t>
        </is>
      </c>
      <c r="C4617" t="inlineStr">
        <is>
          <t>20:28</t>
        </is>
      </c>
      <c r="D4617" t="inlineStr">
        <is>
          <t>n° 21 + n° 22</t>
        </is>
      </c>
      <c r="E4617" t="inlineStr">
        <is>
          <t>GLACE 1 BOULE</t>
        </is>
      </c>
      <c r="F4617" t="n">
        <v>3.5</v>
      </c>
      <c r="G4617" t="inlineStr">
        <is>
          <t>n° 21 : 0,50 + n° 22 : 0,50</t>
        </is>
      </c>
      <c r="H4617" t="n">
        <v>1</v>
      </c>
    </row>
    <row r="4618">
      <c r="A4618" t="inlineStr">
        <is>
          <t>2024-2025</t>
        </is>
      </c>
      <c r="B4618" t="inlineStr">
        <is>
          <t>2024-10-17</t>
        </is>
      </c>
      <c r="C4618" t="inlineStr">
        <is>
          <t>20:28</t>
        </is>
      </c>
      <c r="D4618" t="inlineStr">
        <is>
          <t>n° 21 + n° 22</t>
        </is>
      </c>
      <c r="E4618" t="inlineStr">
        <is>
          <t>SAUCE CHOCO/CAFE/CAR</t>
        </is>
      </c>
      <c r="F4618" t="n">
        <v>2.4</v>
      </c>
      <c r="G4618" t="inlineStr">
        <is>
          <t>n° 21 : 0,50 + n° 22 : 0,50</t>
        </is>
      </c>
      <c r="H4618" t="n">
        <v>1</v>
      </c>
    </row>
    <row r="4619">
      <c r="A4619" t="inlineStr">
        <is>
          <t>2024-2025</t>
        </is>
      </c>
      <c r="B4619" t="inlineStr">
        <is>
          <t>2024-10-17</t>
        </is>
      </c>
      <c r="C4619" t="inlineStr">
        <is>
          <t>20:28</t>
        </is>
      </c>
      <c r="D4619" t="inlineStr">
        <is>
          <t>n° 21 + n° 22</t>
        </is>
      </c>
      <c r="E4619" t="inlineStr">
        <is>
          <t>COULIS FRAMBOISE</t>
        </is>
      </c>
      <c r="F4619" t="n">
        <v>2.4</v>
      </c>
      <c r="G4619" t="inlineStr">
        <is>
          <t>n° 21 : 0,50 + n° 22 : 0,50</t>
        </is>
      </c>
      <c r="H4619" t="n">
        <v>1</v>
      </c>
    </row>
    <row r="4620">
      <c r="A4620" t="inlineStr">
        <is>
          <t>2024-2025</t>
        </is>
      </c>
      <c r="B4620" t="inlineStr">
        <is>
          <t>2024-10-18</t>
        </is>
      </c>
      <c r="C4620" t="inlineStr">
        <is>
          <t>20:29</t>
        </is>
      </c>
      <c r="D4620" t="inlineStr">
        <is>
          <t>n° 13 + n° 14</t>
        </is>
      </c>
      <c r="E4620" t="inlineStr">
        <is>
          <t>MACON bouteille</t>
        </is>
      </c>
      <c r="F4620" t="n">
        <v>31</v>
      </c>
      <c r="G4620" t="inlineStr">
        <is>
          <t>n° 13 : 0,50 + n° 14 : 0,50</t>
        </is>
      </c>
      <c r="H4620" t="n">
        <v>1</v>
      </c>
    </row>
    <row r="4621">
      <c r="A4621" t="inlineStr">
        <is>
          <t>2024-2025</t>
        </is>
      </c>
      <c r="B4621" t="inlineStr">
        <is>
          <t>2024-10-18</t>
        </is>
      </c>
      <c r="C4621" t="inlineStr">
        <is>
          <t>20:29</t>
        </is>
      </c>
      <c r="D4621" t="inlineStr">
        <is>
          <t>n° 13 + n° 14</t>
        </is>
      </c>
      <c r="E4621" t="inlineStr">
        <is>
          <t>Entrecôte grillée</t>
        </is>
      </c>
      <c r="F4621" t="n">
        <v>19.9</v>
      </c>
      <c r="G4621" t="inlineStr">
        <is>
          <t>n° 13 : 0,50 + n° 14 : 0,50</t>
        </is>
      </c>
      <c r="H4621" t="n">
        <v>1</v>
      </c>
    </row>
    <row r="4622">
      <c r="A4622" t="inlineStr">
        <is>
          <t>2024-2025</t>
        </is>
      </c>
      <c r="B4622" t="inlineStr">
        <is>
          <t>2024-10-18</t>
        </is>
      </c>
      <c r="C4622" t="inlineStr">
        <is>
          <t>20:29</t>
        </is>
      </c>
      <c r="D4622" t="inlineStr">
        <is>
          <t>n° 13 + n° 14</t>
        </is>
      </c>
      <c r="E4622" t="inlineStr">
        <is>
          <t>Crémeux du Jura</t>
        </is>
      </c>
      <c r="F4622" t="n">
        <v>19</v>
      </c>
      <c r="G4622" t="inlineStr">
        <is>
          <t>n° 13 : 0,50 + n° 14 : 0,50</t>
        </is>
      </c>
      <c r="H4622" t="n">
        <v>1</v>
      </c>
    </row>
    <row r="4623">
      <c r="A4623" t="inlineStr">
        <is>
          <t>2024-2025</t>
        </is>
      </c>
      <c r="B4623" t="inlineStr">
        <is>
          <t>2024-10-18</t>
        </is>
      </c>
      <c r="C4623" t="inlineStr">
        <is>
          <t>20:29</t>
        </is>
      </c>
      <c r="D4623" t="inlineStr">
        <is>
          <t>n° 13 + n° 14</t>
        </is>
      </c>
      <c r="E4623" t="inlineStr">
        <is>
          <t>CAMEMBERT ROTI</t>
        </is>
      </c>
      <c r="F4623" t="n">
        <v>18.6</v>
      </c>
      <c r="G4623" t="inlineStr">
        <is>
          <t>n° 13 : 0,50 + n° 14 : 0,50</t>
        </is>
      </c>
      <c r="H4623" t="n">
        <v>1</v>
      </c>
    </row>
    <row r="4624">
      <c r="A4624" t="inlineStr">
        <is>
          <t>2024-2025</t>
        </is>
      </c>
      <c r="B4624" t="inlineStr">
        <is>
          <t>2024-10-18</t>
        </is>
      </c>
      <c r="C4624" t="inlineStr">
        <is>
          <t>20:29</t>
        </is>
      </c>
      <c r="D4624" t="inlineStr">
        <is>
          <t>n° 13 + n° 14</t>
        </is>
      </c>
      <c r="E4624" t="inlineStr">
        <is>
          <t>ASSIETTE PERE GREGOI</t>
        </is>
      </c>
      <c r="F4624" t="n">
        <v>18.6</v>
      </c>
      <c r="G4624" t="inlineStr">
        <is>
          <t>n° 13 : 0,50 + n° 14 : 0,50</t>
        </is>
      </c>
      <c r="H4624" t="n">
        <v>1</v>
      </c>
    </row>
    <row r="4625">
      <c r="A4625" t="inlineStr">
        <is>
          <t>2024-2025</t>
        </is>
      </c>
      <c r="B4625" t="inlineStr">
        <is>
          <t>2024-10-18</t>
        </is>
      </c>
      <c r="C4625" t="inlineStr">
        <is>
          <t>20:29</t>
        </is>
      </c>
      <c r="D4625" t="inlineStr">
        <is>
          <t>n° 13 + n° 14</t>
        </is>
      </c>
      <c r="E4625" t="inlineStr">
        <is>
          <t>CUPIDON</t>
        </is>
      </c>
      <c r="F4625" t="n">
        <v>9.300000000000001</v>
      </c>
      <c r="G4625" t="inlineStr">
        <is>
          <t>n° 13 : 0,50 + n° 14 : 0,50</t>
        </is>
      </c>
      <c r="H4625" t="n">
        <v>1</v>
      </c>
    </row>
    <row r="4626">
      <c r="A4626" t="inlineStr">
        <is>
          <t>2024-2025</t>
        </is>
      </c>
      <c r="B4626" t="inlineStr">
        <is>
          <t>2024-10-18</t>
        </is>
      </c>
      <c r="C4626" t="inlineStr">
        <is>
          <t>20:29</t>
        </is>
      </c>
      <c r="D4626" t="inlineStr">
        <is>
          <t>n° 13 + n° 14</t>
        </is>
      </c>
      <c r="E4626" t="inlineStr">
        <is>
          <t>BEGUIN</t>
        </is>
      </c>
      <c r="F4626" t="n">
        <v>9.1</v>
      </c>
      <c r="G4626" t="inlineStr">
        <is>
          <t>n° 13 : 0,50 + n° 14 : 0,50</t>
        </is>
      </c>
      <c r="H4626" t="n">
        <v>1</v>
      </c>
    </row>
    <row r="4627">
      <c r="A4627" t="inlineStr">
        <is>
          <t>2024-2025</t>
        </is>
      </c>
      <c r="B4627" t="inlineStr">
        <is>
          <t>2024-10-18</t>
        </is>
      </c>
      <c r="C4627" t="inlineStr">
        <is>
          <t>20:29</t>
        </is>
      </c>
      <c r="D4627" t="inlineStr">
        <is>
          <t>n° 13 + n° 14</t>
        </is>
      </c>
      <c r="E4627" t="inlineStr">
        <is>
          <t>Fa</t>
        </is>
      </c>
      <c r="F4627" t="n">
        <v>9</v>
      </c>
      <c r="G4627" t="inlineStr">
        <is>
          <t>n° 13 : 0,50 + n° 14 : 0,50</t>
        </is>
      </c>
      <c r="H4627" t="n">
        <v>1</v>
      </c>
    </row>
    <row r="4628">
      <c r="A4628" t="inlineStr">
        <is>
          <t>2024-2025</t>
        </is>
      </c>
      <c r="B4628" t="inlineStr">
        <is>
          <t>2024-10-18</t>
        </is>
      </c>
      <c r="C4628" t="inlineStr">
        <is>
          <t>20:29</t>
        </is>
      </c>
      <c r="D4628" t="inlineStr">
        <is>
          <t>n° 13 + n° 14</t>
        </is>
      </c>
      <c r="E4628" t="inlineStr">
        <is>
          <t>La</t>
        </is>
      </c>
      <c r="F4628" t="n">
        <v>9</v>
      </c>
      <c r="G4628" t="inlineStr">
        <is>
          <t>n° 13 : 0,50 + n° 14 : 0,50</t>
        </is>
      </c>
      <c r="H4628" t="n">
        <v>1</v>
      </c>
    </row>
    <row r="4629">
      <c r="A4629" t="inlineStr">
        <is>
          <t>2024-2025</t>
        </is>
      </c>
      <c r="B4629" t="inlineStr">
        <is>
          <t>2024-10-18</t>
        </is>
      </c>
      <c r="C4629" t="inlineStr">
        <is>
          <t>20:29</t>
        </is>
      </c>
      <c r="D4629" t="inlineStr">
        <is>
          <t>n° 13 + n° 14</t>
        </is>
      </c>
      <c r="E4629" t="inlineStr">
        <is>
          <t>Picon bière</t>
        </is>
      </c>
      <c r="F4629" t="n">
        <v>4.8</v>
      </c>
      <c r="G4629" t="inlineStr">
        <is>
          <t>n° 13 : 0,50 + n° 14 : 0,50</t>
        </is>
      </c>
      <c r="H4629" t="n">
        <v>1</v>
      </c>
    </row>
    <row r="4630">
      <c r="A4630" t="inlineStr">
        <is>
          <t>2024-2025</t>
        </is>
      </c>
      <c r="B4630" t="inlineStr">
        <is>
          <t>2024-10-18</t>
        </is>
      </c>
      <c r="C4630" t="inlineStr">
        <is>
          <t>20:29</t>
        </is>
      </c>
      <c r="D4630" t="inlineStr">
        <is>
          <t>n° 13 + n° 14</t>
        </is>
      </c>
      <c r="E4630" t="inlineStr">
        <is>
          <t>Panaché</t>
        </is>
      </c>
      <c r="F4630" t="n">
        <v>4.2</v>
      </c>
      <c r="G4630" t="inlineStr">
        <is>
          <t>n° 13 : 0,50 + n° 14 : 0,50</t>
        </is>
      </c>
      <c r="H4630" t="n">
        <v>1</v>
      </c>
    </row>
    <row r="4631">
      <c r="A4631" t="inlineStr">
        <is>
          <t>2024-2025</t>
        </is>
      </c>
      <c r="B4631" t="inlineStr">
        <is>
          <t>2024-10-18</t>
        </is>
      </c>
      <c r="C4631" t="inlineStr">
        <is>
          <t>20:29</t>
        </is>
      </c>
      <c r="D4631" t="inlineStr">
        <is>
          <t>n° 13 + n° 14</t>
        </is>
      </c>
      <c r="E4631" t="inlineStr">
        <is>
          <t>GLACE 1 BOULE</t>
        </is>
      </c>
      <c r="F4631" t="n">
        <v>3.5</v>
      </c>
      <c r="G4631" t="inlineStr">
        <is>
          <t>n° 13 : 0,50 + n° 14 : 0,50</t>
        </is>
      </c>
      <c r="H4631" t="n">
        <v>1</v>
      </c>
    </row>
    <row r="4632">
      <c r="A4632" t="inlineStr">
        <is>
          <t>2024-2025</t>
        </is>
      </c>
      <c r="B4632" t="inlineStr">
        <is>
          <t>2024-10-20</t>
        </is>
      </c>
      <c r="C4632" t="inlineStr">
        <is>
          <t>13:28</t>
        </is>
      </c>
      <c r="D4632" t="inlineStr">
        <is>
          <t>n° 14 + n° 15</t>
        </is>
      </c>
      <c r="E4632" t="inlineStr">
        <is>
          <t>ASSIETTE FRANC-COMTO</t>
        </is>
      </c>
      <c r="F4632" t="n">
        <v>18.6</v>
      </c>
      <c r="G4632" t="inlineStr">
        <is>
          <t>n° 14 : 0,50 + n° 15 : 0,50</t>
        </is>
      </c>
      <c r="H4632" t="n">
        <v>1</v>
      </c>
    </row>
    <row r="4633">
      <c r="A4633" t="inlineStr">
        <is>
          <t>2024-2025</t>
        </is>
      </c>
      <c r="B4633" t="inlineStr">
        <is>
          <t>2024-10-20</t>
        </is>
      </c>
      <c r="C4633" t="inlineStr">
        <is>
          <t>13:28</t>
        </is>
      </c>
      <c r="D4633" t="inlineStr">
        <is>
          <t>n° 14 + n° 15</t>
        </is>
      </c>
      <c r="E4633" t="inlineStr">
        <is>
          <t>BARBEULENET</t>
        </is>
      </c>
      <c r="F4633" t="n">
        <v>17.4</v>
      </c>
      <c r="G4633" t="inlineStr">
        <is>
          <t>n° 14 : 0,50 + n° 15 : 0,50</t>
        </is>
      </c>
      <c r="H4633" t="n">
        <v>1</v>
      </c>
    </row>
    <row r="4634">
      <c r="A4634" t="inlineStr">
        <is>
          <t>2024-2025</t>
        </is>
      </c>
      <c r="B4634" t="inlineStr">
        <is>
          <t>2024-10-23</t>
        </is>
      </c>
      <c r="C4634" t="inlineStr">
        <is>
          <t>12:17</t>
        </is>
      </c>
      <c r="D4634" t="inlineStr">
        <is>
          <t>n° 6 + n° 7</t>
        </is>
      </c>
      <c r="E4634" t="inlineStr">
        <is>
          <t>PICHET ALIGOTE 50cL</t>
        </is>
      </c>
      <c r="F4634" t="n">
        <v>10.5</v>
      </c>
      <c r="G4634" t="inlineStr">
        <is>
          <t>n° 6 : 0,50 + n° 7 : 0,50</t>
        </is>
      </c>
      <c r="H4634" t="n">
        <v>1</v>
      </c>
    </row>
    <row r="4635">
      <c r="A4635" t="inlineStr">
        <is>
          <t>2024-2025</t>
        </is>
      </c>
      <c r="B4635" t="inlineStr">
        <is>
          <t>2024-10-24</t>
        </is>
      </c>
      <c r="C4635" t="inlineStr">
        <is>
          <t>20:36</t>
        </is>
      </c>
      <c r="D4635" t="inlineStr">
        <is>
          <t>n° 26 + n° 27</t>
        </is>
      </c>
      <c r="E4635" t="inlineStr">
        <is>
          <t>Fondue Jurassienne</t>
        </is>
      </c>
      <c r="F4635" t="n">
        <v>16.9</v>
      </c>
      <c r="G4635" t="inlineStr">
        <is>
          <t>n° 26 : 1,50 + n° 27 : 1,50</t>
        </is>
      </c>
      <c r="H4635" t="n">
        <v>3</v>
      </c>
    </row>
    <row r="4636">
      <c r="A4636" t="inlineStr">
        <is>
          <t>2024-2025</t>
        </is>
      </c>
      <c r="B4636" t="inlineStr">
        <is>
          <t>2024-10-24</t>
        </is>
      </c>
      <c r="C4636" t="inlineStr">
        <is>
          <t>20:36</t>
        </is>
      </c>
      <c r="D4636" t="inlineStr">
        <is>
          <t>n° 26 + n° 27</t>
        </is>
      </c>
      <c r="E4636" t="inlineStr">
        <is>
          <t>Saucisse de Morteau</t>
        </is>
      </c>
      <c r="F4636" t="n">
        <v>11.2</v>
      </c>
      <c r="G4636" t="inlineStr">
        <is>
          <t>n° 26 : 0,50 + n° 27 : 0,50</t>
        </is>
      </c>
      <c r="H4636" t="n">
        <v>1</v>
      </c>
    </row>
    <row r="4637">
      <c r="A4637" t="inlineStr">
        <is>
          <t>2024-2025</t>
        </is>
      </c>
      <c r="B4637" t="inlineStr">
        <is>
          <t>2024-10-24</t>
        </is>
      </c>
      <c r="C4637" t="inlineStr">
        <is>
          <t>20:36</t>
        </is>
      </c>
      <c r="D4637" t="inlineStr">
        <is>
          <t>n° 26 + n° 27</t>
        </is>
      </c>
      <c r="E4637" t="inlineStr">
        <is>
          <t>Salade Verte</t>
        </is>
      </c>
      <c r="F4637" t="n">
        <v>5.9</v>
      </c>
      <c r="G4637" t="inlineStr">
        <is>
          <t>n° 26 : 0,50 + n° 27 : 0,50</t>
        </is>
      </c>
      <c r="H4637" t="n">
        <v>1</v>
      </c>
    </row>
    <row r="4638">
      <c r="A4638" t="inlineStr">
        <is>
          <t>2024-2025</t>
        </is>
      </c>
      <c r="B4638" t="inlineStr">
        <is>
          <t>2024-10-24</t>
        </is>
      </c>
      <c r="C4638" t="inlineStr">
        <is>
          <t>20:36</t>
        </is>
      </c>
      <c r="D4638" t="inlineStr">
        <is>
          <t>n° 26 + n° 27</t>
        </is>
      </c>
      <c r="E4638" t="inlineStr">
        <is>
          <t>Monaco</t>
        </is>
      </c>
      <c r="F4638" t="n">
        <v>4.2</v>
      </c>
      <c r="G4638" t="inlineStr">
        <is>
          <t>n° 26 : 0,50 + n° 27 : 0,50</t>
        </is>
      </c>
      <c r="H4638" t="n">
        <v>1</v>
      </c>
    </row>
    <row r="4639">
      <c r="A4639" t="inlineStr">
        <is>
          <t>2024-2025</t>
        </is>
      </c>
      <c r="B4639" t="inlineStr">
        <is>
          <t>2024-10-26</t>
        </is>
      </c>
      <c r="C4639" t="inlineStr">
        <is>
          <t>12:21</t>
        </is>
      </c>
      <c r="D4639" t="inlineStr">
        <is>
          <t>n° 3 + n° 4</t>
        </is>
      </c>
      <c r="E4639" t="inlineStr">
        <is>
          <t>ASSIETTE FRANC-COMTO</t>
        </is>
      </c>
      <c r="F4639" t="n">
        <v>18.6</v>
      </c>
      <c r="G4639" t="inlineStr">
        <is>
          <t>n° 3 : 0,50 + n° 4 : 0,50</t>
        </is>
      </c>
      <c r="H4639" t="n">
        <v>1</v>
      </c>
    </row>
    <row r="4640">
      <c r="A4640" t="inlineStr">
        <is>
          <t>2024-2025</t>
        </is>
      </c>
      <c r="B4640" t="inlineStr">
        <is>
          <t>2024-10-26</t>
        </is>
      </c>
      <c r="C4640" t="inlineStr">
        <is>
          <t>12:21</t>
        </is>
      </c>
      <c r="D4640" t="inlineStr">
        <is>
          <t>n° 3 + n° 4</t>
        </is>
      </c>
      <c r="E4640" t="inlineStr">
        <is>
          <t>POULET JURASSIENNE</t>
        </is>
      </c>
      <c r="F4640" t="n">
        <v>18.6</v>
      </c>
      <c r="G4640" t="inlineStr">
        <is>
          <t>n° 3 : 0,50 + n° 4 : 0,50</t>
        </is>
      </c>
      <c r="H4640" t="n">
        <v>1</v>
      </c>
    </row>
    <row r="4641">
      <c r="A4641" t="inlineStr">
        <is>
          <t>2024-2025</t>
        </is>
      </c>
      <c r="B4641" t="inlineStr">
        <is>
          <t>2024-10-26</t>
        </is>
      </c>
      <c r="C4641" t="inlineStr">
        <is>
          <t>12:21</t>
        </is>
      </c>
      <c r="D4641" t="inlineStr">
        <is>
          <t>n° 3 + n° 4</t>
        </is>
      </c>
      <c r="E4641" t="inlineStr">
        <is>
          <t>VOGEOTTE</t>
        </is>
      </c>
      <c r="F4641" t="n">
        <v>13.1</v>
      </c>
      <c r="G4641" t="inlineStr">
        <is>
          <t>n° 3 : 0,50 + n° 4 : 0,50</t>
        </is>
      </c>
      <c r="H4641" t="n">
        <v>1</v>
      </c>
    </row>
    <row r="4642">
      <c r="A4642" t="inlineStr">
        <is>
          <t>2024-2025</t>
        </is>
      </c>
      <c r="B4642" t="inlineStr">
        <is>
          <t>2024-10-26</t>
        </is>
      </c>
      <c r="C4642" t="inlineStr">
        <is>
          <t>12:21</t>
        </is>
      </c>
      <c r="D4642" t="inlineStr">
        <is>
          <t>n° 3 + n° 4</t>
        </is>
      </c>
      <c r="E4642" t="inlineStr">
        <is>
          <t>Menu 'Enfant'</t>
        </is>
      </c>
      <c r="F4642" t="n">
        <v>9.9</v>
      </c>
      <c r="G4642" t="inlineStr">
        <is>
          <t>n° 3 : 0,50 + n° 4 : 0,50</t>
        </is>
      </c>
      <c r="H4642" t="n">
        <v>1</v>
      </c>
    </row>
    <row r="4643">
      <c r="A4643" t="inlineStr">
        <is>
          <t>2024-2025</t>
        </is>
      </c>
      <c r="B4643" t="inlineStr">
        <is>
          <t>2024-10-26</t>
        </is>
      </c>
      <c r="C4643" t="inlineStr">
        <is>
          <t>12:21</t>
        </is>
      </c>
      <c r="D4643" t="inlineStr">
        <is>
          <t>n° 3 + n° 4</t>
        </is>
      </c>
      <c r="E4643" t="inlineStr">
        <is>
          <t>Crêpe Salidou</t>
        </is>
      </c>
      <c r="F4643" t="n">
        <v>6.4</v>
      </c>
      <c r="G4643" t="inlineStr">
        <is>
          <t>n° 3 : 0,50 + n° 4 : 0,50</t>
        </is>
      </c>
      <c r="H4643" t="n">
        <v>1</v>
      </c>
    </row>
    <row r="4644">
      <c r="A4644" t="inlineStr">
        <is>
          <t>2024-2025</t>
        </is>
      </c>
      <c r="B4644" t="inlineStr">
        <is>
          <t>2024-10-26</t>
        </is>
      </c>
      <c r="C4644" t="inlineStr">
        <is>
          <t>12:21</t>
        </is>
      </c>
      <c r="D4644" t="inlineStr">
        <is>
          <t>n° 3 + n° 4</t>
        </is>
      </c>
      <c r="E4644" t="inlineStr">
        <is>
          <t>1 Boule Glace</t>
        </is>
      </c>
      <c r="F4644" t="n">
        <v>3.5</v>
      </c>
      <c r="G4644" t="inlineStr">
        <is>
          <t>n° 3 : 0,50 + n° 4 : 0,50</t>
        </is>
      </c>
      <c r="H4644" t="n">
        <v>1</v>
      </c>
    </row>
    <row r="4645">
      <c r="A4645" t="inlineStr">
        <is>
          <t>2024-2025</t>
        </is>
      </c>
      <c r="B4645" t="inlineStr">
        <is>
          <t>2024-10-26</t>
        </is>
      </c>
      <c r="C4645" t="inlineStr">
        <is>
          <t>12:21</t>
        </is>
      </c>
      <c r="D4645" t="inlineStr">
        <is>
          <t>n° 3 + n° 4</t>
        </is>
      </c>
      <c r="E4645" t="inlineStr">
        <is>
          <t>CHANTILLY</t>
        </is>
      </c>
      <c r="F4645" t="n">
        <v>2.5</v>
      </c>
      <c r="G4645" t="inlineStr">
        <is>
          <t>n° 3 : 0,50 + n° 4 : 0,50</t>
        </is>
      </c>
      <c r="H4645" t="n">
        <v>1</v>
      </c>
    </row>
    <row r="4646">
      <c r="A4646" t="inlineStr">
        <is>
          <t>2024-2025</t>
        </is>
      </c>
      <c r="B4646" t="inlineStr">
        <is>
          <t>2024-10-26</t>
        </is>
      </c>
      <c r="C4646" t="inlineStr">
        <is>
          <t>13:18</t>
        </is>
      </c>
      <c r="D4646" t="inlineStr">
        <is>
          <t>n° 17 + n° 18</t>
        </is>
      </c>
      <c r="E4646" t="inlineStr">
        <is>
          <t>Arbois Trousseau Bou</t>
        </is>
      </c>
      <c r="F4646" t="n">
        <v>36</v>
      </c>
      <c r="G4646" t="inlineStr">
        <is>
          <t>n° 17 : 0,50 + n° 18 : 0,50</t>
        </is>
      </c>
      <c r="H4646" t="n">
        <v>1</v>
      </c>
    </row>
    <row r="4647">
      <c r="A4647" t="inlineStr">
        <is>
          <t>2024-2025</t>
        </is>
      </c>
      <c r="B4647" t="inlineStr">
        <is>
          <t>2024-10-26</t>
        </is>
      </c>
      <c r="C4647" t="inlineStr">
        <is>
          <t>13:18</t>
        </is>
      </c>
      <c r="D4647" t="inlineStr">
        <is>
          <t>n° 17 + n° 18</t>
        </is>
      </c>
      <c r="E4647" t="inlineStr">
        <is>
          <t>ENTRECOTE MORILLES</t>
        </is>
      </c>
      <c r="F4647" t="n">
        <v>34.8</v>
      </c>
      <c r="G4647" t="inlineStr">
        <is>
          <t>n° 17 : 0,50 + n° 18 : 0,50</t>
        </is>
      </c>
      <c r="H4647" t="n">
        <v>1</v>
      </c>
    </row>
    <row r="4648">
      <c r="A4648" t="inlineStr">
        <is>
          <t>2024-2025</t>
        </is>
      </c>
      <c r="B4648" t="inlineStr">
        <is>
          <t>2024-10-26</t>
        </is>
      </c>
      <c r="C4648" t="inlineStr">
        <is>
          <t>13:18</t>
        </is>
      </c>
      <c r="D4648" t="inlineStr">
        <is>
          <t>n° 17 + n° 18</t>
        </is>
      </c>
      <c r="E4648" t="inlineStr">
        <is>
          <t>Entrecôte grillée</t>
        </is>
      </c>
      <c r="F4648" t="n">
        <v>19.9</v>
      </c>
      <c r="G4648" t="inlineStr">
        <is>
          <t>n° 17 : 0,50 + n° 18 : 0,50</t>
        </is>
      </c>
      <c r="H4648" t="n">
        <v>1</v>
      </c>
    </row>
    <row r="4649">
      <c r="A4649" t="inlineStr">
        <is>
          <t>2024-2025</t>
        </is>
      </c>
      <c r="B4649" t="inlineStr">
        <is>
          <t>2024-10-26</t>
        </is>
      </c>
      <c r="C4649" t="inlineStr">
        <is>
          <t>13:18</t>
        </is>
      </c>
      <c r="D4649" t="inlineStr">
        <is>
          <t>n° 17 + n° 18</t>
        </is>
      </c>
      <c r="E4649" t="inlineStr">
        <is>
          <t>Croûtes Morilles</t>
        </is>
      </c>
      <c r="F4649" t="n">
        <v>16.9</v>
      </c>
      <c r="G4649" t="inlineStr">
        <is>
          <t>n° 17 : 0,50 + n° 18 : 0,50</t>
        </is>
      </c>
      <c r="H4649" t="n">
        <v>1</v>
      </c>
    </row>
    <row r="4650">
      <c r="A4650" t="inlineStr">
        <is>
          <t>2024-2025</t>
        </is>
      </c>
      <c r="B4650" t="inlineStr">
        <is>
          <t>2024-10-26</t>
        </is>
      </c>
      <c r="C4650" t="inlineStr">
        <is>
          <t>13:18</t>
        </is>
      </c>
      <c r="D4650" t="inlineStr">
        <is>
          <t>n° 17 + n° 18</t>
        </is>
      </c>
      <c r="E4650" t="inlineStr">
        <is>
          <t>VOGEOTTE</t>
        </is>
      </c>
      <c r="F4650" t="n">
        <v>13.1</v>
      </c>
      <c r="G4650" t="inlineStr">
        <is>
          <t>n° 17 : 0,50 + n° 18 : 0,50</t>
        </is>
      </c>
      <c r="H4650" t="n">
        <v>1</v>
      </c>
    </row>
    <row r="4651">
      <c r="A4651" t="inlineStr">
        <is>
          <t>2024-2025</t>
        </is>
      </c>
      <c r="B4651" t="inlineStr">
        <is>
          <t>2024-10-26</t>
        </is>
      </c>
      <c r="C4651" t="inlineStr">
        <is>
          <t>13:18</t>
        </is>
      </c>
      <c r="D4651" t="inlineStr">
        <is>
          <t>n° 17 + n° 18</t>
        </is>
      </c>
      <c r="E4651" t="inlineStr">
        <is>
          <t>FOULETOT</t>
        </is>
      </c>
      <c r="F4651" t="n">
        <v>11.5</v>
      </c>
      <c r="G4651" t="inlineStr">
        <is>
          <t>n° 17 : 0,50 + n° 18 : 0,50</t>
        </is>
      </c>
      <c r="H4651" t="n">
        <v>1</v>
      </c>
    </row>
    <row r="4652">
      <c r="A4652" t="inlineStr">
        <is>
          <t>2024-2025</t>
        </is>
      </c>
      <c r="B4652" t="inlineStr">
        <is>
          <t>2024-10-26</t>
        </is>
      </c>
      <c r="C4652" t="inlineStr">
        <is>
          <t>13:18</t>
        </is>
      </c>
      <c r="D4652" t="inlineStr">
        <is>
          <t>n° 17 + n° 18</t>
        </is>
      </c>
      <c r="E4652" t="inlineStr">
        <is>
          <t>Feuilleté Forestier</t>
        </is>
      </c>
      <c r="F4652" t="n">
        <v>10.9</v>
      </c>
      <c r="G4652" t="inlineStr">
        <is>
          <t>n° 17 : 0,50 + n° 18 : 0,50</t>
        </is>
      </c>
      <c r="H4652" t="n">
        <v>1</v>
      </c>
    </row>
    <row r="4653">
      <c r="A4653" t="inlineStr">
        <is>
          <t>2024-2025</t>
        </is>
      </c>
      <c r="B4653" t="inlineStr">
        <is>
          <t>2024-10-26</t>
        </is>
      </c>
      <c r="C4653" t="inlineStr">
        <is>
          <t>13:18</t>
        </is>
      </c>
      <c r="D4653" t="inlineStr">
        <is>
          <t>n° 17 + n° 18</t>
        </is>
      </c>
      <c r="E4653" t="inlineStr">
        <is>
          <t>Baba</t>
        </is>
      </c>
      <c r="F4653" t="n">
        <v>8.9</v>
      </c>
      <c r="G4653" t="inlineStr">
        <is>
          <t>n° 17 : 0,50 + n° 18 : 0,50</t>
        </is>
      </c>
      <c r="H4653" t="n">
        <v>1</v>
      </c>
    </row>
    <row r="4654">
      <c r="A4654" t="inlineStr">
        <is>
          <t>2024-2025</t>
        </is>
      </c>
      <c r="B4654" t="inlineStr">
        <is>
          <t>2024-10-26</t>
        </is>
      </c>
      <c r="C4654" t="inlineStr">
        <is>
          <t>13:18</t>
        </is>
      </c>
      <c r="D4654" t="inlineStr">
        <is>
          <t>n° 17 + n° 18</t>
        </is>
      </c>
      <c r="E4654" t="inlineStr">
        <is>
          <t>CREME BRULEE</t>
        </is>
      </c>
      <c r="F4654" t="n">
        <v>7.9</v>
      </c>
      <c r="G4654" t="inlineStr">
        <is>
          <t>n° 17 : 0,50 + n° 18 : 0,50</t>
        </is>
      </c>
      <c r="H4654" t="n">
        <v>1</v>
      </c>
    </row>
    <row r="4655">
      <c r="A4655" t="inlineStr">
        <is>
          <t>2024-2025</t>
        </is>
      </c>
      <c r="B4655" t="inlineStr">
        <is>
          <t>2024-10-26</t>
        </is>
      </c>
      <c r="C4655" t="inlineStr">
        <is>
          <t>13:18</t>
        </is>
      </c>
      <c r="D4655" t="inlineStr">
        <is>
          <t>n° 17 + n° 18</t>
        </is>
      </c>
      <c r="E4655" t="inlineStr">
        <is>
          <t>Expresso</t>
        </is>
      </c>
      <c r="F4655" t="n">
        <v>2.2</v>
      </c>
      <c r="G4655" t="inlineStr">
        <is>
          <t>n° 17 : 1,50 + n° 18 : 1,50</t>
        </is>
      </c>
      <c r="H4655" t="n">
        <v>3</v>
      </c>
    </row>
    <row r="4656">
      <c r="A4656" t="inlineStr">
        <is>
          <t>2024-2025</t>
        </is>
      </c>
      <c r="B4656" t="inlineStr">
        <is>
          <t>2024-10-26</t>
        </is>
      </c>
      <c r="C4656" t="inlineStr">
        <is>
          <t>13:18</t>
        </is>
      </c>
      <c r="D4656" t="inlineStr">
        <is>
          <t>n° 17 + n° 18</t>
        </is>
      </c>
      <c r="E4656" t="inlineStr">
        <is>
          <t>Panaché</t>
        </is>
      </c>
      <c r="F4656" t="n">
        <v>0</v>
      </c>
      <c r="G4656" t="inlineStr">
        <is>
          <t>n° 17 : 0,50 + n° 18 : 0,50</t>
        </is>
      </c>
      <c r="H4656" t="n">
        <v>1</v>
      </c>
    </row>
    <row r="4657">
      <c r="A4657" t="inlineStr">
        <is>
          <t>2024-2025</t>
        </is>
      </c>
      <c r="B4657" t="inlineStr">
        <is>
          <t>2024-10-26</t>
        </is>
      </c>
      <c r="C4657" t="inlineStr">
        <is>
          <t>13:18</t>
        </is>
      </c>
      <c r="D4657" t="inlineStr">
        <is>
          <t>n° 17 + n° 18</t>
        </is>
      </c>
      <c r="E4657" t="inlineStr">
        <is>
          <t>Ambrée</t>
        </is>
      </c>
      <c r="F4657" t="n">
        <v>0</v>
      </c>
      <c r="G4657" t="inlineStr">
        <is>
          <t>n° 17 : 0,50 + n° 18 : 0,50</t>
        </is>
      </c>
      <c r="H4657" t="n">
        <v>1</v>
      </c>
    </row>
    <row r="4658">
      <c r="A4658" t="inlineStr">
        <is>
          <t>2024-2025</t>
        </is>
      </c>
      <c r="B4658" t="inlineStr">
        <is>
          <t>2024-10-26</t>
        </is>
      </c>
      <c r="C4658" t="inlineStr">
        <is>
          <t>13:18</t>
        </is>
      </c>
      <c r="D4658" t="inlineStr">
        <is>
          <t>n° 17 + n° 18</t>
        </is>
      </c>
      <c r="E4658" t="inlineStr">
        <is>
          <t>Blanche des plateaux</t>
        </is>
      </c>
      <c r="F4658" t="n">
        <v>0</v>
      </c>
      <c r="G4658" t="inlineStr">
        <is>
          <t>n° 17 : 0,50 + n° 18 : 0,50</t>
        </is>
      </c>
      <c r="H4658" t="n">
        <v>1</v>
      </c>
    </row>
    <row r="4659">
      <c r="A4659" t="inlineStr">
        <is>
          <t>2024-2025</t>
        </is>
      </c>
      <c r="B4659" t="inlineStr">
        <is>
          <t>2024-10-26</t>
        </is>
      </c>
      <c r="C4659" t="inlineStr">
        <is>
          <t>13:18</t>
        </is>
      </c>
      <c r="D4659" t="inlineStr">
        <is>
          <t>n° 17 + n° 18</t>
        </is>
      </c>
      <c r="E4659" t="inlineStr">
        <is>
          <t>pression</t>
        </is>
      </c>
      <c r="F4659" t="n">
        <v>0</v>
      </c>
      <c r="G4659" t="inlineStr">
        <is>
          <t>n° 17 : 0,50 + n° 18 : 0,50</t>
        </is>
      </c>
      <c r="H4659" t="n">
        <v>1</v>
      </c>
    </row>
    <row r="4660">
      <c r="A4660" t="inlineStr">
        <is>
          <t>2024-2025</t>
        </is>
      </c>
      <c r="B4660" t="inlineStr">
        <is>
          <t>2024-10-26</t>
        </is>
      </c>
      <c r="C4660" t="inlineStr">
        <is>
          <t>19:23</t>
        </is>
      </c>
      <c r="D4660" t="inlineStr">
        <is>
          <t>n° 19 + n° 20</t>
        </is>
      </c>
      <c r="E4660" t="inlineStr">
        <is>
          <t>BARBEULENET</t>
        </is>
      </c>
      <c r="F4660" t="n">
        <v>17.4</v>
      </c>
      <c r="G4660" t="inlineStr">
        <is>
          <t>n° 19 : 0,50 + n° 20 : 0,50</t>
        </is>
      </c>
      <c r="H4660" t="n">
        <v>1</v>
      </c>
    </row>
    <row r="4661">
      <c r="A4661" t="inlineStr">
        <is>
          <t>2024-2025</t>
        </is>
      </c>
      <c r="B4661" t="inlineStr">
        <is>
          <t>2024-10-26</t>
        </is>
      </c>
      <c r="C4661" t="inlineStr">
        <is>
          <t>19:23</t>
        </is>
      </c>
      <c r="D4661" t="inlineStr">
        <is>
          <t>n° 19 + n° 20</t>
        </is>
      </c>
      <c r="E4661" t="inlineStr">
        <is>
          <t>Saucisse de Morteau</t>
        </is>
      </c>
      <c r="F4661" t="n">
        <v>8.9</v>
      </c>
      <c r="G4661" t="inlineStr">
        <is>
          <t>n° 19 : 0,50 + n° 20 : 0,50</t>
        </is>
      </c>
      <c r="H4661" t="n">
        <v>1</v>
      </c>
    </row>
    <row r="4662">
      <c r="A4662" t="inlineStr">
        <is>
          <t>2024-2025</t>
        </is>
      </c>
      <c r="B4662" t="inlineStr">
        <is>
          <t>2024-10-26</t>
        </is>
      </c>
      <c r="C4662" t="inlineStr">
        <is>
          <t>19:23</t>
        </is>
      </c>
      <c r="D4662" t="inlineStr">
        <is>
          <t>n° 19 + n° 20</t>
        </is>
      </c>
      <c r="E4662" t="inlineStr">
        <is>
          <t>pression</t>
        </is>
      </c>
      <c r="F4662" t="n">
        <v>4.2</v>
      </c>
      <c r="G4662" t="inlineStr">
        <is>
          <t>n° 19 : 1,50 + n° 20 : 1,50</t>
        </is>
      </c>
      <c r="H4662" t="n">
        <v>3</v>
      </c>
    </row>
    <row r="4663">
      <c r="A4663" t="inlineStr">
        <is>
          <t>2024-2025</t>
        </is>
      </c>
      <c r="B4663" t="inlineStr">
        <is>
          <t>2024-10-26</t>
        </is>
      </c>
      <c r="C4663" t="inlineStr">
        <is>
          <t>19:23</t>
        </is>
      </c>
      <c r="D4663" t="inlineStr">
        <is>
          <t>n° 19 + n° 20</t>
        </is>
      </c>
      <c r="E4663" t="inlineStr">
        <is>
          <t>Galette nature</t>
        </is>
      </c>
      <c r="F4663" t="n">
        <v>3.9</v>
      </c>
      <c r="G4663" t="inlineStr">
        <is>
          <t>n° 19 : 0,50 + n° 20 : 0,50</t>
        </is>
      </c>
      <c r="H4663" t="n">
        <v>1</v>
      </c>
    </row>
    <row r="4664">
      <c r="A4664" t="inlineStr">
        <is>
          <t>2024-2025</t>
        </is>
      </c>
      <c r="B4664" t="inlineStr">
        <is>
          <t>2024-10-26</t>
        </is>
      </c>
      <c r="C4664" t="inlineStr">
        <is>
          <t>19:23</t>
        </is>
      </c>
      <c r="D4664" t="inlineStr">
        <is>
          <t>n° 19 + n° 20</t>
        </is>
      </c>
      <c r="E4664" t="inlineStr">
        <is>
          <t>Cancoillotte</t>
        </is>
      </c>
      <c r="F4664" t="n">
        <v>3.9</v>
      </c>
      <c r="G4664" t="inlineStr">
        <is>
          <t>n° 19 : 0,50 + n° 20 : 0,50</t>
        </is>
      </c>
      <c r="H4664" t="n">
        <v>1</v>
      </c>
    </row>
    <row r="4665">
      <c r="A4665" t="inlineStr">
        <is>
          <t>2024-2025</t>
        </is>
      </c>
      <c r="B4665" t="inlineStr">
        <is>
          <t>2024-10-26</t>
        </is>
      </c>
      <c r="C4665" t="inlineStr">
        <is>
          <t>19:23</t>
        </is>
      </c>
      <c r="D4665" t="inlineStr">
        <is>
          <t>n° 19 + n° 20</t>
        </is>
      </c>
      <c r="E4665" t="inlineStr">
        <is>
          <t>Morbier</t>
        </is>
      </c>
      <c r="F4665" t="n">
        <v>3.5</v>
      </c>
      <c r="G4665" t="inlineStr">
        <is>
          <t>n° 19 : 0,50 + n° 20 : 0,50</t>
        </is>
      </c>
      <c r="H4665" t="n">
        <v>1</v>
      </c>
    </row>
    <row r="4666">
      <c r="A4666" t="inlineStr">
        <is>
          <t>2024-2025</t>
        </is>
      </c>
      <c r="B4666" t="inlineStr">
        <is>
          <t>2024-10-26</t>
        </is>
      </c>
      <c r="C4666" t="inlineStr">
        <is>
          <t>19:23</t>
        </is>
      </c>
      <c r="D4666" t="inlineStr">
        <is>
          <t>n° 19 + n° 20</t>
        </is>
      </c>
      <c r="E4666" t="inlineStr">
        <is>
          <t>SAUCE CHOCO/CAFE/CAR</t>
        </is>
      </c>
      <c r="F4666" t="n">
        <v>2.4</v>
      </c>
      <c r="G4666" t="inlineStr">
        <is>
          <t>n° 19 : 0,50 + n° 20 : 0,50</t>
        </is>
      </c>
      <c r="H4666" t="n">
        <v>1</v>
      </c>
    </row>
    <row r="4667">
      <c r="A4667" t="inlineStr">
        <is>
          <t>2024-2025</t>
        </is>
      </c>
      <c r="B4667" t="inlineStr">
        <is>
          <t>2024-10-26</t>
        </is>
      </c>
      <c r="C4667" t="inlineStr">
        <is>
          <t>19:23</t>
        </is>
      </c>
      <c r="D4667" t="inlineStr">
        <is>
          <t>n° 19 + n° 20</t>
        </is>
      </c>
      <c r="E4667" t="inlineStr">
        <is>
          <t>Sirop à l'eau</t>
        </is>
      </c>
      <c r="F4667" t="n">
        <v>2.2</v>
      </c>
      <c r="G4667" t="inlineStr">
        <is>
          <t>n° 19 : 0,50 + n° 20 : 0,50</t>
        </is>
      </c>
      <c r="H4667" t="n">
        <v>1</v>
      </c>
    </row>
    <row r="4668">
      <c r="A4668" t="inlineStr">
        <is>
          <t>2024-2025</t>
        </is>
      </c>
      <c r="B4668" t="inlineStr">
        <is>
          <t>2024-10-26</t>
        </is>
      </c>
      <c r="C4668" t="inlineStr">
        <is>
          <t>20:36</t>
        </is>
      </c>
      <c r="D4668" t="inlineStr">
        <is>
          <t>n° 27 + n° 28</t>
        </is>
      </c>
      <c r="E4668" t="inlineStr">
        <is>
          <t>Crémeux du Jura</t>
        </is>
      </c>
      <c r="F4668" t="n">
        <v>19</v>
      </c>
      <c r="G4668" t="inlineStr">
        <is>
          <t>n° 27 : 0,50 + n° 28 : 0,50</t>
        </is>
      </c>
      <c r="H4668" t="n">
        <v>1</v>
      </c>
    </row>
    <row r="4669">
      <c r="A4669" t="inlineStr">
        <is>
          <t>2024-2025</t>
        </is>
      </c>
      <c r="B4669" t="inlineStr">
        <is>
          <t>2024-10-26</t>
        </is>
      </c>
      <c r="C4669" t="inlineStr">
        <is>
          <t>20:36</t>
        </is>
      </c>
      <c r="D4669" t="inlineStr">
        <is>
          <t>n° 27 + n° 28</t>
        </is>
      </c>
      <c r="E4669" t="inlineStr">
        <is>
          <t>Croûtes Morilles</t>
        </is>
      </c>
      <c r="F4669" t="n">
        <v>16.9</v>
      </c>
      <c r="G4669" t="inlineStr">
        <is>
          <t>n° 27 : 0,50 + n° 28 : 0,50</t>
        </is>
      </c>
      <c r="H4669" t="n">
        <v>1</v>
      </c>
    </row>
    <row r="4670">
      <c r="A4670" t="inlineStr">
        <is>
          <t>2024-2025</t>
        </is>
      </c>
      <c r="B4670" t="inlineStr">
        <is>
          <t>2024-10-26</t>
        </is>
      </c>
      <c r="C4670" t="inlineStr">
        <is>
          <t>20:36</t>
        </is>
      </c>
      <c r="D4670" t="inlineStr">
        <is>
          <t>n° 27 + n° 28</t>
        </is>
      </c>
      <c r="E4670" t="inlineStr">
        <is>
          <t>TRUITE PESTO</t>
        </is>
      </c>
      <c r="F4670" t="n">
        <v>16.9</v>
      </c>
      <c r="G4670" t="inlineStr">
        <is>
          <t>n° 27 : 0,50 + n° 28 : 0,50</t>
        </is>
      </c>
      <c r="H4670" t="n">
        <v>1</v>
      </c>
    </row>
    <row r="4671">
      <c r="A4671" t="inlineStr">
        <is>
          <t>2024-2025</t>
        </is>
      </c>
      <c r="B4671" t="inlineStr">
        <is>
          <t>2024-10-26</t>
        </is>
      </c>
      <c r="C4671" t="inlineStr">
        <is>
          <t>20:36</t>
        </is>
      </c>
      <c r="D4671" t="inlineStr">
        <is>
          <t>n° 27 + n° 28</t>
        </is>
      </c>
      <c r="E4671" t="inlineStr">
        <is>
          <t>Menu 'Enfant'</t>
        </is>
      </c>
      <c r="F4671" t="n">
        <v>9.9</v>
      </c>
      <c r="G4671" t="inlineStr">
        <is>
          <t>n° 27 : 0,50 + n° 28 : 0,50</t>
        </is>
      </c>
      <c r="H4671" t="n">
        <v>1</v>
      </c>
    </row>
    <row r="4672">
      <c r="A4672" t="inlineStr">
        <is>
          <t>2024-2025</t>
        </is>
      </c>
      <c r="B4672" t="inlineStr">
        <is>
          <t>2024-10-26</t>
        </is>
      </c>
      <c r="C4672" t="inlineStr">
        <is>
          <t>20:36</t>
        </is>
      </c>
      <c r="D4672" t="inlineStr">
        <is>
          <t>n° 27 + n° 28</t>
        </is>
      </c>
      <c r="E4672" t="inlineStr">
        <is>
          <t>Martini Blanc</t>
        </is>
      </c>
      <c r="F4672" t="n">
        <v>4.9</v>
      </c>
      <c r="G4672" t="inlineStr">
        <is>
          <t>n° 27 : 0,50 + n° 28 : 0,50</t>
        </is>
      </c>
      <c r="H4672" t="n">
        <v>1</v>
      </c>
    </row>
    <row r="4673">
      <c r="A4673" t="inlineStr">
        <is>
          <t>2024-2025</t>
        </is>
      </c>
      <c r="B4673" t="inlineStr">
        <is>
          <t>2024-10-26</t>
        </is>
      </c>
      <c r="C4673" t="inlineStr">
        <is>
          <t>20:36</t>
        </is>
      </c>
      <c r="D4673" t="inlineStr">
        <is>
          <t>n° 27 + n° 28</t>
        </is>
      </c>
      <c r="E4673" t="inlineStr">
        <is>
          <t>Galette nature</t>
        </is>
      </c>
      <c r="F4673" t="n">
        <v>3.9</v>
      </c>
      <c r="G4673" t="inlineStr">
        <is>
          <t>n° 27 : 0,50 + n° 28 : 0,50</t>
        </is>
      </c>
      <c r="H4673" t="n">
        <v>1</v>
      </c>
    </row>
    <row r="4674">
      <c r="A4674" t="inlineStr">
        <is>
          <t>2024-2025</t>
        </is>
      </c>
      <c r="B4674" t="inlineStr">
        <is>
          <t>2024-10-26</t>
        </is>
      </c>
      <c r="C4674" t="inlineStr">
        <is>
          <t>20:36</t>
        </is>
      </c>
      <c r="D4674" t="inlineStr">
        <is>
          <t>n° 27 + n° 28</t>
        </is>
      </c>
      <c r="E4674" t="inlineStr">
        <is>
          <t>Cancoillotte</t>
        </is>
      </c>
      <c r="F4674" t="n">
        <v>3.9</v>
      </c>
      <c r="G4674" t="inlineStr">
        <is>
          <t>n° 27 : 0,50 + n° 28 : 0,50</t>
        </is>
      </c>
      <c r="H4674" t="n">
        <v>1</v>
      </c>
    </row>
    <row r="4675">
      <c r="A4675" t="inlineStr">
        <is>
          <t>2024-2025</t>
        </is>
      </c>
      <c r="B4675" t="inlineStr">
        <is>
          <t>2024-10-26</t>
        </is>
      </c>
      <c r="C4675" t="inlineStr">
        <is>
          <t>20:36</t>
        </is>
      </c>
      <c r="D4675" t="inlineStr">
        <is>
          <t>n° 27 + n° 28</t>
        </is>
      </c>
      <c r="E4675" t="inlineStr">
        <is>
          <t>Jambon Blanc</t>
        </is>
      </c>
      <c r="F4675" t="n">
        <v>3.8</v>
      </c>
      <c r="G4675" t="inlineStr">
        <is>
          <t>n° 27 : 0,50 + n° 28 : 0,50</t>
        </is>
      </c>
      <c r="H4675" t="n">
        <v>1</v>
      </c>
    </row>
    <row r="4676">
      <c r="A4676" t="inlineStr">
        <is>
          <t>2024-2025</t>
        </is>
      </c>
      <c r="B4676" t="inlineStr">
        <is>
          <t>2024-10-26</t>
        </is>
      </c>
      <c r="C4676" t="inlineStr">
        <is>
          <t>20:36</t>
        </is>
      </c>
      <c r="D4676" t="inlineStr">
        <is>
          <t>n° 27 + n° 28</t>
        </is>
      </c>
      <c r="E4676" t="inlineStr">
        <is>
          <t>Pommes de Terre</t>
        </is>
      </c>
      <c r="F4676" t="n">
        <v>3.2</v>
      </c>
      <c r="G4676" t="inlineStr">
        <is>
          <t>n° 27 : 0,50 + n° 28 : 0,50</t>
        </is>
      </c>
      <c r="H4676" t="n">
        <v>1</v>
      </c>
    </row>
    <row r="4677">
      <c r="A4677" t="inlineStr">
        <is>
          <t>2024-2025</t>
        </is>
      </c>
      <c r="B4677" t="inlineStr">
        <is>
          <t>2024-10-26</t>
        </is>
      </c>
      <c r="C4677" t="inlineStr">
        <is>
          <t>20:55</t>
        </is>
      </c>
      <c r="D4677" t="inlineStr">
        <is>
          <t>n° 33 + n° 34</t>
        </is>
      </c>
      <c r="E4677" t="inlineStr">
        <is>
          <t>Menu Franc-Comtois</t>
        </is>
      </c>
      <c r="F4677" t="n">
        <v>34</v>
      </c>
      <c r="G4677" t="inlineStr">
        <is>
          <t>n° 33 : 0,50 + n° 34 : 0,50</t>
        </is>
      </c>
      <c r="H4677" t="n">
        <v>1</v>
      </c>
    </row>
    <row r="4678">
      <c r="A4678" t="inlineStr">
        <is>
          <t>2024-2025</t>
        </is>
      </c>
      <c r="B4678" t="inlineStr">
        <is>
          <t>2024-10-26</t>
        </is>
      </c>
      <c r="C4678" t="inlineStr">
        <is>
          <t>20:55</t>
        </is>
      </c>
      <c r="D4678" t="inlineStr">
        <is>
          <t>n° 33 + n° 34</t>
        </is>
      </c>
      <c r="E4678" t="inlineStr">
        <is>
          <t>Arbois Chardonnay Le</t>
        </is>
      </c>
      <c r="F4678" t="n">
        <v>29</v>
      </c>
      <c r="G4678" t="inlineStr">
        <is>
          <t>n° 33 : 0,50 + n° 34 : 0,50</t>
        </is>
      </c>
      <c r="H4678" t="n">
        <v>1</v>
      </c>
    </row>
    <row r="4679">
      <c r="A4679" t="inlineStr">
        <is>
          <t>2024-2025</t>
        </is>
      </c>
      <c r="B4679" t="inlineStr">
        <is>
          <t>2024-10-26</t>
        </is>
      </c>
      <c r="C4679" t="inlineStr">
        <is>
          <t>20:55</t>
        </is>
      </c>
      <c r="D4679" t="inlineStr">
        <is>
          <t>n° 33 + n° 34</t>
        </is>
      </c>
      <c r="E4679" t="inlineStr">
        <is>
          <t>Entrecôte grillée</t>
        </is>
      </c>
      <c r="F4679" t="n">
        <v>19.9</v>
      </c>
      <c r="G4679" t="inlineStr">
        <is>
          <t>n° 33 : 0,50 + n° 34 : 0,50</t>
        </is>
      </c>
      <c r="H4679" t="n">
        <v>1</v>
      </c>
    </row>
    <row r="4680">
      <c r="A4680" t="inlineStr">
        <is>
          <t>2024-2025</t>
        </is>
      </c>
      <c r="B4680" t="inlineStr">
        <is>
          <t>2024-10-26</t>
        </is>
      </c>
      <c r="C4680" t="inlineStr">
        <is>
          <t>20:55</t>
        </is>
      </c>
      <c r="D4680" t="inlineStr">
        <is>
          <t>n° 33 + n° 34</t>
        </is>
      </c>
      <c r="E4680" t="inlineStr">
        <is>
          <t>Feuilleté Forestier</t>
        </is>
      </c>
      <c r="F4680" t="n">
        <v>10.9</v>
      </c>
      <c r="G4680" t="inlineStr">
        <is>
          <t>n° 33 : 0,50 + n° 34 : 0,50</t>
        </is>
      </c>
      <c r="H4680" t="n">
        <v>1</v>
      </c>
    </row>
    <row r="4681">
      <c r="A4681" t="inlineStr">
        <is>
          <t>2024-2025</t>
        </is>
      </c>
      <c r="B4681" t="inlineStr">
        <is>
          <t>2024-10-26</t>
        </is>
      </c>
      <c r="C4681" t="inlineStr">
        <is>
          <t>20:55</t>
        </is>
      </c>
      <c r="D4681" t="inlineStr">
        <is>
          <t>n° 33 + n° 34</t>
        </is>
      </c>
      <c r="E4681" t="inlineStr">
        <is>
          <t>Crêpe Salidou</t>
        </is>
      </c>
      <c r="F4681" t="n">
        <v>6.4</v>
      </c>
      <c r="G4681" t="inlineStr">
        <is>
          <t>n° 33 : 0,50 + n° 34 : 0,50</t>
        </is>
      </c>
      <c r="H4681" t="n">
        <v>1</v>
      </c>
    </row>
    <row r="4682">
      <c r="A4682" t="inlineStr">
        <is>
          <t>2024-2025</t>
        </is>
      </c>
      <c r="B4682" t="inlineStr">
        <is>
          <t>2024-10-27</t>
        </is>
      </c>
      <c r="C4682" t="inlineStr">
        <is>
          <t>13:25</t>
        </is>
      </c>
      <c r="D4682" t="inlineStr">
        <is>
          <t>n° 9 + n° 10</t>
        </is>
      </c>
      <c r="E4682" t="inlineStr">
        <is>
          <t>PICHET SAVAGNIN</t>
        </is>
      </c>
      <c r="F4682" t="n">
        <v>28</v>
      </c>
      <c r="G4682" t="inlineStr">
        <is>
          <t>n° 9 : 0,50 + n° 10 : 0,50</t>
        </is>
      </c>
      <c r="H4682" t="n">
        <v>1</v>
      </c>
    </row>
    <row r="4683">
      <c r="A4683" t="inlineStr">
        <is>
          <t>2024-2025</t>
        </is>
      </c>
      <c r="B4683" t="inlineStr">
        <is>
          <t>2024-10-27</t>
        </is>
      </c>
      <c r="C4683" t="inlineStr">
        <is>
          <t>13:25</t>
        </is>
      </c>
      <c r="D4683" t="inlineStr">
        <is>
          <t>n° 9 + n° 10</t>
        </is>
      </c>
      <c r="E4683" t="inlineStr">
        <is>
          <t>Crémeux du Jura</t>
        </is>
      </c>
      <c r="F4683" t="n">
        <v>19</v>
      </c>
      <c r="G4683" t="inlineStr">
        <is>
          <t>n° 9 : 0,50 + n° 10 : 0,50</t>
        </is>
      </c>
      <c r="H4683" t="n">
        <v>1</v>
      </c>
    </row>
    <row r="4684">
      <c r="A4684" t="inlineStr">
        <is>
          <t>2024-2025</t>
        </is>
      </c>
      <c r="B4684" t="inlineStr">
        <is>
          <t>2024-10-27</t>
        </is>
      </c>
      <c r="C4684" t="inlineStr">
        <is>
          <t>13:25</t>
        </is>
      </c>
      <c r="D4684" t="inlineStr">
        <is>
          <t>n° 9 + n° 10</t>
        </is>
      </c>
      <c r="E4684" t="inlineStr">
        <is>
          <t>ASSIETTE FRANC-COMTO</t>
        </is>
      </c>
      <c r="F4684" t="n">
        <v>18.6</v>
      </c>
      <c r="G4684" t="inlineStr">
        <is>
          <t>n° 9 : 0,50 + n° 10 : 0,50</t>
        </is>
      </c>
      <c r="H4684" t="n">
        <v>1</v>
      </c>
    </row>
    <row r="4685">
      <c r="A4685" t="inlineStr">
        <is>
          <t>2024-2025</t>
        </is>
      </c>
      <c r="B4685" t="inlineStr">
        <is>
          <t>2024-10-27</t>
        </is>
      </c>
      <c r="C4685" t="inlineStr">
        <is>
          <t>13:25</t>
        </is>
      </c>
      <c r="D4685" t="inlineStr">
        <is>
          <t>n° 9 + n° 10</t>
        </is>
      </c>
      <c r="E4685" t="inlineStr">
        <is>
          <t>Pavlova</t>
        </is>
      </c>
      <c r="F4685" t="n">
        <v>8.9</v>
      </c>
      <c r="G4685" t="inlineStr">
        <is>
          <t>n° 9 : 0,50 + n° 10 : 0,50</t>
        </is>
      </c>
      <c r="H4685" t="n">
        <v>1</v>
      </c>
    </row>
    <row r="4686">
      <c r="A4686" t="inlineStr">
        <is>
          <t>2024-2025</t>
        </is>
      </c>
      <c r="B4686" t="inlineStr">
        <is>
          <t>2024-10-27</t>
        </is>
      </c>
      <c r="C4686" t="inlineStr">
        <is>
          <t>13:25</t>
        </is>
      </c>
      <c r="D4686" t="inlineStr">
        <is>
          <t>n° 9 + n° 10</t>
        </is>
      </c>
      <c r="E4686" t="inlineStr">
        <is>
          <t>Crêpe Salidou</t>
        </is>
      </c>
      <c r="F4686" t="n">
        <v>6.4</v>
      </c>
      <c r="G4686" t="inlineStr">
        <is>
          <t>n° 9 : 0,50 + n° 10 : 0,50</t>
        </is>
      </c>
      <c r="H4686" t="n">
        <v>1</v>
      </c>
    </row>
    <row r="4687">
      <c r="A4687" t="inlineStr">
        <is>
          <t>2024-2025</t>
        </is>
      </c>
      <c r="B4687" t="inlineStr">
        <is>
          <t>2024-10-27</t>
        </is>
      </c>
      <c r="C4687" t="inlineStr">
        <is>
          <t>13:25</t>
        </is>
      </c>
      <c r="D4687" t="inlineStr">
        <is>
          <t>n° 9 + n° 10</t>
        </is>
      </c>
      <c r="E4687" t="inlineStr">
        <is>
          <t>La Vouivre</t>
        </is>
      </c>
      <c r="F4687" t="n">
        <v>5.9</v>
      </c>
      <c r="G4687" t="inlineStr">
        <is>
          <t>n° 9 : 0,50 + n° 10 : 0,50</t>
        </is>
      </c>
      <c r="H4687" t="n">
        <v>1</v>
      </c>
    </row>
    <row r="4688">
      <c r="A4688" t="inlineStr">
        <is>
          <t>2024-2025</t>
        </is>
      </c>
      <c r="B4688" t="inlineStr">
        <is>
          <t>2024-10-27</t>
        </is>
      </c>
      <c r="C4688" t="inlineStr">
        <is>
          <t>13:25</t>
        </is>
      </c>
      <c r="D4688" t="inlineStr">
        <is>
          <t>n° 9 + n° 10</t>
        </is>
      </c>
      <c r="E4688" t="inlineStr">
        <is>
          <t>pression</t>
        </is>
      </c>
      <c r="F4688" t="n">
        <v>4.2</v>
      </c>
      <c r="G4688" t="inlineStr">
        <is>
          <t>n° 9 : 0,50 + n° 10 : 0,50</t>
        </is>
      </c>
      <c r="H4688" t="n">
        <v>1</v>
      </c>
    </row>
    <row r="4689">
      <c r="A4689" t="inlineStr">
        <is>
          <t>2024-2025</t>
        </is>
      </c>
      <c r="B4689" t="inlineStr">
        <is>
          <t>2024-10-30</t>
        </is>
      </c>
      <c r="C4689" t="inlineStr">
        <is>
          <t>12:40</t>
        </is>
      </c>
      <c r="D4689" t="inlineStr">
        <is>
          <t>n° 9 + n° 10 + n° 11</t>
        </is>
      </c>
      <c r="E4689" t="inlineStr">
        <is>
          <t>MORTEAU GRILLEE</t>
        </is>
      </c>
      <c r="F4689" t="n">
        <v>18.6</v>
      </c>
      <c r="G4689" t="inlineStr">
        <is>
          <t>n° 9 : 0,50</t>
        </is>
      </c>
      <c r="H4689" t="n">
        <v>0.5</v>
      </c>
    </row>
    <row r="4690">
      <c r="A4690" t="inlineStr">
        <is>
          <t>2024-2025</t>
        </is>
      </c>
      <c r="B4690" t="inlineStr">
        <is>
          <t>2024-10-30</t>
        </is>
      </c>
      <c r="C4690" t="inlineStr">
        <is>
          <t>12:40</t>
        </is>
      </c>
      <c r="D4690" t="inlineStr">
        <is>
          <t>n° 9 + n° 10 + n° 11</t>
        </is>
      </c>
      <c r="E4690" t="inlineStr">
        <is>
          <t>ASSIETTE FRANC-COMTO</t>
        </is>
      </c>
      <c r="F4690" t="n">
        <v>18.6</v>
      </c>
      <c r="G4690" t="inlineStr">
        <is>
          <t>n° 9 : 0,50</t>
        </is>
      </c>
      <c r="H4690" t="n">
        <v>0.5</v>
      </c>
    </row>
    <row r="4691">
      <c r="A4691" t="inlineStr">
        <is>
          <t>2024-2025</t>
        </is>
      </c>
      <c r="B4691" t="inlineStr">
        <is>
          <t>2024-10-30</t>
        </is>
      </c>
      <c r="C4691" t="inlineStr">
        <is>
          <t>12:40</t>
        </is>
      </c>
      <c r="D4691" t="inlineStr">
        <is>
          <t>n° 9 + n° 10 + n° 11</t>
        </is>
      </c>
      <c r="E4691" t="inlineStr">
        <is>
          <t>La Vouivre</t>
        </is>
      </c>
      <c r="F4691" t="n">
        <v>5.9</v>
      </c>
      <c r="G4691" t="inlineStr">
        <is>
          <t>n° 9 : 0,50</t>
        </is>
      </c>
      <c r="H4691" t="n">
        <v>0.5</v>
      </c>
    </row>
    <row r="4692">
      <c r="A4692" t="inlineStr">
        <is>
          <t>2024-2025</t>
        </is>
      </c>
      <c r="B4692" t="inlineStr">
        <is>
          <t>2024-10-30</t>
        </is>
      </c>
      <c r="C4692" t="inlineStr">
        <is>
          <t>12:40</t>
        </is>
      </c>
      <c r="D4692" t="inlineStr">
        <is>
          <t>n° 9 + n° 10 + n° 11</t>
        </is>
      </c>
      <c r="E4692" t="inlineStr">
        <is>
          <t>Chat perché</t>
        </is>
      </c>
      <c r="F4692" t="n">
        <v>5.9</v>
      </c>
      <c r="G4692" t="inlineStr">
        <is>
          <t>n° 9 : 0,50</t>
        </is>
      </c>
      <c r="H4692" t="n">
        <v>0.5</v>
      </c>
    </row>
    <row r="4693">
      <c r="A4693" t="inlineStr">
        <is>
          <t>2024-2025</t>
        </is>
      </c>
      <c r="B4693" t="inlineStr">
        <is>
          <t>2024-10-30</t>
        </is>
      </c>
      <c r="C4693" t="inlineStr">
        <is>
          <t>12:40</t>
        </is>
      </c>
      <c r="D4693" t="inlineStr">
        <is>
          <t>n° 9 + n° 10 + n° 11</t>
        </is>
      </c>
      <c r="E4693" t="inlineStr">
        <is>
          <t>Jus de Fruit</t>
        </is>
      </c>
      <c r="F4693" t="n">
        <v>4.2</v>
      </c>
      <c r="G4693" t="inlineStr">
        <is>
          <t>n° 10 : 0,50 + n° 11 : 0,50</t>
        </is>
      </c>
      <c r="H4693" t="n">
        <v>1</v>
      </c>
    </row>
    <row r="4694">
      <c r="A4694" t="inlineStr">
        <is>
          <t>2024-2025</t>
        </is>
      </c>
      <c r="B4694" t="inlineStr">
        <is>
          <t>2024-10-30</t>
        </is>
      </c>
      <c r="C4694" t="inlineStr">
        <is>
          <t>12:40</t>
        </is>
      </c>
      <c r="D4694" t="inlineStr">
        <is>
          <t>n° 9 + n° 10 + n° 11</t>
        </is>
      </c>
      <c r="E4694" t="inlineStr">
        <is>
          <t>Coca (25cl)</t>
        </is>
      </c>
      <c r="F4694" t="n">
        <v>3.9</v>
      </c>
      <c r="G4694" t="inlineStr">
        <is>
          <t>n° 10 : 0,50 + n° 11 : 0,50</t>
        </is>
      </c>
      <c r="H4694" t="n">
        <v>1</v>
      </c>
    </row>
    <row r="4695">
      <c r="A4695" t="inlineStr">
        <is>
          <t>2024-2025</t>
        </is>
      </c>
      <c r="B4695" t="inlineStr">
        <is>
          <t>2024-10-30</t>
        </is>
      </c>
      <c r="C4695" t="inlineStr">
        <is>
          <t>19:56</t>
        </is>
      </c>
      <c r="D4695" t="inlineStr">
        <is>
          <t>n° 21 + n° 22</t>
        </is>
      </c>
      <c r="E4695" t="inlineStr">
        <is>
          <t>Menu Franc-Comtois</t>
        </is>
      </c>
      <c r="F4695" t="n">
        <v>34</v>
      </c>
      <c r="G4695" t="inlineStr">
        <is>
          <t>n° 21 : 0,50 + n° 22 : 0,50</t>
        </is>
      </c>
      <c r="H4695" t="n">
        <v>1</v>
      </c>
    </row>
    <row r="4696">
      <c r="A4696" t="inlineStr">
        <is>
          <t>2024-2025</t>
        </is>
      </c>
      <c r="B4696" t="inlineStr">
        <is>
          <t>2024-10-30</t>
        </is>
      </c>
      <c r="C4696" t="inlineStr">
        <is>
          <t>19:56</t>
        </is>
      </c>
      <c r="D4696" t="inlineStr">
        <is>
          <t>n° 21 + n° 22</t>
        </is>
      </c>
      <c r="E4696" t="inlineStr">
        <is>
          <t>Menu Bourguignon</t>
        </is>
      </c>
      <c r="F4696" t="n">
        <v>34</v>
      </c>
      <c r="G4696" t="inlineStr">
        <is>
          <t>n° 21 : 0,50 + n° 22 : 0,50</t>
        </is>
      </c>
      <c r="H4696" t="n">
        <v>1</v>
      </c>
    </row>
    <row r="4697">
      <c r="A4697" t="inlineStr">
        <is>
          <t>2024-2025</t>
        </is>
      </c>
      <c r="B4697" t="inlineStr">
        <is>
          <t>2024-10-30</t>
        </is>
      </c>
      <c r="C4697" t="inlineStr">
        <is>
          <t>19:56</t>
        </is>
      </c>
      <c r="D4697" t="inlineStr">
        <is>
          <t>n° 21 + n° 22</t>
        </is>
      </c>
      <c r="E4697" t="inlineStr">
        <is>
          <t>MACHON GOURMET</t>
        </is>
      </c>
      <c r="F4697" t="n">
        <v>25</v>
      </c>
      <c r="G4697" t="inlineStr">
        <is>
          <t>n° 21 : 0,50 + n° 22 : 0,50</t>
        </is>
      </c>
      <c r="H4697" t="n">
        <v>1</v>
      </c>
    </row>
    <row r="4698">
      <c r="A4698" t="inlineStr">
        <is>
          <t>2024-2025</t>
        </is>
      </c>
      <c r="B4698" t="inlineStr">
        <is>
          <t>2024-10-30</t>
        </is>
      </c>
      <c r="C4698" t="inlineStr">
        <is>
          <t>19:56</t>
        </is>
      </c>
      <c r="D4698" t="inlineStr">
        <is>
          <t>n° 21 + n° 22</t>
        </is>
      </c>
      <c r="E4698" t="inlineStr">
        <is>
          <t>BURGER COMTOIS</t>
        </is>
      </c>
      <c r="F4698" t="n">
        <v>19</v>
      </c>
      <c r="G4698" t="inlineStr">
        <is>
          <t>n° 21 : 0,50 + n° 22 : 0,50</t>
        </is>
      </c>
      <c r="H4698" t="n">
        <v>1</v>
      </c>
    </row>
    <row r="4699">
      <c r="A4699" t="inlineStr">
        <is>
          <t>2024-2025</t>
        </is>
      </c>
      <c r="B4699" t="inlineStr">
        <is>
          <t>2024-10-30</t>
        </is>
      </c>
      <c r="C4699" t="inlineStr">
        <is>
          <t>19:56</t>
        </is>
      </c>
      <c r="D4699" t="inlineStr">
        <is>
          <t>n° 21 + n° 22</t>
        </is>
      </c>
      <c r="E4699" t="inlineStr">
        <is>
          <t>CAMEMBERT ROTI</t>
        </is>
      </c>
      <c r="F4699" t="n">
        <v>18.6</v>
      </c>
      <c r="G4699" t="inlineStr">
        <is>
          <t>n° 21 : 0,50 + n° 22 : 0,50</t>
        </is>
      </c>
      <c r="H4699" t="n">
        <v>1</v>
      </c>
    </row>
    <row r="4700">
      <c r="A4700" t="inlineStr">
        <is>
          <t>2024-2025</t>
        </is>
      </c>
      <c r="B4700" t="inlineStr">
        <is>
          <t>2024-10-30</t>
        </is>
      </c>
      <c r="C4700" t="inlineStr">
        <is>
          <t>19:56</t>
        </is>
      </c>
      <c r="D4700" t="inlineStr">
        <is>
          <t>n° 21 + n° 22</t>
        </is>
      </c>
      <c r="E4700" t="inlineStr">
        <is>
          <t>VOGEOTTE</t>
        </is>
      </c>
      <c r="F4700" t="n">
        <v>13.1</v>
      </c>
      <c r="G4700" t="inlineStr">
        <is>
          <t>n° 21 : 0,50 + n° 22 : 0,50</t>
        </is>
      </c>
      <c r="H4700" t="n">
        <v>1</v>
      </c>
    </row>
    <row r="4701">
      <c r="A4701" t="inlineStr">
        <is>
          <t>2024-2025</t>
        </is>
      </c>
      <c r="B4701" t="inlineStr">
        <is>
          <t>2024-10-30</t>
        </is>
      </c>
      <c r="C4701" t="inlineStr">
        <is>
          <t>19:56</t>
        </is>
      </c>
      <c r="D4701" t="inlineStr">
        <is>
          <t>n° 21 + n° 22</t>
        </is>
      </c>
      <c r="E4701" t="inlineStr">
        <is>
          <t>Salade Franc-Comptoi</t>
        </is>
      </c>
      <c r="F4701" t="n">
        <v>8.9</v>
      </c>
      <c r="G4701" t="inlineStr">
        <is>
          <t>n° 21 : 0,50 + n° 22 : 0,50</t>
        </is>
      </c>
      <c r="H4701" t="n">
        <v>1</v>
      </c>
    </row>
    <row r="4702">
      <c r="A4702" t="inlineStr">
        <is>
          <t>2024-2025</t>
        </is>
      </c>
      <c r="B4702" t="inlineStr">
        <is>
          <t>2024-10-30</t>
        </is>
      </c>
      <c r="C4702" t="inlineStr">
        <is>
          <t>19:56</t>
        </is>
      </c>
      <c r="D4702" t="inlineStr">
        <is>
          <t>n° 21 + n° 22</t>
        </is>
      </c>
      <c r="E4702" t="inlineStr">
        <is>
          <t>Jamhon Persillé</t>
        </is>
      </c>
      <c r="F4702" t="n">
        <v>7.2</v>
      </c>
      <c r="G4702" t="inlineStr">
        <is>
          <t>n° 21 : 0,50 + n° 22 : 0,50</t>
        </is>
      </c>
      <c r="H4702" t="n">
        <v>1</v>
      </c>
    </row>
    <row r="4703">
      <c r="A4703" t="inlineStr">
        <is>
          <t>2024-2025</t>
        </is>
      </c>
      <c r="B4703" t="inlineStr">
        <is>
          <t>2024-10-30</t>
        </is>
      </c>
      <c r="C4703" t="inlineStr">
        <is>
          <t>19:56</t>
        </is>
      </c>
      <c r="D4703" t="inlineStr">
        <is>
          <t>n° 21 + n° 22</t>
        </is>
      </c>
      <c r="E4703" t="inlineStr">
        <is>
          <t>Crêpe Nutella</t>
        </is>
      </c>
      <c r="F4703" t="n">
        <v>4.9</v>
      </c>
      <c r="G4703" t="inlineStr">
        <is>
          <t>n° 21 : 1,50 + n° 22 : 1,50</t>
        </is>
      </c>
      <c r="H4703" t="n">
        <v>3</v>
      </c>
    </row>
    <row r="4704">
      <c r="A4704" t="inlineStr">
        <is>
          <t>2024-2025</t>
        </is>
      </c>
      <c r="B4704" t="inlineStr">
        <is>
          <t>2024-10-30</t>
        </is>
      </c>
      <c r="C4704" t="inlineStr">
        <is>
          <t>19:56</t>
        </is>
      </c>
      <c r="D4704" t="inlineStr">
        <is>
          <t>n° 21 + n° 22</t>
        </is>
      </c>
      <c r="E4704" t="inlineStr">
        <is>
          <t>POMMES FRITES</t>
        </is>
      </c>
      <c r="F4704" t="n">
        <v>3.9</v>
      </c>
      <c r="G4704" t="inlineStr">
        <is>
          <t>n° 21 : 0,50 + n° 22 : 0,50</t>
        </is>
      </c>
      <c r="H4704" t="n">
        <v>1</v>
      </c>
    </row>
    <row r="4705">
      <c r="A4705" t="inlineStr">
        <is>
          <t>2024-2025</t>
        </is>
      </c>
      <c r="B4705" t="inlineStr">
        <is>
          <t>2024-10-30</t>
        </is>
      </c>
      <c r="C4705" t="inlineStr">
        <is>
          <t>19:56</t>
        </is>
      </c>
      <c r="D4705" t="inlineStr">
        <is>
          <t>n° 21 + n° 22</t>
        </is>
      </c>
      <c r="E4705" t="inlineStr">
        <is>
          <t>1 Boule Glace</t>
        </is>
      </c>
      <c r="F4705" t="n">
        <v>3.5</v>
      </c>
      <c r="G4705" t="inlineStr">
        <is>
          <t>n° 21 : 0,50 + n° 22 : 0,50</t>
        </is>
      </c>
      <c r="H4705" t="n">
        <v>1</v>
      </c>
    </row>
    <row r="4706">
      <c r="A4706" t="inlineStr">
        <is>
          <t>2024-2025</t>
        </is>
      </c>
      <c r="B4706" t="inlineStr">
        <is>
          <t>2024-10-30</t>
        </is>
      </c>
      <c r="C4706" t="inlineStr">
        <is>
          <t>19:56</t>
        </is>
      </c>
      <c r="D4706" t="inlineStr">
        <is>
          <t>n° 21 + n° 22</t>
        </is>
      </c>
      <c r="E4706" t="inlineStr">
        <is>
          <t>BANANE</t>
        </is>
      </c>
      <c r="F4706" t="n">
        <v>2.7</v>
      </c>
      <c r="G4706" t="inlineStr">
        <is>
          <t>n° 21 : 0,50 + n° 22 : 0,50</t>
        </is>
      </c>
      <c r="H4706" t="n">
        <v>1</v>
      </c>
    </row>
    <row r="4707">
      <c r="A4707" t="inlineStr">
        <is>
          <t>2024-2025</t>
        </is>
      </c>
      <c r="B4707" t="inlineStr">
        <is>
          <t>2024-10-30</t>
        </is>
      </c>
      <c r="C4707" t="inlineStr">
        <is>
          <t>19:56</t>
        </is>
      </c>
      <c r="D4707" t="inlineStr">
        <is>
          <t>n° 21 + n° 22</t>
        </is>
      </c>
      <c r="E4707" t="inlineStr">
        <is>
          <t>CHANTILLY</t>
        </is>
      </c>
      <c r="F4707" t="n">
        <v>2.5</v>
      </c>
      <c r="G4707" t="inlineStr">
        <is>
          <t>n° 21 : 0,50 + n° 22 : 0,50</t>
        </is>
      </c>
      <c r="H4707" t="n">
        <v>1</v>
      </c>
    </row>
    <row r="4708">
      <c r="A4708" t="inlineStr">
        <is>
          <t>2024-2025</t>
        </is>
      </c>
      <c r="B4708" t="inlineStr">
        <is>
          <t>2024-10-31</t>
        </is>
      </c>
      <c r="C4708" t="inlineStr">
        <is>
          <t>12:24</t>
        </is>
      </c>
      <c r="D4708" t="inlineStr">
        <is>
          <t>n° 7 + n° 8</t>
        </is>
      </c>
      <c r="E4708" t="inlineStr">
        <is>
          <t>PAYSANNE</t>
        </is>
      </c>
      <c r="F4708" t="n">
        <v>19.9</v>
      </c>
      <c r="G4708" t="inlineStr">
        <is>
          <t>n° 7 : 0,50 + n° 8 : 0,50</t>
        </is>
      </c>
      <c r="H4708" t="n">
        <v>1</v>
      </c>
    </row>
    <row r="4709">
      <c r="A4709" t="inlineStr">
        <is>
          <t>2024-2025</t>
        </is>
      </c>
      <c r="B4709" t="inlineStr">
        <is>
          <t>2024-10-31</t>
        </is>
      </c>
      <c r="C4709" t="inlineStr">
        <is>
          <t>12:24</t>
        </is>
      </c>
      <c r="D4709" t="inlineStr">
        <is>
          <t>n° 7 + n° 8</t>
        </is>
      </c>
      <c r="E4709" t="inlineStr">
        <is>
          <t>Salade Régionale</t>
        </is>
      </c>
      <c r="F4709" t="n">
        <v>19.9</v>
      </c>
      <c r="G4709" t="inlineStr">
        <is>
          <t>n° 7 : 0,50 + n° 8 : 0,50</t>
        </is>
      </c>
      <c r="H4709" t="n">
        <v>1</v>
      </c>
    </row>
    <row r="4710">
      <c r="A4710" t="inlineStr">
        <is>
          <t>2024-2025</t>
        </is>
      </c>
      <c r="B4710" t="inlineStr">
        <is>
          <t>2024-10-31</t>
        </is>
      </c>
      <c r="C4710" t="inlineStr">
        <is>
          <t>12:24</t>
        </is>
      </c>
      <c r="D4710" t="inlineStr">
        <is>
          <t>n° 7 + n° 8</t>
        </is>
      </c>
      <c r="E4710" t="inlineStr">
        <is>
          <t>BURGER COMTOIS</t>
        </is>
      </c>
      <c r="F4710" t="n">
        <v>19</v>
      </c>
      <c r="G4710" t="inlineStr">
        <is>
          <t>n° 7 : 0,50 + n° 8 : 0,50</t>
        </is>
      </c>
      <c r="H4710" t="n">
        <v>1</v>
      </c>
    </row>
    <row r="4711">
      <c r="A4711" t="inlineStr">
        <is>
          <t>2024-2025</t>
        </is>
      </c>
      <c r="B4711" t="inlineStr">
        <is>
          <t>2024-10-31</t>
        </is>
      </c>
      <c r="C4711" t="inlineStr">
        <is>
          <t>12:24</t>
        </is>
      </c>
      <c r="D4711" t="inlineStr">
        <is>
          <t>n° 7 + n° 8</t>
        </is>
      </c>
      <c r="E4711" t="inlineStr">
        <is>
          <t>Crêpe Marrons</t>
        </is>
      </c>
      <c r="F4711" t="n">
        <v>6.4</v>
      </c>
      <c r="G4711" t="inlineStr">
        <is>
          <t>n° 7 : 0,50 + n° 8 : 0,50</t>
        </is>
      </c>
      <c r="H4711" t="n">
        <v>1</v>
      </c>
    </row>
    <row r="4712">
      <c r="A4712" t="inlineStr">
        <is>
          <t>2024-2025</t>
        </is>
      </c>
      <c r="B4712" t="inlineStr">
        <is>
          <t>2024-10-31</t>
        </is>
      </c>
      <c r="C4712" t="inlineStr">
        <is>
          <t>12:24</t>
        </is>
      </c>
      <c r="D4712" t="inlineStr">
        <is>
          <t>n° 7 + n° 8</t>
        </is>
      </c>
      <c r="E4712" t="inlineStr">
        <is>
          <t>Crêpe Salidou</t>
        </is>
      </c>
      <c r="F4712" t="n">
        <v>6.4</v>
      </c>
      <c r="G4712" t="inlineStr">
        <is>
          <t>n° 7 : 0,50 + n° 8 : 0,50</t>
        </is>
      </c>
      <c r="H4712" t="n">
        <v>1</v>
      </c>
    </row>
    <row r="4713">
      <c r="A4713" t="inlineStr">
        <is>
          <t>2024-2025</t>
        </is>
      </c>
      <c r="B4713" t="inlineStr">
        <is>
          <t>2024-10-31</t>
        </is>
      </c>
      <c r="C4713" t="inlineStr">
        <is>
          <t>12:24</t>
        </is>
      </c>
      <c r="D4713" t="inlineStr">
        <is>
          <t>n° 7 + n° 8</t>
        </is>
      </c>
      <c r="E4713" t="inlineStr">
        <is>
          <t>Macvin du Jura</t>
        </is>
      </c>
      <c r="F4713" t="n">
        <v>5.9</v>
      </c>
      <c r="G4713" t="inlineStr">
        <is>
          <t>n° 7 : 0,50 + n° 8 : 0,50</t>
        </is>
      </c>
      <c r="H4713" t="n">
        <v>1</v>
      </c>
    </row>
    <row r="4714">
      <c r="A4714" t="inlineStr">
        <is>
          <t>2024-2025</t>
        </is>
      </c>
      <c r="B4714" t="inlineStr">
        <is>
          <t>2024-10-31</t>
        </is>
      </c>
      <c r="C4714" t="inlineStr">
        <is>
          <t>12:24</t>
        </is>
      </c>
      <c r="D4714" t="inlineStr">
        <is>
          <t>n° 7 + n° 8</t>
        </is>
      </c>
      <c r="E4714" t="inlineStr">
        <is>
          <t>Crepe Chocolat</t>
        </is>
      </c>
      <c r="F4714" t="n">
        <v>5.9</v>
      </c>
      <c r="G4714" t="inlineStr">
        <is>
          <t>n° 7 : 0,50 + n° 8 : 0,50</t>
        </is>
      </c>
      <c r="H4714" t="n">
        <v>1</v>
      </c>
    </row>
    <row r="4715">
      <c r="A4715" t="inlineStr">
        <is>
          <t>2024-2025</t>
        </is>
      </c>
      <c r="B4715" t="inlineStr">
        <is>
          <t>2024-10-31</t>
        </is>
      </c>
      <c r="C4715" t="inlineStr">
        <is>
          <t>12:24</t>
        </is>
      </c>
      <c r="D4715" t="inlineStr">
        <is>
          <t>n° 7 + n° 8</t>
        </is>
      </c>
      <c r="E4715" t="inlineStr">
        <is>
          <t>San Pelegrino 50cl</t>
        </is>
      </c>
      <c r="F4715" t="n">
        <v>4</v>
      </c>
      <c r="G4715" t="inlineStr">
        <is>
          <t>n° 7 : 0,50 + n° 8 : 0,50</t>
        </is>
      </c>
      <c r="H4715" t="n">
        <v>1</v>
      </c>
    </row>
    <row r="4716">
      <c r="A4716" t="inlineStr">
        <is>
          <t>2024-2025</t>
        </is>
      </c>
      <c r="B4716" t="inlineStr">
        <is>
          <t>2024-10-31</t>
        </is>
      </c>
      <c r="C4716" t="inlineStr">
        <is>
          <t>12:24</t>
        </is>
      </c>
      <c r="D4716" t="inlineStr">
        <is>
          <t>n° 7 + n° 8</t>
        </is>
      </c>
      <c r="E4716" t="inlineStr">
        <is>
          <t>Expresso</t>
        </is>
      </c>
      <c r="F4716" t="n">
        <v>2.2</v>
      </c>
      <c r="G4716" t="inlineStr">
        <is>
          <t>n° 7 : 0,50 + n° 8 : 0,50</t>
        </is>
      </c>
      <c r="H4716" t="n">
        <v>1</v>
      </c>
    </row>
    <row r="4717">
      <c r="A4717" t="inlineStr">
        <is>
          <t>2024-2025</t>
        </is>
      </c>
      <c r="B4717" t="inlineStr">
        <is>
          <t>2024-10-31</t>
        </is>
      </c>
      <c r="C4717" t="inlineStr">
        <is>
          <t>19:42</t>
        </is>
      </c>
      <c r="D4717" t="inlineStr">
        <is>
          <t>n° 20 + n° 21</t>
        </is>
      </c>
      <c r="E4717" t="inlineStr">
        <is>
          <t>FRELEE</t>
        </is>
      </c>
      <c r="F4717" t="n">
        <v>19.6</v>
      </c>
      <c r="G4717" t="inlineStr">
        <is>
          <t>n° 20 : 0,50 + n° 21 : 0,50</t>
        </is>
      </c>
      <c r="H4717" t="n">
        <v>1</v>
      </c>
    </row>
    <row r="4718">
      <c r="A4718" t="inlineStr">
        <is>
          <t>2024-2025</t>
        </is>
      </c>
      <c r="B4718" t="inlineStr">
        <is>
          <t>2024-10-31</t>
        </is>
      </c>
      <c r="C4718" t="inlineStr">
        <is>
          <t>19:42</t>
        </is>
      </c>
      <c r="D4718" t="inlineStr">
        <is>
          <t>n° 20 + n° 21</t>
        </is>
      </c>
      <c r="E4718" t="inlineStr">
        <is>
          <t>TANTELIN</t>
        </is>
      </c>
      <c r="F4718" t="n">
        <v>17.4</v>
      </c>
      <c r="G4718" t="inlineStr">
        <is>
          <t>n° 20 : 0,50 + n° 21 : 0,50</t>
        </is>
      </c>
      <c r="H4718" t="n">
        <v>1</v>
      </c>
    </row>
    <row r="4719">
      <c r="A4719" t="inlineStr">
        <is>
          <t>2024-2025</t>
        </is>
      </c>
      <c r="B4719" t="inlineStr">
        <is>
          <t>2024-10-31</t>
        </is>
      </c>
      <c r="C4719" t="inlineStr">
        <is>
          <t>19:42</t>
        </is>
      </c>
      <c r="D4719" t="inlineStr">
        <is>
          <t>n° 20 + n° 21</t>
        </is>
      </c>
      <c r="E4719" t="inlineStr">
        <is>
          <t>Cidre Bouché Doux</t>
        </is>
      </c>
      <c r="F4719" t="n">
        <v>16</v>
      </c>
      <c r="G4719" t="inlineStr">
        <is>
          <t>n° 20 : 0,50 + n° 21 : 0,50</t>
        </is>
      </c>
      <c r="H4719" t="n">
        <v>1</v>
      </c>
    </row>
    <row r="4720">
      <c r="A4720" t="inlineStr">
        <is>
          <t>2024-2025</t>
        </is>
      </c>
      <c r="B4720" t="inlineStr">
        <is>
          <t>2024-10-31</t>
        </is>
      </c>
      <c r="C4720" t="inlineStr">
        <is>
          <t>19:42</t>
        </is>
      </c>
      <c r="D4720" t="inlineStr">
        <is>
          <t>n° 20 + n° 21</t>
        </is>
      </c>
      <c r="E4720" t="inlineStr">
        <is>
          <t>Mi</t>
        </is>
      </c>
      <c r="F4720" t="n">
        <v>9</v>
      </c>
      <c r="G4720" t="inlineStr">
        <is>
          <t>n° 20 : 0,50 + n° 21 : 0,50</t>
        </is>
      </c>
      <c r="H4720" t="n">
        <v>1</v>
      </c>
    </row>
    <row r="4721">
      <c r="A4721" t="inlineStr">
        <is>
          <t>2024-2025</t>
        </is>
      </c>
      <c r="B4721" t="inlineStr">
        <is>
          <t>2024-10-31</t>
        </is>
      </c>
      <c r="C4721" t="inlineStr">
        <is>
          <t>19:42</t>
        </is>
      </c>
      <c r="D4721" t="inlineStr">
        <is>
          <t>n° 20 + n° 21</t>
        </is>
      </c>
      <c r="E4721" t="inlineStr">
        <is>
          <t>Crepe Chocolat</t>
        </is>
      </c>
      <c r="F4721" t="n">
        <v>5.9</v>
      </c>
      <c r="G4721" t="inlineStr">
        <is>
          <t>n° 20 : 0,50 + n° 21 : 0,50</t>
        </is>
      </c>
      <c r="H4721" t="n">
        <v>1</v>
      </c>
    </row>
    <row r="4722">
      <c r="A4722" t="inlineStr">
        <is>
          <t>2024-2025</t>
        </is>
      </c>
      <c r="B4722" t="inlineStr">
        <is>
          <t>2024-10-31</t>
        </is>
      </c>
      <c r="C4722" t="inlineStr">
        <is>
          <t>19:42</t>
        </is>
      </c>
      <c r="D4722" t="inlineStr">
        <is>
          <t>n° 20 + n° 21</t>
        </is>
      </c>
      <c r="E4722" t="inlineStr">
        <is>
          <t>Chantilly</t>
        </is>
      </c>
      <c r="F4722" t="n">
        <v>2</v>
      </c>
      <c r="G4722" t="inlineStr">
        <is>
          <t>n° 20 : 0,50 + n° 21 : 0,50</t>
        </is>
      </c>
      <c r="H4722" t="n">
        <v>1</v>
      </c>
    </row>
    <row r="4723">
      <c r="A4723" t="inlineStr">
        <is>
          <t>2024-2025</t>
        </is>
      </c>
      <c r="B4723" t="inlineStr">
        <is>
          <t>2024-10-31</t>
        </is>
      </c>
      <c r="C4723" t="inlineStr">
        <is>
          <t>20:24</t>
        </is>
      </c>
      <c r="D4723" t="inlineStr">
        <is>
          <t>n° 26 + n° 27</t>
        </is>
      </c>
      <c r="E4723" t="inlineStr">
        <is>
          <t>FRELEE</t>
        </is>
      </c>
      <c r="F4723" t="n">
        <v>19.6</v>
      </c>
      <c r="G4723" t="inlineStr">
        <is>
          <t>n° 26 : 0,50 + n° 27 : 0,50</t>
        </is>
      </c>
      <c r="H4723" t="n">
        <v>1</v>
      </c>
    </row>
    <row r="4724">
      <c r="A4724" t="inlineStr">
        <is>
          <t>2024-2025</t>
        </is>
      </c>
      <c r="B4724" t="inlineStr">
        <is>
          <t>2024-10-31</t>
        </is>
      </c>
      <c r="C4724" t="inlineStr">
        <is>
          <t>20:24</t>
        </is>
      </c>
      <c r="D4724" t="inlineStr">
        <is>
          <t>n° 26 + n° 27</t>
        </is>
      </c>
      <c r="E4724" t="inlineStr">
        <is>
          <t>ECRESSI</t>
        </is>
      </c>
      <c r="F4724" t="n">
        <v>15.5</v>
      </c>
      <c r="G4724" t="inlineStr">
        <is>
          <t>n° 26 : 0,50 + n° 27 : 0,50</t>
        </is>
      </c>
      <c r="H4724" t="n">
        <v>1</v>
      </c>
    </row>
    <row r="4725">
      <c r="A4725" t="inlineStr">
        <is>
          <t>2024-2025</t>
        </is>
      </c>
      <c r="B4725" t="inlineStr">
        <is>
          <t>2024-10-31</t>
        </is>
      </c>
      <c r="C4725" t="inlineStr">
        <is>
          <t>20:24</t>
        </is>
      </c>
      <c r="D4725" t="inlineStr">
        <is>
          <t>n° 26 + n° 27</t>
        </is>
      </c>
      <c r="E4725" t="inlineStr">
        <is>
          <t>Crêpe Marrons</t>
        </is>
      </c>
      <c r="F4725" t="n">
        <v>6.4</v>
      </c>
      <c r="G4725" t="inlineStr">
        <is>
          <t>n° 26 : 0,50 + n° 27 : 0,50</t>
        </is>
      </c>
      <c r="H4725" t="n">
        <v>1</v>
      </c>
    </row>
    <row r="4726">
      <c r="A4726" t="inlineStr">
        <is>
          <t>2024-2025</t>
        </is>
      </c>
      <c r="B4726" t="inlineStr">
        <is>
          <t>2024-10-31</t>
        </is>
      </c>
      <c r="C4726" t="inlineStr">
        <is>
          <t>20:24</t>
        </is>
      </c>
      <c r="D4726" t="inlineStr">
        <is>
          <t>n° 26 + n° 27</t>
        </is>
      </c>
      <c r="E4726" t="inlineStr">
        <is>
          <t>Crepe Chocolat</t>
        </is>
      </c>
      <c r="F4726" t="n">
        <v>5.9</v>
      </c>
      <c r="G4726" t="inlineStr">
        <is>
          <t>n° 26 : 0,50 + n° 27 : 0,50</t>
        </is>
      </c>
      <c r="H4726" t="n">
        <v>1</v>
      </c>
    </row>
    <row r="4727">
      <c r="A4727" t="inlineStr">
        <is>
          <t>2024-2025</t>
        </is>
      </c>
      <c r="B4727" t="inlineStr">
        <is>
          <t>2024-10-31</t>
        </is>
      </c>
      <c r="C4727" t="inlineStr">
        <is>
          <t>20:24</t>
        </is>
      </c>
      <c r="D4727" t="inlineStr">
        <is>
          <t>n° 26 + n° 27</t>
        </is>
      </c>
      <c r="E4727" t="inlineStr">
        <is>
          <t>Infusion</t>
        </is>
      </c>
      <c r="F4727" t="n">
        <v>3.4</v>
      </c>
      <c r="G4727" t="inlineStr">
        <is>
          <t>n° 26 : 0,50 + n° 27 : 0,50</t>
        </is>
      </c>
      <c r="H4727" t="n">
        <v>1</v>
      </c>
    </row>
    <row r="4728">
      <c r="A4728" t="inlineStr">
        <is>
          <t>2024-2025</t>
        </is>
      </c>
      <c r="B4728" t="inlineStr">
        <is>
          <t>2024-10-31</t>
        </is>
      </c>
      <c r="C4728" t="inlineStr">
        <is>
          <t>20:24</t>
        </is>
      </c>
      <c r="D4728" t="inlineStr">
        <is>
          <t>n° 26 + n° 27</t>
        </is>
      </c>
      <c r="E4728" t="inlineStr">
        <is>
          <t>Champignons frais</t>
        </is>
      </c>
      <c r="F4728" t="n">
        <v>3.2</v>
      </c>
      <c r="G4728" t="inlineStr">
        <is>
          <t>n° 26 : 0,50 + n° 27 : 0,50</t>
        </is>
      </c>
      <c r="H4728" t="n">
        <v>1</v>
      </c>
    </row>
    <row r="4729">
      <c r="A4729" t="inlineStr">
        <is>
          <t>2024-2025</t>
        </is>
      </c>
      <c r="B4729" t="inlineStr">
        <is>
          <t>2024-11-01</t>
        </is>
      </c>
      <c r="C4729" t="inlineStr">
        <is>
          <t>13:51</t>
        </is>
      </c>
      <c r="D4729" t="inlineStr">
        <is>
          <t>n° 11 + n° 12</t>
        </is>
      </c>
      <c r="E4729" t="inlineStr">
        <is>
          <t>Crémeux du Jura</t>
        </is>
      </c>
      <c r="F4729" t="n">
        <v>19</v>
      </c>
      <c r="G4729" t="inlineStr">
        <is>
          <t>n° 11 : 0,50 + n° 12 : 0,50</t>
        </is>
      </c>
      <c r="H4729" t="n">
        <v>1</v>
      </c>
    </row>
    <row r="4730">
      <c r="A4730" t="inlineStr">
        <is>
          <t>2024-2025</t>
        </is>
      </c>
      <c r="B4730" t="inlineStr">
        <is>
          <t>2024-11-01</t>
        </is>
      </c>
      <c r="C4730" t="inlineStr">
        <is>
          <t>13:51</t>
        </is>
      </c>
      <c r="D4730" t="inlineStr">
        <is>
          <t>n° 11 + n° 12</t>
        </is>
      </c>
      <c r="E4730" t="inlineStr">
        <is>
          <t>ASSIETTE FRANC-COMTO</t>
        </is>
      </c>
      <c r="F4730" t="n">
        <v>18.6</v>
      </c>
      <c r="G4730" t="inlineStr">
        <is>
          <t>n° 11 : 0,50 + n° 12 : 0,50</t>
        </is>
      </c>
      <c r="H4730" t="n">
        <v>1</v>
      </c>
    </row>
    <row r="4731">
      <c r="A4731" t="inlineStr">
        <is>
          <t>2024-2025</t>
        </is>
      </c>
      <c r="B4731" t="inlineStr">
        <is>
          <t>2024-11-01</t>
        </is>
      </c>
      <c r="C4731" t="inlineStr">
        <is>
          <t>13:51</t>
        </is>
      </c>
      <c r="D4731" t="inlineStr">
        <is>
          <t>n° 11 + n° 12</t>
        </is>
      </c>
      <c r="E4731" t="inlineStr">
        <is>
          <t>Pavlova</t>
        </is>
      </c>
      <c r="F4731" t="n">
        <v>8.9</v>
      </c>
      <c r="G4731" t="inlineStr">
        <is>
          <t>n° 11 : 0,50 + n° 12 : 0,50</t>
        </is>
      </c>
      <c r="H4731" t="n">
        <v>1</v>
      </c>
    </row>
    <row r="4732">
      <c r="A4732" t="inlineStr">
        <is>
          <t>2024-2025</t>
        </is>
      </c>
      <c r="B4732" t="inlineStr">
        <is>
          <t>2024-11-01</t>
        </is>
      </c>
      <c r="C4732" t="inlineStr">
        <is>
          <t>13:51</t>
        </is>
      </c>
      <c r="D4732" t="inlineStr">
        <is>
          <t>n° 11 + n° 12</t>
        </is>
      </c>
      <c r="E4732" t="inlineStr">
        <is>
          <t>Chat perché</t>
        </is>
      </c>
      <c r="F4732" t="n">
        <v>5.9</v>
      </c>
      <c r="G4732" t="inlineStr">
        <is>
          <t>n° 11 : 1,50 + n° 12 : 1,50</t>
        </is>
      </c>
      <c r="H4732" t="n">
        <v>3</v>
      </c>
    </row>
    <row r="4733">
      <c r="A4733" t="inlineStr">
        <is>
          <t>2024-2025</t>
        </is>
      </c>
      <c r="B4733" t="inlineStr">
        <is>
          <t>2024-11-01</t>
        </is>
      </c>
      <c r="C4733" t="inlineStr">
        <is>
          <t>13:51</t>
        </is>
      </c>
      <c r="D4733" t="inlineStr">
        <is>
          <t>n° 11 + n° 12</t>
        </is>
      </c>
      <c r="E4733" t="inlineStr">
        <is>
          <t>Crepe Chocolat</t>
        </is>
      </c>
      <c r="F4733" t="n">
        <v>5.9</v>
      </c>
      <c r="G4733" t="inlineStr">
        <is>
          <t>n° 11 : 0,50 + n° 12 : 0,50</t>
        </is>
      </c>
      <c r="H4733" t="n">
        <v>1</v>
      </c>
    </row>
    <row r="4734">
      <c r="A4734" t="inlineStr">
        <is>
          <t>2024-2025</t>
        </is>
      </c>
      <c r="B4734" t="inlineStr">
        <is>
          <t>2024-11-01</t>
        </is>
      </c>
      <c r="C4734" t="inlineStr">
        <is>
          <t>13:51</t>
        </is>
      </c>
      <c r="D4734" t="inlineStr">
        <is>
          <t>n° 11 + n° 12</t>
        </is>
      </c>
      <c r="E4734" t="inlineStr">
        <is>
          <t>KITTYKIR</t>
        </is>
      </c>
      <c r="F4734" t="n">
        <v>5.2</v>
      </c>
      <c r="G4734" t="inlineStr">
        <is>
          <t>n° 11 : 0,50 + n° 12 : 0,50</t>
        </is>
      </c>
      <c r="H4734" t="n">
        <v>1</v>
      </c>
    </row>
    <row r="4735">
      <c r="A4735" t="inlineStr">
        <is>
          <t>2024-2025</t>
        </is>
      </c>
      <c r="B4735" t="inlineStr">
        <is>
          <t>2024-11-02</t>
        </is>
      </c>
      <c r="C4735" t="inlineStr">
        <is>
          <t>13:10</t>
        </is>
      </c>
      <c r="D4735" t="inlineStr">
        <is>
          <t>n° 7 + n° 8</t>
        </is>
      </c>
      <c r="E4735" t="inlineStr">
        <is>
          <t>Entrecôte Forestiére</t>
        </is>
      </c>
      <c r="F4735" t="n">
        <v>27.8</v>
      </c>
      <c r="G4735" t="inlineStr">
        <is>
          <t>n° 7 : 0,50 + n° 8 : 0,50</t>
        </is>
      </c>
      <c r="H4735" t="n">
        <v>1</v>
      </c>
    </row>
    <row r="4736">
      <c r="A4736" t="inlineStr">
        <is>
          <t>2024-2025</t>
        </is>
      </c>
      <c r="B4736" t="inlineStr">
        <is>
          <t>2024-11-02</t>
        </is>
      </c>
      <c r="C4736" t="inlineStr">
        <is>
          <t>13:10</t>
        </is>
      </c>
      <c r="D4736" t="inlineStr">
        <is>
          <t>n° 7 + n° 8</t>
        </is>
      </c>
      <c r="E4736" t="inlineStr">
        <is>
          <t>Truite Morilles</t>
        </is>
      </c>
      <c r="F4736" t="n">
        <v>27.8</v>
      </c>
      <c r="G4736" t="inlineStr">
        <is>
          <t>n° 7 : 0,50 + n° 8 : 0,50</t>
        </is>
      </c>
      <c r="H4736" t="n">
        <v>1</v>
      </c>
    </row>
    <row r="4737">
      <c r="A4737" t="inlineStr">
        <is>
          <t>2024-2025</t>
        </is>
      </c>
      <c r="B4737" t="inlineStr">
        <is>
          <t>2024-11-02</t>
        </is>
      </c>
      <c r="C4737" t="inlineStr">
        <is>
          <t>13:10</t>
        </is>
      </c>
      <c r="D4737" t="inlineStr">
        <is>
          <t>n° 7 + n° 8</t>
        </is>
      </c>
      <c r="E4737" t="inlineStr">
        <is>
          <t>H.C.DE BEAUNE  VERRE</t>
        </is>
      </c>
      <c r="F4737" t="n">
        <v>9.5</v>
      </c>
      <c r="G4737" t="inlineStr">
        <is>
          <t>n° 7 : 0,50 + n° 8 : 0,50</t>
        </is>
      </c>
      <c r="H4737" t="n">
        <v>1</v>
      </c>
    </row>
    <row r="4738">
      <c r="A4738" t="inlineStr">
        <is>
          <t>2024-2025</t>
        </is>
      </c>
      <c r="B4738" t="inlineStr">
        <is>
          <t>2024-11-02</t>
        </is>
      </c>
      <c r="C4738" t="inlineStr">
        <is>
          <t>13:10</t>
        </is>
      </c>
      <c r="D4738" t="inlineStr">
        <is>
          <t>n° 7 + n° 8</t>
        </is>
      </c>
      <c r="E4738" t="inlineStr">
        <is>
          <t>Saint Véran Verre</t>
        </is>
      </c>
      <c r="F4738" t="n">
        <v>7.9</v>
      </c>
      <c r="G4738" t="inlineStr">
        <is>
          <t>n° 7 : 0,50 + n° 8 : 0,50</t>
        </is>
      </c>
      <c r="H4738" t="n">
        <v>1</v>
      </c>
    </row>
    <row r="4739">
      <c r="A4739" t="inlineStr">
        <is>
          <t>2024-2025</t>
        </is>
      </c>
      <c r="B4739" t="inlineStr">
        <is>
          <t>2024-11-02</t>
        </is>
      </c>
      <c r="C4739" t="inlineStr">
        <is>
          <t>20:42</t>
        </is>
      </c>
      <c r="D4739" t="inlineStr">
        <is>
          <t>n° 18 + n° 19 + n° 21 + n° 22</t>
        </is>
      </c>
      <c r="E4739" t="inlineStr">
        <is>
          <t>PICHET MOULIN A VENT</t>
        </is>
      </c>
      <c r="F4739" t="n">
        <v>26</v>
      </c>
      <c r="G4739" t="inlineStr">
        <is>
          <t>n° 18 : 0,50 + n° 19 : 0,50</t>
        </is>
      </c>
      <c r="H4739" t="n">
        <v>1</v>
      </c>
    </row>
    <row r="4740">
      <c r="A4740" t="inlineStr">
        <is>
          <t>2024-2025</t>
        </is>
      </c>
      <c r="B4740" t="inlineStr">
        <is>
          <t>2024-11-02</t>
        </is>
      </c>
      <c r="C4740" t="inlineStr">
        <is>
          <t>20:42</t>
        </is>
      </c>
      <c r="D4740" t="inlineStr">
        <is>
          <t>n° 18 + n° 19 + n° 21 + n° 22</t>
        </is>
      </c>
      <c r="E4740" t="inlineStr">
        <is>
          <t>Entrecôte grillée</t>
        </is>
      </c>
      <c r="F4740" t="n">
        <v>19.9</v>
      </c>
      <c r="G4740" t="inlineStr">
        <is>
          <t>n° 18 : 0,50 + n° 19 : 0,50</t>
        </is>
      </c>
      <c r="H4740" t="n">
        <v>1</v>
      </c>
    </row>
    <row r="4741">
      <c r="A4741" t="inlineStr">
        <is>
          <t>2024-2025</t>
        </is>
      </c>
      <c r="B4741" t="inlineStr">
        <is>
          <t>2024-11-02</t>
        </is>
      </c>
      <c r="C4741" t="inlineStr">
        <is>
          <t>20:42</t>
        </is>
      </c>
      <c r="D4741" t="inlineStr">
        <is>
          <t>n° 18 + n° 19 + n° 21 + n° 22</t>
        </is>
      </c>
      <c r="E4741" t="inlineStr">
        <is>
          <t>PAYSANNE</t>
        </is>
      </c>
      <c r="F4741" t="n">
        <v>19.9</v>
      </c>
      <c r="G4741" t="inlineStr">
        <is>
          <t>n° 18 : 0,50 + n° 19 : 0,50</t>
        </is>
      </c>
      <c r="H4741" t="n">
        <v>1</v>
      </c>
    </row>
    <row r="4742">
      <c r="A4742" t="inlineStr">
        <is>
          <t>2024-2025</t>
        </is>
      </c>
      <c r="B4742" t="inlineStr">
        <is>
          <t>2024-11-02</t>
        </is>
      </c>
      <c r="C4742" t="inlineStr">
        <is>
          <t>20:42</t>
        </is>
      </c>
      <c r="D4742" t="inlineStr">
        <is>
          <t>n° 18 + n° 19 + n° 21 + n° 22</t>
        </is>
      </c>
      <c r="E4742" t="inlineStr">
        <is>
          <t>Croûtes Morilles</t>
        </is>
      </c>
      <c r="F4742" t="n">
        <v>16.9</v>
      </c>
      <c r="G4742" t="inlineStr">
        <is>
          <t>n° 21 : 0,50 + n° 22 : 0,50</t>
        </is>
      </c>
      <c r="H4742" t="n">
        <v>1</v>
      </c>
    </row>
    <row r="4743">
      <c r="A4743" t="inlineStr">
        <is>
          <t>2024-2025</t>
        </is>
      </c>
      <c r="B4743" t="inlineStr">
        <is>
          <t>2024-11-02</t>
        </is>
      </c>
      <c r="C4743" t="inlineStr">
        <is>
          <t>20:42</t>
        </is>
      </c>
      <c r="D4743" t="inlineStr">
        <is>
          <t>n° 18 + n° 19 + n° 21 + n° 22</t>
        </is>
      </c>
      <c r="E4743" t="inlineStr">
        <is>
          <t>CONQUÊTE</t>
        </is>
      </c>
      <c r="F4743" t="n">
        <v>10.5</v>
      </c>
      <c r="G4743" t="inlineStr">
        <is>
          <t>n° 18 : 0,50 + n° 19 : 0,50</t>
        </is>
      </c>
      <c r="H4743" t="n">
        <v>1</v>
      </c>
    </row>
    <row r="4744">
      <c r="A4744" t="inlineStr">
        <is>
          <t>2024-2025</t>
        </is>
      </c>
      <c r="B4744" t="inlineStr">
        <is>
          <t>2024-11-02</t>
        </is>
      </c>
      <c r="C4744" t="inlineStr">
        <is>
          <t>20:42</t>
        </is>
      </c>
      <c r="D4744" t="inlineStr">
        <is>
          <t>n° 18 + n° 19 + n° 21 + n° 22</t>
        </is>
      </c>
      <c r="E4744" t="inlineStr">
        <is>
          <t>Gewurztraminer Le ve</t>
        </is>
      </c>
      <c r="F4744" t="n">
        <v>7</v>
      </c>
      <c r="G4744" t="inlineStr">
        <is>
          <t>n° 18 : 0,50 + n° 19 : 0,50</t>
        </is>
      </c>
      <c r="H4744" t="n">
        <v>1</v>
      </c>
    </row>
    <row r="4745">
      <c r="A4745" t="inlineStr">
        <is>
          <t>2024-2025</t>
        </is>
      </c>
      <c r="B4745" t="inlineStr">
        <is>
          <t>2024-11-02</t>
        </is>
      </c>
      <c r="C4745" t="inlineStr">
        <is>
          <t>20:42</t>
        </is>
      </c>
      <c r="D4745" t="inlineStr">
        <is>
          <t>n° 18 + n° 19 + n° 21 + n° 22</t>
        </is>
      </c>
      <c r="E4745" t="inlineStr">
        <is>
          <t>cidre la Mordue</t>
        </is>
      </c>
      <c r="F4745" t="n">
        <v>4.8</v>
      </c>
      <c r="G4745" t="inlineStr">
        <is>
          <t>n° 18 : 0,50 + n° 19 : 0,50</t>
        </is>
      </c>
      <c r="H4745" t="n">
        <v>1</v>
      </c>
    </row>
    <row r="4746">
      <c r="A4746" t="inlineStr">
        <is>
          <t>2024-2025</t>
        </is>
      </c>
      <c r="B4746" t="inlineStr">
        <is>
          <t>2024-11-02</t>
        </is>
      </c>
      <c r="C4746" t="inlineStr">
        <is>
          <t>20:42</t>
        </is>
      </c>
      <c r="D4746" t="inlineStr">
        <is>
          <t>n° 18 + n° 19 + n° 21 + n° 22</t>
        </is>
      </c>
      <c r="E4746" t="inlineStr">
        <is>
          <t>Crêpe au sucre</t>
        </is>
      </c>
      <c r="F4746" t="n">
        <v>3.9</v>
      </c>
      <c r="G4746" t="inlineStr">
        <is>
          <t>n° 18 : 1,50 + n° 19 : 1,50</t>
        </is>
      </c>
      <c r="H4746" t="n">
        <v>3</v>
      </c>
    </row>
    <row r="4747">
      <c r="A4747" t="inlineStr">
        <is>
          <t>2024-2025</t>
        </is>
      </c>
      <c r="B4747" t="inlineStr">
        <is>
          <t>2024-11-03</t>
        </is>
      </c>
      <c r="C4747" t="inlineStr">
        <is>
          <t>13:34</t>
        </is>
      </c>
      <c r="D4747" t="inlineStr">
        <is>
          <t>n° 8 + n° 9</t>
        </is>
      </c>
      <c r="E4747" t="inlineStr">
        <is>
          <t>Saint Véran</t>
        </is>
      </c>
      <c r="F4747" t="n">
        <v>39.5</v>
      </c>
      <c r="G4747" t="inlineStr">
        <is>
          <t>n° 8 : 0,25 + n° 9 : 0,75</t>
        </is>
      </c>
      <c r="H4747" t="n">
        <v>1</v>
      </c>
    </row>
    <row r="4748">
      <c r="A4748" t="inlineStr">
        <is>
          <t>2024-2025</t>
        </is>
      </c>
      <c r="B4748" t="inlineStr">
        <is>
          <t>2024-11-03</t>
        </is>
      </c>
      <c r="C4748" t="inlineStr">
        <is>
          <t>13:34</t>
        </is>
      </c>
      <c r="D4748" t="inlineStr">
        <is>
          <t>n° 8 + n° 9</t>
        </is>
      </c>
      <c r="E4748" t="inlineStr">
        <is>
          <t>Menu Bourguignon</t>
        </is>
      </c>
      <c r="F4748" t="n">
        <v>34</v>
      </c>
      <c r="G4748" t="inlineStr">
        <is>
          <t>n° 8 : 0,25 + n° 9 : 0,75</t>
        </is>
      </c>
      <c r="H4748" t="n">
        <v>1</v>
      </c>
    </row>
    <row r="4749">
      <c r="A4749" t="inlineStr">
        <is>
          <t>2024-2025</t>
        </is>
      </c>
      <c r="B4749" t="inlineStr">
        <is>
          <t>2024-11-03</t>
        </is>
      </c>
      <c r="C4749" t="inlineStr">
        <is>
          <t>13:34</t>
        </is>
      </c>
      <c r="D4749" t="inlineStr">
        <is>
          <t>n° 8 + n° 9</t>
        </is>
      </c>
      <c r="E4749" t="inlineStr">
        <is>
          <t>Menu Franc-Comtois</t>
        </is>
      </c>
      <c r="F4749" t="n">
        <v>34</v>
      </c>
      <c r="G4749" t="inlineStr">
        <is>
          <t>n° 8 : 0,25 + n° 9 : 0,75</t>
        </is>
      </c>
      <c r="H4749" t="n">
        <v>1</v>
      </c>
    </row>
    <row r="4750">
      <c r="A4750" t="inlineStr">
        <is>
          <t>2024-2025</t>
        </is>
      </c>
      <c r="B4750" t="inlineStr">
        <is>
          <t>2024-11-03</t>
        </is>
      </c>
      <c r="C4750" t="inlineStr">
        <is>
          <t>13:34</t>
        </is>
      </c>
      <c r="D4750" t="inlineStr">
        <is>
          <t>n° 8 + n° 9</t>
        </is>
      </c>
      <c r="E4750" t="inlineStr">
        <is>
          <t>Menu du Dahu</t>
        </is>
      </c>
      <c r="F4750" t="n">
        <v>29.9</v>
      </c>
      <c r="G4750" t="inlineStr">
        <is>
          <t>n° 8 : 1,50 + n° 9 : 4,50</t>
        </is>
      </c>
      <c r="H4750" t="n">
        <v>6</v>
      </c>
    </row>
    <row r="4751">
      <c r="A4751" t="inlineStr">
        <is>
          <t>2024-2025</t>
        </is>
      </c>
      <c r="B4751" t="inlineStr">
        <is>
          <t>2024-11-03</t>
        </is>
      </c>
      <c r="C4751" t="inlineStr">
        <is>
          <t>13:34</t>
        </is>
      </c>
      <c r="D4751" t="inlineStr">
        <is>
          <t>n° 8 + n° 9</t>
        </is>
      </c>
      <c r="E4751" t="inlineStr">
        <is>
          <t>Chat perché</t>
        </is>
      </c>
      <c r="F4751" t="n">
        <v>5.9</v>
      </c>
      <c r="G4751" t="inlineStr">
        <is>
          <t>n° 8 : 2,25 + n° 9 : 6,75</t>
        </is>
      </c>
      <c r="H4751" t="n">
        <v>9</v>
      </c>
    </row>
    <row r="4752">
      <c r="A4752" t="inlineStr">
        <is>
          <t>2024-2025</t>
        </is>
      </c>
      <c r="B4752" t="inlineStr">
        <is>
          <t>2024-11-03</t>
        </is>
      </c>
      <c r="C4752" t="inlineStr">
        <is>
          <t>13:34</t>
        </is>
      </c>
      <c r="D4752" t="inlineStr">
        <is>
          <t>n° 8 + n° 9</t>
        </is>
      </c>
      <c r="E4752" t="inlineStr">
        <is>
          <t>Père Gregoire</t>
        </is>
      </c>
      <c r="F4752" t="n">
        <v>5.9</v>
      </c>
      <c r="G4752" t="inlineStr">
        <is>
          <t>n° 8 : 0,25 + n° 9 : 0,75</t>
        </is>
      </c>
      <c r="H4752" t="n">
        <v>1</v>
      </c>
    </row>
    <row r="4753">
      <c r="A4753" t="inlineStr">
        <is>
          <t>2024-2025</t>
        </is>
      </c>
      <c r="B4753" t="inlineStr">
        <is>
          <t>2024-11-03</t>
        </is>
      </c>
      <c r="C4753" t="inlineStr">
        <is>
          <t>13:34</t>
        </is>
      </c>
      <c r="D4753" t="inlineStr">
        <is>
          <t>n° 8 + n° 9</t>
        </is>
      </c>
      <c r="E4753" t="inlineStr">
        <is>
          <t>San Pelegrino</t>
        </is>
      </c>
      <c r="F4753" t="n">
        <v>5.9</v>
      </c>
      <c r="G4753" t="inlineStr">
        <is>
          <t>n° 8 : 0,25 + n° 9 : 0,75</t>
        </is>
      </c>
      <c r="H4753" t="n">
        <v>1</v>
      </c>
    </row>
    <row r="4754">
      <c r="A4754" t="inlineStr">
        <is>
          <t>2024-2025</t>
        </is>
      </c>
      <c r="B4754" t="inlineStr">
        <is>
          <t>2024-11-03</t>
        </is>
      </c>
      <c r="C4754" t="inlineStr">
        <is>
          <t>13:34</t>
        </is>
      </c>
      <c r="D4754" t="inlineStr">
        <is>
          <t>n° 8 + n° 9</t>
        </is>
      </c>
      <c r="E4754" t="inlineStr">
        <is>
          <t>Expresso</t>
        </is>
      </c>
      <c r="F4754" t="n">
        <v>2.2</v>
      </c>
      <c r="G4754" t="inlineStr">
        <is>
          <t>n° 8 : 1,75 + n° 9 : 5,25</t>
        </is>
      </c>
      <c r="H4754" t="n">
        <v>7</v>
      </c>
    </row>
    <row r="4755">
      <c r="A4755" t="inlineStr">
        <is>
          <t>2024-2025</t>
        </is>
      </c>
      <c r="B4755" t="inlineStr">
        <is>
          <t>2024-11-06</t>
        </is>
      </c>
      <c r="C4755" t="inlineStr">
        <is>
          <t>11:58</t>
        </is>
      </c>
      <c r="D4755" t="inlineStr">
        <is>
          <t>n° 6 + n° 7</t>
        </is>
      </c>
      <c r="E4755" t="inlineStr">
        <is>
          <t>San Pelegrino 50cl</t>
        </is>
      </c>
      <c r="F4755" t="n">
        <v>4</v>
      </c>
      <c r="G4755" t="inlineStr">
        <is>
          <t>n° 6 : 0,50 + n° 7 : 0,50</t>
        </is>
      </c>
      <c r="H4755" t="n">
        <v>1</v>
      </c>
    </row>
    <row r="4756">
      <c r="A4756" t="inlineStr">
        <is>
          <t>2024-2025</t>
        </is>
      </c>
      <c r="B4756" t="inlineStr">
        <is>
          <t>2024-11-06</t>
        </is>
      </c>
      <c r="C4756" t="inlineStr">
        <is>
          <t>12:59</t>
        </is>
      </c>
      <c r="D4756" t="inlineStr">
        <is>
          <t>n° 17 + n° 18</t>
        </is>
      </c>
      <c r="E4756" t="inlineStr">
        <is>
          <t>PICHET SAVAGNIN</t>
        </is>
      </c>
      <c r="F4756" t="n">
        <v>28</v>
      </c>
      <c r="G4756" t="inlineStr">
        <is>
          <t>n° 17 : 0,50 + n° 18 : 0,50</t>
        </is>
      </c>
      <c r="H4756" t="n">
        <v>1</v>
      </c>
    </row>
    <row r="4757">
      <c r="A4757" t="inlineStr">
        <is>
          <t>2024-2025</t>
        </is>
      </c>
      <c r="B4757" t="inlineStr">
        <is>
          <t>2024-11-06</t>
        </is>
      </c>
      <c r="C4757" t="inlineStr">
        <is>
          <t>12:59</t>
        </is>
      </c>
      <c r="D4757" t="inlineStr">
        <is>
          <t>n° 17 + n° 18</t>
        </is>
      </c>
      <c r="E4757" t="inlineStr">
        <is>
          <t>Menu Végétarien</t>
        </is>
      </c>
      <c r="F4757" t="n">
        <v>26.5</v>
      </c>
      <c r="G4757" t="inlineStr">
        <is>
          <t>n° 17 : 0,50 + n° 18 : 0,50</t>
        </is>
      </c>
      <c r="H4757" t="n">
        <v>1</v>
      </c>
    </row>
    <row r="4758">
      <c r="A4758" t="inlineStr">
        <is>
          <t>2024-2025</t>
        </is>
      </c>
      <c r="B4758" t="inlineStr">
        <is>
          <t>2024-11-06</t>
        </is>
      </c>
      <c r="C4758" t="inlineStr">
        <is>
          <t>12:59</t>
        </is>
      </c>
      <c r="D4758" t="inlineStr">
        <is>
          <t>n° 17 + n° 18</t>
        </is>
      </c>
      <c r="E4758" t="inlineStr">
        <is>
          <t>Crémeux du Jura</t>
        </is>
      </c>
      <c r="F4758" t="n">
        <v>19</v>
      </c>
      <c r="G4758" t="inlineStr">
        <is>
          <t>n° 17 : 0,50 + n° 18 : 0,50</t>
        </is>
      </c>
      <c r="H4758" t="n">
        <v>1</v>
      </c>
    </row>
    <row r="4759">
      <c r="A4759" t="inlineStr">
        <is>
          <t>2024-2025</t>
        </is>
      </c>
      <c r="B4759" t="inlineStr">
        <is>
          <t>2024-11-06</t>
        </is>
      </c>
      <c r="C4759" t="inlineStr">
        <is>
          <t>12:59</t>
        </is>
      </c>
      <c r="D4759" t="inlineStr">
        <is>
          <t>n° 17 + n° 18</t>
        </is>
      </c>
      <c r="E4759" t="inlineStr">
        <is>
          <t>CAMEMBERT ROTI</t>
        </is>
      </c>
      <c r="F4759" t="n">
        <v>18.6</v>
      </c>
      <c r="G4759" t="inlineStr">
        <is>
          <t>n° 17 : 0,50 + n° 18 : 0,50</t>
        </is>
      </c>
      <c r="H4759" t="n">
        <v>1</v>
      </c>
    </row>
    <row r="4760">
      <c r="A4760" t="inlineStr">
        <is>
          <t>2024-2025</t>
        </is>
      </c>
      <c r="B4760" t="inlineStr">
        <is>
          <t>2024-11-06</t>
        </is>
      </c>
      <c r="C4760" t="inlineStr">
        <is>
          <t>12:59</t>
        </is>
      </c>
      <c r="D4760" t="inlineStr">
        <is>
          <t>n° 17 + n° 18</t>
        </is>
      </c>
      <c r="E4760" t="inlineStr">
        <is>
          <t>VOUIVRE</t>
        </is>
      </c>
      <c r="F4760" t="n">
        <v>14.6</v>
      </c>
      <c r="G4760" t="inlineStr">
        <is>
          <t>n° 17 : 0,50 + n° 18 : 0,50</t>
        </is>
      </c>
      <c r="H4760" t="n">
        <v>1</v>
      </c>
    </row>
    <row r="4761">
      <c r="A4761" t="inlineStr">
        <is>
          <t>2024-2025</t>
        </is>
      </c>
      <c r="B4761" t="inlineStr">
        <is>
          <t>2024-11-06</t>
        </is>
      </c>
      <c r="C4761" t="inlineStr">
        <is>
          <t>12:59</t>
        </is>
      </c>
      <c r="D4761" t="inlineStr">
        <is>
          <t>n° 17 + n° 18</t>
        </is>
      </c>
      <c r="E4761" t="inlineStr">
        <is>
          <t>Assortiment charcute</t>
        </is>
      </c>
      <c r="F4761" t="n">
        <v>8.9</v>
      </c>
      <c r="G4761" t="inlineStr">
        <is>
          <t>n° 17 : 0,50 + n° 18 : 0,50</t>
        </is>
      </c>
      <c r="H4761" t="n">
        <v>1</v>
      </c>
    </row>
    <row r="4762">
      <c r="A4762" t="inlineStr">
        <is>
          <t>2024-2025</t>
        </is>
      </c>
      <c r="B4762" t="inlineStr">
        <is>
          <t>2024-11-06</t>
        </is>
      </c>
      <c r="C4762" t="inlineStr">
        <is>
          <t>12:59</t>
        </is>
      </c>
      <c r="D4762" t="inlineStr">
        <is>
          <t>n° 17 + n° 18</t>
        </is>
      </c>
      <c r="E4762" t="inlineStr">
        <is>
          <t>GLACE 2 BOULES</t>
        </is>
      </c>
      <c r="F4762" t="n">
        <v>5.5</v>
      </c>
      <c r="G4762" t="inlineStr">
        <is>
          <t>n° 17 : 0,50 + n° 18 : 0,50</t>
        </is>
      </c>
      <c r="H4762" t="n">
        <v>1</v>
      </c>
    </row>
    <row r="4763">
      <c r="A4763" t="inlineStr">
        <is>
          <t>2024-2025</t>
        </is>
      </c>
      <c r="B4763" t="inlineStr">
        <is>
          <t>2024-11-06</t>
        </is>
      </c>
      <c r="C4763" t="inlineStr">
        <is>
          <t>12:59</t>
        </is>
      </c>
      <c r="D4763" t="inlineStr">
        <is>
          <t>n° 17 + n° 18</t>
        </is>
      </c>
      <c r="E4763" t="inlineStr">
        <is>
          <t>cidre la Mordue</t>
        </is>
      </c>
      <c r="F4763" t="n">
        <v>4.8</v>
      </c>
      <c r="G4763" t="inlineStr">
        <is>
          <t>n° 17 : 0,50 + n° 18 : 0,50</t>
        </is>
      </c>
      <c r="H4763" t="n">
        <v>1</v>
      </c>
    </row>
    <row r="4764">
      <c r="A4764" t="inlineStr">
        <is>
          <t>2024-2025</t>
        </is>
      </c>
      <c r="B4764" t="inlineStr">
        <is>
          <t>2024-11-06</t>
        </is>
      </c>
      <c r="C4764" t="inlineStr">
        <is>
          <t>12:59</t>
        </is>
      </c>
      <c r="D4764" t="inlineStr">
        <is>
          <t>n° 17 + n° 18</t>
        </is>
      </c>
      <c r="E4764" t="inlineStr">
        <is>
          <t>POMMES FRITES</t>
        </is>
      </c>
      <c r="F4764" t="n">
        <v>3.9</v>
      </c>
      <c r="G4764" t="inlineStr">
        <is>
          <t>n° 17 : 0,50 + n° 18 : 0,50</t>
        </is>
      </c>
      <c r="H4764" t="n">
        <v>1</v>
      </c>
    </row>
    <row r="4765">
      <c r="A4765" t="inlineStr">
        <is>
          <t>2024-2025</t>
        </is>
      </c>
      <c r="B4765" t="inlineStr">
        <is>
          <t>2024-11-06</t>
        </is>
      </c>
      <c r="C4765" t="inlineStr">
        <is>
          <t>12:59</t>
        </is>
      </c>
      <c r="D4765" t="inlineStr">
        <is>
          <t>n° 17 + n° 18</t>
        </is>
      </c>
      <c r="E4765" t="inlineStr">
        <is>
          <t>Chantilly</t>
        </is>
      </c>
      <c r="F4765" t="n">
        <v>2</v>
      </c>
      <c r="G4765" t="inlineStr">
        <is>
          <t>n° 17 : 0,50 + n° 18 : 0,50</t>
        </is>
      </c>
      <c r="H4765" t="n">
        <v>1</v>
      </c>
    </row>
    <row r="4766">
      <c r="A4766" t="inlineStr">
        <is>
          <t>2024-2025</t>
        </is>
      </c>
      <c r="B4766" t="inlineStr">
        <is>
          <t>2024-11-08</t>
        </is>
      </c>
      <c r="C4766" t="inlineStr">
        <is>
          <t>12:48</t>
        </is>
      </c>
      <c r="D4766" t="inlineStr">
        <is>
          <t>n° 7 + n° 8 + n° 9 + n° 13 + n° 14</t>
        </is>
      </c>
      <c r="E4766" t="inlineStr">
        <is>
          <t>Perrier 33cl</t>
        </is>
      </c>
      <c r="F4766" t="n">
        <v>4</v>
      </c>
      <c r="G4766" t="inlineStr">
        <is>
          <t>n° 13 : 0,50 + n° 14 : 0,50</t>
        </is>
      </c>
      <c r="H4766" t="n">
        <v>1</v>
      </c>
    </row>
    <row r="4767">
      <c r="A4767" t="inlineStr">
        <is>
          <t>2024-2025</t>
        </is>
      </c>
      <c r="B4767" t="inlineStr">
        <is>
          <t>2024-11-08</t>
        </is>
      </c>
      <c r="C4767" t="inlineStr">
        <is>
          <t>12:48</t>
        </is>
      </c>
      <c r="D4767" t="inlineStr">
        <is>
          <t>n° 7 + n° 8 + n° 9 + n° 13 + n° 14</t>
        </is>
      </c>
      <c r="E4767" t="inlineStr">
        <is>
          <t>Expresso</t>
        </is>
      </c>
      <c r="F4767" t="n">
        <v>2.2</v>
      </c>
      <c r="G4767" t="inlineStr">
        <is>
          <t>n° 7 : 0,67 + n° 8 : 0,67 + n° 9 : 0,66 + n° 13 : 1,00 + n° 14 : 1,00</t>
        </is>
      </c>
      <c r="H4767" t="n">
        <v>4</v>
      </c>
    </row>
    <row r="4768">
      <c r="A4768" t="inlineStr">
        <is>
          <t>2024-2025</t>
        </is>
      </c>
      <c r="B4768" t="inlineStr">
        <is>
          <t>2024-11-08</t>
        </is>
      </c>
      <c r="C4768" t="inlineStr">
        <is>
          <t>19:43</t>
        </is>
      </c>
      <c r="D4768" t="inlineStr">
        <is>
          <t>n° 22 + n° 23</t>
        </is>
      </c>
      <c r="E4768" t="inlineStr">
        <is>
          <t>CAMEMBERT ROTI</t>
        </is>
      </c>
      <c r="F4768" t="n">
        <v>18.6</v>
      </c>
      <c r="G4768" t="inlineStr">
        <is>
          <t>n° 22 : 0,50 + n° 23 : 0,50</t>
        </is>
      </c>
      <c r="H4768" t="n">
        <v>1</v>
      </c>
    </row>
    <row r="4769">
      <c r="A4769" t="inlineStr">
        <is>
          <t>2024-2025</t>
        </is>
      </c>
      <c r="B4769" t="inlineStr">
        <is>
          <t>2024-11-08</t>
        </is>
      </c>
      <c r="C4769" t="inlineStr">
        <is>
          <t>19:43</t>
        </is>
      </c>
      <c r="D4769" t="inlineStr">
        <is>
          <t>n° 22 + n° 23</t>
        </is>
      </c>
      <c r="E4769" t="inlineStr">
        <is>
          <t>ASSIETTE PERE GREGOI</t>
        </is>
      </c>
      <c r="F4769" t="n">
        <v>18.6</v>
      </c>
      <c r="G4769" t="inlineStr">
        <is>
          <t>n° 22 : 0,50 + n° 23 : 0,50</t>
        </is>
      </c>
      <c r="H4769" t="n">
        <v>1</v>
      </c>
    </row>
    <row r="4770">
      <c r="A4770" t="inlineStr">
        <is>
          <t>2024-2025</t>
        </is>
      </c>
      <c r="B4770" t="inlineStr">
        <is>
          <t>2024-11-08</t>
        </is>
      </c>
      <c r="C4770" t="inlineStr">
        <is>
          <t>19:43</t>
        </is>
      </c>
      <c r="D4770" t="inlineStr">
        <is>
          <t>n° 22 + n° 23</t>
        </is>
      </c>
      <c r="E4770" t="inlineStr">
        <is>
          <t>Crêpe Salidou</t>
        </is>
      </c>
      <c r="F4770" t="n">
        <v>6.4</v>
      </c>
      <c r="G4770" t="inlineStr">
        <is>
          <t>n° 22 : 0,50 + n° 23 : 0,50</t>
        </is>
      </c>
      <c r="H4770" t="n">
        <v>1</v>
      </c>
    </row>
    <row r="4771">
      <c r="A4771" t="inlineStr">
        <is>
          <t>2024-2025</t>
        </is>
      </c>
      <c r="B4771" t="inlineStr">
        <is>
          <t>2024-11-08</t>
        </is>
      </c>
      <c r="C4771" t="inlineStr">
        <is>
          <t>19:43</t>
        </is>
      </c>
      <c r="D4771" t="inlineStr">
        <is>
          <t>n° 22 + n° 23</t>
        </is>
      </c>
      <c r="E4771" t="inlineStr">
        <is>
          <t>Crêpe Nutella</t>
        </is>
      </c>
      <c r="F4771" t="n">
        <v>4.9</v>
      </c>
      <c r="G4771" t="inlineStr">
        <is>
          <t>n° 22 : 0,50 + n° 23 : 0,50</t>
        </is>
      </c>
      <c r="H4771" t="n">
        <v>1</v>
      </c>
    </row>
    <row r="4772">
      <c r="A4772" t="inlineStr">
        <is>
          <t>2024-2025</t>
        </is>
      </c>
      <c r="B4772" t="inlineStr">
        <is>
          <t>2024-11-08</t>
        </is>
      </c>
      <c r="C4772" t="inlineStr">
        <is>
          <t>19:43</t>
        </is>
      </c>
      <c r="D4772" t="inlineStr">
        <is>
          <t>n° 22 + n° 23</t>
        </is>
      </c>
      <c r="E4772" t="inlineStr">
        <is>
          <t>Amandes grillées</t>
        </is>
      </c>
      <c r="F4772" t="n">
        <v>1.4</v>
      </c>
      <c r="G4772" t="inlineStr">
        <is>
          <t>n° 22 : 0,50 + n° 23 : 0,50</t>
        </is>
      </c>
      <c r="H4772" t="n">
        <v>1</v>
      </c>
    </row>
    <row r="4773">
      <c r="A4773" t="inlineStr">
        <is>
          <t>2024-2025</t>
        </is>
      </c>
      <c r="B4773" t="inlineStr">
        <is>
          <t>2024-11-13</t>
        </is>
      </c>
      <c r="C4773" t="inlineStr">
        <is>
          <t>20:38</t>
        </is>
      </c>
      <c r="D4773" t="inlineStr">
        <is>
          <t>n° 18 + n° 19</t>
        </is>
      </c>
      <c r="E4773" t="inlineStr">
        <is>
          <t>Cidre Bouché Doux</t>
        </is>
      </c>
      <c r="F4773" t="n">
        <v>16</v>
      </c>
      <c r="G4773" t="inlineStr">
        <is>
          <t>n° 18 : 0,50 + n° 19 : 0,50</t>
        </is>
      </c>
      <c r="H4773" t="n">
        <v>1</v>
      </c>
    </row>
    <row r="4774">
      <c r="A4774" t="inlineStr">
        <is>
          <t>2024-2025</t>
        </is>
      </c>
      <c r="B4774" t="inlineStr">
        <is>
          <t>2024-11-13</t>
        </is>
      </c>
      <c r="C4774" t="inlineStr">
        <is>
          <t>20:38</t>
        </is>
      </c>
      <c r="D4774" t="inlineStr">
        <is>
          <t>n° 18 + n° 19</t>
        </is>
      </c>
      <c r="E4774" t="inlineStr">
        <is>
          <t>Pinte</t>
        </is>
      </c>
      <c r="F4774" t="n">
        <v>8</v>
      </c>
      <c r="G4774" t="inlineStr">
        <is>
          <t>n° 18 : 0,50 + n° 19 : 0,50</t>
        </is>
      </c>
      <c r="H4774" t="n">
        <v>1</v>
      </c>
    </row>
    <row r="4775">
      <c r="A4775" t="inlineStr">
        <is>
          <t>2024-2025</t>
        </is>
      </c>
      <c r="B4775" t="inlineStr">
        <is>
          <t>2024-11-13</t>
        </is>
      </c>
      <c r="C4775" t="inlineStr">
        <is>
          <t>20:38</t>
        </is>
      </c>
      <c r="D4775" t="inlineStr">
        <is>
          <t>n° 18 + n° 19</t>
        </is>
      </c>
      <c r="E4775" t="inlineStr">
        <is>
          <t>Crêpe Pommes</t>
        </is>
      </c>
      <c r="F4775" t="n">
        <v>7.1</v>
      </c>
      <c r="G4775" t="inlineStr">
        <is>
          <t>n° 18 : 0,50 + n° 19 : 0,50</t>
        </is>
      </c>
      <c r="H4775" t="n">
        <v>1</v>
      </c>
    </row>
    <row r="4776">
      <c r="A4776" t="inlineStr">
        <is>
          <t>2024-2025</t>
        </is>
      </c>
      <c r="B4776" t="inlineStr">
        <is>
          <t>2024-11-13</t>
        </is>
      </c>
      <c r="C4776" t="inlineStr">
        <is>
          <t>20:38</t>
        </is>
      </c>
      <c r="D4776" t="inlineStr">
        <is>
          <t>n° 18 + n° 19</t>
        </is>
      </c>
      <c r="E4776" t="inlineStr">
        <is>
          <t>Verre ALIGOTE</t>
        </is>
      </c>
      <c r="F4776" t="n">
        <v>3.9</v>
      </c>
      <c r="G4776" t="inlineStr">
        <is>
          <t>n° 18 : 0,50 + n° 19 : 0,50</t>
        </is>
      </c>
      <c r="H4776" t="n">
        <v>1</v>
      </c>
    </row>
    <row r="4777">
      <c r="A4777" t="inlineStr">
        <is>
          <t>2024-2025</t>
        </is>
      </c>
      <c r="B4777" t="inlineStr">
        <is>
          <t>2024-11-15</t>
        </is>
      </c>
      <c r="C4777" t="inlineStr">
        <is>
          <t>18:34</t>
        </is>
      </c>
      <c r="D4777" t="inlineStr">
        <is>
          <t>n° 7 + n° 8</t>
        </is>
      </c>
      <c r="E4777" t="inlineStr">
        <is>
          <t>C du Rhone St  Josep</t>
        </is>
      </c>
      <c r="F4777" t="n">
        <v>48.5</v>
      </c>
      <c r="G4777" t="inlineStr">
        <is>
          <t>n° 7 : 0,50 + n° 8 : 0,50</t>
        </is>
      </c>
      <c r="H4777" t="n">
        <v>1</v>
      </c>
    </row>
    <row r="4778">
      <c r="A4778" t="inlineStr">
        <is>
          <t>2024-2025</t>
        </is>
      </c>
      <c r="B4778" t="inlineStr">
        <is>
          <t>2024-11-15</t>
        </is>
      </c>
      <c r="C4778" t="inlineStr">
        <is>
          <t>18:34</t>
        </is>
      </c>
      <c r="D4778" t="inlineStr">
        <is>
          <t>n° 7 + n° 8</t>
        </is>
      </c>
      <c r="E4778" t="inlineStr">
        <is>
          <t>MACHON GOURMET</t>
        </is>
      </c>
      <c r="F4778" t="n">
        <v>25</v>
      </c>
      <c r="G4778" t="inlineStr">
        <is>
          <t>n° 7 : 1,50 + n° 8 : 1,50</t>
        </is>
      </c>
      <c r="H4778" t="n">
        <v>3</v>
      </c>
    </row>
    <row r="4779">
      <c r="A4779" t="inlineStr">
        <is>
          <t>2024-2025</t>
        </is>
      </c>
      <c r="B4779" t="inlineStr">
        <is>
          <t>2024-11-15</t>
        </is>
      </c>
      <c r="C4779" t="inlineStr">
        <is>
          <t>18:34</t>
        </is>
      </c>
      <c r="D4779" t="inlineStr">
        <is>
          <t>n° 7 + n° 8</t>
        </is>
      </c>
      <c r="E4779" t="inlineStr">
        <is>
          <t>POULET JURASSIENNE</t>
        </is>
      </c>
      <c r="F4779" t="n">
        <v>18.6</v>
      </c>
      <c r="G4779" t="inlineStr">
        <is>
          <t>n° 7 : 0,50 + n° 8 : 0,50</t>
        </is>
      </c>
      <c r="H4779" t="n">
        <v>1</v>
      </c>
    </row>
    <row r="4780">
      <c r="A4780" t="inlineStr">
        <is>
          <t>2024-2025</t>
        </is>
      </c>
      <c r="B4780" t="inlineStr">
        <is>
          <t>2024-11-15</t>
        </is>
      </c>
      <c r="C4780" t="inlineStr">
        <is>
          <t>18:34</t>
        </is>
      </c>
      <c r="D4780" t="inlineStr">
        <is>
          <t>n° 7 + n° 8</t>
        </is>
      </c>
      <c r="E4780" t="inlineStr">
        <is>
          <t>Expresso Crème</t>
        </is>
      </c>
      <c r="F4780" t="n">
        <v>2.4</v>
      </c>
      <c r="G4780" t="inlineStr">
        <is>
          <t>n° 7 : 0,50 + n° 8 : 0,50</t>
        </is>
      </c>
      <c r="H4780" t="n">
        <v>1</v>
      </c>
    </row>
    <row r="4781">
      <c r="A4781" t="inlineStr">
        <is>
          <t>2024-2025</t>
        </is>
      </c>
      <c r="B4781" t="inlineStr">
        <is>
          <t>2024-11-15</t>
        </is>
      </c>
      <c r="C4781" t="inlineStr">
        <is>
          <t>18:34</t>
        </is>
      </c>
      <c r="D4781" t="inlineStr">
        <is>
          <t>n° 7 + n° 8</t>
        </is>
      </c>
      <c r="E4781" t="inlineStr">
        <is>
          <t>Expresso</t>
        </is>
      </c>
      <c r="F4781" t="n">
        <v>2.2</v>
      </c>
      <c r="G4781" t="inlineStr">
        <is>
          <t>n° 7 : 0,50 + n° 8 : 0,50</t>
        </is>
      </c>
      <c r="H4781" t="n">
        <v>1</v>
      </c>
    </row>
    <row r="4782">
      <c r="A4782" t="inlineStr">
        <is>
          <t>2024-2025</t>
        </is>
      </c>
      <c r="B4782" t="inlineStr">
        <is>
          <t>2024-11-21</t>
        </is>
      </c>
      <c r="C4782" t="inlineStr">
        <is>
          <t>21:05</t>
        </is>
      </c>
      <c r="D4782" t="inlineStr">
        <is>
          <t>n° 14 + n° 15</t>
        </is>
      </c>
      <c r="E4782" t="inlineStr">
        <is>
          <t>FRELEE</t>
        </is>
      </c>
      <c r="F4782" t="n">
        <v>19.6</v>
      </c>
      <c r="G4782" t="inlineStr">
        <is>
          <t>n° 14 : 0,50 + n° 15 : 0,50</t>
        </is>
      </c>
      <c r="H4782" t="n">
        <v>1</v>
      </c>
    </row>
    <row r="4783">
      <c r="A4783" t="inlineStr">
        <is>
          <t>2024-2025</t>
        </is>
      </c>
      <c r="B4783" t="inlineStr">
        <is>
          <t>2024-11-21</t>
        </is>
      </c>
      <c r="C4783" t="inlineStr">
        <is>
          <t>21:05</t>
        </is>
      </c>
      <c r="D4783" t="inlineStr">
        <is>
          <t>n° 14 + n° 15</t>
        </is>
      </c>
      <c r="E4783" t="inlineStr">
        <is>
          <t>Crémeux du Jura</t>
        </is>
      </c>
      <c r="F4783" t="n">
        <v>19</v>
      </c>
      <c r="G4783" t="inlineStr">
        <is>
          <t>n° 14 : 0,50 + n° 15 : 0,50</t>
        </is>
      </c>
      <c r="H4783" t="n">
        <v>1</v>
      </c>
    </row>
    <row r="4784">
      <c r="A4784" t="inlineStr">
        <is>
          <t>2024-2025</t>
        </is>
      </c>
      <c r="B4784" t="inlineStr">
        <is>
          <t>2024-11-21</t>
        </is>
      </c>
      <c r="C4784" t="inlineStr">
        <is>
          <t>21:05</t>
        </is>
      </c>
      <c r="D4784" t="inlineStr">
        <is>
          <t>n° 14 + n° 15</t>
        </is>
      </c>
      <c r="E4784" t="inlineStr">
        <is>
          <t>Luna</t>
        </is>
      </c>
      <c r="F4784" t="n">
        <v>6</v>
      </c>
      <c r="G4784" t="inlineStr">
        <is>
          <t>n° 14 : 0,50 + n° 15 : 0,50</t>
        </is>
      </c>
      <c r="H4784" t="n">
        <v>1</v>
      </c>
    </row>
    <row r="4785">
      <c r="A4785" t="inlineStr">
        <is>
          <t>2024-2025</t>
        </is>
      </c>
      <c r="B4785" t="inlineStr">
        <is>
          <t>2024-11-21</t>
        </is>
      </c>
      <c r="C4785" t="inlineStr">
        <is>
          <t>21:05</t>
        </is>
      </c>
      <c r="D4785" t="inlineStr">
        <is>
          <t>n° 14 + n° 15</t>
        </is>
      </c>
      <c r="E4785" t="inlineStr">
        <is>
          <t>Jus de Fruit</t>
        </is>
      </c>
      <c r="F4785" t="n">
        <v>4.2</v>
      </c>
      <c r="G4785" t="inlineStr">
        <is>
          <t>n° 14 : 0,50 + n° 15 : 0,50</t>
        </is>
      </c>
      <c r="H4785" t="n">
        <v>1</v>
      </c>
    </row>
    <row r="4786">
      <c r="A4786" t="inlineStr">
        <is>
          <t>2024-2025</t>
        </is>
      </c>
      <c r="B4786" t="inlineStr">
        <is>
          <t>2024-11-21</t>
        </is>
      </c>
      <c r="C4786" t="inlineStr">
        <is>
          <t>21:05</t>
        </is>
      </c>
      <c r="D4786" t="inlineStr">
        <is>
          <t>n° 14 + n° 15</t>
        </is>
      </c>
      <c r="E4786" t="inlineStr">
        <is>
          <t>Expresso</t>
        </is>
      </c>
      <c r="F4786" t="n">
        <v>2.2</v>
      </c>
      <c r="G4786" t="inlineStr">
        <is>
          <t>n° 14 : 0,50 + n° 15 : 0,50</t>
        </is>
      </c>
      <c r="H4786" t="n">
        <v>1</v>
      </c>
    </row>
    <row r="4787">
      <c r="A4787" t="inlineStr">
        <is>
          <t>2024-2025</t>
        </is>
      </c>
      <c r="B4787" t="inlineStr">
        <is>
          <t>2024-11-22</t>
        </is>
      </c>
      <c r="C4787" t="inlineStr">
        <is>
          <t>20:41</t>
        </is>
      </c>
      <c r="D4787" t="inlineStr">
        <is>
          <t>n° 15 + n° 16</t>
        </is>
      </c>
      <c r="E4787" t="inlineStr">
        <is>
          <t>ASSIETTE PERE GREGOI</t>
        </is>
      </c>
      <c r="F4787" t="n">
        <v>18.6</v>
      </c>
      <c r="G4787" t="inlineStr">
        <is>
          <t>n° 15 : 0,50 + n° 16 : 0,50</t>
        </is>
      </c>
      <c r="H4787" t="n">
        <v>1</v>
      </c>
    </row>
    <row r="4788">
      <c r="A4788" t="inlineStr">
        <is>
          <t>2024-2025</t>
        </is>
      </c>
      <c r="B4788" t="inlineStr">
        <is>
          <t>2024-11-22</t>
        </is>
      </c>
      <c r="C4788" t="inlineStr">
        <is>
          <t>20:41</t>
        </is>
      </c>
      <c r="D4788" t="inlineStr">
        <is>
          <t>n° 15 + n° 16</t>
        </is>
      </c>
      <c r="E4788" t="inlineStr">
        <is>
          <t>LIGOUSE</t>
        </is>
      </c>
      <c r="F4788" t="n">
        <v>16.6</v>
      </c>
      <c r="G4788" t="inlineStr">
        <is>
          <t>n° 15 : 0,50 + n° 16 : 0,50</t>
        </is>
      </c>
      <c r="H4788" t="n">
        <v>1</v>
      </c>
    </row>
    <row r="4789">
      <c r="A4789" t="inlineStr">
        <is>
          <t>2024-2025</t>
        </is>
      </c>
      <c r="B4789" t="inlineStr">
        <is>
          <t>2024-11-22</t>
        </is>
      </c>
      <c r="C4789" t="inlineStr">
        <is>
          <t>20:41</t>
        </is>
      </c>
      <c r="D4789" t="inlineStr">
        <is>
          <t>n° 15 + n° 16</t>
        </is>
      </c>
      <c r="E4789" t="inlineStr">
        <is>
          <t>CREPE NUTELLA CHANTI</t>
        </is>
      </c>
      <c r="F4789" t="n">
        <v>8.4</v>
      </c>
      <c r="G4789" t="inlineStr">
        <is>
          <t>n° 15 : 0,50 + n° 16 : 0,50</t>
        </is>
      </c>
      <c r="H4789" t="n">
        <v>1</v>
      </c>
    </row>
    <row r="4790">
      <c r="A4790" t="inlineStr">
        <is>
          <t>2024-2025</t>
        </is>
      </c>
      <c r="B4790" t="inlineStr">
        <is>
          <t>2024-11-22</t>
        </is>
      </c>
      <c r="C4790" t="inlineStr">
        <is>
          <t>20:41</t>
        </is>
      </c>
      <c r="D4790" t="inlineStr">
        <is>
          <t>n° 15 + n° 16</t>
        </is>
      </c>
      <c r="E4790" t="inlineStr">
        <is>
          <t>Ambrée</t>
        </is>
      </c>
      <c r="F4790" t="n">
        <v>6.9</v>
      </c>
      <c r="G4790" t="inlineStr">
        <is>
          <t>n° 15 : 0,50 + n° 16 : 0,50</t>
        </is>
      </c>
      <c r="H4790" t="n">
        <v>1</v>
      </c>
    </row>
    <row r="4791">
      <c r="A4791" t="inlineStr">
        <is>
          <t>2024-2025</t>
        </is>
      </c>
      <c r="B4791" t="inlineStr">
        <is>
          <t>2024-11-22</t>
        </is>
      </c>
      <c r="C4791" t="inlineStr">
        <is>
          <t>20:41</t>
        </is>
      </c>
      <c r="D4791" t="inlineStr">
        <is>
          <t>n° 15 + n° 16</t>
        </is>
      </c>
      <c r="E4791" t="inlineStr">
        <is>
          <t>GLACE 2 BOULES</t>
        </is>
      </c>
      <c r="F4791" t="n">
        <v>5.5</v>
      </c>
      <c r="G4791" t="inlineStr">
        <is>
          <t>n° 15 : 0,50 + n° 16 : 0,50</t>
        </is>
      </c>
      <c r="H4791" t="n">
        <v>1</v>
      </c>
    </row>
    <row r="4792">
      <c r="A4792" t="inlineStr">
        <is>
          <t>2024-2025</t>
        </is>
      </c>
      <c r="B4792" t="inlineStr">
        <is>
          <t>2024-11-22</t>
        </is>
      </c>
      <c r="C4792" t="inlineStr">
        <is>
          <t>20:41</t>
        </is>
      </c>
      <c r="D4792" t="inlineStr">
        <is>
          <t>n° 15 + n° 16</t>
        </is>
      </c>
      <c r="E4792" t="inlineStr">
        <is>
          <t>Ricard</t>
        </is>
      </c>
      <c r="F4792" t="n">
        <v>4.2</v>
      </c>
      <c r="G4792" t="inlineStr">
        <is>
          <t>n° 15 : 0,50 + n° 16 : 0,50</t>
        </is>
      </c>
      <c r="H4792" t="n">
        <v>1</v>
      </c>
    </row>
    <row r="4793">
      <c r="A4793" t="inlineStr">
        <is>
          <t>2024-2025</t>
        </is>
      </c>
      <c r="B4793" t="inlineStr">
        <is>
          <t>2024-11-22</t>
        </is>
      </c>
      <c r="C4793" t="inlineStr">
        <is>
          <t>20:41</t>
        </is>
      </c>
      <c r="D4793" t="inlineStr">
        <is>
          <t>n° 15 + n° 16</t>
        </is>
      </c>
      <c r="E4793" t="inlineStr">
        <is>
          <t>Chantilly</t>
        </is>
      </c>
      <c r="F4793" t="n">
        <v>2</v>
      </c>
      <c r="G4793" t="inlineStr">
        <is>
          <t>n° 15 : 0,50 + n° 16 : 0,50</t>
        </is>
      </c>
      <c r="H4793" t="n">
        <v>1</v>
      </c>
    </row>
    <row r="4794">
      <c r="A4794" t="inlineStr">
        <is>
          <t>2024-2025</t>
        </is>
      </c>
      <c r="B4794" t="inlineStr">
        <is>
          <t>2024-11-23</t>
        </is>
      </c>
      <c r="C4794" t="inlineStr">
        <is>
          <t>12:53</t>
        </is>
      </c>
      <c r="D4794" t="inlineStr">
        <is>
          <t>n° 3 + n° 4</t>
        </is>
      </c>
      <c r="E4794" t="inlineStr">
        <is>
          <t>Champagne</t>
        </is>
      </c>
      <c r="F4794" t="n">
        <v>59</v>
      </c>
      <c r="G4794" t="inlineStr">
        <is>
          <t>n° 3 : 0,50 + n° 4 : 0,50</t>
        </is>
      </c>
      <c r="H4794" t="n">
        <v>1</v>
      </c>
    </row>
    <row r="4795">
      <c r="A4795" t="inlineStr">
        <is>
          <t>2024-2025</t>
        </is>
      </c>
      <c r="B4795" t="inlineStr">
        <is>
          <t>2024-11-23</t>
        </is>
      </c>
      <c r="C4795" t="inlineStr">
        <is>
          <t>12:53</t>
        </is>
      </c>
      <c r="D4795" t="inlineStr">
        <is>
          <t>n° 3 + n° 4</t>
        </is>
      </c>
      <c r="E4795" t="inlineStr">
        <is>
          <t>Arbois Béthanie</t>
        </is>
      </c>
      <c r="F4795" t="n">
        <v>36</v>
      </c>
      <c r="G4795" t="inlineStr">
        <is>
          <t>n° 3 : 0,50 + n° 4 : 0,50</t>
        </is>
      </c>
      <c r="H4795" t="n">
        <v>1</v>
      </c>
    </row>
    <row r="4796">
      <c r="A4796" t="inlineStr">
        <is>
          <t>2024-2025</t>
        </is>
      </c>
      <c r="B4796" t="inlineStr">
        <is>
          <t>2024-11-23</t>
        </is>
      </c>
      <c r="C4796" t="inlineStr">
        <is>
          <t>12:53</t>
        </is>
      </c>
      <c r="D4796" t="inlineStr">
        <is>
          <t>n° 3 + n° 4</t>
        </is>
      </c>
      <c r="E4796" t="inlineStr">
        <is>
          <t>Coca (25cl)</t>
        </is>
      </c>
      <c r="F4796" t="n">
        <v>3.9</v>
      </c>
      <c r="G4796" t="inlineStr">
        <is>
          <t>n° 3 : 0,50 + n° 4 : 0,50</t>
        </is>
      </c>
      <c r="H4796" t="n">
        <v>1</v>
      </c>
    </row>
    <row r="4797">
      <c r="A4797" t="inlineStr">
        <is>
          <t>2024-2025</t>
        </is>
      </c>
      <c r="B4797" t="inlineStr">
        <is>
          <t>2024-11-23</t>
        </is>
      </c>
      <c r="C4797" t="inlineStr">
        <is>
          <t>12:53</t>
        </is>
      </c>
      <c r="D4797" t="inlineStr">
        <is>
          <t>n° 3 + n° 4</t>
        </is>
      </c>
      <c r="E4797" t="inlineStr">
        <is>
          <t>Expresso</t>
        </is>
      </c>
      <c r="F4797" t="n">
        <v>2.2</v>
      </c>
      <c r="G4797" t="inlineStr">
        <is>
          <t>n° 3 : 1,50 + n° 4 : 1,50</t>
        </is>
      </c>
      <c r="H4797" t="n">
        <v>3</v>
      </c>
    </row>
    <row r="4798">
      <c r="A4798" t="inlineStr">
        <is>
          <t>2024-2025</t>
        </is>
      </c>
      <c r="B4798" t="inlineStr">
        <is>
          <t>2024-11-23</t>
        </is>
      </c>
      <c r="C4798" t="inlineStr">
        <is>
          <t>13:18</t>
        </is>
      </c>
      <c r="D4798" t="inlineStr">
        <is>
          <t>n° 9 + n° 10</t>
        </is>
      </c>
      <c r="E4798" t="inlineStr">
        <is>
          <t>LIGOUSE</t>
        </is>
      </c>
      <c r="F4798" t="n">
        <v>16.6</v>
      </c>
      <c r="G4798" t="inlineStr">
        <is>
          <t>n° 9 : 0,50 + n° 10 : 0,50</t>
        </is>
      </c>
      <c r="H4798" t="n">
        <v>1</v>
      </c>
    </row>
    <row r="4799">
      <c r="A4799" t="inlineStr">
        <is>
          <t>2024-2025</t>
        </is>
      </c>
      <c r="B4799" t="inlineStr">
        <is>
          <t>2024-11-23</t>
        </is>
      </c>
      <c r="C4799" t="inlineStr">
        <is>
          <t>13:18</t>
        </is>
      </c>
      <c r="D4799" t="inlineStr">
        <is>
          <t>n° 9 + n° 10</t>
        </is>
      </c>
      <c r="E4799" t="inlineStr">
        <is>
          <t>ECRESSI</t>
        </is>
      </c>
      <c r="F4799" t="n">
        <v>15.5</v>
      </c>
      <c r="G4799" t="inlineStr">
        <is>
          <t>n° 9 : 0,50 + n° 10 : 0,50</t>
        </is>
      </c>
      <c r="H4799" t="n">
        <v>1</v>
      </c>
    </row>
    <row r="4800">
      <c r="A4800" t="inlineStr">
        <is>
          <t>2024-2025</t>
        </is>
      </c>
      <c r="B4800" t="inlineStr">
        <is>
          <t>2024-11-23</t>
        </is>
      </c>
      <c r="C4800" t="inlineStr">
        <is>
          <t>13:18</t>
        </is>
      </c>
      <c r="D4800" t="inlineStr">
        <is>
          <t>n° 9 + n° 10</t>
        </is>
      </c>
      <c r="E4800" t="inlineStr">
        <is>
          <t>Crepe Chocolat</t>
        </is>
      </c>
      <c r="F4800" t="n">
        <v>5.9</v>
      </c>
      <c r="G4800" t="inlineStr">
        <is>
          <t>n° 9 : 0,50 + n° 10 : 0,50</t>
        </is>
      </c>
      <c r="H4800" t="n">
        <v>1</v>
      </c>
    </row>
    <row r="4801">
      <c r="A4801" t="inlineStr">
        <is>
          <t>2024-2025</t>
        </is>
      </c>
      <c r="B4801" t="inlineStr">
        <is>
          <t>2024-11-23</t>
        </is>
      </c>
      <c r="C4801" t="inlineStr">
        <is>
          <t>13:18</t>
        </is>
      </c>
      <c r="D4801" t="inlineStr">
        <is>
          <t>n° 9 + n° 10</t>
        </is>
      </c>
      <c r="E4801" t="inlineStr">
        <is>
          <t>BANANE</t>
        </is>
      </c>
      <c r="F4801" t="n">
        <v>2.7</v>
      </c>
      <c r="G4801" t="inlineStr">
        <is>
          <t>n° 9 : 0,50 + n° 10 : 0,50</t>
        </is>
      </c>
      <c r="H4801" t="n">
        <v>1</v>
      </c>
    </row>
    <row r="4802">
      <c r="A4802" t="inlineStr">
        <is>
          <t>2024-2025</t>
        </is>
      </c>
      <c r="B4802" t="inlineStr">
        <is>
          <t>2024-11-24</t>
        </is>
      </c>
      <c r="C4802" t="inlineStr">
        <is>
          <t>13:22</t>
        </is>
      </c>
      <c r="D4802" t="inlineStr">
        <is>
          <t>n° 10 + n° 11 + n° 12</t>
        </is>
      </c>
      <c r="E4802" t="inlineStr">
        <is>
          <t>H.C.B BEAUNE BTL</t>
        </is>
      </c>
      <c r="F4802" t="n">
        <v>49</v>
      </c>
      <c r="G4802" t="inlineStr">
        <is>
          <t>n° 10 : 0,50 + n° 11 : 0,25 + n° 12 : 0,25</t>
        </is>
      </c>
      <c r="H4802" t="n">
        <v>1</v>
      </c>
    </row>
    <row r="4803">
      <c r="A4803" t="inlineStr">
        <is>
          <t>2024-2025</t>
        </is>
      </c>
      <c r="B4803" t="inlineStr">
        <is>
          <t>2024-11-24</t>
        </is>
      </c>
      <c r="C4803" t="inlineStr">
        <is>
          <t>13:22</t>
        </is>
      </c>
      <c r="D4803" t="inlineStr">
        <is>
          <t>n° 10 + n° 11 + n° 12</t>
        </is>
      </c>
      <c r="E4803" t="inlineStr">
        <is>
          <t>BURGER COMTOIS</t>
        </is>
      </c>
      <c r="F4803" t="n">
        <v>19</v>
      </c>
      <c r="G4803" t="inlineStr">
        <is>
          <t>n° 11 : 0,50 + n° 12 : 0,50</t>
        </is>
      </c>
      <c r="H4803" t="n">
        <v>1</v>
      </c>
    </row>
    <row r="4804">
      <c r="A4804" t="inlineStr">
        <is>
          <t>2024-2025</t>
        </is>
      </c>
      <c r="B4804" t="inlineStr">
        <is>
          <t>2024-11-24</t>
        </is>
      </c>
      <c r="C4804" t="inlineStr">
        <is>
          <t>13:22</t>
        </is>
      </c>
      <c r="D4804" t="inlineStr">
        <is>
          <t>n° 10 + n° 11 + n° 12</t>
        </is>
      </c>
      <c r="E4804" t="inlineStr">
        <is>
          <t>Feuilleté Forestier</t>
        </is>
      </c>
      <c r="F4804" t="n">
        <v>10.9</v>
      </c>
      <c r="G4804" t="inlineStr">
        <is>
          <t>n° 11 : 0,50 + n° 12 : 0,50</t>
        </is>
      </c>
      <c r="H4804" t="n">
        <v>1</v>
      </c>
    </row>
    <row r="4805">
      <c r="A4805" t="inlineStr">
        <is>
          <t>2024-2025</t>
        </is>
      </c>
      <c r="B4805" t="inlineStr">
        <is>
          <t>2024-11-24</t>
        </is>
      </c>
      <c r="C4805" t="inlineStr">
        <is>
          <t>13:22</t>
        </is>
      </c>
      <c r="D4805" t="inlineStr">
        <is>
          <t>n° 10 + n° 11 + n° 12</t>
        </is>
      </c>
      <c r="E4805" t="inlineStr">
        <is>
          <t>Escargots de Bourgog</t>
        </is>
      </c>
      <c r="F4805" t="n">
        <v>8</v>
      </c>
      <c r="G4805" t="inlineStr">
        <is>
          <t>n° 10 : 2,00 + n° 11 : 0,50 + n° 12 : 0,50</t>
        </is>
      </c>
      <c r="H4805" t="n">
        <v>3</v>
      </c>
    </row>
    <row r="4806">
      <c r="A4806" t="inlineStr">
        <is>
          <t>2024-2025</t>
        </is>
      </c>
      <c r="B4806" t="inlineStr">
        <is>
          <t>2024-11-24</t>
        </is>
      </c>
      <c r="C4806" t="inlineStr">
        <is>
          <t>13:22</t>
        </is>
      </c>
      <c r="D4806" t="inlineStr">
        <is>
          <t>n° 10 + n° 11 + n° 12</t>
        </is>
      </c>
      <c r="E4806" t="inlineStr">
        <is>
          <t>Perrier 33cl</t>
        </is>
      </c>
      <c r="F4806" t="n">
        <v>4</v>
      </c>
      <c r="G4806" t="inlineStr">
        <is>
          <t>n° 10 : 1,00 + n° 11 : 0,50 + n° 12 : 0,50</t>
        </is>
      </c>
      <c r="H4806" t="n">
        <v>2</v>
      </c>
    </row>
    <row r="4807">
      <c r="A4807" t="inlineStr">
        <is>
          <t>2024-2025</t>
        </is>
      </c>
      <c r="B4807" t="inlineStr">
        <is>
          <t>2024-11-24</t>
        </is>
      </c>
      <c r="C4807" t="inlineStr">
        <is>
          <t>13:22</t>
        </is>
      </c>
      <c r="D4807" t="inlineStr">
        <is>
          <t>n° 10 + n° 11 + n° 12</t>
        </is>
      </c>
      <c r="E4807" t="inlineStr">
        <is>
          <t>GLACE 1 BOULE</t>
        </is>
      </c>
      <c r="F4807" t="n">
        <v>3.5</v>
      </c>
      <c r="G4807" t="inlineStr">
        <is>
          <t>n° 11 : 0,50 + n° 12 : 0,50</t>
        </is>
      </c>
      <c r="H4807" t="n">
        <v>1</v>
      </c>
    </row>
    <row r="4808">
      <c r="A4808" t="inlineStr">
        <is>
          <t>2024-2025</t>
        </is>
      </c>
      <c r="B4808" t="inlineStr">
        <is>
          <t>2024-11-24</t>
        </is>
      </c>
      <c r="C4808" t="inlineStr">
        <is>
          <t>13:22</t>
        </is>
      </c>
      <c r="D4808" t="inlineStr">
        <is>
          <t>n° 10 + n° 11 + n° 12</t>
        </is>
      </c>
      <c r="E4808" t="inlineStr">
        <is>
          <t>Expresso</t>
        </is>
      </c>
      <c r="F4808" t="n">
        <v>2.2</v>
      </c>
      <c r="G4808" t="inlineStr">
        <is>
          <t>n° 11 : 2,50 + n° 12 : 2,50</t>
        </is>
      </c>
      <c r="H4808" t="n">
        <v>5</v>
      </c>
    </row>
    <row r="4809">
      <c r="A4809" t="inlineStr">
        <is>
          <t>2024-2025</t>
        </is>
      </c>
      <c r="B4809" t="inlineStr">
        <is>
          <t>2024-11-27</t>
        </is>
      </c>
      <c r="C4809" t="inlineStr">
        <is>
          <t>13:27</t>
        </is>
      </c>
      <c r="D4809" t="inlineStr">
        <is>
          <t>n° 5 + n° 6 + n° 7 + n° 8</t>
        </is>
      </c>
      <c r="E4809" t="inlineStr">
        <is>
          <t>POULET JURASSIENNE</t>
        </is>
      </c>
      <c r="F4809" t="n">
        <v>18.6</v>
      </c>
      <c r="G4809" t="inlineStr">
        <is>
          <t>n° 7 : 0,50 + n° 8 : 0,50</t>
        </is>
      </c>
      <c r="H4809" t="n">
        <v>1</v>
      </c>
    </row>
    <row r="4810">
      <c r="A4810" t="inlineStr">
        <is>
          <t>2024-2025</t>
        </is>
      </c>
      <c r="B4810" t="inlineStr">
        <is>
          <t>2024-11-27</t>
        </is>
      </c>
      <c r="C4810" t="inlineStr">
        <is>
          <t>13:27</t>
        </is>
      </c>
      <c r="D4810" t="inlineStr">
        <is>
          <t>n° 5 + n° 6 + n° 7 + n° 8</t>
        </is>
      </c>
      <c r="E4810" t="inlineStr">
        <is>
          <t>Crêpe Flambée</t>
        </is>
      </c>
      <c r="F4810" t="n">
        <v>8.4</v>
      </c>
      <c r="G4810" t="inlineStr">
        <is>
          <t>n° 7 : 0,50 + n° 8 : 0,50</t>
        </is>
      </c>
      <c r="H4810" t="n">
        <v>1</v>
      </c>
    </row>
    <row r="4811">
      <c r="A4811" t="inlineStr">
        <is>
          <t>2024-2025</t>
        </is>
      </c>
      <c r="B4811" t="inlineStr">
        <is>
          <t>2024-11-27</t>
        </is>
      </c>
      <c r="C4811" t="inlineStr">
        <is>
          <t>13:27</t>
        </is>
      </c>
      <c r="D4811" t="inlineStr">
        <is>
          <t>n° 5 + n° 6 + n° 7 + n° 8</t>
        </is>
      </c>
      <c r="E4811" t="inlineStr">
        <is>
          <t>DOUCEUR</t>
        </is>
      </c>
      <c r="F4811" t="n">
        <v>8.1</v>
      </c>
      <c r="G4811" t="inlineStr">
        <is>
          <t>n° 5 : 0,50 + n° 6 : 0,50</t>
        </is>
      </c>
      <c r="H4811" t="n">
        <v>1</v>
      </c>
    </row>
    <row r="4812">
      <c r="A4812" t="inlineStr">
        <is>
          <t>2024-2025</t>
        </is>
      </c>
      <c r="B4812" t="inlineStr">
        <is>
          <t>2024-11-27</t>
        </is>
      </c>
      <c r="C4812" t="inlineStr">
        <is>
          <t>13:27</t>
        </is>
      </c>
      <c r="D4812" t="inlineStr">
        <is>
          <t>n° 5 + n° 6 + n° 7 + n° 8</t>
        </is>
      </c>
      <c r="E4812" t="inlineStr">
        <is>
          <t>Crêpe Nutella</t>
        </is>
      </c>
      <c r="F4812" t="n">
        <v>4.9</v>
      </c>
      <c r="G4812" t="inlineStr">
        <is>
          <t>n° 5 : 0,50 + n° 6 : 0,50</t>
        </is>
      </c>
      <c r="H4812" t="n">
        <v>1</v>
      </c>
    </row>
    <row r="4813">
      <c r="A4813" t="inlineStr">
        <is>
          <t>2024-2025</t>
        </is>
      </c>
      <c r="B4813" t="inlineStr">
        <is>
          <t>2024-11-27</t>
        </is>
      </c>
      <c r="C4813" t="inlineStr">
        <is>
          <t>13:27</t>
        </is>
      </c>
      <c r="D4813" t="inlineStr">
        <is>
          <t>n° 5 + n° 6 + n° 7 + n° 8</t>
        </is>
      </c>
      <c r="E4813" t="inlineStr">
        <is>
          <t>POMMES FRITES</t>
        </is>
      </c>
      <c r="F4813" t="n">
        <v>3.9</v>
      </c>
      <c r="G4813" t="inlineStr">
        <is>
          <t>n° 7 : 0,50 + n° 8 : 0,50</t>
        </is>
      </c>
      <c r="H4813" t="n">
        <v>1</v>
      </c>
    </row>
    <row r="4814">
      <c r="A4814" t="inlineStr">
        <is>
          <t>2024-2025</t>
        </is>
      </c>
      <c r="B4814" t="inlineStr">
        <is>
          <t>2024-11-27</t>
        </is>
      </c>
      <c r="C4814" t="inlineStr">
        <is>
          <t>13:27</t>
        </is>
      </c>
      <c r="D4814" t="inlineStr">
        <is>
          <t>n° 5 + n° 6 + n° 7 + n° 8</t>
        </is>
      </c>
      <c r="E4814" t="inlineStr">
        <is>
          <t>Infusion</t>
        </is>
      </c>
      <c r="F4814" t="n">
        <v>3.4</v>
      </c>
      <c r="G4814" t="inlineStr">
        <is>
          <t>n° 7 : 0,50 + n° 8 : 0,50</t>
        </is>
      </c>
      <c r="H4814" t="n">
        <v>1</v>
      </c>
    </row>
    <row r="4815">
      <c r="A4815" t="inlineStr">
        <is>
          <t>2024-2025</t>
        </is>
      </c>
      <c r="B4815" t="inlineStr">
        <is>
          <t>2024-11-28</t>
        </is>
      </c>
      <c r="C4815" t="inlineStr">
        <is>
          <t>12:23</t>
        </is>
      </c>
      <c r="D4815" t="inlineStr">
        <is>
          <t>n° 2 + n° 3</t>
        </is>
      </c>
      <c r="E4815" t="inlineStr">
        <is>
          <t>POULET JURASSIENNE</t>
        </is>
      </c>
      <c r="F4815" t="n">
        <v>18.6</v>
      </c>
      <c r="G4815" t="inlineStr">
        <is>
          <t>n° 2 : 1,50 + n° 3 : 1,50</t>
        </is>
      </c>
      <c r="H4815" t="n">
        <v>3</v>
      </c>
    </row>
    <row r="4816">
      <c r="A4816" t="inlineStr">
        <is>
          <t>2024-2025</t>
        </is>
      </c>
      <c r="B4816" t="inlineStr">
        <is>
          <t>2024-11-28</t>
        </is>
      </c>
      <c r="C4816" t="inlineStr">
        <is>
          <t>12:23</t>
        </is>
      </c>
      <c r="D4816" t="inlineStr">
        <is>
          <t>n° 2 + n° 3</t>
        </is>
      </c>
      <c r="E4816" t="inlineStr">
        <is>
          <t>ASSIETTE FRANC-COMTO</t>
        </is>
      </c>
      <c r="F4816" t="n">
        <v>18.6</v>
      </c>
      <c r="G4816" t="inlineStr">
        <is>
          <t>n° 2 : 0,50 + n° 3 : 0,50</t>
        </is>
      </c>
      <c r="H4816" t="n">
        <v>1</v>
      </c>
    </row>
    <row r="4817">
      <c r="A4817" t="inlineStr">
        <is>
          <t>2024-2025</t>
        </is>
      </c>
      <c r="B4817" t="inlineStr">
        <is>
          <t>2024-11-28</t>
        </is>
      </c>
      <c r="C4817" t="inlineStr">
        <is>
          <t>12:23</t>
        </is>
      </c>
      <c r="D4817" t="inlineStr">
        <is>
          <t>n° 2 + n° 3</t>
        </is>
      </c>
      <c r="E4817" t="inlineStr">
        <is>
          <t>Chat perché</t>
        </is>
      </c>
      <c r="F4817" t="n">
        <v>5.9</v>
      </c>
      <c r="G4817" t="inlineStr">
        <is>
          <t>n° 2 : 0,50 + n° 3 : 0,50</t>
        </is>
      </c>
      <c r="H4817" t="n">
        <v>1</v>
      </c>
    </row>
    <row r="4818">
      <c r="A4818" t="inlineStr">
        <is>
          <t>2024-2025</t>
        </is>
      </c>
      <c r="B4818" t="inlineStr">
        <is>
          <t>2024-11-28</t>
        </is>
      </c>
      <c r="C4818" t="inlineStr">
        <is>
          <t>12:23</t>
        </is>
      </c>
      <c r="D4818" t="inlineStr">
        <is>
          <t>n° 2 + n° 3</t>
        </is>
      </c>
      <c r="E4818" t="inlineStr">
        <is>
          <t>Père Gregoire</t>
        </is>
      </c>
      <c r="F4818" t="n">
        <v>5.9</v>
      </c>
      <c r="G4818" t="inlineStr">
        <is>
          <t>n° 2 : 0,50 + n° 3 : 0,50</t>
        </is>
      </c>
      <c r="H4818" t="n">
        <v>1</v>
      </c>
    </row>
    <row r="4819">
      <c r="A4819" t="inlineStr">
        <is>
          <t>2024-2025</t>
        </is>
      </c>
      <c r="B4819" t="inlineStr">
        <is>
          <t>2024-11-28</t>
        </is>
      </c>
      <c r="C4819" t="inlineStr">
        <is>
          <t>12:23</t>
        </is>
      </c>
      <c r="D4819" t="inlineStr">
        <is>
          <t>n° 2 + n° 3</t>
        </is>
      </c>
      <c r="E4819" t="inlineStr">
        <is>
          <t>Macvin du Jura</t>
        </is>
      </c>
      <c r="F4819" t="n">
        <v>5.9</v>
      </c>
      <c r="G4819" t="inlineStr">
        <is>
          <t>n° 2 : 0,50 + n° 3 : 0,50</t>
        </is>
      </c>
      <c r="H4819" t="n">
        <v>1</v>
      </c>
    </row>
    <row r="4820">
      <c r="A4820" t="inlineStr">
        <is>
          <t>2024-2025</t>
        </is>
      </c>
      <c r="B4820" t="inlineStr">
        <is>
          <t>2024-11-28</t>
        </is>
      </c>
      <c r="C4820" t="inlineStr">
        <is>
          <t>12:23</t>
        </is>
      </c>
      <c r="D4820" t="inlineStr">
        <is>
          <t>n° 2 + n° 3</t>
        </is>
      </c>
      <c r="E4820" t="inlineStr">
        <is>
          <t>San Pelegrino 50cl</t>
        </is>
      </c>
      <c r="F4820" t="n">
        <v>4</v>
      </c>
      <c r="G4820" t="inlineStr">
        <is>
          <t>n° 2 : 0,50 + n° 3 : 0,50</t>
        </is>
      </c>
      <c r="H4820" t="n">
        <v>1</v>
      </c>
    </row>
    <row r="4821">
      <c r="A4821" t="inlineStr">
        <is>
          <t>2024-2025</t>
        </is>
      </c>
      <c r="B4821" t="inlineStr">
        <is>
          <t>2024-11-30</t>
        </is>
      </c>
      <c r="C4821" t="inlineStr">
        <is>
          <t>21:00</t>
        </is>
      </c>
      <c r="D4821" t="inlineStr">
        <is>
          <t>n° 22 + n° 23</t>
        </is>
      </c>
      <c r="E4821" t="inlineStr">
        <is>
          <t>Entrecôte Forestiére</t>
        </is>
      </c>
      <c r="F4821" t="n">
        <v>27.8</v>
      </c>
      <c r="G4821" t="inlineStr">
        <is>
          <t>n° 22 : 0,50 + n° 23 : 0,50</t>
        </is>
      </c>
      <c r="H4821" t="n">
        <v>1</v>
      </c>
    </row>
    <row r="4822">
      <c r="A4822" t="inlineStr">
        <is>
          <t>2024-2025</t>
        </is>
      </c>
      <c r="B4822" t="inlineStr">
        <is>
          <t>2024-11-30</t>
        </is>
      </c>
      <c r="C4822" t="inlineStr">
        <is>
          <t>21:00</t>
        </is>
      </c>
      <c r="D4822" t="inlineStr">
        <is>
          <t>n° 22 + n° 23</t>
        </is>
      </c>
      <c r="E4822" t="inlineStr">
        <is>
          <t>Entrecôte grillée</t>
        </is>
      </c>
      <c r="F4822" t="n">
        <v>19.9</v>
      </c>
      <c r="G4822" t="inlineStr">
        <is>
          <t>n° 22 : 0,50 + n° 23 : 0,50</t>
        </is>
      </c>
      <c r="H4822" t="n">
        <v>1</v>
      </c>
    </row>
    <row r="4823">
      <c r="A4823" t="inlineStr">
        <is>
          <t>2024-2025</t>
        </is>
      </c>
      <c r="B4823" t="inlineStr">
        <is>
          <t>2024-11-30</t>
        </is>
      </c>
      <c r="C4823" t="inlineStr">
        <is>
          <t>21:00</t>
        </is>
      </c>
      <c r="D4823" t="inlineStr">
        <is>
          <t>n° 22 + n° 23</t>
        </is>
      </c>
      <c r="E4823" t="inlineStr">
        <is>
          <t>ASSIETTE PERE GREGOI</t>
        </is>
      </c>
      <c r="F4823" t="n">
        <v>18.6</v>
      </c>
      <c r="G4823" t="inlineStr">
        <is>
          <t>n° 22 : 0,50 + n° 23 : 0,50</t>
        </is>
      </c>
      <c r="H4823" t="n">
        <v>1</v>
      </c>
    </row>
    <row r="4824">
      <c r="A4824" t="inlineStr">
        <is>
          <t>2024-2025</t>
        </is>
      </c>
      <c r="B4824" t="inlineStr">
        <is>
          <t>2024-11-30</t>
        </is>
      </c>
      <c r="C4824" t="inlineStr">
        <is>
          <t>21:00</t>
        </is>
      </c>
      <c r="D4824" t="inlineStr">
        <is>
          <t>n° 22 + n° 23</t>
        </is>
      </c>
      <c r="E4824" t="inlineStr">
        <is>
          <t>CAMEMBERT ROTI</t>
        </is>
      </c>
      <c r="F4824" t="n">
        <v>18.6</v>
      </c>
      <c r="G4824" t="inlineStr">
        <is>
          <t>n° 22 : 0,50 + n° 23 : 0,50</t>
        </is>
      </c>
      <c r="H4824" t="n">
        <v>1</v>
      </c>
    </row>
    <row r="4825">
      <c r="A4825" t="inlineStr">
        <is>
          <t>2024-2025</t>
        </is>
      </c>
      <c r="B4825" t="inlineStr">
        <is>
          <t>2024-11-30</t>
        </is>
      </c>
      <c r="C4825" t="inlineStr">
        <is>
          <t>21:00</t>
        </is>
      </c>
      <c r="D4825" t="inlineStr">
        <is>
          <t>n° 22 + n° 23</t>
        </is>
      </c>
      <c r="E4825" t="inlineStr">
        <is>
          <t>MACON VERRE</t>
        </is>
      </c>
      <c r="F4825" t="n">
        <v>6.3</v>
      </c>
      <c r="G4825" t="inlineStr">
        <is>
          <t>n° 22 : 0,50 + n° 23 : 0,50</t>
        </is>
      </c>
      <c r="H4825" t="n">
        <v>1</v>
      </c>
    </row>
    <row r="4826">
      <c r="A4826" t="inlineStr">
        <is>
          <t>2024-2025</t>
        </is>
      </c>
      <c r="B4826" t="inlineStr">
        <is>
          <t>2024-11-30</t>
        </is>
      </c>
      <c r="C4826" t="inlineStr">
        <is>
          <t>21:00</t>
        </is>
      </c>
      <c r="D4826" t="inlineStr">
        <is>
          <t>n° 22 + n° 23</t>
        </is>
      </c>
      <c r="E4826" t="inlineStr">
        <is>
          <t>Jus de Fruit</t>
        </is>
      </c>
      <c r="F4826" t="n">
        <v>4.2</v>
      </c>
      <c r="G4826" t="inlineStr">
        <is>
          <t>n° 22 : 0,50 + n° 23 : 0,50</t>
        </is>
      </c>
      <c r="H4826" t="n">
        <v>1</v>
      </c>
    </row>
    <row r="4827">
      <c r="A4827" t="inlineStr">
        <is>
          <t>2024-2025</t>
        </is>
      </c>
      <c r="B4827" t="inlineStr">
        <is>
          <t>2024-11-30</t>
        </is>
      </c>
      <c r="C4827" t="inlineStr">
        <is>
          <t>21:00</t>
        </is>
      </c>
      <c r="D4827" t="inlineStr">
        <is>
          <t>n° 22 + n° 23</t>
        </is>
      </c>
      <c r="E4827" t="inlineStr">
        <is>
          <t>Confiture</t>
        </is>
      </c>
      <c r="F4827" t="n">
        <v>1.5</v>
      </c>
      <c r="G4827" t="inlineStr">
        <is>
          <t>n° 22 : 0,50 + n° 23 : 0,50</t>
        </is>
      </c>
      <c r="H4827" t="n">
        <v>1</v>
      </c>
    </row>
    <row r="4828">
      <c r="A4828" t="inlineStr">
        <is>
          <t>2024-2025</t>
        </is>
      </c>
      <c r="B4828" t="inlineStr">
        <is>
          <t>2024-12-05</t>
        </is>
      </c>
      <c r="C4828" t="inlineStr">
        <is>
          <t>19:53</t>
        </is>
      </c>
      <c r="D4828" t="inlineStr">
        <is>
          <t>n° 17 + n° 18</t>
        </is>
      </c>
      <c r="E4828" t="inlineStr">
        <is>
          <t>DAMES VERTES</t>
        </is>
      </c>
      <c r="F4828" t="n">
        <v>9.699999999999999</v>
      </c>
      <c r="G4828" t="inlineStr">
        <is>
          <t>n° 17 : 0,50 + n° 18 : 0,50</t>
        </is>
      </c>
      <c r="H4828" t="n">
        <v>1</v>
      </c>
    </row>
    <row r="4829">
      <c r="A4829" t="inlineStr">
        <is>
          <t>2024-2025</t>
        </is>
      </c>
      <c r="B4829" t="inlineStr">
        <is>
          <t>2024-12-05</t>
        </is>
      </c>
      <c r="C4829" t="inlineStr">
        <is>
          <t>19:53</t>
        </is>
      </c>
      <c r="D4829" t="inlineStr">
        <is>
          <t>n° 17 + n° 18</t>
        </is>
      </c>
      <c r="E4829" t="inlineStr">
        <is>
          <t>Sol</t>
        </is>
      </c>
      <c r="F4829" t="n">
        <v>9</v>
      </c>
      <c r="G4829" t="inlineStr">
        <is>
          <t>n° 17 : 0,50 + n° 18 : 0,50</t>
        </is>
      </c>
      <c r="H4829" t="n">
        <v>1</v>
      </c>
    </row>
    <row r="4830">
      <c r="A4830" t="inlineStr">
        <is>
          <t>2024-2025</t>
        </is>
      </c>
      <c r="B4830" t="inlineStr">
        <is>
          <t>2024-12-05</t>
        </is>
      </c>
      <c r="C4830" t="inlineStr">
        <is>
          <t>19:53</t>
        </is>
      </c>
      <c r="D4830" t="inlineStr">
        <is>
          <t>n° 17 + n° 18</t>
        </is>
      </c>
      <c r="E4830" t="inlineStr">
        <is>
          <t>La Vouivre</t>
        </is>
      </c>
      <c r="F4830" t="n">
        <v>5.9</v>
      </c>
      <c r="G4830" t="inlineStr">
        <is>
          <t>n° 17 : 0,50 + n° 18 : 0,50</t>
        </is>
      </c>
      <c r="H4830" t="n">
        <v>1</v>
      </c>
    </row>
    <row r="4831">
      <c r="A4831" t="inlineStr">
        <is>
          <t>2024-2025</t>
        </is>
      </c>
      <c r="B4831" t="inlineStr">
        <is>
          <t>2024-12-05</t>
        </is>
      </c>
      <c r="C4831" t="inlineStr">
        <is>
          <t>19:53</t>
        </is>
      </c>
      <c r="D4831" t="inlineStr">
        <is>
          <t>n° 17 + n° 18</t>
        </is>
      </c>
      <c r="E4831" t="inlineStr">
        <is>
          <t>KITTYKIR</t>
        </is>
      </c>
      <c r="F4831" t="n">
        <v>5.2</v>
      </c>
      <c r="G4831" t="inlineStr">
        <is>
          <t>n° 17 : 0,50 + n° 18 : 0,50</t>
        </is>
      </c>
      <c r="H4831" t="n">
        <v>1</v>
      </c>
    </row>
    <row r="4832">
      <c r="A4832" t="inlineStr">
        <is>
          <t>2024-2025</t>
        </is>
      </c>
      <c r="B4832" t="inlineStr">
        <is>
          <t>2024-12-06</t>
        </is>
      </c>
      <c r="C4832" t="inlineStr">
        <is>
          <t>12:35</t>
        </is>
      </c>
      <c r="D4832" t="inlineStr">
        <is>
          <t>n° 5 + n° 6</t>
        </is>
      </c>
      <c r="E4832" t="inlineStr">
        <is>
          <t>PICHET SAVAGNIN</t>
        </is>
      </c>
      <c r="F4832" t="n">
        <v>28</v>
      </c>
      <c r="G4832" t="inlineStr">
        <is>
          <t>n° 5 : 0,50 + n° 6 : 0,50</t>
        </is>
      </c>
      <c r="H4832" t="n">
        <v>1</v>
      </c>
    </row>
    <row r="4833">
      <c r="A4833" t="inlineStr">
        <is>
          <t>2024-2025</t>
        </is>
      </c>
      <c r="B4833" t="inlineStr">
        <is>
          <t>2024-12-06</t>
        </is>
      </c>
      <c r="C4833" t="inlineStr">
        <is>
          <t>12:35</t>
        </is>
      </c>
      <c r="D4833" t="inlineStr">
        <is>
          <t>n° 5 + n° 6</t>
        </is>
      </c>
      <c r="E4833" t="inlineStr">
        <is>
          <t>Truite Morilles</t>
        </is>
      </c>
      <c r="F4833" t="n">
        <v>27.8</v>
      </c>
      <c r="G4833" t="inlineStr">
        <is>
          <t>n° 5 : 1,50 + n° 6 : 1,50</t>
        </is>
      </c>
      <c r="H4833" t="n">
        <v>3</v>
      </c>
    </row>
    <row r="4834">
      <c r="A4834" t="inlineStr">
        <is>
          <t>2024-2025</t>
        </is>
      </c>
      <c r="B4834" t="inlineStr">
        <is>
          <t>2024-12-06</t>
        </is>
      </c>
      <c r="C4834" t="inlineStr">
        <is>
          <t>12:35</t>
        </is>
      </c>
      <c r="D4834" t="inlineStr">
        <is>
          <t>n° 5 + n° 6</t>
        </is>
      </c>
      <c r="E4834" t="inlineStr">
        <is>
          <t>LIGOUSE</t>
        </is>
      </c>
      <c r="F4834" t="n">
        <v>16.6</v>
      </c>
      <c r="G4834" t="inlineStr">
        <is>
          <t>n° 5 : 0,50 + n° 6 : 0,50</t>
        </is>
      </c>
      <c r="H4834" t="n">
        <v>1</v>
      </c>
    </row>
    <row r="4835">
      <c r="A4835" t="inlineStr">
        <is>
          <t>2024-2025</t>
        </is>
      </c>
      <c r="B4835" t="inlineStr">
        <is>
          <t>2024-12-06</t>
        </is>
      </c>
      <c r="C4835" t="inlineStr">
        <is>
          <t>12:35</t>
        </is>
      </c>
      <c r="D4835" t="inlineStr">
        <is>
          <t>n° 5 + n° 6</t>
        </is>
      </c>
      <c r="E4835" t="inlineStr">
        <is>
          <t>Do</t>
        </is>
      </c>
      <c r="F4835" t="n">
        <v>9</v>
      </c>
      <c r="G4835" t="inlineStr">
        <is>
          <t>n° 5 : 0,50 + n° 6 : 0,50</t>
        </is>
      </c>
      <c r="H4835" t="n">
        <v>1</v>
      </c>
    </row>
    <row r="4836">
      <c r="A4836" t="inlineStr">
        <is>
          <t>2024-2025</t>
        </is>
      </c>
      <c r="B4836" t="inlineStr">
        <is>
          <t>2024-12-06</t>
        </is>
      </c>
      <c r="C4836" t="inlineStr">
        <is>
          <t>12:35</t>
        </is>
      </c>
      <c r="D4836" t="inlineStr">
        <is>
          <t>n° 5 + n° 6</t>
        </is>
      </c>
      <c r="E4836" t="inlineStr">
        <is>
          <t>CREME BRULEE</t>
        </is>
      </c>
      <c r="F4836" t="n">
        <v>7.9</v>
      </c>
      <c r="G4836" t="inlineStr">
        <is>
          <t>n° 5 : 0,50 + n° 6 : 0,50</t>
        </is>
      </c>
      <c r="H4836" t="n">
        <v>1</v>
      </c>
    </row>
    <row r="4837">
      <c r="A4837" t="inlineStr">
        <is>
          <t>2024-2025</t>
        </is>
      </c>
      <c r="B4837" t="inlineStr">
        <is>
          <t>2024-12-06</t>
        </is>
      </c>
      <c r="C4837" t="inlineStr">
        <is>
          <t>12:35</t>
        </is>
      </c>
      <c r="D4837" t="inlineStr">
        <is>
          <t>n° 5 + n° 6</t>
        </is>
      </c>
      <c r="E4837" t="inlineStr">
        <is>
          <t>Macvin du Jura</t>
        </is>
      </c>
      <c r="F4837" t="n">
        <v>5.9</v>
      </c>
      <c r="G4837" t="inlineStr">
        <is>
          <t>n° 5 : 1,50 + n° 6 : 1,50</t>
        </is>
      </c>
      <c r="H4837" t="n">
        <v>3</v>
      </c>
    </row>
    <row r="4838">
      <c r="A4838" t="inlineStr">
        <is>
          <t>2024-2025</t>
        </is>
      </c>
      <c r="B4838" t="inlineStr">
        <is>
          <t>2024-12-06</t>
        </is>
      </c>
      <c r="C4838" t="inlineStr">
        <is>
          <t>19:41</t>
        </is>
      </c>
      <c r="D4838" t="inlineStr">
        <is>
          <t>n° 14 + n° 15 + n° 19</t>
        </is>
      </c>
      <c r="E4838" t="inlineStr">
        <is>
          <t>H.C.B BEAUNE BTL</t>
        </is>
      </c>
      <c r="F4838" t="n">
        <v>49</v>
      </c>
      <c r="G4838" t="inlineStr">
        <is>
          <t>n° 19 : 0,50</t>
        </is>
      </c>
      <c r="H4838" t="n">
        <v>0.5</v>
      </c>
    </row>
    <row r="4839">
      <c r="A4839" t="inlineStr">
        <is>
          <t>2024-2025</t>
        </is>
      </c>
      <c r="B4839" t="inlineStr">
        <is>
          <t>2024-12-06</t>
        </is>
      </c>
      <c r="C4839" t="inlineStr">
        <is>
          <t>19:41</t>
        </is>
      </c>
      <c r="D4839" t="inlineStr">
        <is>
          <t>n° 14 + n° 15 + n° 19</t>
        </is>
      </c>
      <c r="E4839" t="inlineStr">
        <is>
          <t>BURGER COMTOIS</t>
        </is>
      </c>
      <c r="F4839" t="n">
        <v>19</v>
      </c>
      <c r="G4839" t="inlineStr">
        <is>
          <t>n° 14 : 0,50 + n° 15 : 0,50</t>
        </is>
      </c>
      <c r="H4839" t="n">
        <v>1</v>
      </c>
    </row>
    <row r="4840">
      <c r="A4840" t="inlineStr">
        <is>
          <t>2024-2025</t>
        </is>
      </c>
      <c r="B4840" t="inlineStr">
        <is>
          <t>2024-12-06</t>
        </is>
      </c>
      <c r="C4840" t="inlineStr">
        <is>
          <t>19:41</t>
        </is>
      </c>
      <c r="D4840" t="inlineStr">
        <is>
          <t>n° 14 + n° 15 + n° 19</t>
        </is>
      </c>
      <c r="E4840" t="inlineStr">
        <is>
          <t>POULET JURASSIENNE</t>
        </is>
      </c>
      <c r="F4840" t="n">
        <v>18.6</v>
      </c>
      <c r="G4840" t="inlineStr">
        <is>
          <t>n° 14 : 0,50 + n° 15 : 0,50</t>
        </is>
      </c>
      <c r="H4840" t="n">
        <v>1</v>
      </c>
    </row>
    <row r="4841">
      <c r="A4841" t="inlineStr">
        <is>
          <t>2024-2025</t>
        </is>
      </c>
      <c r="B4841" t="inlineStr">
        <is>
          <t>2024-12-06</t>
        </is>
      </c>
      <c r="C4841" t="inlineStr">
        <is>
          <t>19:41</t>
        </is>
      </c>
      <c r="D4841" t="inlineStr">
        <is>
          <t>n° 14 + n° 15 + n° 19</t>
        </is>
      </c>
      <c r="E4841" t="inlineStr">
        <is>
          <t>GLACE 3 BOULES</t>
        </is>
      </c>
      <c r="F4841" t="n">
        <v>7.9</v>
      </c>
      <c r="G4841" t="inlineStr">
        <is>
          <t>n° 14 : 0,50 + n° 15 : 0,50</t>
        </is>
      </c>
      <c r="H4841" t="n">
        <v>1</v>
      </c>
    </row>
    <row r="4842">
      <c r="A4842" t="inlineStr">
        <is>
          <t>2024-2025</t>
        </is>
      </c>
      <c r="B4842" t="inlineStr">
        <is>
          <t>2024-12-06</t>
        </is>
      </c>
      <c r="C4842" t="inlineStr">
        <is>
          <t>19:41</t>
        </is>
      </c>
      <c r="D4842" t="inlineStr">
        <is>
          <t>n° 14 + n° 15 + n° 19</t>
        </is>
      </c>
      <c r="E4842" t="inlineStr">
        <is>
          <t>CREME BRULEE</t>
        </is>
      </c>
      <c r="F4842" t="n">
        <v>7.9</v>
      </c>
      <c r="G4842" t="inlineStr">
        <is>
          <t>n° 19 : 0,50</t>
        </is>
      </c>
      <c r="H4842" t="n">
        <v>0.5</v>
      </c>
    </row>
    <row r="4843">
      <c r="A4843" t="inlineStr">
        <is>
          <t>2024-2025</t>
        </is>
      </c>
      <c r="B4843" t="inlineStr">
        <is>
          <t>2024-12-06</t>
        </is>
      </c>
      <c r="C4843" t="inlineStr">
        <is>
          <t>19:41</t>
        </is>
      </c>
      <c r="D4843" t="inlineStr">
        <is>
          <t>n° 14 + n° 15 + n° 19</t>
        </is>
      </c>
      <c r="E4843" t="inlineStr">
        <is>
          <t>Crepe Chocolat</t>
        </is>
      </c>
      <c r="F4843" t="n">
        <v>5.9</v>
      </c>
      <c r="G4843" t="inlineStr">
        <is>
          <t>n° 19 : 0,50</t>
        </is>
      </c>
      <c r="H4843" t="n">
        <v>0.5</v>
      </c>
    </row>
    <row r="4844">
      <c r="A4844" t="inlineStr">
        <is>
          <t>2024-2025</t>
        </is>
      </c>
      <c r="B4844" t="inlineStr">
        <is>
          <t>2024-12-06</t>
        </is>
      </c>
      <c r="C4844" t="inlineStr">
        <is>
          <t>19:41</t>
        </is>
      </c>
      <c r="D4844" t="inlineStr">
        <is>
          <t>n° 14 + n° 15 + n° 19</t>
        </is>
      </c>
      <c r="E4844" t="inlineStr">
        <is>
          <t>GLACE 2 BOULES</t>
        </is>
      </c>
      <c r="F4844" t="n">
        <v>5.5</v>
      </c>
      <c r="G4844" t="inlineStr">
        <is>
          <t>n° 14 : 0,50 + n° 15 : 0,50</t>
        </is>
      </c>
      <c r="H4844" t="n">
        <v>1</v>
      </c>
    </row>
    <row r="4845">
      <c r="A4845" t="inlineStr">
        <is>
          <t>2024-2025</t>
        </is>
      </c>
      <c r="B4845" t="inlineStr">
        <is>
          <t>2024-12-07</t>
        </is>
      </c>
      <c r="C4845" t="inlineStr">
        <is>
          <t>20:33</t>
        </is>
      </c>
      <c r="D4845" t="inlineStr">
        <is>
          <t>n° 19 + n° 20</t>
        </is>
      </c>
      <c r="E4845" t="inlineStr">
        <is>
          <t>Arbois Béthanie</t>
        </is>
      </c>
      <c r="F4845" t="n">
        <v>36</v>
      </c>
      <c r="G4845" t="inlineStr">
        <is>
          <t>n° 19 : 0,50 + n° 20 : 0,50</t>
        </is>
      </c>
      <c r="H4845" t="n">
        <v>1</v>
      </c>
    </row>
    <row r="4846">
      <c r="A4846" t="inlineStr">
        <is>
          <t>2024-2025</t>
        </is>
      </c>
      <c r="B4846" t="inlineStr">
        <is>
          <t>2024-12-07</t>
        </is>
      </c>
      <c r="C4846" t="inlineStr">
        <is>
          <t>20:33</t>
        </is>
      </c>
      <c r="D4846" t="inlineStr">
        <is>
          <t>n° 19 + n° 20</t>
        </is>
      </c>
      <c r="E4846" t="inlineStr">
        <is>
          <t>Menu Franc-Comtois</t>
        </is>
      </c>
      <c r="F4846" t="n">
        <v>34</v>
      </c>
      <c r="G4846" t="inlineStr">
        <is>
          <t>n° 19 : 1,50 + n° 20 : 1,50</t>
        </is>
      </c>
      <c r="H4846" t="n">
        <v>3</v>
      </c>
    </row>
    <row r="4847">
      <c r="A4847" t="inlineStr">
        <is>
          <t>2024-2025</t>
        </is>
      </c>
      <c r="B4847" t="inlineStr">
        <is>
          <t>2024-12-07</t>
        </is>
      </c>
      <c r="C4847" t="inlineStr">
        <is>
          <t>20:33</t>
        </is>
      </c>
      <c r="D4847" t="inlineStr">
        <is>
          <t>n° 19 + n° 20</t>
        </is>
      </c>
      <c r="E4847" t="inlineStr">
        <is>
          <t>Menu Bourguignon</t>
        </is>
      </c>
      <c r="F4847" t="n">
        <v>34</v>
      </c>
      <c r="G4847" t="inlineStr">
        <is>
          <t>n° 19 : 0,50 + n° 20 : 0,50</t>
        </is>
      </c>
      <c r="H4847" t="n">
        <v>1</v>
      </c>
    </row>
    <row r="4848">
      <c r="A4848" t="inlineStr">
        <is>
          <t>2024-2025</t>
        </is>
      </c>
      <c r="B4848" t="inlineStr">
        <is>
          <t>2024-12-07</t>
        </is>
      </c>
      <c r="C4848" t="inlineStr">
        <is>
          <t>20:33</t>
        </is>
      </c>
      <c r="D4848" t="inlineStr">
        <is>
          <t>n° 19 + n° 20</t>
        </is>
      </c>
      <c r="E4848" t="inlineStr">
        <is>
          <t>Jack Daniel's</t>
        </is>
      </c>
      <c r="F4848" t="n">
        <v>7.5</v>
      </c>
      <c r="G4848" t="inlineStr">
        <is>
          <t>n° 19 : 0,50 + n° 20 : 0,50</t>
        </is>
      </c>
      <c r="H4848" t="n">
        <v>1</v>
      </c>
    </row>
    <row r="4849">
      <c r="A4849" t="inlineStr">
        <is>
          <t>2024-2025</t>
        </is>
      </c>
      <c r="B4849" t="inlineStr">
        <is>
          <t>2024-12-07</t>
        </is>
      </c>
      <c r="C4849" t="inlineStr">
        <is>
          <t>20:33</t>
        </is>
      </c>
      <c r="D4849" t="inlineStr">
        <is>
          <t>n° 19 + n° 20</t>
        </is>
      </c>
      <c r="E4849" t="inlineStr">
        <is>
          <t>Jus de Fruit</t>
        </is>
      </c>
      <c r="F4849" t="n">
        <v>4.2</v>
      </c>
      <c r="G4849" t="inlineStr">
        <is>
          <t>n° 19 : 0,50 + n° 20 : 0,50</t>
        </is>
      </c>
      <c r="H4849" t="n">
        <v>1</v>
      </c>
    </row>
    <row r="4850">
      <c r="A4850" t="inlineStr">
        <is>
          <t>2024-2025</t>
        </is>
      </c>
      <c r="B4850" t="inlineStr">
        <is>
          <t>2024-12-08</t>
        </is>
      </c>
      <c r="C4850" t="inlineStr">
        <is>
          <t>13:57</t>
        </is>
      </c>
      <c r="D4850" t="inlineStr">
        <is>
          <t>n° 14 + n° 15</t>
        </is>
      </c>
      <c r="E4850" t="inlineStr">
        <is>
          <t>PICHET SAVAGNIN</t>
        </is>
      </c>
      <c r="F4850" t="n">
        <v>28</v>
      </c>
      <c r="G4850" t="inlineStr">
        <is>
          <t>n° 14 : 0,50 + n° 15 : 0,50</t>
        </is>
      </c>
      <c r="H4850" t="n">
        <v>1</v>
      </c>
    </row>
    <row r="4851">
      <c r="A4851" t="inlineStr">
        <is>
          <t>2024-2025</t>
        </is>
      </c>
      <c r="B4851" t="inlineStr">
        <is>
          <t>2024-12-08</t>
        </is>
      </c>
      <c r="C4851" t="inlineStr">
        <is>
          <t>13:57</t>
        </is>
      </c>
      <c r="D4851" t="inlineStr">
        <is>
          <t>n° 14 + n° 15</t>
        </is>
      </c>
      <c r="E4851" t="inlineStr">
        <is>
          <t>Ambrée</t>
        </is>
      </c>
      <c r="F4851" t="n">
        <v>6.9</v>
      </c>
      <c r="G4851" t="inlineStr">
        <is>
          <t>n° 14 : 0,50 + n° 15 : 0,50</t>
        </is>
      </c>
      <c r="H4851" t="n">
        <v>1</v>
      </c>
    </row>
    <row r="4852">
      <c r="A4852" t="inlineStr">
        <is>
          <t>2024-2025</t>
        </is>
      </c>
      <c r="B4852" t="inlineStr">
        <is>
          <t>2024-12-08</t>
        </is>
      </c>
      <c r="C4852" t="inlineStr">
        <is>
          <t>13:57</t>
        </is>
      </c>
      <c r="D4852" t="inlineStr">
        <is>
          <t>n° 14 + n° 15</t>
        </is>
      </c>
      <c r="E4852" t="inlineStr">
        <is>
          <t>Blanche des plateaux</t>
        </is>
      </c>
      <c r="F4852" t="n">
        <v>6.9</v>
      </c>
      <c r="G4852" t="inlineStr">
        <is>
          <t>n° 14 : 0,50 + n° 15 : 0,50</t>
        </is>
      </c>
      <c r="H4852" t="n">
        <v>1</v>
      </c>
    </row>
    <row r="4853">
      <c r="A4853" t="inlineStr">
        <is>
          <t>2024-2025</t>
        </is>
      </c>
      <c r="B4853" t="inlineStr">
        <is>
          <t>2024-12-08</t>
        </is>
      </c>
      <c r="C4853" t="inlineStr">
        <is>
          <t>13:57</t>
        </is>
      </c>
      <c r="D4853" t="inlineStr">
        <is>
          <t>n° 14 + n° 15</t>
        </is>
      </c>
      <c r="E4853" t="inlineStr">
        <is>
          <t>Crepe Chocolat</t>
        </is>
      </c>
      <c r="F4853" t="n">
        <v>5.9</v>
      </c>
      <c r="G4853" t="inlineStr">
        <is>
          <t>n° 14 : 0,50 + n° 15 : 0,50</t>
        </is>
      </c>
      <c r="H4853" t="n">
        <v>1</v>
      </c>
    </row>
    <row r="4854">
      <c r="A4854" t="inlineStr">
        <is>
          <t>2024-2025</t>
        </is>
      </c>
      <c r="B4854" t="inlineStr">
        <is>
          <t>2024-12-08</t>
        </is>
      </c>
      <c r="C4854" t="inlineStr">
        <is>
          <t>13:57</t>
        </is>
      </c>
      <c r="D4854" t="inlineStr">
        <is>
          <t>n° 14 + n° 15</t>
        </is>
      </c>
      <c r="E4854" t="inlineStr">
        <is>
          <t>Expresso</t>
        </is>
      </c>
      <c r="F4854" t="n">
        <v>2.2</v>
      </c>
      <c r="G4854" t="inlineStr">
        <is>
          <t>n° 14 : 0,50 + n° 15 : 0,50</t>
        </is>
      </c>
      <c r="H4854" t="n">
        <v>1</v>
      </c>
    </row>
    <row r="4855">
      <c r="A4855" t="inlineStr">
        <is>
          <t>2024-2025</t>
        </is>
      </c>
      <c r="B4855" t="inlineStr">
        <is>
          <t>2024-12-11</t>
        </is>
      </c>
      <c r="C4855" t="inlineStr">
        <is>
          <t>19:48</t>
        </is>
      </c>
      <c r="D4855" t="inlineStr">
        <is>
          <t>n° 10 + n° 11</t>
        </is>
      </c>
      <c r="E4855" t="inlineStr">
        <is>
          <t>Entrecôte Forestiére</t>
        </is>
      </c>
      <c r="F4855" t="n">
        <v>27.8</v>
      </c>
      <c r="G4855" t="inlineStr">
        <is>
          <t>n° 10 : 0,50 + n° 11 : 0,50</t>
        </is>
      </c>
      <c r="H4855" t="n">
        <v>1</v>
      </c>
    </row>
    <row r="4856">
      <c r="A4856" t="inlineStr">
        <is>
          <t>2024-2025</t>
        </is>
      </c>
      <c r="B4856" t="inlineStr">
        <is>
          <t>2024-12-11</t>
        </is>
      </c>
      <c r="C4856" t="inlineStr">
        <is>
          <t>19:48</t>
        </is>
      </c>
      <c r="D4856" t="inlineStr">
        <is>
          <t>n° 10 + n° 11</t>
        </is>
      </c>
      <c r="E4856" t="inlineStr">
        <is>
          <t>Menu Végétarien</t>
        </is>
      </c>
      <c r="F4856" t="n">
        <v>26.5</v>
      </c>
      <c r="G4856" t="inlineStr">
        <is>
          <t>n° 10 : 0,50 + n° 11 : 0,50</t>
        </is>
      </c>
      <c r="H4856" t="n">
        <v>1</v>
      </c>
    </row>
    <row r="4857">
      <c r="A4857" t="inlineStr">
        <is>
          <t>2024-2025</t>
        </is>
      </c>
      <c r="B4857" t="inlineStr">
        <is>
          <t>2024-12-11</t>
        </is>
      </c>
      <c r="C4857" t="inlineStr">
        <is>
          <t>19:48</t>
        </is>
      </c>
      <c r="D4857" t="inlineStr">
        <is>
          <t>n° 10 + n° 11</t>
        </is>
      </c>
      <c r="E4857" t="inlineStr">
        <is>
          <t>BURGER COMTOIS</t>
        </is>
      </c>
      <c r="F4857" t="n">
        <v>19</v>
      </c>
      <c r="G4857" t="inlineStr">
        <is>
          <t>n° 10 : 0,50 + n° 11 : 0,50</t>
        </is>
      </c>
      <c r="H4857" t="n">
        <v>1</v>
      </c>
    </row>
    <row r="4858">
      <c r="A4858" t="inlineStr">
        <is>
          <t>2024-2025</t>
        </is>
      </c>
      <c r="B4858" t="inlineStr">
        <is>
          <t>2024-12-11</t>
        </is>
      </c>
      <c r="C4858" t="inlineStr">
        <is>
          <t>19:48</t>
        </is>
      </c>
      <c r="D4858" t="inlineStr">
        <is>
          <t>n° 10 + n° 11</t>
        </is>
      </c>
      <c r="E4858" t="inlineStr">
        <is>
          <t>FORMULE EXPRESS</t>
        </is>
      </c>
      <c r="F4858" t="n">
        <v>18.6</v>
      </c>
      <c r="G4858" t="inlineStr">
        <is>
          <t>n° 10 : 0,50 + n° 11 : 0,50</t>
        </is>
      </c>
      <c r="H4858" t="n">
        <v>1</v>
      </c>
    </row>
    <row r="4859">
      <c r="A4859" t="inlineStr">
        <is>
          <t>2024-2025</t>
        </is>
      </c>
      <c r="B4859" t="inlineStr">
        <is>
          <t>2024-12-11</t>
        </is>
      </c>
      <c r="C4859" t="inlineStr">
        <is>
          <t>19:48</t>
        </is>
      </c>
      <c r="D4859" t="inlineStr">
        <is>
          <t>n° 10 + n° 11</t>
        </is>
      </c>
      <c r="E4859" t="inlineStr">
        <is>
          <t>Pavlova</t>
        </is>
      </c>
      <c r="F4859" t="n">
        <v>8.9</v>
      </c>
      <c r="G4859" t="inlineStr">
        <is>
          <t>n° 10 : 0,50 + n° 11 : 0,50</t>
        </is>
      </c>
      <c r="H4859" t="n">
        <v>1</v>
      </c>
    </row>
    <row r="4860">
      <c r="A4860" t="inlineStr">
        <is>
          <t>2024-2025</t>
        </is>
      </c>
      <c r="B4860" t="inlineStr">
        <is>
          <t>2024-12-11</t>
        </is>
      </c>
      <c r="C4860" t="inlineStr">
        <is>
          <t>19:48</t>
        </is>
      </c>
      <c r="D4860" t="inlineStr">
        <is>
          <t>n° 10 + n° 11</t>
        </is>
      </c>
      <c r="E4860" t="inlineStr">
        <is>
          <t>Crêpe Marrons</t>
        </is>
      </c>
      <c r="F4860" t="n">
        <v>6.4</v>
      </c>
      <c r="G4860" t="inlineStr">
        <is>
          <t>n° 10 : 0,50 + n° 11 : 0,50</t>
        </is>
      </c>
      <c r="H4860" t="n">
        <v>1</v>
      </c>
    </row>
    <row r="4861">
      <c r="A4861" t="inlineStr">
        <is>
          <t>2024-2025</t>
        </is>
      </c>
      <c r="B4861" t="inlineStr">
        <is>
          <t>2024-12-11</t>
        </is>
      </c>
      <c r="C4861" t="inlineStr">
        <is>
          <t>19:48</t>
        </is>
      </c>
      <c r="D4861" t="inlineStr">
        <is>
          <t>n° 10 + n° 11</t>
        </is>
      </c>
      <c r="E4861" t="inlineStr">
        <is>
          <t>Chat perché</t>
        </is>
      </c>
      <c r="F4861" t="n">
        <v>5.9</v>
      </c>
      <c r="G4861" t="inlineStr">
        <is>
          <t>n° 10 : 0,50 + n° 11 : 0,50</t>
        </is>
      </c>
      <c r="H4861" t="n">
        <v>1</v>
      </c>
    </row>
    <row r="4862">
      <c r="A4862" t="inlineStr">
        <is>
          <t>2024-2025</t>
        </is>
      </c>
      <c r="B4862" t="inlineStr">
        <is>
          <t>2024-12-11</t>
        </is>
      </c>
      <c r="C4862" t="inlineStr">
        <is>
          <t>19:48</t>
        </is>
      </c>
      <c r="D4862" t="inlineStr">
        <is>
          <t>n° 10 + n° 11</t>
        </is>
      </c>
      <c r="E4862" t="inlineStr">
        <is>
          <t>Crêpe Confiture</t>
        </is>
      </c>
      <c r="F4862" t="n">
        <v>5.4</v>
      </c>
      <c r="G4862" t="inlineStr">
        <is>
          <t>n° 10 : 0,50 + n° 11 : 0,50</t>
        </is>
      </c>
      <c r="H4862" t="n">
        <v>1</v>
      </c>
    </row>
    <row r="4863">
      <c r="A4863" t="inlineStr">
        <is>
          <t>2024-2025</t>
        </is>
      </c>
      <c r="B4863" t="inlineStr">
        <is>
          <t>2024-12-11</t>
        </is>
      </c>
      <c r="C4863" t="inlineStr">
        <is>
          <t>19:48</t>
        </is>
      </c>
      <c r="D4863" t="inlineStr">
        <is>
          <t>n° 10 + n° 11</t>
        </is>
      </c>
      <c r="E4863" t="inlineStr">
        <is>
          <t>Picon bière</t>
        </is>
      </c>
      <c r="F4863" t="n">
        <v>4.8</v>
      </c>
      <c r="G4863" t="inlineStr">
        <is>
          <t>n° 10 : 0,50 + n° 11 : 0,50</t>
        </is>
      </c>
      <c r="H4863" t="n">
        <v>1</v>
      </c>
    </row>
    <row r="4864">
      <c r="A4864" t="inlineStr">
        <is>
          <t>2024-2025</t>
        </is>
      </c>
      <c r="B4864" t="inlineStr">
        <is>
          <t>2024-12-11</t>
        </is>
      </c>
      <c r="C4864" t="inlineStr">
        <is>
          <t>19:48</t>
        </is>
      </c>
      <c r="D4864" t="inlineStr">
        <is>
          <t>n° 10 + n° 11</t>
        </is>
      </c>
      <c r="E4864" t="inlineStr">
        <is>
          <t>Fuze Tea</t>
        </is>
      </c>
      <c r="F4864" t="n">
        <v>3.9</v>
      </c>
      <c r="G4864" t="inlineStr">
        <is>
          <t>n° 10 : 0,50 + n° 11 : 0,50</t>
        </is>
      </c>
      <c r="H4864" t="n">
        <v>1</v>
      </c>
    </row>
    <row r="4865">
      <c r="A4865" t="inlineStr">
        <is>
          <t>2024-2025</t>
        </is>
      </c>
      <c r="B4865" t="inlineStr">
        <is>
          <t>2024-12-11</t>
        </is>
      </c>
      <c r="C4865" t="inlineStr">
        <is>
          <t>19:48</t>
        </is>
      </c>
      <c r="D4865" t="inlineStr">
        <is>
          <t>n° 10 + n° 11</t>
        </is>
      </c>
      <c r="E4865" t="inlineStr">
        <is>
          <t>Coca (25cl)</t>
        </is>
      </c>
      <c r="F4865" t="n">
        <v>3.9</v>
      </c>
      <c r="G4865" t="inlineStr">
        <is>
          <t>n° 10 : 0,50 + n° 11 : 0,50</t>
        </is>
      </c>
      <c r="H4865" t="n">
        <v>1</v>
      </c>
    </row>
    <row r="4866">
      <c r="A4866" t="inlineStr">
        <is>
          <t>2024-2025</t>
        </is>
      </c>
      <c r="B4866" t="inlineStr">
        <is>
          <t>2024-12-11</t>
        </is>
      </c>
      <c r="C4866" t="inlineStr">
        <is>
          <t>19:48</t>
        </is>
      </c>
      <c r="D4866" t="inlineStr">
        <is>
          <t>n° 10 + n° 11</t>
        </is>
      </c>
      <c r="E4866" t="inlineStr">
        <is>
          <t>Verre ALIGOTE</t>
        </is>
      </c>
      <c r="F4866" t="n">
        <v>3.9</v>
      </c>
      <c r="G4866" t="inlineStr">
        <is>
          <t>n° 10 : 0,50 + n° 11 : 0,50</t>
        </is>
      </c>
      <c r="H4866" t="n">
        <v>1</v>
      </c>
    </row>
    <row r="4867">
      <c r="A4867" t="inlineStr">
        <is>
          <t>2024-2025</t>
        </is>
      </c>
      <c r="B4867" t="inlineStr">
        <is>
          <t>2024-12-12</t>
        </is>
      </c>
      <c r="C4867" t="inlineStr">
        <is>
          <t>12:37</t>
        </is>
      </c>
      <c r="D4867" t="inlineStr">
        <is>
          <t>n° 8 + n° 9</t>
        </is>
      </c>
      <c r="E4867" t="inlineStr">
        <is>
          <t>Savagnin verre</t>
        </is>
      </c>
      <c r="F4867" t="n">
        <v>8.300000000000001</v>
      </c>
      <c r="G4867" t="inlineStr">
        <is>
          <t>n° 8 : 0,50 + n° 9 : 0,50</t>
        </is>
      </c>
      <c r="H4867" t="n">
        <v>1</v>
      </c>
    </row>
    <row r="4868">
      <c r="A4868" t="inlineStr">
        <is>
          <t>2024-2025</t>
        </is>
      </c>
      <c r="B4868" t="inlineStr">
        <is>
          <t>2024-12-12</t>
        </is>
      </c>
      <c r="C4868" t="inlineStr">
        <is>
          <t>12:37</t>
        </is>
      </c>
      <c r="D4868" t="inlineStr">
        <is>
          <t>n° 8 + n° 9</t>
        </is>
      </c>
      <c r="E4868" t="inlineStr">
        <is>
          <t>Crêpe Pommes</t>
        </is>
      </c>
      <c r="F4868" t="n">
        <v>7.1</v>
      </c>
      <c r="G4868" t="inlineStr">
        <is>
          <t>n° 8 : 0,50 + n° 9 : 0,50</t>
        </is>
      </c>
      <c r="H4868" t="n">
        <v>1</v>
      </c>
    </row>
    <row r="4869">
      <c r="A4869" t="inlineStr">
        <is>
          <t>2024-2025</t>
        </is>
      </c>
      <c r="B4869" t="inlineStr">
        <is>
          <t>2024-12-12</t>
        </is>
      </c>
      <c r="C4869" t="inlineStr">
        <is>
          <t>12:37</t>
        </is>
      </c>
      <c r="D4869" t="inlineStr">
        <is>
          <t>n° 8 + n° 9</t>
        </is>
      </c>
      <c r="E4869" t="inlineStr">
        <is>
          <t>GLACE 2 BOULES</t>
        </is>
      </c>
      <c r="F4869" t="n">
        <v>5.5</v>
      </c>
      <c r="G4869" t="inlineStr">
        <is>
          <t>n° 8 : 0,50 + n° 9 : 0,50</t>
        </is>
      </c>
      <c r="H4869" t="n">
        <v>1</v>
      </c>
    </row>
    <row r="4870">
      <c r="A4870" t="inlineStr">
        <is>
          <t>2024-2025</t>
        </is>
      </c>
      <c r="B4870" t="inlineStr">
        <is>
          <t>2024-12-12</t>
        </is>
      </c>
      <c r="C4870" t="inlineStr">
        <is>
          <t>12:37</t>
        </is>
      </c>
      <c r="D4870" t="inlineStr">
        <is>
          <t>n° 8 + n° 9</t>
        </is>
      </c>
      <c r="E4870" t="inlineStr">
        <is>
          <t>pression</t>
        </is>
      </c>
      <c r="F4870" t="n">
        <v>4.2</v>
      </c>
      <c r="G4870" t="inlineStr">
        <is>
          <t>n° 8 : 0,50 + n° 9 : 0,50</t>
        </is>
      </c>
      <c r="H4870" t="n">
        <v>1</v>
      </c>
    </row>
    <row r="4871">
      <c r="A4871" t="inlineStr">
        <is>
          <t>2024-2025</t>
        </is>
      </c>
      <c r="B4871" t="inlineStr">
        <is>
          <t>2024-12-12</t>
        </is>
      </c>
      <c r="C4871" t="inlineStr">
        <is>
          <t>12:37</t>
        </is>
      </c>
      <c r="D4871" t="inlineStr">
        <is>
          <t>n° 8 + n° 9</t>
        </is>
      </c>
      <c r="E4871" t="inlineStr">
        <is>
          <t>Expresso</t>
        </is>
      </c>
      <c r="F4871" t="n">
        <v>2.2</v>
      </c>
      <c r="G4871" t="inlineStr">
        <is>
          <t>n° 8 : 0,50 + n° 9 : 0,50</t>
        </is>
      </c>
      <c r="H4871" t="n">
        <v>1</v>
      </c>
    </row>
    <row r="4872">
      <c r="A4872" t="inlineStr">
        <is>
          <t>2024-2025</t>
        </is>
      </c>
      <c r="B4872" t="inlineStr">
        <is>
          <t>2024-12-12</t>
        </is>
      </c>
      <c r="C4872" t="inlineStr">
        <is>
          <t>20:44</t>
        </is>
      </c>
      <c r="D4872" t="inlineStr">
        <is>
          <t>n° 36 + n° 37</t>
        </is>
      </c>
      <c r="E4872" t="inlineStr">
        <is>
          <t>Croûtes Morilles</t>
        </is>
      </c>
      <c r="F4872" t="n">
        <v>16.9</v>
      </c>
      <c r="G4872" t="inlineStr">
        <is>
          <t>n° 36 : 0,50 + n° 37 : 0,50</t>
        </is>
      </c>
      <c r="H4872" t="n">
        <v>1</v>
      </c>
    </row>
    <row r="4873">
      <c r="A4873" t="inlineStr">
        <is>
          <t>2024-2025</t>
        </is>
      </c>
      <c r="B4873" t="inlineStr">
        <is>
          <t>2024-12-13</t>
        </is>
      </c>
      <c r="C4873" t="inlineStr">
        <is>
          <t>12:58</t>
        </is>
      </c>
      <c r="D4873" t="inlineStr">
        <is>
          <t>n° 4 + n° 5</t>
        </is>
      </c>
      <c r="E4873" t="inlineStr">
        <is>
          <t>Crêpe au sucre</t>
        </is>
      </c>
      <c r="F4873" t="n">
        <v>3.9</v>
      </c>
      <c r="G4873" t="inlineStr">
        <is>
          <t>n° 4 : 0,50 + n° 5 : 0,50</t>
        </is>
      </c>
      <c r="H4873" t="n">
        <v>1</v>
      </c>
    </row>
    <row r="4874">
      <c r="A4874" t="inlineStr">
        <is>
          <t>2024-2025</t>
        </is>
      </c>
      <c r="B4874" t="inlineStr">
        <is>
          <t>2024-12-14</t>
        </is>
      </c>
      <c r="C4874" t="inlineStr">
        <is>
          <t>20:45</t>
        </is>
      </c>
      <c r="D4874" t="inlineStr">
        <is>
          <t>n° 18 + n° 19 + n° 20 + n° 21</t>
        </is>
      </c>
      <c r="E4874" t="inlineStr">
        <is>
          <t>ENTRECOTE MORILLES</t>
        </is>
      </c>
      <c r="F4874" t="n">
        <v>34.8</v>
      </c>
      <c r="G4874" t="inlineStr">
        <is>
          <t>n° 20 : 0,50 + n° 21 : 0,50</t>
        </is>
      </c>
      <c r="H4874" t="n">
        <v>1</v>
      </c>
    </row>
    <row r="4875">
      <c r="A4875" t="inlineStr">
        <is>
          <t>2024-2025</t>
        </is>
      </c>
      <c r="B4875" t="inlineStr">
        <is>
          <t>2024-12-14</t>
        </is>
      </c>
      <c r="C4875" t="inlineStr">
        <is>
          <t>20:45</t>
        </is>
      </c>
      <c r="D4875" t="inlineStr">
        <is>
          <t>n° 18 + n° 19 + n° 20 + n° 21</t>
        </is>
      </c>
      <c r="E4875" t="inlineStr">
        <is>
          <t>Entrecôte Forestiére</t>
        </is>
      </c>
      <c r="F4875" t="n">
        <v>27.8</v>
      </c>
      <c r="G4875" t="inlineStr">
        <is>
          <t>n° 20 : 0,50 + n° 21 : 0,50</t>
        </is>
      </c>
      <c r="H4875" t="n">
        <v>1</v>
      </c>
    </row>
    <row r="4876">
      <c r="A4876" t="inlineStr">
        <is>
          <t>2024-2025</t>
        </is>
      </c>
      <c r="B4876" t="inlineStr">
        <is>
          <t>2024-12-14</t>
        </is>
      </c>
      <c r="C4876" t="inlineStr">
        <is>
          <t>20:45</t>
        </is>
      </c>
      <c r="D4876" t="inlineStr">
        <is>
          <t>n° 18 + n° 19 + n° 20 + n° 21</t>
        </is>
      </c>
      <c r="E4876" t="inlineStr">
        <is>
          <t>FONDUE VIN JAUNE</t>
        </is>
      </c>
      <c r="F4876" t="n">
        <v>25.9</v>
      </c>
      <c r="G4876" t="inlineStr">
        <is>
          <t>n° 18 : 1,50 + n° 19 : 1,50</t>
        </is>
      </c>
      <c r="H4876" t="n">
        <v>3</v>
      </c>
    </row>
    <row r="4877">
      <c r="A4877" t="inlineStr">
        <is>
          <t>2024-2025</t>
        </is>
      </c>
      <c r="B4877" t="inlineStr">
        <is>
          <t>2024-12-14</t>
        </is>
      </c>
      <c r="C4877" t="inlineStr">
        <is>
          <t>20:45</t>
        </is>
      </c>
      <c r="D4877" t="inlineStr">
        <is>
          <t>n° 18 + n° 19 + n° 20 + n° 21</t>
        </is>
      </c>
      <c r="E4877" t="inlineStr">
        <is>
          <t>Croûtes Morilles</t>
        </is>
      </c>
      <c r="F4877" t="n">
        <v>16.9</v>
      </c>
      <c r="G4877" t="inlineStr">
        <is>
          <t>n° 18 : 1,50 + n° 19 : 1,50 + n° 20 : 0,50 + n° 21 : 0,50</t>
        </is>
      </c>
      <c r="H4877" t="n">
        <v>4</v>
      </c>
    </row>
    <row r="4878">
      <c r="A4878" t="inlineStr">
        <is>
          <t>2024-2025</t>
        </is>
      </c>
      <c r="B4878" t="inlineStr">
        <is>
          <t>2024-12-14</t>
        </is>
      </c>
      <c r="C4878" t="inlineStr">
        <is>
          <t>20:45</t>
        </is>
      </c>
      <c r="D4878" t="inlineStr">
        <is>
          <t>n° 18 + n° 19 + n° 20 + n° 21</t>
        </is>
      </c>
      <c r="E4878" t="inlineStr">
        <is>
          <t>Ré</t>
        </is>
      </c>
      <c r="F4878" t="n">
        <v>9</v>
      </c>
      <c r="G4878" t="inlineStr">
        <is>
          <t>n° 18 : 0,50 + n° 19 : 0,50</t>
        </is>
      </c>
      <c r="H4878" t="n">
        <v>1</v>
      </c>
    </row>
    <row r="4879">
      <c r="A4879" t="inlineStr">
        <is>
          <t>2024-2025</t>
        </is>
      </c>
      <c r="B4879" t="inlineStr">
        <is>
          <t>2024-12-14</t>
        </is>
      </c>
      <c r="C4879" t="inlineStr">
        <is>
          <t>20:45</t>
        </is>
      </c>
      <c r="D4879" t="inlineStr">
        <is>
          <t>n° 18 + n° 19 + n° 20 + n° 21</t>
        </is>
      </c>
      <c r="E4879" t="inlineStr">
        <is>
          <t>Saucisse de Morteau</t>
        </is>
      </c>
      <c r="F4879" t="n">
        <v>8.9</v>
      </c>
      <c r="G4879" t="inlineStr">
        <is>
          <t>n° 18 : 0,50 + n° 19 : 0,50</t>
        </is>
      </c>
      <c r="H4879" t="n">
        <v>1</v>
      </c>
    </row>
    <row r="4880">
      <c r="A4880" t="inlineStr">
        <is>
          <t>2024-2025</t>
        </is>
      </c>
      <c r="B4880" t="inlineStr">
        <is>
          <t>2024-12-14</t>
        </is>
      </c>
      <c r="C4880" t="inlineStr">
        <is>
          <t>20:45</t>
        </is>
      </c>
      <c r="D4880" t="inlineStr">
        <is>
          <t>n° 18 + n° 19 + n° 20 + n° 21</t>
        </is>
      </c>
      <c r="E4880" t="inlineStr">
        <is>
          <t>Assortiment charcute</t>
        </is>
      </c>
      <c r="F4880" t="n">
        <v>8.9</v>
      </c>
      <c r="G4880" t="inlineStr">
        <is>
          <t>n° 18 : 0,50 + n° 19 : 0,50</t>
        </is>
      </c>
      <c r="H4880" t="n">
        <v>1</v>
      </c>
    </row>
    <row r="4881">
      <c r="A4881" t="inlineStr">
        <is>
          <t>2024-2025</t>
        </is>
      </c>
      <c r="B4881" t="inlineStr">
        <is>
          <t>2024-12-14</t>
        </is>
      </c>
      <c r="C4881" t="inlineStr">
        <is>
          <t>20:45</t>
        </is>
      </c>
      <c r="D4881" t="inlineStr">
        <is>
          <t>n° 18 + n° 19 + n° 20 + n° 21</t>
        </is>
      </c>
      <c r="E4881" t="inlineStr">
        <is>
          <t>Jus de Fruit</t>
        </is>
      </c>
      <c r="F4881" t="n">
        <v>4.2</v>
      </c>
      <c r="G4881" t="inlineStr">
        <is>
          <t>n° 18 : 0,50 + n° 19 : 0,50</t>
        </is>
      </c>
      <c r="H4881" t="n">
        <v>1</v>
      </c>
    </row>
    <row r="4882">
      <c r="A4882" t="inlineStr">
        <is>
          <t>2024-2025</t>
        </is>
      </c>
      <c r="B4882" t="inlineStr">
        <is>
          <t>2024-12-14</t>
        </is>
      </c>
      <c r="C4882" t="inlineStr">
        <is>
          <t>20:45</t>
        </is>
      </c>
      <c r="D4882" t="inlineStr">
        <is>
          <t>n° 18 + n° 19 + n° 20 + n° 21</t>
        </is>
      </c>
      <c r="E4882" t="inlineStr">
        <is>
          <t>Crêpe au sucre</t>
        </is>
      </c>
      <c r="F4882" t="n">
        <v>3.9</v>
      </c>
      <c r="G4882" t="inlineStr">
        <is>
          <t>n° 20 : 0,50 + n° 21 : 0,50</t>
        </is>
      </c>
      <c r="H4882" t="n">
        <v>1</v>
      </c>
    </row>
    <row r="4883">
      <c r="A4883" t="inlineStr">
        <is>
          <t>2024-2025</t>
        </is>
      </c>
      <c r="B4883" t="inlineStr">
        <is>
          <t>2024-12-14</t>
        </is>
      </c>
      <c r="C4883" t="inlineStr">
        <is>
          <t>20:45</t>
        </is>
      </c>
      <c r="D4883" t="inlineStr">
        <is>
          <t>n° 18 + n° 19 + n° 20 + n° 21</t>
        </is>
      </c>
      <c r="E4883" t="inlineStr">
        <is>
          <t>COULIS FRAMBOISE</t>
        </is>
      </c>
      <c r="F4883" t="n">
        <v>2.4</v>
      </c>
      <c r="G4883" t="inlineStr">
        <is>
          <t>n° 20 : 0,50 + n° 21 : 0,50</t>
        </is>
      </c>
      <c r="H4883" t="n">
        <v>1</v>
      </c>
    </row>
    <row r="4884">
      <c r="A4884" t="inlineStr">
        <is>
          <t>2024-2025</t>
        </is>
      </c>
      <c r="B4884" t="inlineStr">
        <is>
          <t>2024-12-14</t>
        </is>
      </c>
      <c r="C4884" t="inlineStr">
        <is>
          <t>20:45</t>
        </is>
      </c>
      <c r="D4884" t="inlineStr">
        <is>
          <t>n° 18 + n° 19 + n° 20 + n° 21</t>
        </is>
      </c>
      <c r="E4884" t="inlineStr">
        <is>
          <t>Chantilly</t>
        </is>
      </c>
      <c r="F4884" t="n">
        <v>2</v>
      </c>
      <c r="G4884" t="inlineStr">
        <is>
          <t>n° 20 : 0,50 + n° 21 : 0,50</t>
        </is>
      </c>
      <c r="H4884" t="n">
        <v>1</v>
      </c>
    </row>
    <row r="4885">
      <c r="A4885" t="inlineStr">
        <is>
          <t>2024-2025</t>
        </is>
      </c>
      <c r="B4885" t="inlineStr">
        <is>
          <t>2024-12-18</t>
        </is>
      </c>
      <c r="C4885" t="inlineStr">
        <is>
          <t>13:24</t>
        </is>
      </c>
      <c r="D4885" t="inlineStr">
        <is>
          <t>n° 10 + n° 11</t>
        </is>
      </c>
      <c r="E4885" t="inlineStr">
        <is>
          <t>PICHET SAVAGNIN</t>
        </is>
      </c>
      <c r="F4885" t="n">
        <v>28</v>
      </c>
      <c r="G4885" t="inlineStr">
        <is>
          <t>n° 10 : 0,50 + n° 11 : 0,50</t>
        </is>
      </c>
      <c r="H4885" t="n">
        <v>1</v>
      </c>
    </row>
    <row r="4886">
      <c r="A4886" t="inlineStr">
        <is>
          <t>2024-2025</t>
        </is>
      </c>
      <c r="B4886" t="inlineStr">
        <is>
          <t>2024-12-18</t>
        </is>
      </c>
      <c r="C4886" t="inlineStr">
        <is>
          <t>13:24</t>
        </is>
      </c>
      <c r="D4886" t="inlineStr">
        <is>
          <t>n° 10 + n° 11</t>
        </is>
      </c>
      <c r="E4886" t="inlineStr">
        <is>
          <t>Crémeux du Jura</t>
        </is>
      </c>
      <c r="F4886" t="n">
        <v>19</v>
      </c>
      <c r="G4886" t="inlineStr">
        <is>
          <t>n° 10 : 0,50 + n° 11 : 0,50</t>
        </is>
      </c>
      <c r="H4886" t="n">
        <v>1</v>
      </c>
    </row>
    <row r="4887">
      <c r="A4887" t="inlineStr">
        <is>
          <t>2024-2025</t>
        </is>
      </c>
      <c r="B4887" t="inlineStr">
        <is>
          <t>2024-12-18</t>
        </is>
      </c>
      <c r="C4887" t="inlineStr">
        <is>
          <t>13:24</t>
        </is>
      </c>
      <c r="D4887" t="inlineStr">
        <is>
          <t>n° 10 + n° 11</t>
        </is>
      </c>
      <c r="E4887" t="inlineStr">
        <is>
          <t>CAMEMBERT ROTI</t>
        </is>
      </c>
      <c r="F4887" t="n">
        <v>18.6</v>
      </c>
      <c r="G4887" t="inlineStr">
        <is>
          <t>n° 10 : 1,50 + n° 11 : 1,50</t>
        </is>
      </c>
      <c r="H4887" t="n">
        <v>3</v>
      </c>
    </row>
    <row r="4888">
      <c r="A4888" t="inlineStr">
        <is>
          <t>2024-2025</t>
        </is>
      </c>
      <c r="B4888" t="inlineStr">
        <is>
          <t>2024-12-18</t>
        </is>
      </c>
      <c r="C4888" t="inlineStr">
        <is>
          <t>13:24</t>
        </is>
      </c>
      <c r="D4888" t="inlineStr">
        <is>
          <t>n° 10 + n° 11</t>
        </is>
      </c>
      <c r="E4888" t="inlineStr">
        <is>
          <t>Baba</t>
        </is>
      </c>
      <c r="F4888" t="n">
        <v>8.9</v>
      </c>
      <c r="G4888" t="inlineStr">
        <is>
          <t>n° 10 : 0,50 + n° 11 : 0,50</t>
        </is>
      </c>
      <c r="H4888" t="n">
        <v>1</v>
      </c>
    </row>
    <row r="4889">
      <c r="A4889" t="inlineStr">
        <is>
          <t>2024-2025</t>
        </is>
      </c>
      <c r="B4889" t="inlineStr">
        <is>
          <t>2024-12-18</t>
        </is>
      </c>
      <c r="C4889" t="inlineStr">
        <is>
          <t>13:24</t>
        </is>
      </c>
      <c r="D4889" t="inlineStr">
        <is>
          <t>n° 10 + n° 11</t>
        </is>
      </c>
      <c r="E4889" t="inlineStr">
        <is>
          <t>Crêpe Flambée</t>
        </is>
      </c>
      <c r="F4889" t="n">
        <v>8.4</v>
      </c>
      <c r="G4889" t="inlineStr">
        <is>
          <t>n° 10 : 0,50 + n° 11 : 0,50</t>
        </is>
      </c>
      <c r="H4889" t="n">
        <v>1</v>
      </c>
    </row>
    <row r="4890">
      <c r="A4890" t="inlineStr">
        <is>
          <t>2024-2025</t>
        </is>
      </c>
      <c r="B4890" t="inlineStr">
        <is>
          <t>2024-12-18</t>
        </is>
      </c>
      <c r="C4890" t="inlineStr">
        <is>
          <t>13:24</t>
        </is>
      </c>
      <c r="D4890" t="inlineStr">
        <is>
          <t>n° 10 + n° 11</t>
        </is>
      </c>
      <c r="E4890" t="inlineStr">
        <is>
          <t>Whisky L.J (4cl)</t>
        </is>
      </c>
      <c r="F4890" t="n">
        <v>6.9</v>
      </c>
      <c r="G4890" t="inlineStr">
        <is>
          <t>n° 10 : 0,50 + n° 11 : 0,50</t>
        </is>
      </c>
      <c r="H4890" t="n">
        <v>1</v>
      </c>
    </row>
    <row r="4891">
      <c r="A4891" t="inlineStr">
        <is>
          <t>2024-2025</t>
        </is>
      </c>
      <c r="B4891" t="inlineStr">
        <is>
          <t>2024-12-18</t>
        </is>
      </c>
      <c r="C4891" t="inlineStr">
        <is>
          <t>13:24</t>
        </is>
      </c>
      <c r="D4891" t="inlineStr">
        <is>
          <t>n° 10 + n° 11</t>
        </is>
      </c>
      <c r="E4891" t="inlineStr">
        <is>
          <t>Luna</t>
        </is>
      </c>
      <c r="F4891" t="n">
        <v>6</v>
      </c>
      <c r="G4891" t="inlineStr">
        <is>
          <t>n° 10 : 0,50 + n° 11 : 0,50</t>
        </is>
      </c>
      <c r="H4891" t="n">
        <v>1</v>
      </c>
    </row>
    <row r="4892">
      <c r="A4892" t="inlineStr">
        <is>
          <t>2024-2025</t>
        </is>
      </c>
      <c r="B4892" t="inlineStr">
        <is>
          <t>2024-12-19</t>
        </is>
      </c>
      <c r="C4892" t="inlineStr">
        <is>
          <t>12:29</t>
        </is>
      </c>
      <c r="D4892" t="inlineStr">
        <is>
          <t>n° 4 + n° 5</t>
        </is>
      </c>
      <c r="E4892" t="inlineStr">
        <is>
          <t>TRUITE JURASSIENNE</t>
        </is>
      </c>
      <c r="F4892" t="n">
        <v>18.6</v>
      </c>
      <c r="G4892" t="inlineStr">
        <is>
          <t>n° 4 : 0,50 + n° 5 : 0,50</t>
        </is>
      </c>
      <c r="H4892" t="n">
        <v>1</v>
      </c>
    </row>
    <row r="4893">
      <c r="A4893" t="inlineStr">
        <is>
          <t>2024-2025</t>
        </is>
      </c>
      <c r="B4893" t="inlineStr">
        <is>
          <t>2024-12-19</t>
        </is>
      </c>
      <c r="C4893" t="inlineStr">
        <is>
          <t>12:29</t>
        </is>
      </c>
      <c r="D4893" t="inlineStr">
        <is>
          <t>n° 4 + n° 5</t>
        </is>
      </c>
      <c r="E4893" t="inlineStr">
        <is>
          <t>POULET JURASSIENNE</t>
        </is>
      </c>
      <c r="F4893" t="n">
        <v>18.6</v>
      </c>
      <c r="G4893" t="inlineStr">
        <is>
          <t>n° 4 : 0,50 + n° 5 : 0,50</t>
        </is>
      </c>
      <c r="H4893" t="n">
        <v>1</v>
      </c>
    </row>
    <row r="4894">
      <c r="A4894" t="inlineStr">
        <is>
          <t>2024-2025</t>
        </is>
      </c>
      <c r="B4894" t="inlineStr">
        <is>
          <t>2024-12-19</t>
        </is>
      </c>
      <c r="C4894" t="inlineStr">
        <is>
          <t>12:29</t>
        </is>
      </c>
      <c r="D4894" t="inlineStr">
        <is>
          <t>n° 4 + n° 5</t>
        </is>
      </c>
      <c r="E4894" t="inlineStr">
        <is>
          <t>La</t>
        </is>
      </c>
      <c r="F4894" t="n">
        <v>9</v>
      </c>
      <c r="G4894" t="inlineStr">
        <is>
          <t>n° 4 : 0,50 + n° 5 : 0,50</t>
        </is>
      </c>
      <c r="H4894" t="n">
        <v>1</v>
      </c>
    </row>
    <row r="4895">
      <c r="A4895" t="inlineStr">
        <is>
          <t>2024-2025</t>
        </is>
      </c>
      <c r="B4895" t="inlineStr">
        <is>
          <t>2024-12-19</t>
        </is>
      </c>
      <c r="C4895" t="inlineStr">
        <is>
          <t>12:29</t>
        </is>
      </c>
      <c r="D4895" t="inlineStr">
        <is>
          <t>n° 4 + n° 5</t>
        </is>
      </c>
      <c r="E4895" t="inlineStr">
        <is>
          <t>CREME BRULEE</t>
        </is>
      </c>
      <c r="F4895" t="n">
        <v>7.9</v>
      </c>
      <c r="G4895" t="inlineStr">
        <is>
          <t>n° 4 : 0,50 + n° 5 : 0,50</t>
        </is>
      </c>
      <c r="H4895" t="n">
        <v>1</v>
      </c>
    </row>
    <row r="4896">
      <c r="A4896" t="inlineStr">
        <is>
          <t>2024-2025</t>
        </is>
      </c>
      <c r="B4896" t="inlineStr">
        <is>
          <t>2024-12-19</t>
        </is>
      </c>
      <c r="C4896" t="inlineStr">
        <is>
          <t>12:29</t>
        </is>
      </c>
      <c r="D4896" t="inlineStr">
        <is>
          <t>n° 4 + n° 5</t>
        </is>
      </c>
      <c r="E4896" t="inlineStr">
        <is>
          <t>GLACE 2 BOULES</t>
        </is>
      </c>
      <c r="F4896" t="n">
        <v>5.5</v>
      </c>
      <c r="G4896" t="inlineStr">
        <is>
          <t>n° 4 : 0,50 + n° 5 : 0,50</t>
        </is>
      </c>
      <c r="H4896" t="n">
        <v>1</v>
      </c>
    </row>
    <row r="4897">
      <c r="A4897" t="inlineStr">
        <is>
          <t>2024-2025</t>
        </is>
      </c>
      <c r="B4897" t="inlineStr">
        <is>
          <t>2024-12-19</t>
        </is>
      </c>
      <c r="C4897" t="inlineStr">
        <is>
          <t>21:36</t>
        </is>
      </c>
      <c r="D4897" t="inlineStr">
        <is>
          <t>n° 14 + n° 15</t>
        </is>
      </c>
      <c r="E4897" t="inlineStr">
        <is>
          <t>TRUITE JURASSIENNE</t>
        </is>
      </c>
      <c r="F4897" t="n">
        <v>18.6</v>
      </c>
      <c r="G4897" t="inlineStr">
        <is>
          <t>n° 14 : 0,50 + n° 15 : 0,50</t>
        </is>
      </c>
      <c r="H4897" t="n">
        <v>1</v>
      </c>
    </row>
    <row r="4898">
      <c r="A4898" t="inlineStr">
        <is>
          <t>2024-2025</t>
        </is>
      </c>
      <c r="B4898" t="inlineStr">
        <is>
          <t>2024-12-19</t>
        </is>
      </c>
      <c r="C4898" t="inlineStr">
        <is>
          <t>21:36</t>
        </is>
      </c>
      <c r="D4898" t="inlineStr">
        <is>
          <t>n° 14 + n° 15</t>
        </is>
      </c>
      <c r="E4898" t="inlineStr">
        <is>
          <t>ASSIETTE FRANC-COMTO</t>
        </is>
      </c>
      <c r="F4898" t="n">
        <v>18.6</v>
      </c>
      <c r="G4898" t="inlineStr">
        <is>
          <t>n° 14 : 0,50 + n° 15 : 0,50</t>
        </is>
      </c>
      <c r="H4898" t="n">
        <v>1</v>
      </c>
    </row>
    <row r="4899">
      <c r="A4899" t="inlineStr">
        <is>
          <t>2024-2025</t>
        </is>
      </c>
      <c r="B4899" t="inlineStr">
        <is>
          <t>2024-12-19</t>
        </is>
      </c>
      <c r="C4899" t="inlineStr">
        <is>
          <t>21:36</t>
        </is>
      </c>
      <c r="D4899" t="inlineStr">
        <is>
          <t>n° 14 + n° 15</t>
        </is>
      </c>
      <c r="E4899" t="inlineStr">
        <is>
          <t>Pichet CHUSLAN</t>
        </is>
      </c>
      <c r="F4899" t="n">
        <v>9.5</v>
      </c>
      <c r="G4899" t="inlineStr">
        <is>
          <t>n° 14 : 0,50 + n° 15 : 0,50</t>
        </is>
      </c>
      <c r="H4899" t="n">
        <v>1</v>
      </c>
    </row>
    <row r="4900">
      <c r="A4900" t="inlineStr">
        <is>
          <t>2024-2025</t>
        </is>
      </c>
      <c r="B4900" t="inlineStr">
        <is>
          <t>2024-12-19</t>
        </is>
      </c>
      <c r="C4900" t="inlineStr">
        <is>
          <t>21:36</t>
        </is>
      </c>
      <c r="D4900" t="inlineStr">
        <is>
          <t>n° 14 + n° 15</t>
        </is>
      </c>
      <c r="E4900" t="inlineStr">
        <is>
          <t>Baba</t>
        </is>
      </c>
      <c r="F4900" t="n">
        <v>8.9</v>
      </c>
      <c r="G4900" t="inlineStr">
        <is>
          <t>n° 14 : 0,50 + n° 15 : 0,50</t>
        </is>
      </c>
      <c r="H4900" t="n">
        <v>1</v>
      </c>
    </row>
    <row r="4901">
      <c r="A4901" t="inlineStr">
        <is>
          <t>2024-2025</t>
        </is>
      </c>
      <c r="B4901" t="inlineStr">
        <is>
          <t>2024-12-19</t>
        </is>
      </c>
      <c r="C4901" t="inlineStr">
        <is>
          <t>21:36</t>
        </is>
      </c>
      <c r="D4901" t="inlineStr">
        <is>
          <t>n° 14 + n° 15</t>
        </is>
      </c>
      <c r="E4901" t="inlineStr">
        <is>
          <t>NOIRAUD</t>
        </is>
      </c>
      <c r="F4901" t="n">
        <v>7.9</v>
      </c>
      <c r="G4901" t="inlineStr">
        <is>
          <t>n° 14 : 0,50 + n° 15 : 0,50</t>
        </is>
      </c>
      <c r="H4901" t="n">
        <v>1</v>
      </c>
    </row>
    <row r="4902">
      <c r="A4902" t="inlineStr">
        <is>
          <t>2024-2025</t>
        </is>
      </c>
      <c r="B4902" t="inlineStr">
        <is>
          <t>2024-12-19</t>
        </is>
      </c>
      <c r="C4902" t="inlineStr">
        <is>
          <t>21:36</t>
        </is>
      </c>
      <c r="D4902" t="inlineStr">
        <is>
          <t>n° 14 + n° 15</t>
        </is>
      </c>
      <c r="E4902" t="inlineStr">
        <is>
          <t>La Vouivre</t>
        </is>
      </c>
      <c r="F4902" t="n">
        <v>5.9</v>
      </c>
      <c r="G4902" t="inlineStr">
        <is>
          <t>n° 14 : 0,50 + n° 15 : 0,50</t>
        </is>
      </c>
      <c r="H4902" t="n">
        <v>1</v>
      </c>
    </row>
    <row r="4903">
      <c r="A4903" t="inlineStr">
        <is>
          <t>2024-2025</t>
        </is>
      </c>
      <c r="B4903" t="inlineStr">
        <is>
          <t>2024-12-19</t>
        </is>
      </c>
      <c r="C4903" t="inlineStr">
        <is>
          <t>21:36</t>
        </is>
      </c>
      <c r="D4903" t="inlineStr">
        <is>
          <t>n° 14 + n° 15</t>
        </is>
      </c>
      <c r="E4903" t="inlineStr">
        <is>
          <t>Pastis</t>
        </is>
      </c>
      <c r="F4903" t="n">
        <v>4.2</v>
      </c>
      <c r="G4903" t="inlineStr">
        <is>
          <t>n° 14 : 0,50 + n° 15 : 0,50</t>
        </is>
      </c>
      <c r="H4903" t="n">
        <v>1</v>
      </c>
    </row>
    <row r="4904">
      <c r="A4904" t="inlineStr">
        <is>
          <t>2024-2025</t>
        </is>
      </c>
      <c r="B4904" t="inlineStr">
        <is>
          <t>2024-12-19</t>
        </is>
      </c>
      <c r="C4904" t="inlineStr">
        <is>
          <t>21:36</t>
        </is>
      </c>
      <c r="D4904" t="inlineStr">
        <is>
          <t>n° 14 + n° 15</t>
        </is>
      </c>
      <c r="E4904" t="inlineStr">
        <is>
          <t>Crêpe au sucre</t>
        </is>
      </c>
      <c r="F4904" t="n">
        <v>3.9</v>
      </c>
      <c r="G4904" t="inlineStr">
        <is>
          <t>n° 14 : 0,50 + n° 15 : 0,50</t>
        </is>
      </c>
      <c r="H4904" t="n">
        <v>1</v>
      </c>
    </row>
    <row r="4905">
      <c r="A4905" t="inlineStr">
        <is>
          <t>2024-2025</t>
        </is>
      </c>
      <c r="B4905" t="inlineStr">
        <is>
          <t>2024-12-20</t>
        </is>
      </c>
      <c r="C4905" t="inlineStr">
        <is>
          <t>13:18</t>
        </is>
      </c>
      <c r="D4905" t="inlineStr">
        <is>
          <t>n° 5 + n° 6</t>
        </is>
      </c>
      <c r="E4905" t="inlineStr">
        <is>
          <t>Poulet aux Morilles</t>
        </is>
      </c>
      <c r="F4905" t="n">
        <v>28.6</v>
      </c>
      <c r="G4905" t="inlineStr">
        <is>
          <t>n° 5 : 0,50 + n° 6 : 0,50</t>
        </is>
      </c>
      <c r="H4905" t="n">
        <v>1</v>
      </c>
    </row>
    <row r="4906">
      <c r="A4906" t="inlineStr">
        <is>
          <t>2024-2025</t>
        </is>
      </c>
      <c r="B4906" t="inlineStr">
        <is>
          <t>2024-12-20</t>
        </is>
      </c>
      <c r="C4906" t="inlineStr">
        <is>
          <t>13:18</t>
        </is>
      </c>
      <c r="D4906" t="inlineStr">
        <is>
          <t>n° 5 + n° 6</t>
        </is>
      </c>
      <c r="E4906" t="inlineStr">
        <is>
          <t>ASSIETTE FRANC-COMTO</t>
        </is>
      </c>
      <c r="F4906" t="n">
        <v>18.6</v>
      </c>
      <c r="G4906" t="inlineStr">
        <is>
          <t>n° 5 : 0,50 + n° 6 : 0,50</t>
        </is>
      </c>
      <c r="H4906" t="n">
        <v>1</v>
      </c>
    </row>
    <row r="4907">
      <c r="A4907" t="inlineStr">
        <is>
          <t>2024-2025</t>
        </is>
      </c>
      <c r="B4907" t="inlineStr">
        <is>
          <t>2024-12-20</t>
        </is>
      </c>
      <c r="C4907" t="inlineStr">
        <is>
          <t>13:18</t>
        </is>
      </c>
      <c r="D4907" t="inlineStr">
        <is>
          <t>n° 5 + n° 6</t>
        </is>
      </c>
      <c r="E4907" t="inlineStr">
        <is>
          <t>Croûtes Morilles</t>
        </is>
      </c>
      <c r="F4907" t="n">
        <v>16.9</v>
      </c>
      <c r="G4907" t="inlineStr">
        <is>
          <t>n° 5 : 0,50 + n° 6 : 0,50</t>
        </is>
      </c>
      <c r="H4907" t="n">
        <v>1</v>
      </c>
    </row>
    <row r="4908">
      <c r="A4908" t="inlineStr">
        <is>
          <t>2024-2025</t>
        </is>
      </c>
      <c r="B4908" t="inlineStr">
        <is>
          <t>2024-12-20</t>
        </is>
      </c>
      <c r="C4908" t="inlineStr">
        <is>
          <t>13:18</t>
        </is>
      </c>
      <c r="D4908" t="inlineStr">
        <is>
          <t>n° 5 + n° 6</t>
        </is>
      </c>
      <c r="E4908" t="inlineStr">
        <is>
          <t>LIGOUSE</t>
        </is>
      </c>
      <c r="F4908" t="n">
        <v>16.6</v>
      </c>
      <c r="G4908" t="inlineStr">
        <is>
          <t>n° 5 : 0,50 + n° 6 : 0,50</t>
        </is>
      </c>
      <c r="H4908" t="n">
        <v>1</v>
      </c>
    </row>
    <row r="4909">
      <c r="A4909" t="inlineStr">
        <is>
          <t>2024-2025</t>
        </is>
      </c>
      <c r="B4909" t="inlineStr">
        <is>
          <t>2024-12-20</t>
        </is>
      </c>
      <c r="C4909" t="inlineStr">
        <is>
          <t>13:18</t>
        </is>
      </c>
      <c r="D4909" t="inlineStr">
        <is>
          <t>n° 5 + n° 6</t>
        </is>
      </c>
      <c r="E4909" t="inlineStr">
        <is>
          <t>Menu 'Enfant'</t>
        </is>
      </c>
      <c r="F4909" t="n">
        <v>9.9</v>
      </c>
      <c r="G4909" t="inlineStr">
        <is>
          <t>n° 5 : 0,50 + n° 6 : 0,50</t>
        </is>
      </c>
      <c r="H4909" t="n">
        <v>1</v>
      </c>
    </row>
    <row r="4910">
      <c r="A4910" t="inlineStr">
        <is>
          <t>2024-2025</t>
        </is>
      </c>
      <c r="B4910" t="inlineStr">
        <is>
          <t>2024-12-20</t>
        </is>
      </c>
      <c r="C4910" t="inlineStr">
        <is>
          <t>13:18</t>
        </is>
      </c>
      <c r="D4910" t="inlineStr">
        <is>
          <t>n° 5 + n° 6</t>
        </is>
      </c>
      <c r="E4910" t="inlineStr">
        <is>
          <t>Jambon Sec</t>
        </is>
      </c>
      <c r="F4910" t="n">
        <v>5.4</v>
      </c>
      <c r="G4910" t="inlineStr">
        <is>
          <t>n° 5 : 0,50 + n° 6 : 0,50</t>
        </is>
      </c>
      <c r="H4910" t="n">
        <v>1</v>
      </c>
    </row>
    <row r="4911">
      <c r="A4911" t="inlineStr">
        <is>
          <t>2024-2025</t>
        </is>
      </c>
      <c r="B4911" t="inlineStr">
        <is>
          <t>2024-12-20</t>
        </is>
      </c>
      <c r="C4911" t="inlineStr">
        <is>
          <t>13:18</t>
        </is>
      </c>
      <c r="D4911" t="inlineStr">
        <is>
          <t>n° 5 + n° 6</t>
        </is>
      </c>
      <c r="E4911" t="inlineStr">
        <is>
          <t>Galette nature</t>
        </is>
      </c>
      <c r="F4911" t="n">
        <v>3.9</v>
      </c>
      <c r="G4911" t="inlineStr">
        <is>
          <t>n° 5 : 0,50 + n° 6 : 0,50</t>
        </is>
      </c>
      <c r="H4911" t="n">
        <v>1</v>
      </c>
    </row>
    <row r="4912">
      <c r="A4912" t="inlineStr">
        <is>
          <t>2024-2025</t>
        </is>
      </c>
      <c r="B4912" t="inlineStr">
        <is>
          <t>2024-12-20</t>
        </is>
      </c>
      <c r="C4912" t="inlineStr">
        <is>
          <t>13:18</t>
        </is>
      </c>
      <c r="D4912" t="inlineStr">
        <is>
          <t>n° 5 + n° 6</t>
        </is>
      </c>
      <c r="E4912" t="inlineStr">
        <is>
          <t>POMMES FRITES</t>
        </is>
      </c>
      <c r="F4912" t="n">
        <v>3.9</v>
      </c>
      <c r="G4912" t="inlineStr">
        <is>
          <t>n° 5 : 0,50 + n° 6 : 0,50</t>
        </is>
      </c>
      <c r="H4912" t="n">
        <v>1</v>
      </c>
    </row>
    <row r="4913">
      <c r="A4913" t="inlineStr">
        <is>
          <t>2024-2025</t>
        </is>
      </c>
      <c r="B4913" t="inlineStr">
        <is>
          <t>2024-12-20</t>
        </is>
      </c>
      <c r="C4913" t="inlineStr">
        <is>
          <t>13:18</t>
        </is>
      </c>
      <c r="D4913" t="inlineStr">
        <is>
          <t>n° 5 + n° 6</t>
        </is>
      </c>
      <c r="E4913" t="inlineStr">
        <is>
          <t>Morbier</t>
        </is>
      </c>
      <c r="F4913" t="n">
        <v>3.5</v>
      </c>
      <c r="G4913" t="inlineStr">
        <is>
          <t>n° 5 : 0,50 + n° 6 : 0,50</t>
        </is>
      </c>
      <c r="H4913" t="n">
        <v>1</v>
      </c>
    </row>
    <row r="4914">
      <c r="A4914" t="inlineStr">
        <is>
          <t>2024-2025</t>
        </is>
      </c>
      <c r="B4914" t="inlineStr">
        <is>
          <t>2024-12-20</t>
        </is>
      </c>
      <c r="C4914" t="inlineStr">
        <is>
          <t>13:18</t>
        </is>
      </c>
      <c r="D4914" t="inlineStr">
        <is>
          <t>n° 5 + n° 6</t>
        </is>
      </c>
      <c r="E4914" t="inlineStr">
        <is>
          <t>Salade Verte</t>
        </is>
      </c>
      <c r="F4914" t="n">
        <v>2.9</v>
      </c>
      <c r="G4914" t="inlineStr">
        <is>
          <t>n° 5 : 0,50 + n° 6 : 0,50</t>
        </is>
      </c>
      <c r="H4914" t="n">
        <v>1</v>
      </c>
    </row>
    <row r="4915">
      <c r="A4915" t="inlineStr">
        <is>
          <t>2024-2025</t>
        </is>
      </c>
      <c r="B4915" t="inlineStr">
        <is>
          <t>2024-12-20</t>
        </is>
      </c>
      <c r="C4915" t="inlineStr">
        <is>
          <t>13:18</t>
        </is>
      </c>
      <c r="D4915" t="inlineStr">
        <is>
          <t>n° 5 + n° 6</t>
        </is>
      </c>
      <c r="E4915" t="inlineStr">
        <is>
          <t>Œuf</t>
        </is>
      </c>
      <c r="F4915" t="n">
        <v>0.9</v>
      </c>
      <c r="G4915" t="inlineStr">
        <is>
          <t>n° 5 : 0,50 + n° 6 : 0,50</t>
        </is>
      </c>
      <c r="H4915" t="n">
        <v>1</v>
      </c>
    </row>
    <row r="4916">
      <c r="A4916" t="inlineStr">
        <is>
          <t>2024-2025</t>
        </is>
      </c>
      <c r="B4916" t="inlineStr">
        <is>
          <t>2024-12-27</t>
        </is>
      </c>
      <c r="C4916" t="inlineStr">
        <is>
          <t>19:58</t>
        </is>
      </c>
      <c r="D4916" t="inlineStr">
        <is>
          <t>n° 16 + n° 17</t>
        </is>
      </c>
      <c r="E4916" t="inlineStr">
        <is>
          <t>PICHET ROSE</t>
        </is>
      </c>
      <c r="F4916" t="n">
        <v>10.5</v>
      </c>
      <c r="G4916" t="inlineStr">
        <is>
          <t>n° 16 : 0,50 + n° 17 : 0,50</t>
        </is>
      </c>
      <c r="H4916" t="n">
        <v>1</v>
      </c>
    </row>
    <row r="4917">
      <c r="A4917" t="inlineStr">
        <is>
          <t>2024-2025</t>
        </is>
      </c>
      <c r="B4917" t="inlineStr">
        <is>
          <t>2024-12-27</t>
        </is>
      </c>
      <c r="C4917" t="inlineStr">
        <is>
          <t>19:58</t>
        </is>
      </c>
      <c r="D4917" t="inlineStr">
        <is>
          <t>n° 16 + n° 17</t>
        </is>
      </c>
      <c r="E4917" t="inlineStr">
        <is>
          <t>CREME BRULEE</t>
        </is>
      </c>
      <c r="F4917" t="n">
        <v>7.9</v>
      </c>
      <c r="G4917" t="inlineStr">
        <is>
          <t>n° 16 : 0,50 + n° 17 : 0,50</t>
        </is>
      </c>
      <c r="H4917" t="n">
        <v>1</v>
      </c>
    </row>
    <row r="4918">
      <c r="A4918" t="inlineStr">
        <is>
          <t>2024-2025</t>
        </is>
      </c>
      <c r="B4918" t="inlineStr">
        <is>
          <t>2024-12-27</t>
        </is>
      </c>
      <c r="C4918" t="inlineStr">
        <is>
          <t>19:58</t>
        </is>
      </c>
      <c r="D4918" t="inlineStr">
        <is>
          <t>n° 16 + n° 17</t>
        </is>
      </c>
      <c r="E4918" t="inlineStr">
        <is>
          <t>Salade Verte</t>
        </is>
      </c>
      <c r="F4918" t="n">
        <v>5.9</v>
      </c>
      <c r="G4918" t="inlineStr">
        <is>
          <t>n° 16 : 0,50 + n° 17 : 0,50</t>
        </is>
      </c>
      <c r="H4918" t="n">
        <v>1</v>
      </c>
    </row>
    <row r="4919">
      <c r="A4919" t="inlineStr">
        <is>
          <t>2024-2025</t>
        </is>
      </c>
      <c r="B4919" t="inlineStr">
        <is>
          <t>2024-12-27</t>
        </is>
      </c>
      <c r="C4919" t="inlineStr">
        <is>
          <t>19:58</t>
        </is>
      </c>
      <c r="D4919" t="inlineStr">
        <is>
          <t>n° 16 + n° 17</t>
        </is>
      </c>
      <c r="E4919" t="inlineStr">
        <is>
          <t>Crêpe Nutella</t>
        </is>
      </c>
      <c r="F4919" t="n">
        <v>4.9</v>
      </c>
      <c r="G4919" t="inlineStr">
        <is>
          <t>n° 16 : 0,50 + n° 17 : 0,50</t>
        </is>
      </c>
      <c r="H4919" t="n">
        <v>1</v>
      </c>
    </row>
    <row r="4920">
      <c r="A4920" t="inlineStr">
        <is>
          <t>2024-2025</t>
        </is>
      </c>
      <c r="B4920" t="inlineStr">
        <is>
          <t>2024-12-27</t>
        </is>
      </c>
      <c r="C4920" t="inlineStr">
        <is>
          <t>19:58</t>
        </is>
      </c>
      <c r="D4920" t="inlineStr">
        <is>
          <t>n° 16 + n° 17</t>
        </is>
      </c>
      <c r="E4920" t="inlineStr">
        <is>
          <t>Pommes grenailles</t>
        </is>
      </c>
      <c r="F4920" t="n">
        <v>3.9</v>
      </c>
      <c r="G4920" t="inlineStr">
        <is>
          <t>n° 16 : 0,50 + n° 17 : 0,50</t>
        </is>
      </c>
      <c r="H4920" t="n">
        <v>1</v>
      </c>
    </row>
    <row r="4921">
      <c r="A4921" t="inlineStr">
        <is>
          <t>2024-2025</t>
        </is>
      </c>
      <c r="B4921" t="inlineStr">
        <is>
          <t>2024-12-28</t>
        </is>
      </c>
      <c r="C4921" t="inlineStr">
        <is>
          <t>13:14</t>
        </is>
      </c>
      <c r="D4921" t="inlineStr">
        <is>
          <t>n° 10 + n° 11</t>
        </is>
      </c>
      <c r="E4921" t="inlineStr">
        <is>
          <t>Negly la Clape</t>
        </is>
      </c>
      <c r="F4921" t="n">
        <v>29</v>
      </c>
      <c r="G4921" t="inlineStr">
        <is>
          <t>n° 10 : 0,50 + n° 11 : 0,50</t>
        </is>
      </c>
      <c r="H4921" t="n">
        <v>1</v>
      </c>
    </row>
    <row r="4922">
      <c r="A4922" t="inlineStr">
        <is>
          <t>2024-2025</t>
        </is>
      </c>
      <c r="B4922" t="inlineStr">
        <is>
          <t>2024-12-28</t>
        </is>
      </c>
      <c r="C4922" t="inlineStr">
        <is>
          <t>13:14</t>
        </is>
      </c>
      <c r="D4922" t="inlineStr">
        <is>
          <t>n° 10 + n° 11</t>
        </is>
      </c>
      <c r="E4922" t="inlineStr">
        <is>
          <t>Entrecôte grillée</t>
        </is>
      </c>
      <c r="F4922" t="n">
        <v>19.9</v>
      </c>
      <c r="G4922" t="inlineStr">
        <is>
          <t>n° 10 : 0,50 + n° 11 : 0,50</t>
        </is>
      </c>
      <c r="H4922" t="n">
        <v>1</v>
      </c>
    </row>
    <row r="4923">
      <c r="A4923" t="inlineStr">
        <is>
          <t>2024-2025</t>
        </is>
      </c>
      <c r="B4923" t="inlineStr">
        <is>
          <t>2024-12-28</t>
        </is>
      </c>
      <c r="C4923" t="inlineStr">
        <is>
          <t>13:14</t>
        </is>
      </c>
      <c r="D4923" t="inlineStr">
        <is>
          <t>n° 10 + n° 11</t>
        </is>
      </c>
      <c r="E4923" t="inlineStr">
        <is>
          <t>CAMEMBERT ROTI</t>
        </is>
      </c>
      <c r="F4923" t="n">
        <v>18.6</v>
      </c>
      <c r="G4923" t="inlineStr">
        <is>
          <t>n° 10 : 1,50 + n° 11 : 1,50</t>
        </is>
      </c>
      <c r="H4923" t="n">
        <v>3</v>
      </c>
    </row>
    <row r="4924">
      <c r="A4924" t="inlineStr">
        <is>
          <t>2024-2025</t>
        </is>
      </c>
      <c r="B4924" t="inlineStr">
        <is>
          <t>2024-12-28</t>
        </is>
      </c>
      <c r="C4924" t="inlineStr">
        <is>
          <t>13:14</t>
        </is>
      </c>
      <c r="D4924" t="inlineStr">
        <is>
          <t>n° 10 + n° 11</t>
        </is>
      </c>
      <c r="E4924" t="inlineStr">
        <is>
          <t>Jamhon Persillé</t>
        </is>
      </c>
      <c r="F4924" t="n">
        <v>7.2</v>
      </c>
      <c r="G4924" t="inlineStr">
        <is>
          <t>n° 10 : 0,50 + n° 11 : 0,50</t>
        </is>
      </c>
      <c r="H4924" t="n">
        <v>1</v>
      </c>
    </row>
    <row r="4925">
      <c r="A4925" t="inlineStr">
        <is>
          <t>2024-2025</t>
        </is>
      </c>
      <c r="B4925" t="inlineStr">
        <is>
          <t>2024-12-28</t>
        </is>
      </c>
      <c r="C4925" t="inlineStr">
        <is>
          <t>13:14</t>
        </is>
      </c>
      <c r="D4925" t="inlineStr">
        <is>
          <t>n° 10 + n° 11</t>
        </is>
      </c>
      <c r="E4925" t="inlineStr">
        <is>
          <t>Expresso</t>
        </is>
      </c>
      <c r="F4925" t="n">
        <v>2.2</v>
      </c>
      <c r="G4925" t="inlineStr">
        <is>
          <t>n° 10 : 1,50 + n° 11 : 1,50</t>
        </is>
      </c>
      <c r="H4925" t="n">
        <v>3</v>
      </c>
    </row>
    <row r="4926">
      <c r="A4926" t="inlineStr">
        <is>
          <t>2024-2025</t>
        </is>
      </c>
      <c r="B4926" t="inlineStr">
        <is>
          <t>2025-01-02</t>
        </is>
      </c>
      <c r="C4926" t="inlineStr">
        <is>
          <t>11:33</t>
        </is>
      </c>
      <c r="D4926" t="inlineStr">
        <is>
          <t>n° 1 + n° 2</t>
        </is>
      </c>
      <c r="E4926" t="inlineStr">
        <is>
          <t>Salade Régionale</t>
        </is>
      </c>
      <c r="F4926" t="n">
        <v>19.9</v>
      </c>
      <c r="G4926" t="inlineStr">
        <is>
          <t>n° 1 : 0,50 + n° 2 : 0,50</t>
        </is>
      </c>
      <c r="H4926" t="n">
        <v>1</v>
      </c>
    </row>
    <row r="4927">
      <c r="A4927" t="inlineStr">
        <is>
          <t>2024-2025</t>
        </is>
      </c>
      <c r="B4927" t="inlineStr">
        <is>
          <t>2025-01-02</t>
        </is>
      </c>
      <c r="C4927" t="inlineStr">
        <is>
          <t>11:33</t>
        </is>
      </c>
      <c r="D4927" t="inlineStr">
        <is>
          <t>n° 1 + n° 2</t>
        </is>
      </c>
      <c r="E4927" t="inlineStr">
        <is>
          <t>POULET JURASSIENNE</t>
        </is>
      </c>
      <c r="F4927" t="n">
        <v>18.6</v>
      </c>
      <c r="G4927" t="inlineStr">
        <is>
          <t>n° 1 : 0,50 + n° 2 : 0,50</t>
        </is>
      </c>
      <c r="H4927" t="n">
        <v>1</v>
      </c>
    </row>
    <row r="4928">
      <c r="A4928" t="inlineStr">
        <is>
          <t>2024-2025</t>
        </is>
      </c>
      <c r="B4928" t="inlineStr">
        <is>
          <t>2025-01-02</t>
        </is>
      </c>
      <c r="C4928" t="inlineStr">
        <is>
          <t>11:33</t>
        </is>
      </c>
      <c r="D4928" t="inlineStr">
        <is>
          <t>n° 1 + n° 2</t>
        </is>
      </c>
      <c r="E4928" t="inlineStr">
        <is>
          <t>VERDELET</t>
        </is>
      </c>
      <c r="F4928" t="n">
        <v>9.800000000000001</v>
      </c>
      <c r="G4928" t="inlineStr">
        <is>
          <t>n° 1 : 0,50 + n° 2 : 0,50</t>
        </is>
      </c>
      <c r="H4928" t="n">
        <v>1</v>
      </c>
    </row>
    <row r="4929">
      <c r="A4929" t="inlineStr">
        <is>
          <t>2024-2025</t>
        </is>
      </c>
      <c r="B4929" t="inlineStr">
        <is>
          <t>2025-01-02</t>
        </is>
      </c>
      <c r="C4929" t="inlineStr">
        <is>
          <t>11:33</t>
        </is>
      </c>
      <c r="D4929" t="inlineStr">
        <is>
          <t>n° 1 + n° 2</t>
        </is>
      </c>
      <c r="E4929" t="inlineStr">
        <is>
          <t>CREME BRULEE</t>
        </is>
      </c>
      <c r="F4929" t="n">
        <v>7.9</v>
      </c>
      <c r="G4929" t="inlineStr">
        <is>
          <t>n° 1 : 0,50 + n° 2 : 0,50</t>
        </is>
      </c>
      <c r="H4929" t="n">
        <v>1</v>
      </c>
    </row>
    <row r="4930">
      <c r="A4930" t="inlineStr">
        <is>
          <t>2024-2025</t>
        </is>
      </c>
      <c r="B4930" t="inlineStr">
        <is>
          <t>2025-01-02</t>
        </is>
      </c>
      <c r="C4930" t="inlineStr">
        <is>
          <t>11:33</t>
        </is>
      </c>
      <c r="D4930" t="inlineStr">
        <is>
          <t>n° 1 + n° 2</t>
        </is>
      </c>
      <c r="E4930" t="inlineStr">
        <is>
          <t>Mambo</t>
        </is>
      </c>
      <c r="F4930" t="n">
        <v>6.5</v>
      </c>
      <c r="G4930" t="inlineStr">
        <is>
          <t>n° 1 : 0,50 + n° 2 : 0,50</t>
        </is>
      </c>
      <c r="H4930" t="n">
        <v>1</v>
      </c>
    </row>
    <row r="4931">
      <c r="A4931" t="inlineStr">
        <is>
          <t>2024-2025</t>
        </is>
      </c>
      <c r="B4931" t="inlineStr">
        <is>
          <t>2025-01-02</t>
        </is>
      </c>
      <c r="C4931" t="inlineStr">
        <is>
          <t>11:33</t>
        </is>
      </c>
      <c r="D4931" t="inlineStr">
        <is>
          <t>n° 1 + n° 2</t>
        </is>
      </c>
      <c r="E4931" t="inlineStr">
        <is>
          <t>Thé</t>
        </is>
      </c>
      <c r="F4931" t="n">
        <v>3.4</v>
      </c>
      <c r="G4931" t="inlineStr">
        <is>
          <t>n° 1 : 0,50 + n° 2 : 0,50</t>
        </is>
      </c>
      <c r="H4931" t="n">
        <v>1</v>
      </c>
    </row>
    <row r="4932">
      <c r="A4932" t="inlineStr">
        <is>
          <t>2024-2025</t>
        </is>
      </c>
      <c r="B4932" t="inlineStr">
        <is>
          <t>2025-01-02</t>
        </is>
      </c>
      <c r="C4932" t="inlineStr">
        <is>
          <t>21:20</t>
        </is>
      </c>
      <c r="D4932" t="inlineStr">
        <is>
          <t>n° 19 + n° 20</t>
        </is>
      </c>
      <c r="E4932" t="inlineStr">
        <is>
          <t>Entrecôte grillée</t>
        </is>
      </c>
      <c r="F4932" t="n">
        <v>19.9</v>
      </c>
      <c r="G4932" t="inlineStr">
        <is>
          <t>n° 19 : 0,50 + n° 20 : 0,50</t>
        </is>
      </c>
      <c r="H4932" t="n">
        <v>1</v>
      </c>
    </row>
    <row r="4933">
      <c r="A4933" t="inlineStr">
        <is>
          <t>2024-2025</t>
        </is>
      </c>
      <c r="B4933" t="inlineStr">
        <is>
          <t>2025-01-02</t>
        </is>
      </c>
      <c r="C4933" t="inlineStr">
        <is>
          <t>21:20</t>
        </is>
      </c>
      <c r="D4933" t="inlineStr">
        <is>
          <t>n° 19 + n° 20</t>
        </is>
      </c>
      <c r="E4933" t="inlineStr">
        <is>
          <t>TANTELIN</t>
        </is>
      </c>
      <c r="F4933" t="n">
        <v>17.4</v>
      </c>
      <c r="G4933" t="inlineStr">
        <is>
          <t>n° 19 : 0,50 + n° 20 : 0,50</t>
        </is>
      </c>
      <c r="H4933" t="n">
        <v>1</v>
      </c>
    </row>
    <row r="4934">
      <c r="A4934" t="inlineStr">
        <is>
          <t>2024-2025</t>
        </is>
      </c>
      <c r="B4934" t="inlineStr">
        <is>
          <t>2025-01-02</t>
        </is>
      </c>
      <c r="C4934" t="inlineStr">
        <is>
          <t>21:20</t>
        </is>
      </c>
      <c r="D4934" t="inlineStr">
        <is>
          <t>n° 19 + n° 20</t>
        </is>
      </c>
      <c r="E4934" t="inlineStr">
        <is>
          <t>Expresso</t>
        </is>
      </c>
      <c r="F4934" t="n">
        <v>2.2</v>
      </c>
      <c r="G4934" t="inlineStr">
        <is>
          <t>n° 19 : 0,50 + n° 20 : 0,50</t>
        </is>
      </c>
      <c r="H4934" t="n">
        <v>1</v>
      </c>
    </row>
    <row r="4935">
      <c r="A4935" t="inlineStr">
        <is>
          <t>2024-2025</t>
        </is>
      </c>
      <c r="B4935" t="inlineStr">
        <is>
          <t>2025-01-03</t>
        </is>
      </c>
      <c r="C4935" t="inlineStr">
        <is>
          <t>13:11</t>
        </is>
      </c>
      <c r="D4935" t="inlineStr">
        <is>
          <t>n° 8 + n° 9 + n° 11 + n° 12</t>
        </is>
      </c>
      <c r="E4935" t="inlineStr">
        <is>
          <t>Arbois Savagnin</t>
        </is>
      </c>
      <c r="F4935" t="n">
        <v>41.5</v>
      </c>
      <c r="G4935" t="inlineStr">
        <is>
          <t>n° 11 : 0,50 + n° 12 : 0,50</t>
        </is>
      </c>
      <c r="H4935" t="n">
        <v>1</v>
      </c>
    </row>
    <row r="4936">
      <c r="A4936" t="inlineStr">
        <is>
          <t>2024-2025</t>
        </is>
      </c>
      <c r="B4936" t="inlineStr">
        <is>
          <t>2025-01-03</t>
        </is>
      </c>
      <c r="C4936" t="inlineStr">
        <is>
          <t>13:11</t>
        </is>
      </c>
      <c r="D4936" t="inlineStr">
        <is>
          <t>n° 8 + n° 9 + n° 11 + n° 12</t>
        </is>
      </c>
      <c r="E4936" t="inlineStr">
        <is>
          <t>PICHET SAVAGNIN</t>
        </is>
      </c>
      <c r="F4936" t="n">
        <v>28</v>
      </c>
      <c r="G4936" t="inlineStr">
        <is>
          <t>n° 8 : 0,50 + n° 9 : 0,50</t>
        </is>
      </c>
      <c r="H4936" t="n">
        <v>1</v>
      </c>
    </row>
    <row r="4937">
      <c r="A4937" t="inlineStr">
        <is>
          <t>2024-2025</t>
        </is>
      </c>
      <c r="B4937" t="inlineStr">
        <is>
          <t>2025-01-03</t>
        </is>
      </c>
      <c r="C4937" t="inlineStr">
        <is>
          <t>13:11</t>
        </is>
      </c>
      <c r="D4937" t="inlineStr">
        <is>
          <t>n° 8 + n° 9 + n° 11 + n° 12</t>
        </is>
      </c>
      <c r="E4937" t="inlineStr">
        <is>
          <t>Entrecôte Forestiére</t>
        </is>
      </c>
      <c r="F4937" t="n">
        <v>27.8</v>
      </c>
      <c r="G4937" t="inlineStr">
        <is>
          <t>n° 11 : 0,50 + n° 12 : 0,50</t>
        </is>
      </c>
      <c r="H4937" t="n">
        <v>1</v>
      </c>
    </row>
    <row r="4938">
      <c r="A4938" t="inlineStr">
        <is>
          <t>2024-2025</t>
        </is>
      </c>
      <c r="B4938" t="inlineStr">
        <is>
          <t>2025-01-03</t>
        </is>
      </c>
      <c r="C4938" t="inlineStr">
        <is>
          <t>13:11</t>
        </is>
      </c>
      <c r="D4938" t="inlineStr">
        <is>
          <t>n° 8 + n° 9 + n° 11 + n° 12</t>
        </is>
      </c>
      <c r="E4938" t="inlineStr">
        <is>
          <t>FRELEE</t>
        </is>
      </c>
      <c r="F4938" t="n">
        <v>19.6</v>
      </c>
      <c r="G4938" t="inlineStr">
        <is>
          <t>n° 8 : 0,50 + n° 9 : 0,50</t>
        </is>
      </c>
      <c r="H4938" t="n">
        <v>1</v>
      </c>
    </row>
    <row r="4939">
      <c r="A4939" t="inlineStr">
        <is>
          <t>2024-2025</t>
        </is>
      </c>
      <c r="B4939" t="inlineStr">
        <is>
          <t>2025-01-03</t>
        </is>
      </c>
      <c r="C4939" t="inlineStr">
        <is>
          <t>13:11</t>
        </is>
      </c>
      <c r="D4939" t="inlineStr">
        <is>
          <t>n° 8 + n° 9 + n° 11 + n° 12</t>
        </is>
      </c>
      <c r="E4939" t="inlineStr">
        <is>
          <t>BURGER COMTOIS</t>
        </is>
      </c>
      <c r="F4939" t="n">
        <v>19</v>
      </c>
      <c r="G4939" t="inlineStr">
        <is>
          <t>n° 11 : 0,50 + n° 12 : 0,50</t>
        </is>
      </c>
      <c r="H4939" t="n">
        <v>1</v>
      </c>
    </row>
    <row r="4940">
      <c r="A4940" t="inlineStr">
        <is>
          <t>2024-2025</t>
        </is>
      </c>
      <c r="B4940" t="inlineStr">
        <is>
          <t>2025-01-03</t>
        </is>
      </c>
      <c r="C4940" t="inlineStr">
        <is>
          <t>13:11</t>
        </is>
      </c>
      <c r="D4940" t="inlineStr">
        <is>
          <t>n° 8 + n° 9 + n° 11 + n° 12</t>
        </is>
      </c>
      <c r="E4940" t="inlineStr">
        <is>
          <t>Crémeux du Jura</t>
        </is>
      </c>
      <c r="F4940" t="n">
        <v>19</v>
      </c>
      <c r="G4940" t="inlineStr">
        <is>
          <t>n° 11 : 0,50 + n° 12 : 0,50</t>
        </is>
      </c>
      <c r="H4940" t="n">
        <v>1</v>
      </c>
    </row>
    <row r="4941">
      <c r="A4941" t="inlineStr">
        <is>
          <t>2024-2025</t>
        </is>
      </c>
      <c r="B4941" t="inlineStr">
        <is>
          <t>2025-01-03</t>
        </is>
      </c>
      <c r="C4941" t="inlineStr">
        <is>
          <t>13:11</t>
        </is>
      </c>
      <c r="D4941" t="inlineStr">
        <is>
          <t>n° 8 + n° 9 + n° 11 + n° 12</t>
        </is>
      </c>
      <c r="E4941" t="inlineStr">
        <is>
          <t>POULET JURASSIENNE</t>
        </is>
      </c>
      <c r="F4941" t="n">
        <v>18.6</v>
      </c>
      <c r="G4941" t="inlineStr">
        <is>
          <t>n° 11 : 0,50 + n° 12 : 0,50</t>
        </is>
      </c>
      <c r="H4941" t="n">
        <v>1</v>
      </c>
    </row>
    <row r="4942">
      <c r="A4942" t="inlineStr">
        <is>
          <t>2024-2025</t>
        </is>
      </c>
      <c r="B4942" t="inlineStr">
        <is>
          <t>2025-01-03</t>
        </is>
      </c>
      <c r="C4942" t="inlineStr">
        <is>
          <t>13:11</t>
        </is>
      </c>
      <c r="D4942" t="inlineStr">
        <is>
          <t>n° 8 + n° 9 + n° 11 + n° 12</t>
        </is>
      </c>
      <c r="E4942" t="inlineStr">
        <is>
          <t>BARBEULENET</t>
        </is>
      </c>
      <c r="F4942" t="n">
        <v>17.4</v>
      </c>
      <c r="G4942" t="inlineStr">
        <is>
          <t>n° 8 : 0,50 + n° 9 : 0,50</t>
        </is>
      </c>
      <c r="H4942" t="n">
        <v>1</v>
      </c>
    </row>
    <row r="4943">
      <c r="A4943" t="inlineStr">
        <is>
          <t>2024-2025</t>
        </is>
      </c>
      <c r="B4943" t="inlineStr">
        <is>
          <t>2025-01-03</t>
        </is>
      </c>
      <c r="C4943" t="inlineStr">
        <is>
          <t>13:11</t>
        </is>
      </c>
      <c r="D4943" t="inlineStr">
        <is>
          <t>n° 8 + n° 9 + n° 11 + n° 12</t>
        </is>
      </c>
      <c r="E4943" t="inlineStr">
        <is>
          <t>VALENTINE</t>
        </is>
      </c>
      <c r="F4943" t="n">
        <v>11.1</v>
      </c>
      <c r="G4943" t="inlineStr">
        <is>
          <t>n° 8 : 0,50 + n° 9 : 0,50</t>
        </is>
      </c>
      <c r="H4943" t="n">
        <v>1</v>
      </c>
    </row>
    <row r="4944">
      <c r="A4944" t="inlineStr">
        <is>
          <t>2024-2025</t>
        </is>
      </c>
      <c r="B4944" t="inlineStr">
        <is>
          <t>2025-01-03</t>
        </is>
      </c>
      <c r="C4944" t="inlineStr">
        <is>
          <t>13:11</t>
        </is>
      </c>
      <c r="D4944" t="inlineStr">
        <is>
          <t>n° 8 + n° 9 + n° 11 + n° 12</t>
        </is>
      </c>
      <c r="E4944" t="inlineStr">
        <is>
          <t>VERDELET</t>
        </is>
      </c>
      <c r="F4944" t="n">
        <v>9.800000000000001</v>
      </c>
      <c r="G4944" t="inlineStr">
        <is>
          <t>n° 11 : 0,50 + n° 12 : 0,50</t>
        </is>
      </c>
      <c r="H4944" t="n">
        <v>1</v>
      </c>
    </row>
    <row r="4945">
      <c r="A4945" t="inlineStr">
        <is>
          <t>2024-2025</t>
        </is>
      </c>
      <c r="B4945" t="inlineStr">
        <is>
          <t>2025-01-03</t>
        </is>
      </c>
      <c r="C4945" t="inlineStr">
        <is>
          <t>13:11</t>
        </is>
      </c>
      <c r="D4945" t="inlineStr">
        <is>
          <t>n° 8 + n° 9 + n° 11 + n° 12</t>
        </is>
      </c>
      <c r="E4945" t="inlineStr">
        <is>
          <t>Pavlova</t>
        </is>
      </c>
      <c r="F4945" t="n">
        <v>8.9</v>
      </c>
      <c r="G4945" t="inlineStr">
        <is>
          <t>n° 11 : 0,50 + n° 12 : 0,50</t>
        </is>
      </c>
      <c r="H4945" t="n">
        <v>1</v>
      </c>
    </row>
    <row r="4946">
      <c r="A4946" t="inlineStr">
        <is>
          <t>2024-2025</t>
        </is>
      </c>
      <c r="B4946" t="inlineStr">
        <is>
          <t>2025-01-03</t>
        </is>
      </c>
      <c r="C4946" t="inlineStr">
        <is>
          <t>13:11</t>
        </is>
      </c>
      <c r="D4946" t="inlineStr">
        <is>
          <t>n° 8 + n° 9 + n° 11 + n° 12</t>
        </is>
      </c>
      <c r="E4946" t="inlineStr">
        <is>
          <t>Crêpe Marrons</t>
        </is>
      </c>
      <c r="F4946" t="n">
        <v>6.4</v>
      </c>
      <c r="G4946" t="inlineStr">
        <is>
          <t>n° 8 : 0,50 + n° 9 : 0,50</t>
        </is>
      </c>
      <c r="H4946" t="n">
        <v>1</v>
      </c>
    </row>
    <row r="4947">
      <c r="A4947" t="inlineStr">
        <is>
          <t>2024-2025</t>
        </is>
      </c>
      <c r="B4947" t="inlineStr">
        <is>
          <t>2025-01-03</t>
        </is>
      </c>
      <c r="C4947" t="inlineStr">
        <is>
          <t>13:11</t>
        </is>
      </c>
      <c r="D4947" t="inlineStr">
        <is>
          <t>n° 8 + n° 9 + n° 11 + n° 12</t>
        </is>
      </c>
      <c r="E4947" t="inlineStr">
        <is>
          <t>Père Gregoire</t>
        </is>
      </c>
      <c r="F4947" t="n">
        <v>5.9</v>
      </c>
      <c r="G4947" t="inlineStr">
        <is>
          <t>n° 11 : 0,50 + n° 12 : 0,50</t>
        </is>
      </c>
      <c r="H4947" t="n">
        <v>1</v>
      </c>
    </row>
    <row r="4948">
      <c r="A4948" t="inlineStr">
        <is>
          <t>2024-2025</t>
        </is>
      </c>
      <c r="B4948" t="inlineStr">
        <is>
          <t>2025-01-03</t>
        </is>
      </c>
      <c r="C4948" t="inlineStr">
        <is>
          <t>13:11</t>
        </is>
      </c>
      <c r="D4948" t="inlineStr">
        <is>
          <t>n° 8 + n° 9 + n° 11 + n° 12</t>
        </is>
      </c>
      <c r="E4948" t="inlineStr">
        <is>
          <t>La Vouivre</t>
        </is>
      </c>
      <c r="F4948" t="n">
        <v>5.9</v>
      </c>
      <c r="G4948" t="inlineStr">
        <is>
          <t>n° 11 : 1,50 + n° 12 : 1,50</t>
        </is>
      </c>
      <c r="H4948" t="n">
        <v>3</v>
      </c>
    </row>
    <row r="4949">
      <c r="A4949" t="inlineStr">
        <is>
          <t>2024-2025</t>
        </is>
      </c>
      <c r="B4949" t="inlineStr">
        <is>
          <t>2025-01-03</t>
        </is>
      </c>
      <c r="C4949" t="inlineStr">
        <is>
          <t>13:11</t>
        </is>
      </c>
      <c r="D4949" t="inlineStr">
        <is>
          <t>n° 8 + n° 9 + n° 11 + n° 12</t>
        </is>
      </c>
      <c r="E4949" t="inlineStr">
        <is>
          <t>Crêpe Confiture</t>
        </is>
      </c>
      <c r="F4949" t="n">
        <v>5.4</v>
      </c>
      <c r="G4949" t="inlineStr">
        <is>
          <t>n° 11 : 0,50 + n° 12 : 0,50</t>
        </is>
      </c>
      <c r="H4949" t="n">
        <v>1</v>
      </c>
    </row>
    <row r="4950">
      <c r="A4950" t="inlineStr">
        <is>
          <t>2024-2025</t>
        </is>
      </c>
      <c r="B4950" t="inlineStr">
        <is>
          <t>2025-01-03</t>
        </is>
      </c>
      <c r="C4950" t="inlineStr">
        <is>
          <t>13:11</t>
        </is>
      </c>
      <c r="D4950" t="inlineStr">
        <is>
          <t>n° 8 + n° 9 + n° 11 + n° 12</t>
        </is>
      </c>
      <c r="E4950" t="inlineStr">
        <is>
          <t>Crêpe Nutella</t>
        </is>
      </c>
      <c r="F4950" t="n">
        <v>4.9</v>
      </c>
      <c r="G4950" t="inlineStr">
        <is>
          <t>n° 11 : 0,50 + n° 12 : 0,50</t>
        </is>
      </c>
      <c r="H4950" t="n">
        <v>1</v>
      </c>
    </row>
    <row r="4951">
      <c r="A4951" t="inlineStr">
        <is>
          <t>2024-2025</t>
        </is>
      </c>
      <c r="B4951" t="inlineStr">
        <is>
          <t>2025-01-03</t>
        </is>
      </c>
      <c r="C4951" t="inlineStr">
        <is>
          <t>19:59</t>
        </is>
      </c>
      <c r="D4951" t="inlineStr">
        <is>
          <t>n° 22 + n° 23</t>
        </is>
      </c>
      <c r="E4951" t="inlineStr">
        <is>
          <t>Crémeux du Jura</t>
        </is>
      </c>
      <c r="F4951" t="n">
        <v>19</v>
      </c>
      <c r="G4951" t="inlineStr">
        <is>
          <t>n° 22 : 0,50 + n° 23 : 0,50</t>
        </is>
      </c>
      <c r="H4951" t="n">
        <v>1</v>
      </c>
    </row>
    <row r="4952">
      <c r="A4952" t="inlineStr">
        <is>
          <t>2024-2025</t>
        </is>
      </c>
      <c r="B4952" t="inlineStr">
        <is>
          <t>2025-01-03</t>
        </is>
      </c>
      <c r="C4952" t="inlineStr">
        <is>
          <t>19:59</t>
        </is>
      </c>
      <c r="D4952" t="inlineStr">
        <is>
          <t>n° 22 + n° 23</t>
        </is>
      </c>
      <c r="E4952" t="inlineStr">
        <is>
          <t>ASSIETTE FRANC-COMTO</t>
        </is>
      </c>
      <c r="F4952" t="n">
        <v>18.6</v>
      </c>
      <c r="G4952" t="inlineStr">
        <is>
          <t>n° 22 : 0,50 + n° 23 : 0,50</t>
        </is>
      </c>
      <c r="H4952" t="n">
        <v>1</v>
      </c>
    </row>
    <row r="4953">
      <c r="A4953" t="inlineStr">
        <is>
          <t>2024-2025</t>
        </is>
      </c>
      <c r="B4953" t="inlineStr">
        <is>
          <t>2025-01-03</t>
        </is>
      </c>
      <c r="C4953" t="inlineStr">
        <is>
          <t>19:59</t>
        </is>
      </c>
      <c r="D4953" t="inlineStr">
        <is>
          <t>n° 22 + n° 23</t>
        </is>
      </c>
      <c r="E4953" t="inlineStr">
        <is>
          <t>Saint Véran Verre</t>
        </is>
      </c>
      <c r="F4953" t="n">
        <v>7.9</v>
      </c>
      <c r="G4953" t="inlineStr">
        <is>
          <t>n° 22 : 0,50 + n° 23 : 0,50</t>
        </is>
      </c>
      <c r="H4953" t="n">
        <v>1</v>
      </c>
    </row>
    <row r="4954">
      <c r="A4954" t="inlineStr">
        <is>
          <t>2024-2025</t>
        </is>
      </c>
      <c r="B4954" t="inlineStr">
        <is>
          <t>2025-01-03</t>
        </is>
      </c>
      <c r="C4954" t="inlineStr">
        <is>
          <t>19:59</t>
        </is>
      </c>
      <c r="D4954" t="inlineStr">
        <is>
          <t>n° 22 + n° 23</t>
        </is>
      </c>
      <c r="E4954" t="inlineStr">
        <is>
          <t>Crêpe Salidou</t>
        </is>
      </c>
      <c r="F4954" t="n">
        <v>6.4</v>
      </c>
      <c r="G4954" t="inlineStr">
        <is>
          <t>n° 22 : 0,50 + n° 23 : 0,50</t>
        </is>
      </c>
      <c r="H4954" t="n">
        <v>1</v>
      </c>
    </row>
    <row r="4955">
      <c r="A4955" t="inlineStr">
        <is>
          <t>2024-2025</t>
        </is>
      </c>
      <c r="B4955" t="inlineStr">
        <is>
          <t>2025-01-03</t>
        </is>
      </c>
      <c r="C4955" t="inlineStr">
        <is>
          <t>19:59</t>
        </is>
      </c>
      <c r="D4955" t="inlineStr">
        <is>
          <t>n° 22 + n° 23</t>
        </is>
      </c>
      <c r="E4955" t="inlineStr">
        <is>
          <t>Crêpe Marrons</t>
        </is>
      </c>
      <c r="F4955" t="n">
        <v>6.4</v>
      </c>
      <c r="G4955" t="inlineStr">
        <is>
          <t>n° 22 : 0,50 + n° 23 : 0,50</t>
        </is>
      </c>
      <c r="H4955" t="n">
        <v>1</v>
      </c>
    </row>
    <row r="4956">
      <c r="A4956" t="inlineStr">
        <is>
          <t>2024-2025</t>
        </is>
      </c>
      <c r="B4956" t="inlineStr">
        <is>
          <t>2025-01-03</t>
        </is>
      </c>
      <c r="C4956" t="inlineStr">
        <is>
          <t>20:48</t>
        </is>
      </c>
      <c r="D4956" t="inlineStr">
        <is>
          <t>n° 27 + n° 28 + n° 29 + n° 30</t>
        </is>
      </c>
      <c r="E4956" t="inlineStr">
        <is>
          <t>Salade Régionale</t>
        </is>
      </c>
      <c r="F4956" t="n">
        <v>19.9</v>
      </c>
      <c r="G4956" t="inlineStr">
        <is>
          <t>n° 29 : 0,50 + n° 30 : 0,50</t>
        </is>
      </c>
      <c r="H4956" t="n">
        <v>1</v>
      </c>
    </row>
    <row r="4957">
      <c r="A4957" t="inlineStr">
        <is>
          <t>2024-2025</t>
        </is>
      </c>
      <c r="B4957" t="inlineStr">
        <is>
          <t>2025-01-03</t>
        </is>
      </c>
      <c r="C4957" t="inlineStr">
        <is>
          <t>20:48</t>
        </is>
      </c>
      <c r="D4957" t="inlineStr">
        <is>
          <t>n° 27 + n° 28 + n° 29 + n° 30</t>
        </is>
      </c>
      <c r="E4957" t="inlineStr">
        <is>
          <t>CAMEMBERT ROTI</t>
        </is>
      </c>
      <c r="F4957" t="n">
        <v>18.6</v>
      </c>
      <c r="G4957" t="inlineStr">
        <is>
          <t>n° 29 : 0,50 + n° 30 : 0,50</t>
        </is>
      </c>
      <c r="H4957" t="n">
        <v>1</v>
      </c>
    </row>
    <row r="4958">
      <c r="A4958" t="inlineStr">
        <is>
          <t>2024-2025</t>
        </is>
      </c>
      <c r="B4958" t="inlineStr">
        <is>
          <t>2025-01-03</t>
        </is>
      </c>
      <c r="C4958" t="inlineStr">
        <is>
          <t>20:48</t>
        </is>
      </c>
      <c r="D4958" t="inlineStr">
        <is>
          <t>n° 27 + n° 28 + n° 29 + n° 30</t>
        </is>
      </c>
      <c r="E4958" t="inlineStr">
        <is>
          <t>Fondue Jurassienne</t>
        </is>
      </c>
      <c r="F4958" t="n">
        <v>16.9</v>
      </c>
      <c r="G4958" t="inlineStr">
        <is>
          <t>n° 27 : 2,50 + n° 28 : 2,50</t>
        </is>
      </c>
      <c r="H4958" t="n">
        <v>5</v>
      </c>
    </row>
    <row r="4959">
      <c r="A4959" t="inlineStr">
        <is>
          <t>2024-2025</t>
        </is>
      </c>
      <c r="B4959" t="inlineStr">
        <is>
          <t>2025-01-03</t>
        </is>
      </c>
      <c r="C4959" t="inlineStr">
        <is>
          <t>20:48</t>
        </is>
      </c>
      <c r="D4959" t="inlineStr">
        <is>
          <t>n° 27 + n° 28 + n° 29 + n° 30</t>
        </is>
      </c>
      <c r="E4959" t="inlineStr">
        <is>
          <t>Savagnin verre</t>
        </is>
      </c>
      <c r="F4959" t="n">
        <v>8.300000000000001</v>
      </c>
      <c r="G4959" t="inlineStr">
        <is>
          <t>n° 27 : 0,50 + n° 28 : 0,50</t>
        </is>
      </c>
      <c r="H4959" t="n">
        <v>1</v>
      </c>
    </row>
    <row r="4960">
      <c r="A4960" t="inlineStr">
        <is>
          <t>2024-2025</t>
        </is>
      </c>
      <c r="B4960" t="inlineStr">
        <is>
          <t>2025-01-03</t>
        </is>
      </c>
      <c r="C4960" t="inlineStr">
        <is>
          <t>20:48</t>
        </is>
      </c>
      <c r="D4960" t="inlineStr">
        <is>
          <t>n° 27 + n° 28 + n° 29 + n° 30</t>
        </is>
      </c>
      <c r="E4960" t="inlineStr">
        <is>
          <t>GLACE 3 BOULES</t>
        </is>
      </c>
      <c r="F4960" t="n">
        <v>7.9</v>
      </c>
      <c r="G4960" t="inlineStr">
        <is>
          <t>n° 27 : 0,50 + n° 28 : 0,50</t>
        </is>
      </c>
      <c r="H4960" t="n">
        <v>1</v>
      </c>
    </row>
    <row r="4961">
      <c r="A4961" t="inlineStr">
        <is>
          <t>2024-2025</t>
        </is>
      </c>
      <c r="B4961" t="inlineStr">
        <is>
          <t>2025-01-03</t>
        </is>
      </c>
      <c r="C4961" t="inlineStr">
        <is>
          <t>20:48</t>
        </is>
      </c>
      <c r="D4961" t="inlineStr">
        <is>
          <t>n° 27 + n° 28 + n° 29 + n° 30</t>
        </is>
      </c>
      <c r="E4961" t="inlineStr">
        <is>
          <t>Crêpe Marrons</t>
        </is>
      </c>
      <c r="F4961" t="n">
        <v>6.4</v>
      </c>
      <c r="G4961" t="inlineStr">
        <is>
          <t>n° 27 : 0,50 + n° 28 : 0,50</t>
        </is>
      </c>
      <c r="H4961" t="n">
        <v>1</v>
      </c>
    </row>
    <row r="4962">
      <c r="A4962" t="inlineStr">
        <is>
          <t>2024-2025</t>
        </is>
      </c>
      <c r="B4962" t="inlineStr">
        <is>
          <t>2025-01-03</t>
        </is>
      </c>
      <c r="C4962" t="inlineStr">
        <is>
          <t>20:48</t>
        </is>
      </c>
      <c r="D4962" t="inlineStr">
        <is>
          <t>n° 27 + n° 28 + n° 29 + n° 30</t>
        </is>
      </c>
      <c r="E4962" t="inlineStr">
        <is>
          <t>Macvin du Jura</t>
        </is>
      </c>
      <c r="F4962" t="n">
        <v>5.9</v>
      </c>
      <c r="G4962" t="inlineStr">
        <is>
          <t>n° 27 : 0,50 + n° 28 : 0,50</t>
        </is>
      </c>
      <c r="H4962" t="n">
        <v>1</v>
      </c>
    </row>
    <row r="4963">
      <c r="A4963" t="inlineStr">
        <is>
          <t>2024-2025</t>
        </is>
      </c>
      <c r="B4963" t="inlineStr">
        <is>
          <t>2025-01-03</t>
        </is>
      </c>
      <c r="C4963" t="inlineStr">
        <is>
          <t>20:48</t>
        </is>
      </c>
      <c r="D4963" t="inlineStr">
        <is>
          <t>n° 27 + n° 28 + n° 29 + n° 30</t>
        </is>
      </c>
      <c r="E4963" t="inlineStr">
        <is>
          <t>Diabolo (25cl)</t>
        </is>
      </c>
      <c r="F4963" t="n">
        <v>3.9</v>
      </c>
      <c r="G4963" t="inlineStr">
        <is>
          <t>n° 27 : 0,50 + n° 28 : 0,50</t>
        </is>
      </c>
      <c r="H4963" t="n">
        <v>1</v>
      </c>
    </row>
    <row r="4964">
      <c r="A4964" t="inlineStr">
        <is>
          <t>2024-2025</t>
        </is>
      </c>
      <c r="B4964" t="inlineStr">
        <is>
          <t>2025-01-03</t>
        </is>
      </c>
      <c r="C4964" t="inlineStr">
        <is>
          <t>20:48</t>
        </is>
      </c>
      <c r="D4964" t="inlineStr">
        <is>
          <t>n° 27 + n° 28 + n° 29 + n° 30</t>
        </is>
      </c>
      <c r="E4964" t="inlineStr">
        <is>
          <t>Pommes grenailles</t>
        </is>
      </c>
      <c r="F4964" t="n">
        <v>3.9</v>
      </c>
      <c r="G4964" t="inlineStr">
        <is>
          <t>n° 27 : 0,50 + n° 28 : 0,50</t>
        </is>
      </c>
      <c r="H4964" t="n">
        <v>1</v>
      </c>
    </row>
    <row r="4965">
      <c r="A4965" t="inlineStr">
        <is>
          <t>2024-2025</t>
        </is>
      </c>
      <c r="B4965" t="inlineStr">
        <is>
          <t>2025-01-03</t>
        </is>
      </c>
      <c r="C4965" t="inlineStr">
        <is>
          <t>20:48</t>
        </is>
      </c>
      <c r="D4965" t="inlineStr">
        <is>
          <t>n° 27 + n° 28 + n° 29 + n° 30</t>
        </is>
      </c>
      <c r="E4965" t="inlineStr">
        <is>
          <t>Chantilly</t>
        </is>
      </c>
      <c r="F4965" t="n">
        <v>2</v>
      </c>
      <c r="G4965" t="inlineStr">
        <is>
          <t>n° 27 : 0,50 + n° 28 : 0,50</t>
        </is>
      </c>
      <c r="H4965" t="n">
        <v>1</v>
      </c>
    </row>
    <row r="4966">
      <c r="A4966" t="inlineStr">
        <is>
          <t>2024-2025</t>
        </is>
      </c>
      <c r="B4966" t="inlineStr">
        <is>
          <t>2025-01-04</t>
        </is>
      </c>
      <c r="C4966" t="inlineStr">
        <is>
          <t>12:49</t>
        </is>
      </c>
      <c r="D4966" t="inlineStr">
        <is>
          <t>n° 4 + n° 5</t>
        </is>
      </c>
      <c r="E4966" t="inlineStr">
        <is>
          <t>PICHET MOULIN A VENT</t>
        </is>
      </c>
      <c r="F4966" t="n">
        <v>26</v>
      </c>
      <c r="G4966" t="inlineStr">
        <is>
          <t>n° 4 : 0,50 + n° 5 : 0,50</t>
        </is>
      </c>
      <c r="H4966" t="n">
        <v>1</v>
      </c>
    </row>
    <row r="4967">
      <c r="A4967" t="inlineStr">
        <is>
          <t>2024-2025</t>
        </is>
      </c>
      <c r="B4967" t="inlineStr">
        <is>
          <t>2025-01-04</t>
        </is>
      </c>
      <c r="C4967" t="inlineStr">
        <is>
          <t>12:49</t>
        </is>
      </c>
      <c r="D4967" t="inlineStr">
        <is>
          <t>n° 4 + n° 5</t>
        </is>
      </c>
      <c r="E4967" t="inlineStr">
        <is>
          <t>ASSIETTE FRANC-COMTO</t>
        </is>
      </c>
      <c r="F4967" t="n">
        <v>18.6</v>
      </c>
      <c r="G4967" t="inlineStr">
        <is>
          <t>n° 4 : 1,50 + n° 5 : 1,50</t>
        </is>
      </c>
      <c r="H4967" t="n">
        <v>3</v>
      </c>
    </row>
    <row r="4968">
      <c r="A4968" t="inlineStr">
        <is>
          <t>2024-2025</t>
        </is>
      </c>
      <c r="B4968" t="inlineStr">
        <is>
          <t>2025-01-04</t>
        </is>
      </c>
      <c r="C4968" t="inlineStr">
        <is>
          <t>12:49</t>
        </is>
      </c>
      <c r="D4968" t="inlineStr">
        <is>
          <t>n° 4 + n° 5</t>
        </is>
      </c>
      <c r="E4968" t="inlineStr">
        <is>
          <t>TRUITE PESTO</t>
        </is>
      </c>
      <c r="F4968" t="n">
        <v>16.9</v>
      </c>
      <c r="G4968" t="inlineStr">
        <is>
          <t>n° 4 : 0,50 + n° 5 : 0,50</t>
        </is>
      </c>
      <c r="H4968" t="n">
        <v>1</v>
      </c>
    </row>
    <row r="4969">
      <c r="A4969" t="inlineStr">
        <is>
          <t>2024-2025</t>
        </is>
      </c>
      <c r="B4969" t="inlineStr">
        <is>
          <t>2025-01-04</t>
        </is>
      </c>
      <c r="C4969" t="inlineStr">
        <is>
          <t>12:49</t>
        </is>
      </c>
      <c r="D4969" t="inlineStr">
        <is>
          <t>n° 4 + n° 5</t>
        </is>
      </c>
      <c r="E4969" t="inlineStr">
        <is>
          <t>FOULETOT</t>
        </is>
      </c>
      <c r="F4969" t="n">
        <v>11.5</v>
      </c>
      <c r="G4969" t="inlineStr">
        <is>
          <t>n° 4 : 0,50 + n° 5 : 0,50</t>
        </is>
      </c>
      <c r="H4969" t="n">
        <v>1</v>
      </c>
    </row>
    <row r="4970">
      <c r="A4970" t="inlineStr">
        <is>
          <t>2024-2025</t>
        </is>
      </c>
      <c r="B4970" t="inlineStr">
        <is>
          <t>2025-01-04</t>
        </is>
      </c>
      <c r="C4970" t="inlineStr">
        <is>
          <t>12:49</t>
        </is>
      </c>
      <c r="D4970" t="inlineStr">
        <is>
          <t>n° 4 + n° 5</t>
        </is>
      </c>
      <c r="E4970" t="inlineStr">
        <is>
          <t>DAMES VERTES</t>
        </is>
      </c>
      <c r="F4970" t="n">
        <v>9.699999999999999</v>
      </c>
      <c r="G4970" t="inlineStr">
        <is>
          <t>n° 4 : 0,50 + n° 5 : 0,50</t>
        </is>
      </c>
      <c r="H4970" t="n">
        <v>1</v>
      </c>
    </row>
    <row r="4971">
      <c r="A4971" t="inlineStr">
        <is>
          <t>2024-2025</t>
        </is>
      </c>
      <c r="B4971" t="inlineStr">
        <is>
          <t>2025-01-04</t>
        </is>
      </c>
      <c r="C4971" t="inlineStr">
        <is>
          <t>12:49</t>
        </is>
      </c>
      <c r="D4971" t="inlineStr">
        <is>
          <t>n° 4 + n° 5</t>
        </is>
      </c>
      <c r="E4971" t="inlineStr">
        <is>
          <t>CREME BRULEE</t>
        </is>
      </c>
      <c r="F4971" t="n">
        <v>7.9</v>
      </c>
      <c r="G4971" t="inlineStr">
        <is>
          <t>n° 4 : 0,50 + n° 5 : 0,50</t>
        </is>
      </c>
      <c r="H4971" t="n">
        <v>1</v>
      </c>
    </row>
    <row r="4972">
      <c r="A4972" t="inlineStr">
        <is>
          <t>2024-2025</t>
        </is>
      </c>
      <c r="B4972" t="inlineStr">
        <is>
          <t>2025-01-04</t>
        </is>
      </c>
      <c r="C4972" t="inlineStr">
        <is>
          <t>12:49</t>
        </is>
      </c>
      <c r="D4972" t="inlineStr">
        <is>
          <t>n° 4 + n° 5</t>
        </is>
      </c>
      <c r="E4972" t="inlineStr">
        <is>
          <t>Crepe Chocolat</t>
        </is>
      </c>
      <c r="F4972" t="n">
        <v>5.9</v>
      </c>
      <c r="G4972" t="inlineStr">
        <is>
          <t>n° 4 : 0,50 + n° 5 : 0,50</t>
        </is>
      </c>
      <c r="H4972" t="n">
        <v>1</v>
      </c>
    </row>
    <row r="4973">
      <c r="A4973" t="inlineStr">
        <is>
          <t>2024-2025</t>
        </is>
      </c>
      <c r="B4973" t="inlineStr">
        <is>
          <t>2025-01-04</t>
        </is>
      </c>
      <c r="C4973" t="inlineStr">
        <is>
          <t>12:49</t>
        </is>
      </c>
      <c r="D4973" t="inlineStr">
        <is>
          <t>n° 4 + n° 5</t>
        </is>
      </c>
      <c r="E4973" t="inlineStr">
        <is>
          <t>GLACE 1 BOULE</t>
        </is>
      </c>
      <c r="F4973" t="n">
        <v>3.5</v>
      </c>
      <c r="G4973" t="inlineStr">
        <is>
          <t>n° 4 : 0,50 + n° 5 : 0,50</t>
        </is>
      </c>
      <c r="H4973" t="n">
        <v>1</v>
      </c>
    </row>
    <row r="4974">
      <c r="A4974" t="inlineStr">
        <is>
          <t>2024-2025</t>
        </is>
      </c>
      <c r="B4974" t="inlineStr">
        <is>
          <t>2025-01-04</t>
        </is>
      </c>
      <c r="C4974" t="inlineStr">
        <is>
          <t>12:49</t>
        </is>
      </c>
      <c r="D4974" t="inlineStr">
        <is>
          <t>n° 4 + n° 5</t>
        </is>
      </c>
      <c r="E4974" t="inlineStr">
        <is>
          <t>Thé</t>
        </is>
      </c>
      <c r="F4974" t="n">
        <v>3.4</v>
      </c>
      <c r="G4974" t="inlineStr">
        <is>
          <t>n° 4 : 0,50 + n° 5 : 0,50</t>
        </is>
      </c>
      <c r="H4974" t="n">
        <v>1</v>
      </c>
    </row>
    <row r="4975">
      <c r="A4975" t="inlineStr">
        <is>
          <t>2024-2025</t>
        </is>
      </c>
      <c r="B4975" t="inlineStr">
        <is>
          <t>2025-01-04</t>
        </is>
      </c>
      <c r="C4975" t="inlineStr">
        <is>
          <t>12:49</t>
        </is>
      </c>
      <c r="D4975" t="inlineStr">
        <is>
          <t>n° 4 + n° 5</t>
        </is>
      </c>
      <c r="E4975" t="inlineStr">
        <is>
          <t>Expresso</t>
        </is>
      </c>
      <c r="F4975" t="n">
        <v>2.2</v>
      </c>
      <c r="G4975" t="inlineStr">
        <is>
          <t>n° 4 : 0,50 + n° 5 : 0,50</t>
        </is>
      </c>
      <c r="H4975" t="n">
        <v>1</v>
      </c>
    </row>
    <row r="4976">
      <c r="A4976" t="inlineStr">
        <is>
          <t>2024-2025</t>
        </is>
      </c>
      <c r="B4976" t="inlineStr">
        <is>
          <t>2025-01-04</t>
        </is>
      </c>
      <c r="C4976" t="inlineStr">
        <is>
          <t>20:03</t>
        </is>
      </c>
      <c r="D4976" t="inlineStr">
        <is>
          <t>n° 21 + n° 22</t>
        </is>
      </c>
      <c r="E4976" t="inlineStr">
        <is>
          <t>Entrecôte Forestiére</t>
        </is>
      </c>
      <c r="F4976" t="n">
        <v>27.8</v>
      </c>
      <c r="G4976" t="inlineStr">
        <is>
          <t>n° 21 : 0,50 + n° 22 : 0,50</t>
        </is>
      </c>
      <c r="H4976" t="n">
        <v>1</v>
      </c>
    </row>
    <row r="4977">
      <c r="A4977" t="inlineStr">
        <is>
          <t>2024-2025</t>
        </is>
      </c>
      <c r="B4977" t="inlineStr">
        <is>
          <t>2025-01-04</t>
        </is>
      </c>
      <c r="C4977" t="inlineStr">
        <is>
          <t>20:03</t>
        </is>
      </c>
      <c r="D4977" t="inlineStr">
        <is>
          <t>n° 21 + n° 22</t>
        </is>
      </c>
      <c r="E4977" t="inlineStr">
        <is>
          <t>CAMEMBERT ROTI</t>
        </is>
      </c>
      <c r="F4977" t="n">
        <v>18.6</v>
      </c>
      <c r="G4977" t="inlineStr">
        <is>
          <t>n° 21 : 0,50 + n° 22 : 0,50</t>
        </is>
      </c>
      <c r="H4977" t="n">
        <v>1</v>
      </c>
    </row>
    <row r="4978">
      <c r="A4978" t="inlineStr">
        <is>
          <t>2024-2025</t>
        </is>
      </c>
      <c r="B4978" t="inlineStr">
        <is>
          <t>2025-01-04</t>
        </is>
      </c>
      <c r="C4978" t="inlineStr">
        <is>
          <t>20:03</t>
        </is>
      </c>
      <c r="D4978" t="inlineStr">
        <is>
          <t>n° 21 + n° 22</t>
        </is>
      </c>
      <c r="E4978" t="inlineStr">
        <is>
          <t>Assortiment charcute</t>
        </is>
      </c>
      <c r="F4978" t="n">
        <v>8.9</v>
      </c>
      <c r="G4978" t="inlineStr">
        <is>
          <t>n° 21 : 0,50 + n° 22 : 0,50</t>
        </is>
      </c>
      <c r="H4978" t="n">
        <v>1</v>
      </c>
    </row>
    <row r="4979">
      <c r="A4979" t="inlineStr">
        <is>
          <t>2024-2025</t>
        </is>
      </c>
      <c r="B4979" t="inlineStr">
        <is>
          <t>2025-01-04</t>
        </is>
      </c>
      <c r="C4979" t="inlineStr">
        <is>
          <t>20:03</t>
        </is>
      </c>
      <c r="D4979" t="inlineStr">
        <is>
          <t>n° 21 + n° 22</t>
        </is>
      </c>
      <c r="E4979" t="inlineStr">
        <is>
          <t>Beaujolais Moulin à</t>
        </is>
      </c>
      <c r="F4979" t="n">
        <v>7.6</v>
      </c>
      <c r="G4979" t="inlineStr">
        <is>
          <t>n° 21 : 0,50 + n° 22 : 0,50</t>
        </is>
      </c>
      <c r="H4979" t="n">
        <v>1</v>
      </c>
    </row>
    <row r="4980">
      <c r="A4980" t="inlineStr">
        <is>
          <t>2024-2025</t>
        </is>
      </c>
      <c r="B4980" t="inlineStr">
        <is>
          <t>2025-01-04</t>
        </is>
      </c>
      <c r="C4980" t="inlineStr">
        <is>
          <t>20:03</t>
        </is>
      </c>
      <c r="D4980" t="inlineStr">
        <is>
          <t>n° 21 + n° 22</t>
        </is>
      </c>
      <c r="E4980" t="inlineStr">
        <is>
          <t>Jus de Fruit</t>
        </is>
      </c>
      <c r="F4980" t="n">
        <v>4.2</v>
      </c>
      <c r="G4980" t="inlineStr">
        <is>
          <t>n° 21 : 0,50 + n° 22 : 0,50</t>
        </is>
      </c>
      <c r="H4980" t="n">
        <v>1</v>
      </c>
    </row>
    <row r="4981">
      <c r="A4981" t="inlineStr">
        <is>
          <t>2024-2025</t>
        </is>
      </c>
      <c r="B4981" t="inlineStr">
        <is>
          <t>2025-01-04</t>
        </is>
      </c>
      <c r="C4981" t="inlineStr">
        <is>
          <t>20:03</t>
        </is>
      </c>
      <c r="D4981" t="inlineStr">
        <is>
          <t>n° 21 + n° 22</t>
        </is>
      </c>
      <c r="E4981" t="inlineStr">
        <is>
          <t>Ricard</t>
        </is>
      </c>
      <c r="F4981" t="n">
        <v>4.2</v>
      </c>
      <c r="G4981" t="inlineStr">
        <is>
          <t>n° 21 : 0,50 + n° 22 : 0,50</t>
        </is>
      </c>
      <c r="H4981" t="n">
        <v>1</v>
      </c>
    </row>
    <row r="4982">
      <c r="A4982" t="inlineStr">
        <is>
          <t>2024-2025</t>
        </is>
      </c>
      <c r="B4982" t="inlineStr">
        <is>
          <t>2025-01-04</t>
        </is>
      </c>
      <c r="C4982" t="inlineStr">
        <is>
          <t>20:03</t>
        </is>
      </c>
      <c r="D4982" t="inlineStr">
        <is>
          <t>n° 21 + n° 22</t>
        </is>
      </c>
      <c r="E4982" t="inlineStr">
        <is>
          <t>San Pelegrino 50cl</t>
        </is>
      </c>
      <c r="F4982" t="n">
        <v>4</v>
      </c>
      <c r="G4982" t="inlineStr">
        <is>
          <t>n° 21 : 0,50 + n° 22 : 0,50</t>
        </is>
      </c>
      <c r="H4982" t="n">
        <v>1</v>
      </c>
    </row>
    <row r="4983">
      <c r="A4983" t="inlineStr">
        <is>
          <t>2024-2025</t>
        </is>
      </c>
      <c r="B4983" t="inlineStr">
        <is>
          <t>2025-01-04</t>
        </is>
      </c>
      <c r="C4983" t="inlineStr">
        <is>
          <t>20:03</t>
        </is>
      </c>
      <c r="D4983" t="inlineStr">
        <is>
          <t>n° 21 + n° 22</t>
        </is>
      </c>
      <c r="E4983" t="inlineStr">
        <is>
          <t>VERRE CHUSCLAN</t>
        </is>
      </c>
      <c r="F4983" t="n">
        <v>3.9</v>
      </c>
      <c r="G4983" t="inlineStr">
        <is>
          <t>n° 21 : 0,50 + n° 22 : 0,50</t>
        </is>
      </c>
      <c r="H4983" t="n">
        <v>1</v>
      </c>
    </row>
    <row r="4984">
      <c r="A4984" t="inlineStr">
        <is>
          <t>2024-2025</t>
        </is>
      </c>
      <c r="B4984" t="inlineStr">
        <is>
          <t>2025-01-04</t>
        </is>
      </c>
      <c r="C4984" t="inlineStr">
        <is>
          <t>20:03</t>
        </is>
      </c>
      <c r="D4984" t="inlineStr">
        <is>
          <t>n° 21 + n° 22</t>
        </is>
      </c>
      <c r="E4984" t="inlineStr">
        <is>
          <t>Pommes grenailles</t>
        </is>
      </c>
      <c r="F4984" t="n">
        <v>3.9</v>
      </c>
      <c r="G4984" t="inlineStr">
        <is>
          <t>n° 21 : 0,50 + n° 22 : 0,50</t>
        </is>
      </c>
      <c r="H4984" t="n">
        <v>1</v>
      </c>
    </row>
    <row r="4985">
      <c r="A4985" t="inlineStr">
        <is>
          <t>2024-2025</t>
        </is>
      </c>
      <c r="B4985" t="inlineStr">
        <is>
          <t>2025-03-05</t>
        </is>
      </c>
      <c r="C4985" t="inlineStr">
        <is>
          <t>13:14</t>
        </is>
      </c>
      <c r="D4985" t="inlineStr">
        <is>
          <t>n° 9 + n° 10</t>
        </is>
      </c>
      <c r="E4985" t="inlineStr">
        <is>
          <t>VERRE ROSE</t>
        </is>
      </c>
      <c r="F4985" t="n">
        <v>3.9</v>
      </c>
      <c r="G4985" t="inlineStr">
        <is>
          <t>n° 9 : 0,50 + n° 10 : 0,50</t>
        </is>
      </c>
      <c r="H4985" t="n">
        <v>1</v>
      </c>
    </row>
    <row r="4986">
      <c r="A4986" t="inlineStr">
        <is>
          <t>2024-2025</t>
        </is>
      </c>
      <c r="B4986" t="inlineStr">
        <is>
          <t>2025-03-05</t>
        </is>
      </c>
      <c r="C4986" t="inlineStr">
        <is>
          <t>20:16</t>
        </is>
      </c>
      <c r="D4986" t="inlineStr">
        <is>
          <t>n° 24 + n° 25</t>
        </is>
      </c>
      <c r="E4986" t="inlineStr">
        <is>
          <t>TANTELIN</t>
        </is>
      </c>
      <c r="F4986" t="n">
        <v>17.4</v>
      </c>
      <c r="G4986" t="inlineStr">
        <is>
          <t>n° 24 : 0,50 + n° 25 : 0,50</t>
        </is>
      </c>
      <c r="H4986" t="n">
        <v>1</v>
      </c>
    </row>
    <row r="4987">
      <c r="A4987" t="inlineStr">
        <is>
          <t>2024-2025</t>
        </is>
      </c>
      <c r="B4987" t="inlineStr">
        <is>
          <t>2025-03-05</t>
        </is>
      </c>
      <c r="C4987" t="inlineStr">
        <is>
          <t>20:16</t>
        </is>
      </c>
      <c r="D4987" t="inlineStr">
        <is>
          <t>n° 24 + n° 25</t>
        </is>
      </c>
      <c r="E4987" t="inlineStr">
        <is>
          <t>NIOLERIES</t>
        </is>
      </c>
      <c r="F4987" t="n">
        <v>14</v>
      </c>
      <c r="G4987" t="inlineStr">
        <is>
          <t>n° 24 : 0,50 + n° 25 : 0,50</t>
        </is>
      </c>
      <c r="H4987" t="n">
        <v>1</v>
      </c>
    </row>
    <row r="4988">
      <c r="A4988" t="inlineStr">
        <is>
          <t>2024-2025</t>
        </is>
      </c>
      <c r="B4988" t="inlineStr">
        <is>
          <t>2025-03-05</t>
        </is>
      </c>
      <c r="C4988" t="inlineStr">
        <is>
          <t>20:16</t>
        </is>
      </c>
      <c r="D4988" t="inlineStr">
        <is>
          <t>n° 24 + n° 25</t>
        </is>
      </c>
      <c r="E4988" t="inlineStr">
        <is>
          <t>MAEVA</t>
        </is>
      </c>
      <c r="F4988" t="n">
        <v>9</v>
      </c>
      <c r="G4988" t="inlineStr">
        <is>
          <t>n° 24 : 0,50 + n° 25 : 0,50</t>
        </is>
      </c>
      <c r="H4988" t="n">
        <v>1</v>
      </c>
    </row>
    <row r="4989">
      <c r="A4989" t="inlineStr">
        <is>
          <t>2024-2025</t>
        </is>
      </c>
      <c r="B4989" t="inlineStr">
        <is>
          <t>2025-03-05</t>
        </is>
      </c>
      <c r="C4989" t="inlineStr">
        <is>
          <t>20:16</t>
        </is>
      </c>
      <c r="D4989" t="inlineStr">
        <is>
          <t>n° 24 + n° 25</t>
        </is>
      </c>
      <c r="E4989" t="inlineStr">
        <is>
          <t>Saucisse de Morteau</t>
        </is>
      </c>
      <c r="F4989" t="n">
        <v>8.9</v>
      </c>
      <c r="G4989" t="inlineStr">
        <is>
          <t>n° 24 : 0,50 + n° 25 : 0,50</t>
        </is>
      </c>
      <c r="H4989" t="n">
        <v>1</v>
      </c>
    </row>
    <row r="4990">
      <c r="A4990" t="inlineStr">
        <is>
          <t>2024-2025</t>
        </is>
      </c>
      <c r="B4990" t="inlineStr">
        <is>
          <t>2025-03-05</t>
        </is>
      </c>
      <c r="C4990" t="inlineStr">
        <is>
          <t>20:16</t>
        </is>
      </c>
      <c r="D4990" t="inlineStr">
        <is>
          <t>n° 24 + n° 25</t>
        </is>
      </c>
      <c r="E4990" t="inlineStr">
        <is>
          <t>Pinte</t>
        </is>
      </c>
      <c r="F4990" t="n">
        <v>8</v>
      </c>
      <c r="G4990" t="inlineStr">
        <is>
          <t>n° 24 : 0,50 + n° 25 : 0,50</t>
        </is>
      </c>
      <c r="H4990" t="n">
        <v>1</v>
      </c>
    </row>
    <row r="4991">
      <c r="A4991" t="inlineStr">
        <is>
          <t>2024-2025</t>
        </is>
      </c>
      <c r="B4991" t="inlineStr">
        <is>
          <t>2025-03-05</t>
        </is>
      </c>
      <c r="C4991" t="inlineStr">
        <is>
          <t>20:16</t>
        </is>
      </c>
      <c r="D4991" t="inlineStr">
        <is>
          <t>n° 24 + n° 25</t>
        </is>
      </c>
      <c r="E4991" t="inlineStr">
        <is>
          <t>Sauce Forestière</t>
        </is>
      </c>
      <c r="F4991" t="n">
        <v>7.9</v>
      </c>
      <c r="G4991" t="inlineStr">
        <is>
          <t>n° 24 : 0,50 + n° 25 : 0,50</t>
        </is>
      </c>
      <c r="H4991" t="n">
        <v>1</v>
      </c>
    </row>
    <row r="4992">
      <c r="A4992" t="inlineStr">
        <is>
          <t>2024-2025</t>
        </is>
      </c>
      <c r="B4992" t="inlineStr">
        <is>
          <t>2025-03-05</t>
        </is>
      </c>
      <c r="C4992" t="inlineStr">
        <is>
          <t>20:16</t>
        </is>
      </c>
      <c r="D4992" t="inlineStr">
        <is>
          <t>n° 24 + n° 25</t>
        </is>
      </c>
      <c r="E4992" t="inlineStr">
        <is>
          <t>Crêpe Pommes</t>
        </is>
      </c>
      <c r="F4992" t="n">
        <v>7.1</v>
      </c>
      <c r="G4992" t="inlineStr">
        <is>
          <t>n° 24 : 0,50 + n° 25 : 0,50</t>
        </is>
      </c>
      <c r="H4992" t="n">
        <v>1</v>
      </c>
    </row>
    <row r="4993">
      <c r="A4993" t="inlineStr">
        <is>
          <t>2024-2025</t>
        </is>
      </c>
      <c r="B4993" t="inlineStr">
        <is>
          <t>2025-03-05</t>
        </is>
      </c>
      <c r="C4993" t="inlineStr">
        <is>
          <t>20:16</t>
        </is>
      </c>
      <c r="D4993" t="inlineStr">
        <is>
          <t>n° 24 + n° 25</t>
        </is>
      </c>
      <c r="E4993" t="inlineStr">
        <is>
          <t>SAUCE JURASSIENNE</t>
        </is>
      </c>
      <c r="F4993" t="n">
        <v>6.1</v>
      </c>
      <c r="G4993" t="inlineStr">
        <is>
          <t>n° 24 : 0,50 + n° 25 : 0,50</t>
        </is>
      </c>
      <c r="H4993" t="n">
        <v>1</v>
      </c>
    </row>
    <row r="4994">
      <c r="A4994" t="inlineStr">
        <is>
          <t>2024-2025</t>
        </is>
      </c>
      <c r="B4994" t="inlineStr">
        <is>
          <t>2025-03-05</t>
        </is>
      </c>
      <c r="C4994" t="inlineStr">
        <is>
          <t>20:16</t>
        </is>
      </c>
      <c r="D4994" t="inlineStr">
        <is>
          <t>n° 24 + n° 25</t>
        </is>
      </c>
      <c r="E4994" t="inlineStr">
        <is>
          <t>Crêpe Nutella</t>
        </is>
      </c>
      <c r="F4994" t="n">
        <v>4.9</v>
      </c>
      <c r="G4994" t="inlineStr">
        <is>
          <t>n° 24 : 0,50 + n° 25 : 0,50</t>
        </is>
      </c>
      <c r="H4994" t="n">
        <v>1</v>
      </c>
    </row>
    <row r="4995">
      <c r="A4995" t="inlineStr">
        <is>
          <t>2024-2025</t>
        </is>
      </c>
      <c r="B4995" t="inlineStr">
        <is>
          <t>2025-03-05</t>
        </is>
      </c>
      <c r="C4995" t="inlineStr">
        <is>
          <t>20:16</t>
        </is>
      </c>
      <c r="D4995" t="inlineStr">
        <is>
          <t>n° 24 + n° 25</t>
        </is>
      </c>
      <c r="E4995" t="inlineStr">
        <is>
          <t>FANTA</t>
        </is>
      </c>
      <c r="F4995" t="n">
        <v>3.9</v>
      </c>
      <c r="G4995" t="inlineStr">
        <is>
          <t>n° 24 : 0,50 + n° 25 : 0,50</t>
        </is>
      </c>
      <c r="H4995" t="n">
        <v>1</v>
      </c>
    </row>
    <row r="4996">
      <c r="A4996" t="inlineStr">
        <is>
          <t>2024-2025</t>
        </is>
      </c>
      <c r="B4996" t="inlineStr">
        <is>
          <t>2025-03-05</t>
        </is>
      </c>
      <c r="C4996" t="inlineStr">
        <is>
          <t>20:16</t>
        </is>
      </c>
      <c r="D4996" t="inlineStr">
        <is>
          <t>n° 24 + n° 25</t>
        </is>
      </c>
      <c r="E4996" t="inlineStr">
        <is>
          <t>Morbier</t>
        </is>
      </c>
      <c r="F4996" t="n">
        <v>3.5</v>
      </c>
      <c r="G4996" t="inlineStr">
        <is>
          <t>n° 24 : 0,50 + n° 25 : 0,50</t>
        </is>
      </c>
      <c r="H4996" t="n">
        <v>1</v>
      </c>
    </row>
    <row r="4997">
      <c r="A4997" t="inlineStr">
        <is>
          <t>2024-2025</t>
        </is>
      </c>
      <c r="B4997" t="inlineStr">
        <is>
          <t>2025-03-05</t>
        </is>
      </c>
      <c r="C4997" t="inlineStr">
        <is>
          <t>20:16</t>
        </is>
      </c>
      <c r="D4997" t="inlineStr">
        <is>
          <t>n° 24 + n° 25</t>
        </is>
      </c>
      <c r="E4997" t="inlineStr">
        <is>
          <t>1 Boule Glace</t>
        </is>
      </c>
      <c r="F4997" t="n">
        <v>3.5</v>
      </c>
      <c r="G4997" t="inlineStr">
        <is>
          <t>n° 24 : 0,50 + n° 25 : 0,50</t>
        </is>
      </c>
      <c r="H4997" t="n">
        <v>1</v>
      </c>
    </row>
    <row r="4998">
      <c r="A4998" t="inlineStr">
        <is>
          <t>2024-2025</t>
        </is>
      </c>
      <c r="B4998" t="inlineStr">
        <is>
          <t>2025-03-05</t>
        </is>
      </c>
      <c r="C4998" t="inlineStr">
        <is>
          <t>20:16</t>
        </is>
      </c>
      <c r="D4998" t="inlineStr">
        <is>
          <t>n° 24 + n° 25</t>
        </is>
      </c>
      <c r="E4998" t="inlineStr">
        <is>
          <t>Pommes de Terre</t>
        </is>
      </c>
      <c r="F4998" t="n">
        <v>3.2</v>
      </c>
      <c r="G4998" t="inlineStr">
        <is>
          <t>n° 24 : 0,50 + n° 25 : 0,50</t>
        </is>
      </c>
      <c r="H4998" t="n">
        <v>1</v>
      </c>
    </row>
    <row r="4999">
      <c r="A4999" t="inlineStr">
        <is>
          <t>2024-2025</t>
        </is>
      </c>
      <c r="B4999" t="inlineStr">
        <is>
          <t>2025-03-05</t>
        </is>
      </c>
      <c r="C4999" t="inlineStr">
        <is>
          <t>20:16</t>
        </is>
      </c>
      <c r="D4999" t="inlineStr">
        <is>
          <t>n° 24 + n° 25</t>
        </is>
      </c>
      <c r="E4999" t="inlineStr">
        <is>
          <t>Œuf</t>
        </is>
      </c>
      <c r="F4999" t="n">
        <v>0.9</v>
      </c>
      <c r="G4999" t="inlineStr">
        <is>
          <t>n° 24 : 0,50 + n° 25 : 0,50</t>
        </is>
      </c>
      <c r="H4999" t="n">
        <v>1</v>
      </c>
    </row>
    <row r="5000">
      <c r="A5000" t="inlineStr">
        <is>
          <t>2024-2025</t>
        </is>
      </c>
      <c r="B5000" t="inlineStr">
        <is>
          <t>2025-03-06</t>
        </is>
      </c>
      <c r="C5000" t="inlineStr">
        <is>
          <t>12:29</t>
        </is>
      </c>
      <c r="D5000" t="inlineStr">
        <is>
          <t>n° 7 + n° 8</t>
        </is>
      </c>
      <c r="E5000" t="inlineStr">
        <is>
          <t>PICHET MOULIN A VENT</t>
        </is>
      </c>
      <c r="F5000" t="n">
        <v>26</v>
      </c>
      <c r="G5000" t="inlineStr">
        <is>
          <t>n° 7 : 0,50 + n° 8 : 0,50</t>
        </is>
      </c>
      <c r="H5000" t="n">
        <v>1</v>
      </c>
    </row>
    <row r="5001">
      <c r="A5001" t="inlineStr">
        <is>
          <t>2024-2025</t>
        </is>
      </c>
      <c r="B5001" t="inlineStr">
        <is>
          <t>2025-03-06</t>
        </is>
      </c>
      <c r="C5001" t="inlineStr">
        <is>
          <t>12:29</t>
        </is>
      </c>
      <c r="D5001" t="inlineStr">
        <is>
          <t>n° 7 + n° 8</t>
        </is>
      </c>
      <c r="E5001" t="inlineStr">
        <is>
          <t>Entrecôte grillée</t>
        </is>
      </c>
      <c r="F5001" t="n">
        <v>19.9</v>
      </c>
      <c r="G5001" t="inlineStr">
        <is>
          <t>n° 7 : 0,50 + n° 8 : 0,50</t>
        </is>
      </c>
      <c r="H5001" t="n">
        <v>1</v>
      </c>
    </row>
    <row r="5002">
      <c r="A5002" t="inlineStr">
        <is>
          <t>2024-2025</t>
        </is>
      </c>
      <c r="B5002" t="inlineStr">
        <is>
          <t>2025-03-06</t>
        </is>
      </c>
      <c r="C5002" t="inlineStr">
        <is>
          <t>12:29</t>
        </is>
      </c>
      <c r="D5002" t="inlineStr">
        <is>
          <t>n° 7 + n° 8</t>
        </is>
      </c>
      <c r="E5002" t="inlineStr">
        <is>
          <t>BURGER COMTOIS</t>
        </is>
      </c>
      <c r="F5002" t="n">
        <v>19</v>
      </c>
      <c r="G5002" t="inlineStr">
        <is>
          <t>n° 7 : 0,50 + n° 8 : 0,50</t>
        </is>
      </c>
      <c r="H5002" t="n">
        <v>1</v>
      </c>
    </row>
    <row r="5003">
      <c r="A5003" t="inlineStr">
        <is>
          <t>2024-2025</t>
        </is>
      </c>
      <c r="B5003" t="inlineStr">
        <is>
          <t>2025-03-06</t>
        </is>
      </c>
      <c r="C5003" t="inlineStr">
        <is>
          <t>12:29</t>
        </is>
      </c>
      <c r="D5003" t="inlineStr">
        <is>
          <t>n° 7 + n° 8</t>
        </is>
      </c>
      <c r="E5003" t="inlineStr">
        <is>
          <t>BASILIC</t>
        </is>
      </c>
      <c r="F5003" t="n">
        <v>12.4</v>
      </c>
      <c r="G5003" t="inlineStr">
        <is>
          <t>n° 7 : 0,50 + n° 8 : 0,50</t>
        </is>
      </c>
      <c r="H5003" t="n">
        <v>1</v>
      </c>
    </row>
    <row r="5004">
      <c r="A5004" t="inlineStr">
        <is>
          <t>2024-2025</t>
        </is>
      </c>
      <c r="B5004" t="inlineStr">
        <is>
          <t>2025-03-06</t>
        </is>
      </c>
      <c r="C5004" t="inlineStr">
        <is>
          <t>12:29</t>
        </is>
      </c>
      <c r="D5004" t="inlineStr">
        <is>
          <t>n° 7 + n° 8</t>
        </is>
      </c>
      <c r="E5004" t="inlineStr">
        <is>
          <t>TANTE ARIE</t>
        </is>
      </c>
      <c r="F5004" t="n">
        <v>11.9</v>
      </c>
      <c r="G5004" t="inlineStr">
        <is>
          <t>n° 7 : 0,50 + n° 8 : 0,50</t>
        </is>
      </c>
      <c r="H5004" t="n">
        <v>1</v>
      </c>
    </row>
    <row r="5005">
      <c r="A5005" t="inlineStr">
        <is>
          <t>2024-2025</t>
        </is>
      </c>
      <c r="B5005" t="inlineStr">
        <is>
          <t>2025-03-06</t>
        </is>
      </c>
      <c r="C5005" t="inlineStr">
        <is>
          <t>12:29</t>
        </is>
      </c>
      <c r="D5005" t="inlineStr">
        <is>
          <t>n° 7 + n° 8</t>
        </is>
      </c>
      <c r="E5005" t="inlineStr">
        <is>
          <t>Mambo</t>
        </is>
      </c>
      <c r="F5005" t="n">
        <v>6.5</v>
      </c>
      <c r="G5005" t="inlineStr">
        <is>
          <t>n° 7 : 0,50 + n° 8 : 0,50</t>
        </is>
      </c>
      <c r="H5005" t="n">
        <v>1</v>
      </c>
    </row>
    <row r="5006">
      <c r="A5006" t="inlineStr">
        <is>
          <t>2024-2025</t>
        </is>
      </c>
      <c r="B5006" t="inlineStr">
        <is>
          <t>2025-03-06</t>
        </is>
      </c>
      <c r="C5006" t="inlineStr">
        <is>
          <t>12:29</t>
        </is>
      </c>
      <c r="D5006" t="inlineStr">
        <is>
          <t>n° 7 + n° 8</t>
        </is>
      </c>
      <c r="E5006" t="inlineStr">
        <is>
          <t>Crêpe Nutella</t>
        </is>
      </c>
      <c r="F5006" t="n">
        <v>4.9</v>
      </c>
      <c r="G5006" t="inlineStr">
        <is>
          <t>n° 7 : 0,50 + n° 8 : 0,50</t>
        </is>
      </c>
      <c r="H5006" t="n">
        <v>1</v>
      </c>
    </row>
    <row r="5007">
      <c r="A5007" t="inlineStr">
        <is>
          <t>2024-2025</t>
        </is>
      </c>
      <c r="B5007" t="inlineStr">
        <is>
          <t>2025-03-06</t>
        </is>
      </c>
      <c r="C5007" t="inlineStr">
        <is>
          <t>12:29</t>
        </is>
      </c>
      <c r="D5007" t="inlineStr">
        <is>
          <t>n° 7 + n° 8</t>
        </is>
      </c>
      <c r="E5007" t="inlineStr">
        <is>
          <t>VERRE CHUSCLAN</t>
        </is>
      </c>
      <c r="F5007" t="n">
        <v>3.9</v>
      </c>
      <c r="G5007" t="inlineStr">
        <is>
          <t>n° 7 : 0,50 + n° 8 : 0,50</t>
        </is>
      </c>
      <c r="H5007" t="n">
        <v>1</v>
      </c>
    </row>
    <row r="5008">
      <c r="A5008" t="inlineStr">
        <is>
          <t>2024-2025</t>
        </is>
      </c>
      <c r="B5008" t="inlineStr">
        <is>
          <t>2025-03-06</t>
        </is>
      </c>
      <c r="C5008" t="inlineStr">
        <is>
          <t>12:29</t>
        </is>
      </c>
      <c r="D5008" t="inlineStr">
        <is>
          <t>n° 7 + n° 8</t>
        </is>
      </c>
      <c r="E5008" t="inlineStr">
        <is>
          <t>Expresso</t>
        </is>
      </c>
      <c r="F5008" t="n">
        <v>2.2</v>
      </c>
      <c r="G5008" t="inlineStr">
        <is>
          <t>n° 7 : 1,50 + n° 8 : 1,50</t>
        </is>
      </c>
      <c r="H5008" t="n">
        <v>3</v>
      </c>
    </row>
    <row r="5009">
      <c r="A5009" t="inlineStr">
        <is>
          <t>2024-2025</t>
        </is>
      </c>
      <c r="B5009" t="inlineStr">
        <is>
          <t>2025-03-06</t>
        </is>
      </c>
      <c r="C5009" t="inlineStr">
        <is>
          <t>19:48</t>
        </is>
      </c>
      <c r="D5009" t="inlineStr">
        <is>
          <t>n° 22 + n° 23</t>
        </is>
      </c>
      <c r="E5009" t="inlineStr">
        <is>
          <t>Père Gregoire</t>
        </is>
      </c>
      <c r="F5009" t="n">
        <v>5.9</v>
      </c>
      <c r="G5009" t="inlineStr">
        <is>
          <t>n° 22 : 0,50 + n° 23 : 0,50</t>
        </is>
      </c>
      <c r="H5009" t="n">
        <v>1</v>
      </c>
    </row>
    <row r="5010">
      <c r="A5010" t="inlineStr">
        <is>
          <t>2024-2025</t>
        </is>
      </c>
      <c r="B5010" t="inlineStr">
        <is>
          <t>2025-03-06</t>
        </is>
      </c>
      <c r="C5010" t="inlineStr">
        <is>
          <t>19:48</t>
        </is>
      </c>
      <c r="D5010" t="inlineStr">
        <is>
          <t>n° 22 + n° 23</t>
        </is>
      </c>
      <c r="E5010" t="inlineStr">
        <is>
          <t>La Vouivre</t>
        </is>
      </c>
      <c r="F5010" t="n">
        <v>5.9</v>
      </c>
      <c r="G5010" t="inlineStr">
        <is>
          <t>n° 22 : 0,50 + n° 23 : 0,50</t>
        </is>
      </c>
      <c r="H5010" t="n">
        <v>1</v>
      </c>
    </row>
    <row r="5011">
      <c r="A5011" t="inlineStr">
        <is>
          <t>2024-2025</t>
        </is>
      </c>
      <c r="B5011" t="inlineStr">
        <is>
          <t>2025-03-07</t>
        </is>
      </c>
      <c r="C5011" t="inlineStr">
        <is>
          <t>13:13</t>
        </is>
      </c>
      <c r="D5011" t="inlineStr">
        <is>
          <t>n° 13 + n° 14</t>
        </is>
      </c>
      <c r="E5011" t="inlineStr">
        <is>
          <t>Truite Morilles</t>
        </is>
      </c>
      <c r="F5011" t="n">
        <v>27.8</v>
      </c>
      <c r="G5011" t="inlineStr">
        <is>
          <t>n° 13 : 0,50 + n° 14 : 0,50</t>
        </is>
      </c>
      <c r="H5011" t="n">
        <v>1</v>
      </c>
    </row>
    <row r="5012">
      <c r="A5012" t="inlineStr">
        <is>
          <t>2024-2025</t>
        </is>
      </c>
      <c r="B5012" t="inlineStr">
        <is>
          <t>2025-03-07</t>
        </is>
      </c>
      <c r="C5012" t="inlineStr">
        <is>
          <t>13:13</t>
        </is>
      </c>
      <c r="D5012" t="inlineStr">
        <is>
          <t>n° 13 + n° 14</t>
        </is>
      </c>
      <c r="E5012" t="inlineStr">
        <is>
          <t>BURGER COMTOIS</t>
        </is>
      </c>
      <c r="F5012" t="n">
        <v>19</v>
      </c>
      <c r="G5012" t="inlineStr">
        <is>
          <t>n° 13 : 0,50 + n° 14 : 0,50</t>
        </is>
      </c>
      <c r="H5012" t="n">
        <v>1</v>
      </c>
    </row>
    <row r="5013">
      <c r="A5013" t="inlineStr">
        <is>
          <t>2024-2025</t>
        </is>
      </c>
      <c r="B5013" t="inlineStr">
        <is>
          <t>2025-03-07</t>
        </is>
      </c>
      <c r="C5013" t="inlineStr">
        <is>
          <t>13:13</t>
        </is>
      </c>
      <c r="D5013" t="inlineStr">
        <is>
          <t>n° 13 + n° 14</t>
        </is>
      </c>
      <c r="E5013" t="inlineStr">
        <is>
          <t>VERDELET</t>
        </is>
      </c>
      <c r="F5013" t="n">
        <v>9.800000000000001</v>
      </c>
      <c r="G5013" t="inlineStr">
        <is>
          <t>n° 13 : 0,50 + n° 14 : 0,50</t>
        </is>
      </c>
      <c r="H5013" t="n">
        <v>1</v>
      </c>
    </row>
    <row r="5014">
      <c r="A5014" t="inlineStr">
        <is>
          <t>2024-2025</t>
        </is>
      </c>
      <c r="B5014" t="inlineStr">
        <is>
          <t>2025-03-07</t>
        </is>
      </c>
      <c r="C5014" t="inlineStr">
        <is>
          <t>13:13</t>
        </is>
      </c>
      <c r="D5014" t="inlineStr">
        <is>
          <t>n° 13 + n° 14</t>
        </is>
      </c>
      <c r="E5014" t="inlineStr">
        <is>
          <t>Mambo</t>
        </is>
      </c>
      <c r="F5014" t="n">
        <v>6.5</v>
      </c>
      <c r="G5014" t="inlineStr">
        <is>
          <t>n° 13 : 0,50 + n° 14 : 0,50</t>
        </is>
      </c>
      <c r="H5014" t="n">
        <v>1</v>
      </c>
    </row>
    <row r="5015">
      <c r="A5015" t="inlineStr">
        <is>
          <t>2024-2025</t>
        </is>
      </c>
      <c r="B5015" t="inlineStr">
        <is>
          <t>2025-03-07</t>
        </is>
      </c>
      <c r="C5015" t="inlineStr">
        <is>
          <t>13:13</t>
        </is>
      </c>
      <c r="D5015" t="inlineStr">
        <is>
          <t>n° 13 + n° 14</t>
        </is>
      </c>
      <c r="E5015" t="inlineStr">
        <is>
          <t>Crêpe au sucre</t>
        </is>
      </c>
      <c r="F5015" t="n">
        <v>3.9</v>
      </c>
      <c r="G5015" t="inlineStr">
        <is>
          <t>n° 13 : 0,50 + n° 14 : 0,50</t>
        </is>
      </c>
      <c r="H5015" t="n">
        <v>1</v>
      </c>
    </row>
    <row r="5016">
      <c r="A5016" t="inlineStr">
        <is>
          <t>2024-2025</t>
        </is>
      </c>
      <c r="B5016" t="inlineStr">
        <is>
          <t>2025-03-07</t>
        </is>
      </c>
      <c r="C5016" t="inlineStr">
        <is>
          <t>13:13</t>
        </is>
      </c>
      <c r="D5016" t="inlineStr">
        <is>
          <t>n° 13 + n° 14</t>
        </is>
      </c>
      <c r="E5016" t="inlineStr">
        <is>
          <t>Sirop à l'eau</t>
        </is>
      </c>
      <c r="F5016" t="n">
        <v>2.2</v>
      </c>
      <c r="G5016" t="inlineStr">
        <is>
          <t>n° 13 : 0,50 + n° 14 : 0,50</t>
        </is>
      </c>
      <c r="H5016" t="n">
        <v>1</v>
      </c>
    </row>
    <row r="5017">
      <c r="A5017" t="inlineStr">
        <is>
          <t>2024-2025</t>
        </is>
      </c>
      <c r="B5017" t="inlineStr">
        <is>
          <t>2025-03-07</t>
        </is>
      </c>
      <c r="C5017" t="inlineStr">
        <is>
          <t>20:26</t>
        </is>
      </c>
      <c r="D5017" t="inlineStr">
        <is>
          <t>n° 20 + n° 21 + n° 22 + n° 23</t>
        </is>
      </c>
      <c r="E5017" t="inlineStr">
        <is>
          <t>Arbois Béthanie</t>
        </is>
      </c>
      <c r="F5017" t="n">
        <v>36</v>
      </c>
      <c r="G5017" t="inlineStr">
        <is>
          <t>n° 22 : 0,50 + n° 23 : 0,50</t>
        </is>
      </c>
      <c r="H5017" t="n">
        <v>1</v>
      </c>
    </row>
    <row r="5018">
      <c r="A5018" t="inlineStr">
        <is>
          <t>2024-2025</t>
        </is>
      </c>
      <c r="B5018" t="inlineStr">
        <is>
          <t>2025-03-07</t>
        </is>
      </c>
      <c r="C5018" t="inlineStr">
        <is>
          <t>20:26</t>
        </is>
      </c>
      <c r="D5018" t="inlineStr">
        <is>
          <t>n° 20 + n° 21 + n° 22 + n° 23</t>
        </is>
      </c>
      <c r="E5018" t="inlineStr">
        <is>
          <t>PICHET MOULIN A VENT</t>
        </is>
      </c>
      <c r="F5018" t="n">
        <v>26</v>
      </c>
      <c r="G5018" t="inlineStr">
        <is>
          <t>n° 20 : 0,50 + n° 21 : 0,50</t>
        </is>
      </c>
      <c r="H5018" t="n">
        <v>1</v>
      </c>
    </row>
    <row r="5019">
      <c r="A5019" t="inlineStr">
        <is>
          <t>2024-2025</t>
        </is>
      </c>
      <c r="B5019" t="inlineStr">
        <is>
          <t>2025-03-07</t>
        </is>
      </c>
      <c r="C5019" t="inlineStr">
        <is>
          <t>20:26</t>
        </is>
      </c>
      <c r="D5019" t="inlineStr">
        <is>
          <t>n° 20 + n° 21 + n° 22 + n° 23</t>
        </is>
      </c>
      <c r="E5019" t="inlineStr">
        <is>
          <t>BURGER COMTOIS</t>
        </is>
      </c>
      <c r="F5019" t="n">
        <v>19</v>
      </c>
      <c r="G5019" t="inlineStr">
        <is>
          <t>n° 20 : 0,50 + n° 21 : 0,50</t>
        </is>
      </c>
      <c r="H5019" t="n">
        <v>1</v>
      </c>
    </row>
    <row r="5020">
      <c r="A5020" t="inlineStr">
        <is>
          <t>2024-2025</t>
        </is>
      </c>
      <c r="B5020" t="inlineStr">
        <is>
          <t>2025-03-07</t>
        </is>
      </c>
      <c r="C5020" t="inlineStr">
        <is>
          <t>20:26</t>
        </is>
      </c>
      <c r="D5020" t="inlineStr">
        <is>
          <t>n° 20 + n° 21 + n° 22 + n° 23</t>
        </is>
      </c>
      <c r="E5020" t="inlineStr">
        <is>
          <t>POULET JURASSIENNE</t>
        </is>
      </c>
      <c r="F5020" t="n">
        <v>18.6</v>
      </c>
      <c r="G5020" t="inlineStr">
        <is>
          <t>n° 20 : 0,50 + n° 21 : 0,50</t>
        </is>
      </c>
      <c r="H5020" t="n">
        <v>1</v>
      </c>
    </row>
    <row r="5021">
      <c r="A5021" t="inlineStr">
        <is>
          <t>2024-2025</t>
        </is>
      </c>
      <c r="B5021" t="inlineStr">
        <is>
          <t>2025-03-07</t>
        </is>
      </c>
      <c r="C5021" t="inlineStr">
        <is>
          <t>20:26</t>
        </is>
      </c>
      <c r="D5021" t="inlineStr">
        <is>
          <t>n° 20 + n° 21 + n° 22 + n° 23</t>
        </is>
      </c>
      <c r="E5021" t="inlineStr">
        <is>
          <t>CABRICHOU</t>
        </is>
      </c>
      <c r="F5021" t="n">
        <v>16.9</v>
      </c>
      <c r="G5021" t="inlineStr">
        <is>
          <t>n° 22 : 0,50 + n° 23 : 0,50</t>
        </is>
      </c>
      <c r="H5021" t="n">
        <v>1</v>
      </c>
    </row>
    <row r="5022">
      <c r="A5022" t="inlineStr">
        <is>
          <t>2024-2025</t>
        </is>
      </c>
      <c r="B5022" t="inlineStr">
        <is>
          <t>2025-03-07</t>
        </is>
      </c>
      <c r="C5022" t="inlineStr">
        <is>
          <t>20:26</t>
        </is>
      </c>
      <c r="D5022" t="inlineStr">
        <is>
          <t>n° 20 + n° 21 + n° 22 + n° 23</t>
        </is>
      </c>
      <c r="E5022" t="inlineStr">
        <is>
          <t>Salade Franc-Comptoi</t>
        </is>
      </c>
      <c r="F5022" t="n">
        <v>8.9</v>
      </c>
      <c r="G5022" t="inlineStr">
        <is>
          <t>n° 22 : 0,50 + n° 23 : 0,50</t>
        </is>
      </c>
      <c r="H5022" t="n">
        <v>1</v>
      </c>
    </row>
    <row r="5023">
      <c r="A5023" t="inlineStr">
        <is>
          <t>2024-2025</t>
        </is>
      </c>
      <c r="B5023" t="inlineStr">
        <is>
          <t>2025-03-07</t>
        </is>
      </c>
      <c r="C5023" t="inlineStr">
        <is>
          <t>20:26</t>
        </is>
      </c>
      <c r="D5023" t="inlineStr">
        <is>
          <t>n° 20 + n° 21 + n° 22 + n° 23</t>
        </is>
      </c>
      <c r="E5023" t="inlineStr">
        <is>
          <t>Double Expresso</t>
        </is>
      </c>
      <c r="F5023" t="n">
        <v>3.8</v>
      </c>
      <c r="G5023" t="inlineStr">
        <is>
          <t>n° 20 : 0,50 + n° 21 : 0,50</t>
        </is>
      </c>
      <c r="H5023" t="n">
        <v>1</v>
      </c>
    </row>
    <row r="5024">
      <c r="A5024" t="inlineStr">
        <is>
          <t>2024-2025</t>
        </is>
      </c>
      <c r="B5024" t="inlineStr">
        <is>
          <t>2025-03-07</t>
        </is>
      </c>
      <c r="C5024" t="inlineStr">
        <is>
          <t>20:26</t>
        </is>
      </c>
      <c r="D5024" t="inlineStr">
        <is>
          <t>n° 20 + n° 21 + n° 22 + n° 23</t>
        </is>
      </c>
      <c r="E5024" t="inlineStr">
        <is>
          <t>Expresso</t>
        </is>
      </c>
      <c r="F5024" t="n">
        <v>2.2</v>
      </c>
      <c r="G5024" t="inlineStr">
        <is>
          <t>n° 20 : 0,50 + n° 21 : 0,50</t>
        </is>
      </c>
      <c r="H5024" t="n">
        <v>1</v>
      </c>
    </row>
    <row r="5025">
      <c r="A5025" t="inlineStr">
        <is>
          <t>2024-2025</t>
        </is>
      </c>
      <c r="B5025" t="inlineStr">
        <is>
          <t>2025-03-08</t>
        </is>
      </c>
      <c r="C5025" t="inlineStr">
        <is>
          <t>18:56</t>
        </is>
      </c>
      <c r="D5025" t="inlineStr">
        <is>
          <t>n° 12 + n° 13</t>
        </is>
      </c>
      <c r="E5025" t="inlineStr">
        <is>
          <t>Poulet aux Morilles</t>
        </is>
      </c>
      <c r="F5025" t="n">
        <v>28.6</v>
      </c>
      <c r="G5025" t="inlineStr">
        <is>
          <t>n° 12 : 0,50 + n° 13 : 0,50</t>
        </is>
      </c>
      <c r="H5025" t="n">
        <v>1</v>
      </c>
    </row>
    <row r="5026">
      <c r="A5026" t="inlineStr">
        <is>
          <t>2024-2025</t>
        </is>
      </c>
      <c r="B5026" t="inlineStr">
        <is>
          <t>2025-03-08</t>
        </is>
      </c>
      <c r="C5026" t="inlineStr">
        <is>
          <t>18:56</t>
        </is>
      </c>
      <c r="D5026" t="inlineStr">
        <is>
          <t>n° 12 + n° 13</t>
        </is>
      </c>
      <c r="E5026" t="inlineStr">
        <is>
          <t>BURGER COMTOIS</t>
        </is>
      </c>
      <c r="F5026" t="n">
        <v>19</v>
      </c>
      <c r="G5026" t="inlineStr">
        <is>
          <t>n° 12 : 0,50 + n° 13 : 0,50</t>
        </is>
      </c>
      <c r="H5026" t="n">
        <v>1</v>
      </c>
    </row>
    <row r="5027">
      <c r="A5027" t="inlineStr">
        <is>
          <t>2024-2025</t>
        </is>
      </c>
      <c r="B5027" t="inlineStr">
        <is>
          <t>2025-03-08</t>
        </is>
      </c>
      <c r="C5027" t="inlineStr">
        <is>
          <t>18:56</t>
        </is>
      </c>
      <c r="D5027" t="inlineStr">
        <is>
          <t>n° 12 + n° 13</t>
        </is>
      </c>
      <c r="E5027" t="inlineStr">
        <is>
          <t>TANTE ARIE</t>
        </is>
      </c>
      <c r="F5027" t="n">
        <v>11.9</v>
      </c>
      <c r="G5027" t="inlineStr">
        <is>
          <t>n° 12 : 0,50 + n° 13 : 0,50</t>
        </is>
      </c>
      <c r="H5027" t="n">
        <v>1</v>
      </c>
    </row>
    <row r="5028">
      <c r="A5028" t="inlineStr">
        <is>
          <t>2024-2025</t>
        </is>
      </c>
      <c r="B5028" t="inlineStr">
        <is>
          <t>2025-03-08</t>
        </is>
      </c>
      <c r="C5028" t="inlineStr">
        <is>
          <t>18:56</t>
        </is>
      </c>
      <c r="D5028" t="inlineStr">
        <is>
          <t>n° 12 + n° 13</t>
        </is>
      </c>
      <c r="E5028" t="inlineStr">
        <is>
          <t>Pavlova</t>
        </is>
      </c>
      <c r="F5028" t="n">
        <v>8.9</v>
      </c>
      <c r="G5028" t="inlineStr">
        <is>
          <t>n° 12 : 0,50 + n° 13 : 0,50</t>
        </is>
      </c>
      <c r="H5028" t="n">
        <v>1</v>
      </c>
    </row>
    <row r="5029">
      <c r="A5029" t="inlineStr">
        <is>
          <t>2024-2025</t>
        </is>
      </c>
      <c r="B5029" t="inlineStr">
        <is>
          <t>2025-03-08</t>
        </is>
      </c>
      <c r="C5029" t="inlineStr">
        <is>
          <t>18:56</t>
        </is>
      </c>
      <c r="D5029" t="inlineStr">
        <is>
          <t>n° 12 + n° 13</t>
        </is>
      </c>
      <c r="E5029" t="inlineStr">
        <is>
          <t>La Vouivre</t>
        </is>
      </c>
      <c r="F5029" t="n">
        <v>5.9</v>
      </c>
      <c r="G5029" t="inlineStr">
        <is>
          <t>n° 12 : 0,50 + n° 13 : 0,50</t>
        </is>
      </c>
      <c r="H5029" t="n">
        <v>1</v>
      </c>
    </row>
    <row r="5030">
      <c r="A5030" t="inlineStr">
        <is>
          <t>2024-2025</t>
        </is>
      </c>
      <c r="B5030" t="inlineStr">
        <is>
          <t>2025-03-08</t>
        </is>
      </c>
      <c r="C5030" t="inlineStr">
        <is>
          <t>18:56</t>
        </is>
      </c>
      <c r="D5030" t="inlineStr">
        <is>
          <t>n° 12 + n° 13</t>
        </is>
      </c>
      <c r="E5030" t="inlineStr">
        <is>
          <t>San Pelegrino</t>
        </is>
      </c>
      <c r="F5030" t="n">
        <v>5.9</v>
      </c>
      <c r="G5030" t="inlineStr">
        <is>
          <t>n° 12 : 0,50 + n° 13 : 0,50</t>
        </is>
      </c>
      <c r="H5030" t="n">
        <v>1</v>
      </c>
    </row>
    <row r="5031">
      <c r="A5031" t="inlineStr">
        <is>
          <t>2024-2025</t>
        </is>
      </c>
      <c r="B5031" t="inlineStr">
        <is>
          <t>2025-03-08</t>
        </is>
      </c>
      <c r="C5031" t="inlineStr">
        <is>
          <t>18:56</t>
        </is>
      </c>
      <c r="D5031" t="inlineStr">
        <is>
          <t>n° 12 + n° 13</t>
        </is>
      </c>
      <c r="E5031" t="inlineStr">
        <is>
          <t>KITTYKIR</t>
        </is>
      </c>
      <c r="F5031" t="n">
        <v>5.2</v>
      </c>
      <c r="G5031" t="inlineStr">
        <is>
          <t>n° 12 : 0,50 + n° 13 : 0,50</t>
        </is>
      </c>
      <c r="H5031" t="n">
        <v>1</v>
      </c>
    </row>
    <row r="5032">
      <c r="A5032" t="inlineStr">
        <is>
          <t>2024-2025</t>
        </is>
      </c>
      <c r="B5032" t="inlineStr">
        <is>
          <t>2025-03-08</t>
        </is>
      </c>
      <c r="C5032" t="inlineStr">
        <is>
          <t>18:56</t>
        </is>
      </c>
      <c r="D5032" t="inlineStr">
        <is>
          <t>n° 12 + n° 13</t>
        </is>
      </c>
      <c r="E5032" t="inlineStr">
        <is>
          <t>Expresso</t>
        </is>
      </c>
      <c r="F5032" t="n">
        <v>2.2</v>
      </c>
      <c r="G5032" t="inlineStr">
        <is>
          <t>n° 12 : 0,50 + n° 13 : 0,50</t>
        </is>
      </c>
      <c r="H5032" t="n">
        <v>1</v>
      </c>
    </row>
    <row r="5033">
      <c r="A5033" t="inlineStr">
        <is>
          <t>2024-2025</t>
        </is>
      </c>
      <c r="B5033" t="inlineStr">
        <is>
          <t>2025-03-08</t>
        </is>
      </c>
      <c r="C5033" t="inlineStr">
        <is>
          <t>20:44</t>
        </is>
      </c>
      <c r="D5033" t="inlineStr">
        <is>
          <t>n° 22 + n° 23 + n° 24 + n° 25</t>
        </is>
      </c>
      <c r="E5033" t="inlineStr">
        <is>
          <t>Arbois Savagnin</t>
        </is>
      </c>
      <c r="F5033" t="n">
        <v>41.5</v>
      </c>
      <c r="G5033" t="inlineStr">
        <is>
          <t>n° 24 : 0,50 + n° 25 : 0,50</t>
        </is>
      </c>
      <c r="H5033" t="n">
        <v>1</v>
      </c>
    </row>
    <row r="5034">
      <c r="A5034" t="inlineStr">
        <is>
          <t>2024-2025</t>
        </is>
      </c>
      <c r="B5034" t="inlineStr">
        <is>
          <t>2025-03-08</t>
        </is>
      </c>
      <c r="C5034" t="inlineStr">
        <is>
          <t>20:44</t>
        </is>
      </c>
      <c r="D5034" t="inlineStr">
        <is>
          <t>n° 22 + n° 23 + n° 24 + n° 25</t>
        </is>
      </c>
      <c r="E5034" t="inlineStr">
        <is>
          <t>DOMAINE LE PIVE</t>
        </is>
      </c>
      <c r="F5034" t="n">
        <v>29</v>
      </c>
      <c r="G5034" t="inlineStr">
        <is>
          <t>n° 22 : 0,50 + n° 23 : 0,50</t>
        </is>
      </c>
      <c r="H5034" t="n">
        <v>1</v>
      </c>
    </row>
    <row r="5035">
      <c r="A5035" t="inlineStr">
        <is>
          <t>2024-2025</t>
        </is>
      </c>
      <c r="B5035" t="inlineStr">
        <is>
          <t>2025-03-08</t>
        </is>
      </c>
      <c r="C5035" t="inlineStr">
        <is>
          <t>20:44</t>
        </is>
      </c>
      <c r="D5035" t="inlineStr">
        <is>
          <t>n° 22 + n° 23 + n° 24 + n° 25</t>
        </is>
      </c>
      <c r="E5035" t="inlineStr">
        <is>
          <t>Entrecôte Forestiére</t>
        </is>
      </c>
      <c r="F5035" t="n">
        <v>27.8</v>
      </c>
      <c r="G5035" t="inlineStr">
        <is>
          <t>n° 22 : 0,50 + n° 23 : 0,50</t>
        </is>
      </c>
      <c r="H5035" t="n">
        <v>1</v>
      </c>
    </row>
    <row r="5036">
      <c r="A5036" t="inlineStr">
        <is>
          <t>2024-2025</t>
        </is>
      </c>
      <c r="B5036" t="inlineStr">
        <is>
          <t>2025-03-08</t>
        </is>
      </c>
      <c r="C5036" t="inlineStr">
        <is>
          <t>20:44</t>
        </is>
      </c>
      <c r="D5036" t="inlineStr">
        <is>
          <t>n° 22 + n° 23 + n° 24 + n° 25</t>
        </is>
      </c>
      <c r="E5036" t="inlineStr">
        <is>
          <t>FONDUE VIN JAUNE</t>
        </is>
      </c>
      <c r="F5036" t="n">
        <v>25.9</v>
      </c>
      <c r="G5036" t="inlineStr">
        <is>
          <t>n° 24 : 1,50 + n° 25 : 1,50</t>
        </is>
      </c>
      <c r="H5036" t="n">
        <v>3</v>
      </c>
    </row>
    <row r="5037">
      <c r="A5037" t="inlineStr">
        <is>
          <t>2024-2025</t>
        </is>
      </c>
      <c r="B5037" t="inlineStr">
        <is>
          <t>2025-03-08</t>
        </is>
      </c>
      <c r="C5037" t="inlineStr">
        <is>
          <t>20:44</t>
        </is>
      </c>
      <c r="D5037" t="inlineStr">
        <is>
          <t>n° 22 + n° 23 + n° 24 + n° 25</t>
        </is>
      </c>
      <c r="E5037" t="inlineStr">
        <is>
          <t>FRELEE</t>
        </is>
      </c>
      <c r="F5037" t="n">
        <v>19.6</v>
      </c>
      <c r="G5037" t="inlineStr">
        <is>
          <t>n° 22 : 0,50 + n° 23 : 0,50</t>
        </is>
      </c>
      <c r="H5037" t="n">
        <v>1</v>
      </c>
    </row>
    <row r="5038">
      <c r="A5038" t="inlineStr">
        <is>
          <t>2024-2025</t>
        </is>
      </c>
      <c r="B5038" t="inlineStr">
        <is>
          <t>2025-03-08</t>
        </is>
      </c>
      <c r="C5038" t="inlineStr">
        <is>
          <t>20:44</t>
        </is>
      </c>
      <c r="D5038" t="inlineStr">
        <is>
          <t>n° 22 + n° 23 + n° 24 + n° 25</t>
        </is>
      </c>
      <c r="E5038" t="inlineStr">
        <is>
          <t>BURGER COMTOIS</t>
        </is>
      </c>
      <c r="F5038" t="n">
        <v>19</v>
      </c>
      <c r="G5038" t="inlineStr">
        <is>
          <t>n° 24 : 0,50 + n° 25 : 0,50</t>
        </is>
      </c>
      <c r="H5038" t="n">
        <v>1</v>
      </c>
    </row>
    <row r="5039">
      <c r="A5039" t="inlineStr">
        <is>
          <t>2024-2025</t>
        </is>
      </c>
      <c r="B5039" t="inlineStr">
        <is>
          <t>2025-03-08</t>
        </is>
      </c>
      <c r="C5039" t="inlineStr">
        <is>
          <t>20:44</t>
        </is>
      </c>
      <c r="D5039" t="inlineStr">
        <is>
          <t>n° 22 + n° 23 + n° 24 + n° 25</t>
        </is>
      </c>
      <c r="E5039" t="inlineStr">
        <is>
          <t>POULET JURASSIENNE</t>
        </is>
      </c>
      <c r="F5039" t="n">
        <v>18.6</v>
      </c>
      <c r="G5039" t="inlineStr">
        <is>
          <t>n° 22 : 0,50 + n° 23 : 0,50</t>
        </is>
      </c>
      <c r="H5039" t="n">
        <v>1</v>
      </c>
    </row>
    <row r="5040">
      <c r="A5040" t="inlineStr">
        <is>
          <t>2024-2025</t>
        </is>
      </c>
      <c r="B5040" t="inlineStr">
        <is>
          <t>2025-03-08</t>
        </is>
      </c>
      <c r="C5040" t="inlineStr">
        <is>
          <t>20:44</t>
        </is>
      </c>
      <c r="D5040" t="inlineStr">
        <is>
          <t>n° 22 + n° 23 + n° 24 + n° 25</t>
        </is>
      </c>
      <c r="E5040" t="inlineStr">
        <is>
          <t>BARBEULENET</t>
        </is>
      </c>
      <c r="F5040" t="n">
        <v>17.4</v>
      </c>
      <c r="G5040" t="inlineStr">
        <is>
          <t>n° 22 : 0,50 + n° 23 : 0,50</t>
        </is>
      </c>
      <c r="H5040" t="n">
        <v>1</v>
      </c>
    </row>
    <row r="5041">
      <c r="A5041" t="inlineStr">
        <is>
          <t>2024-2025</t>
        </is>
      </c>
      <c r="B5041" t="inlineStr">
        <is>
          <t>2025-03-08</t>
        </is>
      </c>
      <c r="C5041" t="inlineStr">
        <is>
          <t>20:44</t>
        </is>
      </c>
      <c r="D5041" t="inlineStr">
        <is>
          <t>n° 22 + n° 23 + n° 24 + n° 25</t>
        </is>
      </c>
      <c r="E5041" t="inlineStr">
        <is>
          <t>DAHU</t>
        </is>
      </c>
      <c r="F5041" t="n">
        <v>11.9</v>
      </c>
      <c r="G5041" t="inlineStr">
        <is>
          <t>n° 22 : 0,50 + n° 23 : 0,50</t>
        </is>
      </c>
      <c r="H5041" t="n">
        <v>1</v>
      </c>
    </row>
    <row r="5042">
      <c r="A5042" t="inlineStr">
        <is>
          <t>2024-2025</t>
        </is>
      </c>
      <c r="B5042" t="inlineStr">
        <is>
          <t>2025-03-08</t>
        </is>
      </c>
      <c r="C5042" t="inlineStr">
        <is>
          <t>20:44</t>
        </is>
      </c>
      <c r="D5042" t="inlineStr">
        <is>
          <t>n° 22 + n° 23 + n° 24 + n° 25</t>
        </is>
      </c>
      <c r="E5042" t="inlineStr">
        <is>
          <t>Ré</t>
        </is>
      </c>
      <c r="F5042" t="n">
        <v>9</v>
      </c>
      <c r="G5042" t="inlineStr">
        <is>
          <t>n° 22 : 0,50 + n° 23 : 0,50</t>
        </is>
      </c>
      <c r="H5042" t="n">
        <v>1</v>
      </c>
    </row>
    <row r="5043">
      <c r="A5043" t="inlineStr">
        <is>
          <t>2024-2025</t>
        </is>
      </c>
      <c r="B5043" t="inlineStr">
        <is>
          <t>2025-03-08</t>
        </is>
      </c>
      <c r="C5043" t="inlineStr">
        <is>
          <t>20:44</t>
        </is>
      </c>
      <c r="D5043" t="inlineStr">
        <is>
          <t>n° 22 + n° 23 + n° 24 + n° 25</t>
        </is>
      </c>
      <c r="E5043" t="inlineStr">
        <is>
          <t>Fa</t>
        </is>
      </c>
      <c r="F5043" t="n">
        <v>9</v>
      </c>
      <c r="G5043" t="inlineStr">
        <is>
          <t>n° 24 : 0,50 + n° 25 : 0,50</t>
        </is>
      </c>
      <c r="H5043" t="n">
        <v>1</v>
      </c>
    </row>
    <row r="5044">
      <c r="A5044" t="inlineStr">
        <is>
          <t>2024-2025</t>
        </is>
      </c>
      <c r="B5044" t="inlineStr">
        <is>
          <t>2025-03-08</t>
        </is>
      </c>
      <c r="C5044" t="inlineStr">
        <is>
          <t>20:44</t>
        </is>
      </c>
      <c r="D5044" t="inlineStr">
        <is>
          <t>n° 22 + n° 23 + n° 24 + n° 25</t>
        </is>
      </c>
      <c r="E5044" t="inlineStr">
        <is>
          <t>Café  Irlandais</t>
        </is>
      </c>
      <c r="F5044" t="n">
        <v>9</v>
      </c>
      <c r="G5044" t="inlineStr">
        <is>
          <t>n° 24 : 0,50 + n° 25 : 0,50</t>
        </is>
      </c>
      <c r="H5044" t="n">
        <v>1</v>
      </c>
    </row>
    <row r="5045">
      <c r="A5045" t="inlineStr">
        <is>
          <t>2024-2025</t>
        </is>
      </c>
      <c r="B5045" t="inlineStr">
        <is>
          <t>2025-03-08</t>
        </is>
      </c>
      <c r="C5045" t="inlineStr">
        <is>
          <t>20:44</t>
        </is>
      </c>
      <c r="D5045" t="inlineStr">
        <is>
          <t>n° 22 + n° 23 + n° 24 + n° 25</t>
        </is>
      </c>
      <c r="E5045" t="inlineStr">
        <is>
          <t>Saint Véran Verre</t>
        </is>
      </c>
      <c r="F5045" t="n">
        <v>7.9</v>
      </c>
      <c r="G5045" t="inlineStr">
        <is>
          <t>n° 24 : 0,50 + n° 25 : 0,50</t>
        </is>
      </c>
      <c r="H5045" t="n">
        <v>1</v>
      </c>
    </row>
    <row r="5046">
      <c r="A5046" t="inlineStr">
        <is>
          <t>2024-2025</t>
        </is>
      </c>
      <c r="B5046" t="inlineStr">
        <is>
          <t>2025-03-08</t>
        </is>
      </c>
      <c r="C5046" t="inlineStr">
        <is>
          <t>20:44</t>
        </is>
      </c>
      <c r="D5046" t="inlineStr">
        <is>
          <t>n° 22 + n° 23 + n° 24 + n° 25</t>
        </is>
      </c>
      <c r="E5046" t="inlineStr">
        <is>
          <t>Liqueur de Sapin</t>
        </is>
      </c>
      <c r="F5046" t="n">
        <v>6.5</v>
      </c>
      <c r="G5046" t="inlineStr">
        <is>
          <t>n° 24 : 0,50 + n° 25 : 0,50</t>
        </is>
      </c>
      <c r="H5046" t="n">
        <v>1</v>
      </c>
    </row>
    <row r="5047">
      <c r="A5047" t="inlineStr">
        <is>
          <t>2024-2025</t>
        </is>
      </c>
      <c r="B5047" t="inlineStr">
        <is>
          <t>2025-03-08</t>
        </is>
      </c>
      <c r="C5047" t="inlineStr">
        <is>
          <t>20:44</t>
        </is>
      </c>
      <c r="D5047" t="inlineStr">
        <is>
          <t>n° 22 + n° 23 + n° 24 + n° 25</t>
        </is>
      </c>
      <c r="E5047" t="inlineStr">
        <is>
          <t>Crêpe Salidou</t>
        </is>
      </c>
      <c r="F5047" t="n">
        <v>6.4</v>
      </c>
      <c r="G5047" t="inlineStr">
        <is>
          <t>n° 22 : 0,50 + n° 23 : 0,50</t>
        </is>
      </c>
      <c r="H5047" t="n">
        <v>1</v>
      </c>
    </row>
    <row r="5048">
      <c r="A5048" t="inlineStr">
        <is>
          <t>2024-2025</t>
        </is>
      </c>
      <c r="B5048" t="inlineStr">
        <is>
          <t>2025-03-08</t>
        </is>
      </c>
      <c r="C5048" t="inlineStr">
        <is>
          <t>20:44</t>
        </is>
      </c>
      <c r="D5048" t="inlineStr">
        <is>
          <t>n° 22 + n° 23 + n° 24 + n° 25</t>
        </is>
      </c>
      <c r="E5048" t="inlineStr">
        <is>
          <t>Crepe Chocolat</t>
        </is>
      </c>
      <c r="F5048" t="n">
        <v>5.9</v>
      </c>
      <c r="G5048" t="inlineStr">
        <is>
          <t>n° 22 : 0,50 + n° 23 : 0,50</t>
        </is>
      </c>
      <c r="H5048" t="n">
        <v>1</v>
      </c>
    </row>
    <row r="5049">
      <c r="A5049" t="inlineStr">
        <is>
          <t>2024-2025</t>
        </is>
      </c>
      <c r="B5049" t="inlineStr">
        <is>
          <t>2025-03-08</t>
        </is>
      </c>
      <c r="C5049" t="inlineStr">
        <is>
          <t>20:44</t>
        </is>
      </c>
      <c r="D5049" t="inlineStr">
        <is>
          <t>n° 22 + n° 23 + n° 24 + n° 25</t>
        </is>
      </c>
      <c r="E5049" t="inlineStr">
        <is>
          <t>Chat perché</t>
        </is>
      </c>
      <c r="F5049" t="n">
        <v>5.9</v>
      </c>
      <c r="G5049" t="inlineStr">
        <is>
          <t>n° 24 : 0,50 + n° 25 : 0,50</t>
        </is>
      </c>
      <c r="H5049" t="n">
        <v>1</v>
      </c>
    </row>
    <row r="5050">
      <c r="A5050" t="inlineStr">
        <is>
          <t>2024-2025</t>
        </is>
      </c>
      <c r="B5050" t="inlineStr">
        <is>
          <t>2025-03-08</t>
        </is>
      </c>
      <c r="C5050" t="inlineStr">
        <is>
          <t>20:44</t>
        </is>
      </c>
      <c r="D5050" t="inlineStr">
        <is>
          <t>n° 22 + n° 23 + n° 24 + n° 25</t>
        </is>
      </c>
      <c r="E5050" t="inlineStr">
        <is>
          <t>Crêpe Nutella</t>
        </is>
      </c>
      <c r="F5050" t="n">
        <v>4.9</v>
      </c>
      <c r="G5050" t="inlineStr">
        <is>
          <t>n° 24 : 0,50 + n° 25 : 0,50</t>
        </is>
      </c>
      <c r="H5050" t="n">
        <v>1</v>
      </c>
    </row>
    <row r="5051">
      <c r="A5051" t="inlineStr">
        <is>
          <t>2024-2025</t>
        </is>
      </c>
      <c r="B5051" t="inlineStr">
        <is>
          <t>2025-03-08</t>
        </is>
      </c>
      <c r="C5051" t="inlineStr">
        <is>
          <t>20:44</t>
        </is>
      </c>
      <c r="D5051" t="inlineStr">
        <is>
          <t>n° 22 + n° 23 + n° 24 + n° 25</t>
        </is>
      </c>
      <c r="E5051" t="inlineStr">
        <is>
          <t>Kir Bourgogne</t>
        </is>
      </c>
      <c r="F5051" t="n">
        <v>4.2</v>
      </c>
      <c r="G5051" t="inlineStr">
        <is>
          <t>n° 22 : 0,50 + n° 23 : 0,50</t>
        </is>
      </c>
      <c r="H5051" t="n">
        <v>1</v>
      </c>
    </row>
    <row r="5052">
      <c r="A5052" t="inlineStr">
        <is>
          <t>2024-2025</t>
        </is>
      </c>
      <c r="B5052" t="inlineStr">
        <is>
          <t>2025-03-08</t>
        </is>
      </c>
      <c r="C5052" t="inlineStr">
        <is>
          <t>20:44</t>
        </is>
      </c>
      <c r="D5052" t="inlineStr">
        <is>
          <t>n° 22 + n° 23 + n° 24 + n° 25</t>
        </is>
      </c>
      <c r="E5052" t="inlineStr">
        <is>
          <t>Pastis</t>
        </is>
      </c>
      <c r="F5052" t="n">
        <v>4.2</v>
      </c>
      <c r="G5052" t="inlineStr">
        <is>
          <t>n° 22 : 0,50 + n° 23 : 0,50</t>
        </is>
      </c>
      <c r="H5052" t="n">
        <v>1</v>
      </c>
    </row>
    <row r="5053">
      <c r="A5053" t="inlineStr">
        <is>
          <t>2024-2025</t>
        </is>
      </c>
      <c r="B5053" t="inlineStr">
        <is>
          <t>2025-03-08</t>
        </is>
      </c>
      <c r="C5053" t="inlineStr">
        <is>
          <t>20:44</t>
        </is>
      </c>
      <c r="D5053" t="inlineStr">
        <is>
          <t>n° 22 + n° 23 + n° 24 + n° 25</t>
        </is>
      </c>
      <c r="E5053" t="inlineStr">
        <is>
          <t>POMMES FRITES</t>
        </is>
      </c>
      <c r="F5053" t="n">
        <v>3.9</v>
      </c>
      <c r="G5053" t="inlineStr">
        <is>
          <t>n° 24 : 0,50 + n° 25 : 0,50</t>
        </is>
      </c>
      <c r="H5053" t="n">
        <v>1</v>
      </c>
    </row>
    <row r="5054">
      <c r="A5054" t="inlineStr">
        <is>
          <t>2024-2025</t>
        </is>
      </c>
      <c r="B5054" t="inlineStr">
        <is>
          <t>2025-03-08</t>
        </is>
      </c>
      <c r="C5054" t="inlineStr">
        <is>
          <t>20:44</t>
        </is>
      </c>
      <c r="D5054" t="inlineStr">
        <is>
          <t>n° 22 + n° 23 + n° 24 + n° 25</t>
        </is>
      </c>
      <c r="E5054" t="inlineStr">
        <is>
          <t>1 Boule Glace</t>
        </is>
      </c>
      <c r="F5054" t="n">
        <v>3.5</v>
      </c>
      <c r="G5054" t="inlineStr">
        <is>
          <t>n° 24 : 0,50 + n° 25 : 0,50</t>
        </is>
      </c>
      <c r="H5054" t="n">
        <v>1</v>
      </c>
    </row>
    <row r="5055">
      <c r="A5055" t="inlineStr">
        <is>
          <t>2024-2025</t>
        </is>
      </c>
      <c r="B5055" t="inlineStr">
        <is>
          <t>2025-03-12</t>
        </is>
      </c>
      <c r="C5055" t="inlineStr">
        <is>
          <t>19:42</t>
        </is>
      </c>
      <c r="D5055" t="inlineStr">
        <is>
          <t>n° 6 + n° 7</t>
        </is>
      </c>
      <c r="E5055" t="inlineStr">
        <is>
          <t>LOURNETTE</t>
        </is>
      </c>
      <c r="F5055" t="n">
        <v>17.9</v>
      </c>
      <c r="G5055" t="inlineStr">
        <is>
          <t>n° 6 : 0,50 + n° 7 : 0,50</t>
        </is>
      </c>
      <c r="H5055" t="n">
        <v>1</v>
      </c>
    </row>
    <row r="5056">
      <c r="A5056" t="inlineStr">
        <is>
          <t>2024-2025</t>
        </is>
      </c>
      <c r="B5056" t="inlineStr">
        <is>
          <t>2025-03-12</t>
        </is>
      </c>
      <c r="C5056" t="inlineStr">
        <is>
          <t>19:42</t>
        </is>
      </c>
      <c r="D5056" t="inlineStr">
        <is>
          <t>n° 6 + n° 7</t>
        </is>
      </c>
      <c r="E5056" t="inlineStr">
        <is>
          <t>BARBEULENET</t>
        </is>
      </c>
      <c r="F5056" t="n">
        <v>17.4</v>
      </c>
      <c r="G5056" t="inlineStr">
        <is>
          <t>n° 6 : 0,50 + n° 7 : 0,50</t>
        </is>
      </c>
      <c r="H5056" t="n">
        <v>1</v>
      </c>
    </row>
    <row r="5057">
      <c r="A5057" t="inlineStr">
        <is>
          <t>2024-2025</t>
        </is>
      </c>
      <c r="B5057" t="inlineStr">
        <is>
          <t>2025-03-12</t>
        </is>
      </c>
      <c r="C5057" t="inlineStr">
        <is>
          <t>19:42</t>
        </is>
      </c>
      <c r="D5057" t="inlineStr">
        <is>
          <t>n° 6 + n° 7</t>
        </is>
      </c>
      <c r="E5057" t="inlineStr">
        <is>
          <t>Mambo</t>
        </is>
      </c>
      <c r="F5057" t="n">
        <v>6.5</v>
      </c>
      <c r="G5057" t="inlineStr">
        <is>
          <t>n° 6 : 0,50 + n° 7 : 0,50</t>
        </is>
      </c>
      <c r="H5057" t="n">
        <v>1</v>
      </c>
    </row>
    <row r="5058">
      <c r="A5058" t="inlineStr">
        <is>
          <t>2024-2025</t>
        </is>
      </c>
      <c r="B5058" t="inlineStr">
        <is>
          <t>2025-03-12</t>
        </is>
      </c>
      <c r="C5058" t="inlineStr">
        <is>
          <t>19:42</t>
        </is>
      </c>
      <c r="D5058" t="inlineStr">
        <is>
          <t>n° 6 + n° 7</t>
        </is>
      </c>
      <c r="E5058" t="inlineStr">
        <is>
          <t>cidre la Mordue</t>
        </is>
      </c>
      <c r="F5058" t="n">
        <v>4.8</v>
      </c>
      <c r="G5058" t="inlineStr">
        <is>
          <t>n° 6 : 0,50 + n° 7 : 0,50</t>
        </is>
      </c>
      <c r="H5058" t="n">
        <v>1</v>
      </c>
    </row>
    <row r="5059">
      <c r="A5059" t="inlineStr">
        <is>
          <t>2024-2025</t>
        </is>
      </c>
      <c r="B5059" t="inlineStr">
        <is>
          <t>2025-03-12</t>
        </is>
      </c>
      <c r="C5059" t="inlineStr">
        <is>
          <t>19:42</t>
        </is>
      </c>
      <c r="D5059" t="inlineStr">
        <is>
          <t>n° 6 + n° 7</t>
        </is>
      </c>
      <c r="E5059" t="inlineStr">
        <is>
          <t>Crêpe Cassonade</t>
        </is>
      </c>
      <c r="F5059" t="n">
        <v>3.9</v>
      </c>
      <c r="G5059" t="inlineStr">
        <is>
          <t>n° 6 : 0,50 + n° 7 : 0,50</t>
        </is>
      </c>
      <c r="H5059" t="n">
        <v>1</v>
      </c>
    </row>
    <row r="5060">
      <c r="A5060" t="inlineStr">
        <is>
          <t>2024-2025</t>
        </is>
      </c>
      <c r="B5060" t="inlineStr">
        <is>
          <t>2025-03-13</t>
        </is>
      </c>
      <c r="C5060" t="inlineStr">
        <is>
          <t>20:04</t>
        </is>
      </c>
      <c r="D5060" t="inlineStr">
        <is>
          <t>n° 22 + n° 23</t>
        </is>
      </c>
      <c r="E5060" t="inlineStr">
        <is>
          <t>Clair de Rosé</t>
        </is>
      </c>
      <c r="F5060" t="n">
        <v>18</v>
      </c>
      <c r="G5060" t="inlineStr">
        <is>
          <t>n° 22 : 0,50 + n° 23 : 0,50</t>
        </is>
      </c>
      <c r="H5060" t="n">
        <v>1</v>
      </c>
    </row>
    <row r="5061">
      <c r="A5061" t="inlineStr">
        <is>
          <t>2024-2025</t>
        </is>
      </c>
      <c r="B5061" t="inlineStr">
        <is>
          <t>2025-03-13</t>
        </is>
      </c>
      <c r="C5061" t="inlineStr">
        <is>
          <t>20:04</t>
        </is>
      </c>
      <c r="D5061" t="inlineStr">
        <is>
          <t>n° 22 + n° 23</t>
        </is>
      </c>
      <c r="E5061" t="inlineStr">
        <is>
          <t>Rêve Bleu</t>
        </is>
      </c>
      <c r="F5061" t="n">
        <v>9</v>
      </c>
      <c r="G5061" t="inlineStr">
        <is>
          <t>n° 22 : 0,50 + n° 23 : 0,50</t>
        </is>
      </c>
      <c r="H5061" t="n">
        <v>1</v>
      </c>
    </row>
    <row r="5062">
      <c r="A5062" t="inlineStr">
        <is>
          <t>2024-2025</t>
        </is>
      </c>
      <c r="B5062" t="inlineStr">
        <is>
          <t>2025-03-13</t>
        </is>
      </c>
      <c r="C5062" t="inlineStr">
        <is>
          <t>20:04</t>
        </is>
      </c>
      <c r="D5062" t="inlineStr">
        <is>
          <t>n° 22 + n° 23</t>
        </is>
      </c>
      <c r="E5062" t="inlineStr">
        <is>
          <t>Pavlova</t>
        </is>
      </c>
      <c r="F5062" t="n">
        <v>8.9</v>
      </c>
      <c r="G5062" t="inlineStr">
        <is>
          <t>n° 22 : 0,50 + n° 23 : 0,50</t>
        </is>
      </c>
      <c r="H5062" t="n">
        <v>1</v>
      </c>
    </row>
    <row r="5063">
      <c r="A5063" t="inlineStr">
        <is>
          <t>2024-2025</t>
        </is>
      </c>
      <c r="B5063" t="inlineStr">
        <is>
          <t>2025-03-13</t>
        </is>
      </c>
      <c r="C5063" t="inlineStr">
        <is>
          <t>20:04</t>
        </is>
      </c>
      <c r="D5063" t="inlineStr">
        <is>
          <t>n° 22 + n° 23</t>
        </is>
      </c>
      <c r="E5063" t="inlineStr">
        <is>
          <t>Macvin du Jura</t>
        </is>
      </c>
      <c r="F5063" t="n">
        <v>5.9</v>
      </c>
      <c r="G5063" t="inlineStr">
        <is>
          <t>n° 22 : 0,50 + n° 23 : 0,50</t>
        </is>
      </c>
      <c r="H5063" t="n">
        <v>1</v>
      </c>
    </row>
    <row r="5064">
      <c r="A5064" t="inlineStr">
        <is>
          <t>2024-2025</t>
        </is>
      </c>
      <c r="B5064" t="inlineStr">
        <is>
          <t>2025-03-15</t>
        </is>
      </c>
      <c r="C5064" t="inlineStr">
        <is>
          <t>21:03</t>
        </is>
      </c>
      <c r="D5064" t="inlineStr">
        <is>
          <t>n° 25 + n° 26</t>
        </is>
      </c>
      <c r="E5064" t="inlineStr">
        <is>
          <t>Crémeux du Jura</t>
        </is>
      </c>
      <c r="F5064" t="n">
        <v>19</v>
      </c>
      <c r="G5064" t="inlineStr">
        <is>
          <t>n° 25 : 0,50 + n° 26 : 0,50</t>
        </is>
      </c>
      <c r="H5064" t="n">
        <v>1</v>
      </c>
    </row>
    <row r="5065">
      <c r="A5065" t="inlineStr">
        <is>
          <t>2024-2025</t>
        </is>
      </c>
      <c r="B5065" t="inlineStr">
        <is>
          <t>2025-03-15</t>
        </is>
      </c>
      <c r="C5065" t="inlineStr">
        <is>
          <t>21:03</t>
        </is>
      </c>
      <c r="D5065" t="inlineStr">
        <is>
          <t>n° 25 + n° 26</t>
        </is>
      </c>
      <c r="E5065" t="inlineStr">
        <is>
          <t>CONQUÊTE</t>
        </is>
      </c>
      <c r="F5065" t="n">
        <v>10.5</v>
      </c>
      <c r="G5065" t="inlineStr">
        <is>
          <t>n° 25 : 0,50 + n° 26 : 0,50</t>
        </is>
      </c>
      <c r="H5065" t="n">
        <v>1</v>
      </c>
    </row>
    <row r="5066">
      <c r="A5066" t="inlineStr">
        <is>
          <t>2024-2025</t>
        </is>
      </c>
      <c r="B5066" t="inlineStr">
        <is>
          <t>2025-03-15</t>
        </is>
      </c>
      <c r="C5066" t="inlineStr">
        <is>
          <t>21:03</t>
        </is>
      </c>
      <c r="D5066" t="inlineStr">
        <is>
          <t>n° 25 + n° 26</t>
        </is>
      </c>
      <c r="E5066" t="inlineStr">
        <is>
          <t>Crepe Chocolat</t>
        </is>
      </c>
      <c r="F5066" t="n">
        <v>5.9</v>
      </c>
      <c r="G5066" t="inlineStr">
        <is>
          <t>n° 25 : 0,50 + n° 26 : 0,50</t>
        </is>
      </c>
      <c r="H5066" t="n">
        <v>1</v>
      </c>
    </row>
    <row r="5067">
      <c r="A5067" t="inlineStr">
        <is>
          <t>2024-2025</t>
        </is>
      </c>
      <c r="B5067" t="inlineStr">
        <is>
          <t>2025-03-15</t>
        </is>
      </c>
      <c r="C5067" t="inlineStr">
        <is>
          <t>21:03</t>
        </is>
      </c>
      <c r="D5067" t="inlineStr">
        <is>
          <t>n° 25 + n° 26</t>
        </is>
      </c>
      <c r="E5067" t="inlineStr">
        <is>
          <t>CHANTILLY</t>
        </is>
      </c>
      <c r="F5067" t="n">
        <v>2.5</v>
      </c>
      <c r="G5067" t="inlineStr">
        <is>
          <t>n° 25 : 0,50 + n° 26 : 0,50</t>
        </is>
      </c>
      <c r="H5067" t="n">
        <v>1</v>
      </c>
    </row>
    <row r="5068">
      <c r="A5068" t="inlineStr">
        <is>
          <t>2024-2025</t>
        </is>
      </c>
      <c r="B5068" t="inlineStr">
        <is>
          <t>2025-03-15</t>
        </is>
      </c>
      <c r="C5068" t="inlineStr">
        <is>
          <t>21:03</t>
        </is>
      </c>
      <c r="D5068" t="inlineStr">
        <is>
          <t>n° 25 + n° 26</t>
        </is>
      </c>
      <c r="E5068" t="inlineStr">
        <is>
          <t>Noix de coco rapée</t>
        </is>
      </c>
      <c r="F5068" t="n">
        <v>1.4</v>
      </c>
      <c r="G5068" t="inlineStr">
        <is>
          <t>n° 25 : 0,50 + n° 26 : 0,50</t>
        </is>
      </c>
      <c r="H5068" t="n">
        <v>1</v>
      </c>
    </row>
    <row r="5069">
      <c r="A5069" t="inlineStr">
        <is>
          <t>2024-2025</t>
        </is>
      </c>
      <c r="B5069" t="inlineStr">
        <is>
          <t>2025-03-19</t>
        </is>
      </c>
      <c r="C5069" t="inlineStr">
        <is>
          <t>11:32</t>
        </is>
      </c>
      <c r="D5069" t="inlineStr">
        <is>
          <t>n° 1 + n° 2</t>
        </is>
      </c>
      <c r="E5069" t="inlineStr">
        <is>
          <t>POULET JURASSIENNE</t>
        </is>
      </c>
      <c r="F5069" t="n">
        <v>18.6</v>
      </c>
      <c r="G5069" t="inlineStr">
        <is>
          <t>n° 1 : 0,50 + n° 2 : 0,50</t>
        </is>
      </c>
      <c r="H5069" t="n">
        <v>1</v>
      </c>
    </row>
    <row r="5070">
      <c r="A5070" t="inlineStr">
        <is>
          <t>2024-2025</t>
        </is>
      </c>
      <c r="B5070" t="inlineStr">
        <is>
          <t>2025-03-19</t>
        </is>
      </c>
      <c r="C5070" t="inlineStr">
        <is>
          <t>11:32</t>
        </is>
      </c>
      <c r="D5070" t="inlineStr">
        <is>
          <t>n° 1 + n° 2</t>
        </is>
      </c>
      <c r="E5070" t="inlineStr">
        <is>
          <t>TRUITE JURASSIENNE</t>
        </is>
      </c>
      <c r="F5070" t="n">
        <v>18.6</v>
      </c>
      <c r="G5070" t="inlineStr">
        <is>
          <t>n° 1 : 0,50 + n° 2 : 0,50</t>
        </is>
      </c>
      <c r="H5070" t="n">
        <v>1</v>
      </c>
    </row>
    <row r="5071">
      <c r="A5071" t="inlineStr">
        <is>
          <t>2024-2025</t>
        </is>
      </c>
      <c r="B5071" t="inlineStr">
        <is>
          <t>2025-03-19</t>
        </is>
      </c>
      <c r="C5071" t="inlineStr">
        <is>
          <t>11:32</t>
        </is>
      </c>
      <c r="D5071" t="inlineStr">
        <is>
          <t>n° 1 + n° 2</t>
        </is>
      </c>
      <c r="E5071" t="inlineStr">
        <is>
          <t>Arbois Trousseau Le</t>
        </is>
      </c>
      <c r="F5071" t="n">
        <v>7.2</v>
      </c>
      <c r="G5071" t="inlineStr">
        <is>
          <t>n° 1 : 0,50 + n° 2 : 0,50</t>
        </is>
      </c>
      <c r="H5071" t="n">
        <v>1</v>
      </c>
    </row>
    <row r="5072">
      <c r="A5072" t="inlineStr">
        <is>
          <t>2024-2025</t>
        </is>
      </c>
      <c r="B5072" t="inlineStr">
        <is>
          <t>2025-03-19</t>
        </is>
      </c>
      <c r="C5072" t="inlineStr">
        <is>
          <t>11:32</t>
        </is>
      </c>
      <c r="D5072" t="inlineStr">
        <is>
          <t>n° 1 + n° 2</t>
        </is>
      </c>
      <c r="E5072" t="inlineStr">
        <is>
          <t>Mambo</t>
        </is>
      </c>
      <c r="F5072" t="n">
        <v>6.5</v>
      </c>
      <c r="G5072" t="inlineStr">
        <is>
          <t>n° 1 : 0,50 + n° 2 : 0,50</t>
        </is>
      </c>
      <c r="H5072" t="n">
        <v>1</v>
      </c>
    </row>
    <row r="5073">
      <c r="A5073" t="inlineStr">
        <is>
          <t>2024-2025</t>
        </is>
      </c>
      <c r="B5073" t="inlineStr">
        <is>
          <t>2025-03-19</t>
        </is>
      </c>
      <c r="C5073" t="inlineStr">
        <is>
          <t>11:32</t>
        </is>
      </c>
      <c r="D5073" t="inlineStr">
        <is>
          <t>n° 1 + n° 2</t>
        </is>
      </c>
      <c r="E5073" t="inlineStr">
        <is>
          <t>Martini Blanc</t>
        </is>
      </c>
      <c r="F5073" t="n">
        <v>4.9</v>
      </c>
      <c r="G5073" t="inlineStr">
        <is>
          <t>n° 1 : 0,50 + n° 2 : 0,50</t>
        </is>
      </c>
      <c r="H5073" t="n">
        <v>1</v>
      </c>
    </row>
    <row r="5074">
      <c r="A5074" t="inlineStr">
        <is>
          <t>2024-2025</t>
        </is>
      </c>
      <c r="B5074" t="inlineStr">
        <is>
          <t>2025-03-21</t>
        </is>
      </c>
      <c r="C5074" t="inlineStr">
        <is>
          <t>12:20</t>
        </is>
      </c>
      <c r="D5074" t="inlineStr">
        <is>
          <t>n° 6 + n° 8</t>
        </is>
      </c>
      <c r="E5074" t="inlineStr">
        <is>
          <t>Assortiment charcute</t>
        </is>
      </c>
      <c r="F5074" t="n">
        <v>8.9</v>
      </c>
      <c r="G5074" t="inlineStr">
        <is>
          <t>n° 6 : 0,50 + n° 8 : 0,50</t>
        </is>
      </c>
      <c r="H5074" t="n">
        <v>1</v>
      </c>
    </row>
    <row r="5075">
      <c r="A5075" t="inlineStr">
        <is>
          <t>2024-2025</t>
        </is>
      </c>
      <c r="B5075" t="inlineStr">
        <is>
          <t>2025-03-21</t>
        </is>
      </c>
      <c r="C5075" t="inlineStr">
        <is>
          <t>21:10</t>
        </is>
      </c>
      <c r="D5075" t="inlineStr">
        <is>
          <t>n° 24 + n° 25</t>
        </is>
      </c>
      <c r="E5075" t="inlineStr">
        <is>
          <t>Assortiment charcute</t>
        </is>
      </c>
      <c r="F5075" t="n">
        <v>8.9</v>
      </c>
      <c r="G5075" t="inlineStr">
        <is>
          <t>n° 24 : 0,50 + n° 25 : 0,50</t>
        </is>
      </c>
      <c r="H5075" t="n">
        <v>1</v>
      </c>
    </row>
    <row r="5076">
      <c r="A5076" t="inlineStr">
        <is>
          <t>2024-2025</t>
        </is>
      </c>
      <c r="B5076" t="inlineStr">
        <is>
          <t>2025-03-21</t>
        </is>
      </c>
      <c r="C5076" t="inlineStr">
        <is>
          <t>21:10</t>
        </is>
      </c>
      <c r="D5076" t="inlineStr">
        <is>
          <t>n° 24 + n° 25</t>
        </is>
      </c>
      <c r="E5076" t="inlineStr">
        <is>
          <t>MACON VERRE</t>
        </is>
      </c>
      <c r="F5076" t="n">
        <v>6.3</v>
      </c>
      <c r="G5076" t="inlineStr">
        <is>
          <t>n° 24 : 0,50 + n° 25 : 0,50</t>
        </is>
      </c>
      <c r="H5076" t="n">
        <v>1</v>
      </c>
    </row>
    <row r="5077">
      <c r="A5077" t="inlineStr">
        <is>
          <t>2024-2025</t>
        </is>
      </c>
      <c r="B5077" t="inlineStr">
        <is>
          <t>2025-03-21</t>
        </is>
      </c>
      <c r="C5077" t="inlineStr">
        <is>
          <t>21:10</t>
        </is>
      </c>
      <c r="D5077" t="inlineStr">
        <is>
          <t>n° 24 + n° 25</t>
        </is>
      </c>
      <c r="E5077" t="inlineStr">
        <is>
          <t>POMMES FRITES</t>
        </is>
      </c>
      <c r="F5077" t="n">
        <v>3.9</v>
      </c>
      <c r="G5077" t="inlineStr">
        <is>
          <t>n° 24 : 0,50 + n° 25 : 0,50</t>
        </is>
      </c>
      <c r="H5077" t="n">
        <v>1</v>
      </c>
    </row>
    <row r="5078">
      <c r="A5078" t="inlineStr">
        <is>
          <t>2024-2025</t>
        </is>
      </c>
      <c r="B5078" t="inlineStr">
        <is>
          <t>2025-03-21</t>
        </is>
      </c>
      <c r="C5078" t="inlineStr">
        <is>
          <t>21:10</t>
        </is>
      </c>
      <c r="D5078" t="inlineStr">
        <is>
          <t>n° 24 + n° 25</t>
        </is>
      </c>
      <c r="E5078" t="inlineStr">
        <is>
          <t>GLACE 1 BOULE</t>
        </is>
      </c>
      <c r="F5078" t="n">
        <v>3.5</v>
      </c>
      <c r="G5078" t="inlineStr">
        <is>
          <t>n° 24 : 0,50 + n° 25 : 0,50</t>
        </is>
      </c>
      <c r="H5078" t="n">
        <v>1</v>
      </c>
    </row>
    <row r="5079">
      <c r="A5079" t="inlineStr">
        <is>
          <t>2024-2025</t>
        </is>
      </c>
      <c r="B5079" t="inlineStr">
        <is>
          <t>2025-03-21</t>
        </is>
      </c>
      <c r="C5079" t="inlineStr">
        <is>
          <t>21:10</t>
        </is>
      </c>
      <c r="D5079" t="inlineStr">
        <is>
          <t>n° 24 + n° 25</t>
        </is>
      </c>
      <c r="E5079" t="inlineStr">
        <is>
          <t>Expresso</t>
        </is>
      </c>
      <c r="F5079" t="n">
        <v>2.2</v>
      </c>
      <c r="G5079" t="inlineStr">
        <is>
          <t>n° 24 : 0,50 + n° 25 : 0,50</t>
        </is>
      </c>
      <c r="H5079" t="n">
        <v>1</v>
      </c>
    </row>
    <row r="5080">
      <c r="A5080" t="inlineStr">
        <is>
          <t>2024-2025</t>
        </is>
      </c>
      <c r="B5080" t="inlineStr">
        <is>
          <t>2025-03-22</t>
        </is>
      </c>
      <c r="C5080" t="inlineStr">
        <is>
          <t>12:08</t>
        </is>
      </c>
      <c r="D5080" t="inlineStr">
        <is>
          <t>n° 2 + n° 3</t>
        </is>
      </c>
      <c r="E5080" t="inlineStr">
        <is>
          <t>ASSIETTE FRANC-COMTO</t>
        </is>
      </c>
      <c r="F5080" t="n">
        <v>18.6</v>
      </c>
      <c r="G5080" t="inlineStr">
        <is>
          <t>n° 2 : 0,50 + n° 3 : 0,50</t>
        </is>
      </c>
      <c r="H5080" t="n">
        <v>1</v>
      </c>
    </row>
    <row r="5081">
      <c r="A5081" t="inlineStr">
        <is>
          <t>2024-2025</t>
        </is>
      </c>
      <c r="B5081" t="inlineStr">
        <is>
          <t>2025-03-22</t>
        </is>
      </c>
      <c r="C5081" t="inlineStr">
        <is>
          <t>12:08</t>
        </is>
      </c>
      <c r="D5081" t="inlineStr">
        <is>
          <t>n° 2 + n° 3</t>
        </is>
      </c>
      <c r="E5081" t="inlineStr">
        <is>
          <t>Escargots de Bourgog</t>
        </is>
      </c>
      <c r="F5081" t="n">
        <v>16</v>
      </c>
      <c r="G5081" t="inlineStr">
        <is>
          <t>n° 2 : 0,50 + n° 3 : 0,50</t>
        </is>
      </c>
      <c r="H5081" t="n">
        <v>1</v>
      </c>
    </row>
    <row r="5082">
      <c r="A5082" t="inlineStr">
        <is>
          <t>2024-2025</t>
        </is>
      </c>
      <c r="B5082" t="inlineStr">
        <is>
          <t>2025-03-22</t>
        </is>
      </c>
      <c r="C5082" t="inlineStr">
        <is>
          <t>12:08</t>
        </is>
      </c>
      <c r="D5082" t="inlineStr">
        <is>
          <t>n° 2 + n° 3</t>
        </is>
      </c>
      <c r="E5082" t="inlineStr">
        <is>
          <t>Schweppes</t>
        </is>
      </c>
      <c r="F5082" t="n">
        <v>3.9</v>
      </c>
      <c r="G5082" t="inlineStr">
        <is>
          <t>n° 2 : 0,50 + n° 3 : 0,50</t>
        </is>
      </c>
      <c r="H5082" t="n">
        <v>1</v>
      </c>
    </row>
    <row r="5083">
      <c r="A5083" t="inlineStr">
        <is>
          <t>2024-2025</t>
        </is>
      </c>
      <c r="B5083" t="inlineStr">
        <is>
          <t>2025-03-22</t>
        </is>
      </c>
      <c r="C5083" t="inlineStr">
        <is>
          <t>12:08</t>
        </is>
      </c>
      <c r="D5083" t="inlineStr">
        <is>
          <t>n° 2 + n° 3</t>
        </is>
      </c>
      <c r="E5083" t="inlineStr">
        <is>
          <t>Limonade (25cl)</t>
        </is>
      </c>
      <c r="F5083" t="n">
        <v>3.9</v>
      </c>
      <c r="G5083" t="inlineStr">
        <is>
          <t>n° 2 : 0,50 + n° 3 : 0,50</t>
        </is>
      </c>
      <c r="H5083" t="n">
        <v>1</v>
      </c>
    </row>
    <row r="5084">
      <c r="A5084" t="inlineStr">
        <is>
          <t>2024-2025</t>
        </is>
      </c>
      <c r="B5084" t="inlineStr">
        <is>
          <t>2025-03-22</t>
        </is>
      </c>
      <c r="C5084" t="inlineStr">
        <is>
          <t>12:08</t>
        </is>
      </c>
      <c r="D5084" t="inlineStr">
        <is>
          <t>n° 2 + n° 3</t>
        </is>
      </c>
      <c r="E5084" t="inlineStr">
        <is>
          <t>POMMES FRITES</t>
        </is>
      </c>
      <c r="F5084" t="n">
        <v>3.9</v>
      </c>
      <c r="G5084" t="inlineStr">
        <is>
          <t>n° 2 : 0,50 + n° 3 : 0,50</t>
        </is>
      </c>
      <c r="H5084" t="n">
        <v>1</v>
      </c>
    </row>
    <row r="5085">
      <c r="A5085" t="inlineStr">
        <is>
          <t>2024-2025</t>
        </is>
      </c>
      <c r="B5085" t="inlineStr">
        <is>
          <t>2025-03-22</t>
        </is>
      </c>
      <c r="C5085" t="inlineStr">
        <is>
          <t>12:33</t>
        </is>
      </c>
      <c r="D5085" t="inlineStr">
        <is>
          <t>n° 4 + n° 5</t>
        </is>
      </c>
      <c r="E5085" t="inlineStr">
        <is>
          <t>Menu 'Galette'</t>
        </is>
      </c>
      <c r="F5085" t="n">
        <v>19.5</v>
      </c>
      <c r="G5085" t="inlineStr">
        <is>
          <t>n° 4 : 0,50 + n° 5 : 0,50</t>
        </is>
      </c>
      <c r="H5085" t="n">
        <v>1</v>
      </c>
    </row>
    <row r="5086">
      <c r="A5086" t="inlineStr">
        <is>
          <t>2024-2025</t>
        </is>
      </c>
      <c r="B5086" t="inlineStr">
        <is>
          <t>2025-03-22</t>
        </is>
      </c>
      <c r="C5086" t="inlineStr">
        <is>
          <t>12:33</t>
        </is>
      </c>
      <c r="D5086" t="inlineStr">
        <is>
          <t>n° 4 + n° 5</t>
        </is>
      </c>
      <c r="E5086" t="inlineStr">
        <is>
          <t>GALETTE FORESTIERE</t>
        </is>
      </c>
      <c r="F5086" t="n">
        <v>17.9</v>
      </c>
      <c r="G5086" t="inlineStr">
        <is>
          <t>n° 4 : 0,50 + n° 5 : 0,50</t>
        </is>
      </c>
      <c r="H5086" t="n">
        <v>1</v>
      </c>
    </row>
    <row r="5087">
      <c r="A5087" t="inlineStr">
        <is>
          <t>2024-2025</t>
        </is>
      </c>
      <c r="B5087" t="inlineStr">
        <is>
          <t>2025-03-22</t>
        </is>
      </c>
      <c r="C5087" t="inlineStr">
        <is>
          <t>13:05</t>
        </is>
      </c>
      <c r="D5087" t="inlineStr">
        <is>
          <t>n° 8 + n° 9</t>
        </is>
      </c>
      <c r="E5087" t="inlineStr">
        <is>
          <t>PICHET HCB</t>
        </is>
      </c>
      <c r="F5087" t="n">
        <v>32</v>
      </c>
      <c r="G5087" t="inlineStr">
        <is>
          <t>n° 8 : 0,50 + n° 9 : 0,50</t>
        </is>
      </c>
      <c r="H5087" t="n">
        <v>1</v>
      </c>
    </row>
    <row r="5088">
      <c r="A5088" t="inlineStr">
        <is>
          <t>2024-2025</t>
        </is>
      </c>
      <c r="B5088" t="inlineStr">
        <is>
          <t>2025-03-22</t>
        </is>
      </c>
      <c r="C5088" t="inlineStr">
        <is>
          <t>13:05</t>
        </is>
      </c>
      <c r="D5088" t="inlineStr">
        <is>
          <t>n° 8 + n° 9</t>
        </is>
      </c>
      <c r="E5088" t="inlineStr">
        <is>
          <t>Entrecôte Forestiére</t>
        </is>
      </c>
      <c r="F5088" t="n">
        <v>27.8</v>
      </c>
      <c r="G5088" t="inlineStr">
        <is>
          <t>n° 8 : 0,50 + n° 9 : 0,50</t>
        </is>
      </c>
      <c r="H5088" t="n">
        <v>1</v>
      </c>
    </row>
    <row r="5089">
      <c r="A5089" t="inlineStr">
        <is>
          <t>2024-2025</t>
        </is>
      </c>
      <c r="B5089" t="inlineStr">
        <is>
          <t>2025-03-22</t>
        </is>
      </c>
      <c r="C5089" t="inlineStr">
        <is>
          <t>13:05</t>
        </is>
      </c>
      <c r="D5089" t="inlineStr">
        <is>
          <t>n° 8 + n° 9</t>
        </is>
      </c>
      <c r="E5089" t="inlineStr">
        <is>
          <t>Crepe Chocolat</t>
        </is>
      </c>
      <c r="F5089" t="n">
        <v>5.9</v>
      </c>
      <c r="G5089" t="inlineStr">
        <is>
          <t>n° 8 : 0,50 + n° 9 : 0,50</t>
        </is>
      </c>
      <c r="H5089" t="n">
        <v>1</v>
      </c>
    </row>
    <row r="5090">
      <c r="A5090" t="inlineStr">
        <is>
          <t>2024-2025</t>
        </is>
      </c>
      <c r="B5090" t="inlineStr">
        <is>
          <t>2025-03-22</t>
        </is>
      </c>
      <c r="C5090" t="inlineStr">
        <is>
          <t>13:05</t>
        </is>
      </c>
      <c r="D5090" t="inlineStr">
        <is>
          <t>n° 8 + n° 9</t>
        </is>
      </c>
      <c r="E5090" t="inlineStr">
        <is>
          <t>Crémant</t>
        </is>
      </c>
      <c r="F5090" t="n">
        <v>5</v>
      </c>
      <c r="G5090" t="inlineStr">
        <is>
          <t>n° 8 : 0,50 + n° 9 : 0,50</t>
        </is>
      </c>
      <c r="H5090" t="n">
        <v>1</v>
      </c>
    </row>
    <row r="5091">
      <c r="A5091" t="inlineStr">
        <is>
          <t>2024-2025</t>
        </is>
      </c>
      <c r="B5091" t="inlineStr">
        <is>
          <t>2025-03-22</t>
        </is>
      </c>
      <c r="C5091" t="inlineStr">
        <is>
          <t>13:05</t>
        </is>
      </c>
      <c r="D5091" t="inlineStr">
        <is>
          <t>n° 8 + n° 9</t>
        </is>
      </c>
      <c r="E5091" t="inlineStr">
        <is>
          <t>Ricard</t>
        </is>
      </c>
      <c r="F5091" t="n">
        <v>4.2</v>
      </c>
      <c r="G5091" t="inlineStr">
        <is>
          <t>n° 8 : 0,50 + n° 9 : 0,50</t>
        </is>
      </c>
      <c r="H5091" t="n">
        <v>1</v>
      </c>
    </row>
    <row r="5092">
      <c r="A5092" t="inlineStr">
        <is>
          <t>2024-2025</t>
        </is>
      </c>
      <c r="B5092" t="inlineStr">
        <is>
          <t>2025-03-22</t>
        </is>
      </c>
      <c r="C5092" t="inlineStr">
        <is>
          <t>13:05</t>
        </is>
      </c>
      <c r="D5092" t="inlineStr">
        <is>
          <t>n° 8 + n° 9</t>
        </is>
      </c>
      <c r="E5092" t="inlineStr">
        <is>
          <t>Jus de Fruit</t>
        </is>
      </c>
      <c r="F5092" t="n">
        <v>4.2</v>
      </c>
      <c r="G5092" t="inlineStr">
        <is>
          <t>n° 8 : 0,50 + n° 9 : 0,50</t>
        </is>
      </c>
      <c r="H5092" t="n">
        <v>1</v>
      </c>
    </row>
    <row r="5093">
      <c r="A5093" t="inlineStr">
        <is>
          <t>2024-2025</t>
        </is>
      </c>
      <c r="B5093" t="inlineStr">
        <is>
          <t>2025-03-22</t>
        </is>
      </c>
      <c r="C5093" t="inlineStr">
        <is>
          <t>13:05</t>
        </is>
      </c>
      <c r="D5093" t="inlineStr">
        <is>
          <t>n° 8 + n° 9</t>
        </is>
      </c>
      <c r="E5093" t="inlineStr">
        <is>
          <t>Kir Bourgogne</t>
        </is>
      </c>
      <c r="F5093" t="n">
        <v>4.2</v>
      </c>
      <c r="G5093" t="inlineStr">
        <is>
          <t>n° 8 : 0,50 + n° 9 : 0,50</t>
        </is>
      </c>
      <c r="H5093" t="n">
        <v>1</v>
      </c>
    </row>
    <row r="5094">
      <c r="A5094" t="inlineStr">
        <is>
          <t>2024-2025</t>
        </is>
      </c>
      <c r="B5094" t="inlineStr">
        <is>
          <t>2025-03-22</t>
        </is>
      </c>
      <c r="C5094" t="inlineStr">
        <is>
          <t>13:05</t>
        </is>
      </c>
      <c r="D5094" t="inlineStr">
        <is>
          <t>n° 8 + n° 9</t>
        </is>
      </c>
      <c r="E5094" t="inlineStr">
        <is>
          <t>Schweppes</t>
        </is>
      </c>
      <c r="F5094" t="n">
        <v>3.9</v>
      </c>
      <c r="G5094" t="inlineStr">
        <is>
          <t>n° 8 : 0,50 + n° 9 : 0,50</t>
        </is>
      </c>
      <c r="H5094" t="n">
        <v>1</v>
      </c>
    </row>
    <row r="5095">
      <c r="A5095" t="inlineStr">
        <is>
          <t>2024-2025</t>
        </is>
      </c>
      <c r="B5095" t="inlineStr">
        <is>
          <t>2025-03-22</t>
        </is>
      </c>
      <c r="C5095" t="inlineStr">
        <is>
          <t>13:05</t>
        </is>
      </c>
      <c r="D5095" t="inlineStr">
        <is>
          <t>n° 8 + n° 9</t>
        </is>
      </c>
      <c r="E5095" t="inlineStr">
        <is>
          <t>Chantilly</t>
        </is>
      </c>
      <c r="F5095" t="n">
        <v>2</v>
      </c>
      <c r="G5095" t="inlineStr">
        <is>
          <t>n° 8 : 0,50 + n° 9 : 0,50</t>
        </is>
      </c>
      <c r="H5095" t="n">
        <v>1</v>
      </c>
    </row>
    <row r="5096">
      <c r="A5096" t="inlineStr">
        <is>
          <t>2024-2025</t>
        </is>
      </c>
      <c r="B5096" t="inlineStr">
        <is>
          <t>2025-03-22</t>
        </is>
      </c>
      <c r="C5096" t="inlineStr">
        <is>
          <t>20:23</t>
        </is>
      </c>
      <c r="D5096" t="inlineStr">
        <is>
          <t>n° 24 + n° 25</t>
        </is>
      </c>
      <c r="E5096" t="inlineStr">
        <is>
          <t>FLAMME</t>
        </is>
      </c>
      <c r="F5096" t="n">
        <v>9.300000000000001</v>
      </c>
      <c r="G5096" t="inlineStr">
        <is>
          <t>n° 24 : 0,50 + n° 25 : 0,50</t>
        </is>
      </c>
      <c r="H5096" t="n">
        <v>1</v>
      </c>
    </row>
    <row r="5097">
      <c r="A5097" t="inlineStr">
        <is>
          <t>2024-2025</t>
        </is>
      </c>
      <c r="B5097" t="inlineStr">
        <is>
          <t>2025-03-22</t>
        </is>
      </c>
      <c r="C5097" t="inlineStr">
        <is>
          <t>20:23</t>
        </is>
      </c>
      <c r="D5097" t="inlineStr">
        <is>
          <t>n° 24 + n° 25</t>
        </is>
      </c>
      <c r="E5097" t="inlineStr">
        <is>
          <t>Pavlova</t>
        </is>
      </c>
      <c r="F5097" t="n">
        <v>8.9</v>
      </c>
      <c r="G5097" t="inlineStr">
        <is>
          <t>n° 24 : 0,50 + n° 25 : 0,50</t>
        </is>
      </c>
      <c r="H5097" t="n">
        <v>1</v>
      </c>
    </row>
    <row r="5098">
      <c r="A5098" t="inlineStr">
        <is>
          <t>2024-2025</t>
        </is>
      </c>
      <c r="B5098" t="inlineStr">
        <is>
          <t>2025-03-28</t>
        </is>
      </c>
      <c r="C5098" t="inlineStr">
        <is>
          <t>20:03</t>
        </is>
      </c>
      <c r="D5098" t="inlineStr">
        <is>
          <t>n° 13 + n° 14</t>
        </is>
      </c>
      <c r="E5098" t="inlineStr">
        <is>
          <t>Entrecôte Forestiére</t>
        </is>
      </c>
      <c r="F5098" t="n">
        <v>27.8</v>
      </c>
      <c r="G5098" t="inlineStr">
        <is>
          <t>n° 13 : 0,50 + n° 14 : 0,50</t>
        </is>
      </c>
      <c r="H5098" t="n">
        <v>1</v>
      </c>
    </row>
    <row r="5099">
      <c r="A5099" t="inlineStr">
        <is>
          <t>2024-2025</t>
        </is>
      </c>
      <c r="B5099" t="inlineStr">
        <is>
          <t>2025-03-28</t>
        </is>
      </c>
      <c r="C5099" t="inlineStr">
        <is>
          <t>20:03</t>
        </is>
      </c>
      <c r="D5099" t="inlineStr">
        <is>
          <t>n° 13 + n° 14</t>
        </is>
      </c>
      <c r="E5099" t="inlineStr">
        <is>
          <t>ASSIETTE FRANC-COMTO</t>
        </is>
      </c>
      <c r="F5099" t="n">
        <v>18.6</v>
      </c>
      <c r="G5099" t="inlineStr">
        <is>
          <t>n° 13 : 0,50 + n° 14 : 0,50</t>
        </is>
      </c>
      <c r="H5099" t="n">
        <v>1</v>
      </c>
    </row>
    <row r="5100">
      <c r="A5100" t="inlineStr">
        <is>
          <t>2024-2025</t>
        </is>
      </c>
      <c r="B5100" t="inlineStr">
        <is>
          <t>2025-03-28</t>
        </is>
      </c>
      <c r="C5100" t="inlineStr">
        <is>
          <t>20:03</t>
        </is>
      </c>
      <c r="D5100" t="inlineStr">
        <is>
          <t>n° 13 + n° 14</t>
        </is>
      </c>
      <c r="E5100" t="inlineStr">
        <is>
          <t>Baba</t>
        </is>
      </c>
      <c r="F5100" t="n">
        <v>8.9</v>
      </c>
      <c r="G5100" t="inlineStr">
        <is>
          <t>n° 13 : 0,50 + n° 14 : 0,50</t>
        </is>
      </c>
      <c r="H5100" t="n">
        <v>1</v>
      </c>
    </row>
    <row r="5101">
      <c r="A5101" t="inlineStr">
        <is>
          <t>2024-2025</t>
        </is>
      </c>
      <c r="B5101" t="inlineStr">
        <is>
          <t>2025-03-28</t>
        </is>
      </c>
      <c r="C5101" t="inlineStr">
        <is>
          <t>20:03</t>
        </is>
      </c>
      <c r="D5101" t="inlineStr">
        <is>
          <t>n° 13 + n° 14</t>
        </is>
      </c>
      <c r="E5101" t="inlineStr">
        <is>
          <t>Pavlova</t>
        </is>
      </c>
      <c r="F5101" t="n">
        <v>8.9</v>
      </c>
      <c r="G5101" t="inlineStr">
        <is>
          <t>n° 13 : 0,50 + n° 14 : 0,50</t>
        </is>
      </c>
      <c r="H5101" t="n">
        <v>1</v>
      </c>
    </row>
    <row r="5102">
      <c r="A5102" t="inlineStr">
        <is>
          <t>2024-2025</t>
        </is>
      </c>
      <c r="B5102" t="inlineStr">
        <is>
          <t>2025-03-28</t>
        </is>
      </c>
      <c r="C5102" t="inlineStr">
        <is>
          <t>20:03</t>
        </is>
      </c>
      <c r="D5102" t="inlineStr">
        <is>
          <t>n° 13 + n° 14</t>
        </is>
      </c>
      <c r="E5102" t="inlineStr">
        <is>
          <t>MACON VERRE</t>
        </is>
      </c>
      <c r="F5102" t="n">
        <v>6.3</v>
      </c>
      <c r="G5102" t="inlineStr">
        <is>
          <t>n° 13 : 0,50 + n° 14 : 0,50</t>
        </is>
      </c>
      <c r="H5102" t="n">
        <v>1</v>
      </c>
    </row>
    <row r="5103">
      <c r="A5103" t="inlineStr">
        <is>
          <t>2024-2025</t>
        </is>
      </c>
      <c r="B5103" t="inlineStr">
        <is>
          <t>2025-03-28</t>
        </is>
      </c>
      <c r="C5103" t="inlineStr">
        <is>
          <t>20:03</t>
        </is>
      </c>
      <c r="D5103" t="inlineStr">
        <is>
          <t>n° 13 + n° 14</t>
        </is>
      </c>
      <c r="E5103" t="inlineStr">
        <is>
          <t>Coca (25cl)</t>
        </is>
      </c>
      <c r="F5103" t="n">
        <v>3.9</v>
      </c>
      <c r="G5103" t="inlineStr">
        <is>
          <t>n° 13 : 0,50 + n° 14 : 0,50</t>
        </is>
      </c>
      <c r="H5103" t="n">
        <v>1</v>
      </c>
    </row>
    <row r="5104">
      <c r="A5104" t="inlineStr">
        <is>
          <t>2024-2025</t>
        </is>
      </c>
      <c r="B5104" t="inlineStr">
        <is>
          <t>2025-03-28</t>
        </is>
      </c>
      <c r="C5104" t="inlineStr">
        <is>
          <t>20:03</t>
        </is>
      </c>
      <c r="D5104" t="inlineStr">
        <is>
          <t>n° 13 + n° 14</t>
        </is>
      </c>
      <c r="E5104" t="inlineStr">
        <is>
          <t>Limonade (25cl)</t>
        </is>
      </c>
      <c r="F5104" t="n">
        <v>3.9</v>
      </c>
      <c r="G5104" t="inlineStr">
        <is>
          <t>n° 13 : 0,50 + n° 14 : 0,50</t>
        </is>
      </c>
      <c r="H5104" t="n">
        <v>1</v>
      </c>
    </row>
    <row r="5105">
      <c r="A5105" t="inlineStr">
        <is>
          <t>2024-2025</t>
        </is>
      </c>
      <c r="B5105" t="inlineStr">
        <is>
          <t>2025-03-29</t>
        </is>
      </c>
      <c r="C5105" t="inlineStr">
        <is>
          <t>12:47</t>
        </is>
      </c>
      <c r="D5105" t="inlineStr">
        <is>
          <t>n° 7 + n° 8</t>
        </is>
      </c>
      <c r="E5105" t="inlineStr">
        <is>
          <t>PICHET ROSE</t>
        </is>
      </c>
      <c r="F5105" t="n">
        <v>10.5</v>
      </c>
      <c r="G5105" t="inlineStr">
        <is>
          <t>n° 7 : 0,50 + n° 8 : 0,50</t>
        </is>
      </c>
      <c r="H5105" t="n">
        <v>1</v>
      </c>
    </row>
    <row r="5106">
      <c r="A5106" t="inlineStr">
        <is>
          <t>2024-2025</t>
        </is>
      </c>
      <c r="B5106" t="inlineStr">
        <is>
          <t>2025-03-29</t>
        </is>
      </c>
      <c r="C5106" t="inlineStr">
        <is>
          <t>12:47</t>
        </is>
      </c>
      <c r="D5106" t="inlineStr">
        <is>
          <t>n° 7 + n° 8</t>
        </is>
      </c>
      <c r="E5106" t="inlineStr">
        <is>
          <t>BALIDOU</t>
        </is>
      </c>
      <c r="F5106" t="n">
        <v>9</v>
      </c>
      <c r="G5106" t="inlineStr">
        <is>
          <t>n° 7 : 0,50 + n° 8 : 0,50</t>
        </is>
      </c>
      <c r="H5106" t="n">
        <v>1</v>
      </c>
    </row>
    <row r="5107">
      <c r="A5107" t="inlineStr">
        <is>
          <t>2024-2025</t>
        </is>
      </c>
      <c r="B5107" t="inlineStr">
        <is>
          <t>2025-03-29</t>
        </is>
      </c>
      <c r="C5107" t="inlineStr">
        <is>
          <t>13:11</t>
        </is>
      </c>
      <c r="D5107" t="inlineStr">
        <is>
          <t>n° 11 + n° 12</t>
        </is>
      </c>
      <c r="E5107" t="inlineStr">
        <is>
          <t>Entrecôte grillée</t>
        </is>
      </c>
      <c r="F5107" t="n">
        <v>19.9</v>
      </c>
      <c r="G5107" t="inlineStr">
        <is>
          <t>n° 11 : 0,50 + n° 12 : 0,50</t>
        </is>
      </c>
      <c r="H5107" t="n">
        <v>1</v>
      </c>
    </row>
    <row r="5108">
      <c r="A5108" t="inlineStr">
        <is>
          <t>2024-2025</t>
        </is>
      </c>
      <c r="B5108" t="inlineStr">
        <is>
          <t>2025-03-29</t>
        </is>
      </c>
      <c r="C5108" t="inlineStr">
        <is>
          <t>13:11</t>
        </is>
      </c>
      <c r="D5108" t="inlineStr">
        <is>
          <t>n° 11 + n° 12</t>
        </is>
      </c>
      <c r="E5108" t="inlineStr">
        <is>
          <t>Clair de Rosé</t>
        </is>
      </c>
      <c r="F5108" t="n">
        <v>18</v>
      </c>
      <c r="G5108" t="inlineStr">
        <is>
          <t>n° 11 : 0,50 + n° 12 : 0,50</t>
        </is>
      </c>
      <c r="H5108" t="n">
        <v>1</v>
      </c>
    </row>
    <row r="5109">
      <c r="A5109" t="inlineStr">
        <is>
          <t>2024-2025</t>
        </is>
      </c>
      <c r="B5109" t="inlineStr">
        <is>
          <t>2025-03-29</t>
        </is>
      </c>
      <c r="C5109" t="inlineStr">
        <is>
          <t>13:11</t>
        </is>
      </c>
      <c r="D5109" t="inlineStr">
        <is>
          <t>n° 11 + n° 12</t>
        </is>
      </c>
      <c r="E5109" t="inlineStr">
        <is>
          <t>Fondue Jurassienne</t>
        </is>
      </c>
      <c r="F5109" t="n">
        <v>16.9</v>
      </c>
      <c r="G5109" t="inlineStr">
        <is>
          <t>n° 11 : 1,50 + n° 12 : 1,50</t>
        </is>
      </c>
      <c r="H5109" t="n">
        <v>3</v>
      </c>
    </row>
    <row r="5110">
      <c r="A5110" t="inlineStr">
        <is>
          <t>2024-2025</t>
        </is>
      </c>
      <c r="B5110" t="inlineStr">
        <is>
          <t>2025-03-29</t>
        </is>
      </c>
      <c r="C5110" t="inlineStr">
        <is>
          <t>13:11</t>
        </is>
      </c>
      <c r="D5110" t="inlineStr">
        <is>
          <t>n° 11 + n° 12</t>
        </is>
      </c>
      <c r="E5110" t="inlineStr">
        <is>
          <t>Pavlova</t>
        </is>
      </c>
      <c r="F5110" t="n">
        <v>8.9</v>
      </c>
      <c r="G5110" t="inlineStr">
        <is>
          <t>n° 11 : 0,50 + n° 12 : 0,50</t>
        </is>
      </c>
      <c r="H5110" t="n">
        <v>1</v>
      </c>
    </row>
    <row r="5111">
      <c r="A5111" t="inlineStr">
        <is>
          <t>2024-2025</t>
        </is>
      </c>
      <c r="B5111" t="inlineStr">
        <is>
          <t>2025-03-29</t>
        </is>
      </c>
      <c r="C5111" t="inlineStr">
        <is>
          <t>13:11</t>
        </is>
      </c>
      <c r="D5111" t="inlineStr">
        <is>
          <t>n° 11 + n° 12</t>
        </is>
      </c>
      <c r="E5111" t="inlineStr">
        <is>
          <t>Escargots de Bourgog</t>
        </is>
      </c>
      <c r="F5111" t="n">
        <v>8</v>
      </c>
      <c r="G5111" t="inlineStr">
        <is>
          <t>n° 11 : 0,50 + n° 12 : 0,50</t>
        </is>
      </c>
      <c r="H5111" t="n">
        <v>1</v>
      </c>
    </row>
    <row r="5112">
      <c r="A5112" t="inlineStr">
        <is>
          <t>2024-2025</t>
        </is>
      </c>
      <c r="B5112" t="inlineStr">
        <is>
          <t>2025-03-29</t>
        </is>
      </c>
      <c r="C5112" t="inlineStr">
        <is>
          <t>13:11</t>
        </is>
      </c>
      <c r="D5112" t="inlineStr">
        <is>
          <t>n° 11 + n° 12</t>
        </is>
      </c>
      <c r="E5112" t="inlineStr">
        <is>
          <t>Picon bière</t>
        </is>
      </c>
      <c r="F5112" t="n">
        <v>4.8</v>
      </c>
      <c r="G5112" t="inlineStr">
        <is>
          <t>n° 11 : 0,50 + n° 12 : 0,50</t>
        </is>
      </c>
      <c r="H5112" t="n">
        <v>1</v>
      </c>
    </row>
    <row r="5113">
      <c r="A5113" t="inlineStr">
        <is>
          <t>2024-2025</t>
        </is>
      </c>
      <c r="B5113" t="inlineStr">
        <is>
          <t>2025-03-29</t>
        </is>
      </c>
      <c r="C5113" t="inlineStr">
        <is>
          <t>13:11</t>
        </is>
      </c>
      <c r="D5113" t="inlineStr">
        <is>
          <t>n° 11 + n° 12</t>
        </is>
      </c>
      <c r="E5113" t="inlineStr">
        <is>
          <t>pression</t>
        </is>
      </c>
      <c r="F5113" t="n">
        <v>4.2</v>
      </c>
      <c r="G5113" t="inlineStr">
        <is>
          <t>n° 11 : 0,50 + n° 12 : 0,50</t>
        </is>
      </c>
      <c r="H5113" t="n">
        <v>1</v>
      </c>
    </row>
    <row r="5114">
      <c r="A5114" t="inlineStr">
        <is>
          <t>2024-2025</t>
        </is>
      </c>
      <c r="B5114" t="inlineStr">
        <is>
          <t>2025-03-29</t>
        </is>
      </c>
      <c r="C5114" t="inlineStr">
        <is>
          <t>13:11</t>
        </is>
      </c>
      <c r="D5114" t="inlineStr">
        <is>
          <t>n° 11 + n° 12</t>
        </is>
      </c>
      <c r="E5114" t="inlineStr">
        <is>
          <t>Pommes grenailles</t>
        </is>
      </c>
      <c r="F5114" t="n">
        <v>3.9</v>
      </c>
      <c r="G5114" t="inlineStr">
        <is>
          <t>n° 11 : 1,50 + n° 12 : 1,50</t>
        </is>
      </c>
      <c r="H5114" t="n">
        <v>3</v>
      </c>
    </row>
    <row r="5115">
      <c r="A5115" t="inlineStr">
        <is>
          <t>2024-2025</t>
        </is>
      </c>
      <c r="B5115" t="inlineStr">
        <is>
          <t>2025-03-29</t>
        </is>
      </c>
      <c r="C5115" t="inlineStr">
        <is>
          <t>20:33</t>
        </is>
      </c>
      <c r="D5115" t="inlineStr">
        <is>
          <t>n° 31 + n° 32 + n° 33 + n° 34</t>
        </is>
      </c>
      <c r="E5115" t="inlineStr">
        <is>
          <t>Arbois Chardonnay Le</t>
        </is>
      </c>
      <c r="F5115" t="n">
        <v>29</v>
      </c>
      <c r="G5115" t="inlineStr">
        <is>
          <t>n° 33 : 0,50 + n° 34 : 0,50</t>
        </is>
      </c>
      <c r="H5115" t="n">
        <v>1</v>
      </c>
    </row>
    <row r="5116">
      <c r="A5116" t="inlineStr">
        <is>
          <t>2024-2025</t>
        </is>
      </c>
      <c r="B5116" t="inlineStr">
        <is>
          <t>2025-03-29</t>
        </is>
      </c>
      <c r="C5116" t="inlineStr">
        <is>
          <t>20:33</t>
        </is>
      </c>
      <c r="D5116" t="inlineStr">
        <is>
          <t>n° 31 + n° 32 + n° 33 + n° 34</t>
        </is>
      </c>
      <c r="E5116" t="inlineStr">
        <is>
          <t>PiCHET TROUSSEAU</t>
        </is>
      </c>
      <c r="F5116" t="n">
        <v>28</v>
      </c>
      <c r="G5116" t="inlineStr">
        <is>
          <t>n° 31 : 0,50 + n° 32 : 0,50</t>
        </is>
      </c>
      <c r="H5116" t="n">
        <v>1</v>
      </c>
    </row>
    <row r="5117">
      <c r="A5117" t="inlineStr">
        <is>
          <t>2024-2025</t>
        </is>
      </c>
      <c r="B5117" t="inlineStr">
        <is>
          <t>2025-03-29</t>
        </is>
      </c>
      <c r="C5117" t="inlineStr">
        <is>
          <t>20:33</t>
        </is>
      </c>
      <c r="D5117" t="inlineStr">
        <is>
          <t>n° 31 + n° 32 + n° 33 + n° 34</t>
        </is>
      </c>
      <c r="E5117" t="inlineStr">
        <is>
          <t>Pinte</t>
        </is>
      </c>
      <c r="F5117" t="n">
        <v>8</v>
      </c>
      <c r="G5117" t="inlineStr">
        <is>
          <t>n° 33 : 0,50 + n° 34 : 0,50</t>
        </is>
      </c>
      <c r="H5117" t="n">
        <v>1</v>
      </c>
    </row>
    <row r="5118">
      <c r="A5118" t="inlineStr">
        <is>
          <t>2024-2025</t>
        </is>
      </c>
      <c r="B5118" t="inlineStr">
        <is>
          <t>2025-03-29</t>
        </is>
      </c>
      <c r="C5118" t="inlineStr">
        <is>
          <t>20:33</t>
        </is>
      </c>
      <c r="D5118" t="inlineStr">
        <is>
          <t>n° 31 + n° 32 + n° 33 + n° 34</t>
        </is>
      </c>
      <c r="E5118" t="inlineStr">
        <is>
          <t>NOIRAUD</t>
        </is>
      </c>
      <c r="F5118" t="n">
        <v>7.9</v>
      </c>
      <c r="G5118" t="inlineStr">
        <is>
          <t>n° 31 : 0,50 + n° 32 : 0,50</t>
        </is>
      </c>
      <c r="H5118" t="n">
        <v>1</v>
      </c>
    </row>
    <row r="5119">
      <c r="A5119" t="inlineStr">
        <is>
          <t>2024-2025</t>
        </is>
      </c>
      <c r="B5119" t="inlineStr">
        <is>
          <t>2025-03-29</t>
        </is>
      </c>
      <c r="C5119" t="inlineStr">
        <is>
          <t>20:33</t>
        </is>
      </c>
      <c r="D5119" t="inlineStr">
        <is>
          <t>n° 31 + n° 32 + n° 33 + n° 34</t>
        </is>
      </c>
      <c r="E5119" t="inlineStr">
        <is>
          <t>GLACE 3 BOULES</t>
        </is>
      </c>
      <c r="F5119" t="n">
        <v>7.9</v>
      </c>
      <c r="G5119" t="inlineStr">
        <is>
          <t>n° 31 : 0,50 + n° 32 : 0,50</t>
        </is>
      </c>
      <c r="H5119" t="n">
        <v>1</v>
      </c>
    </row>
    <row r="5120">
      <c r="A5120" t="inlineStr">
        <is>
          <t>2024-2025</t>
        </is>
      </c>
      <c r="B5120" t="inlineStr">
        <is>
          <t>2025-03-29</t>
        </is>
      </c>
      <c r="C5120" t="inlineStr">
        <is>
          <t>20:33</t>
        </is>
      </c>
      <c r="D5120" t="inlineStr">
        <is>
          <t>n° 31 + n° 32 + n° 33 + n° 34</t>
        </is>
      </c>
      <c r="E5120" t="inlineStr">
        <is>
          <t>Chat perché</t>
        </is>
      </c>
      <c r="F5120" t="n">
        <v>5.9</v>
      </c>
      <c r="G5120" t="inlineStr">
        <is>
          <t>n° 33 : 1,50 + n° 34 : 1,50</t>
        </is>
      </c>
      <c r="H5120" t="n">
        <v>3</v>
      </c>
    </row>
    <row r="5121">
      <c r="A5121" t="inlineStr">
        <is>
          <t>2024-2025</t>
        </is>
      </c>
      <c r="B5121" t="inlineStr">
        <is>
          <t>2025-03-29</t>
        </is>
      </c>
      <c r="C5121" t="inlineStr">
        <is>
          <t>20:33</t>
        </is>
      </c>
      <c r="D5121" t="inlineStr">
        <is>
          <t>n° 31 + n° 32 + n° 33 + n° 34</t>
        </is>
      </c>
      <c r="E5121" t="inlineStr">
        <is>
          <t>Chantilly</t>
        </is>
      </c>
      <c r="F5121" t="n">
        <v>2</v>
      </c>
      <c r="G5121" t="inlineStr">
        <is>
          <t>n° 31 : 0,50 + n° 32 : 0,50</t>
        </is>
      </c>
      <c r="H51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2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30" customWidth="1" min="3" max="3"/>
    <col width="30" customWidth="1" min="4" max="4"/>
    <col width="10" customWidth="1" min="5" max="5"/>
    <col width="13" customWidth="1" min="6" max="6"/>
    <col width="16" customWidth="1" min="7" max="7"/>
    <col width="12" customWidth="1" min="8" max="8"/>
    <col width="18" customWidth="1" min="9" max="9"/>
    <col width="18" customWidth="1" min="10" max="10"/>
  </cols>
  <sheetData>
    <row r="1">
      <c r="A1" s="1" t="inlineStr">
        <is>
          <t>Exercice</t>
        </is>
      </c>
      <c r="B1" s="1" t="inlineStr">
        <is>
          <t>Date</t>
        </is>
      </c>
      <c r="C1" s="1" t="inlineStr">
        <is>
          <t>Table</t>
        </is>
      </c>
      <c r="D1" s="1" t="inlineStr">
        <is>
          <t>Article</t>
        </is>
      </c>
      <c r="E1" s="1" t="inlineStr">
        <is>
          <t>PU (€)</t>
        </is>
      </c>
      <c r="F1" s="1" t="inlineStr">
        <is>
          <t>Somme fractions</t>
        </is>
      </c>
      <c r="G1" s="1" t="inlineStr">
        <is>
          <t>Somme = entier ? (1/0)</t>
        </is>
      </c>
      <c r="H1" s="1" t="inlineStr">
        <is>
          <t>Entier cible</t>
        </is>
      </c>
      <c r="I1" s="1" t="inlineStr">
        <is>
          <t>Complément manquant (€)</t>
        </is>
      </c>
      <c r="J1" s="1" t="inlineStr">
        <is>
          <t>Montant reconstitué (€)</t>
        </is>
      </c>
    </row>
    <row r="2">
      <c r="A2">
        <f>Sources!A2</f>
        <v/>
      </c>
      <c r="B2">
        <f>Sources!B2</f>
        <v/>
      </c>
      <c r="C2">
        <f>Sources!D2</f>
        <v/>
      </c>
      <c r="D2">
        <f>Sources!E2</f>
        <v/>
      </c>
      <c r="E2">
        <f>Sources!F2</f>
        <v/>
      </c>
      <c r="F2">
        <f>Sources!H2</f>
        <v/>
      </c>
      <c r="G2">
        <f>IF(ABS(F2-ROUND(F2,0))&lt;0.001,1,0)</f>
        <v/>
      </c>
      <c r="H2">
        <f>IF(G2=1,F2,CEILING(F2,1))</f>
        <v/>
      </c>
      <c r="I2">
        <f>IF(G2=1,0,(H2-F2)*E2)</f>
        <v/>
      </c>
      <c r="J2">
        <f>E2*F2</f>
        <v/>
      </c>
    </row>
    <row r="3">
      <c r="A3">
        <f>Sources!A3</f>
        <v/>
      </c>
      <c r="B3">
        <f>Sources!B3</f>
        <v/>
      </c>
      <c r="C3">
        <f>Sources!D3</f>
        <v/>
      </c>
      <c r="D3">
        <f>Sources!E3</f>
        <v/>
      </c>
      <c r="E3">
        <f>Sources!F3</f>
        <v/>
      </c>
      <c r="F3">
        <f>Sources!H3</f>
        <v/>
      </c>
      <c r="G3">
        <f>IF(ABS(F3-ROUND(F3,0))&lt;0.001,1,0)</f>
        <v/>
      </c>
      <c r="H3">
        <f>IF(G3=1,F3,CEILING(F3,1))</f>
        <v/>
      </c>
      <c r="I3">
        <f>IF(G3=1,0,(H3-F3)*E3)</f>
        <v/>
      </c>
      <c r="J3">
        <f>E3*F3</f>
        <v/>
      </c>
    </row>
    <row r="4">
      <c r="A4">
        <f>Sources!A4</f>
        <v/>
      </c>
      <c r="B4">
        <f>Sources!B4</f>
        <v/>
      </c>
      <c r="C4">
        <f>Sources!D4</f>
        <v/>
      </c>
      <c r="D4">
        <f>Sources!E4</f>
        <v/>
      </c>
      <c r="E4">
        <f>Sources!F4</f>
        <v/>
      </c>
      <c r="F4">
        <f>Sources!H4</f>
        <v/>
      </c>
      <c r="G4">
        <f>IF(ABS(F4-ROUND(F4,0))&lt;0.001,1,0)</f>
        <v/>
      </c>
      <c r="H4">
        <f>IF(G4=1,F4,CEILING(F4,1))</f>
        <v/>
      </c>
      <c r="I4">
        <f>IF(G4=1,0,(H4-F4)*E4)</f>
        <v/>
      </c>
      <c r="J4">
        <f>E4*F4</f>
        <v/>
      </c>
    </row>
    <row r="5">
      <c r="A5">
        <f>Sources!A5</f>
        <v/>
      </c>
      <c r="B5">
        <f>Sources!B5</f>
        <v/>
      </c>
      <c r="C5">
        <f>Sources!D5</f>
        <v/>
      </c>
      <c r="D5">
        <f>Sources!E5</f>
        <v/>
      </c>
      <c r="E5">
        <f>Sources!F5</f>
        <v/>
      </c>
      <c r="F5">
        <f>Sources!H5</f>
        <v/>
      </c>
      <c r="G5">
        <f>IF(ABS(F5-ROUND(F5,0))&lt;0.001,1,0)</f>
        <v/>
      </c>
      <c r="H5">
        <f>IF(G5=1,F5,CEILING(F5,1))</f>
        <v/>
      </c>
      <c r="I5">
        <f>IF(G5=1,0,(H5-F5)*E5)</f>
        <v/>
      </c>
      <c r="J5">
        <f>E5*F5</f>
        <v/>
      </c>
    </row>
    <row r="6">
      <c r="A6">
        <f>Sources!A6</f>
        <v/>
      </c>
      <c r="B6">
        <f>Sources!B6</f>
        <v/>
      </c>
      <c r="C6">
        <f>Sources!D6</f>
        <v/>
      </c>
      <c r="D6">
        <f>Sources!E6</f>
        <v/>
      </c>
      <c r="E6">
        <f>Sources!F6</f>
        <v/>
      </c>
      <c r="F6">
        <f>Sources!H6</f>
        <v/>
      </c>
      <c r="G6">
        <f>IF(ABS(F6-ROUND(F6,0))&lt;0.001,1,0)</f>
        <v/>
      </c>
      <c r="H6">
        <f>IF(G6=1,F6,CEILING(F6,1))</f>
        <v/>
      </c>
      <c r="I6">
        <f>IF(G6=1,0,(H6-F6)*E6)</f>
        <v/>
      </c>
      <c r="J6">
        <f>E6*F6</f>
        <v/>
      </c>
    </row>
    <row r="7">
      <c r="A7">
        <f>Sources!A7</f>
        <v/>
      </c>
      <c r="B7">
        <f>Sources!B7</f>
        <v/>
      </c>
      <c r="C7">
        <f>Sources!D7</f>
        <v/>
      </c>
      <c r="D7">
        <f>Sources!E7</f>
        <v/>
      </c>
      <c r="E7">
        <f>Sources!F7</f>
        <v/>
      </c>
      <c r="F7">
        <f>Sources!H7</f>
        <v/>
      </c>
      <c r="G7">
        <f>IF(ABS(F7-ROUND(F7,0))&lt;0.001,1,0)</f>
        <v/>
      </c>
      <c r="H7">
        <f>IF(G7=1,F7,CEILING(F7,1))</f>
        <v/>
      </c>
      <c r="I7">
        <f>IF(G7=1,0,(H7-F7)*E7)</f>
        <v/>
      </c>
      <c r="J7">
        <f>E7*F7</f>
        <v/>
      </c>
    </row>
    <row r="8">
      <c r="A8">
        <f>Sources!A8</f>
        <v/>
      </c>
      <c r="B8">
        <f>Sources!B8</f>
        <v/>
      </c>
      <c r="C8">
        <f>Sources!D8</f>
        <v/>
      </c>
      <c r="D8">
        <f>Sources!E8</f>
        <v/>
      </c>
      <c r="E8">
        <f>Sources!F8</f>
        <v/>
      </c>
      <c r="F8">
        <f>Sources!H8</f>
        <v/>
      </c>
      <c r="G8">
        <f>IF(ABS(F8-ROUND(F8,0))&lt;0.001,1,0)</f>
        <v/>
      </c>
      <c r="H8">
        <f>IF(G8=1,F8,CEILING(F8,1))</f>
        <v/>
      </c>
      <c r="I8">
        <f>IF(G8=1,0,(H8-F8)*E8)</f>
        <v/>
      </c>
      <c r="J8">
        <f>E8*F8</f>
        <v/>
      </c>
    </row>
    <row r="9">
      <c r="A9">
        <f>Sources!A9</f>
        <v/>
      </c>
      <c r="B9">
        <f>Sources!B9</f>
        <v/>
      </c>
      <c r="C9">
        <f>Sources!D9</f>
        <v/>
      </c>
      <c r="D9">
        <f>Sources!E9</f>
        <v/>
      </c>
      <c r="E9">
        <f>Sources!F9</f>
        <v/>
      </c>
      <c r="F9">
        <f>Sources!H9</f>
        <v/>
      </c>
      <c r="G9">
        <f>IF(ABS(F9-ROUND(F9,0))&lt;0.001,1,0)</f>
        <v/>
      </c>
      <c r="H9">
        <f>IF(G9=1,F9,CEILING(F9,1))</f>
        <v/>
      </c>
      <c r="I9">
        <f>IF(G9=1,0,(H9-F9)*E9)</f>
        <v/>
      </c>
      <c r="J9">
        <f>E9*F9</f>
        <v/>
      </c>
    </row>
    <row r="10">
      <c r="A10">
        <f>Sources!A10</f>
        <v/>
      </c>
      <c r="B10">
        <f>Sources!B10</f>
        <v/>
      </c>
      <c r="C10">
        <f>Sources!D10</f>
        <v/>
      </c>
      <c r="D10">
        <f>Sources!E10</f>
        <v/>
      </c>
      <c r="E10">
        <f>Sources!F10</f>
        <v/>
      </c>
      <c r="F10">
        <f>Sources!H10</f>
        <v/>
      </c>
      <c r="G10">
        <f>IF(ABS(F10-ROUND(F10,0))&lt;0.001,1,0)</f>
        <v/>
      </c>
      <c r="H10">
        <f>IF(G10=1,F10,CEILING(F10,1))</f>
        <v/>
      </c>
      <c r="I10">
        <f>IF(G10=1,0,(H10-F10)*E10)</f>
        <v/>
      </c>
      <c r="J10">
        <f>E10*F10</f>
        <v/>
      </c>
    </row>
    <row r="11">
      <c r="A11">
        <f>Sources!A11</f>
        <v/>
      </c>
      <c r="B11">
        <f>Sources!B11</f>
        <v/>
      </c>
      <c r="C11">
        <f>Sources!D11</f>
        <v/>
      </c>
      <c r="D11">
        <f>Sources!E11</f>
        <v/>
      </c>
      <c r="E11">
        <f>Sources!F11</f>
        <v/>
      </c>
      <c r="F11">
        <f>Sources!H11</f>
        <v/>
      </c>
      <c r="G11">
        <f>IF(ABS(F11-ROUND(F11,0))&lt;0.001,1,0)</f>
        <v/>
      </c>
      <c r="H11">
        <f>IF(G11=1,F11,CEILING(F11,1))</f>
        <v/>
      </c>
      <c r="I11">
        <f>IF(G11=1,0,(H11-F11)*E11)</f>
        <v/>
      </c>
      <c r="J11">
        <f>E11*F11</f>
        <v/>
      </c>
    </row>
    <row r="12">
      <c r="A12">
        <f>Sources!A12</f>
        <v/>
      </c>
      <c r="B12">
        <f>Sources!B12</f>
        <v/>
      </c>
      <c r="C12">
        <f>Sources!D12</f>
        <v/>
      </c>
      <c r="D12">
        <f>Sources!E12</f>
        <v/>
      </c>
      <c r="E12">
        <f>Sources!F12</f>
        <v/>
      </c>
      <c r="F12">
        <f>Sources!H12</f>
        <v/>
      </c>
      <c r="G12">
        <f>IF(ABS(F12-ROUND(F12,0))&lt;0.001,1,0)</f>
        <v/>
      </c>
      <c r="H12">
        <f>IF(G12=1,F12,CEILING(F12,1))</f>
        <v/>
      </c>
      <c r="I12">
        <f>IF(G12=1,0,(H12-F12)*E12)</f>
        <v/>
      </c>
      <c r="J12">
        <f>E12*F12</f>
        <v/>
      </c>
    </row>
    <row r="13">
      <c r="A13">
        <f>Sources!A13</f>
        <v/>
      </c>
      <c r="B13">
        <f>Sources!B13</f>
        <v/>
      </c>
      <c r="C13">
        <f>Sources!D13</f>
        <v/>
      </c>
      <c r="D13">
        <f>Sources!E13</f>
        <v/>
      </c>
      <c r="E13">
        <f>Sources!F13</f>
        <v/>
      </c>
      <c r="F13">
        <f>Sources!H13</f>
        <v/>
      </c>
      <c r="G13">
        <f>IF(ABS(F13-ROUND(F13,0))&lt;0.001,1,0)</f>
        <v/>
      </c>
      <c r="H13">
        <f>IF(G13=1,F13,CEILING(F13,1))</f>
        <v/>
      </c>
      <c r="I13">
        <f>IF(G13=1,0,(H13-F13)*E13)</f>
        <v/>
      </c>
      <c r="J13">
        <f>E13*F13</f>
        <v/>
      </c>
    </row>
    <row r="14">
      <c r="A14">
        <f>Sources!A14</f>
        <v/>
      </c>
      <c r="B14">
        <f>Sources!B14</f>
        <v/>
      </c>
      <c r="C14">
        <f>Sources!D14</f>
        <v/>
      </c>
      <c r="D14">
        <f>Sources!E14</f>
        <v/>
      </c>
      <c r="E14">
        <f>Sources!F14</f>
        <v/>
      </c>
      <c r="F14">
        <f>Sources!H14</f>
        <v/>
      </c>
      <c r="G14">
        <f>IF(ABS(F14-ROUND(F14,0))&lt;0.001,1,0)</f>
        <v/>
      </c>
      <c r="H14">
        <f>IF(G14=1,F14,CEILING(F14,1))</f>
        <v/>
      </c>
      <c r="I14">
        <f>IF(G14=1,0,(H14-F14)*E14)</f>
        <v/>
      </c>
      <c r="J14">
        <f>E14*F14</f>
        <v/>
      </c>
    </row>
    <row r="15">
      <c r="A15">
        <f>Sources!A15</f>
        <v/>
      </c>
      <c r="B15">
        <f>Sources!B15</f>
        <v/>
      </c>
      <c r="C15">
        <f>Sources!D15</f>
        <v/>
      </c>
      <c r="D15">
        <f>Sources!E15</f>
        <v/>
      </c>
      <c r="E15">
        <f>Sources!F15</f>
        <v/>
      </c>
      <c r="F15">
        <f>Sources!H15</f>
        <v/>
      </c>
      <c r="G15">
        <f>IF(ABS(F15-ROUND(F15,0))&lt;0.001,1,0)</f>
        <v/>
      </c>
      <c r="H15">
        <f>IF(G15=1,F15,CEILING(F15,1))</f>
        <v/>
      </c>
      <c r="I15">
        <f>IF(G15=1,0,(H15-F15)*E15)</f>
        <v/>
      </c>
      <c r="J15">
        <f>E15*F15</f>
        <v/>
      </c>
    </row>
    <row r="16">
      <c r="A16">
        <f>Sources!A16</f>
        <v/>
      </c>
      <c r="B16">
        <f>Sources!B16</f>
        <v/>
      </c>
      <c r="C16">
        <f>Sources!D16</f>
        <v/>
      </c>
      <c r="D16">
        <f>Sources!E16</f>
        <v/>
      </c>
      <c r="E16">
        <f>Sources!F16</f>
        <v/>
      </c>
      <c r="F16">
        <f>Sources!H16</f>
        <v/>
      </c>
      <c r="G16">
        <f>IF(ABS(F16-ROUND(F16,0))&lt;0.001,1,0)</f>
        <v/>
      </c>
      <c r="H16">
        <f>IF(G16=1,F16,CEILING(F16,1))</f>
        <v/>
      </c>
      <c r="I16">
        <f>IF(G16=1,0,(H16-F16)*E16)</f>
        <v/>
      </c>
      <c r="J16">
        <f>E16*F16</f>
        <v/>
      </c>
    </row>
    <row r="17">
      <c r="A17">
        <f>Sources!A17</f>
        <v/>
      </c>
      <c r="B17">
        <f>Sources!B17</f>
        <v/>
      </c>
      <c r="C17">
        <f>Sources!D17</f>
        <v/>
      </c>
      <c r="D17">
        <f>Sources!E17</f>
        <v/>
      </c>
      <c r="E17">
        <f>Sources!F17</f>
        <v/>
      </c>
      <c r="F17">
        <f>Sources!H17</f>
        <v/>
      </c>
      <c r="G17">
        <f>IF(ABS(F17-ROUND(F17,0))&lt;0.001,1,0)</f>
        <v/>
      </c>
      <c r="H17">
        <f>IF(G17=1,F17,CEILING(F17,1))</f>
        <v/>
      </c>
      <c r="I17">
        <f>IF(G17=1,0,(H17-F17)*E17)</f>
        <v/>
      </c>
      <c r="J17">
        <f>E17*F17</f>
        <v/>
      </c>
    </row>
    <row r="18">
      <c r="A18">
        <f>Sources!A18</f>
        <v/>
      </c>
      <c r="B18">
        <f>Sources!B18</f>
        <v/>
      </c>
      <c r="C18">
        <f>Sources!D18</f>
        <v/>
      </c>
      <c r="D18">
        <f>Sources!E18</f>
        <v/>
      </c>
      <c r="E18">
        <f>Sources!F18</f>
        <v/>
      </c>
      <c r="F18">
        <f>Sources!H18</f>
        <v/>
      </c>
      <c r="G18">
        <f>IF(ABS(F18-ROUND(F18,0))&lt;0.001,1,0)</f>
        <v/>
      </c>
      <c r="H18">
        <f>IF(G18=1,F18,CEILING(F18,1))</f>
        <v/>
      </c>
      <c r="I18">
        <f>IF(G18=1,0,(H18-F18)*E18)</f>
        <v/>
      </c>
      <c r="J18">
        <f>E18*F18</f>
        <v/>
      </c>
    </row>
    <row r="19">
      <c r="A19">
        <f>Sources!A19</f>
        <v/>
      </c>
      <c r="B19">
        <f>Sources!B19</f>
        <v/>
      </c>
      <c r="C19">
        <f>Sources!D19</f>
        <v/>
      </c>
      <c r="D19">
        <f>Sources!E19</f>
        <v/>
      </c>
      <c r="E19">
        <f>Sources!F19</f>
        <v/>
      </c>
      <c r="F19">
        <f>Sources!H19</f>
        <v/>
      </c>
      <c r="G19">
        <f>IF(ABS(F19-ROUND(F19,0))&lt;0.001,1,0)</f>
        <v/>
      </c>
      <c r="H19">
        <f>IF(G19=1,F19,CEILING(F19,1))</f>
        <v/>
      </c>
      <c r="I19">
        <f>IF(G19=1,0,(H19-F19)*E19)</f>
        <v/>
      </c>
      <c r="J19">
        <f>E19*F19</f>
        <v/>
      </c>
    </row>
    <row r="20">
      <c r="A20">
        <f>Sources!A20</f>
        <v/>
      </c>
      <c r="B20">
        <f>Sources!B20</f>
        <v/>
      </c>
      <c r="C20">
        <f>Sources!D20</f>
        <v/>
      </c>
      <c r="D20">
        <f>Sources!E20</f>
        <v/>
      </c>
      <c r="E20">
        <f>Sources!F20</f>
        <v/>
      </c>
      <c r="F20">
        <f>Sources!H20</f>
        <v/>
      </c>
      <c r="G20">
        <f>IF(ABS(F20-ROUND(F20,0))&lt;0.001,1,0)</f>
        <v/>
      </c>
      <c r="H20">
        <f>IF(G20=1,F20,CEILING(F20,1))</f>
        <v/>
      </c>
      <c r="I20">
        <f>IF(G20=1,0,(H20-F20)*E20)</f>
        <v/>
      </c>
      <c r="J20">
        <f>E20*F20</f>
        <v/>
      </c>
    </row>
    <row r="21">
      <c r="A21">
        <f>Sources!A21</f>
        <v/>
      </c>
      <c r="B21">
        <f>Sources!B21</f>
        <v/>
      </c>
      <c r="C21">
        <f>Sources!D21</f>
        <v/>
      </c>
      <c r="D21">
        <f>Sources!E21</f>
        <v/>
      </c>
      <c r="E21">
        <f>Sources!F21</f>
        <v/>
      </c>
      <c r="F21">
        <f>Sources!H21</f>
        <v/>
      </c>
      <c r="G21">
        <f>IF(ABS(F21-ROUND(F21,0))&lt;0.001,1,0)</f>
        <v/>
      </c>
      <c r="H21">
        <f>IF(G21=1,F21,CEILING(F21,1))</f>
        <v/>
      </c>
      <c r="I21">
        <f>IF(G21=1,0,(H21-F21)*E21)</f>
        <v/>
      </c>
      <c r="J21">
        <f>E21*F21</f>
        <v/>
      </c>
    </row>
    <row r="22">
      <c r="A22">
        <f>Sources!A22</f>
        <v/>
      </c>
      <c r="B22">
        <f>Sources!B22</f>
        <v/>
      </c>
      <c r="C22">
        <f>Sources!D22</f>
        <v/>
      </c>
      <c r="D22">
        <f>Sources!E22</f>
        <v/>
      </c>
      <c r="E22">
        <f>Sources!F22</f>
        <v/>
      </c>
      <c r="F22">
        <f>Sources!H22</f>
        <v/>
      </c>
      <c r="G22">
        <f>IF(ABS(F22-ROUND(F22,0))&lt;0.001,1,0)</f>
        <v/>
      </c>
      <c r="H22">
        <f>IF(G22=1,F22,CEILING(F22,1))</f>
        <v/>
      </c>
      <c r="I22">
        <f>IF(G22=1,0,(H22-F22)*E22)</f>
        <v/>
      </c>
      <c r="J22">
        <f>E22*F22</f>
        <v/>
      </c>
    </row>
    <row r="23">
      <c r="A23">
        <f>Sources!A23</f>
        <v/>
      </c>
      <c r="B23">
        <f>Sources!B23</f>
        <v/>
      </c>
      <c r="C23">
        <f>Sources!D23</f>
        <v/>
      </c>
      <c r="D23">
        <f>Sources!E23</f>
        <v/>
      </c>
      <c r="E23">
        <f>Sources!F23</f>
        <v/>
      </c>
      <c r="F23">
        <f>Sources!H23</f>
        <v/>
      </c>
      <c r="G23">
        <f>IF(ABS(F23-ROUND(F23,0))&lt;0.001,1,0)</f>
        <v/>
      </c>
      <c r="H23">
        <f>IF(G23=1,F23,CEILING(F23,1))</f>
        <v/>
      </c>
      <c r="I23">
        <f>IF(G23=1,0,(H23-F23)*E23)</f>
        <v/>
      </c>
      <c r="J23">
        <f>E23*F23</f>
        <v/>
      </c>
    </row>
    <row r="24">
      <c r="A24">
        <f>Sources!A24</f>
        <v/>
      </c>
      <c r="B24">
        <f>Sources!B24</f>
        <v/>
      </c>
      <c r="C24">
        <f>Sources!D24</f>
        <v/>
      </c>
      <c r="D24">
        <f>Sources!E24</f>
        <v/>
      </c>
      <c r="E24">
        <f>Sources!F24</f>
        <v/>
      </c>
      <c r="F24">
        <f>Sources!H24</f>
        <v/>
      </c>
      <c r="G24">
        <f>IF(ABS(F24-ROUND(F24,0))&lt;0.001,1,0)</f>
        <v/>
      </c>
      <c r="H24">
        <f>IF(G24=1,F24,CEILING(F24,1))</f>
        <v/>
      </c>
      <c r="I24">
        <f>IF(G24=1,0,(H24-F24)*E24)</f>
        <v/>
      </c>
      <c r="J24">
        <f>E24*F24</f>
        <v/>
      </c>
    </row>
    <row r="25">
      <c r="A25">
        <f>Sources!A25</f>
        <v/>
      </c>
      <c r="B25">
        <f>Sources!B25</f>
        <v/>
      </c>
      <c r="C25">
        <f>Sources!D25</f>
        <v/>
      </c>
      <c r="D25">
        <f>Sources!E25</f>
        <v/>
      </c>
      <c r="E25">
        <f>Sources!F25</f>
        <v/>
      </c>
      <c r="F25">
        <f>Sources!H25</f>
        <v/>
      </c>
      <c r="G25">
        <f>IF(ABS(F25-ROUND(F25,0))&lt;0.001,1,0)</f>
        <v/>
      </c>
      <c r="H25">
        <f>IF(G25=1,F25,CEILING(F25,1))</f>
        <v/>
      </c>
      <c r="I25">
        <f>IF(G25=1,0,(H25-F25)*E25)</f>
        <v/>
      </c>
      <c r="J25">
        <f>E25*F25</f>
        <v/>
      </c>
    </row>
    <row r="26">
      <c r="A26">
        <f>Sources!A26</f>
        <v/>
      </c>
      <c r="B26">
        <f>Sources!B26</f>
        <v/>
      </c>
      <c r="C26">
        <f>Sources!D26</f>
        <v/>
      </c>
      <c r="D26">
        <f>Sources!E26</f>
        <v/>
      </c>
      <c r="E26">
        <f>Sources!F26</f>
        <v/>
      </c>
      <c r="F26">
        <f>Sources!H26</f>
        <v/>
      </c>
      <c r="G26">
        <f>IF(ABS(F26-ROUND(F26,0))&lt;0.001,1,0)</f>
        <v/>
      </c>
      <c r="H26">
        <f>IF(G26=1,F26,CEILING(F26,1))</f>
        <v/>
      </c>
      <c r="I26">
        <f>IF(G26=1,0,(H26-F26)*E26)</f>
        <v/>
      </c>
      <c r="J26">
        <f>E26*F26</f>
        <v/>
      </c>
    </row>
    <row r="27">
      <c r="A27">
        <f>Sources!A27</f>
        <v/>
      </c>
      <c r="B27">
        <f>Sources!B27</f>
        <v/>
      </c>
      <c r="C27">
        <f>Sources!D27</f>
        <v/>
      </c>
      <c r="D27">
        <f>Sources!E27</f>
        <v/>
      </c>
      <c r="E27">
        <f>Sources!F27</f>
        <v/>
      </c>
      <c r="F27">
        <f>Sources!H27</f>
        <v/>
      </c>
      <c r="G27">
        <f>IF(ABS(F27-ROUND(F27,0))&lt;0.001,1,0)</f>
        <v/>
      </c>
      <c r="H27">
        <f>IF(G27=1,F27,CEILING(F27,1))</f>
        <v/>
      </c>
      <c r="I27">
        <f>IF(G27=1,0,(H27-F27)*E27)</f>
        <v/>
      </c>
      <c r="J27">
        <f>E27*F27</f>
        <v/>
      </c>
    </row>
    <row r="28">
      <c r="A28">
        <f>Sources!A28</f>
        <v/>
      </c>
      <c r="B28">
        <f>Sources!B28</f>
        <v/>
      </c>
      <c r="C28">
        <f>Sources!D28</f>
        <v/>
      </c>
      <c r="D28">
        <f>Sources!E28</f>
        <v/>
      </c>
      <c r="E28">
        <f>Sources!F28</f>
        <v/>
      </c>
      <c r="F28">
        <f>Sources!H28</f>
        <v/>
      </c>
      <c r="G28">
        <f>IF(ABS(F28-ROUND(F28,0))&lt;0.001,1,0)</f>
        <v/>
      </c>
      <c r="H28">
        <f>IF(G28=1,F28,CEILING(F28,1))</f>
        <v/>
      </c>
      <c r="I28">
        <f>IF(G28=1,0,(H28-F28)*E28)</f>
        <v/>
      </c>
      <c r="J28">
        <f>E28*F28</f>
        <v/>
      </c>
    </row>
    <row r="29">
      <c r="A29">
        <f>Sources!A29</f>
        <v/>
      </c>
      <c r="B29">
        <f>Sources!B29</f>
        <v/>
      </c>
      <c r="C29">
        <f>Sources!D29</f>
        <v/>
      </c>
      <c r="D29">
        <f>Sources!E29</f>
        <v/>
      </c>
      <c r="E29">
        <f>Sources!F29</f>
        <v/>
      </c>
      <c r="F29">
        <f>Sources!H29</f>
        <v/>
      </c>
      <c r="G29">
        <f>IF(ABS(F29-ROUND(F29,0))&lt;0.001,1,0)</f>
        <v/>
      </c>
      <c r="H29">
        <f>IF(G29=1,F29,CEILING(F29,1))</f>
        <v/>
      </c>
      <c r="I29">
        <f>IF(G29=1,0,(H29-F29)*E29)</f>
        <v/>
      </c>
      <c r="J29">
        <f>E29*F29</f>
        <v/>
      </c>
    </row>
    <row r="30">
      <c r="A30">
        <f>Sources!A30</f>
        <v/>
      </c>
      <c r="B30">
        <f>Sources!B30</f>
        <v/>
      </c>
      <c r="C30">
        <f>Sources!D30</f>
        <v/>
      </c>
      <c r="D30">
        <f>Sources!E30</f>
        <v/>
      </c>
      <c r="E30">
        <f>Sources!F30</f>
        <v/>
      </c>
      <c r="F30">
        <f>Sources!H30</f>
        <v/>
      </c>
      <c r="G30">
        <f>IF(ABS(F30-ROUND(F30,0))&lt;0.001,1,0)</f>
        <v/>
      </c>
      <c r="H30">
        <f>IF(G30=1,F30,CEILING(F30,1))</f>
        <v/>
      </c>
      <c r="I30">
        <f>IF(G30=1,0,(H30-F30)*E30)</f>
        <v/>
      </c>
      <c r="J30">
        <f>E30*F30</f>
        <v/>
      </c>
    </row>
    <row r="31">
      <c r="A31">
        <f>Sources!A31</f>
        <v/>
      </c>
      <c r="B31">
        <f>Sources!B31</f>
        <v/>
      </c>
      <c r="C31">
        <f>Sources!D31</f>
        <v/>
      </c>
      <c r="D31">
        <f>Sources!E31</f>
        <v/>
      </c>
      <c r="E31">
        <f>Sources!F31</f>
        <v/>
      </c>
      <c r="F31">
        <f>Sources!H31</f>
        <v/>
      </c>
      <c r="G31">
        <f>IF(ABS(F31-ROUND(F31,0))&lt;0.001,1,0)</f>
        <v/>
      </c>
      <c r="H31">
        <f>IF(G31=1,F31,CEILING(F31,1))</f>
        <v/>
      </c>
      <c r="I31">
        <f>IF(G31=1,0,(H31-F31)*E31)</f>
        <v/>
      </c>
      <c r="J31">
        <f>E31*F31</f>
        <v/>
      </c>
    </row>
    <row r="32">
      <c r="A32">
        <f>Sources!A32</f>
        <v/>
      </c>
      <c r="B32">
        <f>Sources!B32</f>
        <v/>
      </c>
      <c r="C32">
        <f>Sources!D32</f>
        <v/>
      </c>
      <c r="D32">
        <f>Sources!E32</f>
        <v/>
      </c>
      <c r="E32">
        <f>Sources!F32</f>
        <v/>
      </c>
      <c r="F32">
        <f>Sources!H32</f>
        <v/>
      </c>
      <c r="G32">
        <f>IF(ABS(F32-ROUND(F32,0))&lt;0.001,1,0)</f>
        <v/>
      </c>
      <c r="H32">
        <f>IF(G32=1,F32,CEILING(F32,1))</f>
        <v/>
      </c>
      <c r="I32">
        <f>IF(G32=1,0,(H32-F32)*E32)</f>
        <v/>
      </c>
      <c r="J32">
        <f>E32*F32</f>
        <v/>
      </c>
    </row>
    <row r="33">
      <c r="A33">
        <f>Sources!A33</f>
        <v/>
      </c>
      <c r="B33">
        <f>Sources!B33</f>
        <v/>
      </c>
      <c r="C33">
        <f>Sources!D33</f>
        <v/>
      </c>
      <c r="D33">
        <f>Sources!E33</f>
        <v/>
      </c>
      <c r="E33">
        <f>Sources!F33</f>
        <v/>
      </c>
      <c r="F33">
        <f>Sources!H33</f>
        <v/>
      </c>
      <c r="G33">
        <f>IF(ABS(F33-ROUND(F33,0))&lt;0.001,1,0)</f>
        <v/>
      </c>
      <c r="H33">
        <f>IF(G33=1,F33,CEILING(F33,1))</f>
        <v/>
      </c>
      <c r="I33">
        <f>IF(G33=1,0,(H33-F33)*E33)</f>
        <v/>
      </c>
      <c r="J33">
        <f>E33*F33</f>
        <v/>
      </c>
    </row>
    <row r="34">
      <c r="A34">
        <f>Sources!A34</f>
        <v/>
      </c>
      <c r="B34">
        <f>Sources!B34</f>
        <v/>
      </c>
      <c r="C34">
        <f>Sources!D34</f>
        <v/>
      </c>
      <c r="D34">
        <f>Sources!E34</f>
        <v/>
      </c>
      <c r="E34">
        <f>Sources!F34</f>
        <v/>
      </c>
      <c r="F34">
        <f>Sources!H34</f>
        <v/>
      </c>
      <c r="G34">
        <f>IF(ABS(F34-ROUND(F34,0))&lt;0.001,1,0)</f>
        <v/>
      </c>
      <c r="H34">
        <f>IF(G34=1,F34,CEILING(F34,1))</f>
        <v/>
      </c>
      <c r="I34">
        <f>IF(G34=1,0,(H34-F34)*E34)</f>
        <v/>
      </c>
      <c r="J34">
        <f>E34*F34</f>
        <v/>
      </c>
    </row>
    <row r="35">
      <c r="A35">
        <f>Sources!A35</f>
        <v/>
      </c>
      <c r="B35">
        <f>Sources!B35</f>
        <v/>
      </c>
      <c r="C35">
        <f>Sources!D35</f>
        <v/>
      </c>
      <c r="D35">
        <f>Sources!E35</f>
        <v/>
      </c>
      <c r="E35">
        <f>Sources!F35</f>
        <v/>
      </c>
      <c r="F35">
        <f>Sources!H35</f>
        <v/>
      </c>
      <c r="G35">
        <f>IF(ABS(F35-ROUND(F35,0))&lt;0.001,1,0)</f>
        <v/>
      </c>
      <c r="H35">
        <f>IF(G35=1,F35,CEILING(F35,1))</f>
        <v/>
      </c>
      <c r="I35">
        <f>IF(G35=1,0,(H35-F35)*E35)</f>
        <v/>
      </c>
      <c r="J35">
        <f>E35*F35</f>
        <v/>
      </c>
    </row>
    <row r="36">
      <c r="A36">
        <f>Sources!A36</f>
        <v/>
      </c>
      <c r="B36">
        <f>Sources!B36</f>
        <v/>
      </c>
      <c r="C36">
        <f>Sources!D36</f>
        <v/>
      </c>
      <c r="D36">
        <f>Sources!E36</f>
        <v/>
      </c>
      <c r="E36">
        <f>Sources!F36</f>
        <v/>
      </c>
      <c r="F36">
        <f>Sources!H36</f>
        <v/>
      </c>
      <c r="G36">
        <f>IF(ABS(F36-ROUND(F36,0))&lt;0.001,1,0)</f>
        <v/>
      </c>
      <c r="H36">
        <f>IF(G36=1,F36,CEILING(F36,1))</f>
        <v/>
      </c>
      <c r="I36">
        <f>IF(G36=1,0,(H36-F36)*E36)</f>
        <v/>
      </c>
      <c r="J36">
        <f>E36*F36</f>
        <v/>
      </c>
    </row>
    <row r="37">
      <c r="A37">
        <f>Sources!A37</f>
        <v/>
      </c>
      <c r="B37">
        <f>Sources!B37</f>
        <v/>
      </c>
      <c r="C37">
        <f>Sources!D37</f>
        <v/>
      </c>
      <c r="D37">
        <f>Sources!E37</f>
        <v/>
      </c>
      <c r="E37">
        <f>Sources!F37</f>
        <v/>
      </c>
      <c r="F37">
        <f>Sources!H37</f>
        <v/>
      </c>
      <c r="G37">
        <f>IF(ABS(F37-ROUND(F37,0))&lt;0.001,1,0)</f>
        <v/>
      </c>
      <c r="H37">
        <f>IF(G37=1,F37,CEILING(F37,1))</f>
        <v/>
      </c>
      <c r="I37">
        <f>IF(G37=1,0,(H37-F37)*E37)</f>
        <v/>
      </c>
      <c r="J37">
        <f>E37*F37</f>
        <v/>
      </c>
    </row>
    <row r="38">
      <c r="A38">
        <f>Sources!A38</f>
        <v/>
      </c>
      <c r="B38">
        <f>Sources!B38</f>
        <v/>
      </c>
      <c r="C38">
        <f>Sources!D38</f>
        <v/>
      </c>
      <c r="D38">
        <f>Sources!E38</f>
        <v/>
      </c>
      <c r="E38">
        <f>Sources!F38</f>
        <v/>
      </c>
      <c r="F38">
        <f>Sources!H38</f>
        <v/>
      </c>
      <c r="G38">
        <f>IF(ABS(F38-ROUND(F38,0))&lt;0.001,1,0)</f>
        <v/>
      </c>
      <c r="H38">
        <f>IF(G38=1,F38,CEILING(F38,1))</f>
        <v/>
      </c>
      <c r="I38">
        <f>IF(G38=1,0,(H38-F38)*E38)</f>
        <v/>
      </c>
      <c r="J38">
        <f>E38*F38</f>
        <v/>
      </c>
    </row>
    <row r="39">
      <c r="A39">
        <f>Sources!A39</f>
        <v/>
      </c>
      <c r="B39">
        <f>Sources!B39</f>
        <v/>
      </c>
      <c r="C39">
        <f>Sources!D39</f>
        <v/>
      </c>
      <c r="D39">
        <f>Sources!E39</f>
        <v/>
      </c>
      <c r="E39">
        <f>Sources!F39</f>
        <v/>
      </c>
      <c r="F39">
        <f>Sources!H39</f>
        <v/>
      </c>
      <c r="G39">
        <f>IF(ABS(F39-ROUND(F39,0))&lt;0.001,1,0)</f>
        <v/>
      </c>
      <c r="H39">
        <f>IF(G39=1,F39,CEILING(F39,1))</f>
        <v/>
      </c>
      <c r="I39">
        <f>IF(G39=1,0,(H39-F39)*E39)</f>
        <v/>
      </c>
      <c r="J39">
        <f>E39*F39</f>
        <v/>
      </c>
    </row>
    <row r="40">
      <c r="A40">
        <f>Sources!A40</f>
        <v/>
      </c>
      <c r="B40">
        <f>Sources!B40</f>
        <v/>
      </c>
      <c r="C40">
        <f>Sources!D40</f>
        <v/>
      </c>
      <c r="D40">
        <f>Sources!E40</f>
        <v/>
      </c>
      <c r="E40">
        <f>Sources!F40</f>
        <v/>
      </c>
      <c r="F40">
        <f>Sources!H40</f>
        <v/>
      </c>
      <c r="G40">
        <f>IF(ABS(F40-ROUND(F40,0))&lt;0.001,1,0)</f>
        <v/>
      </c>
      <c r="H40">
        <f>IF(G40=1,F40,CEILING(F40,1))</f>
        <v/>
      </c>
      <c r="I40">
        <f>IF(G40=1,0,(H40-F40)*E40)</f>
        <v/>
      </c>
      <c r="J40">
        <f>E40*F40</f>
        <v/>
      </c>
    </row>
    <row r="41">
      <c r="A41">
        <f>Sources!A41</f>
        <v/>
      </c>
      <c r="B41">
        <f>Sources!B41</f>
        <v/>
      </c>
      <c r="C41">
        <f>Sources!D41</f>
        <v/>
      </c>
      <c r="D41">
        <f>Sources!E41</f>
        <v/>
      </c>
      <c r="E41">
        <f>Sources!F41</f>
        <v/>
      </c>
      <c r="F41">
        <f>Sources!H41</f>
        <v/>
      </c>
      <c r="G41">
        <f>IF(ABS(F41-ROUND(F41,0))&lt;0.001,1,0)</f>
        <v/>
      </c>
      <c r="H41">
        <f>IF(G41=1,F41,CEILING(F41,1))</f>
        <v/>
      </c>
      <c r="I41">
        <f>IF(G41=1,0,(H41-F41)*E41)</f>
        <v/>
      </c>
      <c r="J41">
        <f>E41*F41</f>
        <v/>
      </c>
    </row>
    <row r="42">
      <c r="A42">
        <f>Sources!A42</f>
        <v/>
      </c>
      <c r="B42">
        <f>Sources!B42</f>
        <v/>
      </c>
      <c r="C42">
        <f>Sources!D42</f>
        <v/>
      </c>
      <c r="D42">
        <f>Sources!E42</f>
        <v/>
      </c>
      <c r="E42">
        <f>Sources!F42</f>
        <v/>
      </c>
      <c r="F42">
        <f>Sources!H42</f>
        <v/>
      </c>
      <c r="G42">
        <f>IF(ABS(F42-ROUND(F42,0))&lt;0.001,1,0)</f>
        <v/>
      </c>
      <c r="H42">
        <f>IF(G42=1,F42,CEILING(F42,1))</f>
        <v/>
      </c>
      <c r="I42">
        <f>IF(G42=1,0,(H42-F42)*E42)</f>
        <v/>
      </c>
      <c r="J42">
        <f>E42*F42</f>
        <v/>
      </c>
    </row>
    <row r="43">
      <c r="A43">
        <f>Sources!A43</f>
        <v/>
      </c>
      <c r="B43">
        <f>Sources!B43</f>
        <v/>
      </c>
      <c r="C43">
        <f>Sources!D43</f>
        <v/>
      </c>
      <c r="D43">
        <f>Sources!E43</f>
        <v/>
      </c>
      <c r="E43">
        <f>Sources!F43</f>
        <v/>
      </c>
      <c r="F43">
        <f>Sources!H43</f>
        <v/>
      </c>
      <c r="G43">
        <f>IF(ABS(F43-ROUND(F43,0))&lt;0.001,1,0)</f>
        <v/>
      </c>
      <c r="H43">
        <f>IF(G43=1,F43,CEILING(F43,1))</f>
        <v/>
      </c>
      <c r="I43">
        <f>IF(G43=1,0,(H43-F43)*E43)</f>
        <v/>
      </c>
      <c r="J43">
        <f>E43*F43</f>
        <v/>
      </c>
    </row>
    <row r="44">
      <c r="A44">
        <f>Sources!A44</f>
        <v/>
      </c>
      <c r="B44">
        <f>Sources!B44</f>
        <v/>
      </c>
      <c r="C44">
        <f>Sources!D44</f>
        <v/>
      </c>
      <c r="D44">
        <f>Sources!E44</f>
        <v/>
      </c>
      <c r="E44">
        <f>Sources!F44</f>
        <v/>
      </c>
      <c r="F44">
        <f>Sources!H44</f>
        <v/>
      </c>
      <c r="G44">
        <f>IF(ABS(F44-ROUND(F44,0))&lt;0.001,1,0)</f>
        <v/>
      </c>
      <c r="H44">
        <f>IF(G44=1,F44,CEILING(F44,1))</f>
        <v/>
      </c>
      <c r="I44">
        <f>IF(G44=1,0,(H44-F44)*E44)</f>
        <v/>
      </c>
      <c r="J44">
        <f>E44*F44</f>
        <v/>
      </c>
    </row>
    <row r="45">
      <c r="A45">
        <f>Sources!A45</f>
        <v/>
      </c>
      <c r="B45">
        <f>Sources!B45</f>
        <v/>
      </c>
      <c r="C45">
        <f>Sources!D45</f>
        <v/>
      </c>
      <c r="D45">
        <f>Sources!E45</f>
        <v/>
      </c>
      <c r="E45">
        <f>Sources!F45</f>
        <v/>
      </c>
      <c r="F45">
        <f>Sources!H45</f>
        <v/>
      </c>
      <c r="G45">
        <f>IF(ABS(F45-ROUND(F45,0))&lt;0.001,1,0)</f>
        <v/>
      </c>
      <c r="H45">
        <f>IF(G45=1,F45,CEILING(F45,1))</f>
        <v/>
      </c>
      <c r="I45">
        <f>IF(G45=1,0,(H45-F45)*E45)</f>
        <v/>
      </c>
      <c r="J45">
        <f>E45*F45</f>
        <v/>
      </c>
    </row>
    <row r="46">
      <c r="A46">
        <f>Sources!A46</f>
        <v/>
      </c>
      <c r="B46">
        <f>Sources!B46</f>
        <v/>
      </c>
      <c r="C46">
        <f>Sources!D46</f>
        <v/>
      </c>
      <c r="D46">
        <f>Sources!E46</f>
        <v/>
      </c>
      <c r="E46">
        <f>Sources!F46</f>
        <v/>
      </c>
      <c r="F46">
        <f>Sources!H46</f>
        <v/>
      </c>
      <c r="G46">
        <f>IF(ABS(F46-ROUND(F46,0))&lt;0.001,1,0)</f>
        <v/>
      </c>
      <c r="H46">
        <f>IF(G46=1,F46,CEILING(F46,1))</f>
        <v/>
      </c>
      <c r="I46">
        <f>IF(G46=1,0,(H46-F46)*E46)</f>
        <v/>
      </c>
      <c r="J46">
        <f>E46*F46</f>
        <v/>
      </c>
    </row>
    <row r="47">
      <c r="A47">
        <f>Sources!A47</f>
        <v/>
      </c>
      <c r="B47">
        <f>Sources!B47</f>
        <v/>
      </c>
      <c r="C47">
        <f>Sources!D47</f>
        <v/>
      </c>
      <c r="D47">
        <f>Sources!E47</f>
        <v/>
      </c>
      <c r="E47">
        <f>Sources!F47</f>
        <v/>
      </c>
      <c r="F47">
        <f>Sources!H47</f>
        <v/>
      </c>
      <c r="G47">
        <f>IF(ABS(F47-ROUND(F47,0))&lt;0.001,1,0)</f>
        <v/>
      </c>
      <c r="H47">
        <f>IF(G47=1,F47,CEILING(F47,1))</f>
        <v/>
      </c>
      <c r="I47">
        <f>IF(G47=1,0,(H47-F47)*E47)</f>
        <v/>
      </c>
      <c r="J47">
        <f>E47*F47</f>
        <v/>
      </c>
    </row>
    <row r="48">
      <c r="A48">
        <f>Sources!A48</f>
        <v/>
      </c>
      <c r="B48">
        <f>Sources!B48</f>
        <v/>
      </c>
      <c r="C48">
        <f>Sources!D48</f>
        <v/>
      </c>
      <c r="D48">
        <f>Sources!E48</f>
        <v/>
      </c>
      <c r="E48">
        <f>Sources!F48</f>
        <v/>
      </c>
      <c r="F48">
        <f>Sources!H48</f>
        <v/>
      </c>
      <c r="G48">
        <f>IF(ABS(F48-ROUND(F48,0))&lt;0.001,1,0)</f>
        <v/>
      </c>
      <c r="H48">
        <f>IF(G48=1,F48,CEILING(F48,1))</f>
        <v/>
      </c>
      <c r="I48">
        <f>IF(G48=1,0,(H48-F48)*E48)</f>
        <v/>
      </c>
      <c r="J48">
        <f>E48*F48</f>
        <v/>
      </c>
    </row>
    <row r="49">
      <c r="A49">
        <f>Sources!A49</f>
        <v/>
      </c>
      <c r="B49">
        <f>Sources!B49</f>
        <v/>
      </c>
      <c r="C49">
        <f>Sources!D49</f>
        <v/>
      </c>
      <c r="D49">
        <f>Sources!E49</f>
        <v/>
      </c>
      <c r="E49">
        <f>Sources!F49</f>
        <v/>
      </c>
      <c r="F49">
        <f>Sources!H49</f>
        <v/>
      </c>
      <c r="G49">
        <f>IF(ABS(F49-ROUND(F49,0))&lt;0.001,1,0)</f>
        <v/>
      </c>
      <c r="H49">
        <f>IF(G49=1,F49,CEILING(F49,1))</f>
        <v/>
      </c>
      <c r="I49">
        <f>IF(G49=1,0,(H49-F49)*E49)</f>
        <v/>
      </c>
      <c r="J49">
        <f>E49*F49</f>
        <v/>
      </c>
    </row>
    <row r="50">
      <c r="A50">
        <f>Sources!A50</f>
        <v/>
      </c>
      <c r="B50">
        <f>Sources!B50</f>
        <v/>
      </c>
      <c r="C50">
        <f>Sources!D50</f>
        <v/>
      </c>
      <c r="D50">
        <f>Sources!E50</f>
        <v/>
      </c>
      <c r="E50">
        <f>Sources!F50</f>
        <v/>
      </c>
      <c r="F50">
        <f>Sources!H50</f>
        <v/>
      </c>
      <c r="G50">
        <f>IF(ABS(F50-ROUND(F50,0))&lt;0.001,1,0)</f>
        <v/>
      </c>
      <c r="H50">
        <f>IF(G50=1,F50,CEILING(F50,1))</f>
        <v/>
      </c>
      <c r="I50">
        <f>IF(G50=1,0,(H50-F50)*E50)</f>
        <v/>
      </c>
      <c r="J50">
        <f>E50*F50</f>
        <v/>
      </c>
    </row>
    <row r="51">
      <c r="A51">
        <f>Sources!A51</f>
        <v/>
      </c>
      <c r="B51">
        <f>Sources!B51</f>
        <v/>
      </c>
      <c r="C51">
        <f>Sources!D51</f>
        <v/>
      </c>
      <c r="D51">
        <f>Sources!E51</f>
        <v/>
      </c>
      <c r="E51">
        <f>Sources!F51</f>
        <v/>
      </c>
      <c r="F51">
        <f>Sources!H51</f>
        <v/>
      </c>
      <c r="G51">
        <f>IF(ABS(F51-ROUND(F51,0))&lt;0.001,1,0)</f>
        <v/>
      </c>
      <c r="H51">
        <f>IF(G51=1,F51,CEILING(F51,1))</f>
        <v/>
      </c>
      <c r="I51">
        <f>IF(G51=1,0,(H51-F51)*E51)</f>
        <v/>
      </c>
      <c r="J51">
        <f>E51*F51</f>
        <v/>
      </c>
    </row>
    <row r="52">
      <c r="A52">
        <f>Sources!A52</f>
        <v/>
      </c>
      <c r="B52">
        <f>Sources!B52</f>
        <v/>
      </c>
      <c r="C52">
        <f>Sources!D52</f>
        <v/>
      </c>
      <c r="D52">
        <f>Sources!E52</f>
        <v/>
      </c>
      <c r="E52">
        <f>Sources!F52</f>
        <v/>
      </c>
      <c r="F52">
        <f>Sources!H52</f>
        <v/>
      </c>
      <c r="G52">
        <f>IF(ABS(F52-ROUND(F52,0))&lt;0.001,1,0)</f>
        <v/>
      </c>
      <c r="H52">
        <f>IF(G52=1,F52,CEILING(F52,1))</f>
        <v/>
      </c>
      <c r="I52">
        <f>IF(G52=1,0,(H52-F52)*E52)</f>
        <v/>
      </c>
      <c r="J52">
        <f>E52*F52</f>
        <v/>
      </c>
    </row>
    <row r="53">
      <c r="A53">
        <f>Sources!A53</f>
        <v/>
      </c>
      <c r="B53">
        <f>Sources!B53</f>
        <v/>
      </c>
      <c r="C53">
        <f>Sources!D53</f>
        <v/>
      </c>
      <c r="D53">
        <f>Sources!E53</f>
        <v/>
      </c>
      <c r="E53">
        <f>Sources!F53</f>
        <v/>
      </c>
      <c r="F53">
        <f>Sources!H53</f>
        <v/>
      </c>
      <c r="G53">
        <f>IF(ABS(F53-ROUND(F53,0))&lt;0.001,1,0)</f>
        <v/>
      </c>
      <c r="H53">
        <f>IF(G53=1,F53,CEILING(F53,1))</f>
        <v/>
      </c>
      <c r="I53">
        <f>IF(G53=1,0,(H53-F53)*E53)</f>
        <v/>
      </c>
      <c r="J53">
        <f>E53*F53</f>
        <v/>
      </c>
    </row>
    <row r="54">
      <c r="A54">
        <f>Sources!A54</f>
        <v/>
      </c>
      <c r="B54">
        <f>Sources!B54</f>
        <v/>
      </c>
      <c r="C54">
        <f>Sources!D54</f>
        <v/>
      </c>
      <c r="D54">
        <f>Sources!E54</f>
        <v/>
      </c>
      <c r="E54">
        <f>Sources!F54</f>
        <v/>
      </c>
      <c r="F54">
        <f>Sources!H54</f>
        <v/>
      </c>
      <c r="G54">
        <f>IF(ABS(F54-ROUND(F54,0))&lt;0.001,1,0)</f>
        <v/>
      </c>
      <c r="H54">
        <f>IF(G54=1,F54,CEILING(F54,1))</f>
        <v/>
      </c>
      <c r="I54">
        <f>IF(G54=1,0,(H54-F54)*E54)</f>
        <v/>
      </c>
      <c r="J54">
        <f>E54*F54</f>
        <v/>
      </c>
    </row>
    <row r="55">
      <c r="A55">
        <f>Sources!A55</f>
        <v/>
      </c>
      <c r="B55">
        <f>Sources!B55</f>
        <v/>
      </c>
      <c r="C55">
        <f>Sources!D55</f>
        <v/>
      </c>
      <c r="D55">
        <f>Sources!E55</f>
        <v/>
      </c>
      <c r="E55">
        <f>Sources!F55</f>
        <v/>
      </c>
      <c r="F55">
        <f>Sources!H55</f>
        <v/>
      </c>
      <c r="G55">
        <f>IF(ABS(F55-ROUND(F55,0))&lt;0.001,1,0)</f>
        <v/>
      </c>
      <c r="H55">
        <f>IF(G55=1,F55,CEILING(F55,1))</f>
        <v/>
      </c>
      <c r="I55">
        <f>IF(G55=1,0,(H55-F55)*E55)</f>
        <v/>
      </c>
      <c r="J55">
        <f>E55*F55</f>
        <v/>
      </c>
    </row>
    <row r="56">
      <c r="A56">
        <f>Sources!A56</f>
        <v/>
      </c>
      <c r="B56">
        <f>Sources!B56</f>
        <v/>
      </c>
      <c r="C56">
        <f>Sources!D56</f>
        <v/>
      </c>
      <c r="D56">
        <f>Sources!E56</f>
        <v/>
      </c>
      <c r="E56">
        <f>Sources!F56</f>
        <v/>
      </c>
      <c r="F56">
        <f>Sources!H56</f>
        <v/>
      </c>
      <c r="G56">
        <f>IF(ABS(F56-ROUND(F56,0))&lt;0.001,1,0)</f>
        <v/>
      </c>
      <c r="H56">
        <f>IF(G56=1,F56,CEILING(F56,1))</f>
        <v/>
      </c>
      <c r="I56">
        <f>IF(G56=1,0,(H56-F56)*E56)</f>
        <v/>
      </c>
      <c r="J56">
        <f>E56*F56</f>
        <v/>
      </c>
    </row>
    <row r="57">
      <c r="A57">
        <f>Sources!A57</f>
        <v/>
      </c>
      <c r="B57">
        <f>Sources!B57</f>
        <v/>
      </c>
      <c r="C57">
        <f>Sources!D57</f>
        <v/>
      </c>
      <c r="D57">
        <f>Sources!E57</f>
        <v/>
      </c>
      <c r="E57">
        <f>Sources!F57</f>
        <v/>
      </c>
      <c r="F57">
        <f>Sources!H57</f>
        <v/>
      </c>
      <c r="G57">
        <f>IF(ABS(F57-ROUND(F57,0))&lt;0.001,1,0)</f>
        <v/>
      </c>
      <c r="H57">
        <f>IF(G57=1,F57,CEILING(F57,1))</f>
        <v/>
      </c>
      <c r="I57">
        <f>IF(G57=1,0,(H57-F57)*E57)</f>
        <v/>
      </c>
      <c r="J57">
        <f>E57*F57</f>
        <v/>
      </c>
    </row>
    <row r="58">
      <c r="A58">
        <f>Sources!A58</f>
        <v/>
      </c>
      <c r="B58">
        <f>Sources!B58</f>
        <v/>
      </c>
      <c r="C58">
        <f>Sources!D58</f>
        <v/>
      </c>
      <c r="D58">
        <f>Sources!E58</f>
        <v/>
      </c>
      <c r="E58">
        <f>Sources!F58</f>
        <v/>
      </c>
      <c r="F58">
        <f>Sources!H58</f>
        <v/>
      </c>
      <c r="G58">
        <f>IF(ABS(F58-ROUND(F58,0))&lt;0.001,1,0)</f>
        <v/>
      </c>
      <c r="H58">
        <f>IF(G58=1,F58,CEILING(F58,1))</f>
        <v/>
      </c>
      <c r="I58">
        <f>IF(G58=1,0,(H58-F58)*E58)</f>
        <v/>
      </c>
      <c r="J58">
        <f>E58*F58</f>
        <v/>
      </c>
    </row>
    <row r="59">
      <c r="A59">
        <f>Sources!A59</f>
        <v/>
      </c>
      <c r="B59">
        <f>Sources!B59</f>
        <v/>
      </c>
      <c r="C59">
        <f>Sources!D59</f>
        <v/>
      </c>
      <c r="D59">
        <f>Sources!E59</f>
        <v/>
      </c>
      <c r="E59">
        <f>Sources!F59</f>
        <v/>
      </c>
      <c r="F59">
        <f>Sources!H59</f>
        <v/>
      </c>
      <c r="G59">
        <f>IF(ABS(F59-ROUND(F59,0))&lt;0.001,1,0)</f>
        <v/>
      </c>
      <c r="H59">
        <f>IF(G59=1,F59,CEILING(F59,1))</f>
        <v/>
      </c>
      <c r="I59">
        <f>IF(G59=1,0,(H59-F59)*E59)</f>
        <v/>
      </c>
      <c r="J59">
        <f>E59*F59</f>
        <v/>
      </c>
    </row>
    <row r="60">
      <c r="A60">
        <f>Sources!A60</f>
        <v/>
      </c>
      <c r="B60">
        <f>Sources!B60</f>
        <v/>
      </c>
      <c r="C60">
        <f>Sources!D60</f>
        <v/>
      </c>
      <c r="D60">
        <f>Sources!E60</f>
        <v/>
      </c>
      <c r="E60">
        <f>Sources!F60</f>
        <v/>
      </c>
      <c r="F60">
        <f>Sources!H60</f>
        <v/>
      </c>
      <c r="G60">
        <f>IF(ABS(F60-ROUND(F60,0))&lt;0.001,1,0)</f>
        <v/>
      </c>
      <c r="H60">
        <f>IF(G60=1,F60,CEILING(F60,1))</f>
        <v/>
      </c>
      <c r="I60">
        <f>IF(G60=1,0,(H60-F60)*E60)</f>
        <v/>
      </c>
      <c r="J60">
        <f>E60*F60</f>
        <v/>
      </c>
    </row>
    <row r="61">
      <c r="A61">
        <f>Sources!A61</f>
        <v/>
      </c>
      <c r="B61">
        <f>Sources!B61</f>
        <v/>
      </c>
      <c r="C61">
        <f>Sources!D61</f>
        <v/>
      </c>
      <c r="D61">
        <f>Sources!E61</f>
        <v/>
      </c>
      <c r="E61">
        <f>Sources!F61</f>
        <v/>
      </c>
      <c r="F61">
        <f>Sources!H61</f>
        <v/>
      </c>
      <c r="G61">
        <f>IF(ABS(F61-ROUND(F61,0))&lt;0.001,1,0)</f>
        <v/>
      </c>
      <c r="H61">
        <f>IF(G61=1,F61,CEILING(F61,1))</f>
        <v/>
      </c>
      <c r="I61">
        <f>IF(G61=1,0,(H61-F61)*E61)</f>
        <v/>
      </c>
      <c r="J61">
        <f>E61*F61</f>
        <v/>
      </c>
    </row>
    <row r="62">
      <c r="A62">
        <f>Sources!A62</f>
        <v/>
      </c>
      <c r="B62">
        <f>Sources!B62</f>
        <v/>
      </c>
      <c r="C62">
        <f>Sources!D62</f>
        <v/>
      </c>
      <c r="D62">
        <f>Sources!E62</f>
        <v/>
      </c>
      <c r="E62">
        <f>Sources!F62</f>
        <v/>
      </c>
      <c r="F62">
        <f>Sources!H62</f>
        <v/>
      </c>
      <c r="G62">
        <f>IF(ABS(F62-ROUND(F62,0))&lt;0.001,1,0)</f>
        <v/>
      </c>
      <c r="H62">
        <f>IF(G62=1,F62,CEILING(F62,1))</f>
        <v/>
      </c>
      <c r="I62">
        <f>IF(G62=1,0,(H62-F62)*E62)</f>
        <v/>
      </c>
      <c r="J62">
        <f>E62*F62</f>
        <v/>
      </c>
    </row>
    <row r="63">
      <c r="A63">
        <f>Sources!A63</f>
        <v/>
      </c>
      <c r="B63">
        <f>Sources!B63</f>
        <v/>
      </c>
      <c r="C63">
        <f>Sources!D63</f>
        <v/>
      </c>
      <c r="D63">
        <f>Sources!E63</f>
        <v/>
      </c>
      <c r="E63">
        <f>Sources!F63</f>
        <v/>
      </c>
      <c r="F63">
        <f>Sources!H63</f>
        <v/>
      </c>
      <c r="G63">
        <f>IF(ABS(F63-ROUND(F63,0))&lt;0.001,1,0)</f>
        <v/>
      </c>
      <c r="H63">
        <f>IF(G63=1,F63,CEILING(F63,1))</f>
        <v/>
      </c>
      <c r="I63">
        <f>IF(G63=1,0,(H63-F63)*E63)</f>
        <v/>
      </c>
      <c r="J63">
        <f>E63*F63</f>
        <v/>
      </c>
    </row>
    <row r="64">
      <c r="A64">
        <f>Sources!A64</f>
        <v/>
      </c>
      <c r="B64">
        <f>Sources!B64</f>
        <v/>
      </c>
      <c r="C64">
        <f>Sources!D64</f>
        <v/>
      </c>
      <c r="D64">
        <f>Sources!E64</f>
        <v/>
      </c>
      <c r="E64">
        <f>Sources!F64</f>
        <v/>
      </c>
      <c r="F64">
        <f>Sources!H64</f>
        <v/>
      </c>
      <c r="G64">
        <f>IF(ABS(F64-ROUND(F64,0))&lt;0.001,1,0)</f>
        <v/>
      </c>
      <c r="H64">
        <f>IF(G64=1,F64,CEILING(F64,1))</f>
        <v/>
      </c>
      <c r="I64">
        <f>IF(G64=1,0,(H64-F64)*E64)</f>
        <v/>
      </c>
      <c r="J64">
        <f>E64*F64</f>
        <v/>
      </c>
    </row>
    <row r="65">
      <c r="A65">
        <f>Sources!A65</f>
        <v/>
      </c>
      <c r="B65">
        <f>Sources!B65</f>
        <v/>
      </c>
      <c r="C65">
        <f>Sources!D65</f>
        <v/>
      </c>
      <c r="D65">
        <f>Sources!E65</f>
        <v/>
      </c>
      <c r="E65">
        <f>Sources!F65</f>
        <v/>
      </c>
      <c r="F65">
        <f>Sources!H65</f>
        <v/>
      </c>
      <c r="G65">
        <f>IF(ABS(F65-ROUND(F65,0))&lt;0.001,1,0)</f>
        <v/>
      </c>
      <c r="H65">
        <f>IF(G65=1,F65,CEILING(F65,1))</f>
        <v/>
      </c>
      <c r="I65">
        <f>IF(G65=1,0,(H65-F65)*E65)</f>
        <v/>
      </c>
      <c r="J65">
        <f>E65*F65</f>
        <v/>
      </c>
    </row>
    <row r="66">
      <c r="A66">
        <f>Sources!A66</f>
        <v/>
      </c>
      <c r="B66">
        <f>Sources!B66</f>
        <v/>
      </c>
      <c r="C66">
        <f>Sources!D66</f>
        <v/>
      </c>
      <c r="D66">
        <f>Sources!E66</f>
        <v/>
      </c>
      <c r="E66">
        <f>Sources!F66</f>
        <v/>
      </c>
      <c r="F66">
        <f>Sources!H66</f>
        <v/>
      </c>
      <c r="G66">
        <f>IF(ABS(F66-ROUND(F66,0))&lt;0.001,1,0)</f>
        <v/>
      </c>
      <c r="H66">
        <f>IF(G66=1,F66,CEILING(F66,1))</f>
        <v/>
      </c>
      <c r="I66">
        <f>IF(G66=1,0,(H66-F66)*E66)</f>
        <v/>
      </c>
      <c r="J66">
        <f>E66*F66</f>
        <v/>
      </c>
    </row>
    <row r="67">
      <c r="A67">
        <f>Sources!A67</f>
        <v/>
      </c>
      <c r="B67">
        <f>Sources!B67</f>
        <v/>
      </c>
      <c r="C67">
        <f>Sources!D67</f>
        <v/>
      </c>
      <c r="D67">
        <f>Sources!E67</f>
        <v/>
      </c>
      <c r="E67">
        <f>Sources!F67</f>
        <v/>
      </c>
      <c r="F67">
        <f>Sources!H67</f>
        <v/>
      </c>
      <c r="G67">
        <f>IF(ABS(F67-ROUND(F67,0))&lt;0.001,1,0)</f>
        <v/>
      </c>
      <c r="H67">
        <f>IF(G67=1,F67,CEILING(F67,1))</f>
        <v/>
      </c>
      <c r="I67">
        <f>IF(G67=1,0,(H67-F67)*E67)</f>
        <v/>
      </c>
      <c r="J67">
        <f>E67*F67</f>
        <v/>
      </c>
    </row>
    <row r="68">
      <c r="A68">
        <f>Sources!A68</f>
        <v/>
      </c>
      <c r="B68">
        <f>Sources!B68</f>
        <v/>
      </c>
      <c r="C68">
        <f>Sources!D68</f>
        <v/>
      </c>
      <c r="D68">
        <f>Sources!E68</f>
        <v/>
      </c>
      <c r="E68">
        <f>Sources!F68</f>
        <v/>
      </c>
      <c r="F68">
        <f>Sources!H68</f>
        <v/>
      </c>
      <c r="G68">
        <f>IF(ABS(F68-ROUND(F68,0))&lt;0.001,1,0)</f>
        <v/>
      </c>
      <c r="H68">
        <f>IF(G68=1,F68,CEILING(F68,1))</f>
        <v/>
      </c>
      <c r="I68">
        <f>IF(G68=1,0,(H68-F68)*E68)</f>
        <v/>
      </c>
      <c r="J68">
        <f>E68*F68</f>
        <v/>
      </c>
    </row>
    <row r="69">
      <c r="A69">
        <f>Sources!A69</f>
        <v/>
      </c>
      <c r="B69">
        <f>Sources!B69</f>
        <v/>
      </c>
      <c r="C69">
        <f>Sources!D69</f>
        <v/>
      </c>
      <c r="D69">
        <f>Sources!E69</f>
        <v/>
      </c>
      <c r="E69">
        <f>Sources!F69</f>
        <v/>
      </c>
      <c r="F69">
        <f>Sources!H69</f>
        <v/>
      </c>
      <c r="G69">
        <f>IF(ABS(F69-ROUND(F69,0))&lt;0.001,1,0)</f>
        <v/>
      </c>
      <c r="H69">
        <f>IF(G69=1,F69,CEILING(F69,1))</f>
        <v/>
      </c>
      <c r="I69">
        <f>IF(G69=1,0,(H69-F69)*E69)</f>
        <v/>
      </c>
      <c r="J69">
        <f>E69*F69</f>
        <v/>
      </c>
    </row>
    <row r="70">
      <c r="A70">
        <f>Sources!A70</f>
        <v/>
      </c>
      <c r="B70">
        <f>Sources!B70</f>
        <v/>
      </c>
      <c r="C70">
        <f>Sources!D70</f>
        <v/>
      </c>
      <c r="D70">
        <f>Sources!E70</f>
        <v/>
      </c>
      <c r="E70">
        <f>Sources!F70</f>
        <v/>
      </c>
      <c r="F70">
        <f>Sources!H70</f>
        <v/>
      </c>
      <c r="G70">
        <f>IF(ABS(F70-ROUND(F70,0))&lt;0.001,1,0)</f>
        <v/>
      </c>
      <c r="H70">
        <f>IF(G70=1,F70,CEILING(F70,1))</f>
        <v/>
      </c>
      <c r="I70">
        <f>IF(G70=1,0,(H70-F70)*E70)</f>
        <v/>
      </c>
      <c r="J70">
        <f>E70*F70</f>
        <v/>
      </c>
    </row>
    <row r="71">
      <c r="A71">
        <f>Sources!A71</f>
        <v/>
      </c>
      <c r="B71">
        <f>Sources!B71</f>
        <v/>
      </c>
      <c r="C71">
        <f>Sources!D71</f>
        <v/>
      </c>
      <c r="D71">
        <f>Sources!E71</f>
        <v/>
      </c>
      <c r="E71">
        <f>Sources!F71</f>
        <v/>
      </c>
      <c r="F71">
        <f>Sources!H71</f>
        <v/>
      </c>
      <c r="G71">
        <f>IF(ABS(F71-ROUND(F71,0))&lt;0.001,1,0)</f>
        <v/>
      </c>
      <c r="H71">
        <f>IF(G71=1,F71,CEILING(F71,1))</f>
        <v/>
      </c>
      <c r="I71">
        <f>IF(G71=1,0,(H71-F71)*E71)</f>
        <v/>
      </c>
      <c r="J71">
        <f>E71*F71</f>
        <v/>
      </c>
    </row>
    <row r="72">
      <c r="A72">
        <f>Sources!A72</f>
        <v/>
      </c>
      <c r="B72">
        <f>Sources!B72</f>
        <v/>
      </c>
      <c r="C72">
        <f>Sources!D72</f>
        <v/>
      </c>
      <c r="D72">
        <f>Sources!E72</f>
        <v/>
      </c>
      <c r="E72">
        <f>Sources!F72</f>
        <v/>
      </c>
      <c r="F72">
        <f>Sources!H72</f>
        <v/>
      </c>
      <c r="G72">
        <f>IF(ABS(F72-ROUND(F72,0))&lt;0.001,1,0)</f>
        <v/>
      </c>
      <c r="H72">
        <f>IF(G72=1,F72,CEILING(F72,1))</f>
        <v/>
      </c>
      <c r="I72">
        <f>IF(G72=1,0,(H72-F72)*E72)</f>
        <v/>
      </c>
      <c r="J72">
        <f>E72*F72</f>
        <v/>
      </c>
    </row>
    <row r="73">
      <c r="A73">
        <f>Sources!A73</f>
        <v/>
      </c>
      <c r="B73">
        <f>Sources!B73</f>
        <v/>
      </c>
      <c r="C73">
        <f>Sources!D73</f>
        <v/>
      </c>
      <c r="D73">
        <f>Sources!E73</f>
        <v/>
      </c>
      <c r="E73">
        <f>Sources!F73</f>
        <v/>
      </c>
      <c r="F73">
        <f>Sources!H73</f>
        <v/>
      </c>
      <c r="G73">
        <f>IF(ABS(F73-ROUND(F73,0))&lt;0.001,1,0)</f>
        <v/>
      </c>
      <c r="H73">
        <f>IF(G73=1,F73,CEILING(F73,1))</f>
        <v/>
      </c>
      <c r="I73">
        <f>IF(G73=1,0,(H73-F73)*E73)</f>
        <v/>
      </c>
      <c r="J73">
        <f>E73*F73</f>
        <v/>
      </c>
    </row>
    <row r="74">
      <c r="A74">
        <f>Sources!A74</f>
        <v/>
      </c>
      <c r="B74">
        <f>Sources!B74</f>
        <v/>
      </c>
      <c r="C74">
        <f>Sources!D74</f>
        <v/>
      </c>
      <c r="D74">
        <f>Sources!E74</f>
        <v/>
      </c>
      <c r="E74">
        <f>Sources!F74</f>
        <v/>
      </c>
      <c r="F74">
        <f>Sources!H74</f>
        <v/>
      </c>
      <c r="G74">
        <f>IF(ABS(F74-ROUND(F74,0))&lt;0.001,1,0)</f>
        <v/>
      </c>
      <c r="H74">
        <f>IF(G74=1,F74,CEILING(F74,1))</f>
        <v/>
      </c>
      <c r="I74">
        <f>IF(G74=1,0,(H74-F74)*E74)</f>
        <v/>
      </c>
      <c r="J74">
        <f>E74*F74</f>
        <v/>
      </c>
    </row>
    <row r="75">
      <c r="A75">
        <f>Sources!A75</f>
        <v/>
      </c>
      <c r="B75">
        <f>Sources!B75</f>
        <v/>
      </c>
      <c r="C75">
        <f>Sources!D75</f>
        <v/>
      </c>
      <c r="D75">
        <f>Sources!E75</f>
        <v/>
      </c>
      <c r="E75">
        <f>Sources!F75</f>
        <v/>
      </c>
      <c r="F75">
        <f>Sources!H75</f>
        <v/>
      </c>
      <c r="G75">
        <f>IF(ABS(F75-ROUND(F75,0))&lt;0.001,1,0)</f>
        <v/>
      </c>
      <c r="H75">
        <f>IF(G75=1,F75,CEILING(F75,1))</f>
        <v/>
      </c>
      <c r="I75">
        <f>IF(G75=1,0,(H75-F75)*E75)</f>
        <v/>
      </c>
      <c r="J75">
        <f>E75*F75</f>
        <v/>
      </c>
    </row>
    <row r="76">
      <c r="A76">
        <f>Sources!A76</f>
        <v/>
      </c>
      <c r="B76">
        <f>Sources!B76</f>
        <v/>
      </c>
      <c r="C76">
        <f>Sources!D76</f>
        <v/>
      </c>
      <c r="D76">
        <f>Sources!E76</f>
        <v/>
      </c>
      <c r="E76">
        <f>Sources!F76</f>
        <v/>
      </c>
      <c r="F76">
        <f>Sources!H76</f>
        <v/>
      </c>
      <c r="G76">
        <f>IF(ABS(F76-ROUND(F76,0))&lt;0.001,1,0)</f>
        <v/>
      </c>
      <c r="H76">
        <f>IF(G76=1,F76,CEILING(F76,1))</f>
        <v/>
      </c>
      <c r="I76">
        <f>IF(G76=1,0,(H76-F76)*E76)</f>
        <v/>
      </c>
      <c r="J76">
        <f>E76*F76</f>
        <v/>
      </c>
    </row>
    <row r="77">
      <c r="A77">
        <f>Sources!A77</f>
        <v/>
      </c>
      <c r="B77">
        <f>Sources!B77</f>
        <v/>
      </c>
      <c r="C77">
        <f>Sources!D77</f>
        <v/>
      </c>
      <c r="D77">
        <f>Sources!E77</f>
        <v/>
      </c>
      <c r="E77">
        <f>Sources!F77</f>
        <v/>
      </c>
      <c r="F77">
        <f>Sources!H77</f>
        <v/>
      </c>
      <c r="G77">
        <f>IF(ABS(F77-ROUND(F77,0))&lt;0.001,1,0)</f>
        <v/>
      </c>
      <c r="H77">
        <f>IF(G77=1,F77,CEILING(F77,1))</f>
        <v/>
      </c>
      <c r="I77">
        <f>IF(G77=1,0,(H77-F77)*E77)</f>
        <v/>
      </c>
      <c r="J77">
        <f>E77*F77</f>
        <v/>
      </c>
    </row>
    <row r="78">
      <c r="A78">
        <f>Sources!A78</f>
        <v/>
      </c>
      <c r="B78">
        <f>Sources!B78</f>
        <v/>
      </c>
      <c r="C78">
        <f>Sources!D78</f>
        <v/>
      </c>
      <c r="D78">
        <f>Sources!E78</f>
        <v/>
      </c>
      <c r="E78">
        <f>Sources!F78</f>
        <v/>
      </c>
      <c r="F78">
        <f>Sources!H78</f>
        <v/>
      </c>
      <c r="G78">
        <f>IF(ABS(F78-ROUND(F78,0))&lt;0.001,1,0)</f>
        <v/>
      </c>
      <c r="H78">
        <f>IF(G78=1,F78,CEILING(F78,1))</f>
        <v/>
      </c>
      <c r="I78">
        <f>IF(G78=1,0,(H78-F78)*E78)</f>
        <v/>
      </c>
      <c r="J78">
        <f>E78*F78</f>
        <v/>
      </c>
    </row>
    <row r="79">
      <c r="A79">
        <f>Sources!A79</f>
        <v/>
      </c>
      <c r="B79">
        <f>Sources!B79</f>
        <v/>
      </c>
      <c r="C79">
        <f>Sources!D79</f>
        <v/>
      </c>
      <c r="D79">
        <f>Sources!E79</f>
        <v/>
      </c>
      <c r="E79">
        <f>Sources!F79</f>
        <v/>
      </c>
      <c r="F79">
        <f>Sources!H79</f>
        <v/>
      </c>
      <c r="G79">
        <f>IF(ABS(F79-ROUND(F79,0))&lt;0.001,1,0)</f>
        <v/>
      </c>
      <c r="H79">
        <f>IF(G79=1,F79,CEILING(F79,1))</f>
        <v/>
      </c>
      <c r="I79">
        <f>IF(G79=1,0,(H79-F79)*E79)</f>
        <v/>
      </c>
      <c r="J79">
        <f>E79*F79</f>
        <v/>
      </c>
    </row>
    <row r="80">
      <c r="A80">
        <f>Sources!A80</f>
        <v/>
      </c>
      <c r="B80">
        <f>Sources!B80</f>
        <v/>
      </c>
      <c r="C80">
        <f>Sources!D80</f>
        <v/>
      </c>
      <c r="D80">
        <f>Sources!E80</f>
        <v/>
      </c>
      <c r="E80">
        <f>Sources!F80</f>
        <v/>
      </c>
      <c r="F80">
        <f>Sources!H80</f>
        <v/>
      </c>
      <c r="G80">
        <f>IF(ABS(F80-ROUND(F80,0))&lt;0.001,1,0)</f>
        <v/>
      </c>
      <c r="H80">
        <f>IF(G80=1,F80,CEILING(F80,1))</f>
        <v/>
      </c>
      <c r="I80">
        <f>IF(G80=1,0,(H80-F80)*E80)</f>
        <v/>
      </c>
      <c r="J80">
        <f>E80*F80</f>
        <v/>
      </c>
    </row>
    <row r="81">
      <c r="A81">
        <f>Sources!A81</f>
        <v/>
      </c>
      <c r="B81">
        <f>Sources!B81</f>
        <v/>
      </c>
      <c r="C81">
        <f>Sources!D81</f>
        <v/>
      </c>
      <c r="D81">
        <f>Sources!E81</f>
        <v/>
      </c>
      <c r="E81">
        <f>Sources!F81</f>
        <v/>
      </c>
      <c r="F81">
        <f>Sources!H81</f>
        <v/>
      </c>
      <c r="G81">
        <f>IF(ABS(F81-ROUND(F81,0))&lt;0.001,1,0)</f>
        <v/>
      </c>
      <c r="H81">
        <f>IF(G81=1,F81,CEILING(F81,1))</f>
        <v/>
      </c>
      <c r="I81">
        <f>IF(G81=1,0,(H81-F81)*E81)</f>
        <v/>
      </c>
      <c r="J81">
        <f>E81*F81</f>
        <v/>
      </c>
    </row>
    <row r="82">
      <c r="A82">
        <f>Sources!A82</f>
        <v/>
      </c>
      <c r="B82">
        <f>Sources!B82</f>
        <v/>
      </c>
      <c r="C82">
        <f>Sources!D82</f>
        <v/>
      </c>
      <c r="D82">
        <f>Sources!E82</f>
        <v/>
      </c>
      <c r="E82">
        <f>Sources!F82</f>
        <v/>
      </c>
      <c r="F82">
        <f>Sources!H82</f>
        <v/>
      </c>
      <c r="G82">
        <f>IF(ABS(F82-ROUND(F82,0))&lt;0.001,1,0)</f>
        <v/>
      </c>
      <c r="H82">
        <f>IF(G82=1,F82,CEILING(F82,1))</f>
        <v/>
      </c>
      <c r="I82">
        <f>IF(G82=1,0,(H82-F82)*E82)</f>
        <v/>
      </c>
      <c r="J82">
        <f>E82*F82</f>
        <v/>
      </c>
    </row>
    <row r="83">
      <c r="A83">
        <f>Sources!A83</f>
        <v/>
      </c>
      <c r="B83">
        <f>Sources!B83</f>
        <v/>
      </c>
      <c r="C83">
        <f>Sources!D83</f>
        <v/>
      </c>
      <c r="D83">
        <f>Sources!E83</f>
        <v/>
      </c>
      <c r="E83">
        <f>Sources!F83</f>
        <v/>
      </c>
      <c r="F83">
        <f>Sources!H83</f>
        <v/>
      </c>
      <c r="G83">
        <f>IF(ABS(F83-ROUND(F83,0))&lt;0.001,1,0)</f>
        <v/>
      </c>
      <c r="H83">
        <f>IF(G83=1,F83,CEILING(F83,1))</f>
        <v/>
      </c>
      <c r="I83">
        <f>IF(G83=1,0,(H83-F83)*E83)</f>
        <v/>
      </c>
      <c r="J83">
        <f>E83*F83</f>
        <v/>
      </c>
    </row>
    <row r="84">
      <c r="A84">
        <f>Sources!A84</f>
        <v/>
      </c>
      <c r="B84">
        <f>Sources!B84</f>
        <v/>
      </c>
      <c r="C84">
        <f>Sources!D84</f>
        <v/>
      </c>
      <c r="D84">
        <f>Sources!E84</f>
        <v/>
      </c>
      <c r="E84">
        <f>Sources!F84</f>
        <v/>
      </c>
      <c r="F84">
        <f>Sources!H84</f>
        <v/>
      </c>
      <c r="G84">
        <f>IF(ABS(F84-ROUND(F84,0))&lt;0.001,1,0)</f>
        <v/>
      </c>
      <c r="H84">
        <f>IF(G84=1,F84,CEILING(F84,1))</f>
        <v/>
      </c>
      <c r="I84">
        <f>IF(G84=1,0,(H84-F84)*E84)</f>
        <v/>
      </c>
      <c r="J84">
        <f>E84*F84</f>
        <v/>
      </c>
    </row>
    <row r="85">
      <c r="A85">
        <f>Sources!A85</f>
        <v/>
      </c>
      <c r="B85">
        <f>Sources!B85</f>
        <v/>
      </c>
      <c r="C85">
        <f>Sources!D85</f>
        <v/>
      </c>
      <c r="D85">
        <f>Sources!E85</f>
        <v/>
      </c>
      <c r="E85">
        <f>Sources!F85</f>
        <v/>
      </c>
      <c r="F85">
        <f>Sources!H85</f>
        <v/>
      </c>
      <c r="G85">
        <f>IF(ABS(F85-ROUND(F85,0))&lt;0.001,1,0)</f>
        <v/>
      </c>
      <c r="H85">
        <f>IF(G85=1,F85,CEILING(F85,1))</f>
        <v/>
      </c>
      <c r="I85">
        <f>IF(G85=1,0,(H85-F85)*E85)</f>
        <v/>
      </c>
      <c r="J85">
        <f>E85*F85</f>
        <v/>
      </c>
    </row>
    <row r="86">
      <c r="A86">
        <f>Sources!A86</f>
        <v/>
      </c>
      <c r="B86">
        <f>Sources!B86</f>
        <v/>
      </c>
      <c r="C86">
        <f>Sources!D86</f>
        <v/>
      </c>
      <c r="D86">
        <f>Sources!E86</f>
        <v/>
      </c>
      <c r="E86">
        <f>Sources!F86</f>
        <v/>
      </c>
      <c r="F86">
        <f>Sources!H86</f>
        <v/>
      </c>
      <c r="G86">
        <f>IF(ABS(F86-ROUND(F86,0))&lt;0.001,1,0)</f>
        <v/>
      </c>
      <c r="H86">
        <f>IF(G86=1,F86,CEILING(F86,1))</f>
        <v/>
      </c>
      <c r="I86">
        <f>IF(G86=1,0,(H86-F86)*E86)</f>
        <v/>
      </c>
      <c r="J86">
        <f>E86*F86</f>
        <v/>
      </c>
    </row>
    <row r="87">
      <c r="A87">
        <f>Sources!A87</f>
        <v/>
      </c>
      <c r="B87">
        <f>Sources!B87</f>
        <v/>
      </c>
      <c r="C87">
        <f>Sources!D87</f>
        <v/>
      </c>
      <c r="D87">
        <f>Sources!E87</f>
        <v/>
      </c>
      <c r="E87">
        <f>Sources!F87</f>
        <v/>
      </c>
      <c r="F87">
        <f>Sources!H87</f>
        <v/>
      </c>
      <c r="G87">
        <f>IF(ABS(F87-ROUND(F87,0))&lt;0.001,1,0)</f>
        <v/>
      </c>
      <c r="H87">
        <f>IF(G87=1,F87,CEILING(F87,1))</f>
        <v/>
      </c>
      <c r="I87">
        <f>IF(G87=1,0,(H87-F87)*E87)</f>
        <v/>
      </c>
      <c r="J87">
        <f>E87*F87</f>
        <v/>
      </c>
    </row>
    <row r="88">
      <c r="A88">
        <f>Sources!A88</f>
        <v/>
      </c>
      <c r="B88">
        <f>Sources!B88</f>
        <v/>
      </c>
      <c r="C88">
        <f>Sources!D88</f>
        <v/>
      </c>
      <c r="D88">
        <f>Sources!E88</f>
        <v/>
      </c>
      <c r="E88">
        <f>Sources!F88</f>
        <v/>
      </c>
      <c r="F88">
        <f>Sources!H88</f>
        <v/>
      </c>
      <c r="G88">
        <f>IF(ABS(F88-ROUND(F88,0))&lt;0.001,1,0)</f>
        <v/>
      </c>
      <c r="H88">
        <f>IF(G88=1,F88,CEILING(F88,1))</f>
        <v/>
      </c>
      <c r="I88">
        <f>IF(G88=1,0,(H88-F88)*E88)</f>
        <v/>
      </c>
      <c r="J88">
        <f>E88*F88</f>
        <v/>
      </c>
    </row>
    <row r="89">
      <c r="A89">
        <f>Sources!A89</f>
        <v/>
      </c>
      <c r="B89">
        <f>Sources!B89</f>
        <v/>
      </c>
      <c r="C89">
        <f>Sources!D89</f>
        <v/>
      </c>
      <c r="D89">
        <f>Sources!E89</f>
        <v/>
      </c>
      <c r="E89">
        <f>Sources!F89</f>
        <v/>
      </c>
      <c r="F89">
        <f>Sources!H89</f>
        <v/>
      </c>
      <c r="G89">
        <f>IF(ABS(F89-ROUND(F89,0))&lt;0.001,1,0)</f>
        <v/>
      </c>
      <c r="H89">
        <f>IF(G89=1,F89,CEILING(F89,1))</f>
        <v/>
      </c>
      <c r="I89">
        <f>IF(G89=1,0,(H89-F89)*E89)</f>
        <v/>
      </c>
      <c r="J89">
        <f>E89*F89</f>
        <v/>
      </c>
    </row>
    <row r="90">
      <c r="A90">
        <f>Sources!A90</f>
        <v/>
      </c>
      <c r="B90">
        <f>Sources!B90</f>
        <v/>
      </c>
      <c r="C90">
        <f>Sources!D90</f>
        <v/>
      </c>
      <c r="D90">
        <f>Sources!E90</f>
        <v/>
      </c>
      <c r="E90">
        <f>Sources!F90</f>
        <v/>
      </c>
      <c r="F90">
        <f>Sources!H90</f>
        <v/>
      </c>
      <c r="G90">
        <f>IF(ABS(F90-ROUND(F90,0))&lt;0.001,1,0)</f>
        <v/>
      </c>
      <c r="H90">
        <f>IF(G90=1,F90,CEILING(F90,1))</f>
        <v/>
      </c>
      <c r="I90">
        <f>IF(G90=1,0,(H90-F90)*E90)</f>
        <v/>
      </c>
      <c r="J90">
        <f>E90*F90</f>
        <v/>
      </c>
    </row>
    <row r="91">
      <c r="A91">
        <f>Sources!A91</f>
        <v/>
      </c>
      <c r="B91">
        <f>Sources!B91</f>
        <v/>
      </c>
      <c r="C91">
        <f>Sources!D91</f>
        <v/>
      </c>
      <c r="D91">
        <f>Sources!E91</f>
        <v/>
      </c>
      <c r="E91">
        <f>Sources!F91</f>
        <v/>
      </c>
      <c r="F91">
        <f>Sources!H91</f>
        <v/>
      </c>
      <c r="G91">
        <f>IF(ABS(F91-ROUND(F91,0))&lt;0.001,1,0)</f>
        <v/>
      </c>
      <c r="H91">
        <f>IF(G91=1,F91,CEILING(F91,1))</f>
        <v/>
      </c>
      <c r="I91">
        <f>IF(G91=1,0,(H91-F91)*E91)</f>
        <v/>
      </c>
      <c r="J91">
        <f>E91*F91</f>
        <v/>
      </c>
    </row>
    <row r="92">
      <c r="A92">
        <f>Sources!A92</f>
        <v/>
      </c>
      <c r="B92">
        <f>Sources!B92</f>
        <v/>
      </c>
      <c r="C92">
        <f>Sources!D92</f>
        <v/>
      </c>
      <c r="D92">
        <f>Sources!E92</f>
        <v/>
      </c>
      <c r="E92">
        <f>Sources!F92</f>
        <v/>
      </c>
      <c r="F92">
        <f>Sources!H92</f>
        <v/>
      </c>
      <c r="G92">
        <f>IF(ABS(F92-ROUND(F92,0))&lt;0.001,1,0)</f>
        <v/>
      </c>
      <c r="H92">
        <f>IF(G92=1,F92,CEILING(F92,1))</f>
        <v/>
      </c>
      <c r="I92">
        <f>IF(G92=1,0,(H92-F92)*E92)</f>
        <v/>
      </c>
      <c r="J92">
        <f>E92*F92</f>
        <v/>
      </c>
    </row>
    <row r="93">
      <c r="A93">
        <f>Sources!A93</f>
        <v/>
      </c>
      <c r="B93">
        <f>Sources!B93</f>
        <v/>
      </c>
      <c r="C93">
        <f>Sources!D93</f>
        <v/>
      </c>
      <c r="D93">
        <f>Sources!E93</f>
        <v/>
      </c>
      <c r="E93">
        <f>Sources!F93</f>
        <v/>
      </c>
      <c r="F93">
        <f>Sources!H93</f>
        <v/>
      </c>
      <c r="G93">
        <f>IF(ABS(F93-ROUND(F93,0))&lt;0.001,1,0)</f>
        <v/>
      </c>
      <c r="H93">
        <f>IF(G93=1,F93,CEILING(F93,1))</f>
        <v/>
      </c>
      <c r="I93">
        <f>IF(G93=1,0,(H93-F93)*E93)</f>
        <v/>
      </c>
      <c r="J93">
        <f>E93*F93</f>
        <v/>
      </c>
    </row>
    <row r="94">
      <c r="A94">
        <f>Sources!A94</f>
        <v/>
      </c>
      <c r="B94">
        <f>Sources!B94</f>
        <v/>
      </c>
      <c r="C94">
        <f>Sources!D94</f>
        <v/>
      </c>
      <c r="D94">
        <f>Sources!E94</f>
        <v/>
      </c>
      <c r="E94">
        <f>Sources!F94</f>
        <v/>
      </c>
      <c r="F94">
        <f>Sources!H94</f>
        <v/>
      </c>
      <c r="G94">
        <f>IF(ABS(F94-ROUND(F94,0))&lt;0.001,1,0)</f>
        <v/>
      </c>
      <c r="H94">
        <f>IF(G94=1,F94,CEILING(F94,1))</f>
        <v/>
      </c>
      <c r="I94">
        <f>IF(G94=1,0,(H94-F94)*E94)</f>
        <v/>
      </c>
      <c r="J94">
        <f>E94*F94</f>
        <v/>
      </c>
    </row>
    <row r="95">
      <c r="A95">
        <f>Sources!A95</f>
        <v/>
      </c>
      <c r="B95">
        <f>Sources!B95</f>
        <v/>
      </c>
      <c r="C95">
        <f>Sources!D95</f>
        <v/>
      </c>
      <c r="D95">
        <f>Sources!E95</f>
        <v/>
      </c>
      <c r="E95">
        <f>Sources!F95</f>
        <v/>
      </c>
      <c r="F95">
        <f>Sources!H95</f>
        <v/>
      </c>
      <c r="G95">
        <f>IF(ABS(F95-ROUND(F95,0))&lt;0.001,1,0)</f>
        <v/>
      </c>
      <c r="H95">
        <f>IF(G95=1,F95,CEILING(F95,1))</f>
        <v/>
      </c>
      <c r="I95">
        <f>IF(G95=1,0,(H95-F95)*E95)</f>
        <v/>
      </c>
      <c r="J95">
        <f>E95*F95</f>
        <v/>
      </c>
    </row>
    <row r="96">
      <c r="A96">
        <f>Sources!A96</f>
        <v/>
      </c>
      <c r="B96">
        <f>Sources!B96</f>
        <v/>
      </c>
      <c r="C96">
        <f>Sources!D96</f>
        <v/>
      </c>
      <c r="D96">
        <f>Sources!E96</f>
        <v/>
      </c>
      <c r="E96">
        <f>Sources!F96</f>
        <v/>
      </c>
      <c r="F96">
        <f>Sources!H96</f>
        <v/>
      </c>
      <c r="G96">
        <f>IF(ABS(F96-ROUND(F96,0))&lt;0.001,1,0)</f>
        <v/>
      </c>
      <c r="H96">
        <f>IF(G96=1,F96,CEILING(F96,1))</f>
        <v/>
      </c>
      <c r="I96">
        <f>IF(G96=1,0,(H96-F96)*E96)</f>
        <v/>
      </c>
      <c r="J96">
        <f>E96*F96</f>
        <v/>
      </c>
    </row>
    <row r="97">
      <c r="A97">
        <f>Sources!A97</f>
        <v/>
      </c>
      <c r="B97">
        <f>Sources!B97</f>
        <v/>
      </c>
      <c r="C97">
        <f>Sources!D97</f>
        <v/>
      </c>
      <c r="D97">
        <f>Sources!E97</f>
        <v/>
      </c>
      <c r="E97">
        <f>Sources!F97</f>
        <v/>
      </c>
      <c r="F97">
        <f>Sources!H97</f>
        <v/>
      </c>
      <c r="G97">
        <f>IF(ABS(F97-ROUND(F97,0))&lt;0.001,1,0)</f>
        <v/>
      </c>
      <c r="H97">
        <f>IF(G97=1,F97,CEILING(F97,1))</f>
        <v/>
      </c>
      <c r="I97">
        <f>IF(G97=1,0,(H97-F97)*E97)</f>
        <v/>
      </c>
      <c r="J97">
        <f>E97*F97</f>
        <v/>
      </c>
    </row>
    <row r="98">
      <c r="A98">
        <f>Sources!A98</f>
        <v/>
      </c>
      <c r="B98">
        <f>Sources!B98</f>
        <v/>
      </c>
      <c r="C98">
        <f>Sources!D98</f>
        <v/>
      </c>
      <c r="D98">
        <f>Sources!E98</f>
        <v/>
      </c>
      <c r="E98">
        <f>Sources!F98</f>
        <v/>
      </c>
      <c r="F98">
        <f>Sources!H98</f>
        <v/>
      </c>
      <c r="G98">
        <f>IF(ABS(F98-ROUND(F98,0))&lt;0.001,1,0)</f>
        <v/>
      </c>
      <c r="H98">
        <f>IF(G98=1,F98,CEILING(F98,1))</f>
        <v/>
      </c>
      <c r="I98">
        <f>IF(G98=1,0,(H98-F98)*E98)</f>
        <v/>
      </c>
      <c r="J98">
        <f>E98*F98</f>
        <v/>
      </c>
    </row>
    <row r="99">
      <c r="A99">
        <f>Sources!A99</f>
        <v/>
      </c>
      <c r="B99">
        <f>Sources!B99</f>
        <v/>
      </c>
      <c r="C99">
        <f>Sources!D99</f>
        <v/>
      </c>
      <c r="D99">
        <f>Sources!E99</f>
        <v/>
      </c>
      <c r="E99">
        <f>Sources!F99</f>
        <v/>
      </c>
      <c r="F99">
        <f>Sources!H99</f>
        <v/>
      </c>
      <c r="G99">
        <f>IF(ABS(F99-ROUND(F99,0))&lt;0.001,1,0)</f>
        <v/>
      </c>
      <c r="H99">
        <f>IF(G99=1,F99,CEILING(F99,1))</f>
        <v/>
      </c>
      <c r="I99">
        <f>IF(G99=1,0,(H99-F99)*E99)</f>
        <v/>
      </c>
      <c r="J99">
        <f>E99*F99</f>
        <v/>
      </c>
    </row>
    <row r="100">
      <c r="A100">
        <f>Sources!A100</f>
        <v/>
      </c>
      <c r="B100">
        <f>Sources!B100</f>
        <v/>
      </c>
      <c r="C100">
        <f>Sources!D100</f>
        <v/>
      </c>
      <c r="D100">
        <f>Sources!E100</f>
        <v/>
      </c>
      <c r="E100">
        <f>Sources!F100</f>
        <v/>
      </c>
      <c r="F100">
        <f>Sources!H100</f>
        <v/>
      </c>
      <c r="G100">
        <f>IF(ABS(F100-ROUND(F100,0))&lt;0.001,1,0)</f>
        <v/>
      </c>
      <c r="H100">
        <f>IF(G100=1,F100,CEILING(F100,1))</f>
        <v/>
      </c>
      <c r="I100">
        <f>IF(G100=1,0,(H100-F100)*E100)</f>
        <v/>
      </c>
      <c r="J100">
        <f>E100*F100</f>
        <v/>
      </c>
    </row>
    <row r="101">
      <c r="A101">
        <f>Sources!A101</f>
        <v/>
      </c>
      <c r="B101">
        <f>Sources!B101</f>
        <v/>
      </c>
      <c r="C101">
        <f>Sources!D101</f>
        <v/>
      </c>
      <c r="D101">
        <f>Sources!E101</f>
        <v/>
      </c>
      <c r="E101">
        <f>Sources!F101</f>
        <v/>
      </c>
      <c r="F101">
        <f>Sources!H101</f>
        <v/>
      </c>
      <c r="G101">
        <f>IF(ABS(F101-ROUND(F101,0))&lt;0.001,1,0)</f>
        <v/>
      </c>
      <c r="H101">
        <f>IF(G101=1,F101,CEILING(F101,1))</f>
        <v/>
      </c>
      <c r="I101">
        <f>IF(G101=1,0,(H101-F101)*E101)</f>
        <v/>
      </c>
      <c r="J101">
        <f>E101*F101</f>
        <v/>
      </c>
    </row>
    <row r="102">
      <c r="A102">
        <f>Sources!A102</f>
        <v/>
      </c>
      <c r="B102">
        <f>Sources!B102</f>
        <v/>
      </c>
      <c r="C102">
        <f>Sources!D102</f>
        <v/>
      </c>
      <c r="D102">
        <f>Sources!E102</f>
        <v/>
      </c>
      <c r="E102">
        <f>Sources!F102</f>
        <v/>
      </c>
      <c r="F102">
        <f>Sources!H102</f>
        <v/>
      </c>
      <c r="G102">
        <f>IF(ABS(F102-ROUND(F102,0))&lt;0.001,1,0)</f>
        <v/>
      </c>
      <c r="H102">
        <f>IF(G102=1,F102,CEILING(F102,1))</f>
        <v/>
      </c>
      <c r="I102">
        <f>IF(G102=1,0,(H102-F102)*E102)</f>
        <v/>
      </c>
      <c r="J102">
        <f>E102*F102</f>
        <v/>
      </c>
    </row>
    <row r="103">
      <c r="A103">
        <f>Sources!A103</f>
        <v/>
      </c>
      <c r="B103">
        <f>Sources!B103</f>
        <v/>
      </c>
      <c r="C103">
        <f>Sources!D103</f>
        <v/>
      </c>
      <c r="D103">
        <f>Sources!E103</f>
        <v/>
      </c>
      <c r="E103">
        <f>Sources!F103</f>
        <v/>
      </c>
      <c r="F103">
        <f>Sources!H103</f>
        <v/>
      </c>
      <c r="G103">
        <f>IF(ABS(F103-ROUND(F103,0))&lt;0.001,1,0)</f>
        <v/>
      </c>
      <c r="H103">
        <f>IF(G103=1,F103,CEILING(F103,1))</f>
        <v/>
      </c>
      <c r="I103">
        <f>IF(G103=1,0,(H103-F103)*E103)</f>
        <v/>
      </c>
      <c r="J103">
        <f>E103*F103</f>
        <v/>
      </c>
    </row>
    <row r="104">
      <c r="A104">
        <f>Sources!A104</f>
        <v/>
      </c>
      <c r="B104">
        <f>Sources!B104</f>
        <v/>
      </c>
      <c r="C104">
        <f>Sources!D104</f>
        <v/>
      </c>
      <c r="D104">
        <f>Sources!E104</f>
        <v/>
      </c>
      <c r="E104">
        <f>Sources!F104</f>
        <v/>
      </c>
      <c r="F104">
        <f>Sources!H104</f>
        <v/>
      </c>
      <c r="G104">
        <f>IF(ABS(F104-ROUND(F104,0))&lt;0.001,1,0)</f>
        <v/>
      </c>
      <c r="H104">
        <f>IF(G104=1,F104,CEILING(F104,1))</f>
        <v/>
      </c>
      <c r="I104">
        <f>IF(G104=1,0,(H104-F104)*E104)</f>
        <v/>
      </c>
      <c r="J104">
        <f>E104*F104</f>
        <v/>
      </c>
    </row>
    <row r="105">
      <c r="A105">
        <f>Sources!A105</f>
        <v/>
      </c>
      <c r="B105">
        <f>Sources!B105</f>
        <v/>
      </c>
      <c r="C105">
        <f>Sources!D105</f>
        <v/>
      </c>
      <c r="D105">
        <f>Sources!E105</f>
        <v/>
      </c>
      <c r="E105">
        <f>Sources!F105</f>
        <v/>
      </c>
      <c r="F105">
        <f>Sources!H105</f>
        <v/>
      </c>
      <c r="G105">
        <f>IF(ABS(F105-ROUND(F105,0))&lt;0.001,1,0)</f>
        <v/>
      </c>
      <c r="H105">
        <f>IF(G105=1,F105,CEILING(F105,1))</f>
        <v/>
      </c>
      <c r="I105">
        <f>IF(G105=1,0,(H105-F105)*E105)</f>
        <v/>
      </c>
      <c r="J105">
        <f>E105*F105</f>
        <v/>
      </c>
    </row>
    <row r="106">
      <c r="A106">
        <f>Sources!A106</f>
        <v/>
      </c>
      <c r="B106">
        <f>Sources!B106</f>
        <v/>
      </c>
      <c r="C106">
        <f>Sources!D106</f>
        <v/>
      </c>
      <c r="D106">
        <f>Sources!E106</f>
        <v/>
      </c>
      <c r="E106">
        <f>Sources!F106</f>
        <v/>
      </c>
      <c r="F106">
        <f>Sources!H106</f>
        <v/>
      </c>
      <c r="G106">
        <f>IF(ABS(F106-ROUND(F106,0))&lt;0.001,1,0)</f>
        <v/>
      </c>
      <c r="H106">
        <f>IF(G106=1,F106,CEILING(F106,1))</f>
        <v/>
      </c>
      <c r="I106">
        <f>IF(G106=1,0,(H106-F106)*E106)</f>
        <v/>
      </c>
      <c r="J106">
        <f>E106*F106</f>
        <v/>
      </c>
    </row>
    <row r="107">
      <c r="A107">
        <f>Sources!A107</f>
        <v/>
      </c>
      <c r="B107">
        <f>Sources!B107</f>
        <v/>
      </c>
      <c r="C107">
        <f>Sources!D107</f>
        <v/>
      </c>
      <c r="D107">
        <f>Sources!E107</f>
        <v/>
      </c>
      <c r="E107">
        <f>Sources!F107</f>
        <v/>
      </c>
      <c r="F107">
        <f>Sources!H107</f>
        <v/>
      </c>
      <c r="G107">
        <f>IF(ABS(F107-ROUND(F107,0))&lt;0.001,1,0)</f>
        <v/>
      </c>
      <c r="H107">
        <f>IF(G107=1,F107,CEILING(F107,1))</f>
        <v/>
      </c>
      <c r="I107">
        <f>IF(G107=1,0,(H107-F107)*E107)</f>
        <v/>
      </c>
      <c r="J107">
        <f>E107*F107</f>
        <v/>
      </c>
    </row>
    <row r="108">
      <c r="A108">
        <f>Sources!A108</f>
        <v/>
      </c>
      <c r="B108">
        <f>Sources!B108</f>
        <v/>
      </c>
      <c r="C108">
        <f>Sources!D108</f>
        <v/>
      </c>
      <c r="D108">
        <f>Sources!E108</f>
        <v/>
      </c>
      <c r="E108">
        <f>Sources!F108</f>
        <v/>
      </c>
      <c r="F108">
        <f>Sources!H108</f>
        <v/>
      </c>
      <c r="G108">
        <f>IF(ABS(F108-ROUND(F108,0))&lt;0.001,1,0)</f>
        <v/>
      </c>
      <c r="H108">
        <f>IF(G108=1,F108,CEILING(F108,1))</f>
        <v/>
      </c>
      <c r="I108">
        <f>IF(G108=1,0,(H108-F108)*E108)</f>
        <v/>
      </c>
      <c r="J108">
        <f>E108*F108</f>
        <v/>
      </c>
    </row>
    <row r="109">
      <c r="A109">
        <f>Sources!A109</f>
        <v/>
      </c>
      <c r="B109">
        <f>Sources!B109</f>
        <v/>
      </c>
      <c r="C109">
        <f>Sources!D109</f>
        <v/>
      </c>
      <c r="D109">
        <f>Sources!E109</f>
        <v/>
      </c>
      <c r="E109">
        <f>Sources!F109</f>
        <v/>
      </c>
      <c r="F109">
        <f>Sources!H109</f>
        <v/>
      </c>
      <c r="G109">
        <f>IF(ABS(F109-ROUND(F109,0))&lt;0.001,1,0)</f>
        <v/>
      </c>
      <c r="H109">
        <f>IF(G109=1,F109,CEILING(F109,1))</f>
        <v/>
      </c>
      <c r="I109">
        <f>IF(G109=1,0,(H109-F109)*E109)</f>
        <v/>
      </c>
      <c r="J109">
        <f>E109*F109</f>
        <v/>
      </c>
    </row>
    <row r="110">
      <c r="A110">
        <f>Sources!A110</f>
        <v/>
      </c>
      <c r="B110">
        <f>Sources!B110</f>
        <v/>
      </c>
      <c r="C110">
        <f>Sources!D110</f>
        <v/>
      </c>
      <c r="D110">
        <f>Sources!E110</f>
        <v/>
      </c>
      <c r="E110">
        <f>Sources!F110</f>
        <v/>
      </c>
      <c r="F110">
        <f>Sources!H110</f>
        <v/>
      </c>
      <c r="G110">
        <f>IF(ABS(F110-ROUND(F110,0))&lt;0.001,1,0)</f>
        <v/>
      </c>
      <c r="H110">
        <f>IF(G110=1,F110,CEILING(F110,1))</f>
        <v/>
      </c>
      <c r="I110">
        <f>IF(G110=1,0,(H110-F110)*E110)</f>
        <v/>
      </c>
      <c r="J110">
        <f>E110*F110</f>
        <v/>
      </c>
    </row>
    <row r="111">
      <c r="A111">
        <f>Sources!A111</f>
        <v/>
      </c>
      <c r="B111">
        <f>Sources!B111</f>
        <v/>
      </c>
      <c r="C111">
        <f>Sources!D111</f>
        <v/>
      </c>
      <c r="D111">
        <f>Sources!E111</f>
        <v/>
      </c>
      <c r="E111">
        <f>Sources!F111</f>
        <v/>
      </c>
      <c r="F111">
        <f>Sources!H111</f>
        <v/>
      </c>
      <c r="G111">
        <f>IF(ABS(F111-ROUND(F111,0))&lt;0.001,1,0)</f>
        <v/>
      </c>
      <c r="H111">
        <f>IF(G111=1,F111,CEILING(F111,1))</f>
        <v/>
      </c>
      <c r="I111">
        <f>IF(G111=1,0,(H111-F111)*E111)</f>
        <v/>
      </c>
      <c r="J111">
        <f>E111*F111</f>
        <v/>
      </c>
    </row>
    <row r="112">
      <c r="A112">
        <f>Sources!A112</f>
        <v/>
      </c>
      <c r="B112">
        <f>Sources!B112</f>
        <v/>
      </c>
      <c r="C112">
        <f>Sources!D112</f>
        <v/>
      </c>
      <c r="D112">
        <f>Sources!E112</f>
        <v/>
      </c>
      <c r="E112">
        <f>Sources!F112</f>
        <v/>
      </c>
      <c r="F112">
        <f>Sources!H112</f>
        <v/>
      </c>
      <c r="G112">
        <f>IF(ABS(F112-ROUND(F112,0))&lt;0.001,1,0)</f>
        <v/>
      </c>
      <c r="H112">
        <f>IF(G112=1,F112,CEILING(F112,1))</f>
        <v/>
      </c>
      <c r="I112">
        <f>IF(G112=1,0,(H112-F112)*E112)</f>
        <v/>
      </c>
      <c r="J112">
        <f>E112*F112</f>
        <v/>
      </c>
    </row>
    <row r="113">
      <c r="A113">
        <f>Sources!A113</f>
        <v/>
      </c>
      <c r="B113">
        <f>Sources!B113</f>
        <v/>
      </c>
      <c r="C113">
        <f>Sources!D113</f>
        <v/>
      </c>
      <c r="D113">
        <f>Sources!E113</f>
        <v/>
      </c>
      <c r="E113">
        <f>Sources!F113</f>
        <v/>
      </c>
      <c r="F113">
        <f>Sources!H113</f>
        <v/>
      </c>
      <c r="G113">
        <f>IF(ABS(F113-ROUND(F113,0))&lt;0.001,1,0)</f>
        <v/>
      </c>
      <c r="H113">
        <f>IF(G113=1,F113,CEILING(F113,1))</f>
        <v/>
      </c>
      <c r="I113">
        <f>IF(G113=1,0,(H113-F113)*E113)</f>
        <v/>
      </c>
      <c r="J113">
        <f>E113*F113</f>
        <v/>
      </c>
    </row>
    <row r="114">
      <c r="A114">
        <f>Sources!A114</f>
        <v/>
      </c>
      <c r="B114">
        <f>Sources!B114</f>
        <v/>
      </c>
      <c r="C114">
        <f>Sources!D114</f>
        <v/>
      </c>
      <c r="D114">
        <f>Sources!E114</f>
        <v/>
      </c>
      <c r="E114">
        <f>Sources!F114</f>
        <v/>
      </c>
      <c r="F114">
        <f>Sources!H114</f>
        <v/>
      </c>
      <c r="G114">
        <f>IF(ABS(F114-ROUND(F114,0))&lt;0.001,1,0)</f>
        <v/>
      </c>
      <c r="H114">
        <f>IF(G114=1,F114,CEILING(F114,1))</f>
        <v/>
      </c>
      <c r="I114">
        <f>IF(G114=1,0,(H114-F114)*E114)</f>
        <v/>
      </c>
      <c r="J114">
        <f>E114*F114</f>
        <v/>
      </c>
    </row>
    <row r="115">
      <c r="A115">
        <f>Sources!A115</f>
        <v/>
      </c>
      <c r="B115">
        <f>Sources!B115</f>
        <v/>
      </c>
      <c r="C115">
        <f>Sources!D115</f>
        <v/>
      </c>
      <c r="D115">
        <f>Sources!E115</f>
        <v/>
      </c>
      <c r="E115">
        <f>Sources!F115</f>
        <v/>
      </c>
      <c r="F115">
        <f>Sources!H115</f>
        <v/>
      </c>
      <c r="G115">
        <f>IF(ABS(F115-ROUND(F115,0))&lt;0.001,1,0)</f>
        <v/>
      </c>
      <c r="H115">
        <f>IF(G115=1,F115,CEILING(F115,1))</f>
        <v/>
      </c>
      <c r="I115">
        <f>IF(G115=1,0,(H115-F115)*E115)</f>
        <v/>
      </c>
      <c r="J115">
        <f>E115*F115</f>
        <v/>
      </c>
    </row>
    <row r="116">
      <c r="A116">
        <f>Sources!A116</f>
        <v/>
      </c>
      <c r="B116">
        <f>Sources!B116</f>
        <v/>
      </c>
      <c r="C116">
        <f>Sources!D116</f>
        <v/>
      </c>
      <c r="D116">
        <f>Sources!E116</f>
        <v/>
      </c>
      <c r="E116">
        <f>Sources!F116</f>
        <v/>
      </c>
      <c r="F116">
        <f>Sources!H116</f>
        <v/>
      </c>
      <c r="G116">
        <f>IF(ABS(F116-ROUND(F116,0))&lt;0.001,1,0)</f>
        <v/>
      </c>
      <c r="H116">
        <f>IF(G116=1,F116,CEILING(F116,1))</f>
        <v/>
      </c>
      <c r="I116">
        <f>IF(G116=1,0,(H116-F116)*E116)</f>
        <v/>
      </c>
      <c r="J116">
        <f>E116*F116</f>
        <v/>
      </c>
    </row>
    <row r="117">
      <c r="A117">
        <f>Sources!A117</f>
        <v/>
      </c>
      <c r="B117">
        <f>Sources!B117</f>
        <v/>
      </c>
      <c r="C117">
        <f>Sources!D117</f>
        <v/>
      </c>
      <c r="D117">
        <f>Sources!E117</f>
        <v/>
      </c>
      <c r="E117">
        <f>Sources!F117</f>
        <v/>
      </c>
      <c r="F117">
        <f>Sources!H117</f>
        <v/>
      </c>
      <c r="G117">
        <f>IF(ABS(F117-ROUND(F117,0))&lt;0.001,1,0)</f>
        <v/>
      </c>
      <c r="H117">
        <f>IF(G117=1,F117,CEILING(F117,1))</f>
        <v/>
      </c>
      <c r="I117">
        <f>IF(G117=1,0,(H117-F117)*E117)</f>
        <v/>
      </c>
      <c r="J117">
        <f>E117*F117</f>
        <v/>
      </c>
    </row>
    <row r="118">
      <c r="A118">
        <f>Sources!A118</f>
        <v/>
      </c>
      <c r="B118">
        <f>Sources!B118</f>
        <v/>
      </c>
      <c r="C118">
        <f>Sources!D118</f>
        <v/>
      </c>
      <c r="D118">
        <f>Sources!E118</f>
        <v/>
      </c>
      <c r="E118">
        <f>Sources!F118</f>
        <v/>
      </c>
      <c r="F118">
        <f>Sources!H118</f>
        <v/>
      </c>
      <c r="G118">
        <f>IF(ABS(F118-ROUND(F118,0))&lt;0.001,1,0)</f>
        <v/>
      </c>
      <c r="H118">
        <f>IF(G118=1,F118,CEILING(F118,1))</f>
        <v/>
      </c>
      <c r="I118">
        <f>IF(G118=1,0,(H118-F118)*E118)</f>
        <v/>
      </c>
      <c r="J118">
        <f>E118*F118</f>
        <v/>
      </c>
    </row>
    <row r="119">
      <c r="A119">
        <f>Sources!A119</f>
        <v/>
      </c>
      <c r="B119">
        <f>Sources!B119</f>
        <v/>
      </c>
      <c r="C119">
        <f>Sources!D119</f>
        <v/>
      </c>
      <c r="D119">
        <f>Sources!E119</f>
        <v/>
      </c>
      <c r="E119">
        <f>Sources!F119</f>
        <v/>
      </c>
      <c r="F119">
        <f>Sources!H119</f>
        <v/>
      </c>
      <c r="G119">
        <f>IF(ABS(F119-ROUND(F119,0))&lt;0.001,1,0)</f>
        <v/>
      </c>
      <c r="H119">
        <f>IF(G119=1,F119,CEILING(F119,1))</f>
        <v/>
      </c>
      <c r="I119">
        <f>IF(G119=1,0,(H119-F119)*E119)</f>
        <v/>
      </c>
      <c r="J119">
        <f>E119*F119</f>
        <v/>
      </c>
    </row>
    <row r="120">
      <c r="A120">
        <f>Sources!A120</f>
        <v/>
      </c>
      <c r="B120">
        <f>Sources!B120</f>
        <v/>
      </c>
      <c r="C120">
        <f>Sources!D120</f>
        <v/>
      </c>
      <c r="D120">
        <f>Sources!E120</f>
        <v/>
      </c>
      <c r="E120">
        <f>Sources!F120</f>
        <v/>
      </c>
      <c r="F120">
        <f>Sources!H120</f>
        <v/>
      </c>
      <c r="G120">
        <f>IF(ABS(F120-ROUND(F120,0))&lt;0.001,1,0)</f>
        <v/>
      </c>
      <c r="H120">
        <f>IF(G120=1,F120,CEILING(F120,1))</f>
        <v/>
      </c>
      <c r="I120">
        <f>IF(G120=1,0,(H120-F120)*E120)</f>
        <v/>
      </c>
      <c r="J120">
        <f>E120*F120</f>
        <v/>
      </c>
    </row>
    <row r="121">
      <c r="A121">
        <f>Sources!A121</f>
        <v/>
      </c>
      <c r="B121">
        <f>Sources!B121</f>
        <v/>
      </c>
      <c r="C121">
        <f>Sources!D121</f>
        <v/>
      </c>
      <c r="D121">
        <f>Sources!E121</f>
        <v/>
      </c>
      <c r="E121">
        <f>Sources!F121</f>
        <v/>
      </c>
      <c r="F121">
        <f>Sources!H121</f>
        <v/>
      </c>
      <c r="G121">
        <f>IF(ABS(F121-ROUND(F121,0))&lt;0.001,1,0)</f>
        <v/>
      </c>
      <c r="H121">
        <f>IF(G121=1,F121,CEILING(F121,1))</f>
        <v/>
      </c>
      <c r="I121">
        <f>IF(G121=1,0,(H121-F121)*E121)</f>
        <v/>
      </c>
      <c r="J121">
        <f>E121*F121</f>
        <v/>
      </c>
    </row>
    <row r="122">
      <c r="A122">
        <f>Sources!A122</f>
        <v/>
      </c>
      <c r="B122">
        <f>Sources!B122</f>
        <v/>
      </c>
      <c r="C122">
        <f>Sources!D122</f>
        <v/>
      </c>
      <c r="D122">
        <f>Sources!E122</f>
        <v/>
      </c>
      <c r="E122">
        <f>Sources!F122</f>
        <v/>
      </c>
      <c r="F122">
        <f>Sources!H122</f>
        <v/>
      </c>
      <c r="G122">
        <f>IF(ABS(F122-ROUND(F122,0))&lt;0.001,1,0)</f>
        <v/>
      </c>
      <c r="H122">
        <f>IF(G122=1,F122,CEILING(F122,1))</f>
        <v/>
      </c>
      <c r="I122">
        <f>IF(G122=1,0,(H122-F122)*E122)</f>
        <v/>
      </c>
      <c r="J122">
        <f>E122*F122</f>
        <v/>
      </c>
    </row>
    <row r="123">
      <c r="A123">
        <f>Sources!A123</f>
        <v/>
      </c>
      <c r="B123">
        <f>Sources!B123</f>
        <v/>
      </c>
      <c r="C123">
        <f>Sources!D123</f>
        <v/>
      </c>
      <c r="D123">
        <f>Sources!E123</f>
        <v/>
      </c>
      <c r="E123">
        <f>Sources!F123</f>
        <v/>
      </c>
      <c r="F123">
        <f>Sources!H123</f>
        <v/>
      </c>
      <c r="G123">
        <f>IF(ABS(F123-ROUND(F123,0))&lt;0.001,1,0)</f>
        <v/>
      </c>
      <c r="H123">
        <f>IF(G123=1,F123,CEILING(F123,1))</f>
        <v/>
      </c>
      <c r="I123">
        <f>IF(G123=1,0,(H123-F123)*E123)</f>
        <v/>
      </c>
      <c r="J123">
        <f>E123*F123</f>
        <v/>
      </c>
    </row>
    <row r="124">
      <c r="A124">
        <f>Sources!A124</f>
        <v/>
      </c>
      <c r="B124">
        <f>Sources!B124</f>
        <v/>
      </c>
      <c r="C124">
        <f>Sources!D124</f>
        <v/>
      </c>
      <c r="D124">
        <f>Sources!E124</f>
        <v/>
      </c>
      <c r="E124">
        <f>Sources!F124</f>
        <v/>
      </c>
      <c r="F124">
        <f>Sources!H124</f>
        <v/>
      </c>
      <c r="G124">
        <f>IF(ABS(F124-ROUND(F124,0))&lt;0.001,1,0)</f>
        <v/>
      </c>
      <c r="H124">
        <f>IF(G124=1,F124,CEILING(F124,1))</f>
        <v/>
      </c>
      <c r="I124">
        <f>IF(G124=1,0,(H124-F124)*E124)</f>
        <v/>
      </c>
      <c r="J124">
        <f>E124*F124</f>
        <v/>
      </c>
    </row>
    <row r="125">
      <c r="A125">
        <f>Sources!A125</f>
        <v/>
      </c>
      <c r="B125">
        <f>Sources!B125</f>
        <v/>
      </c>
      <c r="C125">
        <f>Sources!D125</f>
        <v/>
      </c>
      <c r="D125">
        <f>Sources!E125</f>
        <v/>
      </c>
      <c r="E125">
        <f>Sources!F125</f>
        <v/>
      </c>
      <c r="F125">
        <f>Sources!H125</f>
        <v/>
      </c>
      <c r="G125">
        <f>IF(ABS(F125-ROUND(F125,0))&lt;0.001,1,0)</f>
        <v/>
      </c>
      <c r="H125">
        <f>IF(G125=1,F125,CEILING(F125,1))</f>
        <v/>
      </c>
      <c r="I125">
        <f>IF(G125=1,0,(H125-F125)*E125)</f>
        <v/>
      </c>
      <c r="J125">
        <f>E125*F125</f>
        <v/>
      </c>
    </row>
    <row r="126">
      <c r="A126">
        <f>Sources!A126</f>
        <v/>
      </c>
      <c r="B126">
        <f>Sources!B126</f>
        <v/>
      </c>
      <c r="C126">
        <f>Sources!D126</f>
        <v/>
      </c>
      <c r="D126">
        <f>Sources!E126</f>
        <v/>
      </c>
      <c r="E126">
        <f>Sources!F126</f>
        <v/>
      </c>
      <c r="F126">
        <f>Sources!H126</f>
        <v/>
      </c>
      <c r="G126">
        <f>IF(ABS(F126-ROUND(F126,0))&lt;0.001,1,0)</f>
        <v/>
      </c>
      <c r="H126">
        <f>IF(G126=1,F126,CEILING(F126,1))</f>
        <v/>
      </c>
      <c r="I126">
        <f>IF(G126=1,0,(H126-F126)*E126)</f>
        <v/>
      </c>
      <c r="J126">
        <f>E126*F126</f>
        <v/>
      </c>
    </row>
    <row r="127">
      <c r="A127">
        <f>Sources!A127</f>
        <v/>
      </c>
      <c r="B127">
        <f>Sources!B127</f>
        <v/>
      </c>
      <c r="C127">
        <f>Sources!D127</f>
        <v/>
      </c>
      <c r="D127">
        <f>Sources!E127</f>
        <v/>
      </c>
      <c r="E127">
        <f>Sources!F127</f>
        <v/>
      </c>
      <c r="F127">
        <f>Sources!H127</f>
        <v/>
      </c>
      <c r="G127">
        <f>IF(ABS(F127-ROUND(F127,0))&lt;0.001,1,0)</f>
        <v/>
      </c>
      <c r="H127">
        <f>IF(G127=1,F127,CEILING(F127,1))</f>
        <v/>
      </c>
      <c r="I127">
        <f>IF(G127=1,0,(H127-F127)*E127)</f>
        <v/>
      </c>
      <c r="J127">
        <f>E127*F127</f>
        <v/>
      </c>
    </row>
    <row r="128">
      <c r="A128">
        <f>Sources!A128</f>
        <v/>
      </c>
      <c r="B128">
        <f>Sources!B128</f>
        <v/>
      </c>
      <c r="C128">
        <f>Sources!D128</f>
        <v/>
      </c>
      <c r="D128">
        <f>Sources!E128</f>
        <v/>
      </c>
      <c r="E128">
        <f>Sources!F128</f>
        <v/>
      </c>
      <c r="F128">
        <f>Sources!H128</f>
        <v/>
      </c>
      <c r="G128">
        <f>IF(ABS(F128-ROUND(F128,0))&lt;0.001,1,0)</f>
        <v/>
      </c>
      <c r="H128">
        <f>IF(G128=1,F128,CEILING(F128,1))</f>
        <v/>
      </c>
      <c r="I128">
        <f>IF(G128=1,0,(H128-F128)*E128)</f>
        <v/>
      </c>
      <c r="J128">
        <f>E128*F128</f>
        <v/>
      </c>
    </row>
    <row r="129">
      <c r="A129">
        <f>Sources!A129</f>
        <v/>
      </c>
      <c r="B129">
        <f>Sources!B129</f>
        <v/>
      </c>
      <c r="C129">
        <f>Sources!D129</f>
        <v/>
      </c>
      <c r="D129">
        <f>Sources!E129</f>
        <v/>
      </c>
      <c r="E129">
        <f>Sources!F129</f>
        <v/>
      </c>
      <c r="F129">
        <f>Sources!H129</f>
        <v/>
      </c>
      <c r="G129">
        <f>IF(ABS(F129-ROUND(F129,0))&lt;0.001,1,0)</f>
        <v/>
      </c>
      <c r="H129">
        <f>IF(G129=1,F129,CEILING(F129,1))</f>
        <v/>
      </c>
      <c r="I129">
        <f>IF(G129=1,0,(H129-F129)*E129)</f>
        <v/>
      </c>
      <c r="J129">
        <f>E129*F129</f>
        <v/>
      </c>
    </row>
    <row r="130">
      <c r="A130">
        <f>Sources!A130</f>
        <v/>
      </c>
      <c r="B130">
        <f>Sources!B130</f>
        <v/>
      </c>
      <c r="C130">
        <f>Sources!D130</f>
        <v/>
      </c>
      <c r="D130">
        <f>Sources!E130</f>
        <v/>
      </c>
      <c r="E130">
        <f>Sources!F130</f>
        <v/>
      </c>
      <c r="F130">
        <f>Sources!H130</f>
        <v/>
      </c>
      <c r="G130">
        <f>IF(ABS(F130-ROUND(F130,0))&lt;0.001,1,0)</f>
        <v/>
      </c>
      <c r="H130">
        <f>IF(G130=1,F130,CEILING(F130,1))</f>
        <v/>
      </c>
      <c r="I130">
        <f>IF(G130=1,0,(H130-F130)*E130)</f>
        <v/>
      </c>
      <c r="J130">
        <f>E130*F130</f>
        <v/>
      </c>
    </row>
    <row r="131">
      <c r="A131">
        <f>Sources!A131</f>
        <v/>
      </c>
      <c r="B131">
        <f>Sources!B131</f>
        <v/>
      </c>
      <c r="C131">
        <f>Sources!D131</f>
        <v/>
      </c>
      <c r="D131">
        <f>Sources!E131</f>
        <v/>
      </c>
      <c r="E131">
        <f>Sources!F131</f>
        <v/>
      </c>
      <c r="F131">
        <f>Sources!H131</f>
        <v/>
      </c>
      <c r="G131">
        <f>IF(ABS(F131-ROUND(F131,0))&lt;0.001,1,0)</f>
        <v/>
      </c>
      <c r="H131">
        <f>IF(G131=1,F131,CEILING(F131,1))</f>
        <v/>
      </c>
      <c r="I131">
        <f>IF(G131=1,0,(H131-F131)*E131)</f>
        <v/>
      </c>
      <c r="J131">
        <f>E131*F131</f>
        <v/>
      </c>
    </row>
    <row r="132">
      <c r="A132">
        <f>Sources!A132</f>
        <v/>
      </c>
      <c r="B132">
        <f>Sources!B132</f>
        <v/>
      </c>
      <c r="C132">
        <f>Sources!D132</f>
        <v/>
      </c>
      <c r="D132">
        <f>Sources!E132</f>
        <v/>
      </c>
      <c r="E132">
        <f>Sources!F132</f>
        <v/>
      </c>
      <c r="F132">
        <f>Sources!H132</f>
        <v/>
      </c>
      <c r="G132">
        <f>IF(ABS(F132-ROUND(F132,0))&lt;0.001,1,0)</f>
        <v/>
      </c>
      <c r="H132">
        <f>IF(G132=1,F132,CEILING(F132,1))</f>
        <v/>
      </c>
      <c r="I132">
        <f>IF(G132=1,0,(H132-F132)*E132)</f>
        <v/>
      </c>
      <c r="J132">
        <f>E132*F132</f>
        <v/>
      </c>
    </row>
    <row r="133">
      <c r="A133">
        <f>Sources!A133</f>
        <v/>
      </c>
      <c r="B133">
        <f>Sources!B133</f>
        <v/>
      </c>
      <c r="C133">
        <f>Sources!D133</f>
        <v/>
      </c>
      <c r="D133">
        <f>Sources!E133</f>
        <v/>
      </c>
      <c r="E133">
        <f>Sources!F133</f>
        <v/>
      </c>
      <c r="F133">
        <f>Sources!H133</f>
        <v/>
      </c>
      <c r="G133">
        <f>IF(ABS(F133-ROUND(F133,0))&lt;0.001,1,0)</f>
        <v/>
      </c>
      <c r="H133">
        <f>IF(G133=1,F133,CEILING(F133,1))</f>
        <v/>
      </c>
      <c r="I133">
        <f>IF(G133=1,0,(H133-F133)*E133)</f>
        <v/>
      </c>
      <c r="J133">
        <f>E133*F133</f>
        <v/>
      </c>
    </row>
    <row r="134">
      <c r="A134">
        <f>Sources!A134</f>
        <v/>
      </c>
      <c r="B134">
        <f>Sources!B134</f>
        <v/>
      </c>
      <c r="C134">
        <f>Sources!D134</f>
        <v/>
      </c>
      <c r="D134">
        <f>Sources!E134</f>
        <v/>
      </c>
      <c r="E134">
        <f>Sources!F134</f>
        <v/>
      </c>
      <c r="F134">
        <f>Sources!H134</f>
        <v/>
      </c>
      <c r="G134">
        <f>IF(ABS(F134-ROUND(F134,0))&lt;0.001,1,0)</f>
        <v/>
      </c>
      <c r="H134">
        <f>IF(G134=1,F134,CEILING(F134,1))</f>
        <v/>
      </c>
      <c r="I134">
        <f>IF(G134=1,0,(H134-F134)*E134)</f>
        <v/>
      </c>
      <c r="J134">
        <f>E134*F134</f>
        <v/>
      </c>
    </row>
    <row r="135">
      <c r="A135">
        <f>Sources!A135</f>
        <v/>
      </c>
      <c r="B135">
        <f>Sources!B135</f>
        <v/>
      </c>
      <c r="C135">
        <f>Sources!D135</f>
        <v/>
      </c>
      <c r="D135">
        <f>Sources!E135</f>
        <v/>
      </c>
      <c r="E135">
        <f>Sources!F135</f>
        <v/>
      </c>
      <c r="F135">
        <f>Sources!H135</f>
        <v/>
      </c>
      <c r="G135">
        <f>IF(ABS(F135-ROUND(F135,0))&lt;0.001,1,0)</f>
        <v/>
      </c>
      <c r="H135">
        <f>IF(G135=1,F135,CEILING(F135,1))</f>
        <v/>
      </c>
      <c r="I135">
        <f>IF(G135=1,0,(H135-F135)*E135)</f>
        <v/>
      </c>
      <c r="J135">
        <f>E135*F135</f>
        <v/>
      </c>
    </row>
    <row r="136">
      <c r="A136">
        <f>Sources!A136</f>
        <v/>
      </c>
      <c r="B136">
        <f>Sources!B136</f>
        <v/>
      </c>
      <c r="C136">
        <f>Sources!D136</f>
        <v/>
      </c>
      <c r="D136">
        <f>Sources!E136</f>
        <v/>
      </c>
      <c r="E136">
        <f>Sources!F136</f>
        <v/>
      </c>
      <c r="F136">
        <f>Sources!H136</f>
        <v/>
      </c>
      <c r="G136">
        <f>IF(ABS(F136-ROUND(F136,0))&lt;0.001,1,0)</f>
        <v/>
      </c>
      <c r="H136">
        <f>IF(G136=1,F136,CEILING(F136,1))</f>
        <v/>
      </c>
      <c r="I136">
        <f>IF(G136=1,0,(H136-F136)*E136)</f>
        <v/>
      </c>
      <c r="J136">
        <f>E136*F136</f>
        <v/>
      </c>
    </row>
    <row r="137">
      <c r="A137">
        <f>Sources!A137</f>
        <v/>
      </c>
      <c r="B137">
        <f>Sources!B137</f>
        <v/>
      </c>
      <c r="C137">
        <f>Sources!D137</f>
        <v/>
      </c>
      <c r="D137">
        <f>Sources!E137</f>
        <v/>
      </c>
      <c r="E137">
        <f>Sources!F137</f>
        <v/>
      </c>
      <c r="F137">
        <f>Sources!H137</f>
        <v/>
      </c>
      <c r="G137">
        <f>IF(ABS(F137-ROUND(F137,0))&lt;0.001,1,0)</f>
        <v/>
      </c>
      <c r="H137">
        <f>IF(G137=1,F137,CEILING(F137,1))</f>
        <v/>
      </c>
      <c r="I137">
        <f>IF(G137=1,0,(H137-F137)*E137)</f>
        <v/>
      </c>
      <c r="J137">
        <f>E137*F137</f>
        <v/>
      </c>
    </row>
    <row r="138">
      <c r="A138">
        <f>Sources!A138</f>
        <v/>
      </c>
      <c r="B138">
        <f>Sources!B138</f>
        <v/>
      </c>
      <c r="C138">
        <f>Sources!D138</f>
        <v/>
      </c>
      <c r="D138">
        <f>Sources!E138</f>
        <v/>
      </c>
      <c r="E138">
        <f>Sources!F138</f>
        <v/>
      </c>
      <c r="F138">
        <f>Sources!H138</f>
        <v/>
      </c>
      <c r="G138">
        <f>IF(ABS(F138-ROUND(F138,0))&lt;0.001,1,0)</f>
        <v/>
      </c>
      <c r="H138">
        <f>IF(G138=1,F138,CEILING(F138,1))</f>
        <v/>
      </c>
      <c r="I138">
        <f>IF(G138=1,0,(H138-F138)*E138)</f>
        <v/>
      </c>
      <c r="J138">
        <f>E138*F138</f>
        <v/>
      </c>
    </row>
    <row r="139">
      <c r="A139">
        <f>Sources!A139</f>
        <v/>
      </c>
      <c r="B139">
        <f>Sources!B139</f>
        <v/>
      </c>
      <c r="C139">
        <f>Sources!D139</f>
        <v/>
      </c>
      <c r="D139">
        <f>Sources!E139</f>
        <v/>
      </c>
      <c r="E139">
        <f>Sources!F139</f>
        <v/>
      </c>
      <c r="F139">
        <f>Sources!H139</f>
        <v/>
      </c>
      <c r="G139">
        <f>IF(ABS(F139-ROUND(F139,0))&lt;0.001,1,0)</f>
        <v/>
      </c>
      <c r="H139">
        <f>IF(G139=1,F139,CEILING(F139,1))</f>
        <v/>
      </c>
      <c r="I139">
        <f>IF(G139=1,0,(H139-F139)*E139)</f>
        <v/>
      </c>
      <c r="J139">
        <f>E139*F139</f>
        <v/>
      </c>
    </row>
    <row r="140">
      <c r="A140">
        <f>Sources!A140</f>
        <v/>
      </c>
      <c r="B140">
        <f>Sources!B140</f>
        <v/>
      </c>
      <c r="C140">
        <f>Sources!D140</f>
        <v/>
      </c>
      <c r="D140">
        <f>Sources!E140</f>
        <v/>
      </c>
      <c r="E140">
        <f>Sources!F140</f>
        <v/>
      </c>
      <c r="F140">
        <f>Sources!H140</f>
        <v/>
      </c>
      <c r="G140">
        <f>IF(ABS(F140-ROUND(F140,0))&lt;0.001,1,0)</f>
        <v/>
      </c>
      <c r="H140">
        <f>IF(G140=1,F140,CEILING(F140,1))</f>
        <v/>
      </c>
      <c r="I140">
        <f>IF(G140=1,0,(H140-F140)*E140)</f>
        <v/>
      </c>
      <c r="J140">
        <f>E140*F140</f>
        <v/>
      </c>
    </row>
    <row r="141">
      <c r="A141">
        <f>Sources!A141</f>
        <v/>
      </c>
      <c r="B141">
        <f>Sources!B141</f>
        <v/>
      </c>
      <c r="C141">
        <f>Sources!D141</f>
        <v/>
      </c>
      <c r="D141">
        <f>Sources!E141</f>
        <v/>
      </c>
      <c r="E141">
        <f>Sources!F141</f>
        <v/>
      </c>
      <c r="F141">
        <f>Sources!H141</f>
        <v/>
      </c>
      <c r="G141">
        <f>IF(ABS(F141-ROUND(F141,0))&lt;0.001,1,0)</f>
        <v/>
      </c>
      <c r="H141">
        <f>IF(G141=1,F141,CEILING(F141,1))</f>
        <v/>
      </c>
      <c r="I141">
        <f>IF(G141=1,0,(H141-F141)*E141)</f>
        <v/>
      </c>
      <c r="J141">
        <f>E141*F141</f>
        <v/>
      </c>
    </row>
    <row r="142">
      <c r="A142">
        <f>Sources!A142</f>
        <v/>
      </c>
      <c r="B142">
        <f>Sources!B142</f>
        <v/>
      </c>
      <c r="C142">
        <f>Sources!D142</f>
        <v/>
      </c>
      <c r="D142">
        <f>Sources!E142</f>
        <v/>
      </c>
      <c r="E142">
        <f>Sources!F142</f>
        <v/>
      </c>
      <c r="F142">
        <f>Sources!H142</f>
        <v/>
      </c>
      <c r="G142">
        <f>IF(ABS(F142-ROUND(F142,0))&lt;0.001,1,0)</f>
        <v/>
      </c>
      <c r="H142">
        <f>IF(G142=1,F142,CEILING(F142,1))</f>
        <v/>
      </c>
      <c r="I142">
        <f>IF(G142=1,0,(H142-F142)*E142)</f>
        <v/>
      </c>
      <c r="J142">
        <f>E142*F142</f>
        <v/>
      </c>
    </row>
    <row r="143">
      <c r="A143">
        <f>Sources!A143</f>
        <v/>
      </c>
      <c r="B143">
        <f>Sources!B143</f>
        <v/>
      </c>
      <c r="C143">
        <f>Sources!D143</f>
        <v/>
      </c>
      <c r="D143">
        <f>Sources!E143</f>
        <v/>
      </c>
      <c r="E143">
        <f>Sources!F143</f>
        <v/>
      </c>
      <c r="F143">
        <f>Sources!H143</f>
        <v/>
      </c>
      <c r="G143">
        <f>IF(ABS(F143-ROUND(F143,0))&lt;0.001,1,0)</f>
        <v/>
      </c>
      <c r="H143">
        <f>IF(G143=1,F143,CEILING(F143,1))</f>
        <v/>
      </c>
      <c r="I143">
        <f>IF(G143=1,0,(H143-F143)*E143)</f>
        <v/>
      </c>
      <c r="J143">
        <f>E143*F143</f>
        <v/>
      </c>
    </row>
    <row r="144">
      <c r="A144">
        <f>Sources!A144</f>
        <v/>
      </c>
      <c r="B144">
        <f>Sources!B144</f>
        <v/>
      </c>
      <c r="C144">
        <f>Sources!D144</f>
        <v/>
      </c>
      <c r="D144">
        <f>Sources!E144</f>
        <v/>
      </c>
      <c r="E144">
        <f>Sources!F144</f>
        <v/>
      </c>
      <c r="F144">
        <f>Sources!H144</f>
        <v/>
      </c>
      <c r="G144">
        <f>IF(ABS(F144-ROUND(F144,0))&lt;0.001,1,0)</f>
        <v/>
      </c>
      <c r="H144">
        <f>IF(G144=1,F144,CEILING(F144,1))</f>
        <v/>
      </c>
      <c r="I144">
        <f>IF(G144=1,0,(H144-F144)*E144)</f>
        <v/>
      </c>
      <c r="J144">
        <f>E144*F144</f>
        <v/>
      </c>
    </row>
    <row r="145">
      <c r="A145">
        <f>Sources!A145</f>
        <v/>
      </c>
      <c r="B145">
        <f>Sources!B145</f>
        <v/>
      </c>
      <c r="C145">
        <f>Sources!D145</f>
        <v/>
      </c>
      <c r="D145">
        <f>Sources!E145</f>
        <v/>
      </c>
      <c r="E145">
        <f>Sources!F145</f>
        <v/>
      </c>
      <c r="F145">
        <f>Sources!H145</f>
        <v/>
      </c>
      <c r="G145">
        <f>IF(ABS(F145-ROUND(F145,0))&lt;0.001,1,0)</f>
        <v/>
      </c>
      <c r="H145">
        <f>IF(G145=1,F145,CEILING(F145,1))</f>
        <v/>
      </c>
      <c r="I145">
        <f>IF(G145=1,0,(H145-F145)*E145)</f>
        <v/>
      </c>
      <c r="J145">
        <f>E145*F145</f>
        <v/>
      </c>
    </row>
    <row r="146">
      <c r="A146">
        <f>Sources!A146</f>
        <v/>
      </c>
      <c r="B146">
        <f>Sources!B146</f>
        <v/>
      </c>
      <c r="C146">
        <f>Sources!D146</f>
        <v/>
      </c>
      <c r="D146">
        <f>Sources!E146</f>
        <v/>
      </c>
      <c r="E146">
        <f>Sources!F146</f>
        <v/>
      </c>
      <c r="F146">
        <f>Sources!H146</f>
        <v/>
      </c>
      <c r="G146">
        <f>IF(ABS(F146-ROUND(F146,0))&lt;0.001,1,0)</f>
        <v/>
      </c>
      <c r="H146">
        <f>IF(G146=1,F146,CEILING(F146,1))</f>
        <v/>
      </c>
      <c r="I146">
        <f>IF(G146=1,0,(H146-F146)*E146)</f>
        <v/>
      </c>
      <c r="J146">
        <f>E146*F146</f>
        <v/>
      </c>
    </row>
    <row r="147">
      <c r="A147">
        <f>Sources!A147</f>
        <v/>
      </c>
      <c r="B147">
        <f>Sources!B147</f>
        <v/>
      </c>
      <c r="C147">
        <f>Sources!D147</f>
        <v/>
      </c>
      <c r="D147">
        <f>Sources!E147</f>
        <v/>
      </c>
      <c r="E147">
        <f>Sources!F147</f>
        <v/>
      </c>
      <c r="F147">
        <f>Sources!H147</f>
        <v/>
      </c>
      <c r="G147">
        <f>IF(ABS(F147-ROUND(F147,0))&lt;0.001,1,0)</f>
        <v/>
      </c>
      <c r="H147">
        <f>IF(G147=1,F147,CEILING(F147,1))</f>
        <v/>
      </c>
      <c r="I147">
        <f>IF(G147=1,0,(H147-F147)*E147)</f>
        <v/>
      </c>
      <c r="J147">
        <f>E147*F147</f>
        <v/>
      </c>
    </row>
    <row r="148">
      <c r="A148">
        <f>Sources!A148</f>
        <v/>
      </c>
      <c r="B148">
        <f>Sources!B148</f>
        <v/>
      </c>
      <c r="C148">
        <f>Sources!D148</f>
        <v/>
      </c>
      <c r="D148">
        <f>Sources!E148</f>
        <v/>
      </c>
      <c r="E148">
        <f>Sources!F148</f>
        <v/>
      </c>
      <c r="F148">
        <f>Sources!H148</f>
        <v/>
      </c>
      <c r="G148">
        <f>IF(ABS(F148-ROUND(F148,0))&lt;0.001,1,0)</f>
        <v/>
      </c>
      <c r="H148">
        <f>IF(G148=1,F148,CEILING(F148,1))</f>
        <v/>
      </c>
      <c r="I148">
        <f>IF(G148=1,0,(H148-F148)*E148)</f>
        <v/>
      </c>
      <c r="J148">
        <f>E148*F148</f>
        <v/>
      </c>
    </row>
    <row r="149">
      <c r="A149">
        <f>Sources!A149</f>
        <v/>
      </c>
      <c r="B149">
        <f>Sources!B149</f>
        <v/>
      </c>
      <c r="C149">
        <f>Sources!D149</f>
        <v/>
      </c>
      <c r="D149">
        <f>Sources!E149</f>
        <v/>
      </c>
      <c r="E149">
        <f>Sources!F149</f>
        <v/>
      </c>
      <c r="F149">
        <f>Sources!H149</f>
        <v/>
      </c>
      <c r="G149">
        <f>IF(ABS(F149-ROUND(F149,0))&lt;0.001,1,0)</f>
        <v/>
      </c>
      <c r="H149">
        <f>IF(G149=1,F149,CEILING(F149,1))</f>
        <v/>
      </c>
      <c r="I149">
        <f>IF(G149=1,0,(H149-F149)*E149)</f>
        <v/>
      </c>
      <c r="J149">
        <f>E149*F149</f>
        <v/>
      </c>
    </row>
    <row r="150">
      <c r="A150">
        <f>Sources!A150</f>
        <v/>
      </c>
      <c r="B150">
        <f>Sources!B150</f>
        <v/>
      </c>
      <c r="C150">
        <f>Sources!D150</f>
        <v/>
      </c>
      <c r="D150">
        <f>Sources!E150</f>
        <v/>
      </c>
      <c r="E150">
        <f>Sources!F150</f>
        <v/>
      </c>
      <c r="F150">
        <f>Sources!H150</f>
        <v/>
      </c>
      <c r="G150">
        <f>IF(ABS(F150-ROUND(F150,0))&lt;0.001,1,0)</f>
        <v/>
      </c>
      <c r="H150">
        <f>IF(G150=1,F150,CEILING(F150,1))</f>
        <v/>
      </c>
      <c r="I150">
        <f>IF(G150=1,0,(H150-F150)*E150)</f>
        <v/>
      </c>
      <c r="J150">
        <f>E150*F150</f>
        <v/>
      </c>
    </row>
    <row r="151">
      <c r="A151">
        <f>Sources!A151</f>
        <v/>
      </c>
      <c r="B151">
        <f>Sources!B151</f>
        <v/>
      </c>
      <c r="C151">
        <f>Sources!D151</f>
        <v/>
      </c>
      <c r="D151">
        <f>Sources!E151</f>
        <v/>
      </c>
      <c r="E151">
        <f>Sources!F151</f>
        <v/>
      </c>
      <c r="F151">
        <f>Sources!H151</f>
        <v/>
      </c>
      <c r="G151">
        <f>IF(ABS(F151-ROUND(F151,0))&lt;0.001,1,0)</f>
        <v/>
      </c>
      <c r="H151">
        <f>IF(G151=1,F151,CEILING(F151,1))</f>
        <v/>
      </c>
      <c r="I151">
        <f>IF(G151=1,0,(H151-F151)*E151)</f>
        <v/>
      </c>
      <c r="J151">
        <f>E151*F151</f>
        <v/>
      </c>
    </row>
    <row r="152">
      <c r="A152">
        <f>Sources!A152</f>
        <v/>
      </c>
      <c r="B152">
        <f>Sources!B152</f>
        <v/>
      </c>
      <c r="C152">
        <f>Sources!D152</f>
        <v/>
      </c>
      <c r="D152">
        <f>Sources!E152</f>
        <v/>
      </c>
      <c r="E152">
        <f>Sources!F152</f>
        <v/>
      </c>
      <c r="F152">
        <f>Sources!H152</f>
        <v/>
      </c>
      <c r="G152">
        <f>IF(ABS(F152-ROUND(F152,0))&lt;0.001,1,0)</f>
        <v/>
      </c>
      <c r="H152">
        <f>IF(G152=1,F152,CEILING(F152,1))</f>
        <v/>
      </c>
      <c r="I152">
        <f>IF(G152=1,0,(H152-F152)*E152)</f>
        <v/>
      </c>
      <c r="J152">
        <f>E152*F152</f>
        <v/>
      </c>
    </row>
    <row r="153">
      <c r="A153">
        <f>Sources!A153</f>
        <v/>
      </c>
      <c r="B153">
        <f>Sources!B153</f>
        <v/>
      </c>
      <c r="C153">
        <f>Sources!D153</f>
        <v/>
      </c>
      <c r="D153">
        <f>Sources!E153</f>
        <v/>
      </c>
      <c r="E153">
        <f>Sources!F153</f>
        <v/>
      </c>
      <c r="F153">
        <f>Sources!H153</f>
        <v/>
      </c>
      <c r="G153">
        <f>IF(ABS(F153-ROUND(F153,0))&lt;0.001,1,0)</f>
        <v/>
      </c>
      <c r="H153">
        <f>IF(G153=1,F153,CEILING(F153,1))</f>
        <v/>
      </c>
      <c r="I153">
        <f>IF(G153=1,0,(H153-F153)*E153)</f>
        <v/>
      </c>
      <c r="J153">
        <f>E153*F153</f>
        <v/>
      </c>
    </row>
    <row r="154">
      <c r="A154">
        <f>Sources!A154</f>
        <v/>
      </c>
      <c r="B154">
        <f>Sources!B154</f>
        <v/>
      </c>
      <c r="C154">
        <f>Sources!D154</f>
        <v/>
      </c>
      <c r="D154">
        <f>Sources!E154</f>
        <v/>
      </c>
      <c r="E154">
        <f>Sources!F154</f>
        <v/>
      </c>
      <c r="F154">
        <f>Sources!H154</f>
        <v/>
      </c>
      <c r="G154">
        <f>IF(ABS(F154-ROUND(F154,0))&lt;0.001,1,0)</f>
        <v/>
      </c>
      <c r="H154">
        <f>IF(G154=1,F154,CEILING(F154,1))</f>
        <v/>
      </c>
      <c r="I154">
        <f>IF(G154=1,0,(H154-F154)*E154)</f>
        <v/>
      </c>
      <c r="J154">
        <f>E154*F154</f>
        <v/>
      </c>
    </row>
    <row r="155">
      <c r="A155">
        <f>Sources!A155</f>
        <v/>
      </c>
      <c r="B155">
        <f>Sources!B155</f>
        <v/>
      </c>
      <c r="C155">
        <f>Sources!D155</f>
        <v/>
      </c>
      <c r="D155">
        <f>Sources!E155</f>
        <v/>
      </c>
      <c r="E155">
        <f>Sources!F155</f>
        <v/>
      </c>
      <c r="F155">
        <f>Sources!H155</f>
        <v/>
      </c>
      <c r="G155">
        <f>IF(ABS(F155-ROUND(F155,0))&lt;0.001,1,0)</f>
        <v/>
      </c>
      <c r="H155">
        <f>IF(G155=1,F155,CEILING(F155,1))</f>
        <v/>
      </c>
      <c r="I155">
        <f>IF(G155=1,0,(H155-F155)*E155)</f>
        <v/>
      </c>
      <c r="J155">
        <f>E155*F155</f>
        <v/>
      </c>
    </row>
    <row r="156">
      <c r="A156">
        <f>Sources!A156</f>
        <v/>
      </c>
      <c r="B156">
        <f>Sources!B156</f>
        <v/>
      </c>
      <c r="C156">
        <f>Sources!D156</f>
        <v/>
      </c>
      <c r="D156">
        <f>Sources!E156</f>
        <v/>
      </c>
      <c r="E156">
        <f>Sources!F156</f>
        <v/>
      </c>
      <c r="F156">
        <f>Sources!H156</f>
        <v/>
      </c>
      <c r="G156">
        <f>IF(ABS(F156-ROUND(F156,0))&lt;0.001,1,0)</f>
        <v/>
      </c>
      <c r="H156">
        <f>IF(G156=1,F156,CEILING(F156,1))</f>
        <v/>
      </c>
      <c r="I156">
        <f>IF(G156=1,0,(H156-F156)*E156)</f>
        <v/>
      </c>
      <c r="J156">
        <f>E156*F156</f>
        <v/>
      </c>
    </row>
    <row r="157">
      <c r="A157">
        <f>Sources!A157</f>
        <v/>
      </c>
      <c r="B157">
        <f>Sources!B157</f>
        <v/>
      </c>
      <c r="C157">
        <f>Sources!D157</f>
        <v/>
      </c>
      <c r="D157">
        <f>Sources!E157</f>
        <v/>
      </c>
      <c r="E157">
        <f>Sources!F157</f>
        <v/>
      </c>
      <c r="F157">
        <f>Sources!H157</f>
        <v/>
      </c>
      <c r="G157">
        <f>IF(ABS(F157-ROUND(F157,0))&lt;0.001,1,0)</f>
        <v/>
      </c>
      <c r="H157">
        <f>IF(G157=1,F157,CEILING(F157,1))</f>
        <v/>
      </c>
      <c r="I157">
        <f>IF(G157=1,0,(H157-F157)*E157)</f>
        <v/>
      </c>
      <c r="J157">
        <f>E157*F157</f>
        <v/>
      </c>
    </row>
    <row r="158">
      <c r="A158">
        <f>Sources!A158</f>
        <v/>
      </c>
      <c r="B158">
        <f>Sources!B158</f>
        <v/>
      </c>
      <c r="C158">
        <f>Sources!D158</f>
        <v/>
      </c>
      <c r="D158">
        <f>Sources!E158</f>
        <v/>
      </c>
      <c r="E158">
        <f>Sources!F158</f>
        <v/>
      </c>
      <c r="F158">
        <f>Sources!H158</f>
        <v/>
      </c>
      <c r="G158">
        <f>IF(ABS(F158-ROUND(F158,0))&lt;0.001,1,0)</f>
        <v/>
      </c>
      <c r="H158">
        <f>IF(G158=1,F158,CEILING(F158,1))</f>
        <v/>
      </c>
      <c r="I158">
        <f>IF(G158=1,0,(H158-F158)*E158)</f>
        <v/>
      </c>
      <c r="J158">
        <f>E158*F158</f>
        <v/>
      </c>
    </row>
    <row r="159">
      <c r="A159">
        <f>Sources!A159</f>
        <v/>
      </c>
      <c r="B159">
        <f>Sources!B159</f>
        <v/>
      </c>
      <c r="C159">
        <f>Sources!D159</f>
        <v/>
      </c>
      <c r="D159">
        <f>Sources!E159</f>
        <v/>
      </c>
      <c r="E159">
        <f>Sources!F159</f>
        <v/>
      </c>
      <c r="F159">
        <f>Sources!H159</f>
        <v/>
      </c>
      <c r="G159">
        <f>IF(ABS(F159-ROUND(F159,0))&lt;0.001,1,0)</f>
        <v/>
      </c>
      <c r="H159">
        <f>IF(G159=1,F159,CEILING(F159,1))</f>
        <v/>
      </c>
      <c r="I159">
        <f>IF(G159=1,0,(H159-F159)*E159)</f>
        <v/>
      </c>
      <c r="J159">
        <f>E159*F159</f>
        <v/>
      </c>
    </row>
    <row r="160">
      <c r="A160">
        <f>Sources!A160</f>
        <v/>
      </c>
      <c r="B160">
        <f>Sources!B160</f>
        <v/>
      </c>
      <c r="C160">
        <f>Sources!D160</f>
        <v/>
      </c>
      <c r="D160">
        <f>Sources!E160</f>
        <v/>
      </c>
      <c r="E160">
        <f>Sources!F160</f>
        <v/>
      </c>
      <c r="F160">
        <f>Sources!H160</f>
        <v/>
      </c>
      <c r="G160">
        <f>IF(ABS(F160-ROUND(F160,0))&lt;0.001,1,0)</f>
        <v/>
      </c>
      <c r="H160">
        <f>IF(G160=1,F160,CEILING(F160,1))</f>
        <v/>
      </c>
      <c r="I160">
        <f>IF(G160=1,0,(H160-F160)*E160)</f>
        <v/>
      </c>
      <c r="J160">
        <f>E160*F160</f>
        <v/>
      </c>
    </row>
    <row r="161">
      <c r="A161">
        <f>Sources!A161</f>
        <v/>
      </c>
      <c r="B161">
        <f>Sources!B161</f>
        <v/>
      </c>
      <c r="C161">
        <f>Sources!D161</f>
        <v/>
      </c>
      <c r="D161">
        <f>Sources!E161</f>
        <v/>
      </c>
      <c r="E161">
        <f>Sources!F161</f>
        <v/>
      </c>
      <c r="F161">
        <f>Sources!H161</f>
        <v/>
      </c>
      <c r="G161">
        <f>IF(ABS(F161-ROUND(F161,0))&lt;0.001,1,0)</f>
        <v/>
      </c>
      <c r="H161">
        <f>IF(G161=1,F161,CEILING(F161,1))</f>
        <v/>
      </c>
      <c r="I161">
        <f>IF(G161=1,0,(H161-F161)*E161)</f>
        <v/>
      </c>
      <c r="J161">
        <f>E161*F161</f>
        <v/>
      </c>
    </row>
    <row r="162">
      <c r="A162">
        <f>Sources!A162</f>
        <v/>
      </c>
      <c r="B162">
        <f>Sources!B162</f>
        <v/>
      </c>
      <c r="C162">
        <f>Sources!D162</f>
        <v/>
      </c>
      <c r="D162">
        <f>Sources!E162</f>
        <v/>
      </c>
      <c r="E162">
        <f>Sources!F162</f>
        <v/>
      </c>
      <c r="F162">
        <f>Sources!H162</f>
        <v/>
      </c>
      <c r="G162">
        <f>IF(ABS(F162-ROUND(F162,0))&lt;0.001,1,0)</f>
        <v/>
      </c>
      <c r="H162">
        <f>IF(G162=1,F162,CEILING(F162,1))</f>
        <v/>
      </c>
      <c r="I162">
        <f>IF(G162=1,0,(H162-F162)*E162)</f>
        <v/>
      </c>
      <c r="J162">
        <f>E162*F162</f>
        <v/>
      </c>
    </row>
    <row r="163">
      <c r="A163">
        <f>Sources!A163</f>
        <v/>
      </c>
      <c r="B163">
        <f>Sources!B163</f>
        <v/>
      </c>
      <c r="C163">
        <f>Sources!D163</f>
        <v/>
      </c>
      <c r="D163">
        <f>Sources!E163</f>
        <v/>
      </c>
      <c r="E163">
        <f>Sources!F163</f>
        <v/>
      </c>
      <c r="F163">
        <f>Sources!H163</f>
        <v/>
      </c>
      <c r="G163">
        <f>IF(ABS(F163-ROUND(F163,0))&lt;0.001,1,0)</f>
        <v/>
      </c>
      <c r="H163">
        <f>IF(G163=1,F163,CEILING(F163,1))</f>
        <v/>
      </c>
      <c r="I163">
        <f>IF(G163=1,0,(H163-F163)*E163)</f>
        <v/>
      </c>
      <c r="J163">
        <f>E163*F163</f>
        <v/>
      </c>
    </row>
    <row r="164">
      <c r="A164">
        <f>Sources!A164</f>
        <v/>
      </c>
      <c r="B164">
        <f>Sources!B164</f>
        <v/>
      </c>
      <c r="C164">
        <f>Sources!D164</f>
        <v/>
      </c>
      <c r="D164">
        <f>Sources!E164</f>
        <v/>
      </c>
      <c r="E164">
        <f>Sources!F164</f>
        <v/>
      </c>
      <c r="F164">
        <f>Sources!H164</f>
        <v/>
      </c>
      <c r="G164">
        <f>IF(ABS(F164-ROUND(F164,0))&lt;0.001,1,0)</f>
        <v/>
      </c>
      <c r="H164">
        <f>IF(G164=1,F164,CEILING(F164,1))</f>
        <v/>
      </c>
      <c r="I164">
        <f>IF(G164=1,0,(H164-F164)*E164)</f>
        <v/>
      </c>
      <c r="J164">
        <f>E164*F164</f>
        <v/>
      </c>
    </row>
    <row r="165">
      <c r="A165">
        <f>Sources!A165</f>
        <v/>
      </c>
      <c r="B165">
        <f>Sources!B165</f>
        <v/>
      </c>
      <c r="C165">
        <f>Sources!D165</f>
        <v/>
      </c>
      <c r="D165">
        <f>Sources!E165</f>
        <v/>
      </c>
      <c r="E165">
        <f>Sources!F165</f>
        <v/>
      </c>
      <c r="F165">
        <f>Sources!H165</f>
        <v/>
      </c>
      <c r="G165">
        <f>IF(ABS(F165-ROUND(F165,0))&lt;0.001,1,0)</f>
        <v/>
      </c>
      <c r="H165">
        <f>IF(G165=1,F165,CEILING(F165,1))</f>
        <v/>
      </c>
      <c r="I165">
        <f>IF(G165=1,0,(H165-F165)*E165)</f>
        <v/>
      </c>
      <c r="J165">
        <f>E165*F165</f>
        <v/>
      </c>
    </row>
    <row r="166">
      <c r="A166">
        <f>Sources!A166</f>
        <v/>
      </c>
      <c r="B166">
        <f>Sources!B166</f>
        <v/>
      </c>
      <c r="C166">
        <f>Sources!D166</f>
        <v/>
      </c>
      <c r="D166">
        <f>Sources!E166</f>
        <v/>
      </c>
      <c r="E166">
        <f>Sources!F166</f>
        <v/>
      </c>
      <c r="F166">
        <f>Sources!H166</f>
        <v/>
      </c>
      <c r="G166">
        <f>IF(ABS(F166-ROUND(F166,0))&lt;0.001,1,0)</f>
        <v/>
      </c>
      <c r="H166">
        <f>IF(G166=1,F166,CEILING(F166,1))</f>
        <v/>
      </c>
      <c r="I166">
        <f>IF(G166=1,0,(H166-F166)*E166)</f>
        <v/>
      </c>
      <c r="J166">
        <f>E166*F166</f>
        <v/>
      </c>
    </row>
    <row r="167">
      <c r="A167">
        <f>Sources!A167</f>
        <v/>
      </c>
      <c r="B167">
        <f>Sources!B167</f>
        <v/>
      </c>
      <c r="C167">
        <f>Sources!D167</f>
        <v/>
      </c>
      <c r="D167">
        <f>Sources!E167</f>
        <v/>
      </c>
      <c r="E167">
        <f>Sources!F167</f>
        <v/>
      </c>
      <c r="F167">
        <f>Sources!H167</f>
        <v/>
      </c>
      <c r="G167">
        <f>IF(ABS(F167-ROUND(F167,0))&lt;0.001,1,0)</f>
        <v/>
      </c>
      <c r="H167">
        <f>IF(G167=1,F167,CEILING(F167,1))</f>
        <v/>
      </c>
      <c r="I167">
        <f>IF(G167=1,0,(H167-F167)*E167)</f>
        <v/>
      </c>
      <c r="J167">
        <f>E167*F167</f>
        <v/>
      </c>
    </row>
    <row r="168">
      <c r="A168">
        <f>Sources!A168</f>
        <v/>
      </c>
      <c r="B168">
        <f>Sources!B168</f>
        <v/>
      </c>
      <c r="C168">
        <f>Sources!D168</f>
        <v/>
      </c>
      <c r="D168">
        <f>Sources!E168</f>
        <v/>
      </c>
      <c r="E168">
        <f>Sources!F168</f>
        <v/>
      </c>
      <c r="F168">
        <f>Sources!H168</f>
        <v/>
      </c>
      <c r="G168">
        <f>IF(ABS(F168-ROUND(F168,0))&lt;0.001,1,0)</f>
        <v/>
      </c>
      <c r="H168">
        <f>IF(G168=1,F168,CEILING(F168,1))</f>
        <v/>
      </c>
      <c r="I168">
        <f>IF(G168=1,0,(H168-F168)*E168)</f>
        <v/>
      </c>
      <c r="J168">
        <f>E168*F168</f>
        <v/>
      </c>
    </row>
    <row r="169">
      <c r="A169">
        <f>Sources!A169</f>
        <v/>
      </c>
      <c r="B169">
        <f>Sources!B169</f>
        <v/>
      </c>
      <c r="C169">
        <f>Sources!D169</f>
        <v/>
      </c>
      <c r="D169">
        <f>Sources!E169</f>
        <v/>
      </c>
      <c r="E169">
        <f>Sources!F169</f>
        <v/>
      </c>
      <c r="F169">
        <f>Sources!H169</f>
        <v/>
      </c>
      <c r="G169">
        <f>IF(ABS(F169-ROUND(F169,0))&lt;0.001,1,0)</f>
        <v/>
      </c>
      <c r="H169">
        <f>IF(G169=1,F169,CEILING(F169,1))</f>
        <v/>
      </c>
      <c r="I169">
        <f>IF(G169=1,0,(H169-F169)*E169)</f>
        <v/>
      </c>
      <c r="J169">
        <f>E169*F169</f>
        <v/>
      </c>
    </row>
    <row r="170">
      <c r="A170">
        <f>Sources!A170</f>
        <v/>
      </c>
      <c r="B170">
        <f>Sources!B170</f>
        <v/>
      </c>
      <c r="C170">
        <f>Sources!D170</f>
        <v/>
      </c>
      <c r="D170">
        <f>Sources!E170</f>
        <v/>
      </c>
      <c r="E170">
        <f>Sources!F170</f>
        <v/>
      </c>
      <c r="F170">
        <f>Sources!H170</f>
        <v/>
      </c>
      <c r="G170">
        <f>IF(ABS(F170-ROUND(F170,0))&lt;0.001,1,0)</f>
        <v/>
      </c>
      <c r="H170">
        <f>IF(G170=1,F170,CEILING(F170,1))</f>
        <v/>
      </c>
      <c r="I170">
        <f>IF(G170=1,0,(H170-F170)*E170)</f>
        <v/>
      </c>
      <c r="J170">
        <f>E170*F170</f>
        <v/>
      </c>
    </row>
    <row r="171">
      <c r="A171">
        <f>Sources!A171</f>
        <v/>
      </c>
      <c r="B171">
        <f>Sources!B171</f>
        <v/>
      </c>
      <c r="C171">
        <f>Sources!D171</f>
        <v/>
      </c>
      <c r="D171">
        <f>Sources!E171</f>
        <v/>
      </c>
      <c r="E171">
        <f>Sources!F171</f>
        <v/>
      </c>
      <c r="F171">
        <f>Sources!H171</f>
        <v/>
      </c>
      <c r="G171">
        <f>IF(ABS(F171-ROUND(F171,0))&lt;0.001,1,0)</f>
        <v/>
      </c>
      <c r="H171">
        <f>IF(G171=1,F171,CEILING(F171,1))</f>
        <v/>
      </c>
      <c r="I171">
        <f>IF(G171=1,0,(H171-F171)*E171)</f>
        <v/>
      </c>
      <c r="J171">
        <f>E171*F171</f>
        <v/>
      </c>
    </row>
    <row r="172">
      <c r="A172">
        <f>Sources!A172</f>
        <v/>
      </c>
      <c r="B172">
        <f>Sources!B172</f>
        <v/>
      </c>
      <c r="C172">
        <f>Sources!D172</f>
        <v/>
      </c>
      <c r="D172">
        <f>Sources!E172</f>
        <v/>
      </c>
      <c r="E172">
        <f>Sources!F172</f>
        <v/>
      </c>
      <c r="F172">
        <f>Sources!H172</f>
        <v/>
      </c>
      <c r="G172">
        <f>IF(ABS(F172-ROUND(F172,0))&lt;0.001,1,0)</f>
        <v/>
      </c>
      <c r="H172">
        <f>IF(G172=1,F172,CEILING(F172,1))</f>
        <v/>
      </c>
      <c r="I172">
        <f>IF(G172=1,0,(H172-F172)*E172)</f>
        <v/>
      </c>
      <c r="J172">
        <f>E172*F172</f>
        <v/>
      </c>
    </row>
    <row r="173">
      <c r="A173">
        <f>Sources!A173</f>
        <v/>
      </c>
      <c r="B173">
        <f>Sources!B173</f>
        <v/>
      </c>
      <c r="C173">
        <f>Sources!D173</f>
        <v/>
      </c>
      <c r="D173">
        <f>Sources!E173</f>
        <v/>
      </c>
      <c r="E173">
        <f>Sources!F173</f>
        <v/>
      </c>
      <c r="F173">
        <f>Sources!H173</f>
        <v/>
      </c>
      <c r="G173">
        <f>IF(ABS(F173-ROUND(F173,0))&lt;0.001,1,0)</f>
        <v/>
      </c>
      <c r="H173">
        <f>IF(G173=1,F173,CEILING(F173,1))</f>
        <v/>
      </c>
      <c r="I173">
        <f>IF(G173=1,0,(H173-F173)*E173)</f>
        <v/>
      </c>
      <c r="J173">
        <f>E173*F173</f>
        <v/>
      </c>
    </row>
    <row r="174">
      <c r="A174">
        <f>Sources!A174</f>
        <v/>
      </c>
      <c r="B174">
        <f>Sources!B174</f>
        <v/>
      </c>
      <c r="C174">
        <f>Sources!D174</f>
        <v/>
      </c>
      <c r="D174">
        <f>Sources!E174</f>
        <v/>
      </c>
      <c r="E174">
        <f>Sources!F174</f>
        <v/>
      </c>
      <c r="F174">
        <f>Sources!H174</f>
        <v/>
      </c>
      <c r="G174">
        <f>IF(ABS(F174-ROUND(F174,0))&lt;0.001,1,0)</f>
        <v/>
      </c>
      <c r="H174">
        <f>IF(G174=1,F174,CEILING(F174,1))</f>
        <v/>
      </c>
      <c r="I174">
        <f>IF(G174=1,0,(H174-F174)*E174)</f>
        <v/>
      </c>
      <c r="J174">
        <f>E174*F174</f>
        <v/>
      </c>
    </row>
    <row r="175">
      <c r="A175">
        <f>Sources!A175</f>
        <v/>
      </c>
      <c r="B175">
        <f>Sources!B175</f>
        <v/>
      </c>
      <c r="C175">
        <f>Sources!D175</f>
        <v/>
      </c>
      <c r="D175">
        <f>Sources!E175</f>
        <v/>
      </c>
      <c r="E175">
        <f>Sources!F175</f>
        <v/>
      </c>
      <c r="F175">
        <f>Sources!H175</f>
        <v/>
      </c>
      <c r="G175">
        <f>IF(ABS(F175-ROUND(F175,0))&lt;0.001,1,0)</f>
        <v/>
      </c>
      <c r="H175">
        <f>IF(G175=1,F175,CEILING(F175,1))</f>
        <v/>
      </c>
      <c r="I175">
        <f>IF(G175=1,0,(H175-F175)*E175)</f>
        <v/>
      </c>
      <c r="J175">
        <f>E175*F175</f>
        <v/>
      </c>
    </row>
    <row r="176">
      <c r="A176">
        <f>Sources!A176</f>
        <v/>
      </c>
      <c r="B176">
        <f>Sources!B176</f>
        <v/>
      </c>
      <c r="C176">
        <f>Sources!D176</f>
        <v/>
      </c>
      <c r="D176">
        <f>Sources!E176</f>
        <v/>
      </c>
      <c r="E176">
        <f>Sources!F176</f>
        <v/>
      </c>
      <c r="F176">
        <f>Sources!H176</f>
        <v/>
      </c>
      <c r="G176">
        <f>IF(ABS(F176-ROUND(F176,0))&lt;0.001,1,0)</f>
        <v/>
      </c>
      <c r="H176">
        <f>IF(G176=1,F176,CEILING(F176,1))</f>
        <v/>
      </c>
      <c r="I176">
        <f>IF(G176=1,0,(H176-F176)*E176)</f>
        <v/>
      </c>
      <c r="J176">
        <f>E176*F176</f>
        <v/>
      </c>
    </row>
    <row r="177">
      <c r="A177">
        <f>Sources!A177</f>
        <v/>
      </c>
      <c r="B177">
        <f>Sources!B177</f>
        <v/>
      </c>
      <c r="C177">
        <f>Sources!D177</f>
        <v/>
      </c>
      <c r="D177">
        <f>Sources!E177</f>
        <v/>
      </c>
      <c r="E177">
        <f>Sources!F177</f>
        <v/>
      </c>
      <c r="F177">
        <f>Sources!H177</f>
        <v/>
      </c>
      <c r="G177">
        <f>IF(ABS(F177-ROUND(F177,0))&lt;0.001,1,0)</f>
        <v/>
      </c>
      <c r="H177">
        <f>IF(G177=1,F177,CEILING(F177,1))</f>
        <v/>
      </c>
      <c r="I177">
        <f>IF(G177=1,0,(H177-F177)*E177)</f>
        <v/>
      </c>
      <c r="J177">
        <f>E177*F177</f>
        <v/>
      </c>
    </row>
    <row r="178">
      <c r="A178">
        <f>Sources!A178</f>
        <v/>
      </c>
      <c r="B178">
        <f>Sources!B178</f>
        <v/>
      </c>
      <c r="C178">
        <f>Sources!D178</f>
        <v/>
      </c>
      <c r="D178">
        <f>Sources!E178</f>
        <v/>
      </c>
      <c r="E178">
        <f>Sources!F178</f>
        <v/>
      </c>
      <c r="F178">
        <f>Sources!H178</f>
        <v/>
      </c>
      <c r="G178">
        <f>IF(ABS(F178-ROUND(F178,0))&lt;0.001,1,0)</f>
        <v/>
      </c>
      <c r="H178">
        <f>IF(G178=1,F178,CEILING(F178,1))</f>
        <v/>
      </c>
      <c r="I178">
        <f>IF(G178=1,0,(H178-F178)*E178)</f>
        <v/>
      </c>
      <c r="J178">
        <f>E178*F178</f>
        <v/>
      </c>
    </row>
    <row r="179">
      <c r="A179">
        <f>Sources!A179</f>
        <v/>
      </c>
      <c r="B179">
        <f>Sources!B179</f>
        <v/>
      </c>
      <c r="C179">
        <f>Sources!D179</f>
        <v/>
      </c>
      <c r="D179">
        <f>Sources!E179</f>
        <v/>
      </c>
      <c r="E179">
        <f>Sources!F179</f>
        <v/>
      </c>
      <c r="F179">
        <f>Sources!H179</f>
        <v/>
      </c>
      <c r="G179">
        <f>IF(ABS(F179-ROUND(F179,0))&lt;0.001,1,0)</f>
        <v/>
      </c>
      <c r="H179">
        <f>IF(G179=1,F179,CEILING(F179,1))</f>
        <v/>
      </c>
      <c r="I179">
        <f>IF(G179=1,0,(H179-F179)*E179)</f>
        <v/>
      </c>
      <c r="J179">
        <f>E179*F179</f>
        <v/>
      </c>
    </row>
    <row r="180">
      <c r="A180">
        <f>Sources!A180</f>
        <v/>
      </c>
      <c r="B180">
        <f>Sources!B180</f>
        <v/>
      </c>
      <c r="C180">
        <f>Sources!D180</f>
        <v/>
      </c>
      <c r="D180">
        <f>Sources!E180</f>
        <v/>
      </c>
      <c r="E180">
        <f>Sources!F180</f>
        <v/>
      </c>
      <c r="F180">
        <f>Sources!H180</f>
        <v/>
      </c>
      <c r="G180">
        <f>IF(ABS(F180-ROUND(F180,0))&lt;0.001,1,0)</f>
        <v/>
      </c>
      <c r="H180">
        <f>IF(G180=1,F180,CEILING(F180,1))</f>
        <v/>
      </c>
      <c r="I180">
        <f>IF(G180=1,0,(H180-F180)*E180)</f>
        <v/>
      </c>
      <c r="J180">
        <f>E180*F180</f>
        <v/>
      </c>
    </row>
    <row r="181">
      <c r="A181">
        <f>Sources!A181</f>
        <v/>
      </c>
      <c r="B181">
        <f>Sources!B181</f>
        <v/>
      </c>
      <c r="C181">
        <f>Sources!D181</f>
        <v/>
      </c>
      <c r="D181">
        <f>Sources!E181</f>
        <v/>
      </c>
      <c r="E181">
        <f>Sources!F181</f>
        <v/>
      </c>
      <c r="F181">
        <f>Sources!H181</f>
        <v/>
      </c>
      <c r="G181">
        <f>IF(ABS(F181-ROUND(F181,0))&lt;0.001,1,0)</f>
        <v/>
      </c>
      <c r="H181">
        <f>IF(G181=1,F181,CEILING(F181,1))</f>
        <v/>
      </c>
      <c r="I181">
        <f>IF(G181=1,0,(H181-F181)*E181)</f>
        <v/>
      </c>
      <c r="J181">
        <f>E181*F181</f>
        <v/>
      </c>
    </row>
    <row r="182">
      <c r="A182">
        <f>Sources!A182</f>
        <v/>
      </c>
      <c r="B182">
        <f>Sources!B182</f>
        <v/>
      </c>
      <c r="C182">
        <f>Sources!D182</f>
        <v/>
      </c>
      <c r="D182">
        <f>Sources!E182</f>
        <v/>
      </c>
      <c r="E182">
        <f>Sources!F182</f>
        <v/>
      </c>
      <c r="F182">
        <f>Sources!H182</f>
        <v/>
      </c>
      <c r="G182">
        <f>IF(ABS(F182-ROUND(F182,0))&lt;0.001,1,0)</f>
        <v/>
      </c>
      <c r="H182">
        <f>IF(G182=1,F182,CEILING(F182,1))</f>
        <v/>
      </c>
      <c r="I182">
        <f>IF(G182=1,0,(H182-F182)*E182)</f>
        <v/>
      </c>
      <c r="J182">
        <f>E182*F182</f>
        <v/>
      </c>
    </row>
    <row r="183">
      <c r="A183">
        <f>Sources!A183</f>
        <v/>
      </c>
      <c r="B183">
        <f>Sources!B183</f>
        <v/>
      </c>
      <c r="C183">
        <f>Sources!D183</f>
        <v/>
      </c>
      <c r="D183">
        <f>Sources!E183</f>
        <v/>
      </c>
      <c r="E183">
        <f>Sources!F183</f>
        <v/>
      </c>
      <c r="F183">
        <f>Sources!H183</f>
        <v/>
      </c>
      <c r="G183">
        <f>IF(ABS(F183-ROUND(F183,0))&lt;0.001,1,0)</f>
        <v/>
      </c>
      <c r="H183">
        <f>IF(G183=1,F183,CEILING(F183,1))</f>
        <v/>
      </c>
      <c r="I183">
        <f>IF(G183=1,0,(H183-F183)*E183)</f>
        <v/>
      </c>
      <c r="J183">
        <f>E183*F183</f>
        <v/>
      </c>
    </row>
    <row r="184">
      <c r="A184">
        <f>Sources!A184</f>
        <v/>
      </c>
      <c r="B184">
        <f>Sources!B184</f>
        <v/>
      </c>
      <c r="C184">
        <f>Sources!D184</f>
        <v/>
      </c>
      <c r="D184">
        <f>Sources!E184</f>
        <v/>
      </c>
      <c r="E184">
        <f>Sources!F184</f>
        <v/>
      </c>
      <c r="F184">
        <f>Sources!H184</f>
        <v/>
      </c>
      <c r="G184">
        <f>IF(ABS(F184-ROUND(F184,0))&lt;0.001,1,0)</f>
        <v/>
      </c>
      <c r="H184">
        <f>IF(G184=1,F184,CEILING(F184,1))</f>
        <v/>
      </c>
      <c r="I184">
        <f>IF(G184=1,0,(H184-F184)*E184)</f>
        <v/>
      </c>
      <c r="J184">
        <f>E184*F184</f>
        <v/>
      </c>
    </row>
    <row r="185">
      <c r="A185">
        <f>Sources!A185</f>
        <v/>
      </c>
      <c r="B185">
        <f>Sources!B185</f>
        <v/>
      </c>
      <c r="C185">
        <f>Sources!D185</f>
        <v/>
      </c>
      <c r="D185">
        <f>Sources!E185</f>
        <v/>
      </c>
      <c r="E185">
        <f>Sources!F185</f>
        <v/>
      </c>
      <c r="F185">
        <f>Sources!H185</f>
        <v/>
      </c>
      <c r="G185">
        <f>IF(ABS(F185-ROUND(F185,0))&lt;0.001,1,0)</f>
        <v/>
      </c>
      <c r="H185">
        <f>IF(G185=1,F185,CEILING(F185,1))</f>
        <v/>
      </c>
      <c r="I185">
        <f>IF(G185=1,0,(H185-F185)*E185)</f>
        <v/>
      </c>
      <c r="J185">
        <f>E185*F185</f>
        <v/>
      </c>
    </row>
    <row r="186">
      <c r="A186">
        <f>Sources!A186</f>
        <v/>
      </c>
      <c r="B186">
        <f>Sources!B186</f>
        <v/>
      </c>
      <c r="C186">
        <f>Sources!D186</f>
        <v/>
      </c>
      <c r="D186">
        <f>Sources!E186</f>
        <v/>
      </c>
      <c r="E186">
        <f>Sources!F186</f>
        <v/>
      </c>
      <c r="F186">
        <f>Sources!H186</f>
        <v/>
      </c>
      <c r="G186">
        <f>IF(ABS(F186-ROUND(F186,0))&lt;0.001,1,0)</f>
        <v/>
      </c>
      <c r="H186">
        <f>IF(G186=1,F186,CEILING(F186,1))</f>
        <v/>
      </c>
      <c r="I186">
        <f>IF(G186=1,0,(H186-F186)*E186)</f>
        <v/>
      </c>
      <c r="J186">
        <f>E186*F186</f>
        <v/>
      </c>
    </row>
    <row r="187">
      <c r="A187">
        <f>Sources!A187</f>
        <v/>
      </c>
      <c r="B187">
        <f>Sources!B187</f>
        <v/>
      </c>
      <c r="C187">
        <f>Sources!D187</f>
        <v/>
      </c>
      <c r="D187">
        <f>Sources!E187</f>
        <v/>
      </c>
      <c r="E187">
        <f>Sources!F187</f>
        <v/>
      </c>
      <c r="F187">
        <f>Sources!H187</f>
        <v/>
      </c>
      <c r="G187">
        <f>IF(ABS(F187-ROUND(F187,0))&lt;0.001,1,0)</f>
        <v/>
      </c>
      <c r="H187">
        <f>IF(G187=1,F187,CEILING(F187,1))</f>
        <v/>
      </c>
      <c r="I187">
        <f>IF(G187=1,0,(H187-F187)*E187)</f>
        <v/>
      </c>
      <c r="J187">
        <f>E187*F187</f>
        <v/>
      </c>
    </row>
    <row r="188">
      <c r="A188">
        <f>Sources!A188</f>
        <v/>
      </c>
      <c r="B188">
        <f>Sources!B188</f>
        <v/>
      </c>
      <c r="C188">
        <f>Sources!D188</f>
        <v/>
      </c>
      <c r="D188">
        <f>Sources!E188</f>
        <v/>
      </c>
      <c r="E188">
        <f>Sources!F188</f>
        <v/>
      </c>
      <c r="F188">
        <f>Sources!H188</f>
        <v/>
      </c>
      <c r="G188">
        <f>IF(ABS(F188-ROUND(F188,0))&lt;0.001,1,0)</f>
        <v/>
      </c>
      <c r="H188">
        <f>IF(G188=1,F188,CEILING(F188,1))</f>
        <v/>
      </c>
      <c r="I188">
        <f>IF(G188=1,0,(H188-F188)*E188)</f>
        <v/>
      </c>
      <c r="J188">
        <f>E188*F188</f>
        <v/>
      </c>
    </row>
    <row r="189">
      <c r="A189">
        <f>Sources!A189</f>
        <v/>
      </c>
      <c r="B189">
        <f>Sources!B189</f>
        <v/>
      </c>
      <c r="C189">
        <f>Sources!D189</f>
        <v/>
      </c>
      <c r="D189">
        <f>Sources!E189</f>
        <v/>
      </c>
      <c r="E189">
        <f>Sources!F189</f>
        <v/>
      </c>
      <c r="F189">
        <f>Sources!H189</f>
        <v/>
      </c>
      <c r="G189">
        <f>IF(ABS(F189-ROUND(F189,0))&lt;0.001,1,0)</f>
        <v/>
      </c>
      <c r="H189">
        <f>IF(G189=1,F189,CEILING(F189,1))</f>
        <v/>
      </c>
      <c r="I189">
        <f>IF(G189=1,0,(H189-F189)*E189)</f>
        <v/>
      </c>
      <c r="J189">
        <f>E189*F189</f>
        <v/>
      </c>
    </row>
    <row r="190">
      <c r="A190">
        <f>Sources!A190</f>
        <v/>
      </c>
      <c r="B190">
        <f>Sources!B190</f>
        <v/>
      </c>
      <c r="C190">
        <f>Sources!D190</f>
        <v/>
      </c>
      <c r="D190">
        <f>Sources!E190</f>
        <v/>
      </c>
      <c r="E190">
        <f>Sources!F190</f>
        <v/>
      </c>
      <c r="F190">
        <f>Sources!H190</f>
        <v/>
      </c>
      <c r="G190">
        <f>IF(ABS(F190-ROUND(F190,0))&lt;0.001,1,0)</f>
        <v/>
      </c>
      <c r="H190">
        <f>IF(G190=1,F190,CEILING(F190,1))</f>
        <v/>
      </c>
      <c r="I190">
        <f>IF(G190=1,0,(H190-F190)*E190)</f>
        <v/>
      </c>
      <c r="J190">
        <f>E190*F190</f>
        <v/>
      </c>
    </row>
    <row r="191">
      <c r="A191">
        <f>Sources!A191</f>
        <v/>
      </c>
      <c r="B191">
        <f>Sources!B191</f>
        <v/>
      </c>
      <c r="C191">
        <f>Sources!D191</f>
        <v/>
      </c>
      <c r="D191">
        <f>Sources!E191</f>
        <v/>
      </c>
      <c r="E191">
        <f>Sources!F191</f>
        <v/>
      </c>
      <c r="F191">
        <f>Sources!H191</f>
        <v/>
      </c>
      <c r="G191">
        <f>IF(ABS(F191-ROUND(F191,0))&lt;0.001,1,0)</f>
        <v/>
      </c>
      <c r="H191">
        <f>IF(G191=1,F191,CEILING(F191,1))</f>
        <v/>
      </c>
      <c r="I191">
        <f>IF(G191=1,0,(H191-F191)*E191)</f>
        <v/>
      </c>
      <c r="J191">
        <f>E191*F191</f>
        <v/>
      </c>
    </row>
    <row r="192">
      <c r="A192">
        <f>Sources!A192</f>
        <v/>
      </c>
      <c r="B192">
        <f>Sources!B192</f>
        <v/>
      </c>
      <c r="C192">
        <f>Sources!D192</f>
        <v/>
      </c>
      <c r="D192">
        <f>Sources!E192</f>
        <v/>
      </c>
      <c r="E192">
        <f>Sources!F192</f>
        <v/>
      </c>
      <c r="F192">
        <f>Sources!H192</f>
        <v/>
      </c>
      <c r="G192">
        <f>IF(ABS(F192-ROUND(F192,0))&lt;0.001,1,0)</f>
        <v/>
      </c>
      <c r="H192">
        <f>IF(G192=1,F192,CEILING(F192,1))</f>
        <v/>
      </c>
      <c r="I192">
        <f>IF(G192=1,0,(H192-F192)*E192)</f>
        <v/>
      </c>
      <c r="J192">
        <f>E192*F192</f>
        <v/>
      </c>
    </row>
    <row r="193">
      <c r="A193">
        <f>Sources!A193</f>
        <v/>
      </c>
      <c r="B193">
        <f>Sources!B193</f>
        <v/>
      </c>
      <c r="C193">
        <f>Sources!D193</f>
        <v/>
      </c>
      <c r="D193">
        <f>Sources!E193</f>
        <v/>
      </c>
      <c r="E193">
        <f>Sources!F193</f>
        <v/>
      </c>
      <c r="F193">
        <f>Sources!H193</f>
        <v/>
      </c>
      <c r="G193">
        <f>IF(ABS(F193-ROUND(F193,0))&lt;0.001,1,0)</f>
        <v/>
      </c>
      <c r="H193">
        <f>IF(G193=1,F193,CEILING(F193,1))</f>
        <v/>
      </c>
      <c r="I193">
        <f>IF(G193=1,0,(H193-F193)*E193)</f>
        <v/>
      </c>
      <c r="J193">
        <f>E193*F193</f>
        <v/>
      </c>
    </row>
    <row r="194">
      <c r="A194">
        <f>Sources!A194</f>
        <v/>
      </c>
      <c r="B194">
        <f>Sources!B194</f>
        <v/>
      </c>
      <c r="C194">
        <f>Sources!D194</f>
        <v/>
      </c>
      <c r="D194">
        <f>Sources!E194</f>
        <v/>
      </c>
      <c r="E194">
        <f>Sources!F194</f>
        <v/>
      </c>
      <c r="F194">
        <f>Sources!H194</f>
        <v/>
      </c>
      <c r="G194">
        <f>IF(ABS(F194-ROUND(F194,0))&lt;0.001,1,0)</f>
        <v/>
      </c>
      <c r="H194">
        <f>IF(G194=1,F194,CEILING(F194,1))</f>
        <v/>
      </c>
      <c r="I194">
        <f>IF(G194=1,0,(H194-F194)*E194)</f>
        <v/>
      </c>
      <c r="J194">
        <f>E194*F194</f>
        <v/>
      </c>
    </row>
    <row r="195">
      <c r="A195">
        <f>Sources!A195</f>
        <v/>
      </c>
      <c r="B195">
        <f>Sources!B195</f>
        <v/>
      </c>
      <c r="C195">
        <f>Sources!D195</f>
        <v/>
      </c>
      <c r="D195">
        <f>Sources!E195</f>
        <v/>
      </c>
      <c r="E195">
        <f>Sources!F195</f>
        <v/>
      </c>
      <c r="F195">
        <f>Sources!H195</f>
        <v/>
      </c>
      <c r="G195">
        <f>IF(ABS(F195-ROUND(F195,0))&lt;0.001,1,0)</f>
        <v/>
      </c>
      <c r="H195">
        <f>IF(G195=1,F195,CEILING(F195,1))</f>
        <v/>
      </c>
      <c r="I195">
        <f>IF(G195=1,0,(H195-F195)*E195)</f>
        <v/>
      </c>
      <c r="J195">
        <f>E195*F195</f>
        <v/>
      </c>
    </row>
    <row r="196">
      <c r="A196">
        <f>Sources!A196</f>
        <v/>
      </c>
      <c r="B196">
        <f>Sources!B196</f>
        <v/>
      </c>
      <c r="C196">
        <f>Sources!D196</f>
        <v/>
      </c>
      <c r="D196">
        <f>Sources!E196</f>
        <v/>
      </c>
      <c r="E196">
        <f>Sources!F196</f>
        <v/>
      </c>
      <c r="F196">
        <f>Sources!H196</f>
        <v/>
      </c>
      <c r="G196">
        <f>IF(ABS(F196-ROUND(F196,0))&lt;0.001,1,0)</f>
        <v/>
      </c>
      <c r="H196">
        <f>IF(G196=1,F196,CEILING(F196,1))</f>
        <v/>
      </c>
      <c r="I196">
        <f>IF(G196=1,0,(H196-F196)*E196)</f>
        <v/>
      </c>
      <c r="J196">
        <f>E196*F196</f>
        <v/>
      </c>
    </row>
    <row r="197">
      <c r="A197">
        <f>Sources!A197</f>
        <v/>
      </c>
      <c r="B197">
        <f>Sources!B197</f>
        <v/>
      </c>
      <c r="C197">
        <f>Sources!D197</f>
        <v/>
      </c>
      <c r="D197">
        <f>Sources!E197</f>
        <v/>
      </c>
      <c r="E197">
        <f>Sources!F197</f>
        <v/>
      </c>
      <c r="F197">
        <f>Sources!H197</f>
        <v/>
      </c>
      <c r="G197">
        <f>IF(ABS(F197-ROUND(F197,0))&lt;0.001,1,0)</f>
        <v/>
      </c>
      <c r="H197">
        <f>IF(G197=1,F197,CEILING(F197,1))</f>
        <v/>
      </c>
      <c r="I197">
        <f>IF(G197=1,0,(H197-F197)*E197)</f>
        <v/>
      </c>
      <c r="J197">
        <f>E197*F197</f>
        <v/>
      </c>
    </row>
    <row r="198">
      <c r="A198">
        <f>Sources!A198</f>
        <v/>
      </c>
      <c r="B198">
        <f>Sources!B198</f>
        <v/>
      </c>
      <c r="C198">
        <f>Sources!D198</f>
        <v/>
      </c>
      <c r="D198">
        <f>Sources!E198</f>
        <v/>
      </c>
      <c r="E198">
        <f>Sources!F198</f>
        <v/>
      </c>
      <c r="F198">
        <f>Sources!H198</f>
        <v/>
      </c>
      <c r="G198">
        <f>IF(ABS(F198-ROUND(F198,0))&lt;0.001,1,0)</f>
        <v/>
      </c>
      <c r="H198">
        <f>IF(G198=1,F198,CEILING(F198,1))</f>
        <v/>
      </c>
      <c r="I198">
        <f>IF(G198=1,0,(H198-F198)*E198)</f>
        <v/>
      </c>
      <c r="J198">
        <f>E198*F198</f>
        <v/>
      </c>
    </row>
    <row r="199">
      <c r="A199">
        <f>Sources!A199</f>
        <v/>
      </c>
      <c r="B199">
        <f>Sources!B199</f>
        <v/>
      </c>
      <c r="C199">
        <f>Sources!D199</f>
        <v/>
      </c>
      <c r="D199">
        <f>Sources!E199</f>
        <v/>
      </c>
      <c r="E199">
        <f>Sources!F199</f>
        <v/>
      </c>
      <c r="F199">
        <f>Sources!H199</f>
        <v/>
      </c>
      <c r="G199">
        <f>IF(ABS(F199-ROUND(F199,0))&lt;0.001,1,0)</f>
        <v/>
      </c>
      <c r="H199">
        <f>IF(G199=1,F199,CEILING(F199,1))</f>
        <v/>
      </c>
      <c r="I199">
        <f>IF(G199=1,0,(H199-F199)*E199)</f>
        <v/>
      </c>
      <c r="J199">
        <f>E199*F199</f>
        <v/>
      </c>
    </row>
    <row r="200">
      <c r="A200">
        <f>Sources!A200</f>
        <v/>
      </c>
      <c r="B200">
        <f>Sources!B200</f>
        <v/>
      </c>
      <c r="C200">
        <f>Sources!D200</f>
        <v/>
      </c>
      <c r="D200">
        <f>Sources!E200</f>
        <v/>
      </c>
      <c r="E200">
        <f>Sources!F200</f>
        <v/>
      </c>
      <c r="F200">
        <f>Sources!H200</f>
        <v/>
      </c>
      <c r="G200">
        <f>IF(ABS(F200-ROUND(F200,0))&lt;0.001,1,0)</f>
        <v/>
      </c>
      <c r="H200">
        <f>IF(G200=1,F200,CEILING(F200,1))</f>
        <v/>
      </c>
      <c r="I200">
        <f>IF(G200=1,0,(H200-F200)*E200)</f>
        <v/>
      </c>
      <c r="J200">
        <f>E200*F200</f>
        <v/>
      </c>
    </row>
    <row r="201">
      <c r="A201">
        <f>Sources!A201</f>
        <v/>
      </c>
      <c r="B201">
        <f>Sources!B201</f>
        <v/>
      </c>
      <c r="C201">
        <f>Sources!D201</f>
        <v/>
      </c>
      <c r="D201">
        <f>Sources!E201</f>
        <v/>
      </c>
      <c r="E201">
        <f>Sources!F201</f>
        <v/>
      </c>
      <c r="F201">
        <f>Sources!H201</f>
        <v/>
      </c>
      <c r="G201">
        <f>IF(ABS(F201-ROUND(F201,0))&lt;0.001,1,0)</f>
        <v/>
      </c>
      <c r="H201">
        <f>IF(G201=1,F201,CEILING(F201,1))</f>
        <v/>
      </c>
      <c r="I201">
        <f>IF(G201=1,0,(H201-F201)*E201)</f>
        <v/>
      </c>
      <c r="J201">
        <f>E201*F201</f>
        <v/>
      </c>
    </row>
    <row r="202">
      <c r="A202">
        <f>Sources!A202</f>
        <v/>
      </c>
      <c r="B202">
        <f>Sources!B202</f>
        <v/>
      </c>
      <c r="C202">
        <f>Sources!D202</f>
        <v/>
      </c>
      <c r="D202">
        <f>Sources!E202</f>
        <v/>
      </c>
      <c r="E202">
        <f>Sources!F202</f>
        <v/>
      </c>
      <c r="F202">
        <f>Sources!H202</f>
        <v/>
      </c>
      <c r="G202">
        <f>IF(ABS(F202-ROUND(F202,0))&lt;0.001,1,0)</f>
        <v/>
      </c>
      <c r="H202">
        <f>IF(G202=1,F202,CEILING(F202,1))</f>
        <v/>
      </c>
      <c r="I202">
        <f>IF(G202=1,0,(H202-F202)*E202)</f>
        <v/>
      </c>
      <c r="J202">
        <f>E202*F202</f>
        <v/>
      </c>
    </row>
    <row r="203">
      <c r="A203">
        <f>Sources!A203</f>
        <v/>
      </c>
      <c r="B203">
        <f>Sources!B203</f>
        <v/>
      </c>
      <c r="C203">
        <f>Sources!D203</f>
        <v/>
      </c>
      <c r="D203">
        <f>Sources!E203</f>
        <v/>
      </c>
      <c r="E203">
        <f>Sources!F203</f>
        <v/>
      </c>
      <c r="F203">
        <f>Sources!H203</f>
        <v/>
      </c>
      <c r="G203">
        <f>IF(ABS(F203-ROUND(F203,0))&lt;0.001,1,0)</f>
        <v/>
      </c>
      <c r="H203">
        <f>IF(G203=1,F203,CEILING(F203,1))</f>
        <v/>
      </c>
      <c r="I203">
        <f>IF(G203=1,0,(H203-F203)*E203)</f>
        <v/>
      </c>
      <c r="J203">
        <f>E203*F203</f>
        <v/>
      </c>
    </row>
    <row r="204">
      <c r="A204">
        <f>Sources!A204</f>
        <v/>
      </c>
      <c r="B204">
        <f>Sources!B204</f>
        <v/>
      </c>
      <c r="C204">
        <f>Sources!D204</f>
        <v/>
      </c>
      <c r="D204">
        <f>Sources!E204</f>
        <v/>
      </c>
      <c r="E204">
        <f>Sources!F204</f>
        <v/>
      </c>
      <c r="F204">
        <f>Sources!H204</f>
        <v/>
      </c>
      <c r="G204">
        <f>IF(ABS(F204-ROUND(F204,0))&lt;0.001,1,0)</f>
        <v/>
      </c>
      <c r="H204">
        <f>IF(G204=1,F204,CEILING(F204,1))</f>
        <v/>
      </c>
      <c r="I204">
        <f>IF(G204=1,0,(H204-F204)*E204)</f>
        <v/>
      </c>
      <c r="J204">
        <f>E204*F204</f>
        <v/>
      </c>
    </row>
    <row r="205">
      <c r="A205">
        <f>Sources!A205</f>
        <v/>
      </c>
      <c r="B205">
        <f>Sources!B205</f>
        <v/>
      </c>
      <c r="C205">
        <f>Sources!D205</f>
        <v/>
      </c>
      <c r="D205">
        <f>Sources!E205</f>
        <v/>
      </c>
      <c r="E205">
        <f>Sources!F205</f>
        <v/>
      </c>
      <c r="F205">
        <f>Sources!H205</f>
        <v/>
      </c>
      <c r="G205">
        <f>IF(ABS(F205-ROUND(F205,0))&lt;0.001,1,0)</f>
        <v/>
      </c>
      <c r="H205">
        <f>IF(G205=1,F205,CEILING(F205,1))</f>
        <v/>
      </c>
      <c r="I205">
        <f>IF(G205=1,0,(H205-F205)*E205)</f>
        <v/>
      </c>
      <c r="J205">
        <f>E205*F205</f>
        <v/>
      </c>
    </row>
    <row r="206">
      <c r="A206">
        <f>Sources!A206</f>
        <v/>
      </c>
      <c r="B206">
        <f>Sources!B206</f>
        <v/>
      </c>
      <c r="C206">
        <f>Sources!D206</f>
        <v/>
      </c>
      <c r="D206">
        <f>Sources!E206</f>
        <v/>
      </c>
      <c r="E206">
        <f>Sources!F206</f>
        <v/>
      </c>
      <c r="F206">
        <f>Sources!H206</f>
        <v/>
      </c>
      <c r="G206">
        <f>IF(ABS(F206-ROUND(F206,0))&lt;0.001,1,0)</f>
        <v/>
      </c>
      <c r="H206">
        <f>IF(G206=1,F206,CEILING(F206,1))</f>
        <v/>
      </c>
      <c r="I206">
        <f>IF(G206=1,0,(H206-F206)*E206)</f>
        <v/>
      </c>
      <c r="J206">
        <f>E206*F206</f>
        <v/>
      </c>
    </row>
    <row r="207">
      <c r="A207">
        <f>Sources!A207</f>
        <v/>
      </c>
      <c r="B207">
        <f>Sources!B207</f>
        <v/>
      </c>
      <c r="C207">
        <f>Sources!D207</f>
        <v/>
      </c>
      <c r="D207">
        <f>Sources!E207</f>
        <v/>
      </c>
      <c r="E207">
        <f>Sources!F207</f>
        <v/>
      </c>
      <c r="F207">
        <f>Sources!H207</f>
        <v/>
      </c>
      <c r="G207">
        <f>IF(ABS(F207-ROUND(F207,0))&lt;0.001,1,0)</f>
        <v/>
      </c>
      <c r="H207">
        <f>IF(G207=1,F207,CEILING(F207,1))</f>
        <v/>
      </c>
      <c r="I207">
        <f>IF(G207=1,0,(H207-F207)*E207)</f>
        <v/>
      </c>
      <c r="J207">
        <f>E207*F207</f>
        <v/>
      </c>
    </row>
    <row r="208">
      <c r="A208">
        <f>Sources!A208</f>
        <v/>
      </c>
      <c r="B208">
        <f>Sources!B208</f>
        <v/>
      </c>
      <c r="C208">
        <f>Sources!D208</f>
        <v/>
      </c>
      <c r="D208">
        <f>Sources!E208</f>
        <v/>
      </c>
      <c r="E208">
        <f>Sources!F208</f>
        <v/>
      </c>
      <c r="F208">
        <f>Sources!H208</f>
        <v/>
      </c>
      <c r="G208">
        <f>IF(ABS(F208-ROUND(F208,0))&lt;0.001,1,0)</f>
        <v/>
      </c>
      <c r="H208">
        <f>IF(G208=1,F208,CEILING(F208,1))</f>
        <v/>
      </c>
      <c r="I208">
        <f>IF(G208=1,0,(H208-F208)*E208)</f>
        <v/>
      </c>
      <c r="J208">
        <f>E208*F208</f>
        <v/>
      </c>
    </row>
    <row r="209">
      <c r="A209">
        <f>Sources!A209</f>
        <v/>
      </c>
      <c r="B209">
        <f>Sources!B209</f>
        <v/>
      </c>
      <c r="C209">
        <f>Sources!D209</f>
        <v/>
      </c>
      <c r="D209">
        <f>Sources!E209</f>
        <v/>
      </c>
      <c r="E209">
        <f>Sources!F209</f>
        <v/>
      </c>
      <c r="F209">
        <f>Sources!H209</f>
        <v/>
      </c>
      <c r="G209">
        <f>IF(ABS(F209-ROUND(F209,0))&lt;0.001,1,0)</f>
        <v/>
      </c>
      <c r="H209">
        <f>IF(G209=1,F209,CEILING(F209,1))</f>
        <v/>
      </c>
      <c r="I209">
        <f>IF(G209=1,0,(H209-F209)*E209)</f>
        <v/>
      </c>
      <c r="J209">
        <f>E209*F209</f>
        <v/>
      </c>
    </row>
    <row r="210">
      <c r="A210">
        <f>Sources!A210</f>
        <v/>
      </c>
      <c r="B210">
        <f>Sources!B210</f>
        <v/>
      </c>
      <c r="C210">
        <f>Sources!D210</f>
        <v/>
      </c>
      <c r="D210">
        <f>Sources!E210</f>
        <v/>
      </c>
      <c r="E210">
        <f>Sources!F210</f>
        <v/>
      </c>
      <c r="F210">
        <f>Sources!H210</f>
        <v/>
      </c>
      <c r="G210">
        <f>IF(ABS(F210-ROUND(F210,0))&lt;0.001,1,0)</f>
        <v/>
      </c>
      <c r="H210">
        <f>IF(G210=1,F210,CEILING(F210,1))</f>
        <v/>
      </c>
      <c r="I210">
        <f>IF(G210=1,0,(H210-F210)*E210)</f>
        <v/>
      </c>
      <c r="J210">
        <f>E210*F210</f>
        <v/>
      </c>
    </row>
    <row r="211">
      <c r="A211">
        <f>Sources!A211</f>
        <v/>
      </c>
      <c r="B211">
        <f>Sources!B211</f>
        <v/>
      </c>
      <c r="C211">
        <f>Sources!D211</f>
        <v/>
      </c>
      <c r="D211">
        <f>Sources!E211</f>
        <v/>
      </c>
      <c r="E211">
        <f>Sources!F211</f>
        <v/>
      </c>
      <c r="F211">
        <f>Sources!H211</f>
        <v/>
      </c>
      <c r="G211">
        <f>IF(ABS(F211-ROUND(F211,0))&lt;0.001,1,0)</f>
        <v/>
      </c>
      <c r="H211">
        <f>IF(G211=1,F211,CEILING(F211,1))</f>
        <v/>
      </c>
      <c r="I211">
        <f>IF(G211=1,0,(H211-F211)*E211)</f>
        <v/>
      </c>
      <c r="J211">
        <f>E211*F211</f>
        <v/>
      </c>
    </row>
    <row r="212">
      <c r="A212">
        <f>Sources!A212</f>
        <v/>
      </c>
      <c r="B212">
        <f>Sources!B212</f>
        <v/>
      </c>
      <c r="C212">
        <f>Sources!D212</f>
        <v/>
      </c>
      <c r="D212">
        <f>Sources!E212</f>
        <v/>
      </c>
      <c r="E212">
        <f>Sources!F212</f>
        <v/>
      </c>
      <c r="F212">
        <f>Sources!H212</f>
        <v/>
      </c>
      <c r="G212">
        <f>IF(ABS(F212-ROUND(F212,0))&lt;0.001,1,0)</f>
        <v/>
      </c>
      <c r="H212">
        <f>IF(G212=1,F212,CEILING(F212,1))</f>
        <v/>
      </c>
      <c r="I212">
        <f>IF(G212=1,0,(H212-F212)*E212)</f>
        <v/>
      </c>
      <c r="J212">
        <f>E212*F212</f>
        <v/>
      </c>
    </row>
    <row r="213">
      <c r="A213">
        <f>Sources!A213</f>
        <v/>
      </c>
      <c r="B213">
        <f>Sources!B213</f>
        <v/>
      </c>
      <c r="C213">
        <f>Sources!D213</f>
        <v/>
      </c>
      <c r="D213">
        <f>Sources!E213</f>
        <v/>
      </c>
      <c r="E213">
        <f>Sources!F213</f>
        <v/>
      </c>
      <c r="F213">
        <f>Sources!H213</f>
        <v/>
      </c>
      <c r="G213">
        <f>IF(ABS(F213-ROUND(F213,0))&lt;0.001,1,0)</f>
        <v/>
      </c>
      <c r="H213">
        <f>IF(G213=1,F213,CEILING(F213,1))</f>
        <v/>
      </c>
      <c r="I213">
        <f>IF(G213=1,0,(H213-F213)*E213)</f>
        <v/>
      </c>
      <c r="J213">
        <f>E213*F213</f>
        <v/>
      </c>
    </row>
    <row r="214">
      <c r="A214">
        <f>Sources!A214</f>
        <v/>
      </c>
      <c r="B214">
        <f>Sources!B214</f>
        <v/>
      </c>
      <c r="C214">
        <f>Sources!D214</f>
        <v/>
      </c>
      <c r="D214">
        <f>Sources!E214</f>
        <v/>
      </c>
      <c r="E214">
        <f>Sources!F214</f>
        <v/>
      </c>
      <c r="F214">
        <f>Sources!H214</f>
        <v/>
      </c>
      <c r="G214">
        <f>IF(ABS(F214-ROUND(F214,0))&lt;0.001,1,0)</f>
        <v/>
      </c>
      <c r="H214">
        <f>IF(G214=1,F214,CEILING(F214,1))</f>
        <v/>
      </c>
      <c r="I214">
        <f>IF(G214=1,0,(H214-F214)*E214)</f>
        <v/>
      </c>
      <c r="J214">
        <f>E214*F214</f>
        <v/>
      </c>
    </row>
    <row r="215">
      <c r="A215">
        <f>Sources!A215</f>
        <v/>
      </c>
      <c r="B215">
        <f>Sources!B215</f>
        <v/>
      </c>
      <c r="C215">
        <f>Sources!D215</f>
        <v/>
      </c>
      <c r="D215">
        <f>Sources!E215</f>
        <v/>
      </c>
      <c r="E215">
        <f>Sources!F215</f>
        <v/>
      </c>
      <c r="F215">
        <f>Sources!H215</f>
        <v/>
      </c>
      <c r="G215">
        <f>IF(ABS(F215-ROUND(F215,0))&lt;0.001,1,0)</f>
        <v/>
      </c>
      <c r="H215">
        <f>IF(G215=1,F215,CEILING(F215,1))</f>
        <v/>
      </c>
      <c r="I215">
        <f>IF(G215=1,0,(H215-F215)*E215)</f>
        <v/>
      </c>
      <c r="J215">
        <f>E215*F215</f>
        <v/>
      </c>
    </row>
    <row r="216">
      <c r="A216">
        <f>Sources!A216</f>
        <v/>
      </c>
      <c r="B216">
        <f>Sources!B216</f>
        <v/>
      </c>
      <c r="C216">
        <f>Sources!D216</f>
        <v/>
      </c>
      <c r="D216">
        <f>Sources!E216</f>
        <v/>
      </c>
      <c r="E216">
        <f>Sources!F216</f>
        <v/>
      </c>
      <c r="F216">
        <f>Sources!H216</f>
        <v/>
      </c>
      <c r="G216">
        <f>IF(ABS(F216-ROUND(F216,0))&lt;0.001,1,0)</f>
        <v/>
      </c>
      <c r="H216">
        <f>IF(G216=1,F216,CEILING(F216,1))</f>
        <v/>
      </c>
      <c r="I216">
        <f>IF(G216=1,0,(H216-F216)*E216)</f>
        <v/>
      </c>
      <c r="J216">
        <f>E216*F216</f>
        <v/>
      </c>
    </row>
    <row r="217">
      <c r="A217">
        <f>Sources!A217</f>
        <v/>
      </c>
      <c r="B217">
        <f>Sources!B217</f>
        <v/>
      </c>
      <c r="C217">
        <f>Sources!D217</f>
        <v/>
      </c>
      <c r="D217">
        <f>Sources!E217</f>
        <v/>
      </c>
      <c r="E217">
        <f>Sources!F217</f>
        <v/>
      </c>
      <c r="F217">
        <f>Sources!H217</f>
        <v/>
      </c>
      <c r="G217">
        <f>IF(ABS(F217-ROUND(F217,0))&lt;0.001,1,0)</f>
        <v/>
      </c>
      <c r="H217">
        <f>IF(G217=1,F217,CEILING(F217,1))</f>
        <v/>
      </c>
      <c r="I217">
        <f>IF(G217=1,0,(H217-F217)*E217)</f>
        <v/>
      </c>
      <c r="J217">
        <f>E217*F217</f>
        <v/>
      </c>
    </row>
    <row r="218">
      <c r="A218">
        <f>Sources!A218</f>
        <v/>
      </c>
      <c r="B218">
        <f>Sources!B218</f>
        <v/>
      </c>
      <c r="C218">
        <f>Sources!D218</f>
        <v/>
      </c>
      <c r="D218">
        <f>Sources!E218</f>
        <v/>
      </c>
      <c r="E218">
        <f>Sources!F218</f>
        <v/>
      </c>
      <c r="F218">
        <f>Sources!H218</f>
        <v/>
      </c>
      <c r="G218">
        <f>IF(ABS(F218-ROUND(F218,0))&lt;0.001,1,0)</f>
        <v/>
      </c>
      <c r="H218">
        <f>IF(G218=1,F218,CEILING(F218,1))</f>
        <v/>
      </c>
      <c r="I218">
        <f>IF(G218=1,0,(H218-F218)*E218)</f>
        <v/>
      </c>
      <c r="J218">
        <f>E218*F218</f>
        <v/>
      </c>
    </row>
    <row r="219">
      <c r="A219">
        <f>Sources!A219</f>
        <v/>
      </c>
      <c r="B219">
        <f>Sources!B219</f>
        <v/>
      </c>
      <c r="C219">
        <f>Sources!D219</f>
        <v/>
      </c>
      <c r="D219">
        <f>Sources!E219</f>
        <v/>
      </c>
      <c r="E219">
        <f>Sources!F219</f>
        <v/>
      </c>
      <c r="F219">
        <f>Sources!H219</f>
        <v/>
      </c>
      <c r="G219">
        <f>IF(ABS(F219-ROUND(F219,0))&lt;0.001,1,0)</f>
        <v/>
      </c>
      <c r="H219">
        <f>IF(G219=1,F219,CEILING(F219,1))</f>
        <v/>
      </c>
      <c r="I219">
        <f>IF(G219=1,0,(H219-F219)*E219)</f>
        <v/>
      </c>
      <c r="J219">
        <f>E219*F219</f>
        <v/>
      </c>
    </row>
    <row r="220">
      <c r="A220">
        <f>Sources!A220</f>
        <v/>
      </c>
      <c r="B220">
        <f>Sources!B220</f>
        <v/>
      </c>
      <c r="C220">
        <f>Sources!D220</f>
        <v/>
      </c>
      <c r="D220">
        <f>Sources!E220</f>
        <v/>
      </c>
      <c r="E220">
        <f>Sources!F220</f>
        <v/>
      </c>
      <c r="F220">
        <f>Sources!H220</f>
        <v/>
      </c>
      <c r="G220">
        <f>IF(ABS(F220-ROUND(F220,0))&lt;0.001,1,0)</f>
        <v/>
      </c>
      <c r="H220">
        <f>IF(G220=1,F220,CEILING(F220,1))</f>
        <v/>
      </c>
      <c r="I220">
        <f>IF(G220=1,0,(H220-F220)*E220)</f>
        <v/>
      </c>
      <c r="J220">
        <f>E220*F220</f>
        <v/>
      </c>
    </row>
    <row r="221">
      <c r="A221">
        <f>Sources!A221</f>
        <v/>
      </c>
      <c r="B221">
        <f>Sources!B221</f>
        <v/>
      </c>
      <c r="C221">
        <f>Sources!D221</f>
        <v/>
      </c>
      <c r="D221">
        <f>Sources!E221</f>
        <v/>
      </c>
      <c r="E221">
        <f>Sources!F221</f>
        <v/>
      </c>
      <c r="F221">
        <f>Sources!H221</f>
        <v/>
      </c>
      <c r="G221">
        <f>IF(ABS(F221-ROUND(F221,0))&lt;0.001,1,0)</f>
        <v/>
      </c>
      <c r="H221">
        <f>IF(G221=1,F221,CEILING(F221,1))</f>
        <v/>
      </c>
      <c r="I221">
        <f>IF(G221=1,0,(H221-F221)*E221)</f>
        <v/>
      </c>
      <c r="J221">
        <f>E221*F221</f>
        <v/>
      </c>
    </row>
    <row r="222">
      <c r="A222">
        <f>Sources!A222</f>
        <v/>
      </c>
      <c r="B222">
        <f>Sources!B222</f>
        <v/>
      </c>
      <c r="C222">
        <f>Sources!D222</f>
        <v/>
      </c>
      <c r="D222">
        <f>Sources!E222</f>
        <v/>
      </c>
      <c r="E222">
        <f>Sources!F222</f>
        <v/>
      </c>
      <c r="F222">
        <f>Sources!H222</f>
        <v/>
      </c>
      <c r="G222">
        <f>IF(ABS(F222-ROUND(F222,0))&lt;0.001,1,0)</f>
        <v/>
      </c>
      <c r="H222">
        <f>IF(G222=1,F222,CEILING(F222,1))</f>
        <v/>
      </c>
      <c r="I222">
        <f>IF(G222=1,0,(H222-F222)*E222)</f>
        <v/>
      </c>
      <c r="J222">
        <f>E222*F222</f>
        <v/>
      </c>
    </row>
    <row r="223">
      <c r="A223">
        <f>Sources!A223</f>
        <v/>
      </c>
      <c r="B223">
        <f>Sources!B223</f>
        <v/>
      </c>
      <c r="C223">
        <f>Sources!D223</f>
        <v/>
      </c>
      <c r="D223">
        <f>Sources!E223</f>
        <v/>
      </c>
      <c r="E223">
        <f>Sources!F223</f>
        <v/>
      </c>
      <c r="F223">
        <f>Sources!H223</f>
        <v/>
      </c>
      <c r="G223">
        <f>IF(ABS(F223-ROUND(F223,0))&lt;0.001,1,0)</f>
        <v/>
      </c>
      <c r="H223">
        <f>IF(G223=1,F223,CEILING(F223,1))</f>
        <v/>
      </c>
      <c r="I223">
        <f>IF(G223=1,0,(H223-F223)*E223)</f>
        <v/>
      </c>
      <c r="J223">
        <f>E223*F223</f>
        <v/>
      </c>
    </row>
    <row r="224">
      <c r="A224">
        <f>Sources!A224</f>
        <v/>
      </c>
      <c r="B224">
        <f>Sources!B224</f>
        <v/>
      </c>
      <c r="C224">
        <f>Sources!D224</f>
        <v/>
      </c>
      <c r="D224">
        <f>Sources!E224</f>
        <v/>
      </c>
      <c r="E224">
        <f>Sources!F224</f>
        <v/>
      </c>
      <c r="F224">
        <f>Sources!H224</f>
        <v/>
      </c>
      <c r="G224">
        <f>IF(ABS(F224-ROUND(F224,0))&lt;0.001,1,0)</f>
        <v/>
      </c>
      <c r="H224">
        <f>IF(G224=1,F224,CEILING(F224,1))</f>
        <v/>
      </c>
      <c r="I224">
        <f>IF(G224=1,0,(H224-F224)*E224)</f>
        <v/>
      </c>
      <c r="J224">
        <f>E224*F224</f>
        <v/>
      </c>
    </row>
    <row r="225">
      <c r="A225">
        <f>Sources!A225</f>
        <v/>
      </c>
      <c r="B225">
        <f>Sources!B225</f>
        <v/>
      </c>
      <c r="C225">
        <f>Sources!D225</f>
        <v/>
      </c>
      <c r="D225">
        <f>Sources!E225</f>
        <v/>
      </c>
      <c r="E225">
        <f>Sources!F225</f>
        <v/>
      </c>
      <c r="F225">
        <f>Sources!H225</f>
        <v/>
      </c>
      <c r="G225">
        <f>IF(ABS(F225-ROUND(F225,0))&lt;0.001,1,0)</f>
        <v/>
      </c>
      <c r="H225">
        <f>IF(G225=1,F225,CEILING(F225,1))</f>
        <v/>
      </c>
      <c r="I225">
        <f>IF(G225=1,0,(H225-F225)*E225)</f>
        <v/>
      </c>
      <c r="J225">
        <f>E225*F225</f>
        <v/>
      </c>
    </row>
    <row r="226">
      <c r="A226">
        <f>Sources!A226</f>
        <v/>
      </c>
      <c r="B226">
        <f>Sources!B226</f>
        <v/>
      </c>
      <c r="C226">
        <f>Sources!D226</f>
        <v/>
      </c>
      <c r="D226">
        <f>Sources!E226</f>
        <v/>
      </c>
      <c r="E226">
        <f>Sources!F226</f>
        <v/>
      </c>
      <c r="F226">
        <f>Sources!H226</f>
        <v/>
      </c>
      <c r="G226">
        <f>IF(ABS(F226-ROUND(F226,0))&lt;0.001,1,0)</f>
        <v/>
      </c>
      <c r="H226">
        <f>IF(G226=1,F226,CEILING(F226,1))</f>
        <v/>
      </c>
      <c r="I226">
        <f>IF(G226=1,0,(H226-F226)*E226)</f>
        <v/>
      </c>
      <c r="J226">
        <f>E226*F226</f>
        <v/>
      </c>
    </row>
    <row r="227">
      <c r="A227">
        <f>Sources!A227</f>
        <v/>
      </c>
      <c r="B227">
        <f>Sources!B227</f>
        <v/>
      </c>
      <c r="C227">
        <f>Sources!D227</f>
        <v/>
      </c>
      <c r="D227">
        <f>Sources!E227</f>
        <v/>
      </c>
      <c r="E227">
        <f>Sources!F227</f>
        <v/>
      </c>
      <c r="F227">
        <f>Sources!H227</f>
        <v/>
      </c>
      <c r="G227">
        <f>IF(ABS(F227-ROUND(F227,0))&lt;0.001,1,0)</f>
        <v/>
      </c>
      <c r="H227">
        <f>IF(G227=1,F227,CEILING(F227,1))</f>
        <v/>
      </c>
      <c r="I227">
        <f>IF(G227=1,0,(H227-F227)*E227)</f>
        <v/>
      </c>
      <c r="J227">
        <f>E227*F227</f>
        <v/>
      </c>
    </row>
    <row r="228">
      <c r="A228">
        <f>Sources!A228</f>
        <v/>
      </c>
      <c r="B228">
        <f>Sources!B228</f>
        <v/>
      </c>
      <c r="C228">
        <f>Sources!D228</f>
        <v/>
      </c>
      <c r="D228">
        <f>Sources!E228</f>
        <v/>
      </c>
      <c r="E228">
        <f>Sources!F228</f>
        <v/>
      </c>
      <c r="F228">
        <f>Sources!H228</f>
        <v/>
      </c>
      <c r="G228">
        <f>IF(ABS(F228-ROUND(F228,0))&lt;0.001,1,0)</f>
        <v/>
      </c>
      <c r="H228">
        <f>IF(G228=1,F228,CEILING(F228,1))</f>
        <v/>
      </c>
      <c r="I228">
        <f>IF(G228=1,0,(H228-F228)*E228)</f>
        <v/>
      </c>
      <c r="J228">
        <f>E228*F228</f>
        <v/>
      </c>
    </row>
    <row r="229">
      <c r="A229">
        <f>Sources!A229</f>
        <v/>
      </c>
      <c r="B229">
        <f>Sources!B229</f>
        <v/>
      </c>
      <c r="C229">
        <f>Sources!D229</f>
        <v/>
      </c>
      <c r="D229">
        <f>Sources!E229</f>
        <v/>
      </c>
      <c r="E229">
        <f>Sources!F229</f>
        <v/>
      </c>
      <c r="F229">
        <f>Sources!H229</f>
        <v/>
      </c>
      <c r="G229">
        <f>IF(ABS(F229-ROUND(F229,0))&lt;0.001,1,0)</f>
        <v/>
      </c>
      <c r="H229">
        <f>IF(G229=1,F229,CEILING(F229,1))</f>
        <v/>
      </c>
      <c r="I229">
        <f>IF(G229=1,0,(H229-F229)*E229)</f>
        <v/>
      </c>
      <c r="J229">
        <f>E229*F229</f>
        <v/>
      </c>
    </row>
    <row r="230">
      <c r="A230">
        <f>Sources!A230</f>
        <v/>
      </c>
      <c r="B230">
        <f>Sources!B230</f>
        <v/>
      </c>
      <c r="C230">
        <f>Sources!D230</f>
        <v/>
      </c>
      <c r="D230">
        <f>Sources!E230</f>
        <v/>
      </c>
      <c r="E230">
        <f>Sources!F230</f>
        <v/>
      </c>
      <c r="F230">
        <f>Sources!H230</f>
        <v/>
      </c>
      <c r="G230">
        <f>IF(ABS(F230-ROUND(F230,0))&lt;0.001,1,0)</f>
        <v/>
      </c>
      <c r="H230">
        <f>IF(G230=1,F230,CEILING(F230,1))</f>
        <v/>
      </c>
      <c r="I230">
        <f>IF(G230=1,0,(H230-F230)*E230)</f>
        <v/>
      </c>
      <c r="J230">
        <f>E230*F230</f>
        <v/>
      </c>
    </row>
    <row r="231">
      <c r="A231">
        <f>Sources!A231</f>
        <v/>
      </c>
      <c r="B231">
        <f>Sources!B231</f>
        <v/>
      </c>
      <c r="C231">
        <f>Sources!D231</f>
        <v/>
      </c>
      <c r="D231">
        <f>Sources!E231</f>
        <v/>
      </c>
      <c r="E231">
        <f>Sources!F231</f>
        <v/>
      </c>
      <c r="F231">
        <f>Sources!H231</f>
        <v/>
      </c>
      <c r="G231">
        <f>IF(ABS(F231-ROUND(F231,0))&lt;0.001,1,0)</f>
        <v/>
      </c>
      <c r="H231">
        <f>IF(G231=1,F231,CEILING(F231,1))</f>
        <v/>
      </c>
      <c r="I231">
        <f>IF(G231=1,0,(H231-F231)*E231)</f>
        <v/>
      </c>
      <c r="J231">
        <f>E231*F231</f>
        <v/>
      </c>
    </row>
    <row r="232">
      <c r="A232">
        <f>Sources!A232</f>
        <v/>
      </c>
      <c r="B232">
        <f>Sources!B232</f>
        <v/>
      </c>
      <c r="C232">
        <f>Sources!D232</f>
        <v/>
      </c>
      <c r="D232">
        <f>Sources!E232</f>
        <v/>
      </c>
      <c r="E232">
        <f>Sources!F232</f>
        <v/>
      </c>
      <c r="F232">
        <f>Sources!H232</f>
        <v/>
      </c>
      <c r="G232">
        <f>IF(ABS(F232-ROUND(F232,0))&lt;0.001,1,0)</f>
        <v/>
      </c>
      <c r="H232">
        <f>IF(G232=1,F232,CEILING(F232,1))</f>
        <v/>
      </c>
      <c r="I232">
        <f>IF(G232=1,0,(H232-F232)*E232)</f>
        <v/>
      </c>
      <c r="J232">
        <f>E232*F232</f>
        <v/>
      </c>
    </row>
    <row r="233">
      <c r="A233">
        <f>Sources!A233</f>
        <v/>
      </c>
      <c r="B233">
        <f>Sources!B233</f>
        <v/>
      </c>
      <c r="C233">
        <f>Sources!D233</f>
        <v/>
      </c>
      <c r="D233">
        <f>Sources!E233</f>
        <v/>
      </c>
      <c r="E233">
        <f>Sources!F233</f>
        <v/>
      </c>
      <c r="F233">
        <f>Sources!H233</f>
        <v/>
      </c>
      <c r="G233">
        <f>IF(ABS(F233-ROUND(F233,0))&lt;0.001,1,0)</f>
        <v/>
      </c>
      <c r="H233">
        <f>IF(G233=1,F233,CEILING(F233,1))</f>
        <v/>
      </c>
      <c r="I233">
        <f>IF(G233=1,0,(H233-F233)*E233)</f>
        <v/>
      </c>
      <c r="J233">
        <f>E233*F233</f>
        <v/>
      </c>
    </row>
    <row r="234">
      <c r="A234">
        <f>Sources!A234</f>
        <v/>
      </c>
      <c r="B234">
        <f>Sources!B234</f>
        <v/>
      </c>
      <c r="C234">
        <f>Sources!D234</f>
        <v/>
      </c>
      <c r="D234">
        <f>Sources!E234</f>
        <v/>
      </c>
      <c r="E234">
        <f>Sources!F234</f>
        <v/>
      </c>
      <c r="F234">
        <f>Sources!H234</f>
        <v/>
      </c>
      <c r="G234">
        <f>IF(ABS(F234-ROUND(F234,0))&lt;0.001,1,0)</f>
        <v/>
      </c>
      <c r="H234">
        <f>IF(G234=1,F234,CEILING(F234,1))</f>
        <v/>
      </c>
      <c r="I234">
        <f>IF(G234=1,0,(H234-F234)*E234)</f>
        <v/>
      </c>
      <c r="J234">
        <f>E234*F234</f>
        <v/>
      </c>
    </row>
    <row r="235">
      <c r="A235">
        <f>Sources!A235</f>
        <v/>
      </c>
      <c r="B235">
        <f>Sources!B235</f>
        <v/>
      </c>
      <c r="C235">
        <f>Sources!D235</f>
        <v/>
      </c>
      <c r="D235">
        <f>Sources!E235</f>
        <v/>
      </c>
      <c r="E235">
        <f>Sources!F235</f>
        <v/>
      </c>
      <c r="F235">
        <f>Sources!H235</f>
        <v/>
      </c>
      <c r="G235">
        <f>IF(ABS(F235-ROUND(F235,0))&lt;0.001,1,0)</f>
        <v/>
      </c>
      <c r="H235">
        <f>IF(G235=1,F235,CEILING(F235,1))</f>
        <v/>
      </c>
      <c r="I235">
        <f>IF(G235=1,0,(H235-F235)*E235)</f>
        <v/>
      </c>
      <c r="J235">
        <f>E235*F235</f>
        <v/>
      </c>
    </row>
    <row r="236">
      <c r="A236">
        <f>Sources!A236</f>
        <v/>
      </c>
      <c r="B236">
        <f>Sources!B236</f>
        <v/>
      </c>
      <c r="C236">
        <f>Sources!D236</f>
        <v/>
      </c>
      <c r="D236">
        <f>Sources!E236</f>
        <v/>
      </c>
      <c r="E236">
        <f>Sources!F236</f>
        <v/>
      </c>
      <c r="F236">
        <f>Sources!H236</f>
        <v/>
      </c>
      <c r="G236">
        <f>IF(ABS(F236-ROUND(F236,0))&lt;0.001,1,0)</f>
        <v/>
      </c>
      <c r="H236">
        <f>IF(G236=1,F236,CEILING(F236,1))</f>
        <v/>
      </c>
      <c r="I236">
        <f>IF(G236=1,0,(H236-F236)*E236)</f>
        <v/>
      </c>
      <c r="J236">
        <f>E236*F236</f>
        <v/>
      </c>
    </row>
    <row r="237">
      <c r="A237">
        <f>Sources!A237</f>
        <v/>
      </c>
      <c r="B237">
        <f>Sources!B237</f>
        <v/>
      </c>
      <c r="C237">
        <f>Sources!D237</f>
        <v/>
      </c>
      <c r="D237">
        <f>Sources!E237</f>
        <v/>
      </c>
      <c r="E237">
        <f>Sources!F237</f>
        <v/>
      </c>
      <c r="F237">
        <f>Sources!H237</f>
        <v/>
      </c>
      <c r="G237">
        <f>IF(ABS(F237-ROUND(F237,0))&lt;0.001,1,0)</f>
        <v/>
      </c>
      <c r="H237">
        <f>IF(G237=1,F237,CEILING(F237,1))</f>
        <v/>
      </c>
      <c r="I237">
        <f>IF(G237=1,0,(H237-F237)*E237)</f>
        <v/>
      </c>
      <c r="J237">
        <f>E237*F237</f>
        <v/>
      </c>
    </row>
    <row r="238">
      <c r="A238">
        <f>Sources!A238</f>
        <v/>
      </c>
      <c r="B238">
        <f>Sources!B238</f>
        <v/>
      </c>
      <c r="C238">
        <f>Sources!D238</f>
        <v/>
      </c>
      <c r="D238">
        <f>Sources!E238</f>
        <v/>
      </c>
      <c r="E238">
        <f>Sources!F238</f>
        <v/>
      </c>
      <c r="F238">
        <f>Sources!H238</f>
        <v/>
      </c>
      <c r="G238">
        <f>IF(ABS(F238-ROUND(F238,0))&lt;0.001,1,0)</f>
        <v/>
      </c>
      <c r="H238">
        <f>IF(G238=1,F238,CEILING(F238,1))</f>
        <v/>
      </c>
      <c r="I238">
        <f>IF(G238=1,0,(H238-F238)*E238)</f>
        <v/>
      </c>
      <c r="J238">
        <f>E238*F238</f>
        <v/>
      </c>
    </row>
    <row r="239">
      <c r="A239">
        <f>Sources!A239</f>
        <v/>
      </c>
      <c r="B239">
        <f>Sources!B239</f>
        <v/>
      </c>
      <c r="C239">
        <f>Sources!D239</f>
        <v/>
      </c>
      <c r="D239">
        <f>Sources!E239</f>
        <v/>
      </c>
      <c r="E239">
        <f>Sources!F239</f>
        <v/>
      </c>
      <c r="F239">
        <f>Sources!H239</f>
        <v/>
      </c>
      <c r="G239">
        <f>IF(ABS(F239-ROUND(F239,0))&lt;0.001,1,0)</f>
        <v/>
      </c>
      <c r="H239">
        <f>IF(G239=1,F239,CEILING(F239,1))</f>
        <v/>
      </c>
      <c r="I239">
        <f>IF(G239=1,0,(H239-F239)*E239)</f>
        <v/>
      </c>
      <c r="J239">
        <f>E239*F239</f>
        <v/>
      </c>
    </row>
    <row r="240">
      <c r="A240">
        <f>Sources!A240</f>
        <v/>
      </c>
      <c r="B240">
        <f>Sources!B240</f>
        <v/>
      </c>
      <c r="C240">
        <f>Sources!D240</f>
        <v/>
      </c>
      <c r="D240">
        <f>Sources!E240</f>
        <v/>
      </c>
      <c r="E240">
        <f>Sources!F240</f>
        <v/>
      </c>
      <c r="F240">
        <f>Sources!H240</f>
        <v/>
      </c>
      <c r="G240">
        <f>IF(ABS(F240-ROUND(F240,0))&lt;0.001,1,0)</f>
        <v/>
      </c>
      <c r="H240">
        <f>IF(G240=1,F240,CEILING(F240,1))</f>
        <v/>
      </c>
      <c r="I240">
        <f>IF(G240=1,0,(H240-F240)*E240)</f>
        <v/>
      </c>
      <c r="J240">
        <f>E240*F240</f>
        <v/>
      </c>
    </row>
    <row r="241">
      <c r="A241">
        <f>Sources!A241</f>
        <v/>
      </c>
      <c r="B241">
        <f>Sources!B241</f>
        <v/>
      </c>
      <c r="C241">
        <f>Sources!D241</f>
        <v/>
      </c>
      <c r="D241">
        <f>Sources!E241</f>
        <v/>
      </c>
      <c r="E241">
        <f>Sources!F241</f>
        <v/>
      </c>
      <c r="F241">
        <f>Sources!H241</f>
        <v/>
      </c>
      <c r="G241">
        <f>IF(ABS(F241-ROUND(F241,0))&lt;0.001,1,0)</f>
        <v/>
      </c>
      <c r="H241">
        <f>IF(G241=1,F241,CEILING(F241,1))</f>
        <v/>
      </c>
      <c r="I241">
        <f>IF(G241=1,0,(H241-F241)*E241)</f>
        <v/>
      </c>
      <c r="J241">
        <f>E241*F241</f>
        <v/>
      </c>
    </row>
    <row r="242">
      <c r="A242">
        <f>Sources!A242</f>
        <v/>
      </c>
      <c r="B242">
        <f>Sources!B242</f>
        <v/>
      </c>
      <c r="C242">
        <f>Sources!D242</f>
        <v/>
      </c>
      <c r="D242">
        <f>Sources!E242</f>
        <v/>
      </c>
      <c r="E242">
        <f>Sources!F242</f>
        <v/>
      </c>
      <c r="F242">
        <f>Sources!H242</f>
        <v/>
      </c>
      <c r="G242">
        <f>IF(ABS(F242-ROUND(F242,0))&lt;0.001,1,0)</f>
        <v/>
      </c>
      <c r="H242">
        <f>IF(G242=1,F242,CEILING(F242,1))</f>
        <v/>
      </c>
      <c r="I242">
        <f>IF(G242=1,0,(H242-F242)*E242)</f>
        <v/>
      </c>
      <c r="J242">
        <f>E242*F242</f>
        <v/>
      </c>
    </row>
    <row r="243">
      <c r="A243">
        <f>Sources!A243</f>
        <v/>
      </c>
      <c r="B243">
        <f>Sources!B243</f>
        <v/>
      </c>
      <c r="C243">
        <f>Sources!D243</f>
        <v/>
      </c>
      <c r="D243">
        <f>Sources!E243</f>
        <v/>
      </c>
      <c r="E243">
        <f>Sources!F243</f>
        <v/>
      </c>
      <c r="F243">
        <f>Sources!H243</f>
        <v/>
      </c>
      <c r="G243">
        <f>IF(ABS(F243-ROUND(F243,0))&lt;0.001,1,0)</f>
        <v/>
      </c>
      <c r="H243">
        <f>IF(G243=1,F243,CEILING(F243,1))</f>
        <v/>
      </c>
      <c r="I243">
        <f>IF(G243=1,0,(H243-F243)*E243)</f>
        <v/>
      </c>
      <c r="J243">
        <f>E243*F243</f>
        <v/>
      </c>
    </row>
    <row r="244">
      <c r="A244">
        <f>Sources!A244</f>
        <v/>
      </c>
      <c r="B244">
        <f>Sources!B244</f>
        <v/>
      </c>
      <c r="C244">
        <f>Sources!D244</f>
        <v/>
      </c>
      <c r="D244">
        <f>Sources!E244</f>
        <v/>
      </c>
      <c r="E244">
        <f>Sources!F244</f>
        <v/>
      </c>
      <c r="F244">
        <f>Sources!H244</f>
        <v/>
      </c>
      <c r="G244">
        <f>IF(ABS(F244-ROUND(F244,0))&lt;0.001,1,0)</f>
        <v/>
      </c>
      <c r="H244">
        <f>IF(G244=1,F244,CEILING(F244,1))</f>
        <v/>
      </c>
      <c r="I244">
        <f>IF(G244=1,0,(H244-F244)*E244)</f>
        <v/>
      </c>
      <c r="J244">
        <f>E244*F244</f>
        <v/>
      </c>
    </row>
    <row r="245">
      <c r="A245">
        <f>Sources!A245</f>
        <v/>
      </c>
      <c r="B245">
        <f>Sources!B245</f>
        <v/>
      </c>
      <c r="C245">
        <f>Sources!D245</f>
        <v/>
      </c>
      <c r="D245">
        <f>Sources!E245</f>
        <v/>
      </c>
      <c r="E245">
        <f>Sources!F245</f>
        <v/>
      </c>
      <c r="F245">
        <f>Sources!H245</f>
        <v/>
      </c>
      <c r="G245">
        <f>IF(ABS(F245-ROUND(F245,0))&lt;0.001,1,0)</f>
        <v/>
      </c>
      <c r="H245">
        <f>IF(G245=1,F245,CEILING(F245,1))</f>
        <v/>
      </c>
      <c r="I245">
        <f>IF(G245=1,0,(H245-F245)*E245)</f>
        <v/>
      </c>
      <c r="J245">
        <f>E245*F245</f>
        <v/>
      </c>
    </row>
    <row r="246">
      <c r="A246">
        <f>Sources!A246</f>
        <v/>
      </c>
      <c r="B246">
        <f>Sources!B246</f>
        <v/>
      </c>
      <c r="C246">
        <f>Sources!D246</f>
        <v/>
      </c>
      <c r="D246">
        <f>Sources!E246</f>
        <v/>
      </c>
      <c r="E246">
        <f>Sources!F246</f>
        <v/>
      </c>
      <c r="F246">
        <f>Sources!H246</f>
        <v/>
      </c>
      <c r="G246">
        <f>IF(ABS(F246-ROUND(F246,0))&lt;0.001,1,0)</f>
        <v/>
      </c>
      <c r="H246">
        <f>IF(G246=1,F246,CEILING(F246,1))</f>
        <v/>
      </c>
      <c r="I246">
        <f>IF(G246=1,0,(H246-F246)*E246)</f>
        <v/>
      </c>
      <c r="J246">
        <f>E246*F246</f>
        <v/>
      </c>
    </row>
    <row r="247">
      <c r="A247">
        <f>Sources!A247</f>
        <v/>
      </c>
      <c r="B247">
        <f>Sources!B247</f>
        <v/>
      </c>
      <c r="C247">
        <f>Sources!D247</f>
        <v/>
      </c>
      <c r="D247">
        <f>Sources!E247</f>
        <v/>
      </c>
      <c r="E247">
        <f>Sources!F247</f>
        <v/>
      </c>
      <c r="F247">
        <f>Sources!H247</f>
        <v/>
      </c>
      <c r="G247">
        <f>IF(ABS(F247-ROUND(F247,0))&lt;0.001,1,0)</f>
        <v/>
      </c>
      <c r="H247">
        <f>IF(G247=1,F247,CEILING(F247,1))</f>
        <v/>
      </c>
      <c r="I247">
        <f>IF(G247=1,0,(H247-F247)*E247)</f>
        <v/>
      </c>
      <c r="J247">
        <f>E247*F247</f>
        <v/>
      </c>
    </row>
    <row r="248">
      <c r="A248">
        <f>Sources!A248</f>
        <v/>
      </c>
      <c r="B248">
        <f>Sources!B248</f>
        <v/>
      </c>
      <c r="C248">
        <f>Sources!D248</f>
        <v/>
      </c>
      <c r="D248">
        <f>Sources!E248</f>
        <v/>
      </c>
      <c r="E248">
        <f>Sources!F248</f>
        <v/>
      </c>
      <c r="F248">
        <f>Sources!H248</f>
        <v/>
      </c>
      <c r="G248">
        <f>IF(ABS(F248-ROUND(F248,0))&lt;0.001,1,0)</f>
        <v/>
      </c>
      <c r="H248">
        <f>IF(G248=1,F248,CEILING(F248,1))</f>
        <v/>
      </c>
      <c r="I248">
        <f>IF(G248=1,0,(H248-F248)*E248)</f>
        <v/>
      </c>
      <c r="J248">
        <f>E248*F248</f>
        <v/>
      </c>
    </row>
    <row r="249">
      <c r="A249">
        <f>Sources!A249</f>
        <v/>
      </c>
      <c r="B249">
        <f>Sources!B249</f>
        <v/>
      </c>
      <c r="C249">
        <f>Sources!D249</f>
        <v/>
      </c>
      <c r="D249">
        <f>Sources!E249</f>
        <v/>
      </c>
      <c r="E249">
        <f>Sources!F249</f>
        <v/>
      </c>
      <c r="F249">
        <f>Sources!H249</f>
        <v/>
      </c>
      <c r="G249">
        <f>IF(ABS(F249-ROUND(F249,0))&lt;0.001,1,0)</f>
        <v/>
      </c>
      <c r="H249">
        <f>IF(G249=1,F249,CEILING(F249,1))</f>
        <v/>
      </c>
      <c r="I249">
        <f>IF(G249=1,0,(H249-F249)*E249)</f>
        <v/>
      </c>
      <c r="J249">
        <f>E249*F249</f>
        <v/>
      </c>
    </row>
    <row r="250">
      <c r="A250">
        <f>Sources!A250</f>
        <v/>
      </c>
      <c r="B250">
        <f>Sources!B250</f>
        <v/>
      </c>
      <c r="C250">
        <f>Sources!D250</f>
        <v/>
      </c>
      <c r="D250">
        <f>Sources!E250</f>
        <v/>
      </c>
      <c r="E250">
        <f>Sources!F250</f>
        <v/>
      </c>
      <c r="F250">
        <f>Sources!H250</f>
        <v/>
      </c>
      <c r="G250">
        <f>IF(ABS(F250-ROUND(F250,0))&lt;0.001,1,0)</f>
        <v/>
      </c>
      <c r="H250">
        <f>IF(G250=1,F250,CEILING(F250,1))</f>
        <v/>
      </c>
      <c r="I250">
        <f>IF(G250=1,0,(H250-F250)*E250)</f>
        <v/>
      </c>
      <c r="J250">
        <f>E250*F250</f>
        <v/>
      </c>
    </row>
    <row r="251">
      <c r="A251">
        <f>Sources!A251</f>
        <v/>
      </c>
      <c r="B251">
        <f>Sources!B251</f>
        <v/>
      </c>
      <c r="C251">
        <f>Sources!D251</f>
        <v/>
      </c>
      <c r="D251">
        <f>Sources!E251</f>
        <v/>
      </c>
      <c r="E251">
        <f>Sources!F251</f>
        <v/>
      </c>
      <c r="F251">
        <f>Sources!H251</f>
        <v/>
      </c>
      <c r="G251">
        <f>IF(ABS(F251-ROUND(F251,0))&lt;0.001,1,0)</f>
        <v/>
      </c>
      <c r="H251">
        <f>IF(G251=1,F251,CEILING(F251,1))</f>
        <v/>
      </c>
      <c r="I251">
        <f>IF(G251=1,0,(H251-F251)*E251)</f>
        <v/>
      </c>
      <c r="J251">
        <f>E251*F251</f>
        <v/>
      </c>
    </row>
    <row r="252">
      <c r="A252">
        <f>Sources!A252</f>
        <v/>
      </c>
      <c r="B252">
        <f>Sources!B252</f>
        <v/>
      </c>
      <c r="C252">
        <f>Sources!D252</f>
        <v/>
      </c>
      <c r="D252">
        <f>Sources!E252</f>
        <v/>
      </c>
      <c r="E252">
        <f>Sources!F252</f>
        <v/>
      </c>
      <c r="F252">
        <f>Sources!H252</f>
        <v/>
      </c>
      <c r="G252">
        <f>IF(ABS(F252-ROUND(F252,0))&lt;0.001,1,0)</f>
        <v/>
      </c>
      <c r="H252">
        <f>IF(G252=1,F252,CEILING(F252,1))</f>
        <v/>
      </c>
      <c r="I252">
        <f>IF(G252=1,0,(H252-F252)*E252)</f>
        <v/>
      </c>
      <c r="J252">
        <f>E252*F252</f>
        <v/>
      </c>
    </row>
    <row r="253">
      <c r="A253">
        <f>Sources!A253</f>
        <v/>
      </c>
      <c r="B253">
        <f>Sources!B253</f>
        <v/>
      </c>
      <c r="C253">
        <f>Sources!D253</f>
        <v/>
      </c>
      <c r="D253">
        <f>Sources!E253</f>
        <v/>
      </c>
      <c r="E253">
        <f>Sources!F253</f>
        <v/>
      </c>
      <c r="F253">
        <f>Sources!H253</f>
        <v/>
      </c>
      <c r="G253">
        <f>IF(ABS(F253-ROUND(F253,0))&lt;0.001,1,0)</f>
        <v/>
      </c>
      <c r="H253">
        <f>IF(G253=1,F253,CEILING(F253,1))</f>
        <v/>
      </c>
      <c r="I253">
        <f>IF(G253=1,0,(H253-F253)*E253)</f>
        <v/>
      </c>
      <c r="J253">
        <f>E253*F253</f>
        <v/>
      </c>
    </row>
    <row r="254">
      <c r="A254">
        <f>Sources!A254</f>
        <v/>
      </c>
      <c r="B254">
        <f>Sources!B254</f>
        <v/>
      </c>
      <c r="C254">
        <f>Sources!D254</f>
        <v/>
      </c>
      <c r="D254">
        <f>Sources!E254</f>
        <v/>
      </c>
      <c r="E254">
        <f>Sources!F254</f>
        <v/>
      </c>
      <c r="F254">
        <f>Sources!H254</f>
        <v/>
      </c>
      <c r="G254">
        <f>IF(ABS(F254-ROUND(F254,0))&lt;0.001,1,0)</f>
        <v/>
      </c>
      <c r="H254">
        <f>IF(G254=1,F254,CEILING(F254,1))</f>
        <v/>
      </c>
      <c r="I254">
        <f>IF(G254=1,0,(H254-F254)*E254)</f>
        <v/>
      </c>
      <c r="J254">
        <f>E254*F254</f>
        <v/>
      </c>
    </row>
    <row r="255">
      <c r="A255">
        <f>Sources!A255</f>
        <v/>
      </c>
      <c r="B255">
        <f>Sources!B255</f>
        <v/>
      </c>
      <c r="C255">
        <f>Sources!D255</f>
        <v/>
      </c>
      <c r="D255">
        <f>Sources!E255</f>
        <v/>
      </c>
      <c r="E255">
        <f>Sources!F255</f>
        <v/>
      </c>
      <c r="F255">
        <f>Sources!H255</f>
        <v/>
      </c>
      <c r="G255">
        <f>IF(ABS(F255-ROUND(F255,0))&lt;0.001,1,0)</f>
        <v/>
      </c>
      <c r="H255">
        <f>IF(G255=1,F255,CEILING(F255,1))</f>
        <v/>
      </c>
      <c r="I255">
        <f>IF(G255=1,0,(H255-F255)*E255)</f>
        <v/>
      </c>
      <c r="J255">
        <f>E255*F255</f>
        <v/>
      </c>
    </row>
    <row r="256">
      <c r="A256">
        <f>Sources!A256</f>
        <v/>
      </c>
      <c r="B256">
        <f>Sources!B256</f>
        <v/>
      </c>
      <c r="C256">
        <f>Sources!D256</f>
        <v/>
      </c>
      <c r="D256">
        <f>Sources!E256</f>
        <v/>
      </c>
      <c r="E256">
        <f>Sources!F256</f>
        <v/>
      </c>
      <c r="F256">
        <f>Sources!H256</f>
        <v/>
      </c>
      <c r="G256">
        <f>IF(ABS(F256-ROUND(F256,0))&lt;0.001,1,0)</f>
        <v/>
      </c>
      <c r="H256">
        <f>IF(G256=1,F256,CEILING(F256,1))</f>
        <v/>
      </c>
      <c r="I256">
        <f>IF(G256=1,0,(H256-F256)*E256)</f>
        <v/>
      </c>
      <c r="J256">
        <f>E256*F256</f>
        <v/>
      </c>
    </row>
    <row r="257">
      <c r="A257">
        <f>Sources!A257</f>
        <v/>
      </c>
      <c r="B257">
        <f>Sources!B257</f>
        <v/>
      </c>
      <c r="C257">
        <f>Sources!D257</f>
        <v/>
      </c>
      <c r="D257">
        <f>Sources!E257</f>
        <v/>
      </c>
      <c r="E257">
        <f>Sources!F257</f>
        <v/>
      </c>
      <c r="F257">
        <f>Sources!H257</f>
        <v/>
      </c>
      <c r="G257">
        <f>IF(ABS(F257-ROUND(F257,0))&lt;0.001,1,0)</f>
        <v/>
      </c>
      <c r="H257">
        <f>IF(G257=1,F257,CEILING(F257,1))</f>
        <v/>
      </c>
      <c r="I257">
        <f>IF(G257=1,0,(H257-F257)*E257)</f>
        <v/>
      </c>
      <c r="J257">
        <f>E257*F257</f>
        <v/>
      </c>
    </row>
    <row r="258">
      <c r="A258">
        <f>Sources!A258</f>
        <v/>
      </c>
      <c r="B258">
        <f>Sources!B258</f>
        <v/>
      </c>
      <c r="C258">
        <f>Sources!D258</f>
        <v/>
      </c>
      <c r="D258">
        <f>Sources!E258</f>
        <v/>
      </c>
      <c r="E258">
        <f>Sources!F258</f>
        <v/>
      </c>
      <c r="F258">
        <f>Sources!H258</f>
        <v/>
      </c>
      <c r="G258">
        <f>IF(ABS(F258-ROUND(F258,0))&lt;0.001,1,0)</f>
        <v/>
      </c>
      <c r="H258">
        <f>IF(G258=1,F258,CEILING(F258,1))</f>
        <v/>
      </c>
      <c r="I258">
        <f>IF(G258=1,0,(H258-F258)*E258)</f>
        <v/>
      </c>
      <c r="J258">
        <f>E258*F258</f>
        <v/>
      </c>
    </row>
    <row r="259">
      <c r="A259">
        <f>Sources!A259</f>
        <v/>
      </c>
      <c r="B259">
        <f>Sources!B259</f>
        <v/>
      </c>
      <c r="C259">
        <f>Sources!D259</f>
        <v/>
      </c>
      <c r="D259">
        <f>Sources!E259</f>
        <v/>
      </c>
      <c r="E259">
        <f>Sources!F259</f>
        <v/>
      </c>
      <c r="F259">
        <f>Sources!H259</f>
        <v/>
      </c>
      <c r="G259">
        <f>IF(ABS(F259-ROUND(F259,0))&lt;0.001,1,0)</f>
        <v/>
      </c>
      <c r="H259">
        <f>IF(G259=1,F259,CEILING(F259,1))</f>
        <v/>
      </c>
      <c r="I259">
        <f>IF(G259=1,0,(H259-F259)*E259)</f>
        <v/>
      </c>
      <c r="J259">
        <f>E259*F259</f>
        <v/>
      </c>
    </row>
    <row r="260">
      <c r="A260">
        <f>Sources!A260</f>
        <v/>
      </c>
      <c r="B260">
        <f>Sources!B260</f>
        <v/>
      </c>
      <c r="C260">
        <f>Sources!D260</f>
        <v/>
      </c>
      <c r="D260">
        <f>Sources!E260</f>
        <v/>
      </c>
      <c r="E260">
        <f>Sources!F260</f>
        <v/>
      </c>
      <c r="F260">
        <f>Sources!H260</f>
        <v/>
      </c>
      <c r="G260">
        <f>IF(ABS(F260-ROUND(F260,0))&lt;0.001,1,0)</f>
        <v/>
      </c>
      <c r="H260">
        <f>IF(G260=1,F260,CEILING(F260,1))</f>
        <v/>
      </c>
      <c r="I260">
        <f>IF(G260=1,0,(H260-F260)*E260)</f>
        <v/>
      </c>
      <c r="J260">
        <f>E260*F260</f>
        <v/>
      </c>
    </row>
    <row r="261">
      <c r="A261">
        <f>Sources!A261</f>
        <v/>
      </c>
      <c r="B261">
        <f>Sources!B261</f>
        <v/>
      </c>
      <c r="C261">
        <f>Sources!D261</f>
        <v/>
      </c>
      <c r="D261">
        <f>Sources!E261</f>
        <v/>
      </c>
      <c r="E261">
        <f>Sources!F261</f>
        <v/>
      </c>
      <c r="F261">
        <f>Sources!H261</f>
        <v/>
      </c>
      <c r="G261">
        <f>IF(ABS(F261-ROUND(F261,0))&lt;0.001,1,0)</f>
        <v/>
      </c>
      <c r="H261">
        <f>IF(G261=1,F261,CEILING(F261,1))</f>
        <v/>
      </c>
      <c r="I261">
        <f>IF(G261=1,0,(H261-F261)*E261)</f>
        <v/>
      </c>
      <c r="J261">
        <f>E261*F261</f>
        <v/>
      </c>
    </row>
    <row r="262">
      <c r="A262">
        <f>Sources!A262</f>
        <v/>
      </c>
      <c r="B262">
        <f>Sources!B262</f>
        <v/>
      </c>
      <c r="C262">
        <f>Sources!D262</f>
        <v/>
      </c>
      <c r="D262">
        <f>Sources!E262</f>
        <v/>
      </c>
      <c r="E262">
        <f>Sources!F262</f>
        <v/>
      </c>
      <c r="F262">
        <f>Sources!H262</f>
        <v/>
      </c>
      <c r="G262">
        <f>IF(ABS(F262-ROUND(F262,0))&lt;0.001,1,0)</f>
        <v/>
      </c>
      <c r="H262">
        <f>IF(G262=1,F262,CEILING(F262,1))</f>
        <v/>
      </c>
      <c r="I262">
        <f>IF(G262=1,0,(H262-F262)*E262)</f>
        <v/>
      </c>
      <c r="J262">
        <f>E262*F262</f>
        <v/>
      </c>
    </row>
    <row r="263">
      <c r="A263">
        <f>Sources!A263</f>
        <v/>
      </c>
      <c r="B263">
        <f>Sources!B263</f>
        <v/>
      </c>
      <c r="C263">
        <f>Sources!D263</f>
        <v/>
      </c>
      <c r="D263">
        <f>Sources!E263</f>
        <v/>
      </c>
      <c r="E263">
        <f>Sources!F263</f>
        <v/>
      </c>
      <c r="F263">
        <f>Sources!H263</f>
        <v/>
      </c>
      <c r="G263">
        <f>IF(ABS(F263-ROUND(F263,0))&lt;0.001,1,0)</f>
        <v/>
      </c>
      <c r="H263">
        <f>IF(G263=1,F263,CEILING(F263,1))</f>
        <v/>
      </c>
      <c r="I263">
        <f>IF(G263=1,0,(H263-F263)*E263)</f>
        <v/>
      </c>
      <c r="J263">
        <f>E263*F263</f>
        <v/>
      </c>
    </row>
    <row r="264">
      <c r="A264">
        <f>Sources!A264</f>
        <v/>
      </c>
      <c r="B264">
        <f>Sources!B264</f>
        <v/>
      </c>
      <c r="C264">
        <f>Sources!D264</f>
        <v/>
      </c>
      <c r="D264">
        <f>Sources!E264</f>
        <v/>
      </c>
      <c r="E264">
        <f>Sources!F264</f>
        <v/>
      </c>
      <c r="F264">
        <f>Sources!H264</f>
        <v/>
      </c>
      <c r="G264">
        <f>IF(ABS(F264-ROUND(F264,0))&lt;0.001,1,0)</f>
        <v/>
      </c>
      <c r="H264">
        <f>IF(G264=1,F264,CEILING(F264,1))</f>
        <v/>
      </c>
      <c r="I264">
        <f>IF(G264=1,0,(H264-F264)*E264)</f>
        <v/>
      </c>
      <c r="J264">
        <f>E264*F264</f>
        <v/>
      </c>
    </row>
    <row r="265">
      <c r="A265">
        <f>Sources!A265</f>
        <v/>
      </c>
      <c r="B265">
        <f>Sources!B265</f>
        <v/>
      </c>
      <c r="C265">
        <f>Sources!D265</f>
        <v/>
      </c>
      <c r="D265">
        <f>Sources!E265</f>
        <v/>
      </c>
      <c r="E265">
        <f>Sources!F265</f>
        <v/>
      </c>
      <c r="F265">
        <f>Sources!H265</f>
        <v/>
      </c>
      <c r="G265">
        <f>IF(ABS(F265-ROUND(F265,0))&lt;0.001,1,0)</f>
        <v/>
      </c>
      <c r="H265">
        <f>IF(G265=1,F265,CEILING(F265,1))</f>
        <v/>
      </c>
      <c r="I265">
        <f>IF(G265=1,0,(H265-F265)*E265)</f>
        <v/>
      </c>
      <c r="J265">
        <f>E265*F265</f>
        <v/>
      </c>
    </row>
    <row r="266">
      <c r="A266">
        <f>Sources!A266</f>
        <v/>
      </c>
      <c r="B266">
        <f>Sources!B266</f>
        <v/>
      </c>
      <c r="C266">
        <f>Sources!D266</f>
        <v/>
      </c>
      <c r="D266">
        <f>Sources!E266</f>
        <v/>
      </c>
      <c r="E266">
        <f>Sources!F266</f>
        <v/>
      </c>
      <c r="F266">
        <f>Sources!H266</f>
        <v/>
      </c>
      <c r="G266">
        <f>IF(ABS(F266-ROUND(F266,0))&lt;0.001,1,0)</f>
        <v/>
      </c>
      <c r="H266">
        <f>IF(G266=1,F266,CEILING(F266,1))</f>
        <v/>
      </c>
      <c r="I266">
        <f>IF(G266=1,0,(H266-F266)*E266)</f>
        <v/>
      </c>
      <c r="J266">
        <f>E266*F266</f>
        <v/>
      </c>
    </row>
    <row r="267">
      <c r="A267">
        <f>Sources!A267</f>
        <v/>
      </c>
      <c r="B267">
        <f>Sources!B267</f>
        <v/>
      </c>
      <c r="C267">
        <f>Sources!D267</f>
        <v/>
      </c>
      <c r="D267">
        <f>Sources!E267</f>
        <v/>
      </c>
      <c r="E267">
        <f>Sources!F267</f>
        <v/>
      </c>
      <c r="F267">
        <f>Sources!H267</f>
        <v/>
      </c>
      <c r="G267">
        <f>IF(ABS(F267-ROUND(F267,0))&lt;0.001,1,0)</f>
        <v/>
      </c>
      <c r="H267">
        <f>IF(G267=1,F267,CEILING(F267,1))</f>
        <v/>
      </c>
      <c r="I267">
        <f>IF(G267=1,0,(H267-F267)*E267)</f>
        <v/>
      </c>
      <c r="J267">
        <f>E267*F267</f>
        <v/>
      </c>
    </row>
    <row r="268">
      <c r="A268">
        <f>Sources!A268</f>
        <v/>
      </c>
      <c r="B268">
        <f>Sources!B268</f>
        <v/>
      </c>
      <c r="C268">
        <f>Sources!D268</f>
        <v/>
      </c>
      <c r="D268">
        <f>Sources!E268</f>
        <v/>
      </c>
      <c r="E268">
        <f>Sources!F268</f>
        <v/>
      </c>
      <c r="F268">
        <f>Sources!H268</f>
        <v/>
      </c>
      <c r="G268">
        <f>IF(ABS(F268-ROUND(F268,0))&lt;0.001,1,0)</f>
        <v/>
      </c>
      <c r="H268">
        <f>IF(G268=1,F268,CEILING(F268,1))</f>
        <v/>
      </c>
      <c r="I268">
        <f>IF(G268=1,0,(H268-F268)*E268)</f>
        <v/>
      </c>
      <c r="J268">
        <f>E268*F268</f>
        <v/>
      </c>
    </row>
    <row r="269">
      <c r="A269">
        <f>Sources!A269</f>
        <v/>
      </c>
      <c r="B269">
        <f>Sources!B269</f>
        <v/>
      </c>
      <c r="C269">
        <f>Sources!D269</f>
        <v/>
      </c>
      <c r="D269">
        <f>Sources!E269</f>
        <v/>
      </c>
      <c r="E269">
        <f>Sources!F269</f>
        <v/>
      </c>
      <c r="F269">
        <f>Sources!H269</f>
        <v/>
      </c>
      <c r="G269">
        <f>IF(ABS(F269-ROUND(F269,0))&lt;0.001,1,0)</f>
        <v/>
      </c>
      <c r="H269">
        <f>IF(G269=1,F269,CEILING(F269,1))</f>
        <v/>
      </c>
      <c r="I269">
        <f>IF(G269=1,0,(H269-F269)*E269)</f>
        <v/>
      </c>
      <c r="J269">
        <f>E269*F269</f>
        <v/>
      </c>
    </row>
    <row r="270">
      <c r="A270">
        <f>Sources!A270</f>
        <v/>
      </c>
      <c r="B270">
        <f>Sources!B270</f>
        <v/>
      </c>
      <c r="C270">
        <f>Sources!D270</f>
        <v/>
      </c>
      <c r="D270">
        <f>Sources!E270</f>
        <v/>
      </c>
      <c r="E270">
        <f>Sources!F270</f>
        <v/>
      </c>
      <c r="F270">
        <f>Sources!H270</f>
        <v/>
      </c>
      <c r="G270">
        <f>IF(ABS(F270-ROUND(F270,0))&lt;0.001,1,0)</f>
        <v/>
      </c>
      <c r="H270">
        <f>IF(G270=1,F270,CEILING(F270,1))</f>
        <v/>
      </c>
      <c r="I270">
        <f>IF(G270=1,0,(H270-F270)*E270)</f>
        <v/>
      </c>
      <c r="J270">
        <f>E270*F270</f>
        <v/>
      </c>
    </row>
    <row r="271">
      <c r="A271">
        <f>Sources!A271</f>
        <v/>
      </c>
      <c r="B271">
        <f>Sources!B271</f>
        <v/>
      </c>
      <c r="C271">
        <f>Sources!D271</f>
        <v/>
      </c>
      <c r="D271">
        <f>Sources!E271</f>
        <v/>
      </c>
      <c r="E271">
        <f>Sources!F271</f>
        <v/>
      </c>
      <c r="F271">
        <f>Sources!H271</f>
        <v/>
      </c>
      <c r="G271">
        <f>IF(ABS(F271-ROUND(F271,0))&lt;0.001,1,0)</f>
        <v/>
      </c>
      <c r="H271">
        <f>IF(G271=1,F271,CEILING(F271,1))</f>
        <v/>
      </c>
      <c r="I271">
        <f>IF(G271=1,0,(H271-F271)*E271)</f>
        <v/>
      </c>
      <c r="J271">
        <f>E271*F271</f>
        <v/>
      </c>
    </row>
    <row r="272">
      <c r="A272">
        <f>Sources!A272</f>
        <v/>
      </c>
      <c r="B272">
        <f>Sources!B272</f>
        <v/>
      </c>
      <c r="C272">
        <f>Sources!D272</f>
        <v/>
      </c>
      <c r="D272">
        <f>Sources!E272</f>
        <v/>
      </c>
      <c r="E272">
        <f>Sources!F272</f>
        <v/>
      </c>
      <c r="F272">
        <f>Sources!H272</f>
        <v/>
      </c>
      <c r="G272">
        <f>IF(ABS(F272-ROUND(F272,0))&lt;0.001,1,0)</f>
        <v/>
      </c>
      <c r="H272">
        <f>IF(G272=1,F272,CEILING(F272,1))</f>
        <v/>
      </c>
      <c r="I272">
        <f>IF(G272=1,0,(H272-F272)*E272)</f>
        <v/>
      </c>
      <c r="J272">
        <f>E272*F272</f>
        <v/>
      </c>
    </row>
    <row r="273">
      <c r="A273">
        <f>Sources!A273</f>
        <v/>
      </c>
      <c r="B273">
        <f>Sources!B273</f>
        <v/>
      </c>
      <c r="C273">
        <f>Sources!D273</f>
        <v/>
      </c>
      <c r="D273">
        <f>Sources!E273</f>
        <v/>
      </c>
      <c r="E273">
        <f>Sources!F273</f>
        <v/>
      </c>
      <c r="F273">
        <f>Sources!H273</f>
        <v/>
      </c>
      <c r="G273">
        <f>IF(ABS(F273-ROUND(F273,0))&lt;0.001,1,0)</f>
        <v/>
      </c>
      <c r="H273">
        <f>IF(G273=1,F273,CEILING(F273,1))</f>
        <v/>
      </c>
      <c r="I273">
        <f>IF(G273=1,0,(H273-F273)*E273)</f>
        <v/>
      </c>
      <c r="J273">
        <f>E273*F273</f>
        <v/>
      </c>
    </row>
    <row r="274">
      <c r="A274">
        <f>Sources!A274</f>
        <v/>
      </c>
      <c r="B274">
        <f>Sources!B274</f>
        <v/>
      </c>
      <c r="C274">
        <f>Sources!D274</f>
        <v/>
      </c>
      <c r="D274">
        <f>Sources!E274</f>
        <v/>
      </c>
      <c r="E274">
        <f>Sources!F274</f>
        <v/>
      </c>
      <c r="F274">
        <f>Sources!H274</f>
        <v/>
      </c>
      <c r="G274">
        <f>IF(ABS(F274-ROUND(F274,0))&lt;0.001,1,0)</f>
        <v/>
      </c>
      <c r="H274">
        <f>IF(G274=1,F274,CEILING(F274,1))</f>
        <v/>
      </c>
      <c r="I274">
        <f>IF(G274=1,0,(H274-F274)*E274)</f>
        <v/>
      </c>
      <c r="J274">
        <f>E274*F274</f>
        <v/>
      </c>
    </row>
    <row r="275">
      <c r="A275">
        <f>Sources!A275</f>
        <v/>
      </c>
      <c r="B275">
        <f>Sources!B275</f>
        <v/>
      </c>
      <c r="C275">
        <f>Sources!D275</f>
        <v/>
      </c>
      <c r="D275">
        <f>Sources!E275</f>
        <v/>
      </c>
      <c r="E275">
        <f>Sources!F275</f>
        <v/>
      </c>
      <c r="F275">
        <f>Sources!H275</f>
        <v/>
      </c>
      <c r="G275">
        <f>IF(ABS(F275-ROUND(F275,0))&lt;0.001,1,0)</f>
        <v/>
      </c>
      <c r="H275">
        <f>IF(G275=1,F275,CEILING(F275,1))</f>
        <v/>
      </c>
      <c r="I275">
        <f>IF(G275=1,0,(H275-F275)*E275)</f>
        <v/>
      </c>
      <c r="J275">
        <f>E275*F275</f>
        <v/>
      </c>
    </row>
    <row r="276">
      <c r="A276">
        <f>Sources!A276</f>
        <v/>
      </c>
      <c r="B276">
        <f>Sources!B276</f>
        <v/>
      </c>
      <c r="C276">
        <f>Sources!D276</f>
        <v/>
      </c>
      <c r="D276">
        <f>Sources!E276</f>
        <v/>
      </c>
      <c r="E276">
        <f>Sources!F276</f>
        <v/>
      </c>
      <c r="F276">
        <f>Sources!H276</f>
        <v/>
      </c>
      <c r="G276">
        <f>IF(ABS(F276-ROUND(F276,0))&lt;0.001,1,0)</f>
        <v/>
      </c>
      <c r="H276">
        <f>IF(G276=1,F276,CEILING(F276,1))</f>
        <v/>
      </c>
      <c r="I276">
        <f>IF(G276=1,0,(H276-F276)*E276)</f>
        <v/>
      </c>
      <c r="J276">
        <f>E276*F276</f>
        <v/>
      </c>
    </row>
    <row r="277">
      <c r="A277">
        <f>Sources!A277</f>
        <v/>
      </c>
      <c r="B277">
        <f>Sources!B277</f>
        <v/>
      </c>
      <c r="C277">
        <f>Sources!D277</f>
        <v/>
      </c>
      <c r="D277">
        <f>Sources!E277</f>
        <v/>
      </c>
      <c r="E277">
        <f>Sources!F277</f>
        <v/>
      </c>
      <c r="F277">
        <f>Sources!H277</f>
        <v/>
      </c>
      <c r="G277">
        <f>IF(ABS(F277-ROUND(F277,0))&lt;0.001,1,0)</f>
        <v/>
      </c>
      <c r="H277">
        <f>IF(G277=1,F277,CEILING(F277,1))</f>
        <v/>
      </c>
      <c r="I277">
        <f>IF(G277=1,0,(H277-F277)*E277)</f>
        <v/>
      </c>
      <c r="J277">
        <f>E277*F277</f>
        <v/>
      </c>
    </row>
    <row r="278">
      <c r="A278">
        <f>Sources!A278</f>
        <v/>
      </c>
      <c r="B278">
        <f>Sources!B278</f>
        <v/>
      </c>
      <c r="C278">
        <f>Sources!D278</f>
        <v/>
      </c>
      <c r="D278">
        <f>Sources!E278</f>
        <v/>
      </c>
      <c r="E278">
        <f>Sources!F278</f>
        <v/>
      </c>
      <c r="F278">
        <f>Sources!H278</f>
        <v/>
      </c>
      <c r="G278">
        <f>IF(ABS(F278-ROUND(F278,0))&lt;0.001,1,0)</f>
        <v/>
      </c>
      <c r="H278">
        <f>IF(G278=1,F278,CEILING(F278,1))</f>
        <v/>
      </c>
      <c r="I278">
        <f>IF(G278=1,0,(H278-F278)*E278)</f>
        <v/>
      </c>
      <c r="J278">
        <f>E278*F278</f>
        <v/>
      </c>
    </row>
    <row r="279">
      <c r="A279">
        <f>Sources!A279</f>
        <v/>
      </c>
      <c r="B279">
        <f>Sources!B279</f>
        <v/>
      </c>
      <c r="C279">
        <f>Sources!D279</f>
        <v/>
      </c>
      <c r="D279">
        <f>Sources!E279</f>
        <v/>
      </c>
      <c r="E279">
        <f>Sources!F279</f>
        <v/>
      </c>
      <c r="F279">
        <f>Sources!H279</f>
        <v/>
      </c>
      <c r="G279">
        <f>IF(ABS(F279-ROUND(F279,0))&lt;0.001,1,0)</f>
        <v/>
      </c>
      <c r="H279">
        <f>IF(G279=1,F279,CEILING(F279,1))</f>
        <v/>
      </c>
      <c r="I279">
        <f>IF(G279=1,0,(H279-F279)*E279)</f>
        <v/>
      </c>
      <c r="J279">
        <f>E279*F279</f>
        <v/>
      </c>
    </row>
    <row r="280">
      <c r="A280">
        <f>Sources!A280</f>
        <v/>
      </c>
      <c r="B280">
        <f>Sources!B280</f>
        <v/>
      </c>
      <c r="C280">
        <f>Sources!D280</f>
        <v/>
      </c>
      <c r="D280">
        <f>Sources!E280</f>
        <v/>
      </c>
      <c r="E280">
        <f>Sources!F280</f>
        <v/>
      </c>
      <c r="F280">
        <f>Sources!H280</f>
        <v/>
      </c>
      <c r="G280">
        <f>IF(ABS(F280-ROUND(F280,0))&lt;0.001,1,0)</f>
        <v/>
      </c>
      <c r="H280">
        <f>IF(G280=1,F280,CEILING(F280,1))</f>
        <v/>
      </c>
      <c r="I280">
        <f>IF(G280=1,0,(H280-F280)*E280)</f>
        <v/>
      </c>
      <c r="J280">
        <f>E280*F280</f>
        <v/>
      </c>
    </row>
    <row r="281">
      <c r="A281">
        <f>Sources!A281</f>
        <v/>
      </c>
      <c r="B281">
        <f>Sources!B281</f>
        <v/>
      </c>
      <c r="C281">
        <f>Sources!D281</f>
        <v/>
      </c>
      <c r="D281">
        <f>Sources!E281</f>
        <v/>
      </c>
      <c r="E281">
        <f>Sources!F281</f>
        <v/>
      </c>
      <c r="F281">
        <f>Sources!H281</f>
        <v/>
      </c>
      <c r="G281">
        <f>IF(ABS(F281-ROUND(F281,0))&lt;0.001,1,0)</f>
        <v/>
      </c>
      <c r="H281">
        <f>IF(G281=1,F281,CEILING(F281,1))</f>
        <v/>
      </c>
      <c r="I281">
        <f>IF(G281=1,0,(H281-F281)*E281)</f>
        <v/>
      </c>
      <c r="J281">
        <f>E281*F281</f>
        <v/>
      </c>
    </row>
    <row r="282">
      <c r="A282">
        <f>Sources!A282</f>
        <v/>
      </c>
      <c r="B282">
        <f>Sources!B282</f>
        <v/>
      </c>
      <c r="C282">
        <f>Sources!D282</f>
        <v/>
      </c>
      <c r="D282">
        <f>Sources!E282</f>
        <v/>
      </c>
      <c r="E282">
        <f>Sources!F282</f>
        <v/>
      </c>
      <c r="F282">
        <f>Sources!H282</f>
        <v/>
      </c>
      <c r="G282">
        <f>IF(ABS(F282-ROUND(F282,0))&lt;0.001,1,0)</f>
        <v/>
      </c>
      <c r="H282">
        <f>IF(G282=1,F282,CEILING(F282,1))</f>
        <v/>
      </c>
      <c r="I282">
        <f>IF(G282=1,0,(H282-F282)*E282)</f>
        <v/>
      </c>
      <c r="J282">
        <f>E282*F282</f>
        <v/>
      </c>
    </row>
    <row r="283">
      <c r="A283">
        <f>Sources!A283</f>
        <v/>
      </c>
      <c r="B283">
        <f>Sources!B283</f>
        <v/>
      </c>
      <c r="C283">
        <f>Sources!D283</f>
        <v/>
      </c>
      <c r="D283">
        <f>Sources!E283</f>
        <v/>
      </c>
      <c r="E283">
        <f>Sources!F283</f>
        <v/>
      </c>
      <c r="F283">
        <f>Sources!H283</f>
        <v/>
      </c>
      <c r="G283">
        <f>IF(ABS(F283-ROUND(F283,0))&lt;0.001,1,0)</f>
        <v/>
      </c>
      <c r="H283">
        <f>IF(G283=1,F283,CEILING(F283,1))</f>
        <v/>
      </c>
      <c r="I283">
        <f>IF(G283=1,0,(H283-F283)*E283)</f>
        <v/>
      </c>
      <c r="J283">
        <f>E283*F283</f>
        <v/>
      </c>
    </row>
    <row r="284">
      <c r="A284">
        <f>Sources!A284</f>
        <v/>
      </c>
      <c r="B284">
        <f>Sources!B284</f>
        <v/>
      </c>
      <c r="C284">
        <f>Sources!D284</f>
        <v/>
      </c>
      <c r="D284">
        <f>Sources!E284</f>
        <v/>
      </c>
      <c r="E284">
        <f>Sources!F284</f>
        <v/>
      </c>
      <c r="F284">
        <f>Sources!H284</f>
        <v/>
      </c>
      <c r="G284">
        <f>IF(ABS(F284-ROUND(F284,0))&lt;0.001,1,0)</f>
        <v/>
      </c>
      <c r="H284">
        <f>IF(G284=1,F284,CEILING(F284,1))</f>
        <v/>
      </c>
      <c r="I284">
        <f>IF(G284=1,0,(H284-F284)*E284)</f>
        <v/>
      </c>
      <c r="J284">
        <f>E284*F284</f>
        <v/>
      </c>
    </row>
    <row r="285">
      <c r="A285">
        <f>Sources!A285</f>
        <v/>
      </c>
      <c r="B285">
        <f>Sources!B285</f>
        <v/>
      </c>
      <c r="C285">
        <f>Sources!D285</f>
        <v/>
      </c>
      <c r="D285">
        <f>Sources!E285</f>
        <v/>
      </c>
      <c r="E285">
        <f>Sources!F285</f>
        <v/>
      </c>
      <c r="F285">
        <f>Sources!H285</f>
        <v/>
      </c>
      <c r="G285">
        <f>IF(ABS(F285-ROUND(F285,0))&lt;0.001,1,0)</f>
        <v/>
      </c>
      <c r="H285">
        <f>IF(G285=1,F285,CEILING(F285,1))</f>
        <v/>
      </c>
      <c r="I285">
        <f>IF(G285=1,0,(H285-F285)*E285)</f>
        <v/>
      </c>
      <c r="J285">
        <f>E285*F285</f>
        <v/>
      </c>
    </row>
    <row r="286">
      <c r="A286">
        <f>Sources!A286</f>
        <v/>
      </c>
      <c r="B286">
        <f>Sources!B286</f>
        <v/>
      </c>
      <c r="C286">
        <f>Sources!D286</f>
        <v/>
      </c>
      <c r="D286">
        <f>Sources!E286</f>
        <v/>
      </c>
      <c r="E286">
        <f>Sources!F286</f>
        <v/>
      </c>
      <c r="F286">
        <f>Sources!H286</f>
        <v/>
      </c>
      <c r="G286">
        <f>IF(ABS(F286-ROUND(F286,0))&lt;0.001,1,0)</f>
        <v/>
      </c>
      <c r="H286">
        <f>IF(G286=1,F286,CEILING(F286,1))</f>
        <v/>
      </c>
      <c r="I286">
        <f>IF(G286=1,0,(H286-F286)*E286)</f>
        <v/>
      </c>
      <c r="J286">
        <f>E286*F286</f>
        <v/>
      </c>
    </row>
    <row r="287">
      <c r="A287">
        <f>Sources!A287</f>
        <v/>
      </c>
      <c r="B287">
        <f>Sources!B287</f>
        <v/>
      </c>
      <c r="C287">
        <f>Sources!D287</f>
        <v/>
      </c>
      <c r="D287">
        <f>Sources!E287</f>
        <v/>
      </c>
      <c r="E287">
        <f>Sources!F287</f>
        <v/>
      </c>
      <c r="F287">
        <f>Sources!H287</f>
        <v/>
      </c>
      <c r="G287">
        <f>IF(ABS(F287-ROUND(F287,0))&lt;0.001,1,0)</f>
        <v/>
      </c>
      <c r="H287">
        <f>IF(G287=1,F287,CEILING(F287,1))</f>
        <v/>
      </c>
      <c r="I287">
        <f>IF(G287=1,0,(H287-F287)*E287)</f>
        <v/>
      </c>
      <c r="J287">
        <f>E287*F287</f>
        <v/>
      </c>
    </row>
    <row r="288">
      <c r="A288">
        <f>Sources!A288</f>
        <v/>
      </c>
      <c r="B288">
        <f>Sources!B288</f>
        <v/>
      </c>
      <c r="C288">
        <f>Sources!D288</f>
        <v/>
      </c>
      <c r="D288">
        <f>Sources!E288</f>
        <v/>
      </c>
      <c r="E288">
        <f>Sources!F288</f>
        <v/>
      </c>
      <c r="F288">
        <f>Sources!H288</f>
        <v/>
      </c>
      <c r="G288">
        <f>IF(ABS(F288-ROUND(F288,0))&lt;0.001,1,0)</f>
        <v/>
      </c>
      <c r="H288">
        <f>IF(G288=1,F288,CEILING(F288,1))</f>
        <v/>
      </c>
      <c r="I288">
        <f>IF(G288=1,0,(H288-F288)*E288)</f>
        <v/>
      </c>
      <c r="J288">
        <f>E288*F288</f>
        <v/>
      </c>
    </row>
    <row r="289">
      <c r="A289">
        <f>Sources!A289</f>
        <v/>
      </c>
      <c r="B289">
        <f>Sources!B289</f>
        <v/>
      </c>
      <c r="C289">
        <f>Sources!D289</f>
        <v/>
      </c>
      <c r="D289">
        <f>Sources!E289</f>
        <v/>
      </c>
      <c r="E289">
        <f>Sources!F289</f>
        <v/>
      </c>
      <c r="F289">
        <f>Sources!H289</f>
        <v/>
      </c>
      <c r="G289">
        <f>IF(ABS(F289-ROUND(F289,0))&lt;0.001,1,0)</f>
        <v/>
      </c>
      <c r="H289">
        <f>IF(G289=1,F289,CEILING(F289,1))</f>
        <v/>
      </c>
      <c r="I289">
        <f>IF(G289=1,0,(H289-F289)*E289)</f>
        <v/>
      </c>
      <c r="J289">
        <f>E289*F289</f>
        <v/>
      </c>
    </row>
    <row r="290">
      <c r="A290">
        <f>Sources!A290</f>
        <v/>
      </c>
      <c r="B290">
        <f>Sources!B290</f>
        <v/>
      </c>
      <c r="C290">
        <f>Sources!D290</f>
        <v/>
      </c>
      <c r="D290">
        <f>Sources!E290</f>
        <v/>
      </c>
      <c r="E290">
        <f>Sources!F290</f>
        <v/>
      </c>
      <c r="F290">
        <f>Sources!H290</f>
        <v/>
      </c>
      <c r="G290">
        <f>IF(ABS(F290-ROUND(F290,0))&lt;0.001,1,0)</f>
        <v/>
      </c>
      <c r="H290">
        <f>IF(G290=1,F290,CEILING(F290,1))</f>
        <v/>
      </c>
      <c r="I290">
        <f>IF(G290=1,0,(H290-F290)*E290)</f>
        <v/>
      </c>
      <c r="J290">
        <f>E290*F290</f>
        <v/>
      </c>
    </row>
    <row r="291">
      <c r="A291">
        <f>Sources!A291</f>
        <v/>
      </c>
      <c r="B291">
        <f>Sources!B291</f>
        <v/>
      </c>
      <c r="C291">
        <f>Sources!D291</f>
        <v/>
      </c>
      <c r="D291">
        <f>Sources!E291</f>
        <v/>
      </c>
      <c r="E291">
        <f>Sources!F291</f>
        <v/>
      </c>
      <c r="F291">
        <f>Sources!H291</f>
        <v/>
      </c>
      <c r="G291">
        <f>IF(ABS(F291-ROUND(F291,0))&lt;0.001,1,0)</f>
        <v/>
      </c>
      <c r="H291">
        <f>IF(G291=1,F291,CEILING(F291,1))</f>
        <v/>
      </c>
      <c r="I291">
        <f>IF(G291=1,0,(H291-F291)*E291)</f>
        <v/>
      </c>
      <c r="J291">
        <f>E291*F291</f>
        <v/>
      </c>
    </row>
    <row r="292">
      <c r="A292">
        <f>Sources!A292</f>
        <v/>
      </c>
      <c r="B292">
        <f>Sources!B292</f>
        <v/>
      </c>
      <c r="C292">
        <f>Sources!D292</f>
        <v/>
      </c>
      <c r="D292">
        <f>Sources!E292</f>
        <v/>
      </c>
      <c r="E292">
        <f>Sources!F292</f>
        <v/>
      </c>
      <c r="F292">
        <f>Sources!H292</f>
        <v/>
      </c>
      <c r="G292">
        <f>IF(ABS(F292-ROUND(F292,0))&lt;0.001,1,0)</f>
        <v/>
      </c>
      <c r="H292">
        <f>IF(G292=1,F292,CEILING(F292,1))</f>
        <v/>
      </c>
      <c r="I292">
        <f>IF(G292=1,0,(H292-F292)*E292)</f>
        <v/>
      </c>
      <c r="J292">
        <f>E292*F292</f>
        <v/>
      </c>
    </row>
    <row r="293">
      <c r="A293">
        <f>Sources!A293</f>
        <v/>
      </c>
      <c r="B293">
        <f>Sources!B293</f>
        <v/>
      </c>
      <c r="C293">
        <f>Sources!D293</f>
        <v/>
      </c>
      <c r="D293">
        <f>Sources!E293</f>
        <v/>
      </c>
      <c r="E293">
        <f>Sources!F293</f>
        <v/>
      </c>
      <c r="F293">
        <f>Sources!H293</f>
        <v/>
      </c>
      <c r="G293">
        <f>IF(ABS(F293-ROUND(F293,0))&lt;0.001,1,0)</f>
        <v/>
      </c>
      <c r="H293">
        <f>IF(G293=1,F293,CEILING(F293,1))</f>
        <v/>
      </c>
      <c r="I293">
        <f>IF(G293=1,0,(H293-F293)*E293)</f>
        <v/>
      </c>
      <c r="J293">
        <f>E293*F293</f>
        <v/>
      </c>
    </row>
    <row r="294">
      <c r="A294">
        <f>Sources!A294</f>
        <v/>
      </c>
      <c r="B294">
        <f>Sources!B294</f>
        <v/>
      </c>
      <c r="C294">
        <f>Sources!D294</f>
        <v/>
      </c>
      <c r="D294">
        <f>Sources!E294</f>
        <v/>
      </c>
      <c r="E294">
        <f>Sources!F294</f>
        <v/>
      </c>
      <c r="F294">
        <f>Sources!H294</f>
        <v/>
      </c>
      <c r="G294">
        <f>IF(ABS(F294-ROUND(F294,0))&lt;0.001,1,0)</f>
        <v/>
      </c>
      <c r="H294">
        <f>IF(G294=1,F294,CEILING(F294,1))</f>
        <v/>
      </c>
      <c r="I294">
        <f>IF(G294=1,0,(H294-F294)*E294)</f>
        <v/>
      </c>
      <c r="J294">
        <f>E294*F294</f>
        <v/>
      </c>
    </row>
    <row r="295">
      <c r="A295">
        <f>Sources!A295</f>
        <v/>
      </c>
      <c r="B295">
        <f>Sources!B295</f>
        <v/>
      </c>
      <c r="C295">
        <f>Sources!D295</f>
        <v/>
      </c>
      <c r="D295">
        <f>Sources!E295</f>
        <v/>
      </c>
      <c r="E295">
        <f>Sources!F295</f>
        <v/>
      </c>
      <c r="F295">
        <f>Sources!H295</f>
        <v/>
      </c>
      <c r="G295">
        <f>IF(ABS(F295-ROUND(F295,0))&lt;0.001,1,0)</f>
        <v/>
      </c>
      <c r="H295">
        <f>IF(G295=1,F295,CEILING(F295,1))</f>
        <v/>
      </c>
      <c r="I295">
        <f>IF(G295=1,0,(H295-F295)*E295)</f>
        <v/>
      </c>
      <c r="J295">
        <f>E295*F295</f>
        <v/>
      </c>
    </row>
    <row r="296">
      <c r="A296">
        <f>Sources!A296</f>
        <v/>
      </c>
      <c r="B296">
        <f>Sources!B296</f>
        <v/>
      </c>
      <c r="C296">
        <f>Sources!D296</f>
        <v/>
      </c>
      <c r="D296">
        <f>Sources!E296</f>
        <v/>
      </c>
      <c r="E296">
        <f>Sources!F296</f>
        <v/>
      </c>
      <c r="F296">
        <f>Sources!H296</f>
        <v/>
      </c>
      <c r="G296">
        <f>IF(ABS(F296-ROUND(F296,0))&lt;0.001,1,0)</f>
        <v/>
      </c>
      <c r="H296">
        <f>IF(G296=1,F296,CEILING(F296,1))</f>
        <v/>
      </c>
      <c r="I296">
        <f>IF(G296=1,0,(H296-F296)*E296)</f>
        <v/>
      </c>
      <c r="J296">
        <f>E296*F296</f>
        <v/>
      </c>
    </row>
    <row r="297">
      <c r="A297">
        <f>Sources!A297</f>
        <v/>
      </c>
      <c r="B297">
        <f>Sources!B297</f>
        <v/>
      </c>
      <c r="C297">
        <f>Sources!D297</f>
        <v/>
      </c>
      <c r="D297">
        <f>Sources!E297</f>
        <v/>
      </c>
      <c r="E297">
        <f>Sources!F297</f>
        <v/>
      </c>
      <c r="F297">
        <f>Sources!H297</f>
        <v/>
      </c>
      <c r="G297">
        <f>IF(ABS(F297-ROUND(F297,0))&lt;0.001,1,0)</f>
        <v/>
      </c>
      <c r="H297">
        <f>IF(G297=1,F297,CEILING(F297,1))</f>
        <v/>
      </c>
      <c r="I297">
        <f>IF(G297=1,0,(H297-F297)*E297)</f>
        <v/>
      </c>
      <c r="J297">
        <f>E297*F297</f>
        <v/>
      </c>
    </row>
    <row r="298">
      <c r="A298">
        <f>Sources!A298</f>
        <v/>
      </c>
      <c r="B298">
        <f>Sources!B298</f>
        <v/>
      </c>
      <c r="C298">
        <f>Sources!D298</f>
        <v/>
      </c>
      <c r="D298">
        <f>Sources!E298</f>
        <v/>
      </c>
      <c r="E298">
        <f>Sources!F298</f>
        <v/>
      </c>
      <c r="F298">
        <f>Sources!H298</f>
        <v/>
      </c>
      <c r="G298">
        <f>IF(ABS(F298-ROUND(F298,0))&lt;0.001,1,0)</f>
        <v/>
      </c>
      <c r="H298">
        <f>IF(G298=1,F298,CEILING(F298,1))</f>
        <v/>
      </c>
      <c r="I298">
        <f>IF(G298=1,0,(H298-F298)*E298)</f>
        <v/>
      </c>
      <c r="J298">
        <f>E298*F298</f>
        <v/>
      </c>
    </row>
    <row r="299">
      <c r="A299">
        <f>Sources!A299</f>
        <v/>
      </c>
      <c r="B299">
        <f>Sources!B299</f>
        <v/>
      </c>
      <c r="C299">
        <f>Sources!D299</f>
        <v/>
      </c>
      <c r="D299">
        <f>Sources!E299</f>
        <v/>
      </c>
      <c r="E299">
        <f>Sources!F299</f>
        <v/>
      </c>
      <c r="F299">
        <f>Sources!H299</f>
        <v/>
      </c>
      <c r="G299">
        <f>IF(ABS(F299-ROUND(F299,0))&lt;0.001,1,0)</f>
        <v/>
      </c>
      <c r="H299">
        <f>IF(G299=1,F299,CEILING(F299,1))</f>
        <v/>
      </c>
      <c r="I299">
        <f>IF(G299=1,0,(H299-F299)*E299)</f>
        <v/>
      </c>
      <c r="J299">
        <f>E299*F299</f>
        <v/>
      </c>
    </row>
    <row r="300">
      <c r="A300">
        <f>Sources!A300</f>
        <v/>
      </c>
      <c r="B300">
        <f>Sources!B300</f>
        <v/>
      </c>
      <c r="C300">
        <f>Sources!D300</f>
        <v/>
      </c>
      <c r="D300">
        <f>Sources!E300</f>
        <v/>
      </c>
      <c r="E300">
        <f>Sources!F300</f>
        <v/>
      </c>
      <c r="F300">
        <f>Sources!H300</f>
        <v/>
      </c>
      <c r="G300">
        <f>IF(ABS(F300-ROUND(F300,0))&lt;0.001,1,0)</f>
        <v/>
      </c>
      <c r="H300">
        <f>IF(G300=1,F300,CEILING(F300,1))</f>
        <v/>
      </c>
      <c r="I300">
        <f>IF(G300=1,0,(H300-F300)*E300)</f>
        <v/>
      </c>
      <c r="J300">
        <f>E300*F300</f>
        <v/>
      </c>
    </row>
    <row r="301">
      <c r="A301">
        <f>Sources!A301</f>
        <v/>
      </c>
      <c r="B301">
        <f>Sources!B301</f>
        <v/>
      </c>
      <c r="C301">
        <f>Sources!D301</f>
        <v/>
      </c>
      <c r="D301">
        <f>Sources!E301</f>
        <v/>
      </c>
      <c r="E301">
        <f>Sources!F301</f>
        <v/>
      </c>
      <c r="F301">
        <f>Sources!H301</f>
        <v/>
      </c>
      <c r="G301">
        <f>IF(ABS(F301-ROUND(F301,0))&lt;0.001,1,0)</f>
        <v/>
      </c>
      <c r="H301">
        <f>IF(G301=1,F301,CEILING(F301,1))</f>
        <v/>
      </c>
      <c r="I301">
        <f>IF(G301=1,0,(H301-F301)*E301)</f>
        <v/>
      </c>
      <c r="J301">
        <f>E301*F301</f>
        <v/>
      </c>
    </row>
    <row r="302">
      <c r="A302">
        <f>Sources!A302</f>
        <v/>
      </c>
      <c r="B302">
        <f>Sources!B302</f>
        <v/>
      </c>
      <c r="C302">
        <f>Sources!D302</f>
        <v/>
      </c>
      <c r="D302">
        <f>Sources!E302</f>
        <v/>
      </c>
      <c r="E302">
        <f>Sources!F302</f>
        <v/>
      </c>
      <c r="F302">
        <f>Sources!H302</f>
        <v/>
      </c>
      <c r="G302">
        <f>IF(ABS(F302-ROUND(F302,0))&lt;0.001,1,0)</f>
        <v/>
      </c>
      <c r="H302">
        <f>IF(G302=1,F302,CEILING(F302,1))</f>
        <v/>
      </c>
      <c r="I302">
        <f>IF(G302=1,0,(H302-F302)*E302)</f>
        <v/>
      </c>
      <c r="J302">
        <f>E302*F302</f>
        <v/>
      </c>
    </row>
    <row r="303">
      <c r="A303">
        <f>Sources!A303</f>
        <v/>
      </c>
      <c r="B303">
        <f>Sources!B303</f>
        <v/>
      </c>
      <c r="C303">
        <f>Sources!D303</f>
        <v/>
      </c>
      <c r="D303">
        <f>Sources!E303</f>
        <v/>
      </c>
      <c r="E303">
        <f>Sources!F303</f>
        <v/>
      </c>
      <c r="F303">
        <f>Sources!H303</f>
        <v/>
      </c>
      <c r="G303">
        <f>IF(ABS(F303-ROUND(F303,0))&lt;0.001,1,0)</f>
        <v/>
      </c>
      <c r="H303">
        <f>IF(G303=1,F303,CEILING(F303,1))</f>
        <v/>
      </c>
      <c r="I303">
        <f>IF(G303=1,0,(H303-F303)*E303)</f>
        <v/>
      </c>
      <c r="J303">
        <f>E303*F303</f>
        <v/>
      </c>
    </row>
    <row r="304">
      <c r="A304">
        <f>Sources!A304</f>
        <v/>
      </c>
      <c r="B304">
        <f>Sources!B304</f>
        <v/>
      </c>
      <c r="C304">
        <f>Sources!D304</f>
        <v/>
      </c>
      <c r="D304">
        <f>Sources!E304</f>
        <v/>
      </c>
      <c r="E304">
        <f>Sources!F304</f>
        <v/>
      </c>
      <c r="F304">
        <f>Sources!H304</f>
        <v/>
      </c>
      <c r="G304">
        <f>IF(ABS(F304-ROUND(F304,0))&lt;0.001,1,0)</f>
        <v/>
      </c>
      <c r="H304">
        <f>IF(G304=1,F304,CEILING(F304,1))</f>
        <v/>
      </c>
      <c r="I304">
        <f>IF(G304=1,0,(H304-F304)*E304)</f>
        <v/>
      </c>
      <c r="J304">
        <f>E304*F304</f>
        <v/>
      </c>
    </row>
    <row r="305">
      <c r="A305">
        <f>Sources!A305</f>
        <v/>
      </c>
      <c r="B305">
        <f>Sources!B305</f>
        <v/>
      </c>
      <c r="C305">
        <f>Sources!D305</f>
        <v/>
      </c>
      <c r="D305">
        <f>Sources!E305</f>
        <v/>
      </c>
      <c r="E305">
        <f>Sources!F305</f>
        <v/>
      </c>
      <c r="F305">
        <f>Sources!H305</f>
        <v/>
      </c>
      <c r="G305">
        <f>IF(ABS(F305-ROUND(F305,0))&lt;0.001,1,0)</f>
        <v/>
      </c>
      <c r="H305">
        <f>IF(G305=1,F305,CEILING(F305,1))</f>
        <v/>
      </c>
      <c r="I305">
        <f>IF(G305=1,0,(H305-F305)*E305)</f>
        <v/>
      </c>
      <c r="J305">
        <f>E305*F305</f>
        <v/>
      </c>
    </row>
    <row r="306">
      <c r="A306">
        <f>Sources!A306</f>
        <v/>
      </c>
      <c r="B306">
        <f>Sources!B306</f>
        <v/>
      </c>
      <c r="C306">
        <f>Sources!D306</f>
        <v/>
      </c>
      <c r="D306">
        <f>Sources!E306</f>
        <v/>
      </c>
      <c r="E306">
        <f>Sources!F306</f>
        <v/>
      </c>
      <c r="F306">
        <f>Sources!H306</f>
        <v/>
      </c>
      <c r="G306">
        <f>IF(ABS(F306-ROUND(F306,0))&lt;0.001,1,0)</f>
        <v/>
      </c>
      <c r="H306">
        <f>IF(G306=1,F306,CEILING(F306,1))</f>
        <v/>
      </c>
      <c r="I306">
        <f>IF(G306=1,0,(H306-F306)*E306)</f>
        <v/>
      </c>
      <c r="J306">
        <f>E306*F306</f>
        <v/>
      </c>
    </row>
    <row r="307">
      <c r="A307">
        <f>Sources!A307</f>
        <v/>
      </c>
      <c r="B307">
        <f>Sources!B307</f>
        <v/>
      </c>
      <c r="C307">
        <f>Sources!D307</f>
        <v/>
      </c>
      <c r="D307">
        <f>Sources!E307</f>
        <v/>
      </c>
      <c r="E307">
        <f>Sources!F307</f>
        <v/>
      </c>
      <c r="F307">
        <f>Sources!H307</f>
        <v/>
      </c>
      <c r="G307">
        <f>IF(ABS(F307-ROUND(F307,0))&lt;0.001,1,0)</f>
        <v/>
      </c>
      <c r="H307">
        <f>IF(G307=1,F307,CEILING(F307,1))</f>
        <v/>
      </c>
      <c r="I307">
        <f>IF(G307=1,0,(H307-F307)*E307)</f>
        <v/>
      </c>
      <c r="J307">
        <f>E307*F307</f>
        <v/>
      </c>
    </row>
    <row r="308">
      <c r="A308">
        <f>Sources!A308</f>
        <v/>
      </c>
      <c r="B308">
        <f>Sources!B308</f>
        <v/>
      </c>
      <c r="C308">
        <f>Sources!D308</f>
        <v/>
      </c>
      <c r="D308">
        <f>Sources!E308</f>
        <v/>
      </c>
      <c r="E308">
        <f>Sources!F308</f>
        <v/>
      </c>
      <c r="F308">
        <f>Sources!H308</f>
        <v/>
      </c>
      <c r="G308">
        <f>IF(ABS(F308-ROUND(F308,0))&lt;0.001,1,0)</f>
        <v/>
      </c>
      <c r="H308">
        <f>IF(G308=1,F308,CEILING(F308,1))</f>
        <v/>
      </c>
      <c r="I308">
        <f>IF(G308=1,0,(H308-F308)*E308)</f>
        <v/>
      </c>
      <c r="J308">
        <f>E308*F308</f>
        <v/>
      </c>
    </row>
    <row r="309">
      <c r="A309">
        <f>Sources!A309</f>
        <v/>
      </c>
      <c r="B309">
        <f>Sources!B309</f>
        <v/>
      </c>
      <c r="C309">
        <f>Sources!D309</f>
        <v/>
      </c>
      <c r="D309">
        <f>Sources!E309</f>
        <v/>
      </c>
      <c r="E309">
        <f>Sources!F309</f>
        <v/>
      </c>
      <c r="F309">
        <f>Sources!H309</f>
        <v/>
      </c>
      <c r="G309">
        <f>IF(ABS(F309-ROUND(F309,0))&lt;0.001,1,0)</f>
        <v/>
      </c>
      <c r="H309">
        <f>IF(G309=1,F309,CEILING(F309,1))</f>
        <v/>
      </c>
      <c r="I309">
        <f>IF(G309=1,0,(H309-F309)*E309)</f>
        <v/>
      </c>
      <c r="J309">
        <f>E309*F309</f>
        <v/>
      </c>
    </row>
    <row r="310">
      <c r="A310">
        <f>Sources!A310</f>
        <v/>
      </c>
      <c r="B310">
        <f>Sources!B310</f>
        <v/>
      </c>
      <c r="C310">
        <f>Sources!D310</f>
        <v/>
      </c>
      <c r="D310">
        <f>Sources!E310</f>
        <v/>
      </c>
      <c r="E310">
        <f>Sources!F310</f>
        <v/>
      </c>
      <c r="F310">
        <f>Sources!H310</f>
        <v/>
      </c>
      <c r="G310">
        <f>IF(ABS(F310-ROUND(F310,0))&lt;0.001,1,0)</f>
        <v/>
      </c>
      <c r="H310">
        <f>IF(G310=1,F310,CEILING(F310,1))</f>
        <v/>
      </c>
      <c r="I310">
        <f>IF(G310=1,0,(H310-F310)*E310)</f>
        <v/>
      </c>
      <c r="J310">
        <f>E310*F310</f>
        <v/>
      </c>
    </row>
    <row r="311">
      <c r="A311">
        <f>Sources!A311</f>
        <v/>
      </c>
      <c r="B311">
        <f>Sources!B311</f>
        <v/>
      </c>
      <c r="C311">
        <f>Sources!D311</f>
        <v/>
      </c>
      <c r="D311">
        <f>Sources!E311</f>
        <v/>
      </c>
      <c r="E311">
        <f>Sources!F311</f>
        <v/>
      </c>
      <c r="F311">
        <f>Sources!H311</f>
        <v/>
      </c>
      <c r="G311">
        <f>IF(ABS(F311-ROUND(F311,0))&lt;0.001,1,0)</f>
        <v/>
      </c>
      <c r="H311">
        <f>IF(G311=1,F311,CEILING(F311,1))</f>
        <v/>
      </c>
      <c r="I311">
        <f>IF(G311=1,0,(H311-F311)*E311)</f>
        <v/>
      </c>
      <c r="J311">
        <f>E311*F311</f>
        <v/>
      </c>
    </row>
    <row r="312">
      <c r="A312">
        <f>Sources!A312</f>
        <v/>
      </c>
      <c r="B312">
        <f>Sources!B312</f>
        <v/>
      </c>
      <c r="C312">
        <f>Sources!D312</f>
        <v/>
      </c>
      <c r="D312">
        <f>Sources!E312</f>
        <v/>
      </c>
      <c r="E312">
        <f>Sources!F312</f>
        <v/>
      </c>
      <c r="F312">
        <f>Sources!H312</f>
        <v/>
      </c>
      <c r="G312">
        <f>IF(ABS(F312-ROUND(F312,0))&lt;0.001,1,0)</f>
        <v/>
      </c>
      <c r="H312">
        <f>IF(G312=1,F312,CEILING(F312,1))</f>
        <v/>
      </c>
      <c r="I312">
        <f>IF(G312=1,0,(H312-F312)*E312)</f>
        <v/>
      </c>
      <c r="J312">
        <f>E312*F312</f>
        <v/>
      </c>
    </row>
    <row r="313">
      <c r="A313">
        <f>Sources!A313</f>
        <v/>
      </c>
      <c r="B313">
        <f>Sources!B313</f>
        <v/>
      </c>
      <c r="C313">
        <f>Sources!D313</f>
        <v/>
      </c>
      <c r="D313">
        <f>Sources!E313</f>
        <v/>
      </c>
      <c r="E313">
        <f>Sources!F313</f>
        <v/>
      </c>
      <c r="F313">
        <f>Sources!H313</f>
        <v/>
      </c>
      <c r="G313">
        <f>IF(ABS(F313-ROUND(F313,0))&lt;0.001,1,0)</f>
        <v/>
      </c>
      <c r="H313">
        <f>IF(G313=1,F313,CEILING(F313,1))</f>
        <v/>
      </c>
      <c r="I313">
        <f>IF(G313=1,0,(H313-F313)*E313)</f>
        <v/>
      </c>
      <c r="J313">
        <f>E313*F313</f>
        <v/>
      </c>
    </row>
    <row r="314">
      <c r="A314">
        <f>Sources!A314</f>
        <v/>
      </c>
      <c r="B314">
        <f>Sources!B314</f>
        <v/>
      </c>
      <c r="C314">
        <f>Sources!D314</f>
        <v/>
      </c>
      <c r="D314">
        <f>Sources!E314</f>
        <v/>
      </c>
      <c r="E314">
        <f>Sources!F314</f>
        <v/>
      </c>
      <c r="F314">
        <f>Sources!H314</f>
        <v/>
      </c>
      <c r="G314">
        <f>IF(ABS(F314-ROUND(F314,0))&lt;0.001,1,0)</f>
        <v/>
      </c>
      <c r="H314">
        <f>IF(G314=1,F314,CEILING(F314,1))</f>
        <v/>
      </c>
      <c r="I314">
        <f>IF(G314=1,0,(H314-F314)*E314)</f>
        <v/>
      </c>
      <c r="J314">
        <f>E314*F314</f>
        <v/>
      </c>
    </row>
    <row r="315">
      <c r="A315">
        <f>Sources!A315</f>
        <v/>
      </c>
      <c r="B315">
        <f>Sources!B315</f>
        <v/>
      </c>
      <c r="C315">
        <f>Sources!D315</f>
        <v/>
      </c>
      <c r="D315">
        <f>Sources!E315</f>
        <v/>
      </c>
      <c r="E315">
        <f>Sources!F315</f>
        <v/>
      </c>
      <c r="F315">
        <f>Sources!H315</f>
        <v/>
      </c>
      <c r="G315">
        <f>IF(ABS(F315-ROUND(F315,0))&lt;0.001,1,0)</f>
        <v/>
      </c>
      <c r="H315">
        <f>IF(G315=1,F315,CEILING(F315,1))</f>
        <v/>
      </c>
      <c r="I315">
        <f>IF(G315=1,0,(H315-F315)*E315)</f>
        <v/>
      </c>
      <c r="J315">
        <f>E315*F315</f>
        <v/>
      </c>
    </row>
    <row r="316">
      <c r="A316">
        <f>Sources!A316</f>
        <v/>
      </c>
      <c r="B316">
        <f>Sources!B316</f>
        <v/>
      </c>
      <c r="C316">
        <f>Sources!D316</f>
        <v/>
      </c>
      <c r="D316">
        <f>Sources!E316</f>
        <v/>
      </c>
      <c r="E316">
        <f>Sources!F316</f>
        <v/>
      </c>
      <c r="F316">
        <f>Sources!H316</f>
        <v/>
      </c>
      <c r="G316">
        <f>IF(ABS(F316-ROUND(F316,0))&lt;0.001,1,0)</f>
        <v/>
      </c>
      <c r="H316">
        <f>IF(G316=1,F316,CEILING(F316,1))</f>
        <v/>
      </c>
      <c r="I316">
        <f>IF(G316=1,0,(H316-F316)*E316)</f>
        <v/>
      </c>
      <c r="J316">
        <f>E316*F316</f>
        <v/>
      </c>
    </row>
    <row r="317">
      <c r="A317">
        <f>Sources!A317</f>
        <v/>
      </c>
      <c r="B317">
        <f>Sources!B317</f>
        <v/>
      </c>
      <c r="C317">
        <f>Sources!D317</f>
        <v/>
      </c>
      <c r="D317">
        <f>Sources!E317</f>
        <v/>
      </c>
      <c r="E317">
        <f>Sources!F317</f>
        <v/>
      </c>
      <c r="F317">
        <f>Sources!H317</f>
        <v/>
      </c>
      <c r="G317">
        <f>IF(ABS(F317-ROUND(F317,0))&lt;0.001,1,0)</f>
        <v/>
      </c>
      <c r="H317">
        <f>IF(G317=1,F317,CEILING(F317,1))</f>
        <v/>
      </c>
      <c r="I317">
        <f>IF(G317=1,0,(H317-F317)*E317)</f>
        <v/>
      </c>
      <c r="J317">
        <f>E317*F317</f>
        <v/>
      </c>
    </row>
    <row r="318">
      <c r="A318">
        <f>Sources!A318</f>
        <v/>
      </c>
      <c r="B318">
        <f>Sources!B318</f>
        <v/>
      </c>
      <c r="C318">
        <f>Sources!D318</f>
        <v/>
      </c>
      <c r="D318">
        <f>Sources!E318</f>
        <v/>
      </c>
      <c r="E318">
        <f>Sources!F318</f>
        <v/>
      </c>
      <c r="F318">
        <f>Sources!H318</f>
        <v/>
      </c>
      <c r="G318">
        <f>IF(ABS(F318-ROUND(F318,0))&lt;0.001,1,0)</f>
        <v/>
      </c>
      <c r="H318">
        <f>IF(G318=1,F318,CEILING(F318,1))</f>
        <v/>
      </c>
      <c r="I318">
        <f>IF(G318=1,0,(H318-F318)*E318)</f>
        <v/>
      </c>
      <c r="J318">
        <f>E318*F318</f>
        <v/>
      </c>
    </row>
    <row r="319">
      <c r="A319">
        <f>Sources!A319</f>
        <v/>
      </c>
      <c r="B319">
        <f>Sources!B319</f>
        <v/>
      </c>
      <c r="C319">
        <f>Sources!D319</f>
        <v/>
      </c>
      <c r="D319">
        <f>Sources!E319</f>
        <v/>
      </c>
      <c r="E319">
        <f>Sources!F319</f>
        <v/>
      </c>
      <c r="F319">
        <f>Sources!H319</f>
        <v/>
      </c>
      <c r="G319">
        <f>IF(ABS(F319-ROUND(F319,0))&lt;0.001,1,0)</f>
        <v/>
      </c>
      <c r="H319">
        <f>IF(G319=1,F319,CEILING(F319,1))</f>
        <v/>
      </c>
      <c r="I319">
        <f>IF(G319=1,0,(H319-F319)*E319)</f>
        <v/>
      </c>
      <c r="J319">
        <f>E319*F319</f>
        <v/>
      </c>
    </row>
    <row r="320">
      <c r="A320">
        <f>Sources!A320</f>
        <v/>
      </c>
      <c r="B320">
        <f>Sources!B320</f>
        <v/>
      </c>
      <c r="C320">
        <f>Sources!D320</f>
        <v/>
      </c>
      <c r="D320">
        <f>Sources!E320</f>
        <v/>
      </c>
      <c r="E320">
        <f>Sources!F320</f>
        <v/>
      </c>
      <c r="F320">
        <f>Sources!H320</f>
        <v/>
      </c>
      <c r="G320">
        <f>IF(ABS(F320-ROUND(F320,0))&lt;0.001,1,0)</f>
        <v/>
      </c>
      <c r="H320">
        <f>IF(G320=1,F320,CEILING(F320,1))</f>
        <v/>
      </c>
      <c r="I320">
        <f>IF(G320=1,0,(H320-F320)*E320)</f>
        <v/>
      </c>
      <c r="J320">
        <f>E320*F320</f>
        <v/>
      </c>
    </row>
    <row r="321">
      <c r="A321">
        <f>Sources!A321</f>
        <v/>
      </c>
      <c r="B321">
        <f>Sources!B321</f>
        <v/>
      </c>
      <c r="C321">
        <f>Sources!D321</f>
        <v/>
      </c>
      <c r="D321">
        <f>Sources!E321</f>
        <v/>
      </c>
      <c r="E321">
        <f>Sources!F321</f>
        <v/>
      </c>
      <c r="F321">
        <f>Sources!H321</f>
        <v/>
      </c>
      <c r="G321">
        <f>IF(ABS(F321-ROUND(F321,0))&lt;0.001,1,0)</f>
        <v/>
      </c>
      <c r="H321">
        <f>IF(G321=1,F321,CEILING(F321,1))</f>
        <v/>
      </c>
      <c r="I321">
        <f>IF(G321=1,0,(H321-F321)*E321)</f>
        <v/>
      </c>
      <c r="J321">
        <f>E321*F321</f>
        <v/>
      </c>
    </row>
    <row r="322">
      <c r="A322">
        <f>Sources!A322</f>
        <v/>
      </c>
      <c r="B322">
        <f>Sources!B322</f>
        <v/>
      </c>
      <c r="C322">
        <f>Sources!D322</f>
        <v/>
      </c>
      <c r="D322">
        <f>Sources!E322</f>
        <v/>
      </c>
      <c r="E322">
        <f>Sources!F322</f>
        <v/>
      </c>
      <c r="F322">
        <f>Sources!H322</f>
        <v/>
      </c>
      <c r="G322">
        <f>IF(ABS(F322-ROUND(F322,0))&lt;0.001,1,0)</f>
        <v/>
      </c>
      <c r="H322">
        <f>IF(G322=1,F322,CEILING(F322,1))</f>
        <v/>
      </c>
      <c r="I322">
        <f>IF(G322=1,0,(H322-F322)*E322)</f>
        <v/>
      </c>
      <c r="J322">
        <f>E322*F322</f>
        <v/>
      </c>
    </row>
    <row r="323">
      <c r="A323">
        <f>Sources!A323</f>
        <v/>
      </c>
      <c r="B323">
        <f>Sources!B323</f>
        <v/>
      </c>
      <c r="C323">
        <f>Sources!D323</f>
        <v/>
      </c>
      <c r="D323">
        <f>Sources!E323</f>
        <v/>
      </c>
      <c r="E323">
        <f>Sources!F323</f>
        <v/>
      </c>
      <c r="F323">
        <f>Sources!H323</f>
        <v/>
      </c>
      <c r="G323">
        <f>IF(ABS(F323-ROUND(F323,0))&lt;0.001,1,0)</f>
        <v/>
      </c>
      <c r="H323">
        <f>IF(G323=1,F323,CEILING(F323,1))</f>
        <v/>
      </c>
      <c r="I323">
        <f>IF(G323=1,0,(H323-F323)*E323)</f>
        <v/>
      </c>
      <c r="J323">
        <f>E323*F323</f>
        <v/>
      </c>
    </row>
    <row r="324">
      <c r="A324">
        <f>Sources!A324</f>
        <v/>
      </c>
      <c r="B324">
        <f>Sources!B324</f>
        <v/>
      </c>
      <c r="C324">
        <f>Sources!D324</f>
        <v/>
      </c>
      <c r="D324">
        <f>Sources!E324</f>
        <v/>
      </c>
      <c r="E324">
        <f>Sources!F324</f>
        <v/>
      </c>
      <c r="F324">
        <f>Sources!H324</f>
        <v/>
      </c>
      <c r="G324">
        <f>IF(ABS(F324-ROUND(F324,0))&lt;0.001,1,0)</f>
        <v/>
      </c>
      <c r="H324">
        <f>IF(G324=1,F324,CEILING(F324,1))</f>
        <v/>
      </c>
      <c r="I324">
        <f>IF(G324=1,0,(H324-F324)*E324)</f>
        <v/>
      </c>
      <c r="J324">
        <f>E324*F324</f>
        <v/>
      </c>
    </row>
    <row r="325">
      <c r="A325">
        <f>Sources!A325</f>
        <v/>
      </c>
      <c r="B325">
        <f>Sources!B325</f>
        <v/>
      </c>
      <c r="C325">
        <f>Sources!D325</f>
        <v/>
      </c>
      <c r="D325">
        <f>Sources!E325</f>
        <v/>
      </c>
      <c r="E325">
        <f>Sources!F325</f>
        <v/>
      </c>
      <c r="F325">
        <f>Sources!H325</f>
        <v/>
      </c>
      <c r="G325">
        <f>IF(ABS(F325-ROUND(F325,0))&lt;0.001,1,0)</f>
        <v/>
      </c>
      <c r="H325">
        <f>IF(G325=1,F325,CEILING(F325,1))</f>
        <v/>
      </c>
      <c r="I325">
        <f>IF(G325=1,0,(H325-F325)*E325)</f>
        <v/>
      </c>
      <c r="J325">
        <f>E325*F325</f>
        <v/>
      </c>
    </row>
    <row r="326">
      <c r="A326">
        <f>Sources!A326</f>
        <v/>
      </c>
      <c r="B326">
        <f>Sources!B326</f>
        <v/>
      </c>
      <c r="C326">
        <f>Sources!D326</f>
        <v/>
      </c>
      <c r="D326">
        <f>Sources!E326</f>
        <v/>
      </c>
      <c r="E326">
        <f>Sources!F326</f>
        <v/>
      </c>
      <c r="F326">
        <f>Sources!H326</f>
        <v/>
      </c>
      <c r="G326">
        <f>IF(ABS(F326-ROUND(F326,0))&lt;0.001,1,0)</f>
        <v/>
      </c>
      <c r="H326">
        <f>IF(G326=1,F326,CEILING(F326,1))</f>
        <v/>
      </c>
      <c r="I326">
        <f>IF(G326=1,0,(H326-F326)*E326)</f>
        <v/>
      </c>
      <c r="J326">
        <f>E326*F326</f>
        <v/>
      </c>
    </row>
    <row r="327">
      <c r="A327">
        <f>Sources!A327</f>
        <v/>
      </c>
      <c r="B327">
        <f>Sources!B327</f>
        <v/>
      </c>
      <c r="C327">
        <f>Sources!D327</f>
        <v/>
      </c>
      <c r="D327">
        <f>Sources!E327</f>
        <v/>
      </c>
      <c r="E327">
        <f>Sources!F327</f>
        <v/>
      </c>
      <c r="F327">
        <f>Sources!H327</f>
        <v/>
      </c>
      <c r="G327">
        <f>IF(ABS(F327-ROUND(F327,0))&lt;0.001,1,0)</f>
        <v/>
      </c>
      <c r="H327">
        <f>IF(G327=1,F327,CEILING(F327,1))</f>
        <v/>
      </c>
      <c r="I327">
        <f>IF(G327=1,0,(H327-F327)*E327)</f>
        <v/>
      </c>
      <c r="J327">
        <f>E327*F327</f>
        <v/>
      </c>
    </row>
    <row r="328">
      <c r="A328">
        <f>Sources!A328</f>
        <v/>
      </c>
      <c r="B328">
        <f>Sources!B328</f>
        <v/>
      </c>
      <c r="C328">
        <f>Sources!D328</f>
        <v/>
      </c>
      <c r="D328">
        <f>Sources!E328</f>
        <v/>
      </c>
      <c r="E328">
        <f>Sources!F328</f>
        <v/>
      </c>
      <c r="F328">
        <f>Sources!H328</f>
        <v/>
      </c>
      <c r="G328">
        <f>IF(ABS(F328-ROUND(F328,0))&lt;0.001,1,0)</f>
        <v/>
      </c>
      <c r="H328">
        <f>IF(G328=1,F328,CEILING(F328,1))</f>
        <v/>
      </c>
      <c r="I328">
        <f>IF(G328=1,0,(H328-F328)*E328)</f>
        <v/>
      </c>
      <c r="J328">
        <f>E328*F328</f>
        <v/>
      </c>
    </row>
    <row r="329">
      <c r="A329">
        <f>Sources!A329</f>
        <v/>
      </c>
      <c r="B329">
        <f>Sources!B329</f>
        <v/>
      </c>
      <c r="C329">
        <f>Sources!D329</f>
        <v/>
      </c>
      <c r="D329">
        <f>Sources!E329</f>
        <v/>
      </c>
      <c r="E329">
        <f>Sources!F329</f>
        <v/>
      </c>
      <c r="F329">
        <f>Sources!H329</f>
        <v/>
      </c>
      <c r="G329">
        <f>IF(ABS(F329-ROUND(F329,0))&lt;0.001,1,0)</f>
        <v/>
      </c>
      <c r="H329">
        <f>IF(G329=1,F329,CEILING(F329,1))</f>
        <v/>
      </c>
      <c r="I329">
        <f>IF(G329=1,0,(H329-F329)*E329)</f>
        <v/>
      </c>
      <c r="J329">
        <f>E329*F329</f>
        <v/>
      </c>
    </row>
    <row r="330">
      <c r="A330">
        <f>Sources!A330</f>
        <v/>
      </c>
      <c r="B330">
        <f>Sources!B330</f>
        <v/>
      </c>
      <c r="C330">
        <f>Sources!D330</f>
        <v/>
      </c>
      <c r="D330">
        <f>Sources!E330</f>
        <v/>
      </c>
      <c r="E330">
        <f>Sources!F330</f>
        <v/>
      </c>
      <c r="F330">
        <f>Sources!H330</f>
        <v/>
      </c>
      <c r="G330">
        <f>IF(ABS(F330-ROUND(F330,0))&lt;0.001,1,0)</f>
        <v/>
      </c>
      <c r="H330">
        <f>IF(G330=1,F330,CEILING(F330,1))</f>
        <v/>
      </c>
      <c r="I330">
        <f>IF(G330=1,0,(H330-F330)*E330)</f>
        <v/>
      </c>
      <c r="J330">
        <f>E330*F330</f>
        <v/>
      </c>
    </row>
    <row r="331">
      <c r="A331">
        <f>Sources!A331</f>
        <v/>
      </c>
      <c r="B331">
        <f>Sources!B331</f>
        <v/>
      </c>
      <c r="C331">
        <f>Sources!D331</f>
        <v/>
      </c>
      <c r="D331">
        <f>Sources!E331</f>
        <v/>
      </c>
      <c r="E331">
        <f>Sources!F331</f>
        <v/>
      </c>
      <c r="F331">
        <f>Sources!H331</f>
        <v/>
      </c>
      <c r="G331">
        <f>IF(ABS(F331-ROUND(F331,0))&lt;0.001,1,0)</f>
        <v/>
      </c>
      <c r="H331">
        <f>IF(G331=1,F331,CEILING(F331,1))</f>
        <v/>
      </c>
      <c r="I331">
        <f>IF(G331=1,0,(H331-F331)*E331)</f>
        <v/>
      </c>
      <c r="J331">
        <f>E331*F331</f>
        <v/>
      </c>
    </row>
    <row r="332">
      <c r="A332">
        <f>Sources!A332</f>
        <v/>
      </c>
      <c r="B332">
        <f>Sources!B332</f>
        <v/>
      </c>
      <c r="C332">
        <f>Sources!D332</f>
        <v/>
      </c>
      <c r="D332">
        <f>Sources!E332</f>
        <v/>
      </c>
      <c r="E332">
        <f>Sources!F332</f>
        <v/>
      </c>
      <c r="F332">
        <f>Sources!H332</f>
        <v/>
      </c>
      <c r="G332">
        <f>IF(ABS(F332-ROUND(F332,0))&lt;0.001,1,0)</f>
        <v/>
      </c>
      <c r="H332">
        <f>IF(G332=1,F332,CEILING(F332,1))</f>
        <v/>
      </c>
      <c r="I332">
        <f>IF(G332=1,0,(H332-F332)*E332)</f>
        <v/>
      </c>
      <c r="J332">
        <f>E332*F332</f>
        <v/>
      </c>
    </row>
    <row r="333">
      <c r="A333">
        <f>Sources!A333</f>
        <v/>
      </c>
      <c r="B333">
        <f>Sources!B333</f>
        <v/>
      </c>
      <c r="C333">
        <f>Sources!D333</f>
        <v/>
      </c>
      <c r="D333">
        <f>Sources!E333</f>
        <v/>
      </c>
      <c r="E333">
        <f>Sources!F333</f>
        <v/>
      </c>
      <c r="F333">
        <f>Sources!H333</f>
        <v/>
      </c>
      <c r="G333">
        <f>IF(ABS(F333-ROUND(F333,0))&lt;0.001,1,0)</f>
        <v/>
      </c>
      <c r="H333">
        <f>IF(G333=1,F333,CEILING(F333,1))</f>
        <v/>
      </c>
      <c r="I333">
        <f>IF(G333=1,0,(H333-F333)*E333)</f>
        <v/>
      </c>
      <c r="J333">
        <f>E333*F333</f>
        <v/>
      </c>
    </row>
    <row r="334">
      <c r="A334">
        <f>Sources!A334</f>
        <v/>
      </c>
      <c r="B334">
        <f>Sources!B334</f>
        <v/>
      </c>
      <c r="C334">
        <f>Sources!D334</f>
        <v/>
      </c>
      <c r="D334">
        <f>Sources!E334</f>
        <v/>
      </c>
      <c r="E334">
        <f>Sources!F334</f>
        <v/>
      </c>
      <c r="F334">
        <f>Sources!H334</f>
        <v/>
      </c>
      <c r="G334">
        <f>IF(ABS(F334-ROUND(F334,0))&lt;0.001,1,0)</f>
        <v/>
      </c>
      <c r="H334">
        <f>IF(G334=1,F334,CEILING(F334,1))</f>
        <v/>
      </c>
      <c r="I334">
        <f>IF(G334=1,0,(H334-F334)*E334)</f>
        <v/>
      </c>
      <c r="J334">
        <f>E334*F334</f>
        <v/>
      </c>
    </row>
    <row r="335">
      <c r="A335">
        <f>Sources!A335</f>
        <v/>
      </c>
      <c r="B335">
        <f>Sources!B335</f>
        <v/>
      </c>
      <c r="C335">
        <f>Sources!D335</f>
        <v/>
      </c>
      <c r="D335">
        <f>Sources!E335</f>
        <v/>
      </c>
      <c r="E335">
        <f>Sources!F335</f>
        <v/>
      </c>
      <c r="F335">
        <f>Sources!H335</f>
        <v/>
      </c>
      <c r="G335">
        <f>IF(ABS(F335-ROUND(F335,0))&lt;0.001,1,0)</f>
        <v/>
      </c>
      <c r="H335">
        <f>IF(G335=1,F335,CEILING(F335,1))</f>
        <v/>
      </c>
      <c r="I335">
        <f>IF(G335=1,0,(H335-F335)*E335)</f>
        <v/>
      </c>
      <c r="J335">
        <f>E335*F335</f>
        <v/>
      </c>
    </row>
    <row r="336">
      <c r="A336">
        <f>Sources!A336</f>
        <v/>
      </c>
      <c r="B336">
        <f>Sources!B336</f>
        <v/>
      </c>
      <c r="C336">
        <f>Sources!D336</f>
        <v/>
      </c>
      <c r="D336">
        <f>Sources!E336</f>
        <v/>
      </c>
      <c r="E336">
        <f>Sources!F336</f>
        <v/>
      </c>
      <c r="F336">
        <f>Sources!H336</f>
        <v/>
      </c>
      <c r="G336">
        <f>IF(ABS(F336-ROUND(F336,0))&lt;0.001,1,0)</f>
        <v/>
      </c>
      <c r="H336">
        <f>IF(G336=1,F336,CEILING(F336,1))</f>
        <v/>
      </c>
      <c r="I336">
        <f>IF(G336=1,0,(H336-F336)*E336)</f>
        <v/>
      </c>
      <c r="J336">
        <f>E336*F336</f>
        <v/>
      </c>
    </row>
    <row r="337">
      <c r="A337">
        <f>Sources!A337</f>
        <v/>
      </c>
      <c r="B337">
        <f>Sources!B337</f>
        <v/>
      </c>
      <c r="C337">
        <f>Sources!D337</f>
        <v/>
      </c>
      <c r="D337">
        <f>Sources!E337</f>
        <v/>
      </c>
      <c r="E337">
        <f>Sources!F337</f>
        <v/>
      </c>
      <c r="F337">
        <f>Sources!H337</f>
        <v/>
      </c>
      <c r="G337">
        <f>IF(ABS(F337-ROUND(F337,0))&lt;0.001,1,0)</f>
        <v/>
      </c>
      <c r="H337">
        <f>IF(G337=1,F337,CEILING(F337,1))</f>
        <v/>
      </c>
      <c r="I337">
        <f>IF(G337=1,0,(H337-F337)*E337)</f>
        <v/>
      </c>
      <c r="J337">
        <f>E337*F337</f>
        <v/>
      </c>
    </row>
    <row r="338">
      <c r="A338">
        <f>Sources!A338</f>
        <v/>
      </c>
      <c r="B338">
        <f>Sources!B338</f>
        <v/>
      </c>
      <c r="C338">
        <f>Sources!D338</f>
        <v/>
      </c>
      <c r="D338">
        <f>Sources!E338</f>
        <v/>
      </c>
      <c r="E338">
        <f>Sources!F338</f>
        <v/>
      </c>
      <c r="F338">
        <f>Sources!H338</f>
        <v/>
      </c>
      <c r="G338">
        <f>IF(ABS(F338-ROUND(F338,0))&lt;0.001,1,0)</f>
        <v/>
      </c>
      <c r="H338">
        <f>IF(G338=1,F338,CEILING(F338,1))</f>
        <v/>
      </c>
      <c r="I338">
        <f>IF(G338=1,0,(H338-F338)*E338)</f>
        <v/>
      </c>
      <c r="J338">
        <f>E338*F338</f>
        <v/>
      </c>
    </row>
    <row r="339">
      <c r="A339">
        <f>Sources!A339</f>
        <v/>
      </c>
      <c r="B339">
        <f>Sources!B339</f>
        <v/>
      </c>
      <c r="C339">
        <f>Sources!D339</f>
        <v/>
      </c>
      <c r="D339">
        <f>Sources!E339</f>
        <v/>
      </c>
      <c r="E339">
        <f>Sources!F339</f>
        <v/>
      </c>
      <c r="F339">
        <f>Sources!H339</f>
        <v/>
      </c>
      <c r="G339">
        <f>IF(ABS(F339-ROUND(F339,0))&lt;0.001,1,0)</f>
        <v/>
      </c>
      <c r="H339">
        <f>IF(G339=1,F339,CEILING(F339,1))</f>
        <v/>
      </c>
      <c r="I339">
        <f>IF(G339=1,0,(H339-F339)*E339)</f>
        <v/>
      </c>
      <c r="J339">
        <f>E339*F339</f>
        <v/>
      </c>
    </row>
    <row r="340">
      <c r="A340">
        <f>Sources!A340</f>
        <v/>
      </c>
      <c r="B340">
        <f>Sources!B340</f>
        <v/>
      </c>
      <c r="C340">
        <f>Sources!D340</f>
        <v/>
      </c>
      <c r="D340">
        <f>Sources!E340</f>
        <v/>
      </c>
      <c r="E340">
        <f>Sources!F340</f>
        <v/>
      </c>
      <c r="F340">
        <f>Sources!H340</f>
        <v/>
      </c>
      <c r="G340">
        <f>IF(ABS(F340-ROUND(F340,0))&lt;0.001,1,0)</f>
        <v/>
      </c>
      <c r="H340">
        <f>IF(G340=1,F340,CEILING(F340,1))</f>
        <v/>
      </c>
      <c r="I340">
        <f>IF(G340=1,0,(H340-F340)*E340)</f>
        <v/>
      </c>
      <c r="J340">
        <f>E340*F340</f>
        <v/>
      </c>
    </row>
    <row r="341">
      <c r="A341">
        <f>Sources!A341</f>
        <v/>
      </c>
      <c r="B341">
        <f>Sources!B341</f>
        <v/>
      </c>
      <c r="C341">
        <f>Sources!D341</f>
        <v/>
      </c>
      <c r="D341">
        <f>Sources!E341</f>
        <v/>
      </c>
      <c r="E341">
        <f>Sources!F341</f>
        <v/>
      </c>
      <c r="F341">
        <f>Sources!H341</f>
        <v/>
      </c>
      <c r="G341">
        <f>IF(ABS(F341-ROUND(F341,0))&lt;0.001,1,0)</f>
        <v/>
      </c>
      <c r="H341">
        <f>IF(G341=1,F341,CEILING(F341,1))</f>
        <v/>
      </c>
      <c r="I341">
        <f>IF(G341=1,0,(H341-F341)*E341)</f>
        <v/>
      </c>
      <c r="J341">
        <f>E341*F341</f>
        <v/>
      </c>
    </row>
    <row r="342">
      <c r="A342">
        <f>Sources!A342</f>
        <v/>
      </c>
      <c r="B342">
        <f>Sources!B342</f>
        <v/>
      </c>
      <c r="C342">
        <f>Sources!D342</f>
        <v/>
      </c>
      <c r="D342">
        <f>Sources!E342</f>
        <v/>
      </c>
      <c r="E342">
        <f>Sources!F342</f>
        <v/>
      </c>
      <c r="F342">
        <f>Sources!H342</f>
        <v/>
      </c>
      <c r="G342">
        <f>IF(ABS(F342-ROUND(F342,0))&lt;0.001,1,0)</f>
        <v/>
      </c>
      <c r="H342">
        <f>IF(G342=1,F342,CEILING(F342,1))</f>
        <v/>
      </c>
      <c r="I342">
        <f>IF(G342=1,0,(H342-F342)*E342)</f>
        <v/>
      </c>
      <c r="J342">
        <f>E342*F342</f>
        <v/>
      </c>
    </row>
    <row r="343">
      <c r="A343">
        <f>Sources!A343</f>
        <v/>
      </c>
      <c r="B343">
        <f>Sources!B343</f>
        <v/>
      </c>
      <c r="C343">
        <f>Sources!D343</f>
        <v/>
      </c>
      <c r="D343">
        <f>Sources!E343</f>
        <v/>
      </c>
      <c r="E343">
        <f>Sources!F343</f>
        <v/>
      </c>
      <c r="F343">
        <f>Sources!H343</f>
        <v/>
      </c>
      <c r="G343">
        <f>IF(ABS(F343-ROUND(F343,0))&lt;0.001,1,0)</f>
        <v/>
      </c>
      <c r="H343">
        <f>IF(G343=1,F343,CEILING(F343,1))</f>
        <v/>
      </c>
      <c r="I343">
        <f>IF(G343=1,0,(H343-F343)*E343)</f>
        <v/>
      </c>
      <c r="J343">
        <f>E343*F343</f>
        <v/>
      </c>
    </row>
    <row r="344">
      <c r="A344">
        <f>Sources!A344</f>
        <v/>
      </c>
      <c r="B344">
        <f>Sources!B344</f>
        <v/>
      </c>
      <c r="C344">
        <f>Sources!D344</f>
        <v/>
      </c>
      <c r="D344">
        <f>Sources!E344</f>
        <v/>
      </c>
      <c r="E344">
        <f>Sources!F344</f>
        <v/>
      </c>
      <c r="F344">
        <f>Sources!H344</f>
        <v/>
      </c>
      <c r="G344">
        <f>IF(ABS(F344-ROUND(F344,0))&lt;0.001,1,0)</f>
        <v/>
      </c>
      <c r="H344">
        <f>IF(G344=1,F344,CEILING(F344,1))</f>
        <v/>
      </c>
      <c r="I344">
        <f>IF(G344=1,0,(H344-F344)*E344)</f>
        <v/>
      </c>
      <c r="J344">
        <f>E344*F344</f>
        <v/>
      </c>
    </row>
    <row r="345">
      <c r="A345">
        <f>Sources!A345</f>
        <v/>
      </c>
      <c r="B345">
        <f>Sources!B345</f>
        <v/>
      </c>
      <c r="C345">
        <f>Sources!D345</f>
        <v/>
      </c>
      <c r="D345">
        <f>Sources!E345</f>
        <v/>
      </c>
      <c r="E345">
        <f>Sources!F345</f>
        <v/>
      </c>
      <c r="F345">
        <f>Sources!H345</f>
        <v/>
      </c>
      <c r="G345">
        <f>IF(ABS(F345-ROUND(F345,0))&lt;0.001,1,0)</f>
        <v/>
      </c>
      <c r="H345">
        <f>IF(G345=1,F345,CEILING(F345,1))</f>
        <v/>
      </c>
      <c r="I345">
        <f>IF(G345=1,0,(H345-F345)*E345)</f>
        <v/>
      </c>
      <c r="J345">
        <f>E345*F345</f>
        <v/>
      </c>
    </row>
    <row r="346">
      <c r="A346">
        <f>Sources!A346</f>
        <v/>
      </c>
      <c r="B346">
        <f>Sources!B346</f>
        <v/>
      </c>
      <c r="C346">
        <f>Sources!D346</f>
        <v/>
      </c>
      <c r="D346">
        <f>Sources!E346</f>
        <v/>
      </c>
      <c r="E346">
        <f>Sources!F346</f>
        <v/>
      </c>
      <c r="F346">
        <f>Sources!H346</f>
        <v/>
      </c>
      <c r="G346">
        <f>IF(ABS(F346-ROUND(F346,0))&lt;0.001,1,0)</f>
        <v/>
      </c>
      <c r="H346">
        <f>IF(G346=1,F346,CEILING(F346,1))</f>
        <v/>
      </c>
      <c r="I346">
        <f>IF(G346=1,0,(H346-F346)*E346)</f>
        <v/>
      </c>
      <c r="J346">
        <f>E346*F346</f>
        <v/>
      </c>
    </row>
    <row r="347">
      <c r="A347">
        <f>Sources!A347</f>
        <v/>
      </c>
      <c r="B347">
        <f>Sources!B347</f>
        <v/>
      </c>
      <c r="C347">
        <f>Sources!D347</f>
        <v/>
      </c>
      <c r="D347">
        <f>Sources!E347</f>
        <v/>
      </c>
      <c r="E347">
        <f>Sources!F347</f>
        <v/>
      </c>
      <c r="F347">
        <f>Sources!H347</f>
        <v/>
      </c>
      <c r="G347">
        <f>IF(ABS(F347-ROUND(F347,0))&lt;0.001,1,0)</f>
        <v/>
      </c>
      <c r="H347">
        <f>IF(G347=1,F347,CEILING(F347,1))</f>
        <v/>
      </c>
      <c r="I347">
        <f>IF(G347=1,0,(H347-F347)*E347)</f>
        <v/>
      </c>
      <c r="J347">
        <f>E347*F347</f>
        <v/>
      </c>
    </row>
    <row r="348">
      <c r="A348">
        <f>Sources!A348</f>
        <v/>
      </c>
      <c r="B348">
        <f>Sources!B348</f>
        <v/>
      </c>
      <c r="C348">
        <f>Sources!D348</f>
        <v/>
      </c>
      <c r="D348">
        <f>Sources!E348</f>
        <v/>
      </c>
      <c r="E348">
        <f>Sources!F348</f>
        <v/>
      </c>
      <c r="F348">
        <f>Sources!H348</f>
        <v/>
      </c>
      <c r="G348">
        <f>IF(ABS(F348-ROUND(F348,0))&lt;0.001,1,0)</f>
        <v/>
      </c>
      <c r="H348">
        <f>IF(G348=1,F348,CEILING(F348,1))</f>
        <v/>
      </c>
      <c r="I348">
        <f>IF(G348=1,0,(H348-F348)*E348)</f>
        <v/>
      </c>
      <c r="J348">
        <f>E348*F348</f>
        <v/>
      </c>
    </row>
    <row r="349">
      <c r="A349">
        <f>Sources!A349</f>
        <v/>
      </c>
      <c r="B349">
        <f>Sources!B349</f>
        <v/>
      </c>
      <c r="C349">
        <f>Sources!D349</f>
        <v/>
      </c>
      <c r="D349">
        <f>Sources!E349</f>
        <v/>
      </c>
      <c r="E349">
        <f>Sources!F349</f>
        <v/>
      </c>
      <c r="F349">
        <f>Sources!H349</f>
        <v/>
      </c>
      <c r="G349">
        <f>IF(ABS(F349-ROUND(F349,0))&lt;0.001,1,0)</f>
        <v/>
      </c>
      <c r="H349">
        <f>IF(G349=1,F349,CEILING(F349,1))</f>
        <v/>
      </c>
      <c r="I349">
        <f>IF(G349=1,0,(H349-F349)*E349)</f>
        <v/>
      </c>
      <c r="J349">
        <f>E349*F349</f>
        <v/>
      </c>
    </row>
    <row r="350">
      <c r="A350">
        <f>Sources!A350</f>
        <v/>
      </c>
      <c r="B350">
        <f>Sources!B350</f>
        <v/>
      </c>
      <c r="C350">
        <f>Sources!D350</f>
        <v/>
      </c>
      <c r="D350">
        <f>Sources!E350</f>
        <v/>
      </c>
      <c r="E350">
        <f>Sources!F350</f>
        <v/>
      </c>
      <c r="F350">
        <f>Sources!H350</f>
        <v/>
      </c>
      <c r="G350">
        <f>IF(ABS(F350-ROUND(F350,0))&lt;0.001,1,0)</f>
        <v/>
      </c>
      <c r="H350">
        <f>IF(G350=1,F350,CEILING(F350,1))</f>
        <v/>
      </c>
      <c r="I350">
        <f>IF(G350=1,0,(H350-F350)*E350)</f>
        <v/>
      </c>
      <c r="J350">
        <f>E350*F350</f>
        <v/>
      </c>
    </row>
    <row r="351">
      <c r="A351">
        <f>Sources!A351</f>
        <v/>
      </c>
      <c r="B351">
        <f>Sources!B351</f>
        <v/>
      </c>
      <c r="C351">
        <f>Sources!D351</f>
        <v/>
      </c>
      <c r="D351">
        <f>Sources!E351</f>
        <v/>
      </c>
      <c r="E351">
        <f>Sources!F351</f>
        <v/>
      </c>
      <c r="F351">
        <f>Sources!H351</f>
        <v/>
      </c>
      <c r="G351">
        <f>IF(ABS(F351-ROUND(F351,0))&lt;0.001,1,0)</f>
        <v/>
      </c>
      <c r="H351">
        <f>IF(G351=1,F351,CEILING(F351,1))</f>
        <v/>
      </c>
      <c r="I351">
        <f>IF(G351=1,0,(H351-F351)*E351)</f>
        <v/>
      </c>
      <c r="J351">
        <f>E351*F351</f>
        <v/>
      </c>
    </row>
    <row r="352">
      <c r="A352">
        <f>Sources!A352</f>
        <v/>
      </c>
      <c r="B352">
        <f>Sources!B352</f>
        <v/>
      </c>
      <c r="C352">
        <f>Sources!D352</f>
        <v/>
      </c>
      <c r="D352">
        <f>Sources!E352</f>
        <v/>
      </c>
      <c r="E352">
        <f>Sources!F352</f>
        <v/>
      </c>
      <c r="F352">
        <f>Sources!H352</f>
        <v/>
      </c>
      <c r="G352">
        <f>IF(ABS(F352-ROUND(F352,0))&lt;0.001,1,0)</f>
        <v/>
      </c>
      <c r="H352">
        <f>IF(G352=1,F352,CEILING(F352,1))</f>
        <v/>
      </c>
      <c r="I352">
        <f>IF(G352=1,0,(H352-F352)*E352)</f>
        <v/>
      </c>
      <c r="J352">
        <f>E352*F352</f>
        <v/>
      </c>
    </row>
    <row r="353">
      <c r="A353">
        <f>Sources!A353</f>
        <v/>
      </c>
      <c r="B353">
        <f>Sources!B353</f>
        <v/>
      </c>
      <c r="C353">
        <f>Sources!D353</f>
        <v/>
      </c>
      <c r="D353">
        <f>Sources!E353</f>
        <v/>
      </c>
      <c r="E353">
        <f>Sources!F353</f>
        <v/>
      </c>
      <c r="F353">
        <f>Sources!H353</f>
        <v/>
      </c>
      <c r="G353">
        <f>IF(ABS(F353-ROUND(F353,0))&lt;0.001,1,0)</f>
        <v/>
      </c>
      <c r="H353">
        <f>IF(G353=1,F353,CEILING(F353,1))</f>
        <v/>
      </c>
      <c r="I353">
        <f>IF(G353=1,0,(H353-F353)*E353)</f>
        <v/>
      </c>
      <c r="J353">
        <f>E353*F353</f>
        <v/>
      </c>
    </row>
    <row r="354">
      <c r="A354">
        <f>Sources!A354</f>
        <v/>
      </c>
      <c r="B354">
        <f>Sources!B354</f>
        <v/>
      </c>
      <c r="C354">
        <f>Sources!D354</f>
        <v/>
      </c>
      <c r="D354">
        <f>Sources!E354</f>
        <v/>
      </c>
      <c r="E354">
        <f>Sources!F354</f>
        <v/>
      </c>
      <c r="F354">
        <f>Sources!H354</f>
        <v/>
      </c>
      <c r="G354">
        <f>IF(ABS(F354-ROUND(F354,0))&lt;0.001,1,0)</f>
        <v/>
      </c>
      <c r="H354">
        <f>IF(G354=1,F354,CEILING(F354,1))</f>
        <v/>
      </c>
      <c r="I354">
        <f>IF(G354=1,0,(H354-F354)*E354)</f>
        <v/>
      </c>
      <c r="J354">
        <f>E354*F354</f>
        <v/>
      </c>
    </row>
    <row r="355">
      <c r="A355">
        <f>Sources!A355</f>
        <v/>
      </c>
      <c r="B355">
        <f>Sources!B355</f>
        <v/>
      </c>
      <c r="C355">
        <f>Sources!D355</f>
        <v/>
      </c>
      <c r="D355">
        <f>Sources!E355</f>
        <v/>
      </c>
      <c r="E355">
        <f>Sources!F355</f>
        <v/>
      </c>
      <c r="F355">
        <f>Sources!H355</f>
        <v/>
      </c>
      <c r="G355">
        <f>IF(ABS(F355-ROUND(F355,0))&lt;0.001,1,0)</f>
        <v/>
      </c>
      <c r="H355">
        <f>IF(G355=1,F355,CEILING(F355,1))</f>
        <v/>
      </c>
      <c r="I355">
        <f>IF(G355=1,0,(H355-F355)*E355)</f>
        <v/>
      </c>
      <c r="J355">
        <f>E355*F355</f>
        <v/>
      </c>
    </row>
    <row r="356">
      <c r="A356">
        <f>Sources!A356</f>
        <v/>
      </c>
      <c r="B356">
        <f>Sources!B356</f>
        <v/>
      </c>
      <c r="C356">
        <f>Sources!D356</f>
        <v/>
      </c>
      <c r="D356">
        <f>Sources!E356</f>
        <v/>
      </c>
      <c r="E356">
        <f>Sources!F356</f>
        <v/>
      </c>
      <c r="F356">
        <f>Sources!H356</f>
        <v/>
      </c>
      <c r="G356">
        <f>IF(ABS(F356-ROUND(F356,0))&lt;0.001,1,0)</f>
        <v/>
      </c>
      <c r="H356">
        <f>IF(G356=1,F356,CEILING(F356,1))</f>
        <v/>
      </c>
      <c r="I356">
        <f>IF(G356=1,0,(H356-F356)*E356)</f>
        <v/>
      </c>
      <c r="J356">
        <f>E356*F356</f>
        <v/>
      </c>
    </row>
    <row r="357">
      <c r="A357">
        <f>Sources!A357</f>
        <v/>
      </c>
      <c r="B357">
        <f>Sources!B357</f>
        <v/>
      </c>
      <c r="C357">
        <f>Sources!D357</f>
        <v/>
      </c>
      <c r="D357">
        <f>Sources!E357</f>
        <v/>
      </c>
      <c r="E357">
        <f>Sources!F357</f>
        <v/>
      </c>
      <c r="F357">
        <f>Sources!H357</f>
        <v/>
      </c>
      <c r="G357">
        <f>IF(ABS(F357-ROUND(F357,0))&lt;0.001,1,0)</f>
        <v/>
      </c>
      <c r="H357">
        <f>IF(G357=1,F357,CEILING(F357,1))</f>
        <v/>
      </c>
      <c r="I357">
        <f>IF(G357=1,0,(H357-F357)*E357)</f>
        <v/>
      </c>
      <c r="J357">
        <f>E357*F357</f>
        <v/>
      </c>
    </row>
    <row r="358">
      <c r="A358">
        <f>Sources!A358</f>
        <v/>
      </c>
      <c r="B358">
        <f>Sources!B358</f>
        <v/>
      </c>
      <c r="C358">
        <f>Sources!D358</f>
        <v/>
      </c>
      <c r="D358">
        <f>Sources!E358</f>
        <v/>
      </c>
      <c r="E358">
        <f>Sources!F358</f>
        <v/>
      </c>
      <c r="F358">
        <f>Sources!H358</f>
        <v/>
      </c>
      <c r="G358">
        <f>IF(ABS(F358-ROUND(F358,0))&lt;0.001,1,0)</f>
        <v/>
      </c>
      <c r="H358">
        <f>IF(G358=1,F358,CEILING(F358,1))</f>
        <v/>
      </c>
      <c r="I358">
        <f>IF(G358=1,0,(H358-F358)*E358)</f>
        <v/>
      </c>
      <c r="J358">
        <f>E358*F358</f>
        <v/>
      </c>
    </row>
    <row r="359">
      <c r="A359">
        <f>Sources!A359</f>
        <v/>
      </c>
      <c r="B359">
        <f>Sources!B359</f>
        <v/>
      </c>
      <c r="C359">
        <f>Sources!D359</f>
        <v/>
      </c>
      <c r="D359">
        <f>Sources!E359</f>
        <v/>
      </c>
      <c r="E359">
        <f>Sources!F359</f>
        <v/>
      </c>
      <c r="F359">
        <f>Sources!H359</f>
        <v/>
      </c>
      <c r="G359">
        <f>IF(ABS(F359-ROUND(F359,0))&lt;0.001,1,0)</f>
        <v/>
      </c>
      <c r="H359">
        <f>IF(G359=1,F359,CEILING(F359,1))</f>
        <v/>
      </c>
      <c r="I359">
        <f>IF(G359=1,0,(H359-F359)*E359)</f>
        <v/>
      </c>
      <c r="J359">
        <f>E359*F359</f>
        <v/>
      </c>
    </row>
    <row r="360">
      <c r="A360">
        <f>Sources!A360</f>
        <v/>
      </c>
      <c r="B360">
        <f>Sources!B360</f>
        <v/>
      </c>
      <c r="C360">
        <f>Sources!D360</f>
        <v/>
      </c>
      <c r="D360">
        <f>Sources!E360</f>
        <v/>
      </c>
      <c r="E360">
        <f>Sources!F360</f>
        <v/>
      </c>
      <c r="F360">
        <f>Sources!H360</f>
        <v/>
      </c>
      <c r="G360">
        <f>IF(ABS(F360-ROUND(F360,0))&lt;0.001,1,0)</f>
        <v/>
      </c>
      <c r="H360">
        <f>IF(G360=1,F360,CEILING(F360,1))</f>
        <v/>
      </c>
      <c r="I360">
        <f>IF(G360=1,0,(H360-F360)*E360)</f>
        <v/>
      </c>
      <c r="J360">
        <f>E360*F360</f>
        <v/>
      </c>
    </row>
    <row r="361">
      <c r="A361">
        <f>Sources!A361</f>
        <v/>
      </c>
      <c r="B361">
        <f>Sources!B361</f>
        <v/>
      </c>
      <c r="C361">
        <f>Sources!D361</f>
        <v/>
      </c>
      <c r="D361">
        <f>Sources!E361</f>
        <v/>
      </c>
      <c r="E361">
        <f>Sources!F361</f>
        <v/>
      </c>
      <c r="F361">
        <f>Sources!H361</f>
        <v/>
      </c>
      <c r="G361">
        <f>IF(ABS(F361-ROUND(F361,0))&lt;0.001,1,0)</f>
        <v/>
      </c>
      <c r="H361">
        <f>IF(G361=1,F361,CEILING(F361,1))</f>
        <v/>
      </c>
      <c r="I361">
        <f>IF(G361=1,0,(H361-F361)*E361)</f>
        <v/>
      </c>
      <c r="J361">
        <f>E361*F361</f>
        <v/>
      </c>
    </row>
    <row r="362">
      <c r="A362">
        <f>Sources!A362</f>
        <v/>
      </c>
      <c r="B362">
        <f>Sources!B362</f>
        <v/>
      </c>
      <c r="C362">
        <f>Sources!D362</f>
        <v/>
      </c>
      <c r="D362">
        <f>Sources!E362</f>
        <v/>
      </c>
      <c r="E362">
        <f>Sources!F362</f>
        <v/>
      </c>
      <c r="F362">
        <f>Sources!H362</f>
        <v/>
      </c>
      <c r="G362">
        <f>IF(ABS(F362-ROUND(F362,0))&lt;0.001,1,0)</f>
        <v/>
      </c>
      <c r="H362">
        <f>IF(G362=1,F362,CEILING(F362,1))</f>
        <v/>
      </c>
      <c r="I362">
        <f>IF(G362=1,0,(H362-F362)*E362)</f>
        <v/>
      </c>
      <c r="J362">
        <f>E362*F362</f>
        <v/>
      </c>
    </row>
    <row r="363">
      <c r="A363">
        <f>Sources!A363</f>
        <v/>
      </c>
      <c r="B363">
        <f>Sources!B363</f>
        <v/>
      </c>
      <c r="C363">
        <f>Sources!D363</f>
        <v/>
      </c>
      <c r="D363">
        <f>Sources!E363</f>
        <v/>
      </c>
      <c r="E363">
        <f>Sources!F363</f>
        <v/>
      </c>
      <c r="F363">
        <f>Sources!H363</f>
        <v/>
      </c>
      <c r="G363">
        <f>IF(ABS(F363-ROUND(F363,0))&lt;0.001,1,0)</f>
        <v/>
      </c>
      <c r="H363">
        <f>IF(G363=1,F363,CEILING(F363,1))</f>
        <v/>
      </c>
      <c r="I363">
        <f>IF(G363=1,0,(H363-F363)*E363)</f>
        <v/>
      </c>
      <c r="J363">
        <f>E363*F363</f>
        <v/>
      </c>
    </row>
    <row r="364">
      <c r="A364">
        <f>Sources!A364</f>
        <v/>
      </c>
      <c r="B364">
        <f>Sources!B364</f>
        <v/>
      </c>
      <c r="C364">
        <f>Sources!D364</f>
        <v/>
      </c>
      <c r="D364">
        <f>Sources!E364</f>
        <v/>
      </c>
      <c r="E364">
        <f>Sources!F364</f>
        <v/>
      </c>
      <c r="F364">
        <f>Sources!H364</f>
        <v/>
      </c>
      <c r="G364">
        <f>IF(ABS(F364-ROUND(F364,0))&lt;0.001,1,0)</f>
        <v/>
      </c>
      <c r="H364">
        <f>IF(G364=1,F364,CEILING(F364,1))</f>
        <v/>
      </c>
      <c r="I364">
        <f>IF(G364=1,0,(H364-F364)*E364)</f>
        <v/>
      </c>
      <c r="J364">
        <f>E364*F364</f>
        <v/>
      </c>
    </row>
    <row r="365">
      <c r="A365">
        <f>Sources!A365</f>
        <v/>
      </c>
      <c r="B365">
        <f>Sources!B365</f>
        <v/>
      </c>
      <c r="C365">
        <f>Sources!D365</f>
        <v/>
      </c>
      <c r="D365">
        <f>Sources!E365</f>
        <v/>
      </c>
      <c r="E365">
        <f>Sources!F365</f>
        <v/>
      </c>
      <c r="F365">
        <f>Sources!H365</f>
        <v/>
      </c>
      <c r="G365">
        <f>IF(ABS(F365-ROUND(F365,0))&lt;0.001,1,0)</f>
        <v/>
      </c>
      <c r="H365">
        <f>IF(G365=1,F365,CEILING(F365,1))</f>
        <v/>
      </c>
      <c r="I365">
        <f>IF(G365=1,0,(H365-F365)*E365)</f>
        <v/>
      </c>
      <c r="J365">
        <f>E365*F365</f>
        <v/>
      </c>
    </row>
    <row r="366">
      <c r="A366">
        <f>Sources!A366</f>
        <v/>
      </c>
      <c r="B366">
        <f>Sources!B366</f>
        <v/>
      </c>
      <c r="C366">
        <f>Sources!D366</f>
        <v/>
      </c>
      <c r="D366">
        <f>Sources!E366</f>
        <v/>
      </c>
      <c r="E366">
        <f>Sources!F366</f>
        <v/>
      </c>
      <c r="F366">
        <f>Sources!H366</f>
        <v/>
      </c>
      <c r="G366">
        <f>IF(ABS(F366-ROUND(F366,0))&lt;0.001,1,0)</f>
        <v/>
      </c>
      <c r="H366">
        <f>IF(G366=1,F366,CEILING(F366,1))</f>
        <v/>
      </c>
      <c r="I366">
        <f>IF(G366=1,0,(H366-F366)*E366)</f>
        <v/>
      </c>
      <c r="J366">
        <f>E366*F366</f>
        <v/>
      </c>
    </row>
    <row r="367">
      <c r="A367">
        <f>Sources!A367</f>
        <v/>
      </c>
      <c r="B367">
        <f>Sources!B367</f>
        <v/>
      </c>
      <c r="C367">
        <f>Sources!D367</f>
        <v/>
      </c>
      <c r="D367">
        <f>Sources!E367</f>
        <v/>
      </c>
      <c r="E367">
        <f>Sources!F367</f>
        <v/>
      </c>
      <c r="F367">
        <f>Sources!H367</f>
        <v/>
      </c>
      <c r="G367">
        <f>IF(ABS(F367-ROUND(F367,0))&lt;0.001,1,0)</f>
        <v/>
      </c>
      <c r="H367">
        <f>IF(G367=1,F367,CEILING(F367,1))</f>
        <v/>
      </c>
      <c r="I367">
        <f>IF(G367=1,0,(H367-F367)*E367)</f>
        <v/>
      </c>
      <c r="J367">
        <f>E367*F367</f>
        <v/>
      </c>
    </row>
    <row r="368">
      <c r="A368">
        <f>Sources!A368</f>
        <v/>
      </c>
      <c r="B368">
        <f>Sources!B368</f>
        <v/>
      </c>
      <c r="C368">
        <f>Sources!D368</f>
        <v/>
      </c>
      <c r="D368">
        <f>Sources!E368</f>
        <v/>
      </c>
      <c r="E368">
        <f>Sources!F368</f>
        <v/>
      </c>
      <c r="F368">
        <f>Sources!H368</f>
        <v/>
      </c>
      <c r="G368">
        <f>IF(ABS(F368-ROUND(F368,0))&lt;0.001,1,0)</f>
        <v/>
      </c>
      <c r="H368">
        <f>IF(G368=1,F368,CEILING(F368,1))</f>
        <v/>
      </c>
      <c r="I368">
        <f>IF(G368=1,0,(H368-F368)*E368)</f>
        <v/>
      </c>
      <c r="J368">
        <f>E368*F368</f>
        <v/>
      </c>
    </row>
    <row r="369">
      <c r="A369">
        <f>Sources!A369</f>
        <v/>
      </c>
      <c r="B369">
        <f>Sources!B369</f>
        <v/>
      </c>
      <c r="C369">
        <f>Sources!D369</f>
        <v/>
      </c>
      <c r="D369">
        <f>Sources!E369</f>
        <v/>
      </c>
      <c r="E369">
        <f>Sources!F369</f>
        <v/>
      </c>
      <c r="F369">
        <f>Sources!H369</f>
        <v/>
      </c>
      <c r="G369">
        <f>IF(ABS(F369-ROUND(F369,0))&lt;0.001,1,0)</f>
        <v/>
      </c>
      <c r="H369">
        <f>IF(G369=1,F369,CEILING(F369,1))</f>
        <v/>
      </c>
      <c r="I369">
        <f>IF(G369=1,0,(H369-F369)*E369)</f>
        <v/>
      </c>
      <c r="J369">
        <f>E369*F369</f>
        <v/>
      </c>
    </row>
    <row r="370">
      <c r="A370">
        <f>Sources!A370</f>
        <v/>
      </c>
      <c r="B370">
        <f>Sources!B370</f>
        <v/>
      </c>
      <c r="C370">
        <f>Sources!D370</f>
        <v/>
      </c>
      <c r="D370">
        <f>Sources!E370</f>
        <v/>
      </c>
      <c r="E370">
        <f>Sources!F370</f>
        <v/>
      </c>
      <c r="F370">
        <f>Sources!H370</f>
        <v/>
      </c>
      <c r="G370">
        <f>IF(ABS(F370-ROUND(F370,0))&lt;0.001,1,0)</f>
        <v/>
      </c>
      <c r="H370">
        <f>IF(G370=1,F370,CEILING(F370,1))</f>
        <v/>
      </c>
      <c r="I370">
        <f>IF(G370=1,0,(H370-F370)*E370)</f>
        <v/>
      </c>
      <c r="J370">
        <f>E370*F370</f>
        <v/>
      </c>
    </row>
    <row r="371">
      <c r="A371">
        <f>Sources!A371</f>
        <v/>
      </c>
      <c r="B371">
        <f>Sources!B371</f>
        <v/>
      </c>
      <c r="C371">
        <f>Sources!D371</f>
        <v/>
      </c>
      <c r="D371">
        <f>Sources!E371</f>
        <v/>
      </c>
      <c r="E371">
        <f>Sources!F371</f>
        <v/>
      </c>
      <c r="F371">
        <f>Sources!H371</f>
        <v/>
      </c>
      <c r="G371">
        <f>IF(ABS(F371-ROUND(F371,0))&lt;0.001,1,0)</f>
        <v/>
      </c>
      <c r="H371">
        <f>IF(G371=1,F371,CEILING(F371,1))</f>
        <v/>
      </c>
      <c r="I371">
        <f>IF(G371=1,0,(H371-F371)*E371)</f>
        <v/>
      </c>
      <c r="J371">
        <f>E371*F371</f>
        <v/>
      </c>
    </row>
    <row r="372">
      <c r="A372">
        <f>Sources!A372</f>
        <v/>
      </c>
      <c r="B372">
        <f>Sources!B372</f>
        <v/>
      </c>
      <c r="C372">
        <f>Sources!D372</f>
        <v/>
      </c>
      <c r="D372">
        <f>Sources!E372</f>
        <v/>
      </c>
      <c r="E372">
        <f>Sources!F372</f>
        <v/>
      </c>
      <c r="F372">
        <f>Sources!H372</f>
        <v/>
      </c>
      <c r="G372">
        <f>IF(ABS(F372-ROUND(F372,0))&lt;0.001,1,0)</f>
        <v/>
      </c>
      <c r="H372">
        <f>IF(G372=1,F372,CEILING(F372,1))</f>
        <v/>
      </c>
      <c r="I372">
        <f>IF(G372=1,0,(H372-F372)*E372)</f>
        <v/>
      </c>
      <c r="J372">
        <f>E372*F372</f>
        <v/>
      </c>
    </row>
    <row r="373">
      <c r="A373">
        <f>Sources!A373</f>
        <v/>
      </c>
      <c r="B373">
        <f>Sources!B373</f>
        <v/>
      </c>
      <c r="C373">
        <f>Sources!D373</f>
        <v/>
      </c>
      <c r="D373">
        <f>Sources!E373</f>
        <v/>
      </c>
      <c r="E373">
        <f>Sources!F373</f>
        <v/>
      </c>
      <c r="F373">
        <f>Sources!H373</f>
        <v/>
      </c>
      <c r="G373">
        <f>IF(ABS(F373-ROUND(F373,0))&lt;0.001,1,0)</f>
        <v/>
      </c>
      <c r="H373">
        <f>IF(G373=1,F373,CEILING(F373,1))</f>
        <v/>
      </c>
      <c r="I373">
        <f>IF(G373=1,0,(H373-F373)*E373)</f>
        <v/>
      </c>
      <c r="J373">
        <f>E373*F373</f>
        <v/>
      </c>
    </row>
    <row r="374">
      <c r="A374">
        <f>Sources!A374</f>
        <v/>
      </c>
      <c r="B374">
        <f>Sources!B374</f>
        <v/>
      </c>
      <c r="C374">
        <f>Sources!D374</f>
        <v/>
      </c>
      <c r="D374">
        <f>Sources!E374</f>
        <v/>
      </c>
      <c r="E374">
        <f>Sources!F374</f>
        <v/>
      </c>
      <c r="F374">
        <f>Sources!H374</f>
        <v/>
      </c>
      <c r="G374">
        <f>IF(ABS(F374-ROUND(F374,0))&lt;0.001,1,0)</f>
        <v/>
      </c>
      <c r="H374">
        <f>IF(G374=1,F374,CEILING(F374,1))</f>
        <v/>
      </c>
      <c r="I374">
        <f>IF(G374=1,0,(H374-F374)*E374)</f>
        <v/>
      </c>
      <c r="J374">
        <f>E374*F374</f>
        <v/>
      </c>
    </row>
    <row r="375">
      <c r="A375">
        <f>Sources!A375</f>
        <v/>
      </c>
      <c r="B375">
        <f>Sources!B375</f>
        <v/>
      </c>
      <c r="C375">
        <f>Sources!D375</f>
        <v/>
      </c>
      <c r="D375">
        <f>Sources!E375</f>
        <v/>
      </c>
      <c r="E375">
        <f>Sources!F375</f>
        <v/>
      </c>
      <c r="F375">
        <f>Sources!H375</f>
        <v/>
      </c>
      <c r="G375">
        <f>IF(ABS(F375-ROUND(F375,0))&lt;0.001,1,0)</f>
        <v/>
      </c>
      <c r="H375">
        <f>IF(G375=1,F375,CEILING(F375,1))</f>
        <v/>
      </c>
      <c r="I375">
        <f>IF(G375=1,0,(H375-F375)*E375)</f>
        <v/>
      </c>
      <c r="J375">
        <f>E375*F375</f>
        <v/>
      </c>
    </row>
    <row r="376">
      <c r="A376">
        <f>Sources!A376</f>
        <v/>
      </c>
      <c r="B376">
        <f>Sources!B376</f>
        <v/>
      </c>
      <c r="C376">
        <f>Sources!D376</f>
        <v/>
      </c>
      <c r="D376">
        <f>Sources!E376</f>
        <v/>
      </c>
      <c r="E376">
        <f>Sources!F376</f>
        <v/>
      </c>
      <c r="F376">
        <f>Sources!H376</f>
        <v/>
      </c>
      <c r="G376">
        <f>IF(ABS(F376-ROUND(F376,0))&lt;0.001,1,0)</f>
        <v/>
      </c>
      <c r="H376">
        <f>IF(G376=1,F376,CEILING(F376,1))</f>
        <v/>
      </c>
      <c r="I376">
        <f>IF(G376=1,0,(H376-F376)*E376)</f>
        <v/>
      </c>
      <c r="J376">
        <f>E376*F376</f>
        <v/>
      </c>
    </row>
    <row r="377">
      <c r="A377">
        <f>Sources!A377</f>
        <v/>
      </c>
      <c r="B377">
        <f>Sources!B377</f>
        <v/>
      </c>
      <c r="C377">
        <f>Sources!D377</f>
        <v/>
      </c>
      <c r="D377">
        <f>Sources!E377</f>
        <v/>
      </c>
      <c r="E377">
        <f>Sources!F377</f>
        <v/>
      </c>
      <c r="F377">
        <f>Sources!H377</f>
        <v/>
      </c>
      <c r="G377">
        <f>IF(ABS(F377-ROUND(F377,0))&lt;0.001,1,0)</f>
        <v/>
      </c>
      <c r="H377">
        <f>IF(G377=1,F377,CEILING(F377,1))</f>
        <v/>
      </c>
      <c r="I377">
        <f>IF(G377=1,0,(H377-F377)*E377)</f>
        <v/>
      </c>
      <c r="J377">
        <f>E377*F377</f>
        <v/>
      </c>
    </row>
    <row r="378">
      <c r="A378">
        <f>Sources!A378</f>
        <v/>
      </c>
      <c r="B378">
        <f>Sources!B378</f>
        <v/>
      </c>
      <c r="C378">
        <f>Sources!D378</f>
        <v/>
      </c>
      <c r="D378">
        <f>Sources!E378</f>
        <v/>
      </c>
      <c r="E378">
        <f>Sources!F378</f>
        <v/>
      </c>
      <c r="F378">
        <f>Sources!H378</f>
        <v/>
      </c>
      <c r="G378">
        <f>IF(ABS(F378-ROUND(F378,0))&lt;0.001,1,0)</f>
        <v/>
      </c>
      <c r="H378">
        <f>IF(G378=1,F378,CEILING(F378,1))</f>
        <v/>
      </c>
      <c r="I378">
        <f>IF(G378=1,0,(H378-F378)*E378)</f>
        <v/>
      </c>
      <c r="J378">
        <f>E378*F378</f>
        <v/>
      </c>
    </row>
    <row r="379">
      <c r="A379">
        <f>Sources!A379</f>
        <v/>
      </c>
      <c r="B379">
        <f>Sources!B379</f>
        <v/>
      </c>
      <c r="C379">
        <f>Sources!D379</f>
        <v/>
      </c>
      <c r="D379">
        <f>Sources!E379</f>
        <v/>
      </c>
      <c r="E379">
        <f>Sources!F379</f>
        <v/>
      </c>
      <c r="F379">
        <f>Sources!H379</f>
        <v/>
      </c>
      <c r="G379">
        <f>IF(ABS(F379-ROUND(F379,0))&lt;0.001,1,0)</f>
        <v/>
      </c>
      <c r="H379">
        <f>IF(G379=1,F379,CEILING(F379,1))</f>
        <v/>
      </c>
      <c r="I379">
        <f>IF(G379=1,0,(H379-F379)*E379)</f>
        <v/>
      </c>
      <c r="J379">
        <f>E379*F379</f>
        <v/>
      </c>
    </row>
    <row r="380">
      <c r="A380">
        <f>Sources!A380</f>
        <v/>
      </c>
      <c r="B380">
        <f>Sources!B380</f>
        <v/>
      </c>
      <c r="C380">
        <f>Sources!D380</f>
        <v/>
      </c>
      <c r="D380">
        <f>Sources!E380</f>
        <v/>
      </c>
      <c r="E380">
        <f>Sources!F380</f>
        <v/>
      </c>
      <c r="F380">
        <f>Sources!H380</f>
        <v/>
      </c>
      <c r="G380">
        <f>IF(ABS(F380-ROUND(F380,0))&lt;0.001,1,0)</f>
        <v/>
      </c>
      <c r="H380">
        <f>IF(G380=1,F380,CEILING(F380,1))</f>
        <v/>
      </c>
      <c r="I380">
        <f>IF(G380=1,0,(H380-F380)*E380)</f>
        <v/>
      </c>
      <c r="J380">
        <f>E380*F380</f>
        <v/>
      </c>
    </row>
    <row r="381">
      <c r="A381">
        <f>Sources!A381</f>
        <v/>
      </c>
      <c r="B381">
        <f>Sources!B381</f>
        <v/>
      </c>
      <c r="C381">
        <f>Sources!D381</f>
        <v/>
      </c>
      <c r="D381">
        <f>Sources!E381</f>
        <v/>
      </c>
      <c r="E381">
        <f>Sources!F381</f>
        <v/>
      </c>
      <c r="F381">
        <f>Sources!H381</f>
        <v/>
      </c>
      <c r="G381">
        <f>IF(ABS(F381-ROUND(F381,0))&lt;0.001,1,0)</f>
        <v/>
      </c>
      <c r="H381">
        <f>IF(G381=1,F381,CEILING(F381,1))</f>
        <v/>
      </c>
      <c r="I381">
        <f>IF(G381=1,0,(H381-F381)*E381)</f>
        <v/>
      </c>
      <c r="J381">
        <f>E381*F381</f>
        <v/>
      </c>
    </row>
    <row r="382">
      <c r="A382">
        <f>Sources!A382</f>
        <v/>
      </c>
      <c r="B382">
        <f>Sources!B382</f>
        <v/>
      </c>
      <c r="C382">
        <f>Sources!D382</f>
        <v/>
      </c>
      <c r="D382">
        <f>Sources!E382</f>
        <v/>
      </c>
      <c r="E382">
        <f>Sources!F382</f>
        <v/>
      </c>
      <c r="F382">
        <f>Sources!H382</f>
        <v/>
      </c>
      <c r="G382">
        <f>IF(ABS(F382-ROUND(F382,0))&lt;0.001,1,0)</f>
        <v/>
      </c>
      <c r="H382">
        <f>IF(G382=1,F382,CEILING(F382,1))</f>
        <v/>
      </c>
      <c r="I382">
        <f>IF(G382=1,0,(H382-F382)*E382)</f>
        <v/>
      </c>
      <c r="J382">
        <f>E382*F382</f>
        <v/>
      </c>
    </row>
    <row r="383">
      <c r="A383">
        <f>Sources!A383</f>
        <v/>
      </c>
      <c r="B383">
        <f>Sources!B383</f>
        <v/>
      </c>
      <c r="C383">
        <f>Sources!D383</f>
        <v/>
      </c>
      <c r="D383">
        <f>Sources!E383</f>
        <v/>
      </c>
      <c r="E383">
        <f>Sources!F383</f>
        <v/>
      </c>
      <c r="F383">
        <f>Sources!H383</f>
        <v/>
      </c>
      <c r="G383">
        <f>IF(ABS(F383-ROUND(F383,0))&lt;0.001,1,0)</f>
        <v/>
      </c>
      <c r="H383">
        <f>IF(G383=1,F383,CEILING(F383,1))</f>
        <v/>
      </c>
      <c r="I383">
        <f>IF(G383=1,0,(H383-F383)*E383)</f>
        <v/>
      </c>
      <c r="J383">
        <f>E383*F383</f>
        <v/>
      </c>
    </row>
    <row r="384">
      <c r="A384">
        <f>Sources!A384</f>
        <v/>
      </c>
      <c r="B384">
        <f>Sources!B384</f>
        <v/>
      </c>
      <c r="C384">
        <f>Sources!D384</f>
        <v/>
      </c>
      <c r="D384">
        <f>Sources!E384</f>
        <v/>
      </c>
      <c r="E384">
        <f>Sources!F384</f>
        <v/>
      </c>
      <c r="F384">
        <f>Sources!H384</f>
        <v/>
      </c>
      <c r="G384">
        <f>IF(ABS(F384-ROUND(F384,0))&lt;0.001,1,0)</f>
        <v/>
      </c>
      <c r="H384">
        <f>IF(G384=1,F384,CEILING(F384,1))</f>
        <v/>
      </c>
      <c r="I384">
        <f>IF(G384=1,0,(H384-F384)*E384)</f>
        <v/>
      </c>
      <c r="J384">
        <f>E384*F384</f>
        <v/>
      </c>
    </row>
    <row r="385">
      <c r="A385">
        <f>Sources!A385</f>
        <v/>
      </c>
      <c r="B385">
        <f>Sources!B385</f>
        <v/>
      </c>
      <c r="C385">
        <f>Sources!D385</f>
        <v/>
      </c>
      <c r="D385">
        <f>Sources!E385</f>
        <v/>
      </c>
      <c r="E385">
        <f>Sources!F385</f>
        <v/>
      </c>
      <c r="F385">
        <f>Sources!H385</f>
        <v/>
      </c>
      <c r="G385">
        <f>IF(ABS(F385-ROUND(F385,0))&lt;0.001,1,0)</f>
        <v/>
      </c>
      <c r="H385">
        <f>IF(G385=1,F385,CEILING(F385,1))</f>
        <v/>
      </c>
      <c r="I385">
        <f>IF(G385=1,0,(H385-F385)*E385)</f>
        <v/>
      </c>
      <c r="J385">
        <f>E385*F385</f>
        <v/>
      </c>
    </row>
    <row r="386">
      <c r="A386">
        <f>Sources!A386</f>
        <v/>
      </c>
      <c r="B386">
        <f>Sources!B386</f>
        <v/>
      </c>
      <c r="C386">
        <f>Sources!D386</f>
        <v/>
      </c>
      <c r="D386">
        <f>Sources!E386</f>
        <v/>
      </c>
      <c r="E386">
        <f>Sources!F386</f>
        <v/>
      </c>
      <c r="F386">
        <f>Sources!H386</f>
        <v/>
      </c>
      <c r="G386">
        <f>IF(ABS(F386-ROUND(F386,0))&lt;0.001,1,0)</f>
        <v/>
      </c>
      <c r="H386">
        <f>IF(G386=1,F386,CEILING(F386,1))</f>
        <v/>
      </c>
      <c r="I386">
        <f>IF(G386=1,0,(H386-F386)*E386)</f>
        <v/>
      </c>
      <c r="J386">
        <f>E386*F386</f>
        <v/>
      </c>
    </row>
    <row r="387">
      <c r="A387">
        <f>Sources!A387</f>
        <v/>
      </c>
      <c r="B387">
        <f>Sources!B387</f>
        <v/>
      </c>
      <c r="C387">
        <f>Sources!D387</f>
        <v/>
      </c>
      <c r="D387">
        <f>Sources!E387</f>
        <v/>
      </c>
      <c r="E387">
        <f>Sources!F387</f>
        <v/>
      </c>
      <c r="F387">
        <f>Sources!H387</f>
        <v/>
      </c>
      <c r="G387">
        <f>IF(ABS(F387-ROUND(F387,0))&lt;0.001,1,0)</f>
        <v/>
      </c>
      <c r="H387">
        <f>IF(G387=1,F387,CEILING(F387,1))</f>
        <v/>
      </c>
      <c r="I387">
        <f>IF(G387=1,0,(H387-F387)*E387)</f>
        <v/>
      </c>
      <c r="J387">
        <f>E387*F387</f>
        <v/>
      </c>
    </row>
    <row r="388">
      <c r="A388">
        <f>Sources!A388</f>
        <v/>
      </c>
      <c r="B388">
        <f>Sources!B388</f>
        <v/>
      </c>
      <c r="C388">
        <f>Sources!D388</f>
        <v/>
      </c>
      <c r="D388">
        <f>Sources!E388</f>
        <v/>
      </c>
      <c r="E388">
        <f>Sources!F388</f>
        <v/>
      </c>
      <c r="F388">
        <f>Sources!H388</f>
        <v/>
      </c>
      <c r="G388">
        <f>IF(ABS(F388-ROUND(F388,0))&lt;0.001,1,0)</f>
        <v/>
      </c>
      <c r="H388">
        <f>IF(G388=1,F388,CEILING(F388,1))</f>
        <v/>
      </c>
      <c r="I388">
        <f>IF(G388=1,0,(H388-F388)*E388)</f>
        <v/>
      </c>
      <c r="J388">
        <f>E388*F388</f>
        <v/>
      </c>
    </row>
    <row r="389">
      <c r="A389">
        <f>Sources!A389</f>
        <v/>
      </c>
      <c r="B389">
        <f>Sources!B389</f>
        <v/>
      </c>
      <c r="C389">
        <f>Sources!D389</f>
        <v/>
      </c>
      <c r="D389">
        <f>Sources!E389</f>
        <v/>
      </c>
      <c r="E389">
        <f>Sources!F389</f>
        <v/>
      </c>
      <c r="F389">
        <f>Sources!H389</f>
        <v/>
      </c>
      <c r="G389">
        <f>IF(ABS(F389-ROUND(F389,0))&lt;0.001,1,0)</f>
        <v/>
      </c>
      <c r="H389">
        <f>IF(G389=1,F389,CEILING(F389,1))</f>
        <v/>
      </c>
      <c r="I389">
        <f>IF(G389=1,0,(H389-F389)*E389)</f>
        <v/>
      </c>
      <c r="J389">
        <f>E389*F389</f>
        <v/>
      </c>
    </row>
    <row r="390">
      <c r="A390">
        <f>Sources!A390</f>
        <v/>
      </c>
      <c r="B390">
        <f>Sources!B390</f>
        <v/>
      </c>
      <c r="C390">
        <f>Sources!D390</f>
        <v/>
      </c>
      <c r="D390">
        <f>Sources!E390</f>
        <v/>
      </c>
      <c r="E390">
        <f>Sources!F390</f>
        <v/>
      </c>
      <c r="F390">
        <f>Sources!H390</f>
        <v/>
      </c>
      <c r="G390">
        <f>IF(ABS(F390-ROUND(F390,0))&lt;0.001,1,0)</f>
        <v/>
      </c>
      <c r="H390">
        <f>IF(G390=1,F390,CEILING(F390,1))</f>
        <v/>
      </c>
      <c r="I390">
        <f>IF(G390=1,0,(H390-F390)*E390)</f>
        <v/>
      </c>
      <c r="J390">
        <f>E390*F390</f>
        <v/>
      </c>
    </row>
    <row r="391">
      <c r="A391">
        <f>Sources!A391</f>
        <v/>
      </c>
      <c r="B391">
        <f>Sources!B391</f>
        <v/>
      </c>
      <c r="C391">
        <f>Sources!D391</f>
        <v/>
      </c>
      <c r="D391">
        <f>Sources!E391</f>
        <v/>
      </c>
      <c r="E391">
        <f>Sources!F391</f>
        <v/>
      </c>
      <c r="F391">
        <f>Sources!H391</f>
        <v/>
      </c>
      <c r="G391">
        <f>IF(ABS(F391-ROUND(F391,0))&lt;0.001,1,0)</f>
        <v/>
      </c>
      <c r="H391">
        <f>IF(G391=1,F391,CEILING(F391,1))</f>
        <v/>
      </c>
      <c r="I391">
        <f>IF(G391=1,0,(H391-F391)*E391)</f>
        <v/>
      </c>
      <c r="J391">
        <f>E391*F391</f>
        <v/>
      </c>
    </row>
    <row r="392">
      <c r="A392">
        <f>Sources!A392</f>
        <v/>
      </c>
      <c r="B392">
        <f>Sources!B392</f>
        <v/>
      </c>
      <c r="C392">
        <f>Sources!D392</f>
        <v/>
      </c>
      <c r="D392">
        <f>Sources!E392</f>
        <v/>
      </c>
      <c r="E392">
        <f>Sources!F392</f>
        <v/>
      </c>
      <c r="F392">
        <f>Sources!H392</f>
        <v/>
      </c>
      <c r="G392">
        <f>IF(ABS(F392-ROUND(F392,0))&lt;0.001,1,0)</f>
        <v/>
      </c>
      <c r="H392">
        <f>IF(G392=1,F392,CEILING(F392,1))</f>
        <v/>
      </c>
      <c r="I392">
        <f>IF(G392=1,0,(H392-F392)*E392)</f>
        <v/>
      </c>
      <c r="J392">
        <f>E392*F392</f>
        <v/>
      </c>
    </row>
    <row r="393">
      <c r="A393">
        <f>Sources!A393</f>
        <v/>
      </c>
      <c r="B393">
        <f>Sources!B393</f>
        <v/>
      </c>
      <c r="C393">
        <f>Sources!D393</f>
        <v/>
      </c>
      <c r="D393">
        <f>Sources!E393</f>
        <v/>
      </c>
      <c r="E393">
        <f>Sources!F393</f>
        <v/>
      </c>
      <c r="F393">
        <f>Sources!H393</f>
        <v/>
      </c>
      <c r="G393">
        <f>IF(ABS(F393-ROUND(F393,0))&lt;0.001,1,0)</f>
        <v/>
      </c>
      <c r="H393">
        <f>IF(G393=1,F393,CEILING(F393,1))</f>
        <v/>
      </c>
      <c r="I393">
        <f>IF(G393=1,0,(H393-F393)*E393)</f>
        <v/>
      </c>
      <c r="J393">
        <f>E393*F393</f>
        <v/>
      </c>
    </row>
    <row r="394">
      <c r="A394">
        <f>Sources!A394</f>
        <v/>
      </c>
      <c r="B394">
        <f>Sources!B394</f>
        <v/>
      </c>
      <c r="C394">
        <f>Sources!D394</f>
        <v/>
      </c>
      <c r="D394">
        <f>Sources!E394</f>
        <v/>
      </c>
      <c r="E394">
        <f>Sources!F394</f>
        <v/>
      </c>
      <c r="F394">
        <f>Sources!H394</f>
        <v/>
      </c>
      <c r="G394">
        <f>IF(ABS(F394-ROUND(F394,0))&lt;0.001,1,0)</f>
        <v/>
      </c>
      <c r="H394">
        <f>IF(G394=1,F394,CEILING(F394,1))</f>
        <v/>
      </c>
      <c r="I394">
        <f>IF(G394=1,0,(H394-F394)*E394)</f>
        <v/>
      </c>
      <c r="J394">
        <f>E394*F394</f>
        <v/>
      </c>
    </row>
    <row r="395">
      <c r="A395">
        <f>Sources!A395</f>
        <v/>
      </c>
      <c r="B395">
        <f>Sources!B395</f>
        <v/>
      </c>
      <c r="C395">
        <f>Sources!D395</f>
        <v/>
      </c>
      <c r="D395">
        <f>Sources!E395</f>
        <v/>
      </c>
      <c r="E395">
        <f>Sources!F395</f>
        <v/>
      </c>
      <c r="F395">
        <f>Sources!H395</f>
        <v/>
      </c>
      <c r="G395">
        <f>IF(ABS(F395-ROUND(F395,0))&lt;0.001,1,0)</f>
        <v/>
      </c>
      <c r="H395">
        <f>IF(G395=1,F395,CEILING(F395,1))</f>
        <v/>
      </c>
      <c r="I395">
        <f>IF(G395=1,0,(H395-F395)*E395)</f>
        <v/>
      </c>
      <c r="J395">
        <f>E395*F395</f>
        <v/>
      </c>
    </row>
    <row r="396">
      <c r="A396">
        <f>Sources!A396</f>
        <v/>
      </c>
      <c r="B396">
        <f>Sources!B396</f>
        <v/>
      </c>
      <c r="C396">
        <f>Sources!D396</f>
        <v/>
      </c>
      <c r="D396">
        <f>Sources!E396</f>
        <v/>
      </c>
      <c r="E396">
        <f>Sources!F396</f>
        <v/>
      </c>
      <c r="F396">
        <f>Sources!H396</f>
        <v/>
      </c>
      <c r="G396">
        <f>IF(ABS(F396-ROUND(F396,0))&lt;0.001,1,0)</f>
        <v/>
      </c>
      <c r="H396">
        <f>IF(G396=1,F396,CEILING(F396,1))</f>
        <v/>
      </c>
      <c r="I396">
        <f>IF(G396=1,0,(H396-F396)*E396)</f>
        <v/>
      </c>
      <c r="J396">
        <f>E396*F396</f>
        <v/>
      </c>
    </row>
    <row r="397">
      <c r="A397">
        <f>Sources!A397</f>
        <v/>
      </c>
      <c r="B397">
        <f>Sources!B397</f>
        <v/>
      </c>
      <c r="C397">
        <f>Sources!D397</f>
        <v/>
      </c>
      <c r="D397">
        <f>Sources!E397</f>
        <v/>
      </c>
      <c r="E397">
        <f>Sources!F397</f>
        <v/>
      </c>
      <c r="F397">
        <f>Sources!H397</f>
        <v/>
      </c>
      <c r="G397">
        <f>IF(ABS(F397-ROUND(F397,0))&lt;0.001,1,0)</f>
        <v/>
      </c>
      <c r="H397">
        <f>IF(G397=1,F397,CEILING(F397,1))</f>
        <v/>
      </c>
      <c r="I397">
        <f>IF(G397=1,0,(H397-F397)*E397)</f>
        <v/>
      </c>
      <c r="J397">
        <f>E397*F397</f>
        <v/>
      </c>
    </row>
    <row r="398">
      <c r="A398">
        <f>Sources!A398</f>
        <v/>
      </c>
      <c r="B398">
        <f>Sources!B398</f>
        <v/>
      </c>
      <c r="C398">
        <f>Sources!D398</f>
        <v/>
      </c>
      <c r="D398">
        <f>Sources!E398</f>
        <v/>
      </c>
      <c r="E398">
        <f>Sources!F398</f>
        <v/>
      </c>
      <c r="F398">
        <f>Sources!H398</f>
        <v/>
      </c>
      <c r="G398">
        <f>IF(ABS(F398-ROUND(F398,0))&lt;0.001,1,0)</f>
        <v/>
      </c>
      <c r="H398">
        <f>IF(G398=1,F398,CEILING(F398,1))</f>
        <v/>
      </c>
      <c r="I398">
        <f>IF(G398=1,0,(H398-F398)*E398)</f>
        <v/>
      </c>
      <c r="J398">
        <f>E398*F398</f>
        <v/>
      </c>
    </row>
    <row r="399">
      <c r="A399">
        <f>Sources!A399</f>
        <v/>
      </c>
      <c r="B399">
        <f>Sources!B399</f>
        <v/>
      </c>
      <c r="C399">
        <f>Sources!D399</f>
        <v/>
      </c>
      <c r="D399">
        <f>Sources!E399</f>
        <v/>
      </c>
      <c r="E399">
        <f>Sources!F399</f>
        <v/>
      </c>
      <c r="F399">
        <f>Sources!H399</f>
        <v/>
      </c>
      <c r="G399">
        <f>IF(ABS(F399-ROUND(F399,0))&lt;0.001,1,0)</f>
        <v/>
      </c>
      <c r="H399">
        <f>IF(G399=1,F399,CEILING(F399,1))</f>
        <v/>
      </c>
      <c r="I399">
        <f>IF(G399=1,0,(H399-F399)*E399)</f>
        <v/>
      </c>
      <c r="J399">
        <f>E399*F399</f>
        <v/>
      </c>
    </row>
    <row r="400">
      <c r="A400">
        <f>Sources!A400</f>
        <v/>
      </c>
      <c r="B400">
        <f>Sources!B400</f>
        <v/>
      </c>
      <c r="C400">
        <f>Sources!D400</f>
        <v/>
      </c>
      <c r="D400">
        <f>Sources!E400</f>
        <v/>
      </c>
      <c r="E400">
        <f>Sources!F400</f>
        <v/>
      </c>
      <c r="F400">
        <f>Sources!H400</f>
        <v/>
      </c>
      <c r="G400">
        <f>IF(ABS(F400-ROUND(F400,0))&lt;0.001,1,0)</f>
        <v/>
      </c>
      <c r="H400">
        <f>IF(G400=1,F400,CEILING(F400,1))</f>
        <v/>
      </c>
      <c r="I400">
        <f>IF(G400=1,0,(H400-F400)*E400)</f>
        <v/>
      </c>
      <c r="J400">
        <f>E400*F400</f>
        <v/>
      </c>
    </row>
    <row r="401">
      <c r="A401">
        <f>Sources!A401</f>
        <v/>
      </c>
      <c r="B401">
        <f>Sources!B401</f>
        <v/>
      </c>
      <c r="C401">
        <f>Sources!D401</f>
        <v/>
      </c>
      <c r="D401">
        <f>Sources!E401</f>
        <v/>
      </c>
      <c r="E401">
        <f>Sources!F401</f>
        <v/>
      </c>
      <c r="F401">
        <f>Sources!H401</f>
        <v/>
      </c>
      <c r="G401">
        <f>IF(ABS(F401-ROUND(F401,0))&lt;0.001,1,0)</f>
        <v/>
      </c>
      <c r="H401">
        <f>IF(G401=1,F401,CEILING(F401,1))</f>
        <v/>
      </c>
      <c r="I401">
        <f>IF(G401=1,0,(H401-F401)*E401)</f>
        <v/>
      </c>
      <c r="J401">
        <f>E401*F401</f>
        <v/>
      </c>
    </row>
    <row r="402">
      <c r="A402">
        <f>Sources!A402</f>
        <v/>
      </c>
      <c r="B402">
        <f>Sources!B402</f>
        <v/>
      </c>
      <c r="C402">
        <f>Sources!D402</f>
        <v/>
      </c>
      <c r="D402">
        <f>Sources!E402</f>
        <v/>
      </c>
      <c r="E402">
        <f>Sources!F402</f>
        <v/>
      </c>
      <c r="F402">
        <f>Sources!H402</f>
        <v/>
      </c>
      <c r="G402">
        <f>IF(ABS(F402-ROUND(F402,0))&lt;0.001,1,0)</f>
        <v/>
      </c>
      <c r="H402">
        <f>IF(G402=1,F402,CEILING(F402,1))</f>
        <v/>
      </c>
      <c r="I402">
        <f>IF(G402=1,0,(H402-F402)*E402)</f>
        <v/>
      </c>
      <c r="J402">
        <f>E402*F402</f>
        <v/>
      </c>
    </row>
    <row r="403">
      <c r="A403">
        <f>Sources!A403</f>
        <v/>
      </c>
      <c r="B403">
        <f>Sources!B403</f>
        <v/>
      </c>
      <c r="C403">
        <f>Sources!D403</f>
        <v/>
      </c>
      <c r="D403">
        <f>Sources!E403</f>
        <v/>
      </c>
      <c r="E403">
        <f>Sources!F403</f>
        <v/>
      </c>
      <c r="F403">
        <f>Sources!H403</f>
        <v/>
      </c>
      <c r="G403">
        <f>IF(ABS(F403-ROUND(F403,0))&lt;0.001,1,0)</f>
        <v/>
      </c>
      <c r="H403">
        <f>IF(G403=1,F403,CEILING(F403,1))</f>
        <v/>
      </c>
      <c r="I403">
        <f>IF(G403=1,0,(H403-F403)*E403)</f>
        <v/>
      </c>
      <c r="J403">
        <f>E403*F403</f>
        <v/>
      </c>
    </row>
    <row r="404">
      <c r="A404">
        <f>Sources!A404</f>
        <v/>
      </c>
      <c r="B404">
        <f>Sources!B404</f>
        <v/>
      </c>
      <c r="C404">
        <f>Sources!D404</f>
        <v/>
      </c>
      <c r="D404">
        <f>Sources!E404</f>
        <v/>
      </c>
      <c r="E404">
        <f>Sources!F404</f>
        <v/>
      </c>
      <c r="F404">
        <f>Sources!H404</f>
        <v/>
      </c>
      <c r="G404">
        <f>IF(ABS(F404-ROUND(F404,0))&lt;0.001,1,0)</f>
        <v/>
      </c>
      <c r="H404">
        <f>IF(G404=1,F404,CEILING(F404,1))</f>
        <v/>
      </c>
      <c r="I404">
        <f>IF(G404=1,0,(H404-F404)*E404)</f>
        <v/>
      </c>
      <c r="J404">
        <f>E404*F404</f>
        <v/>
      </c>
    </row>
    <row r="405">
      <c r="A405">
        <f>Sources!A405</f>
        <v/>
      </c>
      <c r="B405">
        <f>Sources!B405</f>
        <v/>
      </c>
      <c r="C405">
        <f>Sources!D405</f>
        <v/>
      </c>
      <c r="D405">
        <f>Sources!E405</f>
        <v/>
      </c>
      <c r="E405">
        <f>Sources!F405</f>
        <v/>
      </c>
      <c r="F405">
        <f>Sources!H405</f>
        <v/>
      </c>
      <c r="G405">
        <f>IF(ABS(F405-ROUND(F405,0))&lt;0.001,1,0)</f>
        <v/>
      </c>
      <c r="H405">
        <f>IF(G405=1,F405,CEILING(F405,1))</f>
        <v/>
      </c>
      <c r="I405">
        <f>IF(G405=1,0,(H405-F405)*E405)</f>
        <v/>
      </c>
      <c r="J405">
        <f>E405*F405</f>
        <v/>
      </c>
    </row>
    <row r="406">
      <c r="A406">
        <f>Sources!A406</f>
        <v/>
      </c>
      <c r="B406">
        <f>Sources!B406</f>
        <v/>
      </c>
      <c r="C406">
        <f>Sources!D406</f>
        <v/>
      </c>
      <c r="D406">
        <f>Sources!E406</f>
        <v/>
      </c>
      <c r="E406">
        <f>Sources!F406</f>
        <v/>
      </c>
      <c r="F406">
        <f>Sources!H406</f>
        <v/>
      </c>
      <c r="G406">
        <f>IF(ABS(F406-ROUND(F406,0))&lt;0.001,1,0)</f>
        <v/>
      </c>
      <c r="H406">
        <f>IF(G406=1,F406,CEILING(F406,1))</f>
        <v/>
      </c>
      <c r="I406">
        <f>IF(G406=1,0,(H406-F406)*E406)</f>
        <v/>
      </c>
      <c r="J406">
        <f>E406*F406</f>
        <v/>
      </c>
    </row>
    <row r="407">
      <c r="A407">
        <f>Sources!A407</f>
        <v/>
      </c>
      <c r="B407">
        <f>Sources!B407</f>
        <v/>
      </c>
      <c r="C407">
        <f>Sources!D407</f>
        <v/>
      </c>
      <c r="D407">
        <f>Sources!E407</f>
        <v/>
      </c>
      <c r="E407">
        <f>Sources!F407</f>
        <v/>
      </c>
      <c r="F407">
        <f>Sources!H407</f>
        <v/>
      </c>
      <c r="G407">
        <f>IF(ABS(F407-ROUND(F407,0))&lt;0.001,1,0)</f>
        <v/>
      </c>
      <c r="H407">
        <f>IF(G407=1,F407,CEILING(F407,1))</f>
        <v/>
      </c>
      <c r="I407">
        <f>IF(G407=1,0,(H407-F407)*E407)</f>
        <v/>
      </c>
      <c r="J407">
        <f>E407*F407</f>
        <v/>
      </c>
    </row>
    <row r="408">
      <c r="A408">
        <f>Sources!A408</f>
        <v/>
      </c>
      <c r="B408">
        <f>Sources!B408</f>
        <v/>
      </c>
      <c r="C408">
        <f>Sources!D408</f>
        <v/>
      </c>
      <c r="D408">
        <f>Sources!E408</f>
        <v/>
      </c>
      <c r="E408">
        <f>Sources!F408</f>
        <v/>
      </c>
      <c r="F408">
        <f>Sources!H408</f>
        <v/>
      </c>
      <c r="G408">
        <f>IF(ABS(F408-ROUND(F408,0))&lt;0.001,1,0)</f>
        <v/>
      </c>
      <c r="H408">
        <f>IF(G408=1,F408,CEILING(F408,1))</f>
        <v/>
      </c>
      <c r="I408">
        <f>IF(G408=1,0,(H408-F408)*E408)</f>
        <v/>
      </c>
      <c r="J408">
        <f>E408*F408</f>
        <v/>
      </c>
    </row>
    <row r="409">
      <c r="A409">
        <f>Sources!A409</f>
        <v/>
      </c>
      <c r="B409">
        <f>Sources!B409</f>
        <v/>
      </c>
      <c r="C409">
        <f>Sources!D409</f>
        <v/>
      </c>
      <c r="D409">
        <f>Sources!E409</f>
        <v/>
      </c>
      <c r="E409">
        <f>Sources!F409</f>
        <v/>
      </c>
      <c r="F409">
        <f>Sources!H409</f>
        <v/>
      </c>
      <c r="G409">
        <f>IF(ABS(F409-ROUND(F409,0))&lt;0.001,1,0)</f>
        <v/>
      </c>
      <c r="H409">
        <f>IF(G409=1,F409,CEILING(F409,1))</f>
        <v/>
      </c>
      <c r="I409">
        <f>IF(G409=1,0,(H409-F409)*E409)</f>
        <v/>
      </c>
      <c r="J409">
        <f>E409*F409</f>
        <v/>
      </c>
    </row>
    <row r="410">
      <c r="A410">
        <f>Sources!A410</f>
        <v/>
      </c>
      <c r="B410">
        <f>Sources!B410</f>
        <v/>
      </c>
      <c r="C410">
        <f>Sources!D410</f>
        <v/>
      </c>
      <c r="D410">
        <f>Sources!E410</f>
        <v/>
      </c>
      <c r="E410">
        <f>Sources!F410</f>
        <v/>
      </c>
      <c r="F410">
        <f>Sources!H410</f>
        <v/>
      </c>
      <c r="G410">
        <f>IF(ABS(F410-ROUND(F410,0))&lt;0.001,1,0)</f>
        <v/>
      </c>
      <c r="H410">
        <f>IF(G410=1,F410,CEILING(F410,1))</f>
        <v/>
      </c>
      <c r="I410">
        <f>IF(G410=1,0,(H410-F410)*E410)</f>
        <v/>
      </c>
      <c r="J410">
        <f>E410*F410</f>
        <v/>
      </c>
    </row>
    <row r="411">
      <c r="A411">
        <f>Sources!A411</f>
        <v/>
      </c>
      <c r="B411">
        <f>Sources!B411</f>
        <v/>
      </c>
      <c r="C411">
        <f>Sources!D411</f>
        <v/>
      </c>
      <c r="D411">
        <f>Sources!E411</f>
        <v/>
      </c>
      <c r="E411">
        <f>Sources!F411</f>
        <v/>
      </c>
      <c r="F411">
        <f>Sources!H411</f>
        <v/>
      </c>
      <c r="G411">
        <f>IF(ABS(F411-ROUND(F411,0))&lt;0.001,1,0)</f>
        <v/>
      </c>
      <c r="H411">
        <f>IF(G411=1,F411,CEILING(F411,1))</f>
        <v/>
      </c>
      <c r="I411">
        <f>IF(G411=1,0,(H411-F411)*E411)</f>
        <v/>
      </c>
      <c r="J411">
        <f>E411*F411</f>
        <v/>
      </c>
    </row>
    <row r="412">
      <c r="A412">
        <f>Sources!A412</f>
        <v/>
      </c>
      <c r="B412">
        <f>Sources!B412</f>
        <v/>
      </c>
      <c r="C412">
        <f>Sources!D412</f>
        <v/>
      </c>
      <c r="D412">
        <f>Sources!E412</f>
        <v/>
      </c>
      <c r="E412">
        <f>Sources!F412</f>
        <v/>
      </c>
      <c r="F412">
        <f>Sources!H412</f>
        <v/>
      </c>
      <c r="G412">
        <f>IF(ABS(F412-ROUND(F412,0))&lt;0.001,1,0)</f>
        <v/>
      </c>
      <c r="H412">
        <f>IF(G412=1,F412,CEILING(F412,1))</f>
        <v/>
      </c>
      <c r="I412">
        <f>IF(G412=1,0,(H412-F412)*E412)</f>
        <v/>
      </c>
      <c r="J412">
        <f>E412*F412</f>
        <v/>
      </c>
    </row>
    <row r="413">
      <c r="A413">
        <f>Sources!A413</f>
        <v/>
      </c>
      <c r="B413">
        <f>Sources!B413</f>
        <v/>
      </c>
      <c r="C413">
        <f>Sources!D413</f>
        <v/>
      </c>
      <c r="D413">
        <f>Sources!E413</f>
        <v/>
      </c>
      <c r="E413">
        <f>Sources!F413</f>
        <v/>
      </c>
      <c r="F413">
        <f>Sources!H413</f>
        <v/>
      </c>
      <c r="G413">
        <f>IF(ABS(F413-ROUND(F413,0))&lt;0.001,1,0)</f>
        <v/>
      </c>
      <c r="H413">
        <f>IF(G413=1,F413,CEILING(F413,1))</f>
        <v/>
      </c>
      <c r="I413">
        <f>IF(G413=1,0,(H413-F413)*E413)</f>
        <v/>
      </c>
      <c r="J413">
        <f>E413*F413</f>
        <v/>
      </c>
    </row>
    <row r="414">
      <c r="A414">
        <f>Sources!A414</f>
        <v/>
      </c>
      <c r="B414">
        <f>Sources!B414</f>
        <v/>
      </c>
      <c r="C414">
        <f>Sources!D414</f>
        <v/>
      </c>
      <c r="D414">
        <f>Sources!E414</f>
        <v/>
      </c>
      <c r="E414">
        <f>Sources!F414</f>
        <v/>
      </c>
      <c r="F414">
        <f>Sources!H414</f>
        <v/>
      </c>
      <c r="G414">
        <f>IF(ABS(F414-ROUND(F414,0))&lt;0.001,1,0)</f>
        <v/>
      </c>
      <c r="H414">
        <f>IF(G414=1,F414,CEILING(F414,1))</f>
        <v/>
      </c>
      <c r="I414">
        <f>IF(G414=1,0,(H414-F414)*E414)</f>
        <v/>
      </c>
      <c r="J414">
        <f>E414*F414</f>
        <v/>
      </c>
    </row>
    <row r="415">
      <c r="A415">
        <f>Sources!A415</f>
        <v/>
      </c>
      <c r="B415">
        <f>Sources!B415</f>
        <v/>
      </c>
      <c r="C415">
        <f>Sources!D415</f>
        <v/>
      </c>
      <c r="D415">
        <f>Sources!E415</f>
        <v/>
      </c>
      <c r="E415">
        <f>Sources!F415</f>
        <v/>
      </c>
      <c r="F415">
        <f>Sources!H415</f>
        <v/>
      </c>
      <c r="G415">
        <f>IF(ABS(F415-ROUND(F415,0))&lt;0.001,1,0)</f>
        <v/>
      </c>
      <c r="H415">
        <f>IF(G415=1,F415,CEILING(F415,1))</f>
        <v/>
      </c>
      <c r="I415">
        <f>IF(G415=1,0,(H415-F415)*E415)</f>
        <v/>
      </c>
      <c r="J415">
        <f>E415*F415</f>
        <v/>
      </c>
    </row>
    <row r="416">
      <c r="A416">
        <f>Sources!A416</f>
        <v/>
      </c>
      <c r="B416">
        <f>Sources!B416</f>
        <v/>
      </c>
      <c r="C416">
        <f>Sources!D416</f>
        <v/>
      </c>
      <c r="D416">
        <f>Sources!E416</f>
        <v/>
      </c>
      <c r="E416">
        <f>Sources!F416</f>
        <v/>
      </c>
      <c r="F416">
        <f>Sources!H416</f>
        <v/>
      </c>
      <c r="G416">
        <f>IF(ABS(F416-ROUND(F416,0))&lt;0.001,1,0)</f>
        <v/>
      </c>
      <c r="H416">
        <f>IF(G416=1,F416,CEILING(F416,1))</f>
        <v/>
      </c>
      <c r="I416">
        <f>IF(G416=1,0,(H416-F416)*E416)</f>
        <v/>
      </c>
      <c r="J416">
        <f>E416*F416</f>
        <v/>
      </c>
    </row>
    <row r="417">
      <c r="A417">
        <f>Sources!A417</f>
        <v/>
      </c>
      <c r="B417">
        <f>Sources!B417</f>
        <v/>
      </c>
      <c r="C417">
        <f>Sources!D417</f>
        <v/>
      </c>
      <c r="D417">
        <f>Sources!E417</f>
        <v/>
      </c>
      <c r="E417">
        <f>Sources!F417</f>
        <v/>
      </c>
      <c r="F417">
        <f>Sources!H417</f>
        <v/>
      </c>
      <c r="G417">
        <f>IF(ABS(F417-ROUND(F417,0))&lt;0.001,1,0)</f>
        <v/>
      </c>
      <c r="H417">
        <f>IF(G417=1,F417,CEILING(F417,1))</f>
        <v/>
      </c>
      <c r="I417">
        <f>IF(G417=1,0,(H417-F417)*E417)</f>
        <v/>
      </c>
      <c r="J417">
        <f>E417*F417</f>
        <v/>
      </c>
    </row>
    <row r="418">
      <c r="A418">
        <f>Sources!A418</f>
        <v/>
      </c>
      <c r="B418">
        <f>Sources!B418</f>
        <v/>
      </c>
      <c r="C418">
        <f>Sources!D418</f>
        <v/>
      </c>
      <c r="D418">
        <f>Sources!E418</f>
        <v/>
      </c>
      <c r="E418">
        <f>Sources!F418</f>
        <v/>
      </c>
      <c r="F418">
        <f>Sources!H418</f>
        <v/>
      </c>
      <c r="G418">
        <f>IF(ABS(F418-ROUND(F418,0))&lt;0.001,1,0)</f>
        <v/>
      </c>
      <c r="H418">
        <f>IF(G418=1,F418,CEILING(F418,1))</f>
        <v/>
      </c>
      <c r="I418">
        <f>IF(G418=1,0,(H418-F418)*E418)</f>
        <v/>
      </c>
      <c r="J418">
        <f>E418*F418</f>
        <v/>
      </c>
    </row>
    <row r="419">
      <c r="A419">
        <f>Sources!A419</f>
        <v/>
      </c>
      <c r="B419">
        <f>Sources!B419</f>
        <v/>
      </c>
      <c r="C419">
        <f>Sources!D419</f>
        <v/>
      </c>
      <c r="D419">
        <f>Sources!E419</f>
        <v/>
      </c>
      <c r="E419">
        <f>Sources!F419</f>
        <v/>
      </c>
      <c r="F419">
        <f>Sources!H419</f>
        <v/>
      </c>
      <c r="G419">
        <f>IF(ABS(F419-ROUND(F419,0))&lt;0.001,1,0)</f>
        <v/>
      </c>
      <c r="H419">
        <f>IF(G419=1,F419,CEILING(F419,1))</f>
        <v/>
      </c>
      <c r="I419">
        <f>IF(G419=1,0,(H419-F419)*E419)</f>
        <v/>
      </c>
      <c r="J419">
        <f>E419*F419</f>
        <v/>
      </c>
    </row>
    <row r="420">
      <c r="A420">
        <f>Sources!A420</f>
        <v/>
      </c>
      <c r="B420">
        <f>Sources!B420</f>
        <v/>
      </c>
      <c r="C420">
        <f>Sources!D420</f>
        <v/>
      </c>
      <c r="D420">
        <f>Sources!E420</f>
        <v/>
      </c>
      <c r="E420">
        <f>Sources!F420</f>
        <v/>
      </c>
      <c r="F420">
        <f>Sources!H420</f>
        <v/>
      </c>
      <c r="G420">
        <f>IF(ABS(F420-ROUND(F420,0))&lt;0.001,1,0)</f>
        <v/>
      </c>
      <c r="H420">
        <f>IF(G420=1,F420,CEILING(F420,1))</f>
        <v/>
      </c>
      <c r="I420">
        <f>IF(G420=1,0,(H420-F420)*E420)</f>
        <v/>
      </c>
      <c r="J420">
        <f>E420*F420</f>
        <v/>
      </c>
    </row>
    <row r="421">
      <c r="A421">
        <f>Sources!A421</f>
        <v/>
      </c>
      <c r="B421">
        <f>Sources!B421</f>
        <v/>
      </c>
      <c r="C421">
        <f>Sources!D421</f>
        <v/>
      </c>
      <c r="D421">
        <f>Sources!E421</f>
        <v/>
      </c>
      <c r="E421">
        <f>Sources!F421</f>
        <v/>
      </c>
      <c r="F421">
        <f>Sources!H421</f>
        <v/>
      </c>
      <c r="G421">
        <f>IF(ABS(F421-ROUND(F421,0))&lt;0.001,1,0)</f>
        <v/>
      </c>
      <c r="H421">
        <f>IF(G421=1,F421,CEILING(F421,1))</f>
        <v/>
      </c>
      <c r="I421">
        <f>IF(G421=1,0,(H421-F421)*E421)</f>
        <v/>
      </c>
      <c r="J421">
        <f>E421*F421</f>
        <v/>
      </c>
    </row>
    <row r="422">
      <c r="A422">
        <f>Sources!A422</f>
        <v/>
      </c>
      <c r="B422">
        <f>Sources!B422</f>
        <v/>
      </c>
      <c r="C422">
        <f>Sources!D422</f>
        <v/>
      </c>
      <c r="D422">
        <f>Sources!E422</f>
        <v/>
      </c>
      <c r="E422">
        <f>Sources!F422</f>
        <v/>
      </c>
      <c r="F422">
        <f>Sources!H422</f>
        <v/>
      </c>
      <c r="G422">
        <f>IF(ABS(F422-ROUND(F422,0))&lt;0.001,1,0)</f>
        <v/>
      </c>
      <c r="H422">
        <f>IF(G422=1,F422,CEILING(F422,1))</f>
        <v/>
      </c>
      <c r="I422">
        <f>IF(G422=1,0,(H422-F422)*E422)</f>
        <v/>
      </c>
      <c r="J422">
        <f>E422*F422</f>
        <v/>
      </c>
    </row>
    <row r="423">
      <c r="A423">
        <f>Sources!A423</f>
        <v/>
      </c>
      <c r="B423">
        <f>Sources!B423</f>
        <v/>
      </c>
      <c r="C423">
        <f>Sources!D423</f>
        <v/>
      </c>
      <c r="D423">
        <f>Sources!E423</f>
        <v/>
      </c>
      <c r="E423">
        <f>Sources!F423</f>
        <v/>
      </c>
      <c r="F423">
        <f>Sources!H423</f>
        <v/>
      </c>
      <c r="G423">
        <f>IF(ABS(F423-ROUND(F423,0))&lt;0.001,1,0)</f>
        <v/>
      </c>
      <c r="H423">
        <f>IF(G423=1,F423,CEILING(F423,1))</f>
        <v/>
      </c>
      <c r="I423">
        <f>IF(G423=1,0,(H423-F423)*E423)</f>
        <v/>
      </c>
      <c r="J423">
        <f>E423*F423</f>
        <v/>
      </c>
    </row>
    <row r="424">
      <c r="A424">
        <f>Sources!A424</f>
        <v/>
      </c>
      <c r="B424">
        <f>Sources!B424</f>
        <v/>
      </c>
      <c r="C424">
        <f>Sources!D424</f>
        <v/>
      </c>
      <c r="D424">
        <f>Sources!E424</f>
        <v/>
      </c>
      <c r="E424">
        <f>Sources!F424</f>
        <v/>
      </c>
      <c r="F424">
        <f>Sources!H424</f>
        <v/>
      </c>
      <c r="G424">
        <f>IF(ABS(F424-ROUND(F424,0))&lt;0.001,1,0)</f>
        <v/>
      </c>
      <c r="H424">
        <f>IF(G424=1,F424,CEILING(F424,1))</f>
        <v/>
      </c>
      <c r="I424">
        <f>IF(G424=1,0,(H424-F424)*E424)</f>
        <v/>
      </c>
      <c r="J424">
        <f>E424*F424</f>
        <v/>
      </c>
    </row>
    <row r="425">
      <c r="A425">
        <f>Sources!A425</f>
        <v/>
      </c>
      <c r="B425">
        <f>Sources!B425</f>
        <v/>
      </c>
      <c r="C425">
        <f>Sources!D425</f>
        <v/>
      </c>
      <c r="D425">
        <f>Sources!E425</f>
        <v/>
      </c>
      <c r="E425">
        <f>Sources!F425</f>
        <v/>
      </c>
      <c r="F425">
        <f>Sources!H425</f>
        <v/>
      </c>
      <c r="G425">
        <f>IF(ABS(F425-ROUND(F425,0))&lt;0.001,1,0)</f>
        <v/>
      </c>
      <c r="H425">
        <f>IF(G425=1,F425,CEILING(F425,1))</f>
        <v/>
      </c>
      <c r="I425">
        <f>IF(G425=1,0,(H425-F425)*E425)</f>
        <v/>
      </c>
      <c r="J425">
        <f>E425*F425</f>
        <v/>
      </c>
    </row>
    <row r="426">
      <c r="A426">
        <f>Sources!A426</f>
        <v/>
      </c>
      <c r="B426">
        <f>Sources!B426</f>
        <v/>
      </c>
      <c r="C426">
        <f>Sources!D426</f>
        <v/>
      </c>
      <c r="D426">
        <f>Sources!E426</f>
        <v/>
      </c>
      <c r="E426">
        <f>Sources!F426</f>
        <v/>
      </c>
      <c r="F426">
        <f>Sources!H426</f>
        <v/>
      </c>
      <c r="G426">
        <f>IF(ABS(F426-ROUND(F426,0))&lt;0.001,1,0)</f>
        <v/>
      </c>
      <c r="H426">
        <f>IF(G426=1,F426,CEILING(F426,1))</f>
        <v/>
      </c>
      <c r="I426">
        <f>IF(G426=1,0,(H426-F426)*E426)</f>
        <v/>
      </c>
      <c r="J426">
        <f>E426*F426</f>
        <v/>
      </c>
    </row>
    <row r="427">
      <c r="A427">
        <f>Sources!A427</f>
        <v/>
      </c>
      <c r="B427">
        <f>Sources!B427</f>
        <v/>
      </c>
      <c r="C427">
        <f>Sources!D427</f>
        <v/>
      </c>
      <c r="D427">
        <f>Sources!E427</f>
        <v/>
      </c>
      <c r="E427">
        <f>Sources!F427</f>
        <v/>
      </c>
      <c r="F427">
        <f>Sources!H427</f>
        <v/>
      </c>
      <c r="G427">
        <f>IF(ABS(F427-ROUND(F427,0))&lt;0.001,1,0)</f>
        <v/>
      </c>
      <c r="H427">
        <f>IF(G427=1,F427,CEILING(F427,1))</f>
        <v/>
      </c>
      <c r="I427">
        <f>IF(G427=1,0,(H427-F427)*E427)</f>
        <v/>
      </c>
      <c r="J427">
        <f>E427*F427</f>
        <v/>
      </c>
    </row>
    <row r="428">
      <c r="A428">
        <f>Sources!A428</f>
        <v/>
      </c>
      <c r="B428">
        <f>Sources!B428</f>
        <v/>
      </c>
      <c r="C428">
        <f>Sources!D428</f>
        <v/>
      </c>
      <c r="D428">
        <f>Sources!E428</f>
        <v/>
      </c>
      <c r="E428">
        <f>Sources!F428</f>
        <v/>
      </c>
      <c r="F428">
        <f>Sources!H428</f>
        <v/>
      </c>
      <c r="G428">
        <f>IF(ABS(F428-ROUND(F428,0))&lt;0.001,1,0)</f>
        <v/>
      </c>
      <c r="H428">
        <f>IF(G428=1,F428,CEILING(F428,1))</f>
        <v/>
      </c>
      <c r="I428">
        <f>IF(G428=1,0,(H428-F428)*E428)</f>
        <v/>
      </c>
      <c r="J428">
        <f>E428*F428</f>
        <v/>
      </c>
    </row>
    <row r="429">
      <c r="A429">
        <f>Sources!A429</f>
        <v/>
      </c>
      <c r="B429">
        <f>Sources!B429</f>
        <v/>
      </c>
      <c r="C429">
        <f>Sources!D429</f>
        <v/>
      </c>
      <c r="D429">
        <f>Sources!E429</f>
        <v/>
      </c>
      <c r="E429">
        <f>Sources!F429</f>
        <v/>
      </c>
      <c r="F429">
        <f>Sources!H429</f>
        <v/>
      </c>
      <c r="G429">
        <f>IF(ABS(F429-ROUND(F429,0))&lt;0.001,1,0)</f>
        <v/>
      </c>
      <c r="H429">
        <f>IF(G429=1,F429,CEILING(F429,1))</f>
        <v/>
      </c>
      <c r="I429">
        <f>IF(G429=1,0,(H429-F429)*E429)</f>
        <v/>
      </c>
      <c r="J429">
        <f>E429*F429</f>
        <v/>
      </c>
    </row>
    <row r="430">
      <c r="A430">
        <f>Sources!A430</f>
        <v/>
      </c>
      <c r="B430">
        <f>Sources!B430</f>
        <v/>
      </c>
      <c r="C430">
        <f>Sources!D430</f>
        <v/>
      </c>
      <c r="D430">
        <f>Sources!E430</f>
        <v/>
      </c>
      <c r="E430">
        <f>Sources!F430</f>
        <v/>
      </c>
      <c r="F430">
        <f>Sources!H430</f>
        <v/>
      </c>
      <c r="G430">
        <f>IF(ABS(F430-ROUND(F430,0))&lt;0.001,1,0)</f>
        <v/>
      </c>
      <c r="H430">
        <f>IF(G430=1,F430,CEILING(F430,1))</f>
        <v/>
      </c>
      <c r="I430">
        <f>IF(G430=1,0,(H430-F430)*E430)</f>
        <v/>
      </c>
      <c r="J430">
        <f>E430*F430</f>
        <v/>
      </c>
    </row>
    <row r="431">
      <c r="A431">
        <f>Sources!A431</f>
        <v/>
      </c>
      <c r="B431">
        <f>Sources!B431</f>
        <v/>
      </c>
      <c r="C431">
        <f>Sources!D431</f>
        <v/>
      </c>
      <c r="D431">
        <f>Sources!E431</f>
        <v/>
      </c>
      <c r="E431">
        <f>Sources!F431</f>
        <v/>
      </c>
      <c r="F431">
        <f>Sources!H431</f>
        <v/>
      </c>
      <c r="G431">
        <f>IF(ABS(F431-ROUND(F431,0))&lt;0.001,1,0)</f>
        <v/>
      </c>
      <c r="H431">
        <f>IF(G431=1,F431,CEILING(F431,1))</f>
        <v/>
      </c>
      <c r="I431">
        <f>IF(G431=1,0,(H431-F431)*E431)</f>
        <v/>
      </c>
      <c r="J431">
        <f>E431*F431</f>
        <v/>
      </c>
    </row>
    <row r="432">
      <c r="A432">
        <f>Sources!A432</f>
        <v/>
      </c>
      <c r="B432">
        <f>Sources!B432</f>
        <v/>
      </c>
      <c r="C432">
        <f>Sources!D432</f>
        <v/>
      </c>
      <c r="D432">
        <f>Sources!E432</f>
        <v/>
      </c>
      <c r="E432">
        <f>Sources!F432</f>
        <v/>
      </c>
      <c r="F432">
        <f>Sources!H432</f>
        <v/>
      </c>
      <c r="G432">
        <f>IF(ABS(F432-ROUND(F432,0))&lt;0.001,1,0)</f>
        <v/>
      </c>
      <c r="H432">
        <f>IF(G432=1,F432,CEILING(F432,1))</f>
        <v/>
      </c>
      <c r="I432">
        <f>IF(G432=1,0,(H432-F432)*E432)</f>
        <v/>
      </c>
      <c r="J432">
        <f>E432*F432</f>
        <v/>
      </c>
    </row>
    <row r="433">
      <c r="A433">
        <f>Sources!A433</f>
        <v/>
      </c>
      <c r="B433">
        <f>Sources!B433</f>
        <v/>
      </c>
      <c r="C433">
        <f>Sources!D433</f>
        <v/>
      </c>
      <c r="D433">
        <f>Sources!E433</f>
        <v/>
      </c>
      <c r="E433">
        <f>Sources!F433</f>
        <v/>
      </c>
      <c r="F433">
        <f>Sources!H433</f>
        <v/>
      </c>
      <c r="G433">
        <f>IF(ABS(F433-ROUND(F433,0))&lt;0.001,1,0)</f>
        <v/>
      </c>
      <c r="H433">
        <f>IF(G433=1,F433,CEILING(F433,1))</f>
        <v/>
      </c>
      <c r="I433">
        <f>IF(G433=1,0,(H433-F433)*E433)</f>
        <v/>
      </c>
      <c r="J433">
        <f>E433*F433</f>
        <v/>
      </c>
    </row>
    <row r="434">
      <c r="A434">
        <f>Sources!A434</f>
        <v/>
      </c>
      <c r="B434">
        <f>Sources!B434</f>
        <v/>
      </c>
      <c r="C434">
        <f>Sources!D434</f>
        <v/>
      </c>
      <c r="D434">
        <f>Sources!E434</f>
        <v/>
      </c>
      <c r="E434">
        <f>Sources!F434</f>
        <v/>
      </c>
      <c r="F434">
        <f>Sources!H434</f>
        <v/>
      </c>
      <c r="G434">
        <f>IF(ABS(F434-ROUND(F434,0))&lt;0.001,1,0)</f>
        <v/>
      </c>
      <c r="H434">
        <f>IF(G434=1,F434,CEILING(F434,1))</f>
        <v/>
      </c>
      <c r="I434">
        <f>IF(G434=1,0,(H434-F434)*E434)</f>
        <v/>
      </c>
      <c r="J434">
        <f>E434*F434</f>
        <v/>
      </c>
    </row>
    <row r="435">
      <c r="A435">
        <f>Sources!A435</f>
        <v/>
      </c>
      <c r="B435">
        <f>Sources!B435</f>
        <v/>
      </c>
      <c r="C435">
        <f>Sources!D435</f>
        <v/>
      </c>
      <c r="D435">
        <f>Sources!E435</f>
        <v/>
      </c>
      <c r="E435">
        <f>Sources!F435</f>
        <v/>
      </c>
      <c r="F435">
        <f>Sources!H435</f>
        <v/>
      </c>
      <c r="G435">
        <f>IF(ABS(F435-ROUND(F435,0))&lt;0.001,1,0)</f>
        <v/>
      </c>
      <c r="H435">
        <f>IF(G435=1,F435,CEILING(F435,1))</f>
        <v/>
      </c>
      <c r="I435">
        <f>IF(G435=1,0,(H435-F435)*E435)</f>
        <v/>
      </c>
      <c r="J435">
        <f>E435*F435</f>
        <v/>
      </c>
    </row>
    <row r="436">
      <c r="A436">
        <f>Sources!A436</f>
        <v/>
      </c>
      <c r="B436">
        <f>Sources!B436</f>
        <v/>
      </c>
      <c r="C436">
        <f>Sources!D436</f>
        <v/>
      </c>
      <c r="D436">
        <f>Sources!E436</f>
        <v/>
      </c>
      <c r="E436">
        <f>Sources!F436</f>
        <v/>
      </c>
      <c r="F436">
        <f>Sources!H436</f>
        <v/>
      </c>
      <c r="G436">
        <f>IF(ABS(F436-ROUND(F436,0))&lt;0.001,1,0)</f>
        <v/>
      </c>
      <c r="H436">
        <f>IF(G436=1,F436,CEILING(F436,1))</f>
        <v/>
      </c>
      <c r="I436">
        <f>IF(G436=1,0,(H436-F436)*E436)</f>
        <v/>
      </c>
      <c r="J436">
        <f>E436*F436</f>
        <v/>
      </c>
    </row>
    <row r="437">
      <c r="A437">
        <f>Sources!A437</f>
        <v/>
      </c>
      <c r="B437">
        <f>Sources!B437</f>
        <v/>
      </c>
      <c r="C437">
        <f>Sources!D437</f>
        <v/>
      </c>
      <c r="D437">
        <f>Sources!E437</f>
        <v/>
      </c>
      <c r="E437">
        <f>Sources!F437</f>
        <v/>
      </c>
      <c r="F437">
        <f>Sources!H437</f>
        <v/>
      </c>
      <c r="G437">
        <f>IF(ABS(F437-ROUND(F437,0))&lt;0.001,1,0)</f>
        <v/>
      </c>
      <c r="H437">
        <f>IF(G437=1,F437,CEILING(F437,1))</f>
        <v/>
      </c>
      <c r="I437">
        <f>IF(G437=1,0,(H437-F437)*E437)</f>
        <v/>
      </c>
      <c r="J437">
        <f>E437*F437</f>
        <v/>
      </c>
    </row>
    <row r="438">
      <c r="A438">
        <f>Sources!A438</f>
        <v/>
      </c>
      <c r="B438">
        <f>Sources!B438</f>
        <v/>
      </c>
      <c r="C438">
        <f>Sources!D438</f>
        <v/>
      </c>
      <c r="D438">
        <f>Sources!E438</f>
        <v/>
      </c>
      <c r="E438">
        <f>Sources!F438</f>
        <v/>
      </c>
      <c r="F438">
        <f>Sources!H438</f>
        <v/>
      </c>
      <c r="G438">
        <f>IF(ABS(F438-ROUND(F438,0))&lt;0.001,1,0)</f>
        <v/>
      </c>
      <c r="H438">
        <f>IF(G438=1,F438,CEILING(F438,1))</f>
        <v/>
      </c>
      <c r="I438">
        <f>IF(G438=1,0,(H438-F438)*E438)</f>
        <v/>
      </c>
      <c r="J438">
        <f>E438*F438</f>
        <v/>
      </c>
    </row>
    <row r="439">
      <c r="A439">
        <f>Sources!A439</f>
        <v/>
      </c>
      <c r="B439">
        <f>Sources!B439</f>
        <v/>
      </c>
      <c r="C439">
        <f>Sources!D439</f>
        <v/>
      </c>
      <c r="D439">
        <f>Sources!E439</f>
        <v/>
      </c>
      <c r="E439">
        <f>Sources!F439</f>
        <v/>
      </c>
      <c r="F439">
        <f>Sources!H439</f>
        <v/>
      </c>
      <c r="G439">
        <f>IF(ABS(F439-ROUND(F439,0))&lt;0.001,1,0)</f>
        <v/>
      </c>
      <c r="H439">
        <f>IF(G439=1,F439,CEILING(F439,1))</f>
        <v/>
      </c>
      <c r="I439">
        <f>IF(G439=1,0,(H439-F439)*E439)</f>
        <v/>
      </c>
      <c r="J439">
        <f>E439*F439</f>
        <v/>
      </c>
    </row>
    <row r="440">
      <c r="A440">
        <f>Sources!A440</f>
        <v/>
      </c>
      <c r="B440">
        <f>Sources!B440</f>
        <v/>
      </c>
      <c r="C440">
        <f>Sources!D440</f>
        <v/>
      </c>
      <c r="D440">
        <f>Sources!E440</f>
        <v/>
      </c>
      <c r="E440">
        <f>Sources!F440</f>
        <v/>
      </c>
      <c r="F440">
        <f>Sources!H440</f>
        <v/>
      </c>
      <c r="G440">
        <f>IF(ABS(F440-ROUND(F440,0))&lt;0.001,1,0)</f>
        <v/>
      </c>
      <c r="H440">
        <f>IF(G440=1,F440,CEILING(F440,1))</f>
        <v/>
      </c>
      <c r="I440">
        <f>IF(G440=1,0,(H440-F440)*E440)</f>
        <v/>
      </c>
      <c r="J440">
        <f>E440*F440</f>
        <v/>
      </c>
    </row>
    <row r="441">
      <c r="A441">
        <f>Sources!A441</f>
        <v/>
      </c>
      <c r="B441">
        <f>Sources!B441</f>
        <v/>
      </c>
      <c r="C441">
        <f>Sources!D441</f>
        <v/>
      </c>
      <c r="D441">
        <f>Sources!E441</f>
        <v/>
      </c>
      <c r="E441">
        <f>Sources!F441</f>
        <v/>
      </c>
      <c r="F441">
        <f>Sources!H441</f>
        <v/>
      </c>
      <c r="G441">
        <f>IF(ABS(F441-ROUND(F441,0))&lt;0.001,1,0)</f>
        <v/>
      </c>
      <c r="H441">
        <f>IF(G441=1,F441,CEILING(F441,1))</f>
        <v/>
      </c>
      <c r="I441">
        <f>IF(G441=1,0,(H441-F441)*E441)</f>
        <v/>
      </c>
      <c r="J441">
        <f>E441*F441</f>
        <v/>
      </c>
    </row>
    <row r="442">
      <c r="A442">
        <f>Sources!A442</f>
        <v/>
      </c>
      <c r="B442">
        <f>Sources!B442</f>
        <v/>
      </c>
      <c r="C442">
        <f>Sources!D442</f>
        <v/>
      </c>
      <c r="D442">
        <f>Sources!E442</f>
        <v/>
      </c>
      <c r="E442">
        <f>Sources!F442</f>
        <v/>
      </c>
      <c r="F442">
        <f>Sources!H442</f>
        <v/>
      </c>
      <c r="G442">
        <f>IF(ABS(F442-ROUND(F442,0))&lt;0.001,1,0)</f>
        <v/>
      </c>
      <c r="H442">
        <f>IF(G442=1,F442,CEILING(F442,1))</f>
        <v/>
      </c>
      <c r="I442">
        <f>IF(G442=1,0,(H442-F442)*E442)</f>
        <v/>
      </c>
      <c r="J442">
        <f>E442*F442</f>
        <v/>
      </c>
    </row>
    <row r="443">
      <c r="A443">
        <f>Sources!A443</f>
        <v/>
      </c>
      <c r="B443">
        <f>Sources!B443</f>
        <v/>
      </c>
      <c r="C443">
        <f>Sources!D443</f>
        <v/>
      </c>
      <c r="D443">
        <f>Sources!E443</f>
        <v/>
      </c>
      <c r="E443">
        <f>Sources!F443</f>
        <v/>
      </c>
      <c r="F443">
        <f>Sources!H443</f>
        <v/>
      </c>
      <c r="G443">
        <f>IF(ABS(F443-ROUND(F443,0))&lt;0.001,1,0)</f>
        <v/>
      </c>
      <c r="H443">
        <f>IF(G443=1,F443,CEILING(F443,1))</f>
        <v/>
      </c>
      <c r="I443">
        <f>IF(G443=1,0,(H443-F443)*E443)</f>
        <v/>
      </c>
      <c r="J443">
        <f>E443*F443</f>
        <v/>
      </c>
    </row>
    <row r="444">
      <c r="A444">
        <f>Sources!A444</f>
        <v/>
      </c>
      <c r="B444">
        <f>Sources!B444</f>
        <v/>
      </c>
      <c r="C444">
        <f>Sources!D444</f>
        <v/>
      </c>
      <c r="D444">
        <f>Sources!E444</f>
        <v/>
      </c>
      <c r="E444">
        <f>Sources!F444</f>
        <v/>
      </c>
      <c r="F444">
        <f>Sources!H444</f>
        <v/>
      </c>
      <c r="G444">
        <f>IF(ABS(F444-ROUND(F444,0))&lt;0.001,1,0)</f>
        <v/>
      </c>
      <c r="H444">
        <f>IF(G444=1,F444,CEILING(F444,1))</f>
        <v/>
      </c>
      <c r="I444">
        <f>IF(G444=1,0,(H444-F444)*E444)</f>
        <v/>
      </c>
      <c r="J444">
        <f>E444*F444</f>
        <v/>
      </c>
    </row>
    <row r="445">
      <c r="A445">
        <f>Sources!A445</f>
        <v/>
      </c>
      <c r="B445">
        <f>Sources!B445</f>
        <v/>
      </c>
      <c r="C445">
        <f>Sources!D445</f>
        <v/>
      </c>
      <c r="D445">
        <f>Sources!E445</f>
        <v/>
      </c>
      <c r="E445">
        <f>Sources!F445</f>
        <v/>
      </c>
      <c r="F445">
        <f>Sources!H445</f>
        <v/>
      </c>
      <c r="G445">
        <f>IF(ABS(F445-ROUND(F445,0))&lt;0.001,1,0)</f>
        <v/>
      </c>
      <c r="H445">
        <f>IF(G445=1,F445,CEILING(F445,1))</f>
        <v/>
      </c>
      <c r="I445">
        <f>IF(G445=1,0,(H445-F445)*E445)</f>
        <v/>
      </c>
      <c r="J445">
        <f>E445*F445</f>
        <v/>
      </c>
    </row>
    <row r="446">
      <c r="A446">
        <f>Sources!A446</f>
        <v/>
      </c>
      <c r="B446">
        <f>Sources!B446</f>
        <v/>
      </c>
      <c r="C446">
        <f>Sources!D446</f>
        <v/>
      </c>
      <c r="D446">
        <f>Sources!E446</f>
        <v/>
      </c>
      <c r="E446">
        <f>Sources!F446</f>
        <v/>
      </c>
      <c r="F446">
        <f>Sources!H446</f>
        <v/>
      </c>
      <c r="G446">
        <f>IF(ABS(F446-ROUND(F446,0))&lt;0.001,1,0)</f>
        <v/>
      </c>
      <c r="H446">
        <f>IF(G446=1,F446,CEILING(F446,1))</f>
        <v/>
      </c>
      <c r="I446">
        <f>IF(G446=1,0,(H446-F446)*E446)</f>
        <v/>
      </c>
      <c r="J446">
        <f>E446*F446</f>
        <v/>
      </c>
    </row>
    <row r="447">
      <c r="A447">
        <f>Sources!A447</f>
        <v/>
      </c>
      <c r="B447">
        <f>Sources!B447</f>
        <v/>
      </c>
      <c r="C447">
        <f>Sources!D447</f>
        <v/>
      </c>
      <c r="D447">
        <f>Sources!E447</f>
        <v/>
      </c>
      <c r="E447">
        <f>Sources!F447</f>
        <v/>
      </c>
      <c r="F447">
        <f>Sources!H447</f>
        <v/>
      </c>
      <c r="G447">
        <f>IF(ABS(F447-ROUND(F447,0))&lt;0.001,1,0)</f>
        <v/>
      </c>
      <c r="H447">
        <f>IF(G447=1,F447,CEILING(F447,1))</f>
        <v/>
      </c>
      <c r="I447">
        <f>IF(G447=1,0,(H447-F447)*E447)</f>
        <v/>
      </c>
      <c r="J447">
        <f>E447*F447</f>
        <v/>
      </c>
    </row>
    <row r="448">
      <c r="A448">
        <f>Sources!A448</f>
        <v/>
      </c>
      <c r="B448">
        <f>Sources!B448</f>
        <v/>
      </c>
      <c r="C448">
        <f>Sources!D448</f>
        <v/>
      </c>
      <c r="D448">
        <f>Sources!E448</f>
        <v/>
      </c>
      <c r="E448">
        <f>Sources!F448</f>
        <v/>
      </c>
      <c r="F448">
        <f>Sources!H448</f>
        <v/>
      </c>
      <c r="G448">
        <f>IF(ABS(F448-ROUND(F448,0))&lt;0.001,1,0)</f>
        <v/>
      </c>
      <c r="H448">
        <f>IF(G448=1,F448,CEILING(F448,1))</f>
        <v/>
      </c>
      <c r="I448">
        <f>IF(G448=1,0,(H448-F448)*E448)</f>
        <v/>
      </c>
      <c r="J448">
        <f>E448*F448</f>
        <v/>
      </c>
    </row>
    <row r="449">
      <c r="A449">
        <f>Sources!A449</f>
        <v/>
      </c>
      <c r="B449">
        <f>Sources!B449</f>
        <v/>
      </c>
      <c r="C449">
        <f>Sources!D449</f>
        <v/>
      </c>
      <c r="D449">
        <f>Sources!E449</f>
        <v/>
      </c>
      <c r="E449">
        <f>Sources!F449</f>
        <v/>
      </c>
      <c r="F449">
        <f>Sources!H449</f>
        <v/>
      </c>
      <c r="G449">
        <f>IF(ABS(F449-ROUND(F449,0))&lt;0.001,1,0)</f>
        <v/>
      </c>
      <c r="H449">
        <f>IF(G449=1,F449,CEILING(F449,1))</f>
        <v/>
      </c>
      <c r="I449">
        <f>IF(G449=1,0,(H449-F449)*E449)</f>
        <v/>
      </c>
      <c r="J449">
        <f>E449*F449</f>
        <v/>
      </c>
    </row>
    <row r="450">
      <c r="A450">
        <f>Sources!A450</f>
        <v/>
      </c>
      <c r="B450">
        <f>Sources!B450</f>
        <v/>
      </c>
      <c r="C450">
        <f>Sources!D450</f>
        <v/>
      </c>
      <c r="D450">
        <f>Sources!E450</f>
        <v/>
      </c>
      <c r="E450">
        <f>Sources!F450</f>
        <v/>
      </c>
      <c r="F450">
        <f>Sources!H450</f>
        <v/>
      </c>
      <c r="G450">
        <f>IF(ABS(F450-ROUND(F450,0))&lt;0.001,1,0)</f>
        <v/>
      </c>
      <c r="H450">
        <f>IF(G450=1,F450,CEILING(F450,1))</f>
        <v/>
      </c>
      <c r="I450">
        <f>IF(G450=1,0,(H450-F450)*E450)</f>
        <v/>
      </c>
      <c r="J450">
        <f>E450*F450</f>
        <v/>
      </c>
    </row>
    <row r="451">
      <c r="A451">
        <f>Sources!A451</f>
        <v/>
      </c>
      <c r="B451">
        <f>Sources!B451</f>
        <v/>
      </c>
      <c r="C451">
        <f>Sources!D451</f>
        <v/>
      </c>
      <c r="D451">
        <f>Sources!E451</f>
        <v/>
      </c>
      <c r="E451">
        <f>Sources!F451</f>
        <v/>
      </c>
      <c r="F451">
        <f>Sources!H451</f>
        <v/>
      </c>
      <c r="G451">
        <f>IF(ABS(F451-ROUND(F451,0))&lt;0.001,1,0)</f>
        <v/>
      </c>
      <c r="H451">
        <f>IF(G451=1,F451,CEILING(F451,1))</f>
        <v/>
      </c>
      <c r="I451">
        <f>IF(G451=1,0,(H451-F451)*E451)</f>
        <v/>
      </c>
      <c r="J451">
        <f>E451*F451</f>
        <v/>
      </c>
    </row>
    <row r="452">
      <c r="A452">
        <f>Sources!A452</f>
        <v/>
      </c>
      <c r="B452">
        <f>Sources!B452</f>
        <v/>
      </c>
      <c r="C452">
        <f>Sources!D452</f>
        <v/>
      </c>
      <c r="D452">
        <f>Sources!E452</f>
        <v/>
      </c>
      <c r="E452">
        <f>Sources!F452</f>
        <v/>
      </c>
      <c r="F452">
        <f>Sources!H452</f>
        <v/>
      </c>
      <c r="G452">
        <f>IF(ABS(F452-ROUND(F452,0))&lt;0.001,1,0)</f>
        <v/>
      </c>
      <c r="H452">
        <f>IF(G452=1,F452,CEILING(F452,1))</f>
        <v/>
      </c>
      <c r="I452">
        <f>IF(G452=1,0,(H452-F452)*E452)</f>
        <v/>
      </c>
      <c r="J452">
        <f>E452*F452</f>
        <v/>
      </c>
    </row>
    <row r="453">
      <c r="A453">
        <f>Sources!A453</f>
        <v/>
      </c>
      <c r="B453">
        <f>Sources!B453</f>
        <v/>
      </c>
      <c r="C453">
        <f>Sources!D453</f>
        <v/>
      </c>
      <c r="D453">
        <f>Sources!E453</f>
        <v/>
      </c>
      <c r="E453">
        <f>Sources!F453</f>
        <v/>
      </c>
      <c r="F453">
        <f>Sources!H453</f>
        <v/>
      </c>
      <c r="G453">
        <f>IF(ABS(F453-ROUND(F453,0))&lt;0.001,1,0)</f>
        <v/>
      </c>
      <c r="H453">
        <f>IF(G453=1,F453,CEILING(F453,1))</f>
        <v/>
      </c>
      <c r="I453">
        <f>IF(G453=1,0,(H453-F453)*E453)</f>
        <v/>
      </c>
      <c r="J453">
        <f>E453*F453</f>
        <v/>
      </c>
    </row>
    <row r="454">
      <c r="A454">
        <f>Sources!A454</f>
        <v/>
      </c>
      <c r="B454">
        <f>Sources!B454</f>
        <v/>
      </c>
      <c r="C454">
        <f>Sources!D454</f>
        <v/>
      </c>
      <c r="D454">
        <f>Sources!E454</f>
        <v/>
      </c>
      <c r="E454">
        <f>Sources!F454</f>
        <v/>
      </c>
      <c r="F454">
        <f>Sources!H454</f>
        <v/>
      </c>
      <c r="G454">
        <f>IF(ABS(F454-ROUND(F454,0))&lt;0.001,1,0)</f>
        <v/>
      </c>
      <c r="H454">
        <f>IF(G454=1,F454,CEILING(F454,1))</f>
        <v/>
      </c>
      <c r="I454">
        <f>IF(G454=1,0,(H454-F454)*E454)</f>
        <v/>
      </c>
      <c r="J454">
        <f>E454*F454</f>
        <v/>
      </c>
    </row>
    <row r="455">
      <c r="A455">
        <f>Sources!A455</f>
        <v/>
      </c>
      <c r="B455">
        <f>Sources!B455</f>
        <v/>
      </c>
      <c r="C455">
        <f>Sources!D455</f>
        <v/>
      </c>
      <c r="D455">
        <f>Sources!E455</f>
        <v/>
      </c>
      <c r="E455">
        <f>Sources!F455</f>
        <v/>
      </c>
      <c r="F455">
        <f>Sources!H455</f>
        <v/>
      </c>
      <c r="G455">
        <f>IF(ABS(F455-ROUND(F455,0))&lt;0.001,1,0)</f>
        <v/>
      </c>
      <c r="H455">
        <f>IF(G455=1,F455,CEILING(F455,1))</f>
        <v/>
      </c>
      <c r="I455">
        <f>IF(G455=1,0,(H455-F455)*E455)</f>
        <v/>
      </c>
      <c r="J455">
        <f>E455*F455</f>
        <v/>
      </c>
    </row>
    <row r="456">
      <c r="A456">
        <f>Sources!A456</f>
        <v/>
      </c>
      <c r="B456">
        <f>Sources!B456</f>
        <v/>
      </c>
      <c r="C456">
        <f>Sources!D456</f>
        <v/>
      </c>
      <c r="D456">
        <f>Sources!E456</f>
        <v/>
      </c>
      <c r="E456">
        <f>Sources!F456</f>
        <v/>
      </c>
      <c r="F456">
        <f>Sources!H456</f>
        <v/>
      </c>
      <c r="G456">
        <f>IF(ABS(F456-ROUND(F456,0))&lt;0.001,1,0)</f>
        <v/>
      </c>
      <c r="H456">
        <f>IF(G456=1,F456,CEILING(F456,1))</f>
        <v/>
      </c>
      <c r="I456">
        <f>IF(G456=1,0,(H456-F456)*E456)</f>
        <v/>
      </c>
      <c r="J456">
        <f>E456*F456</f>
        <v/>
      </c>
    </row>
    <row r="457">
      <c r="A457">
        <f>Sources!A457</f>
        <v/>
      </c>
      <c r="B457">
        <f>Sources!B457</f>
        <v/>
      </c>
      <c r="C457">
        <f>Sources!D457</f>
        <v/>
      </c>
      <c r="D457">
        <f>Sources!E457</f>
        <v/>
      </c>
      <c r="E457">
        <f>Sources!F457</f>
        <v/>
      </c>
      <c r="F457">
        <f>Sources!H457</f>
        <v/>
      </c>
      <c r="G457">
        <f>IF(ABS(F457-ROUND(F457,0))&lt;0.001,1,0)</f>
        <v/>
      </c>
      <c r="H457">
        <f>IF(G457=1,F457,CEILING(F457,1))</f>
        <v/>
      </c>
      <c r="I457">
        <f>IF(G457=1,0,(H457-F457)*E457)</f>
        <v/>
      </c>
      <c r="J457">
        <f>E457*F457</f>
        <v/>
      </c>
    </row>
    <row r="458">
      <c r="A458">
        <f>Sources!A458</f>
        <v/>
      </c>
      <c r="B458">
        <f>Sources!B458</f>
        <v/>
      </c>
      <c r="C458">
        <f>Sources!D458</f>
        <v/>
      </c>
      <c r="D458">
        <f>Sources!E458</f>
        <v/>
      </c>
      <c r="E458">
        <f>Sources!F458</f>
        <v/>
      </c>
      <c r="F458">
        <f>Sources!H458</f>
        <v/>
      </c>
      <c r="G458">
        <f>IF(ABS(F458-ROUND(F458,0))&lt;0.001,1,0)</f>
        <v/>
      </c>
      <c r="H458">
        <f>IF(G458=1,F458,CEILING(F458,1))</f>
        <v/>
      </c>
      <c r="I458">
        <f>IF(G458=1,0,(H458-F458)*E458)</f>
        <v/>
      </c>
      <c r="J458">
        <f>E458*F458</f>
        <v/>
      </c>
    </row>
    <row r="459">
      <c r="A459">
        <f>Sources!A459</f>
        <v/>
      </c>
      <c r="B459">
        <f>Sources!B459</f>
        <v/>
      </c>
      <c r="C459">
        <f>Sources!D459</f>
        <v/>
      </c>
      <c r="D459">
        <f>Sources!E459</f>
        <v/>
      </c>
      <c r="E459">
        <f>Sources!F459</f>
        <v/>
      </c>
      <c r="F459">
        <f>Sources!H459</f>
        <v/>
      </c>
      <c r="G459">
        <f>IF(ABS(F459-ROUND(F459,0))&lt;0.001,1,0)</f>
        <v/>
      </c>
      <c r="H459">
        <f>IF(G459=1,F459,CEILING(F459,1))</f>
        <v/>
      </c>
      <c r="I459">
        <f>IF(G459=1,0,(H459-F459)*E459)</f>
        <v/>
      </c>
      <c r="J459">
        <f>E459*F459</f>
        <v/>
      </c>
    </row>
    <row r="460">
      <c r="A460">
        <f>Sources!A460</f>
        <v/>
      </c>
      <c r="B460">
        <f>Sources!B460</f>
        <v/>
      </c>
      <c r="C460">
        <f>Sources!D460</f>
        <v/>
      </c>
      <c r="D460">
        <f>Sources!E460</f>
        <v/>
      </c>
      <c r="E460">
        <f>Sources!F460</f>
        <v/>
      </c>
      <c r="F460">
        <f>Sources!H460</f>
        <v/>
      </c>
      <c r="G460">
        <f>IF(ABS(F460-ROUND(F460,0))&lt;0.001,1,0)</f>
        <v/>
      </c>
      <c r="H460">
        <f>IF(G460=1,F460,CEILING(F460,1))</f>
        <v/>
      </c>
      <c r="I460">
        <f>IF(G460=1,0,(H460-F460)*E460)</f>
        <v/>
      </c>
      <c r="J460">
        <f>E460*F460</f>
        <v/>
      </c>
    </row>
    <row r="461">
      <c r="A461">
        <f>Sources!A461</f>
        <v/>
      </c>
      <c r="B461">
        <f>Sources!B461</f>
        <v/>
      </c>
      <c r="C461">
        <f>Sources!D461</f>
        <v/>
      </c>
      <c r="D461">
        <f>Sources!E461</f>
        <v/>
      </c>
      <c r="E461">
        <f>Sources!F461</f>
        <v/>
      </c>
      <c r="F461">
        <f>Sources!H461</f>
        <v/>
      </c>
      <c r="G461">
        <f>IF(ABS(F461-ROUND(F461,0))&lt;0.001,1,0)</f>
        <v/>
      </c>
      <c r="H461">
        <f>IF(G461=1,F461,CEILING(F461,1))</f>
        <v/>
      </c>
      <c r="I461">
        <f>IF(G461=1,0,(H461-F461)*E461)</f>
        <v/>
      </c>
      <c r="J461">
        <f>E461*F461</f>
        <v/>
      </c>
    </row>
    <row r="462">
      <c r="A462">
        <f>Sources!A462</f>
        <v/>
      </c>
      <c r="B462">
        <f>Sources!B462</f>
        <v/>
      </c>
      <c r="C462">
        <f>Sources!D462</f>
        <v/>
      </c>
      <c r="D462">
        <f>Sources!E462</f>
        <v/>
      </c>
      <c r="E462">
        <f>Sources!F462</f>
        <v/>
      </c>
      <c r="F462">
        <f>Sources!H462</f>
        <v/>
      </c>
      <c r="G462">
        <f>IF(ABS(F462-ROUND(F462,0))&lt;0.001,1,0)</f>
        <v/>
      </c>
      <c r="H462">
        <f>IF(G462=1,F462,CEILING(F462,1))</f>
        <v/>
      </c>
      <c r="I462">
        <f>IF(G462=1,0,(H462-F462)*E462)</f>
        <v/>
      </c>
      <c r="J462">
        <f>E462*F462</f>
        <v/>
      </c>
    </row>
    <row r="463">
      <c r="A463">
        <f>Sources!A463</f>
        <v/>
      </c>
      <c r="B463">
        <f>Sources!B463</f>
        <v/>
      </c>
      <c r="C463">
        <f>Sources!D463</f>
        <v/>
      </c>
      <c r="D463">
        <f>Sources!E463</f>
        <v/>
      </c>
      <c r="E463">
        <f>Sources!F463</f>
        <v/>
      </c>
      <c r="F463">
        <f>Sources!H463</f>
        <v/>
      </c>
      <c r="G463">
        <f>IF(ABS(F463-ROUND(F463,0))&lt;0.001,1,0)</f>
        <v/>
      </c>
      <c r="H463">
        <f>IF(G463=1,F463,CEILING(F463,1))</f>
        <v/>
      </c>
      <c r="I463">
        <f>IF(G463=1,0,(H463-F463)*E463)</f>
        <v/>
      </c>
      <c r="J463">
        <f>E463*F463</f>
        <v/>
      </c>
    </row>
    <row r="464">
      <c r="A464">
        <f>Sources!A464</f>
        <v/>
      </c>
      <c r="B464">
        <f>Sources!B464</f>
        <v/>
      </c>
      <c r="C464">
        <f>Sources!D464</f>
        <v/>
      </c>
      <c r="D464">
        <f>Sources!E464</f>
        <v/>
      </c>
      <c r="E464">
        <f>Sources!F464</f>
        <v/>
      </c>
      <c r="F464">
        <f>Sources!H464</f>
        <v/>
      </c>
      <c r="G464">
        <f>IF(ABS(F464-ROUND(F464,0))&lt;0.001,1,0)</f>
        <v/>
      </c>
      <c r="H464">
        <f>IF(G464=1,F464,CEILING(F464,1))</f>
        <v/>
      </c>
      <c r="I464">
        <f>IF(G464=1,0,(H464-F464)*E464)</f>
        <v/>
      </c>
      <c r="J464">
        <f>E464*F464</f>
        <v/>
      </c>
    </row>
    <row r="465">
      <c r="A465">
        <f>Sources!A465</f>
        <v/>
      </c>
      <c r="B465">
        <f>Sources!B465</f>
        <v/>
      </c>
      <c r="C465">
        <f>Sources!D465</f>
        <v/>
      </c>
      <c r="D465">
        <f>Sources!E465</f>
        <v/>
      </c>
      <c r="E465">
        <f>Sources!F465</f>
        <v/>
      </c>
      <c r="F465">
        <f>Sources!H465</f>
        <v/>
      </c>
      <c r="G465">
        <f>IF(ABS(F465-ROUND(F465,0))&lt;0.001,1,0)</f>
        <v/>
      </c>
      <c r="H465">
        <f>IF(G465=1,F465,CEILING(F465,1))</f>
        <v/>
      </c>
      <c r="I465">
        <f>IF(G465=1,0,(H465-F465)*E465)</f>
        <v/>
      </c>
      <c r="J465">
        <f>E465*F465</f>
        <v/>
      </c>
    </row>
    <row r="466">
      <c r="A466">
        <f>Sources!A466</f>
        <v/>
      </c>
      <c r="B466">
        <f>Sources!B466</f>
        <v/>
      </c>
      <c r="C466">
        <f>Sources!D466</f>
        <v/>
      </c>
      <c r="D466">
        <f>Sources!E466</f>
        <v/>
      </c>
      <c r="E466">
        <f>Sources!F466</f>
        <v/>
      </c>
      <c r="F466">
        <f>Sources!H466</f>
        <v/>
      </c>
      <c r="G466">
        <f>IF(ABS(F466-ROUND(F466,0))&lt;0.001,1,0)</f>
        <v/>
      </c>
      <c r="H466">
        <f>IF(G466=1,F466,CEILING(F466,1))</f>
        <v/>
      </c>
      <c r="I466">
        <f>IF(G466=1,0,(H466-F466)*E466)</f>
        <v/>
      </c>
      <c r="J466">
        <f>E466*F466</f>
        <v/>
      </c>
    </row>
    <row r="467">
      <c r="A467">
        <f>Sources!A467</f>
        <v/>
      </c>
      <c r="B467">
        <f>Sources!B467</f>
        <v/>
      </c>
      <c r="C467">
        <f>Sources!D467</f>
        <v/>
      </c>
      <c r="D467">
        <f>Sources!E467</f>
        <v/>
      </c>
      <c r="E467">
        <f>Sources!F467</f>
        <v/>
      </c>
      <c r="F467">
        <f>Sources!H467</f>
        <v/>
      </c>
      <c r="G467">
        <f>IF(ABS(F467-ROUND(F467,0))&lt;0.001,1,0)</f>
        <v/>
      </c>
      <c r="H467">
        <f>IF(G467=1,F467,CEILING(F467,1))</f>
        <v/>
      </c>
      <c r="I467">
        <f>IF(G467=1,0,(H467-F467)*E467)</f>
        <v/>
      </c>
      <c r="J467">
        <f>E467*F467</f>
        <v/>
      </c>
    </row>
    <row r="468">
      <c r="A468">
        <f>Sources!A468</f>
        <v/>
      </c>
      <c r="B468">
        <f>Sources!B468</f>
        <v/>
      </c>
      <c r="C468">
        <f>Sources!D468</f>
        <v/>
      </c>
      <c r="D468">
        <f>Sources!E468</f>
        <v/>
      </c>
      <c r="E468">
        <f>Sources!F468</f>
        <v/>
      </c>
      <c r="F468">
        <f>Sources!H468</f>
        <v/>
      </c>
      <c r="G468">
        <f>IF(ABS(F468-ROUND(F468,0))&lt;0.001,1,0)</f>
        <v/>
      </c>
      <c r="H468">
        <f>IF(G468=1,F468,CEILING(F468,1))</f>
        <v/>
      </c>
      <c r="I468">
        <f>IF(G468=1,0,(H468-F468)*E468)</f>
        <v/>
      </c>
      <c r="J468">
        <f>E468*F468</f>
        <v/>
      </c>
    </row>
    <row r="469">
      <c r="A469">
        <f>Sources!A469</f>
        <v/>
      </c>
      <c r="B469">
        <f>Sources!B469</f>
        <v/>
      </c>
      <c r="C469">
        <f>Sources!D469</f>
        <v/>
      </c>
      <c r="D469">
        <f>Sources!E469</f>
        <v/>
      </c>
      <c r="E469">
        <f>Sources!F469</f>
        <v/>
      </c>
      <c r="F469">
        <f>Sources!H469</f>
        <v/>
      </c>
      <c r="G469">
        <f>IF(ABS(F469-ROUND(F469,0))&lt;0.001,1,0)</f>
        <v/>
      </c>
      <c r="H469">
        <f>IF(G469=1,F469,CEILING(F469,1))</f>
        <v/>
      </c>
      <c r="I469">
        <f>IF(G469=1,0,(H469-F469)*E469)</f>
        <v/>
      </c>
      <c r="J469">
        <f>E469*F469</f>
        <v/>
      </c>
    </row>
    <row r="470">
      <c r="A470">
        <f>Sources!A470</f>
        <v/>
      </c>
      <c r="B470">
        <f>Sources!B470</f>
        <v/>
      </c>
      <c r="C470">
        <f>Sources!D470</f>
        <v/>
      </c>
      <c r="D470">
        <f>Sources!E470</f>
        <v/>
      </c>
      <c r="E470">
        <f>Sources!F470</f>
        <v/>
      </c>
      <c r="F470">
        <f>Sources!H470</f>
        <v/>
      </c>
      <c r="G470">
        <f>IF(ABS(F470-ROUND(F470,0))&lt;0.001,1,0)</f>
        <v/>
      </c>
      <c r="H470">
        <f>IF(G470=1,F470,CEILING(F470,1))</f>
        <v/>
      </c>
      <c r="I470">
        <f>IF(G470=1,0,(H470-F470)*E470)</f>
        <v/>
      </c>
      <c r="J470">
        <f>E470*F470</f>
        <v/>
      </c>
    </row>
    <row r="471">
      <c r="A471">
        <f>Sources!A471</f>
        <v/>
      </c>
      <c r="B471">
        <f>Sources!B471</f>
        <v/>
      </c>
      <c r="C471">
        <f>Sources!D471</f>
        <v/>
      </c>
      <c r="D471">
        <f>Sources!E471</f>
        <v/>
      </c>
      <c r="E471">
        <f>Sources!F471</f>
        <v/>
      </c>
      <c r="F471">
        <f>Sources!H471</f>
        <v/>
      </c>
      <c r="G471">
        <f>IF(ABS(F471-ROUND(F471,0))&lt;0.001,1,0)</f>
        <v/>
      </c>
      <c r="H471">
        <f>IF(G471=1,F471,CEILING(F471,1))</f>
        <v/>
      </c>
      <c r="I471">
        <f>IF(G471=1,0,(H471-F471)*E471)</f>
        <v/>
      </c>
      <c r="J471">
        <f>E471*F471</f>
        <v/>
      </c>
    </row>
    <row r="472">
      <c r="A472">
        <f>Sources!A472</f>
        <v/>
      </c>
      <c r="B472">
        <f>Sources!B472</f>
        <v/>
      </c>
      <c r="C472">
        <f>Sources!D472</f>
        <v/>
      </c>
      <c r="D472">
        <f>Sources!E472</f>
        <v/>
      </c>
      <c r="E472">
        <f>Sources!F472</f>
        <v/>
      </c>
      <c r="F472">
        <f>Sources!H472</f>
        <v/>
      </c>
      <c r="G472">
        <f>IF(ABS(F472-ROUND(F472,0))&lt;0.001,1,0)</f>
        <v/>
      </c>
      <c r="H472">
        <f>IF(G472=1,F472,CEILING(F472,1))</f>
        <v/>
      </c>
      <c r="I472">
        <f>IF(G472=1,0,(H472-F472)*E472)</f>
        <v/>
      </c>
      <c r="J472">
        <f>E472*F472</f>
        <v/>
      </c>
    </row>
    <row r="473">
      <c r="A473">
        <f>Sources!A473</f>
        <v/>
      </c>
      <c r="B473">
        <f>Sources!B473</f>
        <v/>
      </c>
      <c r="C473">
        <f>Sources!D473</f>
        <v/>
      </c>
      <c r="D473">
        <f>Sources!E473</f>
        <v/>
      </c>
      <c r="E473">
        <f>Sources!F473</f>
        <v/>
      </c>
      <c r="F473">
        <f>Sources!H473</f>
        <v/>
      </c>
      <c r="G473">
        <f>IF(ABS(F473-ROUND(F473,0))&lt;0.001,1,0)</f>
        <v/>
      </c>
      <c r="H473">
        <f>IF(G473=1,F473,CEILING(F473,1))</f>
        <v/>
      </c>
      <c r="I473">
        <f>IF(G473=1,0,(H473-F473)*E473)</f>
        <v/>
      </c>
      <c r="J473">
        <f>E473*F473</f>
        <v/>
      </c>
    </row>
    <row r="474">
      <c r="A474">
        <f>Sources!A474</f>
        <v/>
      </c>
      <c r="B474">
        <f>Sources!B474</f>
        <v/>
      </c>
      <c r="C474">
        <f>Sources!D474</f>
        <v/>
      </c>
      <c r="D474">
        <f>Sources!E474</f>
        <v/>
      </c>
      <c r="E474">
        <f>Sources!F474</f>
        <v/>
      </c>
      <c r="F474">
        <f>Sources!H474</f>
        <v/>
      </c>
      <c r="G474">
        <f>IF(ABS(F474-ROUND(F474,0))&lt;0.001,1,0)</f>
        <v/>
      </c>
      <c r="H474">
        <f>IF(G474=1,F474,CEILING(F474,1))</f>
        <v/>
      </c>
      <c r="I474">
        <f>IF(G474=1,0,(H474-F474)*E474)</f>
        <v/>
      </c>
      <c r="J474">
        <f>E474*F474</f>
        <v/>
      </c>
    </row>
    <row r="475">
      <c r="A475">
        <f>Sources!A475</f>
        <v/>
      </c>
      <c r="B475">
        <f>Sources!B475</f>
        <v/>
      </c>
      <c r="C475">
        <f>Sources!D475</f>
        <v/>
      </c>
      <c r="D475">
        <f>Sources!E475</f>
        <v/>
      </c>
      <c r="E475">
        <f>Sources!F475</f>
        <v/>
      </c>
      <c r="F475">
        <f>Sources!H475</f>
        <v/>
      </c>
      <c r="G475">
        <f>IF(ABS(F475-ROUND(F475,0))&lt;0.001,1,0)</f>
        <v/>
      </c>
      <c r="H475">
        <f>IF(G475=1,F475,CEILING(F475,1))</f>
        <v/>
      </c>
      <c r="I475">
        <f>IF(G475=1,0,(H475-F475)*E475)</f>
        <v/>
      </c>
      <c r="J475">
        <f>E475*F475</f>
        <v/>
      </c>
    </row>
    <row r="476">
      <c r="A476">
        <f>Sources!A476</f>
        <v/>
      </c>
      <c r="B476">
        <f>Sources!B476</f>
        <v/>
      </c>
      <c r="C476">
        <f>Sources!D476</f>
        <v/>
      </c>
      <c r="D476">
        <f>Sources!E476</f>
        <v/>
      </c>
      <c r="E476">
        <f>Sources!F476</f>
        <v/>
      </c>
      <c r="F476">
        <f>Sources!H476</f>
        <v/>
      </c>
      <c r="G476">
        <f>IF(ABS(F476-ROUND(F476,0))&lt;0.001,1,0)</f>
        <v/>
      </c>
      <c r="H476">
        <f>IF(G476=1,F476,CEILING(F476,1))</f>
        <v/>
      </c>
      <c r="I476">
        <f>IF(G476=1,0,(H476-F476)*E476)</f>
        <v/>
      </c>
      <c r="J476">
        <f>E476*F476</f>
        <v/>
      </c>
    </row>
    <row r="477">
      <c r="A477">
        <f>Sources!A477</f>
        <v/>
      </c>
      <c r="B477">
        <f>Sources!B477</f>
        <v/>
      </c>
      <c r="C477">
        <f>Sources!D477</f>
        <v/>
      </c>
      <c r="D477">
        <f>Sources!E477</f>
        <v/>
      </c>
      <c r="E477">
        <f>Sources!F477</f>
        <v/>
      </c>
      <c r="F477">
        <f>Sources!H477</f>
        <v/>
      </c>
      <c r="G477">
        <f>IF(ABS(F477-ROUND(F477,0))&lt;0.001,1,0)</f>
        <v/>
      </c>
      <c r="H477">
        <f>IF(G477=1,F477,CEILING(F477,1))</f>
        <v/>
      </c>
      <c r="I477">
        <f>IF(G477=1,0,(H477-F477)*E477)</f>
        <v/>
      </c>
      <c r="J477">
        <f>E477*F477</f>
        <v/>
      </c>
    </row>
    <row r="478">
      <c r="A478">
        <f>Sources!A478</f>
        <v/>
      </c>
      <c r="B478">
        <f>Sources!B478</f>
        <v/>
      </c>
      <c r="C478">
        <f>Sources!D478</f>
        <v/>
      </c>
      <c r="D478">
        <f>Sources!E478</f>
        <v/>
      </c>
      <c r="E478">
        <f>Sources!F478</f>
        <v/>
      </c>
      <c r="F478">
        <f>Sources!H478</f>
        <v/>
      </c>
      <c r="G478">
        <f>IF(ABS(F478-ROUND(F478,0))&lt;0.001,1,0)</f>
        <v/>
      </c>
      <c r="H478">
        <f>IF(G478=1,F478,CEILING(F478,1))</f>
        <v/>
      </c>
      <c r="I478">
        <f>IF(G478=1,0,(H478-F478)*E478)</f>
        <v/>
      </c>
      <c r="J478">
        <f>E478*F478</f>
        <v/>
      </c>
    </row>
    <row r="479">
      <c r="A479">
        <f>Sources!A479</f>
        <v/>
      </c>
      <c r="B479">
        <f>Sources!B479</f>
        <v/>
      </c>
      <c r="C479">
        <f>Sources!D479</f>
        <v/>
      </c>
      <c r="D479">
        <f>Sources!E479</f>
        <v/>
      </c>
      <c r="E479">
        <f>Sources!F479</f>
        <v/>
      </c>
      <c r="F479">
        <f>Sources!H479</f>
        <v/>
      </c>
      <c r="G479">
        <f>IF(ABS(F479-ROUND(F479,0))&lt;0.001,1,0)</f>
        <v/>
      </c>
      <c r="H479">
        <f>IF(G479=1,F479,CEILING(F479,1))</f>
        <v/>
      </c>
      <c r="I479">
        <f>IF(G479=1,0,(H479-F479)*E479)</f>
        <v/>
      </c>
      <c r="J479">
        <f>E479*F479</f>
        <v/>
      </c>
    </row>
    <row r="480">
      <c r="A480">
        <f>Sources!A480</f>
        <v/>
      </c>
      <c r="B480">
        <f>Sources!B480</f>
        <v/>
      </c>
      <c r="C480">
        <f>Sources!D480</f>
        <v/>
      </c>
      <c r="D480">
        <f>Sources!E480</f>
        <v/>
      </c>
      <c r="E480">
        <f>Sources!F480</f>
        <v/>
      </c>
      <c r="F480">
        <f>Sources!H480</f>
        <v/>
      </c>
      <c r="G480">
        <f>IF(ABS(F480-ROUND(F480,0))&lt;0.001,1,0)</f>
        <v/>
      </c>
      <c r="H480">
        <f>IF(G480=1,F480,CEILING(F480,1))</f>
        <v/>
      </c>
      <c r="I480">
        <f>IF(G480=1,0,(H480-F480)*E480)</f>
        <v/>
      </c>
      <c r="J480">
        <f>E480*F480</f>
        <v/>
      </c>
    </row>
    <row r="481">
      <c r="A481">
        <f>Sources!A481</f>
        <v/>
      </c>
      <c r="B481">
        <f>Sources!B481</f>
        <v/>
      </c>
      <c r="C481">
        <f>Sources!D481</f>
        <v/>
      </c>
      <c r="D481">
        <f>Sources!E481</f>
        <v/>
      </c>
      <c r="E481">
        <f>Sources!F481</f>
        <v/>
      </c>
      <c r="F481">
        <f>Sources!H481</f>
        <v/>
      </c>
      <c r="G481">
        <f>IF(ABS(F481-ROUND(F481,0))&lt;0.001,1,0)</f>
        <v/>
      </c>
      <c r="H481">
        <f>IF(G481=1,F481,CEILING(F481,1))</f>
        <v/>
      </c>
      <c r="I481">
        <f>IF(G481=1,0,(H481-F481)*E481)</f>
        <v/>
      </c>
      <c r="J481">
        <f>E481*F481</f>
        <v/>
      </c>
    </row>
    <row r="482">
      <c r="A482">
        <f>Sources!A482</f>
        <v/>
      </c>
      <c r="B482">
        <f>Sources!B482</f>
        <v/>
      </c>
      <c r="C482">
        <f>Sources!D482</f>
        <v/>
      </c>
      <c r="D482">
        <f>Sources!E482</f>
        <v/>
      </c>
      <c r="E482">
        <f>Sources!F482</f>
        <v/>
      </c>
      <c r="F482">
        <f>Sources!H482</f>
        <v/>
      </c>
      <c r="G482">
        <f>IF(ABS(F482-ROUND(F482,0))&lt;0.001,1,0)</f>
        <v/>
      </c>
      <c r="H482">
        <f>IF(G482=1,F482,CEILING(F482,1))</f>
        <v/>
      </c>
      <c r="I482">
        <f>IF(G482=1,0,(H482-F482)*E482)</f>
        <v/>
      </c>
      <c r="J482">
        <f>E482*F482</f>
        <v/>
      </c>
    </row>
    <row r="483">
      <c r="A483">
        <f>Sources!A483</f>
        <v/>
      </c>
      <c r="B483">
        <f>Sources!B483</f>
        <v/>
      </c>
      <c r="C483">
        <f>Sources!D483</f>
        <v/>
      </c>
      <c r="D483">
        <f>Sources!E483</f>
        <v/>
      </c>
      <c r="E483">
        <f>Sources!F483</f>
        <v/>
      </c>
      <c r="F483">
        <f>Sources!H483</f>
        <v/>
      </c>
      <c r="G483">
        <f>IF(ABS(F483-ROUND(F483,0))&lt;0.001,1,0)</f>
        <v/>
      </c>
      <c r="H483">
        <f>IF(G483=1,F483,CEILING(F483,1))</f>
        <v/>
      </c>
      <c r="I483">
        <f>IF(G483=1,0,(H483-F483)*E483)</f>
        <v/>
      </c>
      <c r="J483">
        <f>E483*F483</f>
        <v/>
      </c>
    </row>
    <row r="484">
      <c r="A484">
        <f>Sources!A484</f>
        <v/>
      </c>
      <c r="B484">
        <f>Sources!B484</f>
        <v/>
      </c>
      <c r="C484">
        <f>Sources!D484</f>
        <v/>
      </c>
      <c r="D484">
        <f>Sources!E484</f>
        <v/>
      </c>
      <c r="E484">
        <f>Sources!F484</f>
        <v/>
      </c>
      <c r="F484">
        <f>Sources!H484</f>
        <v/>
      </c>
      <c r="G484">
        <f>IF(ABS(F484-ROUND(F484,0))&lt;0.001,1,0)</f>
        <v/>
      </c>
      <c r="H484">
        <f>IF(G484=1,F484,CEILING(F484,1))</f>
        <v/>
      </c>
      <c r="I484">
        <f>IF(G484=1,0,(H484-F484)*E484)</f>
        <v/>
      </c>
      <c r="J484">
        <f>E484*F484</f>
        <v/>
      </c>
    </row>
    <row r="485">
      <c r="A485">
        <f>Sources!A485</f>
        <v/>
      </c>
      <c r="B485">
        <f>Sources!B485</f>
        <v/>
      </c>
      <c r="C485">
        <f>Sources!D485</f>
        <v/>
      </c>
      <c r="D485">
        <f>Sources!E485</f>
        <v/>
      </c>
      <c r="E485">
        <f>Sources!F485</f>
        <v/>
      </c>
      <c r="F485">
        <f>Sources!H485</f>
        <v/>
      </c>
      <c r="G485">
        <f>IF(ABS(F485-ROUND(F485,0))&lt;0.001,1,0)</f>
        <v/>
      </c>
      <c r="H485">
        <f>IF(G485=1,F485,CEILING(F485,1))</f>
        <v/>
      </c>
      <c r="I485">
        <f>IF(G485=1,0,(H485-F485)*E485)</f>
        <v/>
      </c>
      <c r="J485">
        <f>E485*F485</f>
        <v/>
      </c>
    </row>
    <row r="486">
      <c r="A486">
        <f>Sources!A486</f>
        <v/>
      </c>
      <c r="B486">
        <f>Sources!B486</f>
        <v/>
      </c>
      <c r="C486">
        <f>Sources!D486</f>
        <v/>
      </c>
      <c r="D486">
        <f>Sources!E486</f>
        <v/>
      </c>
      <c r="E486">
        <f>Sources!F486</f>
        <v/>
      </c>
      <c r="F486">
        <f>Sources!H486</f>
        <v/>
      </c>
      <c r="G486">
        <f>IF(ABS(F486-ROUND(F486,0))&lt;0.001,1,0)</f>
        <v/>
      </c>
      <c r="H486">
        <f>IF(G486=1,F486,CEILING(F486,1))</f>
        <v/>
      </c>
      <c r="I486">
        <f>IF(G486=1,0,(H486-F486)*E486)</f>
        <v/>
      </c>
      <c r="J486">
        <f>E486*F486</f>
        <v/>
      </c>
    </row>
    <row r="487">
      <c r="A487">
        <f>Sources!A487</f>
        <v/>
      </c>
      <c r="B487">
        <f>Sources!B487</f>
        <v/>
      </c>
      <c r="C487">
        <f>Sources!D487</f>
        <v/>
      </c>
      <c r="D487">
        <f>Sources!E487</f>
        <v/>
      </c>
      <c r="E487">
        <f>Sources!F487</f>
        <v/>
      </c>
      <c r="F487">
        <f>Sources!H487</f>
        <v/>
      </c>
      <c r="G487">
        <f>IF(ABS(F487-ROUND(F487,0))&lt;0.001,1,0)</f>
        <v/>
      </c>
      <c r="H487">
        <f>IF(G487=1,F487,CEILING(F487,1))</f>
        <v/>
      </c>
      <c r="I487">
        <f>IF(G487=1,0,(H487-F487)*E487)</f>
        <v/>
      </c>
      <c r="J487">
        <f>E487*F487</f>
        <v/>
      </c>
    </row>
    <row r="488">
      <c r="A488">
        <f>Sources!A488</f>
        <v/>
      </c>
      <c r="B488">
        <f>Sources!B488</f>
        <v/>
      </c>
      <c r="C488">
        <f>Sources!D488</f>
        <v/>
      </c>
      <c r="D488">
        <f>Sources!E488</f>
        <v/>
      </c>
      <c r="E488">
        <f>Sources!F488</f>
        <v/>
      </c>
      <c r="F488">
        <f>Sources!H488</f>
        <v/>
      </c>
      <c r="G488">
        <f>IF(ABS(F488-ROUND(F488,0))&lt;0.001,1,0)</f>
        <v/>
      </c>
      <c r="H488">
        <f>IF(G488=1,F488,CEILING(F488,1))</f>
        <v/>
      </c>
      <c r="I488">
        <f>IF(G488=1,0,(H488-F488)*E488)</f>
        <v/>
      </c>
      <c r="J488">
        <f>E488*F488</f>
        <v/>
      </c>
    </row>
    <row r="489">
      <c r="A489">
        <f>Sources!A489</f>
        <v/>
      </c>
      <c r="B489">
        <f>Sources!B489</f>
        <v/>
      </c>
      <c r="C489">
        <f>Sources!D489</f>
        <v/>
      </c>
      <c r="D489">
        <f>Sources!E489</f>
        <v/>
      </c>
      <c r="E489">
        <f>Sources!F489</f>
        <v/>
      </c>
      <c r="F489">
        <f>Sources!H489</f>
        <v/>
      </c>
      <c r="G489">
        <f>IF(ABS(F489-ROUND(F489,0))&lt;0.001,1,0)</f>
        <v/>
      </c>
      <c r="H489">
        <f>IF(G489=1,F489,CEILING(F489,1))</f>
        <v/>
      </c>
      <c r="I489">
        <f>IF(G489=1,0,(H489-F489)*E489)</f>
        <v/>
      </c>
      <c r="J489">
        <f>E489*F489</f>
        <v/>
      </c>
    </row>
    <row r="490">
      <c r="A490">
        <f>Sources!A490</f>
        <v/>
      </c>
      <c r="B490">
        <f>Sources!B490</f>
        <v/>
      </c>
      <c r="C490">
        <f>Sources!D490</f>
        <v/>
      </c>
      <c r="D490">
        <f>Sources!E490</f>
        <v/>
      </c>
      <c r="E490">
        <f>Sources!F490</f>
        <v/>
      </c>
      <c r="F490">
        <f>Sources!H490</f>
        <v/>
      </c>
      <c r="G490">
        <f>IF(ABS(F490-ROUND(F490,0))&lt;0.001,1,0)</f>
        <v/>
      </c>
      <c r="H490">
        <f>IF(G490=1,F490,CEILING(F490,1))</f>
        <v/>
      </c>
      <c r="I490">
        <f>IF(G490=1,0,(H490-F490)*E490)</f>
        <v/>
      </c>
      <c r="J490">
        <f>E490*F490</f>
        <v/>
      </c>
    </row>
    <row r="491">
      <c r="A491">
        <f>Sources!A491</f>
        <v/>
      </c>
      <c r="B491">
        <f>Sources!B491</f>
        <v/>
      </c>
      <c r="C491">
        <f>Sources!D491</f>
        <v/>
      </c>
      <c r="D491">
        <f>Sources!E491</f>
        <v/>
      </c>
      <c r="E491">
        <f>Sources!F491</f>
        <v/>
      </c>
      <c r="F491">
        <f>Sources!H491</f>
        <v/>
      </c>
      <c r="G491">
        <f>IF(ABS(F491-ROUND(F491,0))&lt;0.001,1,0)</f>
        <v/>
      </c>
      <c r="H491">
        <f>IF(G491=1,F491,CEILING(F491,1))</f>
        <v/>
      </c>
      <c r="I491">
        <f>IF(G491=1,0,(H491-F491)*E491)</f>
        <v/>
      </c>
      <c r="J491">
        <f>E491*F491</f>
        <v/>
      </c>
    </row>
    <row r="492">
      <c r="A492">
        <f>Sources!A492</f>
        <v/>
      </c>
      <c r="B492">
        <f>Sources!B492</f>
        <v/>
      </c>
      <c r="C492">
        <f>Sources!D492</f>
        <v/>
      </c>
      <c r="D492">
        <f>Sources!E492</f>
        <v/>
      </c>
      <c r="E492">
        <f>Sources!F492</f>
        <v/>
      </c>
      <c r="F492">
        <f>Sources!H492</f>
        <v/>
      </c>
      <c r="G492">
        <f>IF(ABS(F492-ROUND(F492,0))&lt;0.001,1,0)</f>
        <v/>
      </c>
      <c r="H492">
        <f>IF(G492=1,F492,CEILING(F492,1))</f>
        <v/>
      </c>
      <c r="I492">
        <f>IF(G492=1,0,(H492-F492)*E492)</f>
        <v/>
      </c>
      <c r="J492">
        <f>E492*F492</f>
        <v/>
      </c>
    </row>
    <row r="493">
      <c r="A493">
        <f>Sources!A493</f>
        <v/>
      </c>
      <c r="B493">
        <f>Sources!B493</f>
        <v/>
      </c>
      <c r="C493">
        <f>Sources!D493</f>
        <v/>
      </c>
      <c r="D493">
        <f>Sources!E493</f>
        <v/>
      </c>
      <c r="E493">
        <f>Sources!F493</f>
        <v/>
      </c>
      <c r="F493">
        <f>Sources!H493</f>
        <v/>
      </c>
      <c r="G493">
        <f>IF(ABS(F493-ROUND(F493,0))&lt;0.001,1,0)</f>
        <v/>
      </c>
      <c r="H493">
        <f>IF(G493=1,F493,CEILING(F493,1))</f>
        <v/>
      </c>
      <c r="I493">
        <f>IF(G493=1,0,(H493-F493)*E493)</f>
        <v/>
      </c>
      <c r="J493">
        <f>E493*F493</f>
        <v/>
      </c>
    </row>
    <row r="494">
      <c r="A494">
        <f>Sources!A494</f>
        <v/>
      </c>
      <c r="B494">
        <f>Sources!B494</f>
        <v/>
      </c>
      <c r="C494">
        <f>Sources!D494</f>
        <v/>
      </c>
      <c r="D494">
        <f>Sources!E494</f>
        <v/>
      </c>
      <c r="E494">
        <f>Sources!F494</f>
        <v/>
      </c>
      <c r="F494">
        <f>Sources!H494</f>
        <v/>
      </c>
      <c r="G494">
        <f>IF(ABS(F494-ROUND(F494,0))&lt;0.001,1,0)</f>
        <v/>
      </c>
      <c r="H494">
        <f>IF(G494=1,F494,CEILING(F494,1))</f>
        <v/>
      </c>
      <c r="I494">
        <f>IF(G494=1,0,(H494-F494)*E494)</f>
        <v/>
      </c>
      <c r="J494">
        <f>E494*F494</f>
        <v/>
      </c>
    </row>
    <row r="495">
      <c r="A495">
        <f>Sources!A495</f>
        <v/>
      </c>
      <c r="B495">
        <f>Sources!B495</f>
        <v/>
      </c>
      <c r="C495">
        <f>Sources!D495</f>
        <v/>
      </c>
      <c r="D495">
        <f>Sources!E495</f>
        <v/>
      </c>
      <c r="E495">
        <f>Sources!F495</f>
        <v/>
      </c>
      <c r="F495">
        <f>Sources!H495</f>
        <v/>
      </c>
      <c r="G495">
        <f>IF(ABS(F495-ROUND(F495,0))&lt;0.001,1,0)</f>
        <v/>
      </c>
      <c r="H495">
        <f>IF(G495=1,F495,CEILING(F495,1))</f>
        <v/>
      </c>
      <c r="I495">
        <f>IF(G495=1,0,(H495-F495)*E495)</f>
        <v/>
      </c>
      <c r="J495">
        <f>E495*F495</f>
        <v/>
      </c>
    </row>
    <row r="496">
      <c r="A496">
        <f>Sources!A496</f>
        <v/>
      </c>
      <c r="B496">
        <f>Sources!B496</f>
        <v/>
      </c>
      <c r="C496">
        <f>Sources!D496</f>
        <v/>
      </c>
      <c r="D496">
        <f>Sources!E496</f>
        <v/>
      </c>
      <c r="E496">
        <f>Sources!F496</f>
        <v/>
      </c>
      <c r="F496">
        <f>Sources!H496</f>
        <v/>
      </c>
      <c r="G496">
        <f>IF(ABS(F496-ROUND(F496,0))&lt;0.001,1,0)</f>
        <v/>
      </c>
      <c r="H496">
        <f>IF(G496=1,F496,CEILING(F496,1))</f>
        <v/>
      </c>
      <c r="I496">
        <f>IF(G496=1,0,(H496-F496)*E496)</f>
        <v/>
      </c>
      <c r="J496">
        <f>E496*F496</f>
        <v/>
      </c>
    </row>
    <row r="497">
      <c r="A497">
        <f>Sources!A497</f>
        <v/>
      </c>
      <c r="B497">
        <f>Sources!B497</f>
        <v/>
      </c>
      <c r="C497">
        <f>Sources!D497</f>
        <v/>
      </c>
      <c r="D497">
        <f>Sources!E497</f>
        <v/>
      </c>
      <c r="E497">
        <f>Sources!F497</f>
        <v/>
      </c>
      <c r="F497">
        <f>Sources!H497</f>
        <v/>
      </c>
      <c r="G497">
        <f>IF(ABS(F497-ROUND(F497,0))&lt;0.001,1,0)</f>
        <v/>
      </c>
      <c r="H497">
        <f>IF(G497=1,F497,CEILING(F497,1))</f>
        <v/>
      </c>
      <c r="I497">
        <f>IF(G497=1,0,(H497-F497)*E497)</f>
        <v/>
      </c>
      <c r="J497">
        <f>E497*F497</f>
        <v/>
      </c>
    </row>
    <row r="498">
      <c r="A498">
        <f>Sources!A498</f>
        <v/>
      </c>
      <c r="B498">
        <f>Sources!B498</f>
        <v/>
      </c>
      <c r="C498">
        <f>Sources!D498</f>
        <v/>
      </c>
      <c r="D498">
        <f>Sources!E498</f>
        <v/>
      </c>
      <c r="E498">
        <f>Sources!F498</f>
        <v/>
      </c>
      <c r="F498">
        <f>Sources!H498</f>
        <v/>
      </c>
      <c r="G498">
        <f>IF(ABS(F498-ROUND(F498,0))&lt;0.001,1,0)</f>
        <v/>
      </c>
      <c r="H498">
        <f>IF(G498=1,F498,CEILING(F498,1))</f>
        <v/>
      </c>
      <c r="I498">
        <f>IF(G498=1,0,(H498-F498)*E498)</f>
        <v/>
      </c>
      <c r="J498">
        <f>E498*F498</f>
        <v/>
      </c>
    </row>
    <row r="499">
      <c r="A499">
        <f>Sources!A499</f>
        <v/>
      </c>
      <c r="B499">
        <f>Sources!B499</f>
        <v/>
      </c>
      <c r="C499">
        <f>Sources!D499</f>
        <v/>
      </c>
      <c r="D499">
        <f>Sources!E499</f>
        <v/>
      </c>
      <c r="E499">
        <f>Sources!F499</f>
        <v/>
      </c>
      <c r="F499">
        <f>Sources!H499</f>
        <v/>
      </c>
      <c r="G499">
        <f>IF(ABS(F499-ROUND(F499,0))&lt;0.001,1,0)</f>
        <v/>
      </c>
      <c r="H499">
        <f>IF(G499=1,F499,CEILING(F499,1))</f>
        <v/>
      </c>
      <c r="I499">
        <f>IF(G499=1,0,(H499-F499)*E499)</f>
        <v/>
      </c>
      <c r="J499">
        <f>E499*F499</f>
        <v/>
      </c>
    </row>
    <row r="500">
      <c r="A500">
        <f>Sources!A500</f>
        <v/>
      </c>
      <c r="B500">
        <f>Sources!B500</f>
        <v/>
      </c>
      <c r="C500">
        <f>Sources!D500</f>
        <v/>
      </c>
      <c r="D500">
        <f>Sources!E500</f>
        <v/>
      </c>
      <c r="E500">
        <f>Sources!F500</f>
        <v/>
      </c>
      <c r="F500">
        <f>Sources!H500</f>
        <v/>
      </c>
      <c r="G500">
        <f>IF(ABS(F500-ROUND(F500,0))&lt;0.001,1,0)</f>
        <v/>
      </c>
      <c r="H500">
        <f>IF(G500=1,F500,CEILING(F500,1))</f>
        <v/>
      </c>
      <c r="I500">
        <f>IF(G500=1,0,(H500-F500)*E500)</f>
        <v/>
      </c>
      <c r="J500">
        <f>E500*F500</f>
        <v/>
      </c>
    </row>
    <row r="501">
      <c r="A501">
        <f>Sources!A501</f>
        <v/>
      </c>
      <c r="B501">
        <f>Sources!B501</f>
        <v/>
      </c>
      <c r="C501">
        <f>Sources!D501</f>
        <v/>
      </c>
      <c r="D501">
        <f>Sources!E501</f>
        <v/>
      </c>
      <c r="E501">
        <f>Sources!F501</f>
        <v/>
      </c>
      <c r="F501">
        <f>Sources!H501</f>
        <v/>
      </c>
      <c r="G501">
        <f>IF(ABS(F501-ROUND(F501,0))&lt;0.001,1,0)</f>
        <v/>
      </c>
      <c r="H501">
        <f>IF(G501=1,F501,CEILING(F501,1))</f>
        <v/>
      </c>
      <c r="I501">
        <f>IF(G501=1,0,(H501-F501)*E501)</f>
        <v/>
      </c>
      <c r="J501">
        <f>E501*F501</f>
        <v/>
      </c>
    </row>
    <row r="502">
      <c r="A502">
        <f>Sources!A502</f>
        <v/>
      </c>
      <c r="B502">
        <f>Sources!B502</f>
        <v/>
      </c>
      <c r="C502">
        <f>Sources!D502</f>
        <v/>
      </c>
      <c r="D502">
        <f>Sources!E502</f>
        <v/>
      </c>
      <c r="E502">
        <f>Sources!F502</f>
        <v/>
      </c>
      <c r="F502">
        <f>Sources!H502</f>
        <v/>
      </c>
      <c r="G502">
        <f>IF(ABS(F502-ROUND(F502,0))&lt;0.001,1,0)</f>
        <v/>
      </c>
      <c r="H502">
        <f>IF(G502=1,F502,CEILING(F502,1))</f>
        <v/>
      </c>
      <c r="I502">
        <f>IF(G502=1,0,(H502-F502)*E502)</f>
        <v/>
      </c>
      <c r="J502">
        <f>E502*F502</f>
        <v/>
      </c>
    </row>
    <row r="503">
      <c r="A503">
        <f>Sources!A503</f>
        <v/>
      </c>
      <c r="B503">
        <f>Sources!B503</f>
        <v/>
      </c>
      <c r="C503">
        <f>Sources!D503</f>
        <v/>
      </c>
      <c r="D503">
        <f>Sources!E503</f>
        <v/>
      </c>
      <c r="E503">
        <f>Sources!F503</f>
        <v/>
      </c>
      <c r="F503">
        <f>Sources!H503</f>
        <v/>
      </c>
      <c r="G503">
        <f>IF(ABS(F503-ROUND(F503,0))&lt;0.001,1,0)</f>
        <v/>
      </c>
      <c r="H503">
        <f>IF(G503=1,F503,CEILING(F503,1))</f>
        <v/>
      </c>
      <c r="I503">
        <f>IF(G503=1,0,(H503-F503)*E503)</f>
        <v/>
      </c>
      <c r="J503">
        <f>E503*F503</f>
        <v/>
      </c>
    </row>
    <row r="504">
      <c r="A504">
        <f>Sources!A504</f>
        <v/>
      </c>
      <c r="B504">
        <f>Sources!B504</f>
        <v/>
      </c>
      <c r="C504">
        <f>Sources!D504</f>
        <v/>
      </c>
      <c r="D504">
        <f>Sources!E504</f>
        <v/>
      </c>
      <c r="E504">
        <f>Sources!F504</f>
        <v/>
      </c>
      <c r="F504">
        <f>Sources!H504</f>
        <v/>
      </c>
      <c r="G504">
        <f>IF(ABS(F504-ROUND(F504,0))&lt;0.001,1,0)</f>
        <v/>
      </c>
      <c r="H504">
        <f>IF(G504=1,F504,CEILING(F504,1))</f>
        <v/>
      </c>
      <c r="I504">
        <f>IF(G504=1,0,(H504-F504)*E504)</f>
        <v/>
      </c>
      <c r="J504">
        <f>E504*F504</f>
        <v/>
      </c>
    </row>
    <row r="505">
      <c r="A505">
        <f>Sources!A505</f>
        <v/>
      </c>
      <c r="B505">
        <f>Sources!B505</f>
        <v/>
      </c>
      <c r="C505">
        <f>Sources!D505</f>
        <v/>
      </c>
      <c r="D505">
        <f>Sources!E505</f>
        <v/>
      </c>
      <c r="E505">
        <f>Sources!F505</f>
        <v/>
      </c>
      <c r="F505">
        <f>Sources!H505</f>
        <v/>
      </c>
      <c r="G505">
        <f>IF(ABS(F505-ROUND(F505,0))&lt;0.001,1,0)</f>
        <v/>
      </c>
      <c r="H505">
        <f>IF(G505=1,F505,CEILING(F505,1))</f>
        <v/>
      </c>
      <c r="I505">
        <f>IF(G505=1,0,(H505-F505)*E505)</f>
        <v/>
      </c>
      <c r="J505">
        <f>E505*F505</f>
        <v/>
      </c>
    </row>
    <row r="506">
      <c r="A506">
        <f>Sources!A506</f>
        <v/>
      </c>
      <c r="B506">
        <f>Sources!B506</f>
        <v/>
      </c>
      <c r="C506">
        <f>Sources!D506</f>
        <v/>
      </c>
      <c r="D506">
        <f>Sources!E506</f>
        <v/>
      </c>
      <c r="E506">
        <f>Sources!F506</f>
        <v/>
      </c>
      <c r="F506">
        <f>Sources!H506</f>
        <v/>
      </c>
      <c r="G506">
        <f>IF(ABS(F506-ROUND(F506,0))&lt;0.001,1,0)</f>
        <v/>
      </c>
      <c r="H506">
        <f>IF(G506=1,F506,CEILING(F506,1))</f>
        <v/>
      </c>
      <c r="I506">
        <f>IF(G506=1,0,(H506-F506)*E506)</f>
        <v/>
      </c>
      <c r="J506">
        <f>E506*F506</f>
        <v/>
      </c>
    </row>
    <row r="507">
      <c r="A507">
        <f>Sources!A507</f>
        <v/>
      </c>
      <c r="B507">
        <f>Sources!B507</f>
        <v/>
      </c>
      <c r="C507">
        <f>Sources!D507</f>
        <v/>
      </c>
      <c r="D507">
        <f>Sources!E507</f>
        <v/>
      </c>
      <c r="E507">
        <f>Sources!F507</f>
        <v/>
      </c>
      <c r="F507">
        <f>Sources!H507</f>
        <v/>
      </c>
      <c r="G507">
        <f>IF(ABS(F507-ROUND(F507,0))&lt;0.001,1,0)</f>
        <v/>
      </c>
      <c r="H507">
        <f>IF(G507=1,F507,CEILING(F507,1))</f>
        <v/>
      </c>
      <c r="I507">
        <f>IF(G507=1,0,(H507-F507)*E507)</f>
        <v/>
      </c>
      <c r="J507">
        <f>E507*F507</f>
        <v/>
      </c>
    </row>
    <row r="508">
      <c r="A508">
        <f>Sources!A508</f>
        <v/>
      </c>
      <c r="B508">
        <f>Sources!B508</f>
        <v/>
      </c>
      <c r="C508">
        <f>Sources!D508</f>
        <v/>
      </c>
      <c r="D508">
        <f>Sources!E508</f>
        <v/>
      </c>
      <c r="E508">
        <f>Sources!F508</f>
        <v/>
      </c>
      <c r="F508">
        <f>Sources!H508</f>
        <v/>
      </c>
      <c r="G508">
        <f>IF(ABS(F508-ROUND(F508,0))&lt;0.001,1,0)</f>
        <v/>
      </c>
      <c r="H508">
        <f>IF(G508=1,F508,CEILING(F508,1))</f>
        <v/>
      </c>
      <c r="I508">
        <f>IF(G508=1,0,(H508-F508)*E508)</f>
        <v/>
      </c>
      <c r="J508">
        <f>E508*F508</f>
        <v/>
      </c>
    </row>
    <row r="509">
      <c r="A509">
        <f>Sources!A509</f>
        <v/>
      </c>
      <c r="B509">
        <f>Sources!B509</f>
        <v/>
      </c>
      <c r="C509">
        <f>Sources!D509</f>
        <v/>
      </c>
      <c r="D509">
        <f>Sources!E509</f>
        <v/>
      </c>
      <c r="E509">
        <f>Sources!F509</f>
        <v/>
      </c>
      <c r="F509">
        <f>Sources!H509</f>
        <v/>
      </c>
      <c r="G509">
        <f>IF(ABS(F509-ROUND(F509,0))&lt;0.001,1,0)</f>
        <v/>
      </c>
      <c r="H509">
        <f>IF(G509=1,F509,CEILING(F509,1))</f>
        <v/>
      </c>
      <c r="I509">
        <f>IF(G509=1,0,(H509-F509)*E509)</f>
        <v/>
      </c>
      <c r="J509">
        <f>E509*F509</f>
        <v/>
      </c>
    </row>
    <row r="510">
      <c r="A510">
        <f>Sources!A510</f>
        <v/>
      </c>
      <c r="B510">
        <f>Sources!B510</f>
        <v/>
      </c>
      <c r="C510">
        <f>Sources!D510</f>
        <v/>
      </c>
      <c r="D510">
        <f>Sources!E510</f>
        <v/>
      </c>
      <c r="E510">
        <f>Sources!F510</f>
        <v/>
      </c>
      <c r="F510">
        <f>Sources!H510</f>
        <v/>
      </c>
      <c r="G510">
        <f>IF(ABS(F510-ROUND(F510,0))&lt;0.001,1,0)</f>
        <v/>
      </c>
      <c r="H510">
        <f>IF(G510=1,F510,CEILING(F510,1))</f>
        <v/>
      </c>
      <c r="I510">
        <f>IF(G510=1,0,(H510-F510)*E510)</f>
        <v/>
      </c>
      <c r="J510">
        <f>E510*F510</f>
        <v/>
      </c>
    </row>
    <row r="511">
      <c r="A511">
        <f>Sources!A511</f>
        <v/>
      </c>
      <c r="B511">
        <f>Sources!B511</f>
        <v/>
      </c>
      <c r="C511">
        <f>Sources!D511</f>
        <v/>
      </c>
      <c r="D511">
        <f>Sources!E511</f>
        <v/>
      </c>
      <c r="E511">
        <f>Sources!F511</f>
        <v/>
      </c>
      <c r="F511">
        <f>Sources!H511</f>
        <v/>
      </c>
      <c r="G511">
        <f>IF(ABS(F511-ROUND(F511,0))&lt;0.001,1,0)</f>
        <v/>
      </c>
      <c r="H511">
        <f>IF(G511=1,F511,CEILING(F511,1))</f>
        <v/>
      </c>
      <c r="I511">
        <f>IF(G511=1,0,(H511-F511)*E511)</f>
        <v/>
      </c>
      <c r="J511">
        <f>E511*F511</f>
        <v/>
      </c>
    </row>
    <row r="512">
      <c r="A512">
        <f>Sources!A512</f>
        <v/>
      </c>
      <c r="B512">
        <f>Sources!B512</f>
        <v/>
      </c>
      <c r="C512">
        <f>Sources!D512</f>
        <v/>
      </c>
      <c r="D512">
        <f>Sources!E512</f>
        <v/>
      </c>
      <c r="E512">
        <f>Sources!F512</f>
        <v/>
      </c>
      <c r="F512">
        <f>Sources!H512</f>
        <v/>
      </c>
      <c r="G512">
        <f>IF(ABS(F512-ROUND(F512,0))&lt;0.001,1,0)</f>
        <v/>
      </c>
      <c r="H512">
        <f>IF(G512=1,F512,CEILING(F512,1))</f>
        <v/>
      </c>
      <c r="I512">
        <f>IF(G512=1,0,(H512-F512)*E512)</f>
        <v/>
      </c>
      <c r="J512">
        <f>E512*F512</f>
        <v/>
      </c>
    </row>
    <row r="513">
      <c r="A513">
        <f>Sources!A513</f>
        <v/>
      </c>
      <c r="B513">
        <f>Sources!B513</f>
        <v/>
      </c>
      <c r="C513">
        <f>Sources!D513</f>
        <v/>
      </c>
      <c r="D513">
        <f>Sources!E513</f>
        <v/>
      </c>
      <c r="E513">
        <f>Sources!F513</f>
        <v/>
      </c>
      <c r="F513">
        <f>Sources!H513</f>
        <v/>
      </c>
      <c r="G513">
        <f>IF(ABS(F513-ROUND(F513,0))&lt;0.001,1,0)</f>
        <v/>
      </c>
      <c r="H513">
        <f>IF(G513=1,F513,CEILING(F513,1))</f>
        <v/>
      </c>
      <c r="I513">
        <f>IF(G513=1,0,(H513-F513)*E513)</f>
        <v/>
      </c>
      <c r="J513">
        <f>E513*F513</f>
        <v/>
      </c>
    </row>
    <row r="514">
      <c r="A514">
        <f>Sources!A514</f>
        <v/>
      </c>
      <c r="B514">
        <f>Sources!B514</f>
        <v/>
      </c>
      <c r="C514">
        <f>Sources!D514</f>
        <v/>
      </c>
      <c r="D514">
        <f>Sources!E514</f>
        <v/>
      </c>
      <c r="E514">
        <f>Sources!F514</f>
        <v/>
      </c>
      <c r="F514">
        <f>Sources!H514</f>
        <v/>
      </c>
      <c r="G514">
        <f>IF(ABS(F514-ROUND(F514,0))&lt;0.001,1,0)</f>
        <v/>
      </c>
      <c r="H514">
        <f>IF(G514=1,F514,CEILING(F514,1))</f>
        <v/>
      </c>
      <c r="I514">
        <f>IF(G514=1,0,(H514-F514)*E514)</f>
        <v/>
      </c>
      <c r="J514">
        <f>E514*F514</f>
        <v/>
      </c>
    </row>
    <row r="515">
      <c r="A515">
        <f>Sources!A515</f>
        <v/>
      </c>
      <c r="B515">
        <f>Sources!B515</f>
        <v/>
      </c>
      <c r="C515">
        <f>Sources!D515</f>
        <v/>
      </c>
      <c r="D515">
        <f>Sources!E515</f>
        <v/>
      </c>
      <c r="E515">
        <f>Sources!F515</f>
        <v/>
      </c>
      <c r="F515">
        <f>Sources!H515</f>
        <v/>
      </c>
      <c r="G515">
        <f>IF(ABS(F515-ROUND(F515,0))&lt;0.001,1,0)</f>
        <v/>
      </c>
      <c r="H515">
        <f>IF(G515=1,F515,CEILING(F515,1))</f>
        <v/>
      </c>
      <c r="I515">
        <f>IF(G515=1,0,(H515-F515)*E515)</f>
        <v/>
      </c>
      <c r="J515">
        <f>E515*F515</f>
        <v/>
      </c>
    </row>
    <row r="516">
      <c r="A516">
        <f>Sources!A516</f>
        <v/>
      </c>
      <c r="B516">
        <f>Sources!B516</f>
        <v/>
      </c>
      <c r="C516">
        <f>Sources!D516</f>
        <v/>
      </c>
      <c r="D516">
        <f>Sources!E516</f>
        <v/>
      </c>
      <c r="E516">
        <f>Sources!F516</f>
        <v/>
      </c>
      <c r="F516">
        <f>Sources!H516</f>
        <v/>
      </c>
      <c r="G516">
        <f>IF(ABS(F516-ROUND(F516,0))&lt;0.001,1,0)</f>
        <v/>
      </c>
      <c r="H516">
        <f>IF(G516=1,F516,CEILING(F516,1))</f>
        <v/>
      </c>
      <c r="I516">
        <f>IF(G516=1,0,(H516-F516)*E516)</f>
        <v/>
      </c>
      <c r="J516">
        <f>E516*F516</f>
        <v/>
      </c>
    </row>
    <row r="517">
      <c r="A517">
        <f>Sources!A517</f>
        <v/>
      </c>
      <c r="B517">
        <f>Sources!B517</f>
        <v/>
      </c>
      <c r="C517">
        <f>Sources!D517</f>
        <v/>
      </c>
      <c r="D517">
        <f>Sources!E517</f>
        <v/>
      </c>
      <c r="E517">
        <f>Sources!F517</f>
        <v/>
      </c>
      <c r="F517">
        <f>Sources!H517</f>
        <v/>
      </c>
      <c r="G517">
        <f>IF(ABS(F517-ROUND(F517,0))&lt;0.001,1,0)</f>
        <v/>
      </c>
      <c r="H517">
        <f>IF(G517=1,F517,CEILING(F517,1))</f>
        <v/>
      </c>
      <c r="I517">
        <f>IF(G517=1,0,(H517-F517)*E517)</f>
        <v/>
      </c>
      <c r="J517">
        <f>E517*F517</f>
        <v/>
      </c>
    </row>
    <row r="518">
      <c r="A518">
        <f>Sources!A518</f>
        <v/>
      </c>
      <c r="B518">
        <f>Sources!B518</f>
        <v/>
      </c>
      <c r="C518">
        <f>Sources!D518</f>
        <v/>
      </c>
      <c r="D518">
        <f>Sources!E518</f>
        <v/>
      </c>
      <c r="E518">
        <f>Sources!F518</f>
        <v/>
      </c>
      <c r="F518">
        <f>Sources!H518</f>
        <v/>
      </c>
      <c r="G518">
        <f>IF(ABS(F518-ROUND(F518,0))&lt;0.001,1,0)</f>
        <v/>
      </c>
      <c r="H518">
        <f>IF(G518=1,F518,CEILING(F518,1))</f>
        <v/>
      </c>
      <c r="I518">
        <f>IF(G518=1,0,(H518-F518)*E518)</f>
        <v/>
      </c>
      <c r="J518">
        <f>E518*F518</f>
        <v/>
      </c>
    </row>
    <row r="519">
      <c r="A519">
        <f>Sources!A519</f>
        <v/>
      </c>
      <c r="B519">
        <f>Sources!B519</f>
        <v/>
      </c>
      <c r="C519">
        <f>Sources!D519</f>
        <v/>
      </c>
      <c r="D519">
        <f>Sources!E519</f>
        <v/>
      </c>
      <c r="E519">
        <f>Sources!F519</f>
        <v/>
      </c>
      <c r="F519">
        <f>Sources!H519</f>
        <v/>
      </c>
      <c r="G519">
        <f>IF(ABS(F519-ROUND(F519,0))&lt;0.001,1,0)</f>
        <v/>
      </c>
      <c r="H519">
        <f>IF(G519=1,F519,CEILING(F519,1))</f>
        <v/>
      </c>
      <c r="I519">
        <f>IF(G519=1,0,(H519-F519)*E519)</f>
        <v/>
      </c>
      <c r="J519">
        <f>E519*F519</f>
        <v/>
      </c>
    </row>
    <row r="520">
      <c r="A520">
        <f>Sources!A520</f>
        <v/>
      </c>
      <c r="B520">
        <f>Sources!B520</f>
        <v/>
      </c>
      <c r="C520">
        <f>Sources!D520</f>
        <v/>
      </c>
      <c r="D520">
        <f>Sources!E520</f>
        <v/>
      </c>
      <c r="E520">
        <f>Sources!F520</f>
        <v/>
      </c>
      <c r="F520">
        <f>Sources!H520</f>
        <v/>
      </c>
      <c r="G520">
        <f>IF(ABS(F520-ROUND(F520,0))&lt;0.001,1,0)</f>
        <v/>
      </c>
      <c r="H520">
        <f>IF(G520=1,F520,CEILING(F520,1))</f>
        <v/>
      </c>
      <c r="I520">
        <f>IF(G520=1,0,(H520-F520)*E520)</f>
        <v/>
      </c>
      <c r="J520">
        <f>E520*F520</f>
        <v/>
      </c>
    </row>
    <row r="521">
      <c r="A521">
        <f>Sources!A521</f>
        <v/>
      </c>
      <c r="B521">
        <f>Sources!B521</f>
        <v/>
      </c>
      <c r="C521">
        <f>Sources!D521</f>
        <v/>
      </c>
      <c r="D521">
        <f>Sources!E521</f>
        <v/>
      </c>
      <c r="E521">
        <f>Sources!F521</f>
        <v/>
      </c>
      <c r="F521">
        <f>Sources!H521</f>
        <v/>
      </c>
      <c r="G521">
        <f>IF(ABS(F521-ROUND(F521,0))&lt;0.001,1,0)</f>
        <v/>
      </c>
      <c r="H521">
        <f>IF(G521=1,F521,CEILING(F521,1))</f>
        <v/>
      </c>
      <c r="I521">
        <f>IF(G521=1,0,(H521-F521)*E521)</f>
        <v/>
      </c>
      <c r="J521">
        <f>E521*F521</f>
        <v/>
      </c>
    </row>
    <row r="522">
      <c r="A522">
        <f>Sources!A522</f>
        <v/>
      </c>
      <c r="B522">
        <f>Sources!B522</f>
        <v/>
      </c>
      <c r="C522">
        <f>Sources!D522</f>
        <v/>
      </c>
      <c r="D522">
        <f>Sources!E522</f>
        <v/>
      </c>
      <c r="E522">
        <f>Sources!F522</f>
        <v/>
      </c>
      <c r="F522">
        <f>Sources!H522</f>
        <v/>
      </c>
      <c r="G522">
        <f>IF(ABS(F522-ROUND(F522,0))&lt;0.001,1,0)</f>
        <v/>
      </c>
      <c r="H522">
        <f>IF(G522=1,F522,CEILING(F522,1))</f>
        <v/>
      </c>
      <c r="I522">
        <f>IF(G522=1,0,(H522-F522)*E522)</f>
        <v/>
      </c>
      <c r="J522">
        <f>E522*F522</f>
        <v/>
      </c>
    </row>
    <row r="523">
      <c r="A523">
        <f>Sources!A523</f>
        <v/>
      </c>
      <c r="B523">
        <f>Sources!B523</f>
        <v/>
      </c>
      <c r="C523">
        <f>Sources!D523</f>
        <v/>
      </c>
      <c r="D523">
        <f>Sources!E523</f>
        <v/>
      </c>
      <c r="E523">
        <f>Sources!F523</f>
        <v/>
      </c>
      <c r="F523">
        <f>Sources!H523</f>
        <v/>
      </c>
      <c r="G523">
        <f>IF(ABS(F523-ROUND(F523,0))&lt;0.001,1,0)</f>
        <v/>
      </c>
      <c r="H523">
        <f>IF(G523=1,F523,CEILING(F523,1))</f>
        <v/>
      </c>
      <c r="I523">
        <f>IF(G523=1,0,(H523-F523)*E523)</f>
        <v/>
      </c>
      <c r="J523">
        <f>E523*F523</f>
        <v/>
      </c>
    </row>
    <row r="524">
      <c r="A524">
        <f>Sources!A524</f>
        <v/>
      </c>
      <c r="B524">
        <f>Sources!B524</f>
        <v/>
      </c>
      <c r="C524">
        <f>Sources!D524</f>
        <v/>
      </c>
      <c r="D524">
        <f>Sources!E524</f>
        <v/>
      </c>
      <c r="E524">
        <f>Sources!F524</f>
        <v/>
      </c>
      <c r="F524">
        <f>Sources!H524</f>
        <v/>
      </c>
      <c r="G524">
        <f>IF(ABS(F524-ROUND(F524,0))&lt;0.001,1,0)</f>
        <v/>
      </c>
      <c r="H524">
        <f>IF(G524=1,F524,CEILING(F524,1))</f>
        <v/>
      </c>
      <c r="I524">
        <f>IF(G524=1,0,(H524-F524)*E524)</f>
        <v/>
      </c>
      <c r="J524">
        <f>E524*F524</f>
        <v/>
      </c>
    </row>
    <row r="525">
      <c r="A525">
        <f>Sources!A525</f>
        <v/>
      </c>
      <c r="B525">
        <f>Sources!B525</f>
        <v/>
      </c>
      <c r="C525">
        <f>Sources!D525</f>
        <v/>
      </c>
      <c r="D525">
        <f>Sources!E525</f>
        <v/>
      </c>
      <c r="E525">
        <f>Sources!F525</f>
        <v/>
      </c>
      <c r="F525">
        <f>Sources!H525</f>
        <v/>
      </c>
      <c r="G525">
        <f>IF(ABS(F525-ROUND(F525,0))&lt;0.001,1,0)</f>
        <v/>
      </c>
      <c r="H525">
        <f>IF(G525=1,F525,CEILING(F525,1))</f>
        <v/>
      </c>
      <c r="I525">
        <f>IF(G525=1,0,(H525-F525)*E525)</f>
        <v/>
      </c>
      <c r="J525">
        <f>E525*F525</f>
        <v/>
      </c>
    </row>
    <row r="526">
      <c r="A526">
        <f>Sources!A526</f>
        <v/>
      </c>
      <c r="B526">
        <f>Sources!B526</f>
        <v/>
      </c>
      <c r="C526">
        <f>Sources!D526</f>
        <v/>
      </c>
      <c r="D526">
        <f>Sources!E526</f>
        <v/>
      </c>
      <c r="E526">
        <f>Sources!F526</f>
        <v/>
      </c>
      <c r="F526">
        <f>Sources!H526</f>
        <v/>
      </c>
      <c r="G526">
        <f>IF(ABS(F526-ROUND(F526,0))&lt;0.001,1,0)</f>
        <v/>
      </c>
      <c r="H526">
        <f>IF(G526=1,F526,CEILING(F526,1))</f>
        <v/>
      </c>
      <c r="I526">
        <f>IF(G526=1,0,(H526-F526)*E526)</f>
        <v/>
      </c>
      <c r="J526">
        <f>E526*F526</f>
        <v/>
      </c>
    </row>
    <row r="527">
      <c r="A527">
        <f>Sources!A527</f>
        <v/>
      </c>
      <c r="B527">
        <f>Sources!B527</f>
        <v/>
      </c>
      <c r="C527">
        <f>Sources!D527</f>
        <v/>
      </c>
      <c r="D527">
        <f>Sources!E527</f>
        <v/>
      </c>
      <c r="E527">
        <f>Sources!F527</f>
        <v/>
      </c>
      <c r="F527">
        <f>Sources!H527</f>
        <v/>
      </c>
      <c r="G527">
        <f>IF(ABS(F527-ROUND(F527,0))&lt;0.001,1,0)</f>
        <v/>
      </c>
      <c r="H527">
        <f>IF(G527=1,F527,CEILING(F527,1))</f>
        <v/>
      </c>
      <c r="I527">
        <f>IF(G527=1,0,(H527-F527)*E527)</f>
        <v/>
      </c>
      <c r="J527">
        <f>E527*F527</f>
        <v/>
      </c>
    </row>
    <row r="528">
      <c r="A528">
        <f>Sources!A528</f>
        <v/>
      </c>
      <c r="B528">
        <f>Sources!B528</f>
        <v/>
      </c>
      <c r="C528">
        <f>Sources!D528</f>
        <v/>
      </c>
      <c r="D528">
        <f>Sources!E528</f>
        <v/>
      </c>
      <c r="E528">
        <f>Sources!F528</f>
        <v/>
      </c>
      <c r="F528">
        <f>Sources!H528</f>
        <v/>
      </c>
      <c r="G528">
        <f>IF(ABS(F528-ROUND(F528,0))&lt;0.001,1,0)</f>
        <v/>
      </c>
      <c r="H528">
        <f>IF(G528=1,F528,CEILING(F528,1))</f>
        <v/>
      </c>
      <c r="I528">
        <f>IF(G528=1,0,(H528-F528)*E528)</f>
        <v/>
      </c>
      <c r="J528">
        <f>E528*F528</f>
        <v/>
      </c>
    </row>
    <row r="529">
      <c r="A529">
        <f>Sources!A529</f>
        <v/>
      </c>
      <c r="B529">
        <f>Sources!B529</f>
        <v/>
      </c>
      <c r="C529">
        <f>Sources!D529</f>
        <v/>
      </c>
      <c r="D529">
        <f>Sources!E529</f>
        <v/>
      </c>
      <c r="E529">
        <f>Sources!F529</f>
        <v/>
      </c>
      <c r="F529">
        <f>Sources!H529</f>
        <v/>
      </c>
      <c r="G529">
        <f>IF(ABS(F529-ROUND(F529,0))&lt;0.001,1,0)</f>
        <v/>
      </c>
      <c r="H529">
        <f>IF(G529=1,F529,CEILING(F529,1))</f>
        <v/>
      </c>
      <c r="I529">
        <f>IF(G529=1,0,(H529-F529)*E529)</f>
        <v/>
      </c>
      <c r="J529">
        <f>E529*F529</f>
        <v/>
      </c>
    </row>
    <row r="530">
      <c r="A530">
        <f>Sources!A530</f>
        <v/>
      </c>
      <c r="B530">
        <f>Sources!B530</f>
        <v/>
      </c>
      <c r="C530">
        <f>Sources!D530</f>
        <v/>
      </c>
      <c r="D530">
        <f>Sources!E530</f>
        <v/>
      </c>
      <c r="E530">
        <f>Sources!F530</f>
        <v/>
      </c>
      <c r="F530">
        <f>Sources!H530</f>
        <v/>
      </c>
      <c r="G530">
        <f>IF(ABS(F530-ROUND(F530,0))&lt;0.001,1,0)</f>
        <v/>
      </c>
      <c r="H530">
        <f>IF(G530=1,F530,CEILING(F530,1))</f>
        <v/>
      </c>
      <c r="I530">
        <f>IF(G530=1,0,(H530-F530)*E530)</f>
        <v/>
      </c>
      <c r="J530">
        <f>E530*F530</f>
        <v/>
      </c>
    </row>
    <row r="531">
      <c r="A531">
        <f>Sources!A531</f>
        <v/>
      </c>
      <c r="B531">
        <f>Sources!B531</f>
        <v/>
      </c>
      <c r="C531">
        <f>Sources!D531</f>
        <v/>
      </c>
      <c r="D531">
        <f>Sources!E531</f>
        <v/>
      </c>
      <c r="E531">
        <f>Sources!F531</f>
        <v/>
      </c>
      <c r="F531">
        <f>Sources!H531</f>
        <v/>
      </c>
      <c r="G531">
        <f>IF(ABS(F531-ROUND(F531,0))&lt;0.001,1,0)</f>
        <v/>
      </c>
      <c r="H531">
        <f>IF(G531=1,F531,CEILING(F531,1))</f>
        <v/>
      </c>
      <c r="I531">
        <f>IF(G531=1,0,(H531-F531)*E531)</f>
        <v/>
      </c>
      <c r="J531">
        <f>E531*F531</f>
        <v/>
      </c>
    </row>
    <row r="532">
      <c r="A532">
        <f>Sources!A532</f>
        <v/>
      </c>
      <c r="B532">
        <f>Sources!B532</f>
        <v/>
      </c>
      <c r="C532">
        <f>Sources!D532</f>
        <v/>
      </c>
      <c r="D532">
        <f>Sources!E532</f>
        <v/>
      </c>
      <c r="E532">
        <f>Sources!F532</f>
        <v/>
      </c>
      <c r="F532">
        <f>Sources!H532</f>
        <v/>
      </c>
      <c r="G532">
        <f>IF(ABS(F532-ROUND(F532,0))&lt;0.001,1,0)</f>
        <v/>
      </c>
      <c r="H532">
        <f>IF(G532=1,F532,CEILING(F532,1))</f>
        <v/>
      </c>
      <c r="I532">
        <f>IF(G532=1,0,(H532-F532)*E532)</f>
        <v/>
      </c>
      <c r="J532">
        <f>E532*F532</f>
        <v/>
      </c>
    </row>
    <row r="533">
      <c r="A533">
        <f>Sources!A533</f>
        <v/>
      </c>
      <c r="B533">
        <f>Sources!B533</f>
        <v/>
      </c>
      <c r="C533">
        <f>Sources!D533</f>
        <v/>
      </c>
      <c r="D533">
        <f>Sources!E533</f>
        <v/>
      </c>
      <c r="E533">
        <f>Sources!F533</f>
        <v/>
      </c>
      <c r="F533">
        <f>Sources!H533</f>
        <v/>
      </c>
      <c r="G533">
        <f>IF(ABS(F533-ROUND(F533,0))&lt;0.001,1,0)</f>
        <v/>
      </c>
      <c r="H533">
        <f>IF(G533=1,F533,CEILING(F533,1))</f>
        <v/>
      </c>
      <c r="I533">
        <f>IF(G533=1,0,(H533-F533)*E533)</f>
        <v/>
      </c>
      <c r="J533">
        <f>E533*F533</f>
        <v/>
      </c>
    </row>
    <row r="534">
      <c r="A534">
        <f>Sources!A534</f>
        <v/>
      </c>
      <c r="B534">
        <f>Sources!B534</f>
        <v/>
      </c>
      <c r="C534">
        <f>Sources!D534</f>
        <v/>
      </c>
      <c r="D534">
        <f>Sources!E534</f>
        <v/>
      </c>
      <c r="E534">
        <f>Sources!F534</f>
        <v/>
      </c>
      <c r="F534">
        <f>Sources!H534</f>
        <v/>
      </c>
      <c r="G534">
        <f>IF(ABS(F534-ROUND(F534,0))&lt;0.001,1,0)</f>
        <v/>
      </c>
      <c r="H534">
        <f>IF(G534=1,F534,CEILING(F534,1))</f>
        <v/>
      </c>
      <c r="I534">
        <f>IF(G534=1,0,(H534-F534)*E534)</f>
        <v/>
      </c>
      <c r="J534">
        <f>E534*F534</f>
        <v/>
      </c>
    </row>
    <row r="535">
      <c r="A535">
        <f>Sources!A535</f>
        <v/>
      </c>
      <c r="B535">
        <f>Sources!B535</f>
        <v/>
      </c>
      <c r="C535">
        <f>Sources!D535</f>
        <v/>
      </c>
      <c r="D535">
        <f>Sources!E535</f>
        <v/>
      </c>
      <c r="E535">
        <f>Sources!F535</f>
        <v/>
      </c>
      <c r="F535">
        <f>Sources!H535</f>
        <v/>
      </c>
      <c r="G535">
        <f>IF(ABS(F535-ROUND(F535,0))&lt;0.001,1,0)</f>
        <v/>
      </c>
      <c r="H535">
        <f>IF(G535=1,F535,CEILING(F535,1))</f>
        <v/>
      </c>
      <c r="I535">
        <f>IF(G535=1,0,(H535-F535)*E535)</f>
        <v/>
      </c>
      <c r="J535">
        <f>E535*F535</f>
        <v/>
      </c>
    </row>
    <row r="536">
      <c r="A536">
        <f>Sources!A536</f>
        <v/>
      </c>
      <c r="B536">
        <f>Sources!B536</f>
        <v/>
      </c>
      <c r="C536">
        <f>Sources!D536</f>
        <v/>
      </c>
      <c r="D536">
        <f>Sources!E536</f>
        <v/>
      </c>
      <c r="E536">
        <f>Sources!F536</f>
        <v/>
      </c>
      <c r="F536">
        <f>Sources!H536</f>
        <v/>
      </c>
      <c r="G536">
        <f>IF(ABS(F536-ROUND(F536,0))&lt;0.001,1,0)</f>
        <v/>
      </c>
      <c r="H536">
        <f>IF(G536=1,F536,CEILING(F536,1))</f>
        <v/>
      </c>
      <c r="I536">
        <f>IF(G536=1,0,(H536-F536)*E536)</f>
        <v/>
      </c>
      <c r="J536">
        <f>E536*F536</f>
        <v/>
      </c>
    </row>
    <row r="537">
      <c r="A537">
        <f>Sources!A537</f>
        <v/>
      </c>
      <c r="B537">
        <f>Sources!B537</f>
        <v/>
      </c>
      <c r="C537">
        <f>Sources!D537</f>
        <v/>
      </c>
      <c r="D537">
        <f>Sources!E537</f>
        <v/>
      </c>
      <c r="E537">
        <f>Sources!F537</f>
        <v/>
      </c>
      <c r="F537">
        <f>Sources!H537</f>
        <v/>
      </c>
      <c r="G537">
        <f>IF(ABS(F537-ROUND(F537,0))&lt;0.001,1,0)</f>
        <v/>
      </c>
      <c r="H537">
        <f>IF(G537=1,F537,CEILING(F537,1))</f>
        <v/>
      </c>
      <c r="I537">
        <f>IF(G537=1,0,(H537-F537)*E537)</f>
        <v/>
      </c>
      <c r="J537">
        <f>E537*F537</f>
        <v/>
      </c>
    </row>
    <row r="538">
      <c r="A538">
        <f>Sources!A538</f>
        <v/>
      </c>
      <c r="B538">
        <f>Sources!B538</f>
        <v/>
      </c>
      <c r="C538">
        <f>Sources!D538</f>
        <v/>
      </c>
      <c r="D538">
        <f>Sources!E538</f>
        <v/>
      </c>
      <c r="E538">
        <f>Sources!F538</f>
        <v/>
      </c>
      <c r="F538">
        <f>Sources!H538</f>
        <v/>
      </c>
      <c r="G538">
        <f>IF(ABS(F538-ROUND(F538,0))&lt;0.001,1,0)</f>
        <v/>
      </c>
      <c r="H538">
        <f>IF(G538=1,F538,CEILING(F538,1))</f>
        <v/>
      </c>
      <c r="I538">
        <f>IF(G538=1,0,(H538-F538)*E538)</f>
        <v/>
      </c>
      <c r="J538">
        <f>E538*F538</f>
        <v/>
      </c>
    </row>
    <row r="539">
      <c r="A539">
        <f>Sources!A539</f>
        <v/>
      </c>
      <c r="B539">
        <f>Sources!B539</f>
        <v/>
      </c>
      <c r="C539">
        <f>Sources!D539</f>
        <v/>
      </c>
      <c r="D539">
        <f>Sources!E539</f>
        <v/>
      </c>
      <c r="E539">
        <f>Sources!F539</f>
        <v/>
      </c>
      <c r="F539">
        <f>Sources!H539</f>
        <v/>
      </c>
      <c r="G539">
        <f>IF(ABS(F539-ROUND(F539,0))&lt;0.001,1,0)</f>
        <v/>
      </c>
      <c r="H539">
        <f>IF(G539=1,F539,CEILING(F539,1))</f>
        <v/>
      </c>
      <c r="I539">
        <f>IF(G539=1,0,(H539-F539)*E539)</f>
        <v/>
      </c>
      <c r="J539">
        <f>E539*F539</f>
        <v/>
      </c>
    </row>
    <row r="540">
      <c r="A540">
        <f>Sources!A540</f>
        <v/>
      </c>
      <c r="B540">
        <f>Sources!B540</f>
        <v/>
      </c>
      <c r="C540">
        <f>Sources!D540</f>
        <v/>
      </c>
      <c r="D540">
        <f>Sources!E540</f>
        <v/>
      </c>
      <c r="E540">
        <f>Sources!F540</f>
        <v/>
      </c>
      <c r="F540">
        <f>Sources!H540</f>
        <v/>
      </c>
      <c r="G540">
        <f>IF(ABS(F540-ROUND(F540,0))&lt;0.001,1,0)</f>
        <v/>
      </c>
      <c r="H540">
        <f>IF(G540=1,F540,CEILING(F540,1))</f>
        <v/>
      </c>
      <c r="I540">
        <f>IF(G540=1,0,(H540-F540)*E540)</f>
        <v/>
      </c>
      <c r="J540">
        <f>E540*F540</f>
        <v/>
      </c>
    </row>
    <row r="541">
      <c r="A541">
        <f>Sources!A541</f>
        <v/>
      </c>
      <c r="B541">
        <f>Sources!B541</f>
        <v/>
      </c>
      <c r="C541">
        <f>Sources!D541</f>
        <v/>
      </c>
      <c r="D541">
        <f>Sources!E541</f>
        <v/>
      </c>
      <c r="E541">
        <f>Sources!F541</f>
        <v/>
      </c>
      <c r="F541">
        <f>Sources!H541</f>
        <v/>
      </c>
      <c r="G541">
        <f>IF(ABS(F541-ROUND(F541,0))&lt;0.001,1,0)</f>
        <v/>
      </c>
      <c r="H541">
        <f>IF(G541=1,F541,CEILING(F541,1))</f>
        <v/>
      </c>
      <c r="I541">
        <f>IF(G541=1,0,(H541-F541)*E541)</f>
        <v/>
      </c>
      <c r="J541">
        <f>E541*F541</f>
        <v/>
      </c>
    </row>
    <row r="542">
      <c r="A542">
        <f>Sources!A542</f>
        <v/>
      </c>
      <c r="B542">
        <f>Sources!B542</f>
        <v/>
      </c>
      <c r="C542">
        <f>Sources!D542</f>
        <v/>
      </c>
      <c r="D542">
        <f>Sources!E542</f>
        <v/>
      </c>
      <c r="E542">
        <f>Sources!F542</f>
        <v/>
      </c>
      <c r="F542">
        <f>Sources!H542</f>
        <v/>
      </c>
      <c r="G542">
        <f>IF(ABS(F542-ROUND(F542,0))&lt;0.001,1,0)</f>
        <v/>
      </c>
      <c r="H542">
        <f>IF(G542=1,F542,CEILING(F542,1))</f>
        <v/>
      </c>
      <c r="I542">
        <f>IF(G542=1,0,(H542-F542)*E542)</f>
        <v/>
      </c>
      <c r="J542">
        <f>E542*F542</f>
        <v/>
      </c>
    </row>
    <row r="543">
      <c r="A543">
        <f>Sources!A543</f>
        <v/>
      </c>
      <c r="B543">
        <f>Sources!B543</f>
        <v/>
      </c>
      <c r="C543">
        <f>Sources!D543</f>
        <v/>
      </c>
      <c r="D543">
        <f>Sources!E543</f>
        <v/>
      </c>
      <c r="E543">
        <f>Sources!F543</f>
        <v/>
      </c>
      <c r="F543">
        <f>Sources!H543</f>
        <v/>
      </c>
      <c r="G543">
        <f>IF(ABS(F543-ROUND(F543,0))&lt;0.001,1,0)</f>
        <v/>
      </c>
      <c r="H543">
        <f>IF(G543=1,F543,CEILING(F543,1))</f>
        <v/>
      </c>
      <c r="I543">
        <f>IF(G543=1,0,(H543-F543)*E543)</f>
        <v/>
      </c>
      <c r="J543">
        <f>E543*F543</f>
        <v/>
      </c>
    </row>
    <row r="544">
      <c r="A544">
        <f>Sources!A544</f>
        <v/>
      </c>
      <c r="B544">
        <f>Sources!B544</f>
        <v/>
      </c>
      <c r="C544">
        <f>Sources!D544</f>
        <v/>
      </c>
      <c r="D544">
        <f>Sources!E544</f>
        <v/>
      </c>
      <c r="E544">
        <f>Sources!F544</f>
        <v/>
      </c>
      <c r="F544">
        <f>Sources!H544</f>
        <v/>
      </c>
      <c r="G544">
        <f>IF(ABS(F544-ROUND(F544,0))&lt;0.001,1,0)</f>
        <v/>
      </c>
      <c r="H544">
        <f>IF(G544=1,F544,CEILING(F544,1))</f>
        <v/>
      </c>
      <c r="I544">
        <f>IF(G544=1,0,(H544-F544)*E544)</f>
        <v/>
      </c>
      <c r="J544">
        <f>E544*F544</f>
        <v/>
      </c>
    </row>
    <row r="545">
      <c r="A545">
        <f>Sources!A545</f>
        <v/>
      </c>
      <c r="B545">
        <f>Sources!B545</f>
        <v/>
      </c>
      <c r="C545">
        <f>Sources!D545</f>
        <v/>
      </c>
      <c r="D545">
        <f>Sources!E545</f>
        <v/>
      </c>
      <c r="E545">
        <f>Sources!F545</f>
        <v/>
      </c>
      <c r="F545">
        <f>Sources!H545</f>
        <v/>
      </c>
      <c r="G545">
        <f>IF(ABS(F545-ROUND(F545,0))&lt;0.001,1,0)</f>
        <v/>
      </c>
      <c r="H545">
        <f>IF(G545=1,F545,CEILING(F545,1))</f>
        <v/>
      </c>
      <c r="I545">
        <f>IF(G545=1,0,(H545-F545)*E545)</f>
        <v/>
      </c>
      <c r="J545">
        <f>E545*F545</f>
        <v/>
      </c>
    </row>
    <row r="546">
      <c r="A546">
        <f>Sources!A546</f>
        <v/>
      </c>
      <c r="B546">
        <f>Sources!B546</f>
        <v/>
      </c>
      <c r="C546">
        <f>Sources!D546</f>
        <v/>
      </c>
      <c r="D546">
        <f>Sources!E546</f>
        <v/>
      </c>
      <c r="E546">
        <f>Sources!F546</f>
        <v/>
      </c>
      <c r="F546">
        <f>Sources!H546</f>
        <v/>
      </c>
      <c r="G546">
        <f>IF(ABS(F546-ROUND(F546,0))&lt;0.001,1,0)</f>
        <v/>
      </c>
      <c r="H546">
        <f>IF(G546=1,F546,CEILING(F546,1))</f>
        <v/>
      </c>
      <c r="I546">
        <f>IF(G546=1,0,(H546-F546)*E546)</f>
        <v/>
      </c>
      <c r="J546">
        <f>E546*F546</f>
        <v/>
      </c>
    </row>
    <row r="547">
      <c r="A547">
        <f>Sources!A547</f>
        <v/>
      </c>
      <c r="B547">
        <f>Sources!B547</f>
        <v/>
      </c>
      <c r="C547">
        <f>Sources!D547</f>
        <v/>
      </c>
      <c r="D547">
        <f>Sources!E547</f>
        <v/>
      </c>
      <c r="E547">
        <f>Sources!F547</f>
        <v/>
      </c>
      <c r="F547">
        <f>Sources!H547</f>
        <v/>
      </c>
      <c r="G547">
        <f>IF(ABS(F547-ROUND(F547,0))&lt;0.001,1,0)</f>
        <v/>
      </c>
      <c r="H547">
        <f>IF(G547=1,F547,CEILING(F547,1))</f>
        <v/>
      </c>
      <c r="I547">
        <f>IF(G547=1,0,(H547-F547)*E547)</f>
        <v/>
      </c>
      <c r="J547">
        <f>E547*F547</f>
        <v/>
      </c>
    </row>
    <row r="548">
      <c r="A548">
        <f>Sources!A548</f>
        <v/>
      </c>
      <c r="B548">
        <f>Sources!B548</f>
        <v/>
      </c>
      <c r="C548">
        <f>Sources!D548</f>
        <v/>
      </c>
      <c r="D548">
        <f>Sources!E548</f>
        <v/>
      </c>
      <c r="E548">
        <f>Sources!F548</f>
        <v/>
      </c>
      <c r="F548">
        <f>Sources!H548</f>
        <v/>
      </c>
      <c r="G548">
        <f>IF(ABS(F548-ROUND(F548,0))&lt;0.001,1,0)</f>
        <v/>
      </c>
      <c r="H548">
        <f>IF(G548=1,F548,CEILING(F548,1))</f>
        <v/>
      </c>
      <c r="I548">
        <f>IF(G548=1,0,(H548-F548)*E548)</f>
        <v/>
      </c>
      <c r="J548">
        <f>E548*F548</f>
        <v/>
      </c>
    </row>
    <row r="549">
      <c r="A549">
        <f>Sources!A549</f>
        <v/>
      </c>
      <c r="B549">
        <f>Sources!B549</f>
        <v/>
      </c>
      <c r="C549">
        <f>Sources!D549</f>
        <v/>
      </c>
      <c r="D549">
        <f>Sources!E549</f>
        <v/>
      </c>
      <c r="E549">
        <f>Sources!F549</f>
        <v/>
      </c>
      <c r="F549">
        <f>Sources!H549</f>
        <v/>
      </c>
      <c r="G549">
        <f>IF(ABS(F549-ROUND(F549,0))&lt;0.001,1,0)</f>
        <v/>
      </c>
      <c r="H549">
        <f>IF(G549=1,F549,CEILING(F549,1))</f>
        <v/>
      </c>
      <c r="I549">
        <f>IF(G549=1,0,(H549-F549)*E549)</f>
        <v/>
      </c>
      <c r="J549">
        <f>E549*F549</f>
        <v/>
      </c>
    </row>
    <row r="550">
      <c r="A550">
        <f>Sources!A550</f>
        <v/>
      </c>
      <c r="B550">
        <f>Sources!B550</f>
        <v/>
      </c>
      <c r="C550">
        <f>Sources!D550</f>
        <v/>
      </c>
      <c r="D550">
        <f>Sources!E550</f>
        <v/>
      </c>
      <c r="E550">
        <f>Sources!F550</f>
        <v/>
      </c>
      <c r="F550">
        <f>Sources!H550</f>
        <v/>
      </c>
      <c r="G550">
        <f>IF(ABS(F550-ROUND(F550,0))&lt;0.001,1,0)</f>
        <v/>
      </c>
      <c r="H550">
        <f>IF(G550=1,F550,CEILING(F550,1))</f>
        <v/>
      </c>
      <c r="I550">
        <f>IF(G550=1,0,(H550-F550)*E550)</f>
        <v/>
      </c>
      <c r="J550">
        <f>E550*F550</f>
        <v/>
      </c>
    </row>
    <row r="551">
      <c r="A551">
        <f>Sources!A551</f>
        <v/>
      </c>
      <c r="B551">
        <f>Sources!B551</f>
        <v/>
      </c>
      <c r="C551">
        <f>Sources!D551</f>
        <v/>
      </c>
      <c r="D551">
        <f>Sources!E551</f>
        <v/>
      </c>
      <c r="E551">
        <f>Sources!F551</f>
        <v/>
      </c>
      <c r="F551">
        <f>Sources!H551</f>
        <v/>
      </c>
      <c r="G551">
        <f>IF(ABS(F551-ROUND(F551,0))&lt;0.001,1,0)</f>
        <v/>
      </c>
      <c r="H551">
        <f>IF(G551=1,F551,CEILING(F551,1))</f>
        <v/>
      </c>
      <c r="I551">
        <f>IF(G551=1,0,(H551-F551)*E551)</f>
        <v/>
      </c>
      <c r="J551">
        <f>E551*F551</f>
        <v/>
      </c>
    </row>
    <row r="552">
      <c r="A552">
        <f>Sources!A552</f>
        <v/>
      </c>
      <c r="B552">
        <f>Sources!B552</f>
        <v/>
      </c>
      <c r="C552">
        <f>Sources!D552</f>
        <v/>
      </c>
      <c r="D552">
        <f>Sources!E552</f>
        <v/>
      </c>
      <c r="E552">
        <f>Sources!F552</f>
        <v/>
      </c>
      <c r="F552">
        <f>Sources!H552</f>
        <v/>
      </c>
      <c r="G552">
        <f>IF(ABS(F552-ROUND(F552,0))&lt;0.001,1,0)</f>
        <v/>
      </c>
      <c r="H552">
        <f>IF(G552=1,F552,CEILING(F552,1))</f>
        <v/>
      </c>
      <c r="I552">
        <f>IF(G552=1,0,(H552-F552)*E552)</f>
        <v/>
      </c>
      <c r="J552">
        <f>E552*F552</f>
        <v/>
      </c>
    </row>
    <row r="553">
      <c r="A553">
        <f>Sources!A553</f>
        <v/>
      </c>
      <c r="B553">
        <f>Sources!B553</f>
        <v/>
      </c>
      <c r="C553">
        <f>Sources!D553</f>
        <v/>
      </c>
      <c r="D553">
        <f>Sources!E553</f>
        <v/>
      </c>
      <c r="E553">
        <f>Sources!F553</f>
        <v/>
      </c>
      <c r="F553">
        <f>Sources!H553</f>
        <v/>
      </c>
      <c r="G553">
        <f>IF(ABS(F553-ROUND(F553,0))&lt;0.001,1,0)</f>
        <v/>
      </c>
      <c r="H553">
        <f>IF(G553=1,F553,CEILING(F553,1))</f>
        <v/>
      </c>
      <c r="I553">
        <f>IF(G553=1,0,(H553-F553)*E553)</f>
        <v/>
      </c>
      <c r="J553">
        <f>E553*F553</f>
        <v/>
      </c>
    </row>
    <row r="554">
      <c r="A554">
        <f>Sources!A554</f>
        <v/>
      </c>
      <c r="B554">
        <f>Sources!B554</f>
        <v/>
      </c>
      <c r="C554">
        <f>Sources!D554</f>
        <v/>
      </c>
      <c r="D554">
        <f>Sources!E554</f>
        <v/>
      </c>
      <c r="E554">
        <f>Sources!F554</f>
        <v/>
      </c>
      <c r="F554">
        <f>Sources!H554</f>
        <v/>
      </c>
      <c r="G554">
        <f>IF(ABS(F554-ROUND(F554,0))&lt;0.001,1,0)</f>
        <v/>
      </c>
      <c r="H554">
        <f>IF(G554=1,F554,CEILING(F554,1))</f>
        <v/>
      </c>
      <c r="I554">
        <f>IF(G554=1,0,(H554-F554)*E554)</f>
        <v/>
      </c>
      <c r="J554">
        <f>E554*F554</f>
        <v/>
      </c>
    </row>
    <row r="555">
      <c r="A555">
        <f>Sources!A555</f>
        <v/>
      </c>
      <c r="B555">
        <f>Sources!B555</f>
        <v/>
      </c>
      <c r="C555">
        <f>Sources!D555</f>
        <v/>
      </c>
      <c r="D555">
        <f>Sources!E555</f>
        <v/>
      </c>
      <c r="E555">
        <f>Sources!F555</f>
        <v/>
      </c>
      <c r="F555">
        <f>Sources!H555</f>
        <v/>
      </c>
      <c r="G555">
        <f>IF(ABS(F555-ROUND(F555,0))&lt;0.001,1,0)</f>
        <v/>
      </c>
      <c r="H555">
        <f>IF(G555=1,F555,CEILING(F555,1))</f>
        <v/>
      </c>
      <c r="I555">
        <f>IF(G555=1,0,(H555-F555)*E555)</f>
        <v/>
      </c>
      <c r="J555">
        <f>E555*F555</f>
        <v/>
      </c>
    </row>
    <row r="556">
      <c r="A556">
        <f>Sources!A556</f>
        <v/>
      </c>
      <c r="B556">
        <f>Sources!B556</f>
        <v/>
      </c>
      <c r="C556">
        <f>Sources!D556</f>
        <v/>
      </c>
      <c r="D556">
        <f>Sources!E556</f>
        <v/>
      </c>
      <c r="E556">
        <f>Sources!F556</f>
        <v/>
      </c>
      <c r="F556">
        <f>Sources!H556</f>
        <v/>
      </c>
      <c r="G556">
        <f>IF(ABS(F556-ROUND(F556,0))&lt;0.001,1,0)</f>
        <v/>
      </c>
      <c r="H556">
        <f>IF(G556=1,F556,CEILING(F556,1))</f>
        <v/>
      </c>
      <c r="I556">
        <f>IF(G556=1,0,(H556-F556)*E556)</f>
        <v/>
      </c>
      <c r="J556">
        <f>E556*F556</f>
        <v/>
      </c>
    </row>
    <row r="557">
      <c r="A557">
        <f>Sources!A557</f>
        <v/>
      </c>
      <c r="B557">
        <f>Sources!B557</f>
        <v/>
      </c>
      <c r="C557">
        <f>Sources!D557</f>
        <v/>
      </c>
      <c r="D557">
        <f>Sources!E557</f>
        <v/>
      </c>
      <c r="E557">
        <f>Sources!F557</f>
        <v/>
      </c>
      <c r="F557">
        <f>Sources!H557</f>
        <v/>
      </c>
      <c r="G557">
        <f>IF(ABS(F557-ROUND(F557,0))&lt;0.001,1,0)</f>
        <v/>
      </c>
      <c r="H557">
        <f>IF(G557=1,F557,CEILING(F557,1))</f>
        <v/>
      </c>
      <c r="I557">
        <f>IF(G557=1,0,(H557-F557)*E557)</f>
        <v/>
      </c>
      <c r="J557">
        <f>E557*F557</f>
        <v/>
      </c>
    </row>
    <row r="558">
      <c r="A558">
        <f>Sources!A558</f>
        <v/>
      </c>
      <c r="B558">
        <f>Sources!B558</f>
        <v/>
      </c>
      <c r="C558">
        <f>Sources!D558</f>
        <v/>
      </c>
      <c r="D558">
        <f>Sources!E558</f>
        <v/>
      </c>
      <c r="E558">
        <f>Sources!F558</f>
        <v/>
      </c>
      <c r="F558">
        <f>Sources!H558</f>
        <v/>
      </c>
      <c r="G558">
        <f>IF(ABS(F558-ROUND(F558,0))&lt;0.001,1,0)</f>
        <v/>
      </c>
      <c r="H558">
        <f>IF(G558=1,F558,CEILING(F558,1))</f>
        <v/>
      </c>
      <c r="I558">
        <f>IF(G558=1,0,(H558-F558)*E558)</f>
        <v/>
      </c>
      <c r="J558">
        <f>E558*F558</f>
        <v/>
      </c>
    </row>
    <row r="559">
      <c r="A559">
        <f>Sources!A559</f>
        <v/>
      </c>
      <c r="B559">
        <f>Sources!B559</f>
        <v/>
      </c>
      <c r="C559">
        <f>Sources!D559</f>
        <v/>
      </c>
      <c r="D559">
        <f>Sources!E559</f>
        <v/>
      </c>
      <c r="E559">
        <f>Sources!F559</f>
        <v/>
      </c>
      <c r="F559">
        <f>Sources!H559</f>
        <v/>
      </c>
      <c r="G559">
        <f>IF(ABS(F559-ROUND(F559,0))&lt;0.001,1,0)</f>
        <v/>
      </c>
      <c r="H559">
        <f>IF(G559=1,F559,CEILING(F559,1))</f>
        <v/>
      </c>
      <c r="I559">
        <f>IF(G559=1,0,(H559-F559)*E559)</f>
        <v/>
      </c>
      <c r="J559">
        <f>E559*F559</f>
        <v/>
      </c>
    </row>
    <row r="560">
      <c r="A560">
        <f>Sources!A560</f>
        <v/>
      </c>
      <c r="B560">
        <f>Sources!B560</f>
        <v/>
      </c>
      <c r="C560">
        <f>Sources!D560</f>
        <v/>
      </c>
      <c r="D560">
        <f>Sources!E560</f>
        <v/>
      </c>
      <c r="E560">
        <f>Sources!F560</f>
        <v/>
      </c>
      <c r="F560">
        <f>Sources!H560</f>
        <v/>
      </c>
      <c r="G560">
        <f>IF(ABS(F560-ROUND(F560,0))&lt;0.001,1,0)</f>
        <v/>
      </c>
      <c r="H560">
        <f>IF(G560=1,F560,CEILING(F560,1))</f>
        <v/>
      </c>
      <c r="I560">
        <f>IF(G560=1,0,(H560-F560)*E560)</f>
        <v/>
      </c>
      <c r="J560">
        <f>E560*F560</f>
        <v/>
      </c>
    </row>
    <row r="561">
      <c r="A561">
        <f>Sources!A561</f>
        <v/>
      </c>
      <c r="B561">
        <f>Sources!B561</f>
        <v/>
      </c>
      <c r="C561">
        <f>Sources!D561</f>
        <v/>
      </c>
      <c r="D561">
        <f>Sources!E561</f>
        <v/>
      </c>
      <c r="E561">
        <f>Sources!F561</f>
        <v/>
      </c>
      <c r="F561">
        <f>Sources!H561</f>
        <v/>
      </c>
      <c r="G561">
        <f>IF(ABS(F561-ROUND(F561,0))&lt;0.001,1,0)</f>
        <v/>
      </c>
      <c r="H561">
        <f>IF(G561=1,F561,CEILING(F561,1))</f>
        <v/>
      </c>
      <c r="I561">
        <f>IF(G561=1,0,(H561-F561)*E561)</f>
        <v/>
      </c>
      <c r="J561">
        <f>E561*F561</f>
        <v/>
      </c>
    </row>
    <row r="562">
      <c r="A562">
        <f>Sources!A562</f>
        <v/>
      </c>
      <c r="B562">
        <f>Sources!B562</f>
        <v/>
      </c>
      <c r="C562">
        <f>Sources!D562</f>
        <v/>
      </c>
      <c r="D562">
        <f>Sources!E562</f>
        <v/>
      </c>
      <c r="E562">
        <f>Sources!F562</f>
        <v/>
      </c>
      <c r="F562">
        <f>Sources!H562</f>
        <v/>
      </c>
      <c r="G562">
        <f>IF(ABS(F562-ROUND(F562,0))&lt;0.001,1,0)</f>
        <v/>
      </c>
      <c r="H562">
        <f>IF(G562=1,F562,CEILING(F562,1))</f>
        <v/>
      </c>
      <c r="I562">
        <f>IF(G562=1,0,(H562-F562)*E562)</f>
        <v/>
      </c>
      <c r="J562">
        <f>E562*F562</f>
        <v/>
      </c>
    </row>
    <row r="563">
      <c r="A563">
        <f>Sources!A563</f>
        <v/>
      </c>
      <c r="B563">
        <f>Sources!B563</f>
        <v/>
      </c>
      <c r="C563">
        <f>Sources!D563</f>
        <v/>
      </c>
      <c r="D563">
        <f>Sources!E563</f>
        <v/>
      </c>
      <c r="E563">
        <f>Sources!F563</f>
        <v/>
      </c>
      <c r="F563">
        <f>Sources!H563</f>
        <v/>
      </c>
      <c r="G563">
        <f>IF(ABS(F563-ROUND(F563,0))&lt;0.001,1,0)</f>
        <v/>
      </c>
      <c r="H563">
        <f>IF(G563=1,F563,CEILING(F563,1))</f>
        <v/>
      </c>
      <c r="I563">
        <f>IF(G563=1,0,(H563-F563)*E563)</f>
        <v/>
      </c>
      <c r="J563">
        <f>E563*F563</f>
        <v/>
      </c>
    </row>
    <row r="564">
      <c r="A564">
        <f>Sources!A564</f>
        <v/>
      </c>
      <c r="B564">
        <f>Sources!B564</f>
        <v/>
      </c>
      <c r="C564">
        <f>Sources!D564</f>
        <v/>
      </c>
      <c r="D564">
        <f>Sources!E564</f>
        <v/>
      </c>
      <c r="E564">
        <f>Sources!F564</f>
        <v/>
      </c>
      <c r="F564">
        <f>Sources!H564</f>
        <v/>
      </c>
      <c r="G564">
        <f>IF(ABS(F564-ROUND(F564,0))&lt;0.001,1,0)</f>
        <v/>
      </c>
      <c r="H564">
        <f>IF(G564=1,F564,CEILING(F564,1))</f>
        <v/>
      </c>
      <c r="I564">
        <f>IF(G564=1,0,(H564-F564)*E564)</f>
        <v/>
      </c>
      <c r="J564">
        <f>E564*F564</f>
        <v/>
      </c>
    </row>
    <row r="565">
      <c r="A565">
        <f>Sources!A565</f>
        <v/>
      </c>
      <c r="B565">
        <f>Sources!B565</f>
        <v/>
      </c>
      <c r="C565">
        <f>Sources!D565</f>
        <v/>
      </c>
      <c r="D565">
        <f>Sources!E565</f>
        <v/>
      </c>
      <c r="E565">
        <f>Sources!F565</f>
        <v/>
      </c>
      <c r="F565">
        <f>Sources!H565</f>
        <v/>
      </c>
      <c r="G565">
        <f>IF(ABS(F565-ROUND(F565,0))&lt;0.001,1,0)</f>
        <v/>
      </c>
      <c r="H565">
        <f>IF(G565=1,F565,CEILING(F565,1))</f>
        <v/>
      </c>
      <c r="I565">
        <f>IF(G565=1,0,(H565-F565)*E565)</f>
        <v/>
      </c>
      <c r="J565">
        <f>E565*F565</f>
        <v/>
      </c>
    </row>
    <row r="566">
      <c r="A566">
        <f>Sources!A566</f>
        <v/>
      </c>
      <c r="B566">
        <f>Sources!B566</f>
        <v/>
      </c>
      <c r="C566">
        <f>Sources!D566</f>
        <v/>
      </c>
      <c r="D566">
        <f>Sources!E566</f>
        <v/>
      </c>
      <c r="E566">
        <f>Sources!F566</f>
        <v/>
      </c>
      <c r="F566">
        <f>Sources!H566</f>
        <v/>
      </c>
      <c r="G566">
        <f>IF(ABS(F566-ROUND(F566,0))&lt;0.001,1,0)</f>
        <v/>
      </c>
      <c r="H566">
        <f>IF(G566=1,F566,CEILING(F566,1))</f>
        <v/>
      </c>
      <c r="I566">
        <f>IF(G566=1,0,(H566-F566)*E566)</f>
        <v/>
      </c>
      <c r="J566">
        <f>E566*F566</f>
        <v/>
      </c>
    </row>
    <row r="567">
      <c r="A567">
        <f>Sources!A567</f>
        <v/>
      </c>
      <c r="B567">
        <f>Sources!B567</f>
        <v/>
      </c>
      <c r="C567">
        <f>Sources!D567</f>
        <v/>
      </c>
      <c r="D567">
        <f>Sources!E567</f>
        <v/>
      </c>
      <c r="E567">
        <f>Sources!F567</f>
        <v/>
      </c>
      <c r="F567">
        <f>Sources!H567</f>
        <v/>
      </c>
      <c r="G567">
        <f>IF(ABS(F567-ROUND(F567,0))&lt;0.001,1,0)</f>
        <v/>
      </c>
      <c r="H567">
        <f>IF(G567=1,F567,CEILING(F567,1))</f>
        <v/>
      </c>
      <c r="I567">
        <f>IF(G567=1,0,(H567-F567)*E567)</f>
        <v/>
      </c>
      <c r="J567">
        <f>E567*F567</f>
        <v/>
      </c>
    </row>
    <row r="568">
      <c r="A568">
        <f>Sources!A568</f>
        <v/>
      </c>
      <c r="B568">
        <f>Sources!B568</f>
        <v/>
      </c>
      <c r="C568">
        <f>Sources!D568</f>
        <v/>
      </c>
      <c r="D568">
        <f>Sources!E568</f>
        <v/>
      </c>
      <c r="E568">
        <f>Sources!F568</f>
        <v/>
      </c>
      <c r="F568">
        <f>Sources!H568</f>
        <v/>
      </c>
      <c r="G568">
        <f>IF(ABS(F568-ROUND(F568,0))&lt;0.001,1,0)</f>
        <v/>
      </c>
      <c r="H568">
        <f>IF(G568=1,F568,CEILING(F568,1))</f>
        <v/>
      </c>
      <c r="I568">
        <f>IF(G568=1,0,(H568-F568)*E568)</f>
        <v/>
      </c>
      <c r="J568">
        <f>E568*F568</f>
        <v/>
      </c>
    </row>
    <row r="569">
      <c r="A569">
        <f>Sources!A569</f>
        <v/>
      </c>
      <c r="B569">
        <f>Sources!B569</f>
        <v/>
      </c>
      <c r="C569">
        <f>Sources!D569</f>
        <v/>
      </c>
      <c r="D569">
        <f>Sources!E569</f>
        <v/>
      </c>
      <c r="E569">
        <f>Sources!F569</f>
        <v/>
      </c>
      <c r="F569">
        <f>Sources!H569</f>
        <v/>
      </c>
      <c r="G569">
        <f>IF(ABS(F569-ROUND(F569,0))&lt;0.001,1,0)</f>
        <v/>
      </c>
      <c r="H569">
        <f>IF(G569=1,F569,CEILING(F569,1))</f>
        <v/>
      </c>
      <c r="I569">
        <f>IF(G569=1,0,(H569-F569)*E569)</f>
        <v/>
      </c>
      <c r="J569">
        <f>E569*F569</f>
        <v/>
      </c>
    </row>
    <row r="570">
      <c r="A570">
        <f>Sources!A570</f>
        <v/>
      </c>
      <c r="B570">
        <f>Sources!B570</f>
        <v/>
      </c>
      <c r="C570">
        <f>Sources!D570</f>
        <v/>
      </c>
      <c r="D570">
        <f>Sources!E570</f>
        <v/>
      </c>
      <c r="E570">
        <f>Sources!F570</f>
        <v/>
      </c>
      <c r="F570">
        <f>Sources!H570</f>
        <v/>
      </c>
      <c r="G570">
        <f>IF(ABS(F570-ROUND(F570,0))&lt;0.001,1,0)</f>
        <v/>
      </c>
      <c r="H570">
        <f>IF(G570=1,F570,CEILING(F570,1))</f>
        <v/>
      </c>
      <c r="I570">
        <f>IF(G570=1,0,(H570-F570)*E570)</f>
        <v/>
      </c>
      <c r="J570">
        <f>E570*F570</f>
        <v/>
      </c>
    </row>
    <row r="571">
      <c r="A571">
        <f>Sources!A571</f>
        <v/>
      </c>
      <c r="B571">
        <f>Sources!B571</f>
        <v/>
      </c>
      <c r="C571">
        <f>Sources!D571</f>
        <v/>
      </c>
      <c r="D571">
        <f>Sources!E571</f>
        <v/>
      </c>
      <c r="E571">
        <f>Sources!F571</f>
        <v/>
      </c>
      <c r="F571">
        <f>Sources!H571</f>
        <v/>
      </c>
      <c r="G571">
        <f>IF(ABS(F571-ROUND(F571,0))&lt;0.001,1,0)</f>
        <v/>
      </c>
      <c r="H571">
        <f>IF(G571=1,F571,CEILING(F571,1))</f>
        <v/>
      </c>
      <c r="I571">
        <f>IF(G571=1,0,(H571-F571)*E571)</f>
        <v/>
      </c>
      <c r="J571">
        <f>E571*F571</f>
        <v/>
      </c>
    </row>
    <row r="572">
      <c r="A572">
        <f>Sources!A572</f>
        <v/>
      </c>
      <c r="B572">
        <f>Sources!B572</f>
        <v/>
      </c>
      <c r="C572">
        <f>Sources!D572</f>
        <v/>
      </c>
      <c r="D572">
        <f>Sources!E572</f>
        <v/>
      </c>
      <c r="E572">
        <f>Sources!F572</f>
        <v/>
      </c>
      <c r="F572">
        <f>Sources!H572</f>
        <v/>
      </c>
      <c r="G572">
        <f>IF(ABS(F572-ROUND(F572,0))&lt;0.001,1,0)</f>
        <v/>
      </c>
      <c r="H572">
        <f>IF(G572=1,F572,CEILING(F572,1))</f>
        <v/>
      </c>
      <c r="I572">
        <f>IF(G572=1,0,(H572-F572)*E572)</f>
        <v/>
      </c>
      <c r="J572">
        <f>E572*F572</f>
        <v/>
      </c>
    </row>
    <row r="573">
      <c r="A573">
        <f>Sources!A573</f>
        <v/>
      </c>
      <c r="B573">
        <f>Sources!B573</f>
        <v/>
      </c>
      <c r="C573">
        <f>Sources!D573</f>
        <v/>
      </c>
      <c r="D573">
        <f>Sources!E573</f>
        <v/>
      </c>
      <c r="E573">
        <f>Sources!F573</f>
        <v/>
      </c>
      <c r="F573">
        <f>Sources!H573</f>
        <v/>
      </c>
      <c r="G573">
        <f>IF(ABS(F573-ROUND(F573,0))&lt;0.001,1,0)</f>
        <v/>
      </c>
      <c r="H573">
        <f>IF(G573=1,F573,CEILING(F573,1))</f>
        <v/>
      </c>
      <c r="I573">
        <f>IF(G573=1,0,(H573-F573)*E573)</f>
        <v/>
      </c>
      <c r="J573">
        <f>E573*F573</f>
        <v/>
      </c>
    </row>
    <row r="574">
      <c r="A574">
        <f>Sources!A574</f>
        <v/>
      </c>
      <c r="B574">
        <f>Sources!B574</f>
        <v/>
      </c>
      <c r="C574">
        <f>Sources!D574</f>
        <v/>
      </c>
      <c r="D574">
        <f>Sources!E574</f>
        <v/>
      </c>
      <c r="E574">
        <f>Sources!F574</f>
        <v/>
      </c>
      <c r="F574">
        <f>Sources!H574</f>
        <v/>
      </c>
      <c r="G574">
        <f>IF(ABS(F574-ROUND(F574,0))&lt;0.001,1,0)</f>
        <v/>
      </c>
      <c r="H574">
        <f>IF(G574=1,F574,CEILING(F574,1))</f>
        <v/>
      </c>
      <c r="I574">
        <f>IF(G574=1,0,(H574-F574)*E574)</f>
        <v/>
      </c>
      <c r="J574">
        <f>E574*F574</f>
        <v/>
      </c>
    </row>
    <row r="575">
      <c r="A575">
        <f>Sources!A575</f>
        <v/>
      </c>
      <c r="B575">
        <f>Sources!B575</f>
        <v/>
      </c>
      <c r="C575">
        <f>Sources!D575</f>
        <v/>
      </c>
      <c r="D575">
        <f>Sources!E575</f>
        <v/>
      </c>
      <c r="E575">
        <f>Sources!F575</f>
        <v/>
      </c>
      <c r="F575">
        <f>Sources!H575</f>
        <v/>
      </c>
      <c r="G575">
        <f>IF(ABS(F575-ROUND(F575,0))&lt;0.001,1,0)</f>
        <v/>
      </c>
      <c r="H575">
        <f>IF(G575=1,F575,CEILING(F575,1))</f>
        <v/>
      </c>
      <c r="I575">
        <f>IF(G575=1,0,(H575-F575)*E575)</f>
        <v/>
      </c>
      <c r="J575">
        <f>E575*F575</f>
        <v/>
      </c>
    </row>
    <row r="576">
      <c r="A576">
        <f>Sources!A576</f>
        <v/>
      </c>
      <c r="B576">
        <f>Sources!B576</f>
        <v/>
      </c>
      <c r="C576">
        <f>Sources!D576</f>
        <v/>
      </c>
      <c r="D576">
        <f>Sources!E576</f>
        <v/>
      </c>
      <c r="E576">
        <f>Sources!F576</f>
        <v/>
      </c>
      <c r="F576">
        <f>Sources!H576</f>
        <v/>
      </c>
      <c r="G576">
        <f>IF(ABS(F576-ROUND(F576,0))&lt;0.001,1,0)</f>
        <v/>
      </c>
      <c r="H576">
        <f>IF(G576=1,F576,CEILING(F576,1))</f>
        <v/>
      </c>
      <c r="I576">
        <f>IF(G576=1,0,(H576-F576)*E576)</f>
        <v/>
      </c>
      <c r="J576">
        <f>E576*F576</f>
        <v/>
      </c>
    </row>
    <row r="577">
      <c r="A577">
        <f>Sources!A577</f>
        <v/>
      </c>
      <c r="B577">
        <f>Sources!B577</f>
        <v/>
      </c>
      <c r="C577">
        <f>Sources!D577</f>
        <v/>
      </c>
      <c r="D577">
        <f>Sources!E577</f>
        <v/>
      </c>
      <c r="E577">
        <f>Sources!F577</f>
        <v/>
      </c>
      <c r="F577">
        <f>Sources!H577</f>
        <v/>
      </c>
      <c r="G577">
        <f>IF(ABS(F577-ROUND(F577,0))&lt;0.001,1,0)</f>
        <v/>
      </c>
      <c r="H577">
        <f>IF(G577=1,F577,CEILING(F577,1))</f>
        <v/>
      </c>
      <c r="I577">
        <f>IF(G577=1,0,(H577-F577)*E577)</f>
        <v/>
      </c>
      <c r="J577">
        <f>E577*F577</f>
        <v/>
      </c>
    </row>
    <row r="578">
      <c r="A578">
        <f>Sources!A578</f>
        <v/>
      </c>
      <c r="B578">
        <f>Sources!B578</f>
        <v/>
      </c>
      <c r="C578">
        <f>Sources!D578</f>
        <v/>
      </c>
      <c r="D578">
        <f>Sources!E578</f>
        <v/>
      </c>
      <c r="E578">
        <f>Sources!F578</f>
        <v/>
      </c>
      <c r="F578">
        <f>Sources!H578</f>
        <v/>
      </c>
      <c r="G578">
        <f>IF(ABS(F578-ROUND(F578,0))&lt;0.001,1,0)</f>
        <v/>
      </c>
      <c r="H578">
        <f>IF(G578=1,F578,CEILING(F578,1))</f>
        <v/>
      </c>
      <c r="I578">
        <f>IF(G578=1,0,(H578-F578)*E578)</f>
        <v/>
      </c>
      <c r="J578">
        <f>E578*F578</f>
        <v/>
      </c>
    </row>
    <row r="579">
      <c r="A579">
        <f>Sources!A579</f>
        <v/>
      </c>
      <c r="B579">
        <f>Sources!B579</f>
        <v/>
      </c>
      <c r="C579">
        <f>Sources!D579</f>
        <v/>
      </c>
      <c r="D579">
        <f>Sources!E579</f>
        <v/>
      </c>
      <c r="E579">
        <f>Sources!F579</f>
        <v/>
      </c>
      <c r="F579">
        <f>Sources!H579</f>
        <v/>
      </c>
      <c r="G579">
        <f>IF(ABS(F579-ROUND(F579,0))&lt;0.001,1,0)</f>
        <v/>
      </c>
      <c r="H579">
        <f>IF(G579=1,F579,CEILING(F579,1))</f>
        <v/>
      </c>
      <c r="I579">
        <f>IF(G579=1,0,(H579-F579)*E579)</f>
        <v/>
      </c>
      <c r="J579">
        <f>E579*F579</f>
        <v/>
      </c>
    </row>
    <row r="580">
      <c r="A580">
        <f>Sources!A580</f>
        <v/>
      </c>
      <c r="B580">
        <f>Sources!B580</f>
        <v/>
      </c>
      <c r="C580">
        <f>Sources!D580</f>
        <v/>
      </c>
      <c r="D580">
        <f>Sources!E580</f>
        <v/>
      </c>
      <c r="E580">
        <f>Sources!F580</f>
        <v/>
      </c>
      <c r="F580">
        <f>Sources!H580</f>
        <v/>
      </c>
      <c r="G580">
        <f>IF(ABS(F580-ROUND(F580,0))&lt;0.001,1,0)</f>
        <v/>
      </c>
      <c r="H580">
        <f>IF(G580=1,F580,CEILING(F580,1))</f>
        <v/>
      </c>
      <c r="I580">
        <f>IF(G580=1,0,(H580-F580)*E580)</f>
        <v/>
      </c>
      <c r="J580">
        <f>E580*F580</f>
        <v/>
      </c>
    </row>
    <row r="581">
      <c r="A581">
        <f>Sources!A581</f>
        <v/>
      </c>
      <c r="B581">
        <f>Sources!B581</f>
        <v/>
      </c>
      <c r="C581">
        <f>Sources!D581</f>
        <v/>
      </c>
      <c r="D581">
        <f>Sources!E581</f>
        <v/>
      </c>
      <c r="E581">
        <f>Sources!F581</f>
        <v/>
      </c>
      <c r="F581">
        <f>Sources!H581</f>
        <v/>
      </c>
      <c r="G581">
        <f>IF(ABS(F581-ROUND(F581,0))&lt;0.001,1,0)</f>
        <v/>
      </c>
      <c r="H581">
        <f>IF(G581=1,F581,CEILING(F581,1))</f>
        <v/>
      </c>
      <c r="I581">
        <f>IF(G581=1,0,(H581-F581)*E581)</f>
        <v/>
      </c>
      <c r="J581">
        <f>E581*F581</f>
        <v/>
      </c>
    </row>
    <row r="582">
      <c r="A582">
        <f>Sources!A582</f>
        <v/>
      </c>
      <c r="B582">
        <f>Sources!B582</f>
        <v/>
      </c>
      <c r="C582">
        <f>Sources!D582</f>
        <v/>
      </c>
      <c r="D582">
        <f>Sources!E582</f>
        <v/>
      </c>
      <c r="E582">
        <f>Sources!F582</f>
        <v/>
      </c>
      <c r="F582">
        <f>Sources!H582</f>
        <v/>
      </c>
      <c r="G582">
        <f>IF(ABS(F582-ROUND(F582,0))&lt;0.001,1,0)</f>
        <v/>
      </c>
      <c r="H582">
        <f>IF(G582=1,F582,CEILING(F582,1))</f>
        <v/>
      </c>
      <c r="I582">
        <f>IF(G582=1,0,(H582-F582)*E582)</f>
        <v/>
      </c>
      <c r="J582">
        <f>E582*F582</f>
        <v/>
      </c>
    </row>
    <row r="583">
      <c r="A583">
        <f>Sources!A583</f>
        <v/>
      </c>
      <c r="B583">
        <f>Sources!B583</f>
        <v/>
      </c>
      <c r="C583">
        <f>Sources!D583</f>
        <v/>
      </c>
      <c r="D583">
        <f>Sources!E583</f>
        <v/>
      </c>
      <c r="E583">
        <f>Sources!F583</f>
        <v/>
      </c>
      <c r="F583">
        <f>Sources!H583</f>
        <v/>
      </c>
      <c r="G583">
        <f>IF(ABS(F583-ROUND(F583,0))&lt;0.001,1,0)</f>
        <v/>
      </c>
      <c r="H583">
        <f>IF(G583=1,F583,CEILING(F583,1))</f>
        <v/>
      </c>
      <c r="I583">
        <f>IF(G583=1,0,(H583-F583)*E583)</f>
        <v/>
      </c>
      <c r="J583">
        <f>E583*F583</f>
        <v/>
      </c>
    </row>
    <row r="584">
      <c r="A584">
        <f>Sources!A584</f>
        <v/>
      </c>
      <c r="B584">
        <f>Sources!B584</f>
        <v/>
      </c>
      <c r="C584">
        <f>Sources!D584</f>
        <v/>
      </c>
      <c r="D584">
        <f>Sources!E584</f>
        <v/>
      </c>
      <c r="E584">
        <f>Sources!F584</f>
        <v/>
      </c>
      <c r="F584">
        <f>Sources!H584</f>
        <v/>
      </c>
      <c r="G584">
        <f>IF(ABS(F584-ROUND(F584,0))&lt;0.001,1,0)</f>
        <v/>
      </c>
      <c r="H584">
        <f>IF(G584=1,F584,CEILING(F584,1))</f>
        <v/>
      </c>
      <c r="I584">
        <f>IF(G584=1,0,(H584-F584)*E584)</f>
        <v/>
      </c>
      <c r="J584">
        <f>E584*F584</f>
        <v/>
      </c>
    </row>
    <row r="585">
      <c r="A585">
        <f>Sources!A585</f>
        <v/>
      </c>
      <c r="B585">
        <f>Sources!B585</f>
        <v/>
      </c>
      <c r="C585">
        <f>Sources!D585</f>
        <v/>
      </c>
      <c r="D585">
        <f>Sources!E585</f>
        <v/>
      </c>
      <c r="E585">
        <f>Sources!F585</f>
        <v/>
      </c>
      <c r="F585">
        <f>Sources!H585</f>
        <v/>
      </c>
      <c r="G585">
        <f>IF(ABS(F585-ROUND(F585,0))&lt;0.001,1,0)</f>
        <v/>
      </c>
      <c r="H585">
        <f>IF(G585=1,F585,CEILING(F585,1))</f>
        <v/>
      </c>
      <c r="I585">
        <f>IF(G585=1,0,(H585-F585)*E585)</f>
        <v/>
      </c>
      <c r="J585">
        <f>E585*F585</f>
        <v/>
      </c>
    </row>
    <row r="586">
      <c r="A586">
        <f>Sources!A586</f>
        <v/>
      </c>
      <c r="B586">
        <f>Sources!B586</f>
        <v/>
      </c>
      <c r="C586">
        <f>Sources!D586</f>
        <v/>
      </c>
      <c r="D586">
        <f>Sources!E586</f>
        <v/>
      </c>
      <c r="E586">
        <f>Sources!F586</f>
        <v/>
      </c>
      <c r="F586">
        <f>Sources!H586</f>
        <v/>
      </c>
      <c r="G586">
        <f>IF(ABS(F586-ROUND(F586,0))&lt;0.001,1,0)</f>
        <v/>
      </c>
      <c r="H586">
        <f>IF(G586=1,F586,CEILING(F586,1))</f>
        <v/>
      </c>
      <c r="I586">
        <f>IF(G586=1,0,(H586-F586)*E586)</f>
        <v/>
      </c>
      <c r="J586">
        <f>E586*F586</f>
        <v/>
      </c>
    </row>
    <row r="587">
      <c r="A587">
        <f>Sources!A587</f>
        <v/>
      </c>
      <c r="B587">
        <f>Sources!B587</f>
        <v/>
      </c>
      <c r="C587">
        <f>Sources!D587</f>
        <v/>
      </c>
      <c r="D587">
        <f>Sources!E587</f>
        <v/>
      </c>
      <c r="E587">
        <f>Sources!F587</f>
        <v/>
      </c>
      <c r="F587">
        <f>Sources!H587</f>
        <v/>
      </c>
      <c r="G587">
        <f>IF(ABS(F587-ROUND(F587,0))&lt;0.001,1,0)</f>
        <v/>
      </c>
      <c r="H587">
        <f>IF(G587=1,F587,CEILING(F587,1))</f>
        <v/>
      </c>
      <c r="I587">
        <f>IF(G587=1,0,(H587-F587)*E587)</f>
        <v/>
      </c>
      <c r="J587">
        <f>E587*F587</f>
        <v/>
      </c>
    </row>
    <row r="588">
      <c r="A588">
        <f>Sources!A588</f>
        <v/>
      </c>
      <c r="B588">
        <f>Sources!B588</f>
        <v/>
      </c>
      <c r="C588">
        <f>Sources!D588</f>
        <v/>
      </c>
      <c r="D588">
        <f>Sources!E588</f>
        <v/>
      </c>
      <c r="E588">
        <f>Sources!F588</f>
        <v/>
      </c>
      <c r="F588">
        <f>Sources!H588</f>
        <v/>
      </c>
      <c r="G588">
        <f>IF(ABS(F588-ROUND(F588,0))&lt;0.001,1,0)</f>
        <v/>
      </c>
      <c r="H588">
        <f>IF(G588=1,F588,CEILING(F588,1))</f>
        <v/>
      </c>
      <c r="I588">
        <f>IF(G588=1,0,(H588-F588)*E588)</f>
        <v/>
      </c>
      <c r="J588">
        <f>E588*F588</f>
        <v/>
      </c>
    </row>
    <row r="589">
      <c r="A589">
        <f>Sources!A589</f>
        <v/>
      </c>
      <c r="B589">
        <f>Sources!B589</f>
        <v/>
      </c>
      <c r="C589">
        <f>Sources!D589</f>
        <v/>
      </c>
      <c r="D589">
        <f>Sources!E589</f>
        <v/>
      </c>
      <c r="E589">
        <f>Sources!F589</f>
        <v/>
      </c>
      <c r="F589">
        <f>Sources!H589</f>
        <v/>
      </c>
      <c r="G589">
        <f>IF(ABS(F589-ROUND(F589,0))&lt;0.001,1,0)</f>
        <v/>
      </c>
      <c r="H589">
        <f>IF(G589=1,F589,CEILING(F589,1))</f>
        <v/>
      </c>
      <c r="I589">
        <f>IF(G589=1,0,(H589-F589)*E589)</f>
        <v/>
      </c>
      <c r="J589">
        <f>E589*F589</f>
        <v/>
      </c>
    </row>
    <row r="590">
      <c r="A590">
        <f>Sources!A590</f>
        <v/>
      </c>
      <c r="B590">
        <f>Sources!B590</f>
        <v/>
      </c>
      <c r="C590">
        <f>Sources!D590</f>
        <v/>
      </c>
      <c r="D590">
        <f>Sources!E590</f>
        <v/>
      </c>
      <c r="E590">
        <f>Sources!F590</f>
        <v/>
      </c>
      <c r="F590">
        <f>Sources!H590</f>
        <v/>
      </c>
      <c r="G590">
        <f>IF(ABS(F590-ROUND(F590,0))&lt;0.001,1,0)</f>
        <v/>
      </c>
      <c r="H590">
        <f>IF(G590=1,F590,CEILING(F590,1))</f>
        <v/>
      </c>
      <c r="I590">
        <f>IF(G590=1,0,(H590-F590)*E590)</f>
        <v/>
      </c>
      <c r="J590">
        <f>E590*F590</f>
        <v/>
      </c>
    </row>
    <row r="591">
      <c r="A591">
        <f>Sources!A591</f>
        <v/>
      </c>
      <c r="B591">
        <f>Sources!B591</f>
        <v/>
      </c>
      <c r="C591">
        <f>Sources!D591</f>
        <v/>
      </c>
      <c r="D591">
        <f>Sources!E591</f>
        <v/>
      </c>
      <c r="E591">
        <f>Sources!F591</f>
        <v/>
      </c>
      <c r="F591">
        <f>Sources!H591</f>
        <v/>
      </c>
      <c r="G591">
        <f>IF(ABS(F591-ROUND(F591,0))&lt;0.001,1,0)</f>
        <v/>
      </c>
      <c r="H591">
        <f>IF(G591=1,F591,CEILING(F591,1))</f>
        <v/>
      </c>
      <c r="I591">
        <f>IF(G591=1,0,(H591-F591)*E591)</f>
        <v/>
      </c>
      <c r="J591">
        <f>E591*F591</f>
        <v/>
      </c>
    </row>
    <row r="592">
      <c r="A592">
        <f>Sources!A592</f>
        <v/>
      </c>
      <c r="B592">
        <f>Sources!B592</f>
        <v/>
      </c>
      <c r="C592">
        <f>Sources!D592</f>
        <v/>
      </c>
      <c r="D592">
        <f>Sources!E592</f>
        <v/>
      </c>
      <c r="E592">
        <f>Sources!F592</f>
        <v/>
      </c>
      <c r="F592">
        <f>Sources!H592</f>
        <v/>
      </c>
      <c r="G592">
        <f>IF(ABS(F592-ROUND(F592,0))&lt;0.001,1,0)</f>
        <v/>
      </c>
      <c r="H592">
        <f>IF(G592=1,F592,CEILING(F592,1))</f>
        <v/>
      </c>
      <c r="I592">
        <f>IF(G592=1,0,(H592-F592)*E592)</f>
        <v/>
      </c>
      <c r="J592">
        <f>E592*F592</f>
        <v/>
      </c>
    </row>
    <row r="593">
      <c r="A593">
        <f>Sources!A593</f>
        <v/>
      </c>
      <c r="B593">
        <f>Sources!B593</f>
        <v/>
      </c>
      <c r="C593">
        <f>Sources!D593</f>
        <v/>
      </c>
      <c r="D593">
        <f>Sources!E593</f>
        <v/>
      </c>
      <c r="E593">
        <f>Sources!F593</f>
        <v/>
      </c>
      <c r="F593">
        <f>Sources!H593</f>
        <v/>
      </c>
      <c r="G593">
        <f>IF(ABS(F593-ROUND(F593,0))&lt;0.001,1,0)</f>
        <v/>
      </c>
      <c r="H593">
        <f>IF(G593=1,F593,CEILING(F593,1))</f>
        <v/>
      </c>
      <c r="I593">
        <f>IF(G593=1,0,(H593-F593)*E593)</f>
        <v/>
      </c>
      <c r="J593">
        <f>E593*F593</f>
        <v/>
      </c>
    </row>
    <row r="594">
      <c r="A594">
        <f>Sources!A594</f>
        <v/>
      </c>
      <c r="B594">
        <f>Sources!B594</f>
        <v/>
      </c>
      <c r="C594">
        <f>Sources!D594</f>
        <v/>
      </c>
      <c r="D594">
        <f>Sources!E594</f>
        <v/>
      </c>
      <c r="E594">
        <f>Sources!F594</f>
        <v/>
      </c>
      <c r="F594">
        <f>Sources!H594</f>
        <v/>
      </c>
      <c r="G594">
        <f>IF(ABS(F594-ROUND(F594,0))&lt;0.001,1,0)</f>
        <v/>
      </c>
      <c r="H594">
        <f>IF(G594=1,F594,CEILING(F594,1))</f>
        <v/>
      </c>
      <c r="I594">
        <f>IF(G594=1,0,(H594-F594)*E594)</f>
        <v/>
      </c>
      <c r="J594">
        <f>E594*F594</f>
        <v/>
      </c>
    </row>
    <row r="595">
      <c r="A595">
        <f>Sources!A595</f>
        <v/>
      </c>
      <c r="B595">
        <f>Sources!B595</f>
        <v/>
      </c>
      <c r="C595">
        <f>Sources!D595</f>
        <v/>
      </c>
      <c r="D595">
        <f>Sources!E595</f>
        <v/>
      </c>
      <c r="E595">
        <f>Sources!F595</f>
        <v/>
      </c>
      <c r="F595">
        <f>Sources!H595</f>
        <v/>
      </c>
      <c r="G595">
        <f>IF(ABS(F595-ROUND(F595,0))&lt;0.001,1,0)</f>
        <v/>
      </c>
      <c r="H595">
        <f>IF(G595=1,F595,CEILING(F595,1))</f>
        <v/>
      </c>
      <c r="I595">
        <f>IF(G595=1,0,(H595-F595)*E595)</f>
        <v/>
      </c>
      <c r="J595">
        <f>E595*F595</f>
        <v/>
      </c>
    </row>
    <row r="596">
      <c r="A596">
        <f>Sources!A596</f>
        <v/>
      </c>
      <c r="B596">
        <f>Sources!B596</f>
        <v/>
      </c>
      <c r="C596">
        <f>Sources!D596</f>
        <v/>
      </c>
      <c r="D596">
        <f>Sources!E596</f>
        <v/>
      </c>
      <c r="E596">
        <f>Sources!F596</f>
        <v/>
      </c>
      <c r="F596">
        <f>Sources!H596</f>
        <v/>
      </c>
      <c r="G596">
        <f>IF(ABS(F596-ROUND(F596,0))&lt;0.001,1,0)</f>
        <v/>
      </c>
      <c r="H596">
        <f>IF(G596=1,F596,CEILING(F596,1))</f>
        <v/>
      </c>
      <c r="I596">
        <f>IF(G596=1,0,(H596-F596)*E596)</f>
        <v/>
      </c>
      <c r="J596">
        <f>E596*F596</f>
        <v/>
      </c>
    </row>
    <row r="597">
      <c r="A597">
        <f>Sources!A597</f>
        <v/>
      </c>
      <c r="B597">
        <f>Sources!B597</f>
        <v/>
      </c>
      <c r="C597">
        <f>Sources!D597</f>
        <v/>
      </c>
      <c r="D597">
        <f>Sources!E597</f>
        <v/>
      </c>
      <c r="E597">
        <f>Sources!F597</f>
        <v/>
      </c>
      <c r="F597">
        <f>Sources!H597</f>
        <v/>
      </c>
      <c r="G597">
        <f>IF(ABS(F597-ROUND(F597,0))&lt;0.001,1,0)</f>
        <v/>
      </c>
      <c r="H597">
        <f>IF(G597=1,F597,CEILING(F597,1))</f>
        <v/>
      </c>
      <c r="I597">
        <f>IF(G597=1,0,(H597-F597)*E597)</f>
        <v/>
      </c>
      <c r="J597">
        <f>E597*F597</f>
        <v/>
      </c>
    </row>
    <row r="598">
      <c r="A598">
        <f>Sources!A598</f>
        <v/>
      </c>
      <c r="B598">
        <f>Sources!B598</f>
        <v/>
      </c>
      <c r="C598">
        <f>Sources!D598</f>
        <v/>
      </c>
      <c r="D598">
        <f>Sources!E598</f>
        <v/>
      </c>
      <c r="E598">
        <f>Sources!F598</f>
        <v/>
      </c>
      <c r="F598">
        <f>Sources!H598</f>
        <v/>
      </c>
      <c r="G598">
        <f>IF(ABS(F598-ROUND(F598,0))&lt;0.001,1,0)</f>
        <v/>
      </c>
      <c r="H598">
        <f>IF(G598=1,F598,CEILING(F598,1))</f>
        <v/>
      </c>
      <c r="I598">
        <f>IF(G598=1,0,(H598-F598)*E598)</f>
        <v/>
      </c>
      <c r="J598">
        <f>E598*F598</f>
        <v/>
      </c>
    </row>
    <row r="599">
      <c r="A599">
        <f>Sources!A599</f>
        <v/>
      </c>
      <c r="B599">
        <f>Sources!B599</f>
        <v/>
      </c>
      <c r="C599">
        <f>Sources!D599</f>
        <v/>
      </c>
      <c r="D599">
        <f>Sources!E599</f>
        <v/>
      </c>
      <c r="E599">
        <f>Sources!F599</f>
        <v/>
      </c>
      <c r="F599">
        <f>Sources!H599</f>
        <v/>
      </c>
      <c r="G599">
        <f>IF(ABS(F599-ROUND(F599,0))&lt;0.001,1,0)</f>
        <v/>
      </c>
      <c r="H599">
        <f>IF(G599=1,F599,CEILING(F599,1))</f>
        <v/>
      </c>
      <c r="I599">
        <f>IF(G599=1,0,(H599-F599)*E599)</f>
        <v/>
      </c>
      <c r="J599">
        <f>E599*F599</f>
        <v/>
      </c>
    </row>
    <row r="600">
      <c r="A600">
        <f>Sources!A600</f>
        <v/>
      </c>
      <c r="B600">
        <f>Sources!B600</f>
        <v/>
      </c>
      <c r="C600">
        <f>Sources!D600</f>
        <v/>
      </c>
      <c r="D600">
        <f>Sources!E600</f>
        <v/>
      </c>
      <c r="E600">
        <f>Sources!F600</f>
        <v/>
      </c>
      <c r="F600">
        <f>Sources!H600</f>
        <v/>
      </c>
      <c r="G600">
        <f>IF(ABS(F600-ROUND(F600,0))&lt;0.001,1,0)</f>
        <v/>
      </c>
      <c r="H600">
        <f>IF(G600=1,F600,CEILING(F600,1))</f>
        <v/>
      </c>
      <c r="I600">
        <f>IF(G600=1,0,(H600-F600)*E600)</f>
        <v/>
      </c>
      <c r="J600">
        <f>E600*F600</f>
        <v/>
      </c>
    </row>
    <row r="601">
      <c r="A601">
        <f>Sources!A601</f>
        <v/>
      </c>
      <c r="B601">
        <f>Sources!B601</f>
        <v/>
      </c>
      <c r="C601">
        <f>Sources!D601</f>
        <v/>
      </c>
      <c r="D601">
        <f>Sources!E601</f>
        <v/>
      </c>
      <c r="E601">
        <f>Sources!F601</f>
        <v/>
      </c>
      <c r="F601">
        <f>Sources!H601</f>
        <v/>
      </c>
      <c r="G601">
        <f>IF(ABS(F601-ROUND(F601,0))&lt;0.001,1,0)</f>
        <v/>
      </c>
      <c r="H601">
        <f>IF(G601=1,F601,CEILING(F601,1))</f>
        <v/>
      </c>
      <c r="I601">
        <f>IF(G601=1,0,(H601-F601)*E601)</f>
        <v/>
      </c>
      <c r="J601">
        <f>E601*F601</f>
        <v/>
      </c>
    </row>
    <row r="602">
      <c r="A602">
        <f>Sources!A602</f>
        <v/>
      </c>
      <c r="B602">
        <f>Sources!B602</f>
        <v/>
      </c>
      <c r="C602">
        <f>Sources!D602</f>
        <v/>
      </c>
      <c r="D602">
        <f>Sources!E602</f>
        <v/>
      </c>
      <c r="E602">
        <f>Sources!F602</f>
        <v/>
      </c>
      <c r="F602">
        <f>Sources!H602</f>
        <v/>
      </c>
      <c r="G602">
        <f>IF(ABS(F602-ROUND(F602,0))&lt;0.001,1,0)</f>
        <v/>
      </c>
      <c r="H602">
        <f>IF(G602=1,F602,CEILING(F602,1))</f>
        <v/>
      </c>
      <c r="I602">
        <f>IF(G602=1,0,(H602-F602)*E602)</f>
        <v/>
      </c>
      <c r="J602">
        <f>E602*F602</f>
        <v/>
      </c>
    </row>
    <row r="603">
      <c r="A603">
        <f>Sources!A603</f>
        <v/>
      </c>
      <c r="B603">
        <f>Sources!B603</f>
        <v/>
      </c>
      <c r="C603">
        <f>Sources!D603</f>
        <v/>
      </c>
      <c r="D603">
        <f>Sources!E603</f>
        <v/>
      </c>
      <c r="E603">
        <f>Sources!F603</f>
        <v/>
      </c>
      <c r="F603">
        <f>Sources!H603</f>
        <v/>
      </c>
      <c r="G603">
        <f>IF(ABS(F603-ROUND(F603,0))&lt;0.001,1,0)</f>
        <v/>
      </c>
      <c r="H603">
        <f>IF(G603=1,F603,CEILING(F603,1))</f>
        <v/>
      </c>
      <c r="I603">
        <f>IF(G603=1,0,(H603-F603)*E603)</f>
        <v/>
      </c>
      <c r="J603">
        <f>E603*F603</f>
        <v/>
      </c>
    </row>
    <row r="604">
      <c r="A604">
        <f>Sources!A604</f>
        <v/>
      </c>
      <c r="B604">
        <f>Sources!B604</f>
        <v/>
      </c>
      <c r="C604">
        <f>Sources!D604</f>
        <v/>
      </c>
      <c r="D604">
        <f>Sources!E604</f>
        <v/>
      </c>
      <c r="E604">
        <f>Sources!F604</f>
        <v/>
      </c>
      <c r="F604">
        <f>Sources!H604</f>
        <v/>
      </c>
      <c r="G604">
        <f>IF(ABS(F604-ROUND(F604,0))&lt;0.001,1,0)</f>
        <v/>
      </c>
      <c r="H604">
        <f>IF(G604=1,F604,CEILING(F604,1))</f>
        <v/>
      </c>
      <c r="I604">
        <f>IF(G604=1,0,(H604-F604)*E604)</f>
        <v/>
      </c>
      <c r="J604">
        <f>E604*F604</f>
        <v/>
      </c>
    </row>
    <row r="605">
      <c r="A605">
        <f>Sources!A605</f>
        <v/>
      </c>
      <c r="B605">
        <f>Sources!B605</f>
        <v/>
      </c>
      <c r="C605">
        <f>Sources!D605</f>
        <v/>
      </c>
      <c r="D605">
        <f>Sources!E605</f>
        <v/>
      </c>
      <c r="E605">
        <f>Sources!F605</f>
        <v/>
      </c>
      <c r="F605">
        <f>Sources!H605</f>
        <v/>
      </c>
      <c r="G605">
        <f>IF(ABS(F605-ROUND(F605,0))&lt;0.001,1,0)</f>
        <v/>
      </c>
      <c r="H605">
        <f>IF(G605=1,F605,CEILING(F605,1))</f>
        <v/>
      </c>
      <c r="I605">
        <f>IF(G605=1,0,(H605-F605)*E605)</f>
        <v/>
      </c>
      <c r="J605">
        <f>E605*F605</f>
        <v/>
      </c>
    </row>
    <row r="606">
      <c r="A606">
        <f>Sources!A606</f>
        <v/>
      </c>
      <c r="B606">
        <f>Sources!B606</f>
        <v/>
      </c>
      <c r="C606">
        <f>Sources!D606</f>
        <v/>
      </c>
      <c r="D606">
        <f>Sources!E606</f>
        <v/>
      </c>
      <c r="E606">
        <f>Sources!F606</f>
        <v/>
      </c>
      <c r="F606">
        <f>Sources!H606</f>
        <v/>
      </c>
      <c r="G606">
        <f>IF(ABS(F606-ROUND(F606,0))&lt;0.001,1,0)</f>
        <v/>
      </c>
      <c r="H606">
        <f>IF(G606=1,F606,CEILING(F606,1))</f>
        <v/>
      </c>
      <c r="I606">
        <f>IF(G606=1,0,(H606-F606)*E606)</f>
        <v/>
      </c>
      <c r="J606">
        <f>E606*F606</f>
        <v/>
      </c>
    </row>
    <row r="607">
      <c r="A607">
        <f>Sources!A607</f>
        <v/>
      </c>
      <c r="B607">
        <f>Sources!B607</f>
        <v/>
      </c>
      <c r="C607">
        <f>Sources!D607</f>
        <v/>
      </c>
      <c r="D607">
        <f>Sources!E607</f>
        <v/>
      </c>
      <c r="E607">
        <f>Sources!F607</f>
        <v/>
      </c>
      <c r="F607">
        <f>Sources!H607</f>
        <v/>
      </c>
      <c r="G607">
        <f>IF(ABS(F607-ROUND(F607,0))&lt;0.001,1,0)</f>
        <v/>
      </c>
      <c r="H607">
        <f>IF(G607=1,F607,CEILING(F607,1))</f>
        <v/>
      </c>
      <c r="I607">
        <f>IF(G607=1,0,(H607-F607)*E607)</f>
        <v/>
      </c>
      <c r="J607">
        <f>E607*F607</f>
        <v/>
      </c>
    </row>
    <row r="608">
      <c r="A608">
        <f>Sources!A608</f>
        <v/>
      </c>
      <c r="B608">
        <f>Sources!B608</f>
        <v/>
      </c>
      <c r="C608">
        <f>Sources!D608</f>
        <v/>
      </c>
      <c r="D608">
        <f>Sources!E608</f>
        <v/>
      </c>
      <c r="E608">
        <f>Sources!F608</f>
        <v/>
      </c>
      <c r="F608">
        <f>Sources!H608</f>
        <v/>
      </c>
      <c r="G608">
        <f>IF(ABS(F608-ROUND(F608,0))&lt;0.001,1,0)</f>
        <v/>
      </c>
      <c r="H608">
        <f>IF(G608=1,F608,CEILING(F608,1))</f>
        <v/>
      </c>
      <c r="I608">
        <f>IF(G608=1,0,(H608-F608)*E608)</f>
        <v/>
      </c>
      <c r="J608">
        <f>E608*F608</f>
        <v/>
      </c>
    </row>
    <row r="609">
      <c r="A609">
        <f>Sources!A609</f>
        <v/>
      </c>
      <c r="B609">
        <f>Sources!B609</f>
        <v/>
      </c>
      <c r="C609">
        <f>Sources!D609</f>
        <v/>
      </c>
      <c r="D609">
        <f>Sources!E609</f>
        <v/>
      </c>
      <c r="E609">
        <f>Sources!F609</f>
        <v/>
      </c>
      <c r="F609">
        <f>Sources!H609</f>
        <v/>
      </c>
      <c r="G609">
        <f>IF(ABS(F609-ROUND(F609,0))&lt;0.001,1,0)</f>
        <v/>
      </c>
      <c r="H609">
        <f>IF(G609=1,F609,CEILING(F609,1))</f>
        <v/>
      </c>
      <c r="I609">
        <f>IF(G609=1,0,(H609-F609)*E609)</f>
        <v/>
      </c>
      <c r="J609">
        <f>E609*F609</f>
        <v/>
      </c>
    </row>
    <row r="610">
      <c r="A610">
        <f>Sources!A610</f>
        <v/>
      </c>
      <c r="B610">
        <f>Sources!B610</f>
        <v/>
      </c>
      <c r="C610">
        <f>Sources!D610</f>
        <v/>
      </c>
      <c r="D610">
        <f>Sources!E610</f>
        <v/>
      </c>
      <c r="E610">
        <f>Sources!F610</f>
        <v/>
      </c>
      <c r="F610">
        <f>Sources!H610</f>
        <v/>
      </c>
      <c r="G610">
        <f>IF(ABS(F610-ROUND(F610,0))&lt;0.001,1,0)</f>
        <v/>
      </c>
      <c r="H610">
        <f>IF(G610=1,F610,CEILING(F610,1))</f>
        <v/>
      </c>
      <c r="I610">
        <f>IF(G610=1,0,(H610-F610)*E610)</f>
        <v/>
      </c>
      <c r="J610">
        <f>E610*F610</f>
        <v/>
      </c>
    </row>
    <row r="611">
      <c r="A611">
        <f>Sources!A611</f>
        <v/>
      </c>
      <c r="B611">
        <f>Sources!B611</f>
        <v/>
      </c>
      <c r="C611">
        <f>Sources!D611</f>
        <v/>
      </c>
      <c r="D611">
        <f>Sources!E611</f>
        <v/>
      </c>
      <c r="E611">
        <f>Sources!F611</f>
        <v/>
      </c>
      <c r="F611">
        <f>Sources!H611</f>
        <v/>
      </c>
      <c r="G611">
        <f>IF(ABS(F611-ROUND(F611,0))&lt;0.001,1,0)</f>
        <v/>
      </c>
      <c r="H611">
        <f>IF(G611=1,F611,CEILING(F611,1))</f>
        <v/>
      </c>
      <c r="I611">
        <f>IF(G611=1,0,(H611-F611)*E611)</f>
        <v/>
      </c>
      <c r="J611">
        <f>E611*F611</f>
        <v/>
      </c>
    </row>
    <row r="612">
      <c r="A612">
        <f>Sources!A612</f>
        <v/>
      </c>
      <c r="B612">
        <f>Sources!B612</f>
        <v/>
      </c>
      <c r="C612">
        <f>Sources!D612</f>
        <v/>
      </c>
      <c r="D612">
        <f>Sources!E612</f>
        <v/>
      </c>
      <c r="E612">
        <f>Sources!F612</f>
        <v/>
      </c>
      <c r="F612">
        <f>Sources!H612</f>
        <v/>
      </c>
      <c r="G612">
        <f>IF(ABS(F612-ROUND(F612,0))&lt;0.001,1,0)</f>
        <v/>
      </c>
      <c r="H612">
        <f>IF(G612=1,F612,CEILING(F612,1))</f>
        <v/>
      </c>
      <c r="I612">
        <f>IF(G612=1,0,(H612-F612)*E612)</f>
        <v/>
      </c>
      <c r="J612">
        <f>E612*F612</f>
        <v/>
      </c>
    </row>
    <row r="613">
      <c r="A613">
        <f>Sources!A613</f>
        <v/>
      </c>
      <c r="B613">
        <f>Sources!B613</f>
        <v/>
      </c>
      <c r="C613">
        <f>Sources!D613</f>
        <v/>
      </c>
      <c r="D613">
        <f>Sources!E613</f>
        <v/>
      </c>
      <c r="E613">
        <f>Sources!F613</f>
        <v/>
      </c>
      <c r="F613">
        <f>Sources!H613</f>
        <v/>
      </c>
      <c r="G613">
        <f>IF(ABS(F613-ROUND(F613,0))&lt;0.001,1,0)</f>
        <v/>
      </c>
      <c r="H613">
        <f>IF(G613=1,F613,CEILING(F613,1))</f>
        <v/>
      </c>
      <c r="I613">
        <f>IF(G613=1,0,(H613-F613)*E613)</f>
        <v/>
      </c>
      <c r="J613">
        <f>E613*F613</f>
        <v/>
      </c>
    </row>
    <row r="614">
      <c r="A614">
        <f>Sources!A614</f>
        <v/>
      </c>
      <c r="B614">
        <f>Sources!B614</f>
        <v/>
      </c>
      <c r="C614">
        <f>Sources!D614</f>
        <v/>
      </c>
      <c r="D614">
        <f>Sources!E614</f>
        <v/>
      </c>
      <c r="E614">
        <f>Sources!F614</f>
        <v/>
      </c>
      <c r="F614">
        <f>Sources!H614</f>
        <v/>
      </c>
      <c r="G614">
        <f>IF(ABS(F614-ROUND(F614,0))&lt;0.001,1,0)</f>
        <v/>
      </c>
      <c r="H614">
        <f>IF(G614=1,F614,CEILING(F614,1))</f>
        <v/>
      </c>
      <c r="I614">
        <f>IF(G614=1,0,(H614-F614)*E614)</f>
        <v/>
      </c>
      <c r="J614">
        <f>E614*F614</f>
        <v/>
      </c>
    </row>
    <row r="615">
      <c r="A615">
        <f>Sources!A615</f>
        <v/>
      </c>
      <c r="B615">
        <f>Sources!B615</f>
        <v/>
      </c>
      <c r="C615">
        <f>Sources!D615</f>
        <v/>
      </c>
      <c r="D615">
        <f>Sources!E615</f>
        <v/>
      </c>
      <c r="E615">
        <f>Sources!F615</f>
        <v/>
      </c>
      <c r="F615">
        <f>Sources!H615</f>
        <v/>
      </c>
      <c r="G615">
        <f>IF(ABS(F615-ROUND(F615,0))&lt;0.001,1,0)</f>
        <v/>
      </c>
      <c r="H615">
        <f>IF(G615=1,F615,CEILING(F615,1))</f>
        <v/>
      </c>
      <c r="I615">
        <f>IF(G615=1,0,(H615-F615)*E615)</f>
        <v/>
      </c>
      <c r="J615">
        <f>E615*F615</f>
        <v/>
      </c>
    </row>
    <row r="616">
      <c r="A616">
        <f>Sources!A616</f>
        <v/>
      </c>
      <c r="B616">
        <f>Sources!B616</f>
        <v/>
      </c>
      <c r="C616">
        <f>Sources!D616</f>
        <v/>
      </c>
      <c r="D616">
        <f>Sources!E616</f>
        <v/>
      </c>
      <c r="E616">
        <f>Sources!F616</f>
        <v/>
      </c>
      <c r="F616">
        <f>Sources!H616</f>
        <v/>
      </c>
      <c r="G616">
        <f>IF(ABS(F616-ROUND(F616,0))&lt;0.001,1,0)</f>
        <v/>
      </c>
      <c r="H616">
        <f>IF(G616=1,F616,CEILING(F616,1))</f>
        <v/>
      </c>
      <c r="I616">
        <f>IF(G616=1,0,(H616-F616)*E616)</f>
        <v/>
      </c>
      <c r="J616">
        <f>E616*F616</f>
        <v/>
      </c>
    </row>
    <row r="617">
      <c r="A617">
        <f>Sources!A617</f>
        <v/>
      </c>
      <c r="B617">
        <f>Sources!B617</f>
        <v/>
      </c>
      <c r="C617">
        <f>Sources!D617</f>
        <v/>
      </c>
      <c r="D617">
        <f>Sources!E617</f>
        <v/>
      </c>
      <c r="E617">
        <f>Sources!F617</f>
        <v/>
      </c>
      <c r="F617">
        <f>Sources!H617</f>
        <v/>
      </c>
      <c r="G617">
        <f>IF(ABS(F617-ROUND(F617,0))&lt;0.001,1,0)</f>
        <v/>
      </c>
      <c r="H617">
        <f>IF(G617=1,F617,CEILING(F617,1))</f>
        <v/>
      </c>
      <c r="I617">
        <f>IF(G617=1,0,(H617-F617)*E617)</f>
        <v/>
      </c>
      <c r="J617">
        <f>E617*F617</f>
        <v/>
      </c>
    </row>
    <row r="618">
      <c r="A618">
        <f>Sources!A618</f>
        <v/>
      </c>
      <c r="B618">
        <f>Sources!B618</f>
        <v/>
      </c>
      <c r="C618">
        <f>Sources!D618</f>
        <v/>
      </c>
      <c r="D618">
        <f>Sources!E618</f>
        <v/>
      </c>
      <c r="E618">
        <f>Sources!F618</f>
        <v/>
      </c>
      <c r="F618">
        <f>Sources!H618</f>
        <v/>
      </c>
      <c r="G618">
        <f>IF(ABS(F618-ROUND(F618,0))&lt;0.001,1,0)</f>
        <v/>
      </c>
      <c r="H618">
        <f>IF(G618=1,F618,CEILING(F618,1))</f>
        <v/>
      </c>
      <c r="I618">
        <f>IF(G618=1,0,(H618-F618)*E618)</f>
        <v/>
      </c>
      <c r="J618">
        <f>E618*F618</f>
        <v/>
      </c>
    </row>
    <row r="619">
      <c r="A619">
        <f>Sources!A619</f>
        <v/>
      </c>
      <c r="B619">
        <f>Sources!B619</f>
        <v/>
      </c>
      <c r="C619">
        <f>Sources!D619</f>
        <v/>
      </c>
      <c r="D619">
        <f>Sources!E619</f>
        <v/>
      </c>
      <c r="E619">
        <f>Sources!F619</f>
        <v/>
      </c>
      <c r="F619">
        <f>Sources!H619</f>
        <v/>
      </c>
      <c r="G619">
        <f>IF(ABS(F619-ROUND(F619,0))&lt;0.001,1,0)</f>
        <v/>
      </c>
      <c r="H619">
        <f>IF(G619=1,F619,CEILING(F619,1))</f>
        <v/>
      </c>
      <c r="I619">
        <f>IF(G619=1,0,(H619-F619)*E619)</f>
        <v/>
      </c>
      <c r="J619">
        <f>E619*F619</f>
        <v/>
      </c>
    </row>
    <row r="620">
      <c r="A620">
        <f>Sources!A620</f>
        <v/>
      </c>
      <c r="B620">
        <f>Sources!B620</f>
        <v/>
      </c>
      <c r="C620">
        <f>Sources!D620</f>
        <v/>
      </c>
      <c r="D620">
        <f>Sources!E620</f>
        <v/>
      </c>
      <c r="E620">
        <f>Sources!F620</f>
        <v/>
      </c>
      <c r="F620">
        <f>Sources!H620</f>
        <v/>
      </c>
      <c r="G620">
        <f>IF(ABS(F620-ROUND(F620,0))&lt;0.001,1,0)</f>
        <v/>
      </c>
      <c r="H620">
        <f>IF(G620=1,F620,CEILING(F620,1))</f>
        <v/>
      </c>
      <c r="I620">
        <f>IF(G620=1,0,(H620-F620)*E620)</f>
        <v/>
      </c>
      <c r="J620">
        <f>E620*F620</f>
        <v/>
      </c>
    </row>
    <row r="621">
      <c r="A621">
        <f>Sources!A621</f>
        <v/>
      </c>
      <c r="B621">
        <f>Sources!B621</f>
        <v/>
      </c>
      <c r="C621">
        <f>Sources!D621</f>
        <v/>
      </c>
      <c r="D621">
        <f>Sources!E621</f>
        <v/>
      </c>
      <c r="E621">
        <f>Sources!F621</f>
        <v/>
      </c>
      <c r="F621">
        <f>Sources!H621</f>
        <v/>
      </c>
      <c r="G621">
        <f>IF(ABS(F621-ROUND(F621,0))&lt;0.001,1,0)</f>
        <v/>
      </c>
      <c r="H621">
        <f>IF(G621=1,F621,CEILING(F621,1))</f>
        <v/>
      </c>
      <c r="I621">
        <f>IF(G621=1,0,(H621-F621)*E621)</f>
        <v/>
      </c>
      <c r="J621">
        <f>E621*F621</f>
        <v/>
      </c>
    </row>
    <row r="622">
      <c r="A622">
        <f>Sources!A622</f>
        <v/>
      </c>
      <c r="B622">
        <f>Sources!B622</f>
        <v/>
      </c>
      <c r="C622">
        <f>Sources!D622</f>
        <v/>
      </c>
      <c r="D622">
        <f>Sources!E622</f>
        <v/>
      </c>
      <c r="E622">
        <f>Sources!F622</f>
        <v/>
      </c>
      <c r="F622">
        <f>Sources!H622</f>
        <v/>
      </c>
      <c r="G622">
        <f>IF(ABS(F622-ROUND(F622,0))&lt;0.001,1,0)</f>
        <v/>
      </c>
      <c r="H622">
        <f>IF(G622=1,F622,CEILING(F622,1))</f>
        <v/>
      </c>
      <c r="I622">
        <f>IF(G622=1,0,(H622-F622)*E622)</f>
        <v/>
      </c>
      <c r="J622">
        <f>E622*F622</f>
        <v/>
      </c>
    </row>
    <row r="623">
      <c r="A623">
        <f>Sources!A623</f>
        <v/>
      </c>
      <c r="B623">
        <f>Sources!B623</f>
        <v/>
      </c>
      <c r="C623">
        <f>Sources!D623</f>
        <v/>
      </c>
      <c r="D623">
        <f>Sources!E623</f>
        <v/>
      </c>
      <c r="E623">
        <f>Sources!F623</f>
        <v/>
      </c>
      <c r="F623">
        <f>Sources!H623</f>
        <v/>
      </c>
      <c r="G623">
        <f>IF(ABS(F623-ROUND(F623,0))&lt;0.001,1,0)</f>
        <v/>
      </c>
      <c r="H623">
        <f>IF(G623=1,F623,CEILING(F623,1))</f>
        <v/>
      </c>
      <c r="I623">
        <f>IF(G623=1,0,(H623-F623)*E623)</f>
        <v/>
      </c>
      <c r="J623">
        <f>E623*F623</f>
        <v/>
      </c>
    </row>
    <row r="624">
      <c r="A624">
        <f>Sources!A624</f>
        <v/>
      </c>
      <c r="B624">
        <f>Sources!B624</f>
        <v/>
      </c>
      <c r="C624">
        <f>Sources!D624</f>
        <v/>
      </c>
      <c r="D624">
        <f>Sources!E624</f>
        <v/>
      </c>
      <c r="E624">
        <f>Sources!F624</f>
        <v/>
      </c>
      <c r="F624">
        <f>Sources!H624</f>
        <v/>
      </c>
      <c r="G624">
        <f>IF(ABS(F624-ROUND(F624,0))&lt;0.001,1,0)</f>
        <v/>
      </c>
      <c r="H624">
        <f>IF(G624=1,F624,CEILING(F624,1))</f>
        <v/>
      </c>
      <c r="I624">
        <f>IF(G624=1,0,(H624-F624)*E624)</f>
        <v/>
      </c>
      <c r="J624">
        <f>E624*F624</f>
        <v/>
      </c>
    </row>
    <row r="625">
      <c r="A625">
        <f>Sources!A625</f>
        <v/>
      </c>
      <c r="B625">
        <f>Sources!B625</f>
        <v/>
      </c>
      <c r="C625">
        <f>Sources!D625</f>
        <v/>
      </c>
      <c r="D625">
        <f>Sources!E625</f>
        <v/>
      </c>
      <c r="E625">
        <f>Sources!F625</f>
        <v/>
      </c>
      <c r="F625">
        <f>Sources!H625</f>
        <v/>
      </c>
      <c r="G625">
        <f>IF(ABS(F625-ROUND(F625,0))&lt;0.001,1,0)</f>
        <v/>
      </c>
      <c r="H625">
        <f>IF(G625=1,F625,CEILING(F625,1))</f>
        <v/>
      </c>
      <c r="I625">
        <f>IF(G625=1,0,(H625-F625)*E625)</f>
        <v/>
      </c>
      <c r="J625">
        <f>E625*F625</f>
        <v/>
      </c>
    </row>
    <row r="626">
      <c r="A626">
        <f>Sources!A626</f>
        <v/>
      </c>
      <c r="B626">
        <f>Sources!B626</f>
        <v/>
      </c>
      <c r="C626">
        <f>Sources!D626</f>
        <v/>
      </c>
      <c r="D626">
        <f>Sources!E626</f>
        <v/>
      </c>
      <c r="E626">
        <f>Sources!F626</f>
        <v/>
      </c>
      <c r="F626">
        <f>Sources!H626</f>
        <v/>
      </c>
      <c r="G626">
        <f>IF(ABS(F626-ROUND(F626,0))&lt;0.001,1,0)</f>
        <v/>
      </c>
      <c r="H626">
        <f>IF(G626=1,F626,CEILING(F626,1))</f>
        <v/>
      </c>
      <c r="I626">
        <f>IF(G626=1,0,(H626-F626)*E626)</f>
        <v/>
      </c>
      <c r="J626">
        <f>E626*F626</f>
        <v/>
      </c>
    </row>
    <row r="627">
      <c r="A627">
        <f>Sources!A627</f>
        <v/>
      </c>
      <c r="B627">
        <f>Sources!B627</f>
        <v/>
      </c>
      <c r="C627">
        <f>Sources!D627</f>
        <v/>
      </c>
      <c r="D627">
        <f>Sources!E627</f>
        <v/>
      </c>
      <c r="E627">
        <f>Sources!F627</f>
        <v/>
      </c>
      <c r="F627">
        <f>Sources!H627</f>
        <v/>
      </c>
      <c r="G627">
        <f>IF(ABS(F627-ROUND(F627,0))&lt;0.001,1,0)</f>
        <v/>
      </c>
      <c r="H627">
        <f>IF(G627=1,F627,CEILING(F627,1))</f>
        <v/>
      </c>
      <c r="I627">
        <f>IF(G627=1,0,(H627-F627)*E627)</f>
        <v/>
      </c>
      <c r="J627">
        <f>E627*F627</f>
        <v/>
      </c>
    </row>
    <row r="628">
      <c r="A628">
        <f>Sources!A628</f>
        <v/>
      </c>
      <c r="B628">
        <f>Sources!B628</f>
        <v/>
      </c>
      <c r="C628">
        <f>Sources!D628</f>
        <v/>
      </c>
      <c r="D628">
        <f>Sources!E628</f>
        <v/>
      </c>
      <c r="E628">
        <f>Sources!F628</f>
        <v/>
      </c>
      <c r="F628">
        <f>Sources!H628</f>
        <v/>
      </c>
      <c r="G628">
        <f>IF(ABS(F628-ROUND(F628,0))&lt;0.001,1,0)</f>
        <v/>
      </c>
      <c r="H628">
        <f>IF(G628=1,F628,CEILING(F628,1))</f>
        <v/>
      </c>
      <c r="I628">
        <f>IF(G628=1,0,(H628-F628)*E628)</f>
        <v/>
      </c>
      <c r="J628">
        <f>E628*F628</f>
        <v/>
      </c>
    </row>
    <row r="629">
      <c r="A629">
        <f>Sources!A629</f>
        <v/>
      </c>
      <c r="B629">
        <f>Sources!B629</f>
        <v/>
      </c>
      <c r="C629">
        <f>Sources!D629</f>
        <v/>
      </c>
      <c r="D629">
        <f>Sources!E629</f>
        <v/>
      </c>
      <c r="E629">
        <f>Sources!F629</f>
        <v/>
      </c>
      <c r="F629">
        <f>Sources!H629</f>
        <v/>
      </c>
      <c r="G629">
        <f>IF(ABS(F629-ROUND(F629,0))&lt;0.001,1,0)</f>
        <v/>
      </c>
      <c r="H629">
        <f>IF(G629=1,F629,CEILING(F629,1))</f>
        <v/>
      </c>
      <c r="I629">
        <f>IF(G629=1,0,(H629-F629)*E629)</f>
        <v/>
      </c>
      <c r="J629">
        <f>E629*F629</f>
        <v/>
      </c>
    </row>
    <row r="630">
      <c r="A630">
        <f>Sources!A630</f>
        <v/>
      </c>
      <c r="B630">
        <f>Sources!B630</f>
        <v/>
      </c>
      <c r="C630">
        <f>Sources!D630</f>
        <v/>
      </c>
      <c r="D630">
        <f>Sources!E630</f>
        <v/>
      </c>
      <c r="E630">
        <f>Sources!F630</f>
        <v/>
      </c>
      <c r="F630">
        <f>Sources!H630</f>
        <v/>
      </c>
      <c r="G630">
        <f>IF(ABS(F630-ROUND(F630,0))&lt;0.001,1,0)</f>
        <v/>
      </c>
      <c r="H630">
        <f>IF(G630=1,F630,CEILING(F630,1))</f>
        <v/>
      </c>
      <c r="I630">
        <f>IF(G630=1,0,(H630-F630)*E630)</f>
        <v/>
      </c>
      <c r="J630">
        <f>E630*F630</f>
        <v/>
      </c>
    </row>
    <row r="631">
      <c r="A631">
        <f>Sources!A631</f>
        <v/>
      </c>
      <c r="B631">
        <f>Sources!B631</f>
        <v/>
      </c>
      <c r="C631">
        <f>Sources!D631</f>
        <v/>
      </c>
      <c r="D631">
        <f>Sources!E631</f>
        <v/>
      </c>
      <c r="E631">
        <f>Sources!F631</f>
        <v/>
      </c>
      <c r="F631">
        <f>Sources!H631</f>
        <v/>
      </c>
      <c r="G631">
        <f>IF(ABS(F631-ROUND(F631,0))&lt;0.001,1,0)</f>
        <v/>
      </c>
      <c r="H631">
        <f>IF(G631=1,F631,CEILING(F631,1))</f>
        <v/>
      </c>
      <c r="I631">
        <f>IF(G631=1,0,(H631-F631)*E631)</f>
        <v/>
      </c>
      <c r="J631">
        <f>E631*F631</f>
        <v/>
      </c>
    </row>
    <row r="632">
      <c r="A632">
        <f>Sources!A632</f>
        <v/>
      </c>
      <c r="B632">
        <f>Sources!B632</f>
        <v/>
      </c>
      <c r="C632">
        <f>Sources!D632</f>
        <v/>
      </c>
      <c r="D632">
        <f>Sources!E632</f>
        <v/>
      </c>
      <c r="E632">
        <f>Sources!F632</f>
        <v/>
      </c>
      <c r="F632">
        <f>Sources!H632</f>
        <v/>
      </c>
      <c r="G632">
        <f>IF(ABS(F632-ROUND(F632,0))&lt;0.001,1,0)</f>
        <v/>
      </c>
      <c r="H632">
        <f>IF(G632=1,F632,CEILING(F632,1))</f>
        <v/>
      </c>
      <c r="I632">
        <f>IF(G632=1,0,(H632-F632)*E632)</f>
        <v/>
      </c>
      <c r="J632">
        <f>E632*F632</f>
        <v/>
      </c>
    </row>
    <row r="633">
      <c r="A633">
        <f>Sources!A633</f>
        <v/>
      </c>
      <c r="B633">
        <f>Sources!B633</f>
        <v/>
      </c>
      <c r="C633">
        <f>Sources!D633</f>
        <v/>
      </c>
      <c r="D633">
        <f>Sources!E633</f>
        <v/>
      </c>
      <c r="E633">
        <f>Sources!F633</f>
        <v/>
      </c>
      <c r="F633">
        <f>Sources!H633</f>
        <v/>
      </c>
      <c r="G633">
        <f>IF(ABS(F633-ROUND(F633,0))&lt;0.001,1,0)</f>
        <v/>
      </c>
      <c r="H633">
        <f>IF(G633=1,F633,CEILING(F633,1))</f>
        <v/>
      </c>
      <c r="I633">
        <f>IF(G633=1,0,(H633-F633)*E633)</f>
        <v/>
      </c>
      <c r="J633">
        <f>E633*F633</f>
        <v/>
      </c>
    </row>
    <row r="634">
      <c r="A634">
        <f>Sources!A634</f>
        <v/>
      </c>
      <c r="B634">
        <f>Sources!B634</f>
        <v/>
      </c>
      <c r="C634">
        <f>Sources!D634</f>
        <v/>
      </c>
      <c r="D634">
        <f>Sources!E634</f>
        <v/>
      </c>
      <c r="E634">
        <f>Sources!F634</f>
        <v/>
      </c>
      <c r="F634">
        <f>Sources!H634</f>
        <v/>
      </c>
      <c r="G634">
        <f>IF(ABS(F634-ROUND(F634,0))&lt;0.001,1,0)</f>
        <v/>
      </c>
      <c r="H634">
        <f>IF(G634=1,F634,CEILING(F634,1))</f>
        <v/>
      </c>
      <c r="I634">
        <f>IF(G634=1,0,(H634-F634)*E634)</f>
        <v/>
      </c>
      <c r="J634">
        <f>E634*F634</f>
        <v/>
      </c>
    </row>
    <row r="635">
      <c r="A635">
        <f>Sources!A635</f>
        <v/>
      </c>
      <c r="B635">
        <f>Sources!B635</f>
        <v/>
      </c>
      <c r="C635">
        <f>Sources!D635</f>
        <v/>
      </c>
      <c r="D635">
        <f>Sources!E635</f>
        <v/>
      </c>
      <c r="E635">
        <f>Sources!F635</f>
        <v/>
      </c>
      <c r="F635">
        <f>Sources!H635</f>
        <v/>
      </c>
      <c r="G635">
        <f>IF(ABS(F635-ROUND(F635,0))&lt;0.001,1,0)</f>
        <v/>
      </c>
      <c r="H635">
        <f>IF(G635=1,F635,CEILING(F635,1))</f>
        <v/>
      </c>
      <c r="I635">
        <f>IF(G635=1,0,(H635-F635)*E635)</f>
        <v/>
      </c>
      <c r="J635">
        <f>E635*F635</f>
        <v/>
      </c>
    </row>
    <row r="636">
      <c r="A636">
        <f>Sources!A636</f>
        <v/>
      </c>
      <c r="B636">
        <f>Sources!B636</f>
        <v/>
      </c>
      <c r="C636">
        <f>Sources!D636</f>
        <v/>
      </c>
      <c r="D636">
        <f>Sources!E636</f>
        <v/>
      </c>
      <c r="E636">
        <f>Sources!F636</f>
        <v/>
      </c>
      <c r="F636">
        <f>Sources!H636</f>
        <v/>
      </c>
      <c r="G636">
        <f>IF(ABS(F636-ROUND(F636,0))&lt;0.001,1,0)</f>
        <v/>
      </c>
      <c r="H636">
        <f>IF(G636=1,F636,CEILING(F636,1))</f>
        <v/>
      </c>
      <c r="I636">
        <f>IF(G636=1,0,(H636-F636)*E636)</f>
        <v/>
      </c>
      <c r="J636">
        <f>E636*F636</f>
        <v/>
      </c>
    </row>
    <row r="637">
      <c r="A637">
        <f>Sources!A637</f>
        <v/>
      </c>
      <c r="B637">
        <f>Sources!B637</f>
        <v/>
      </c>
      <c r="C637">
        <f>Sources!D637</f>
        <v/>
      </c>
      <c r="D637">
        <f>Sources!E637</f>
        <v/>
      </c>
      <c r="E637">
        <f>Sources!F637</f>
        <v/>
      </c>
      <c r="F637">
        <f>Sources!H637</f>
        <v/>
      </c>
      <c r="G637">
        <f>IF(ABS(F637-ROUND(F637,0))&lt;0.001,1,0)</f>
        <v/>
      </c>
      <c r="H637">
        <f>IF(G637=1,F637,CEILING(F637,1))</f>
        <v/>
      </c>
      <c r="I637">
        <f>IF(G637=1,0,(H637-F637)*E637)</f>
        <v/>
      </c>
      <c r="J637">
        <f>E637*F637</f>
        <v/>
      </c>
    </row>
    <row r="638">
      <c r="A638">
        <f>Sources!A638</f>
        <v/>
      </c>
      <c r="B638">
        <f>Sources!B638</f>
        <v/>
      </c>
      <c r="C638">
        <f>Sources!D638</f>
        <v/>
      </c>
      <c r="D638">
        <f>Sources!E638</f>
        <v/>
      </c>
      <c r="E638">
        <f>Sources!F638</f>
        <v/>
      </c>
      <c r="F638">
        <f>Sources!H638</f>
        <v/>
      </c>
      <c r="G638">
        <f>IF(ABS(F638-ROUND(F638,0))&lt;0.001,1,0)</f>
        <v/>
      </c>
      <c r="H638">
        <f>IF(G638=1,F638,CEILING(F638,1))</f>
        <v/>
      </c>
      <c r="I638">
        <f>IF(G638=1,0,(H638-F638)*E638)</f>
        <v/>
      </c>
      <c r="J638">
        <f>E638*F638</f>
        <v/>
      </c>
    </row>
    <row r="639">
      <c r="A639">
        <f>Sources!A639</f>
        <v/>
      </c>
      <c r="B639">
        <f>Sources!B639</f>
        <v/>
      </c>
      <c r="C639">
        <f>Sources!D639</f>
        <v/>
      </c>
      <c r="D639">
        <f>Sources!E639</f>
        <v/>
      </c>
      <c r="E639">
        <f>Sources!F639</f>
        <v/>
      </c>
      <c r="F639">
        <f>Sources!H639</f>
        <v/>
      </c>
      <c r="G639">
        <f>IF(ABS(F639-ROUND(F639,0))&lt;0.001,1,0)</f>
        <v/>
      </c>
      <c r="H639">
        <f>IF(G639=1,F639,CEILING(F639,1))</f>
        <v/>
      </c>
      <c r="I639">
        <f>IF(G639=1,0,(H639-F639)*E639)</f>
        <v/>
      </c>
      <c r="J639">
        <f>E639*F639</f>
        <v/>
      </c>
    </row>
    <row r="640">
      <c r="A640">
        <f>Sources!A640</f>
        <v/>
      </c>
      <c r="B640">
        <f>Sources!B640</f>
        <v/>
      </c>
      <c r="C640">
        <f>Sources!D640</f>
        <v/>
      </c>
      <c r="D640">
        <f>Sources!E640</f>
        <v/>
      </c>
      <c r="E640">
        <f>Sources!F640</f>
        <v/>
      </c>
      <c r="F640">
        <f>Sources!H640</f>
        <v/>
      </c>
      <c r="G640">
        <f>IF(ABS(F640-ROUND(F640,0))&lt;0.001,1,0)</f>
        <v/>
      </c>
      <c r="H640">
        <f>IF(G640=1,F640,CEILING(F640,1))</f>
        <v/>
      </c>
      <c r="I640">
        <f>IF(G640=1,0,(H640-F640)*E640)</f>
        <v/>
      </c>
      <c r="J640">
        <f>E640*F640</f>
        <v/>
      </c>
    </row>
    <row r="641">
      <c r="A641">
        <f>Sources!A641</f>
        <v/>
      </c>
      <c r="B641">
        <f>Sources!B641</f>
        <v/>
      </c>
      <c r="C641">
        <f>Sources!D641</f>
        <v/>
      </c>
      <c r="D641">
        <f>Sources!E641</f>
        <v/>
      </c>
      <c r="E641">
        <f>Sources!F641</f>
        <v/>
      </c>
      <c r="F641">
        <f>Sources!H641</f>
        <v/>
      </c>
      <c r="G641">
        <f>IF(ABS(F641-ROUND(F641,0))&lt;0.001,1,0)</f>
        <v/>
      </c>
      <c r="H641">
        <f>IF(G641=1,F641,CEILING(F641,1))</f>
        <v/>
      </c>
      <c r="I641">
        <f>IF(G641=1,0,(H641-F641)*E641)</f>
        <v/>
      </c>
      <c r="J641">
        <f>E641*F641</f>
        <v/>
      </c>
    </row>
    <row r="642">
      <c r="A642">
        <f>Sources!A642</f>
        <v/>
      </c>
      <c r="B642">
        <f>Sources!B642</f>
        <v/>
      </c>
      <c r="C642">
        <f>Sources!D642</f>
        <v/>
      </c>
      <c r="D642">
        <f>Sources!E642</f>
        <v/>
      </c>
      <c r="E642">
        <f>Sources!F642</f>
        <v/>
      </c>
      <c r="F642">
        <f>Sources!H642</f>
        <v/>
      </c>
      <c r="G642">
        <f>IF(ABS(F642-ROUND(F642,0))&lt;0.001,1,0)</f>
        <v/>
      </c>
      <c r="H642">
        <f>IF(G642=1,F642,CEILING(F642,1))</f>
        <v/>
      </c>
      <c r="I642">
        <f>IF(G642=1,0,(H642-F642)*E642)</f>
        <v/>
      </c>
      <c r="J642">
        <f>E642*F642</f>
        <v/>
      </c>
    </row>
    <row r="643">
      <c r="A643">
        <f>Sources!A643</f>
        <v/>
      </c>
      <c r="B643">
        <f>Sources!B643</f>
        <v/>
      </c>
      <c r="C643">
        <f>Sources!D643</f>
        <v/>
      </c>
      <c r="D643">
        <f>Sources!E643</f>
        <v/>
      </c>
      <c r="E643">
        <f>Sources!F643</f>
        <v/>
      </c>
      <c r="F643">
        <f>Sources!H643</f>
        <v/>
      </c>
      <c r="G643">
        <f>IF(ABS(F643-ROUND(F643,0))&lt;0.001,1,0)</f>
        <v/>
      </c>
      <c r="H643">
        <f>IF(G643=1,F643,CEILING(F643,1))</f>
        <v/>
      </c>
      <c r="I643">
        <f>IF(G643=1,0,(H643-F643)*E643)</f>
        <v/>
      </c>
      <c r="J643">
        <f>E643*F643</f>
        <v/>
      </c>
    </row>
    <row r="644">
      <c r="A644">
        <f>Sources!A644</f>
        <v/>
      </c>
      <c r="B644">
        <f>Sources!B644</f>
        <v/>
      </c>
      <c r="C644">
        <f>Sources!D644</f>
        <v/>
      </c>
      <c r="D644">
        <f>Sources!E644</f>
        <v/>
      </c>
      <c r="E644">
        <f>Sources!F644</f>
        <v/>
      </c>
      <c r="F644">
        <f>Sources!H644</f>
        <v/>
      </c>
      <c r="G644">
        <f>IF(ABS(F644-ROUND(F644,0))&lt;0.001,1,0)</f>
        <v/>
      </c>
      <c r="H644">
        <f>IF(G644=1,F644,CEILING(F644,1))</f>
        <v/>
      </c>
      <c r="I644">
        <f>IF(G644=1,0,(H644-F644)*E644)</f>
        <v/>
      </c>
      <c r="J644">
        <f>E644*F644</f>
        <v/>
      </c>
    </row>
    <row r="645">
      <c r="A645">
        <f>Sources!A645</f>
        <v/>
      </c>
      <c r="B645">
        <f>Sources!B645</f>
        <v/>
      </c>
      <c r="C645">
        <f>Sources!D645</f>
        <v/>
      </c>
      <c r="D645">
        <f>Sources!E645</f>
        <v/>
      </c>
      <c r="E645">
        <f>Sources!F645</f>
        <v/>
      </c>
      <c r="F645">
        <f>Sources!H645</f>
        <v/>
      </c>
      <c r="G645">
        <f>IF(ABS(F645-ROUND(F645,0))&lt;0.001,1,0)</f>
        <v/>
      </c>
      <c r="H645">
        <f>IF(G645=1,F645,CEILING(F645,1))</f>
        <v/>
      </c>
      <c r="I645">
        <f>IF(G645=1,0,(H645-F645)*E645)</f>
        <v/>
      </c>
      <c r="J645">
        <f>E645*F645</f>
        <v/>
      </c>
    </row>
    <row r="646">
      <c r="A646">
        <f>Sources!A646</f>
        <v/>
      </c>
      <c r="B646">
        <f>Sources!B646</f>
        <v/>
      </c>
      <c r="C646">
        <f>Sources!D646</f>
        <v/>
      </c>
      <c r="D646">
        <f>Sources!E646</f>
        <v/>
      </c>
      <c r="E646">
        <f>Sources!F646</f>
        <v/>
      </c>
      <c r="F646">
        <f>Sources!H646</f>
        <v/>
      </c>
      <c r="G646">
        <f>IF(ABS(F646-ROUND(F646,0))&lt;0.001,1,0)</f>
        <v/>
      </c>
      <c r="H646">
        <f>IF(G646=1,F646,CEILING(F646,1))</f>
        <v/>
      </c>
      <c r="I646">
        <f>IF(G646=1,0,(H646-F646)*E646)</f>
        <v/>
      </c>
      <c r="J646">
        <f>E646*F646</f>
        <v/>
      </c>
    </row>
    <row r="647">
      <c r="A647">
        <f>Sources!A647</f>
        <v/>
      </c>
      <c r="B647">
        <f>Sources!B647</f>
        <v/>
      </c>
      <c r="C647">
        <f>Sources!D647</f>
        <v/>
      </c>
      <c r="D647">
        <f>Sources!E647</f>
        <v/>
      </c>
      <c r="E647">
        <f>Sources!F647</f>
        <v/>
      </c>
      <c r="F647">
        <f>Sources!H647</f>
        <v/>
      </c>
      <c r="G647">
        <f>IF(ABS(F647-ROUND(F647,0))&lt;0.001,1,0)</f>
        <v/>
      </c>
      <c r="H647">
        <f>IF(G647=1,F647,CEILING(F647,1))</f>
        <v/>
      </c>
      <c r="I647">
        <f>IF(G647=1,0,(H647-F647)*E647)</f>
        <v/>
      </c>
      <c r="J647">
        <f>E647*F647</f>
        <v/>
      </c>
    </row>
    <row r="648">
      <c r="A648">
        <f>Sources!A648</f>
        <v/>
      </c>
      <c r="B648">
        <f>Sources!B648</f>
        <v/>
      </c>
      <c r="C648">
        <f>Sources!D648</f>
        <v/>
      </c>
      <c r="D648">
        <f>Sources!E648</f>
        <v/>
      </c>
      <c r="E648">
        <f>Sources!F648</f>
        <v/>
      </c>
      <c r="F648">
        <f>Sources!H648</f>
        <v/>
      </c>
      <c r="G648">
        <f>IF(ABS(F648-ROUND(F648,0))&lt;0.001,1,0)</f>
        <v/>
      </c>
      <c r="H648">
        <f>IF(G648=1,F648,CEILING(F648,1))</f>
        <v/>
      </c>
      <c r="I648">
        <f>IF(G648=1,0,(H648-F648)*E648)</f>
        <v/>
      </c>
      <c r="J648">
        <f>E648*F648</f>
        <v/>
      </c>
    </row>
    <row r="649">
      <c r="A649">
        <f>Sources!A649</f>
        <v/>
      </c>
      <c r="B649">
        <f>Sources!B649</f>
        <v/>
      </c>
      <c r="C649">
        <f>Sources!D649</f>
        <v/>
      </c>
      <c r="D649">
        <f>Sources!E649</f>
        <v/>
      </c>
      <c r="E649">
        <f>Sources!F649</f>
        <v/>
      </c>
      <c r="F649">
        <f>Sources!H649</f>
        <v/>
      </c>
      <c r="G649">
        <f>IF(ABS(F649-ROUND(F649,0))&lt;0.001,1,0)</f>
        <v/>
      </c>
      <c r="H649">
        <f>IF(G649=1,F649,CEILING(F649,1))</f>
        <v/>
      </c>
      <c r="I649">
        <f>IF(G649=1,0,(H649-F649)*E649)</f>
        <v/>
      </c>
      <c r="J649">
        <f>E649*F649</f>
        <v/>
      </c>
    </row>
    <row r="650">
      <c r="A650">
        <f>Sources!A650</f>
        <v/>
      </c>
      <c r="B650">
        <f>Sources!B650</f>
        <v/>
      </c>
      <c r="C650">
        <f>Sources!D650</f>
        <v/>
      </c>
      <c r="D650">
        <f>Sources!E650</f>
        <v/>
      </c>
      <c r="E650">
        <f>Sources!F650</f>
        <v/>
      </c>
      <c r="F650">
        <f>Sources!H650</f>
        <v/>
      </c>
      <c r="G650">
        <f>IF(ABS(F650-ROUND(F650,0))&lt;0.001,1,0)</f>
        <v/>
      </c>
      <c r="H650">
        <f>IF(G650=1,F650,CEILING(F650,1))</f>
        <v/>
      </c>
      <c r="I650">
        <f>IF(G650=1,0,(H650-F650)*E650)</f>
        <v/>
      </c>
      <c r="J650">
        <f>E650*F650</f>
        <v/>
      </c>
    </row>
    <row r="651">
      <c r="A651">
        <f>Sources!A651</f>
        <v/>
      </c>
      <c r="B651">
        <f>Sources!B651</f>
        <v/>
      </c>
      <c r="C651">
        <f>Sources!D651</f>
        <v/>
      </c>
      <c r="D651">
        <f>Sources!E651</f>
        <v/>
      </c>
      <c r="E651">
        <f>Sources!F651</f>
        <v/>
      </c>
      <c r="F651">
        <f>Sources!H651</f>
        <v/>
      </c>
      <c r="G651">
        <f>IF(ABS(F651-ROUND(F651,0))&lt;0.001,1,0)</f>
        <v/>
      </c>
      <c r="H651">
        <f>IF(G651=1,F651,CEILING(F651,1))</f>
        <v/>
      </c>
      <c r="I651">
        <f>IF(G651=1,0,(H651-F651)*E651)</f>
        <v/>
      </c>
      <c r="J651">
        <f>E651*F651</f>
        <v/>
      </c>
    </row>
    <row r="652">
      <c r="A652">
        <f>Sources!A652</f>
        <v/>
      </c>
      <c r="B652">
        <f>Sources!B652</f>
        <v/>
      </c>
      <c r="C652">
        <f>Sources!D652</f>
        <v/>
      </c>
      <c r="D652">
        <f>Sources!E652</f>
        <v/>
      </c>
      <c r="E652">
        <f>Sources!F652</f>
        <v/>
      </c>
      <c r="F652">
        <f>Sources!H652</f>
        <v/>
      </c>
      <c r="G652">
        <f>IF(ABS(F652-ROUND(F652,0))&lt;0.001,1,0)</f>
        <v/>
      </c>
      <c r="H652">
        <f>IF(G652=1,F652,CEILING(F652,1))</f>
        <v/>
      </c>
      <c r="I652">
        <f>IF(G652=1,0,(H652-F652)*E652)</f>
        <v/>
      </c>
      <c r="J652">
        <f>E652*F652</f>
        <v/>
      </c>
    </row>
    <row r="653">
      <c r="A653">
        <f>Sources!A653</f>
        <v/>
      </c>
      <c r="B653">
        <f>Sources!B653</f>
        <v/>
      </c>
      <c r="C653">
        <f>Sources!D653</f>
        <v/>
      </c>
      <c r="D653">
        <f>Sources!E653</f>
        <v/>
      </c>
      <c r="E653">
        <f>Sources!F653</f>
        <v/>
      </c>
      <c r="F653">
        <f>Sources!H653</f>
        <v/>
      </c>
      <c r="G653">
        <f>IF(ABS(F653-ROUND(F653,0))&lt;0.001,1,0)</f>
        <v/>
      </c>
      <c r="H653">
        <f>IF(G653=1,F653,CEILING(F653,1))</f>
        <v/>
      </c>
      <c r="I653">
        <f>IF(G653=1,0,(H653-F653)*E653)</f>
        <v/>
      </c>
      <c r="J653">
        <f>E653*F653</f>
        <v/>
      </c>
    </row>
    <row r="654">
      <c r="A654">
        <f>Sources!A654</f>
        <v/>
      </c>
      <c r="B654">
        <f>Sources!B654</f>
        <v/>
      </c>
      <c r="C654">
        <f>Sources!D654</f>
        <v/>
      </c>
      <c r="D654">
        <f>Sources!E654</f>
        <v/>
      </c>
      <c r="E654">
        <f>Sources!F654</f>
        <v/>
      </c>
      <c r="F654">
        <f>Sources!H654</f>
        <v/>
      </c>
      <c r="G654">
        <f>IF(ABS(F654-ROUND(F654,0))&lt;0.001,1,0)</f>
        <v/>
      </c>
      <c r="H654">
        <f>IF(G654=1,F654,CEILING(F654,1))</f>
        <v/>
      </c>
      <c r="I654">
        <f>IF(G654=1,0,(H654-F654)*E654)</f>
        <v/>
      </c>
      <c r="J654">
        <f>E654*F654</f>
        <v/>
      </c>
    </row>
    <row r="655">
      <c r="A655">
        <f>Sources!A655</f>
        <v/>
      </c>
      <c r="B655">
        <f>Sources!B655</f>
        <v/>
      </c>
      <c r="C655">
        <f>Sources!D655</f>
        <v/>
      </c>
      <c r="D655">
        <f>Sources!E655</f>
        <v/>
      </c>
      <c r="E655">
        <f>Sources!F655</f>
        <v/>
      </c>
      <c r="F655">
        <f>Sources!H655</f>
        <v/>
      </c>
      <c r="G655">
        <f>IF(ABS(F655-ROUND(F655,0))&lt;0.001,1,0)</f>
        <v/>
      </c>
      <c r="H655">
        <f>IF(G655=1,F655,CEILING(F655,1))</f>
        <v/>
      </c>
      <c r="I655">
        <f>IF(G655=1,0,(H655-F655)*E655)</f>
        <v/>
      </c>
      <c r="J655">
        <f>E655*F655</f>
        <v/>
      </c>
    </row>
    <row r="656">
      <c r="A656">
        <f>Sources!A656</f>
        <v/>
      </c>
      <c r="B656">
        <f>Sources!B656</f>
        <v/>
      </c>
      <c r="C656">
        <f>Sources!D656</f>
        <v/>
      </c>
      <c r="D656">
        <f>Sources!E656</f>
        <v/>
      </c>
      <c r="E656">
        <f>Sources!F656</f>
        <v/>
      </c>
      <c r="F656">
        <f>Sources!H656</f>
        <v/>
      </c>
      <c r="G656">
        <f>IF(ABS(F656-ROUND(F656,0))&lt;0.001,1,0)</f>
        <v/>
      </c>
      <c r="H656">
        <f>IF(G656=1,F656,CEILING(F656,1))</f>
        <v/>
      </c>
      <c r="I656">
        <f>IF(G656=1,0,(H656-F656)*E656)</f>
        <v/>
      </c>
      <c r="J656">
        <f>E656*F656</f>
        <v/>
      </c>
    </row>
    <row r="657">
      <c r="A657">
        <f>Sources!A657</f>
        <v/>
      </c>
      <c r="B657">
        <f>Sources!B657</f>
        <v/>
      </c>
      <c r="C657">
        <f>Sources!D657</f>
        <v/>
      </c>
      <c r="D657">
        <f>Sources!E657</f>
        <v/>
      </c>
      <c r="E657">
        <f>Sources!F657</f>
        <v/>
      </c>
      <c r="F657">
        <f>Sources!H657</f>
        <v/>
      </c>
      <c r="G657">
        <f>IF(ABS(F657-ROUND(F657,0))&lt;0.001,1,0)</f>
        <v/>
      </c>
      <c r="H657">
        <f>IF(G657=1,F657,CEILING(F657,1))</f>
        <v/>
      </c>
      <c r="I657">
        <f>IF(G657=1,0,(H657-F657)*E657)</f>
        <v/>
      </c>
      <c r="J657">
        <f>E657*F657</f>
        <v/>
      </c>
    </row>
    <row r="658">
      <c r="A658">
        <f>Sources!A658</f>
        <v/>
      </c>
      <c r="B658">
        <f>Sources!B658</f>
        <v/>
      </c>
      <c r="C658">
        <f>Sources!D658</f>
        <v/>
      </c>
      <c r="D658">
        <f>Sources!E658</f>
        <v/>
      </c>
      <c r="E658">
        <f>Sources!F658</f>
        <v/>
      </c>
      <c r="F658">
        <f>Sources!H658</f>
        <v/>
      </c>
      <c r="G658">
        <f>IF(ABS(F658-ROUND(F658,0))&lt;0.001,1,0)</f>
        <v/>
      </c>
      <c r="H658">
        <f>IF(G658=1,F658,CEILING(F658,1))</f>
        <v/>
      </c>
      <c r="I658">
        <f>IF(G658=1,0,(H658-F658)*E658)</f>
        <v/>
      </c>
      <c r="J658">
        <f>E658*F658</f>
        <v/>
      </c>
    </row>
    <row r="659">
      <c r="A659">
        <f>Sources!A659</f>
        <v/>
      </c>
      <c r="B659">
        <f>Sources!B659</f>
        <v/>
      </c>
      <c r="C659">
        <f>Sources!D659</f>
        <v/>
      </c>
      <c r="D659">
        <f>Sources!E659</f>
        <v/>
      </c>
      <c r="E659">
        <f>Sources!F659</f>
        <v/>
      </c>
      <c r="F659">
        <f>Sources!H659</f>
        <v/>
      </c>
      <c r="G659">
        <f>IF(ABS(F659-ROUND(F659,0))&lt;0.001,1,0)</f>
        <v/>
      </c>
      <c r="H659">
        <f>IF(G659=1,F659,CEILING(F659,1))</f>
        <v/>
      </c>
      <c r="I659">
        <f>IF(G659=1,0,(H659-F659)*E659)</f>
        <v/>
      </c>
      <c r="J659">
        <f>E659*F659</f>
        <v/>
      </c>
    </row>
    <row r="660">
      <c r="A660">
        <f>Sources!A660</f>
        <v/>
      </c>
      <c r="B660">
        <f>Sources!B660</f>
        <v/>
      </c>
      <c r="C660">
        <f>Sources!D660</f>
        <v/>
      </c>
      <c r="D660">
        <f>Sources!E660</f>
        <v/>
      </c>
      <c r="E660">
        <f>Sources!F660</f>
        <v/>
      </c>
      <c r="F660">
        <f>Sources!H660</f>
        <v/>
      </c>
      <c r="G660">
        <f>IF(ABS(F660-ROUND(F660,0))&lt;0.001,1,0)</f>
        <v/>
      </c>
      <c r="H660">
        <f>IF(G660=1,F660,CEILING(F660,1))</f>
        <v/>
      </c>
      <c r="I660">
        <f>IF(G660=1,0,(H660-F660)*E660)</f>
        <v/>
      </c>
      <c r="J660">
        <f>E660*F660</f>
        <v/>
      </c>
    </row>
    <row r="661">
      <c r="A661">
        <f>Sources!A661</f>
        <v/>
      </c>
      <c r="B661">
        <f>Sources!B661</f>
        <v/>
      </c>
      <c r="C661">
        <f>Sources!D661</f>
        <v/>
      </c>
      <c r="D661">
        <f>Sources!E661</f>
        <v/>
      </c>
      <c r="E661">
        <f>Sources!F661</f>
        <v/>
      </c>
      <c r="F661">
        <f>Sources!H661</f>
        <v/>
      </c>
      <c r="G661">
        <f>IF(ABS(F661-ROUND(F661,0))&lt;0.001,1,0)</f>
        <v/>
      </c>
      <c r="H661">
        <f>IF(G661=1,F661,CEILING(F661,1))</f>
        <v/>
      </c>
      <c r="I661">
        <f>IF(G661=1,0,(H661-F661)*E661)</f>
        <v/>
      </c>
      <c r="J661">
        <f>E661*F661</f>
        <v/>
      </c>
    </row>
    <row r="662">
      <c r="A662">
        <f>Sources!A662</f>
        <v/>
      </c>
      <c r="B662">
        <f>Sources!B662</f>
        <v/>
      </c>
      <c r="C662">
        <f>Sources!D662</f>
        <v/>
      </c>
      <c r="D662">
        <f>Sources!E662</f>
        <v/>
      </c>
      <c r="E662">
        <f>Sources!F662</f>
        <v/>
      </c>
      <c r="F662">
        <f>Sources!H662</f>
        <v/>
      </c>
      <c r="G662">
        <f>IF(ABS(F662-ROUND(F662,0))&lt;0.001,1,0)</f>
        <v/>
      </c>
      <c r="H662">
        <f>IF(G662=1,F662,CEILING(F662,1))</f>
        <v/>
      </c>
      <c r="I662">
        <f>IF(G662=1,0,(H662-F662)*E662)</f>
        <v/>
      </c>
      <c r="J662">
        <f>E662*F662</f>
        <v/>
      </c>
    </row>
    <row r="663">
      <c r="A663">
        <f>Sources!A663</f>
        <v/>
      </c>
      <c r="B663">
        <f>Sources!B663</f>
        <v/>
      </c>
      <c r="C663">
        <f>Sources!D663</f>
        <v/>
      </c>
      <c r="D663">
        <f>Sources!E663</f>
        <v/>
      </c>
      <c r="E663">
        <f>Sources!F663</f>
        <v/>
      </c>
      <c r="F663">
        <f>Sources!H663</f>
        <v/>
      </c>
      <c r="G663">
        <f>IF(ABS(F663-ROUND(F663,0))&lt;0.001,1,0)</f>
        <v/>
      </c>
      <c r="H663">
        <f>IF(G663=1,F663,CEILING(F663,1))</f>
        <v/>
      </c>
      <c r="I663">
        <f>IF(G663=1,0,(H663-F663)*E663)</f>
        <v/>
      </c>
      <c r="J663">
        <f>E663*F663</f>
        <v/>
      </c>
    </row>
    <row r="664">
      <c r="A664">
        <f>Sources!A664</f>
        <v/>
      </c>
      <c r="B664">
        <f>Sources!B664</f>
        <v/>
      </c>
      <c r="C664">
        <f>Sources!D664</f>
        <v/>
      </c>
      <c r="D664">
        <f>Sources!E664</f>
        <v/>
      </c>
      <c r="E664">
        <f>Sources!F664</f>
        <v/>
      </c>
      <c r="F664">
        <f>Sources!H664</f>
        <v/>
      </c>
      <c r="G664">
        <f>IF(ABS(F664-ROUND(F664,0))&lt;0.001,1,0)</f>
        <v/>
      </c>
      <c r="H664">
        <f>IF(G664=1,F664,CEILING(F664,1))</f>
        <v/>
      </c>
      <c r="I664">
        <f>IF(G664=1,0,(H664-F664)*E664)</f>
        <v/>
      </c>
      <c r="J664">
        <f>E664*F664</f>
        <v/>
      </c>
    </row>
    <row r="665">
      <c r="A665">
        <f>Sources!A665</f>
        <v/>
      </c>
      <c r="B665">
        <f>Sources!B665</f>
        <v/>
      </c>
      <c r="C665">
        <f>Sources!D665</f>
        <v/>
      </c>
      <c r="D665">
        <f>Sources!E665</f>
        <v/>
      </c>
      <c r="E665">
        <f>Sources!F665</f>
        <v/>
      </c>
      <c r="F665">
        <f>Sources!H665</f>
        <v/>
      </c>
      <c r="G665">
        <f>IF(ABS(F665-ROUND(F665,0))&lt;0.001,1,0)</f>
        <v/>
      </c>
      <c r="H665">
        <f>IF(G665=1,F665,CEILING(F665,1))</f>
        <v/>
      </c>
      <c r="I665">
        <f>IF(G665=1,0,(H665-F665)*E665)</f>
        <v/>
      </c>
      <c r="J665">
        <f>E665*F665</f>
        <v/>
      </c>
    </row>
    <row r="666">
      <c r="A666">
        <f>Sources!A666</f>
        <v/>
      </c>
      <c r="B666">
        <f>Sources!B666</f>
        <v/>
      </c>
      <c r="C666">
        <f>Sources!D666</f>
        <v/>
      </c>
      <c r="D666">
        <f>Sources!E666</f>
        <v/>
      </c>
      <c r="E666">
        <f>Sources!F666</f>
        <v/>
      </c>
      <c r="F666">
        <f>Sources!H666</f>
        <v/>
      </c>
      <c r="G666">
        <f>IF(ABS(F666-ROUND(F666,0))&lt;0.001,1,0)</f>
        <v/>
      </c>
      <c r="H666">
        <f>IF(G666=1,F666,CEILING(F666,1))</f>
        <v/>
      </c>
      <c r="I666">
        <f>IF(G666=1,0,(H666-F666)*E666)</f>
        <v/>
      </c>
      <c r="J666">
        <f>E666*F666</f>
        <v/>
      </c>
    </row>
    <row r="667">
      <c r="A667">
        <f>Sources!A667</f>
        <v/>
      </c>
      <c r="B667">
        <f>Sources!B667</f>
        <v/>
      </c>
      <c r="C667">
        <f>Sources!D667</f>
        <v/>
      </c>
      <c r="D667">
        <f>Sources!E667</f>
        <v/>
      </c>
      <c r="E667">
        <f>Sources!F667</f>
        <v/>
      </c>
      <c r="F667">
        <f>Sources!H667</f>
        <v/>
      </c>
      <c r="G667">
        <f>IF(ABS(F667-ROUND(F667,0))&lt;0.001,1,0)</f>
        <v/>
      </c>
      <c r="H667">
        <f>IF(G667=1,F667,CEILING(F667,1))</f>
        <v/>
      </c>
      <c r="I667">
        <f>IF(G667=1,0,(H667-F667)*E667)</f>
        <v/>
      </c>
      <c r="J667">
        <f>E667*F667</f>
        <v/>
      </c>
    </row>
    <row r="668">
      <c r="A668">
        <f>Sources!A668</f>
        <v/>
      </c>
      <c r="B668">
        <f>Sources!B668</f>
        <v/>
      </c>
      <c r="C668">
        <f>Sources!D668</f>
        <v/>
      </c>
      <c r="D668">
        <f>Sources!E668</f>
        <v/>
      </c>
      <c r="E668">
        <f>Sources!F668</f>
        <v/>
      </c>
      <c r="F668">
        <f>Sources!H668</f>
        <v/>
      </c>
      <c r="G668">
        <f>IF(ABS(F668-ROUND(F668,0))&lt;0.001,1,0)</f>
        <v/>
      </c>
      <c r="H668">
        <f>IF(G668=1,F668,CEILING(F668,1))</f>
        <v/>
      </c>
      <c r="I668">
        <f>IF(G668=1,0,(H668-F668)*E668)</f>
        <v/>
      </c>
      <c r="J668">
        <f>E668*F668</f>
        <v/>
      </c>
    </row>
    <row r="669">
      <c r="A669">
        <f>Sources!A669</f>
        <v/>
      </c>
      <c r="B669">
        <f>Sources!B669</f>
        <v/>
      </c>
      <c r="C669">
        <f>Sources!D669</f>
        <v/>
      </c>
      <c r="D669">
        <f>Sources!E669</f>
        <v/>
      </c>
      <c r="E669">
        <f>Sources!F669</f>
        <v/>
      </c>
      <c r="F669">
        <f>Sources!H669</f>
        <v/>
      </c>
      <c r="G669">
        <f>IF(ABS(F669-ROUND(F669,0))&lt;0.001,1,0)</f>
        <v/>
      </c>
      <c r="H669">
        <f>IF(G669=1,F669,CEILING(F669,1))</f>
        <v/>
      </c>
      <c r="I669">
        <f>IF(G669=1,0,(H669-F669)*E669)</f>
        <v/>
      </c>
      <c r="J669">
        <f>E669*F669</f>
        <v/>
      </c>
    </row>
    <row r="670">
      <c r="A670">
        <f>Sources!A670</f>
        <v/>
      </c>
      <c r="B670">
        <f>Sources!B670</f>
        <v/>
      </c>
      <c r="C670">
        <f>Sources!D670</f>
        <v/>
      </c>
      <c r="D670">
        <f>Sources!E670</f>
        <v/>
      </c>
      <c r="E670">
        <f>Sources!F670</f>
        <v/>
      </c>
      <c r="F670">
        <f>Sources!H670</f>
        <v/>
      </c>
      <c r="G670">
        <f>IF(ABS(F670-ROUND(F670,0))&lt;0.001,1,0)</f>
        <v/>
      </c>
      <c r="H670">
        <f>IF(G670=1,F670,CEILING(F670,1))</f>
        <v/>
      </c>
      <c r="I670">
        <f>IF(G670=1,0,(H670-F670)*E670)</f>
        <v/>
      </c>
      <c r="J670">
        <f>E670*F670</f>
        <v/>
      </c>
    </row>
    <row r="671">
      <c r="A671">
        <f>Sources!A671</f>
        <v/>
      </c>
      <c r="B671">
        <f>Sources!B671</f>
        <v/>
      </c>
      <c r="C671">
        <f>Sources!D671</f>
        <v/>
      </c>
      <c r="D671">
        <f>Sources!E671</f>
        <v/>
      </c>
      <c r="E671">
        <f>Sources!F671</f>
        <v/>
      </c>
      <c r="F671">
        <f>Sources!H671</f>
        <v/>
      </c>
      <c r="G671">
        <f>IF(ABS(F671-ROUND(F671,0))&lt;0.001,1,0)</f>
        <v/>
      </c>
      <c r="H671">
        <f>IF(G671=1,F671,CEILING(F671,1))</f>
        <v/>
      </c>
      <c r="I671">
        <f>IF(G671=1,0,(H671-F671)*E671)</f>
        <v/>
      </c>
      <c r="J671">
        <f>E671*F671</f>
        <v/>
      </c>
    </row>
    <row r="672">
      <c r="A672">
        <f>Sources!A672</f>
        <v/>
      </c>
      <c r="B672">
        <f>Sources!B672</f>
        <v/>
      </c>
      <c r="C672">
        <f>Sources!D672</f>
        <v/>
      </c>
      <c r="D672">
        <f>Sources!E672</f>
        <v/>
      </c>
      <c r="E672">
        <f>Sources!F672</f>
        <v/>
      </c>
      <c r="F672">
        <f>Sources!H672</f>
        <v/>
      </c>
      <c r="G672">
        <f>IF(ABS(F672-ROUND(F672,0))&lt;0.001,1,0)</f>
        <v/>
      </c>
      <c r="H672">
        <f>IF(G672=1,F672,CEILING(F672,1))</f>
        <v/>
      </c>
      <c r="I672">
        <f>IF(G672=1,0,(H672-F672)*E672)</f>
        <v/>
      </c>
      <c r="J672">
        <f>E672*F672</f>
        <v/>
      </c>
    </row>
    <row r="673">
      <c r="A673">
        <f>Sources!A673</f>
        <v/>
      </c>
      <c r="B673">
        <f>Sources!B673</f>
        <v/>
      </c>
      <c r="C673">
        <f>Sources!D673</f>
        <v/>
      </c>
      <c r="D673">
        <f>Sources!E673</f>
        <v/>
      </c>
      <c r="E673">
        <f>Sources!F673</f>
        <v/>
      </c>
      <c r="F673">
        <f>Sources!H673</f>
        <v/>
      </c>
      <c r="G673">
        <f>IF(ABS(F673-ROUND(F673,0))&lt;0.001,1,0)</f>
        <v/>
      </c>
      <c r="H673">
        <f>IF(G673=1,F673,CEILING(F673,1))</f>
        <v/>
      </c>
      <c r="I673">
        <f>IF(G673=1,0,(H673-F673)*E673)</f>
        <v/>
      </c>
      <c r="J673">
        <f>E673*F673</f>
        <v/>
      </c>
    </row>
    <row r="674">
      <c r="A674">
        <f>Sources!A674</f>
        <v/>
      </c>
      <c r="B674">
        <f>Sources!B674</f>
        <v/>
      </c>
      <c r="C674">
        <f>Sources!D674</f>
        <v/>
      </c>
      <c r="D674">
        <f>Sources!E674</f>
        <v/>
      </c>
      <c r="E674">
        <f>Sources!F674</f>
        <v/>
      </c>
      <c r="F674">
        <f>Sources!H674</f>
        <v/>
      </c>
      <c r="G674">
        <f>IF(ABS(F674-ROUND(F674,0))&lt;0.001,1,0)</f>
        <v/>
      </c>
      <c r="H674">
        <f>IF(G674=1,F674,CEILING(F674,1))</f>
        <v/>
      </c>
      <c r="I674">
        <f>IF(G674=1,0,(H674-F674)*E674)</f>
        <v/>
      </c>
      <c r="J674">
        <f>E674*F674</f>
        <v/>
      </c>
    </row>
    <row r="675">
      <c r="A675">
        <f>Sources!A675</f>
        <v/>
      </c>
      <c r="B675">
        <f>Sources!B675</f>
        <v/>
      </c>
      <c r="C675">
        <f>Sources!D675</f>
        <v/>
      </c>
      <c r="D675">
        <f>Sources!E675</f>
        <v/>
      </c>
      <c r="E675">
        <f>Sources!F675</f>
        <v/>
      </c>
      <c r="F675">
        <f>Sources!H675</f>
        <v/>
      </c>
      <c r="G675">
        <f>IF(ABS(F675-ROUND(F675,0))&lt;0.001,1,0)</f>
        <v/>
      </c>
      <c r="H675">
        <f>IF(G675=1,F675,CEILING(F675,1))</f>
        <v/>
      </c>
      <c r="I675">
        <f>IF(G675=1,0,(H675-F675)*E675)</f>
        <v/>
      </c>
      <c r="J675">
        <f>E675*F675</f>
        <v/>
      </c>
    </row>
    <row r="676">
      <c r="A676">
        <f>Sources!A676</f>
        <v/>
      </c>
      <c r="B676">
        <f>Sources!B676</f>
        <v/>
      </c>
      <c r="C676">
        <f>Sources!D676</f>
        <v/>
      </c>
      <c r="D676">
        <f>Sources!E676</f>
        <v/>
      </c>
      <c r="E676">
        <f>Sources!F676</f>
        <v/>
      </c>
      <c r="F676">
        <f>Sources!H676</f>
        <v/>
      </c>
      <c r="G676">
        <f>IF(ABS(F676-ROUND(F676,0))&lt;0.001,1,0)</f>
        <v/>
      </c>
      <c r="H676">
        <f>IF(G676=1,F676,CEILING(F676,1))</f>
        <v/>
      </c>
      <c r="I676">
        <f>IF(G676=1,0,(H676-F676)*E676)</f>
        <v/>
      </c>
      <c r="J676">
        <f>E676*F676</f>
        <v/>
      </c>
    </row>
    <row r="677">
      <c r="A677">
        <f>Sources!A677</f>
        <v/>
      </c>
      <c r="B677">
        <f>Sources!B677</f>
        <v/>
      </c>
      <c r="C677">
        <f>Sources!D677</f>
        <v/>
      </c>
      <c r="D677">
        <f>Sources!E677</f>
        <v/>
      </c>
      <c r="E677">
        <f>Sources!F677</f>
        <v/>
      </c>
      <c r="F677">
        <f>Sources!H677</f>
        <v/>
      </c>
      <c r="G677">
        <f>IF(ABS(F677-ROUND(F677,0))&lt;0.001,1,0)</f>
        <v/>
      </c>
      <c r="H677">
        <f>IF(G677=1,F677,CEILING(F677,1))</f>
        <v/>
      </c>
      <c r="I677">
        <f>IF(G677=1,0,(H677-F677)*E677)</f>
        <v/>
      </c>
      <c r="J677">
        <f>E677*F677</f>
        <v/>
      </c>
    </row>
    <row r="678">
      <c r="A678">
        <f>Sources!A678</f>
        <v/>
      </c>
      <c r="B678">
        <f>Sources!B678</f>
        <v/>
      </c>
      <c r="C678">
        <f>Sources!D678</f>
        <v/>
      </c>
      <c r="D678">
        <f>Sources!E678</f>
        <v/>
      </c>
      <c r="E678">
        <f>Sources!F678</f>
        <v/>
      </c>
      <c r="F678">
        <f>Sources!H678</f>
        <v/>
      </c>
      <c r="G678">
        <f>IF(ABS(F678-ROUND(F678,0))&lt;0.001,1,0)</f>
        <v/>
      </c>
      <c r="H678">
        <f>IF(G678=1,F678,CEILING(F678,1))</f>
        <v/>
      </c>
      <c r="I678">
        <f>IF(G678=1,0,(H678-F678)*E678)</f>
        <v/>
      </c>
      <c r="J678">
        <f>E678*F678</f>
        <v/>
      </c>
    </row>
    <row r="679">
      <c r="A679">
        <f>Sources!A679</f>
        <v/>
      </c>
      <c r="B679">
        <f>Sources!B679</f>
        <v/>
      </c>
      <c r="C679">
        <f>Sources!D679</f>
        <v/>
      </c>
      <c r="D679">
        <f>Sources!E679</f>
        <v/>
      </c>
      <c r="E679">
        <f>Sources!F679</f>
        <v/>
      </c>
      <c r="F679">
        <f>Sources!H679</f>
        <v/>
      </c>
      <c r="G679">
        <f>IF(ABS(F679-ROUND(F679,0))&lt;0.001,1,0)</f>
        <v/>
      </c>
      <c r="H679">
        <f>IF(G679=1,F679,CEILING(F679,1))</f>
        <v/>
      </c>
      <c r="I679">
        <f>IF(G679=1,0,(H679-F679)*E679)</f>
        <v/>
      </c>
      <c r="J679">
        <f>E679*F679</f>
        <v/>
      </c>
    </row>
    <row r="680">
      <c r="A680">
        <f>Sources!A680</f>
        <v/>
      </c>
      <c r="B680">
        <f>Sources!B680</f>
        <v/>
      </c>
      <c r="C680">
        <f>Sources!D680</f>
        <v/>
      </c>
      <c r="D680">
        <f>Sources!E680</f>
        <v/>
      </c>
      <c r="E680">
        <f>Sources!F680</f>
        <v/>
      </c>
      <c r="F680">
        <f>Sources!H680</f>
        <v/>
      </c>
      <c r="G680">
        <f>IF(ABS(F680-ROUND(F680,0))&lt;0.001,1,0)</f>
        <v/>
      </c>
      <c r="H680">
        <f>IF(G680=1,F680,CEILING(F680,1))</f>
        <v/>
      </c>
      <c r="I680">
        <f>IF(G680=1,0,(H680-F680)*E680)</f>
        <v/>
      </c>
      <c r="J680">
        <f>E680*F680</f>
        <v/>
      </c>
    </row>
    <row r="681">
      <c r="A681">
        <f>Sources!A681</f>
        <v/>
      </c>
      <c r="B681">
        <f>Sources!B681</f>
        <v/>
      </c>
      <c r="C681">
        <f>Sources!D681</f>
        <v/>
      </c>
      <c r="D681">
        <f>Sources!E681</f>
        <v/>
      </c>
      <c r="E681">
        <f>Sources!F681</f>
        <v/>
      </c>
      <c r="F681">
        <f>Sources!H681</f>
        <v/>
      </c>
      <c r="G681">
        <f>IF(ABS(F681-ROUND(F681,0))&lt;0.001,1,0)</f>
        <v/>
      </c>
      <c r="H681">
        <f>IF(G681=1,F681,CEILING(F681,1))</f>
        <v/>
      </c>
      <c r="I681">
        <f>IF(G681=1,0,(H681-F681)*E681)</f>
        <v/>
      </c>
      <c r="J681">
        <f>E681*F681</f>
        <v/>
      </c>
    </row>
    <row r="682">
      <c r="A682">
        <f>Sources!A682</f>
        <v/>
      </c>
      <c r="B682">
        <f>Sources!B682</f>
        <v/>
      </c>
      <c r="C682">
        <f>Sources!D682</f>
        <v/>
      </c>
      <c r="D682">
        <f>Sources!E682</f>
        <v/>
      </c>
      <c r="E682">
        <f>Sources!F682</f>
        <v/>
      </c>
      <c r="F682">
        <f>Sources!H682</f>
        <v/>
      </c>
      <c r="G682">
        <f>IF(ABS(F682-ROUND(F682,0))&lt;0.001,1,0)</f>
        <v/>
      </c>
      <c r="H682">
        <f>IF(G682=1,F682,CEILING(F682,1))</f>
        <v/>
      </c>
      <c r="I682">
        <f>IF(G682=1,0,(H682-F682)*E682)</f>
        <v/>
      </c>
      <c r="J682">
        <f>E682*F682</f>
        <v/>
      </c>
    </row>
    <row r="683">
      <c r="A683">
        <f>Sources!A683</f>
        <v/>
      </c>
      <c r="B683">
        <f>Sources!B683</f>
        <v/>
      </c>
      <c r="C683">
        <f>Sources!D683</f>
        <v/>
      </c>
      <c r="D683">
        <f>Sources!E683</f>
        <v/>
      </c>
      <c r="E683">
        <f>Sources!F683</f>
        <v/>
      </c>
      <c r="F683">
        <f>Sources!H683</f>
        <v/>
      </c>
      <c r="G683">
        <f>IF(ABS(F683-ROUND(F683,0))&lt;0.001,1,0)</f>
        <v/>
      </c>
      <c r="H683">
        <f>IF(G683=1,F683,CEILING(F683,1))</f>
        <v/>
      </c>
      <c r="I683">
        <f>IF(G683=1,0,(H683-F683)*E683)</f>
        <v/>
      </c>
      <c r="J683">
        <f>E683*F683</f>
        <v/>
      </c>
    </row>
    <row r="684">
      <c r="A684">
        <f>Sources!A684</f>
        <v/>
      </c>
      <c r="B684">
        <f>Sources!B684</f>
        <v/>
      </c>
      <c r="C684">
        <f>Sources!D684</f>
        <v/>
      </c>
      <c r="D684">
        <f>Sources!E684</f>
        <v/>
      </c>
      <c r="E684">
        <f>Sources!F684</f>
        <v/>
      </c>
      <c r="F684">
        <f>Sources!H684</f>
        <v/>
      </c>
      <c r="G684">
        <f>IF(ABS(F684-ROUND(F684,0))&lt;0.001,1,0)</f>
        <v/>
      </c>
      <c r="H684">
        <f>IF(G684=1,F684,CEILING(F684,1))</f>
        <v/>
      </c>
      <c r="I684">
        <f>IF(G684=1,0,(H684-F684)*E684)</f>
        <v/>
      </c>
      <c r="J684">
        <f>E684*F684</f>
        <v/>
      </c>
    </row>
    <row r="685">
      <c r="A685">
        <f>Sources!A685</f>
        <v/>
      </c>
      <c r="B685">
        <f>Sources!B685</f>
        <v/>
      </c>
      <c r="C685">
        <f>Sources!D685</f>
        <v/>
      </c>
      <c r="D685">
        <f>Sources!E685</f>
        <v/>
      </c>
      <c r="E685">
        <f>Sources!F685</f>
        <v/>
      </c>
      <c r="F685">
        <f>Sources!H685</f>
        <v/>
      </c>
      <c r="G685">
        <f>IF(ABS(F685-ROUND(F685,0))&lt;0.001,1,0)</f>
        <v/>
      </c>
      <c r="H685">
        <f>IF(G685=1,F685,CEILING(F685,1))</f>
        <v/>
      </c>
      <c r="I685">
        <f>IF(G685=1,0,(H685-F685)*E685)</f>
        <v/>
      </c>
      <c r="J685">
        <f>E685*F685</f>
        <v/>
      </c>
    </row>
    <row r="686">
      <c r="A686">
        <f>Sources!A686</f>
        <v/>
      </c>
      <c r="B686">
        <f>Sources!B686</f>
        <v/>
      </c>
      <c r="C686">
        <f>Sources!D686</f>
        <v/>
      </c>
      <c r="D686">
        <f>Sources!E686</f>
        <v/>
      </c>
      <c r="E686">
        <f>Sources!F686</f>
        <v/>
      </c>
      <c r="F686">
        <f>Sources!H686</f>
        <v/>
      </c>
      <c r="G686">
        <f>IF(ABS(F686-ROUND(F686,0))&lt;0.001,1,0)</f>
        <v/>
      </c>
      <c r="H686">
        <f>IF(G686=1,F686,CEILING(F686,1))</f>
        <v/>
      </c>
      <c r="I686">
        <f>IF(G686=1,0,(H686-F686)*E686)</f>
        <v/>
      </c>
      <c r="J686">
        <f>E686*F686</f>
        <v/>
      </c>
    </row>
    <row r="687">
      <c r="A687">
        <f>Sources!A687</f>
        <v/>
      </c>
      <c r="B687">
        <f>Sources!B687</f>
        <v/>
      </c>
      <c r="C687">
        <f>Sources!D687</f>
        <v/>
      </c>
      <c r="D687">
        <f>Sources!E687</f>
        <v/>
      </c>
      <c r="E687">
        <f>Sources!F687</f>
        <v/>
      </c>
      <c r="F687">
        <f>Sources!H687</f>
        <v/>
      </c>
      <c r="G687">
        <f>IF(ABS(F687-ROUND(F687,0))&lt;0.001,1,0)</f>
        <v/>
      </c>
      <c r="H687">
        <f>IF(G687=1,F687,CEILING(F687,1))</f>
        <v/>
      </c>
      <c r="I687">
        <f>IF(G687=1,0,(H687-F687)*E687)</f>
        <v/>
      </c>
      <c r="J687">
        <f>E687*F687</f>
        <v/>
      </c>
    </row>
    <row r="688">
      <c r="A688">
        <f>Sources!A688</f>
        <v/>
      </c>
      <c r="B688">
        <f>Sources!B688</f>
        <v/>
      </c>
      <c r="C688">
        <f>Sources!D688</f>
        <v/>
      </c>
      <c r="D688">
        <f>Sources!E688</f>
        <v/>
      </c>
      <c r="E688">
        <f>Sources!F688</f>
        <v/>
      </c>
      <c r="F688">
        <f>Sources!H688</f>
        <v/>
      </c>
      <c r="G688">
        <f>IF(ABS(F688-ROUND(F688,0))&lt;0.001,1,0)</f>
        <v/>
      </c>
      <c r="H688">
        <f>IF(G688=1,F688,CEILING(F688,1))</f>
        <v/>
      </c>
      <c r="I688">
        <f>IF(G688=1,0,(H688-F688)*E688)</f>
        <v/>
      </c>
      <c r="J688">
        <f>E688*F688</f>
        <v/>
      </c>
    </row>
    <row r="689">
      <c r="A689">
        <f>Sources!A689</f>
        <v/>
      </c>
      <c r="B689">
        <f>Sources!B689</f>
        <v/>
      </c>
      <c r="C689">
        <f>Sources!D689</f>
        <v/>
      </c>
      <c r="D689">
        <f>Sources!E689</f>
        <v/>
      </c>
      <c r="E689">
        <f>Sources!F689</f>
        <v/>
      </c>
      <c r="F689">
        <f>Sources!H689</f>
        <v/>
      </c>
      <c r="G689">
        <f>IF(ABS(F689-ROUND(F689,0))&lt;0.001,1,0)</f>
        <v/>
      </c>
      <c r="H689">
        <f>IF(G689=1,F689,CEILING(F689,1))</f>
        <v/>
      </c>
      <c r="I689">
        <f>IF(G689=1,0,(H689-F689)*E689)</f>
        <v/>
      </c>
      <c r="J689">
        <f>E689*F689</f>
        <v/>
      </c>
    </row>
    <row r="690">
      <c r="A690">
        <f>Sources!A690</f>
        <v/>
      </c>
      <c r="B690">
        <f>Sources!B690</f>
        <v/>
      </c>
      <c r="C690">
        <f>Sources!D690</f>
        <v/>
      </c>
      <c r="D690">
        <f>Sources!E690</f>
        <v/>
      </c>
      <c r="E690">
        <f>Sources!F690</f>
        <v/>
      </c>
      <c r="F690">
        <f>Sources!H690</f>
        <v/>
      </c>
      <c r="G690">
        <f>IF(ABS(F690-ROUND(F690,0))&lt;0.001,1,0)</f>
        <v/>
      </c>
      <c r="H690">
        <f>IF(G690=1,F690,CEILING(F690,1))</f>
        <v/>
      </c>
      <c r="I690">
        <f>IF(G690=1,0,(H690-F690)*E690)</f>
        <v/>
      </c>
      <c r="J690">
        <f>E690*F690</f>
        <v/>
      </c>
    </row>
    <row r="691">
      <c r="A691">
        <f>Sources!A691</f>
        <v/>
      </c>
      <c r="B691">
        <f>Sources!B691</f>
        <v/>
      </c>
      <c r="C691">
        <f>Sources!D691</f>
        <v/>
      </c>
      <c r="D691">
        <f>Sources!E691</f>
        <v/>
      </c>
      <c r="E691">
        <f>Sources!F691</f>
        <v/>
      </c>
      <c r="F691">
        <f>Sources!H691</f>
        <v/>
      </c>
      <c r="G691">
        <f>IF(ABS(F691-ROUND(F691,0))&lt;0.001,1,0)</f>
        <v/>
      </c>
      <c r="H691">
        <f>IF(G691=1,F691,CEILING(F691,1))</f>
        <v/>
      </c>
      <c r="I691">
        <f>IF(G691=1,0,(H691-F691)*E691)</f>
        <v/>
      </c>
      <c r="J691">
        <f>E691*F691</f>
        <v/>
      </c>
    </row>
    <row r="692">
      <c r="A692">
        <f>Sources!A692</f>
        <v/>
      </c>
      <c r="B692">
        <f>Sources!B692</f>
        <v/>
      </c>
      <c r="C692">
        <f>Sources!D692</f>
        <v/>
      </c>
      <c r="D692">
        <f>Sources!E692</f>
        <v/>
      </c>
      <c r="E692">
        <f>Sources!F692</f>
        <v/>
      </c>
      <c r="F692">
        <f>Sources!H692</f>
        <v/>
      </c>
      <c r="G692">
        <f>IF(ABS(F692-ROUND(F692,0))&lt;0.001,1,0)</f>
        <v/>
      </c>
      <c r="H692">
        <f>IF(G692=1,F692,CEILING(F692,1))</f>
        <v/>
      </c>
      <c r="I692">
        <f>IF(G692=1,0,(H692-F692)*E692)</f>
        <v/>
      </c>
      <c r="J692">
        <f>E692*F692</f>
        <v/>
      </c>
    </row>
    <row r="693">
      <c r="A693">
        <f>Sources!A693</f>
        <v/>
      </c>
      <c r="B693">
        <f>Sources!B693</f>
        <v/>
      </c>
      <c r="C693">
        <f>Sources!D693</f>
        <v/>
      </c>
      <c r="D693">
        <f>Sources!E693</f>
        <v/>
      </c>
      <c r="E693">
        <f>Sources!F693</f>
        <v/>
      </c>
      <c r="F693">
        <f>Sources!H693</f>
        <v/>
      </c>
      <c r="G693">
        <f>IF(ABS(F693-ROUND(F693,0))&lt;0.001,1,0)</f>
        <v/>
      </c>
      <c r="H693">
        <f>IF(G693=1,F693,CEILING(F693,1))</f>
        <v/>
      </c>
      <c r="I693">
        <f>IF(G693=1,0,(H693-F693)*E693)</f>
        <v/>
      </c>
      <c r="J693">
        <f>E693*F693</f>
        <v/>
      </c>
    </row>
    <row r="694">
      <c r="A694">
        <f>Sources!A694</f>
        <v/>
      </c>
      <c r="B694">
        <f>Sources!B694</f>
        <v/>
      </c>
      <c r="C694">
        <f>Sources!D694</f>
        <v/>
      </c>
      <c r="D694">
        <f>Sources!E694</f>
        <v/>
      </c>
      <c r="E694">
        <f>Sources!F694</f>
        <v/>
      </c>
      <c r="F694">
        <f>Sources!H694</f>
        <v/>
      </c>
      <c r="G694">
        <f>IF(ABS(F694-ROUND(F694,0))&lt;0.001,1,0)</f>
        <v/>
      </c>
      <c r="H694">
        <f>IF(G694=1,F694,CEILING(F694,1))</f>
        <v/>
      </c>
      <c r="I694">
        <f>IF(G694=1,0,(H694-F694)*E694)</f>
        <v/>
      </c>
      <c r="J694">
        <f>E694*F694</f>
        <v/>
      </c>
    </row>
    <row r="695">
      <c r="A695">
        <f>Sources!A695</f>
        <v/>
      </c>
      <c r="B695">
        <f>Sources!B695</f>
        <v/>
      </c>
      <c r="C695">
        <f>Sources!D695</f>
        <v/>
      </c>
      <c r="D695">
        <f>Sources!E695</f>
        <v/>
      </c>
      <c r="E695">
        <f>Sources!F695</f>
        <v/>
      </c>
      <c r="F695">
        <f>Sources!H695</f>
        <v/>
      </c>
      <c r="G695">
        <f>IF(ABS(F695-ROUND(F695,0))&lt;0.001,1,0)</f>
        <v/>
      </c>
      <c r="H695">
        <f>IF(G695=1,F695,CEILING(F695,1))</f>
        <v/>
      </c>
      <c r="I695">
        <f>IF(G695=1,0,(H695-F695)*E695)</f>
        <v/>
      </c>
      <c r="J695">
        <f>E695*F695</f>
        <v/>
      </c>
    </row>
    <row r="696">
      <c r="A696">
        <f>Sources!A696</f>
        <v/>
      </c>
      <c r="B696">
        <f>Sources!B696</f>
        <v/>
      </c>
      <c r="C696">
        <f>Sources!D696</f>
        <v/>
      </c>
      <c r="D696">
        <f>Sources!E696</f>
        <v/>
      </c>
      <c r="E696">
        <f>Sources!F696</f>
        <v/>
      </c>
      <c r="F696">
        <f>Sources!H696</f>
        <v/>
      </c>
      <c r="G696">
        <f>IF(ABS(F696-ROUND(F696,0))&lt;0.001,1,0)</f>
        <v/>
      </c>
      <c r="H696">
        <f>IF(G696=1,F696,CEILING(F696,1))</f>
        <v/>
      </c>
      <c r="I696">
        <f>IF(G696=1,0,(H696-F696)*E696)</f>
        <v/>
      </c>
      <c r="J696">
        <f>E696*F696</f>
        <v/>
      </c>
    </row>
    <row r="697">
      <c r="A697">
        <f>Sources!A697</f>
        <v/>
      </c>
      <c r="B697">
        <f>Sources!B697</f>
        <v/>
      </c>
      <c r="C697">
        <f>Sources!D697</f>
        <v/>
      </c>
      <c r="D697">
        <f>Sources!E697</f>
        <v/>
      </c>
      <c r="E697">
        <f>Sources!F697</f>
        <v/>
      </c>
      <c r="F697">
        <f>Sources!H697</f>
        <v/>
      </c>
      <c r="G697">
        <f>IF(ABS(F697-ROUND(F697,0))&lt;0.001,1,0)</f>
        <v/>
      </c>
      <c r="H697">
        <f>IF(G697=1,F697,CEILING(F697,1))</f>
        <v/>
      </c>
      <c r="I697">
        <f>IF(G697=1,0,(H697-F697)*E697)</f>
        <v/>
      </c>
      <c r="J697">
        <f>E697*F697</f>
        <v/>
      </c>
    </row>
    <row r="698">
      <c r="A698">
        <f>Sources!A698</f>
        <v/>
      </c>
      <c r="B698">
        <f>Sources!B698</f>
        <v/>
      </c>
      <c r="C698">
        <f>Sources!D698</f>
        <v/>
      </c>
      <c r="D698">
        <f>Sources!E698</f>
        <v/>
      </c>
      <c r="E698">
        <f>Sources!F698</f>
        <v/>
      </c>
      <c r="F698">
        <f>Sources!H698</f>
        <v/>
      </c>
      <c r="G698">
        <f>IF(ABS(F698-ROUND(F698,0))&lt;0.001,1,0)</f>
        <v/>
      </c>
      <c r="H698">
        <f>IF(G698=1,F698,CEILING(F698,1))</f>
        <v/>
      </c>
      <c r="I698">
        <f>IF(G698=1,0,(H698-F698)*E698)</f>
        <v/>
      </c>
      <c r="J698">
        <f>E698*F698</f>
        <v/>
      </c>
    </row>
    <row r="699">
      <c r="A699">
        <f>Sources!A699</f>
        <v/>
      </c>
      <c r="B699">
        <f>Sources!B699</f>
        <v/>
      </c>
      <c r="C699">
        <f>Sources!D699</f>
        <v/>
      </c>
      <c r="D699">
        <f>Sources!E699</f>
        <v/>
      </c>
      <c r="E699">
        <f>Sources!F699</f>
        <v/>
      </c>
      <c r="F699">
        <f>Sources!H699</f>
        <v/>
      </c>
      <c r="G699">
        <f>IF(ABS(F699-ROUND(F699,0))&lt;0.001,1,0)</f>
        <v/>
      </c>
      <c r="H699">
        <f>IF(G699=1,F699,CEILING(F699,1))</f>
        <v/>
      </c>
      <c r="I699">
        <f>IF(G699=1,0,(H699-F699)*E699)</f>
        <v/>
      </c>
      <c r="J699">
        <f>E699*F699</f>
        <v/>
      </c>
    </row>
    <row r="700">
      <c r="A700">
        <f>Sources!A700</f>
        <v/>
      </c>
      <c r="B700">
        <f>Sources!B700</f>
        <v/>
      </c>
      <c r="C700">
        <f>Sources!D700</f>
        <v/>
      </c>
      <c r="D700">
        <f>Sources!E700</f>
        <v/>
      </c>
      <c r="E700">
        <f>Sources!F700</f>
        <v/>
      </c>
      <c r="F700">
        <f>Sources!H700</f>
        <v/>
      </c>
      <c r="G700">
        <f>IF(ABS(F700-ROUND(F700,0))&lt;0.001,1,0)</f>
        <v/>
      </c>
      <c r="H700">
        <f>IF(G700=1,F700,CEILING(F700,1))</f>
        <v/>
      </c>
      <c r="I700">
        <f>IF(G700=1,0,(H700-F700)*E700)</f>
        <v/>
      </c>
      <c r="J700">
        <f>E700*F700</f>
        <v/>
      </c>
    </row>
    <row r="701">
      <c r="A701">
        <f>Sources!A701</f>
        <v/>
      </c>
      <c r="B701">
        <f>Sources!B701</f>
        <v/>
      </c>
      <c r="C701">
        <f>Sources!D701</f>
        <v/>
      </c>
      <c r="D701">
        <f>Sources!E701</f>
        <v/>
      </c>
      <c r="E701">
        <f>Sources!F701</f>
        <v/>
      </c>
      <c r="F701">
        <f>Sources!H701</f>
        <v/>
      </c>
      <c r="G701">
        <f>IF(ABS(F701-ROUND(F701,0))&lt;0.001,1,0)</f>
        <v/>
      </c>
      <c r="H701">
        <f>IF(G701=1,F701,CEILING(F701,1))</f>
        <v/>
      </c>
      <c r="I701">
        <f>IF(G701=1,0,(H701-F701)*E701)</f>
        <v/>
      </c>
      <c r="J701">
        <f>E701*F701</f>
        <v/>
      </c>
    </row>
    <row r="702">
      <c r="A702">
        <f>Sources!A702</f>
        <v/>
      </c>
      <c r="B702">
        <f>Sources!B702</f>
        <v/>
      </c>
      <c r="C702">
        <f>Sources!D702</f>
        <v/>
      </c>
      <c r="D702">
        <f>Sources!E702</f>
        <v/>
      </c>
      <c r="E702">
        <f>Sources!F702</f>
        <v/>
      </c>
      <c r="F702">
        <f>Sources!H702</f>
        <v/>
      </c>
      <c r="G702">
        <f>IF(ABS(F702-ROUND(F702,0))&lt;0.001,1,0)</f>
        <v/>
      </c>
      <c r="H702">
        <f>IF(G702=1,F702,CEILING(F702,1))</f>
        <v/>
      </c>
      <c r="I702">
        <f>IF(G702=1,0,(H702-F702)*E702)</f>
        <v/>
      </c>
      <c r="J702">
        <f>E702*F702</f>
        <v/>
      </c>
    </row>
    <row r="703">
      <c r="A703">
        <f>Sources!A703</f>
        <v/>
      </c>
      <c r="B703">
        <f>Sources!B703</f>
        <v/>
      </c>
      <c r="C703">
        <f>Sources!D703</f>
        <v/>
      </c>
      <c r="D703">
        <f>Sources!E703</f>
        <v/>
      </c>
      <c r="E703">
        <f>Sources!F703</f>
        <v/>
      </c>
      <c r="F703">
        <f>Sources!H703</f>
        <v/>
      </c>
      <c r="G703">
        <f>IF(ABS(F703-ROUND(F703,0))&lt;0.001,1,0)</f>
        <v/>
      </c>
      <c r="H703">
        <f>IF(G703=1,F703,CEILING(F703,1))</f>
        <v/>
      </c>
      <c r="I703">
        <f>IF(G703=1,0,(H703-F703)*E703)</f>
        <v/>
      </c>
      <c r="J703">
        <f>E703*F703</f>
        <v/>
      </c>
    </row>
    <row r="704">
      <c r="A704">
        <f>Sources!A704</f>
        <v/>
      </c>
      <c r="B704">
        <f>Sources!B704</f>
        <v/>
      </c>
      <c r="C704">
        <f>Sources!D704</f>
        <v/>
      </c>
      <c r="D704">
        <f>Sources!E704</f>
        <v/>
      </c>
      <c r="E704">
        <f>Sources!F704</f>
        <v/>
      </c>
      <c r="F704">
        <f>Sources!H704</f>
        <v/>
      </c>
      <c r="G704">
        <f>IF(ABS(F704-ROUND(F704,0))&lt;0.001,1,0)</f>
        <v/>
      </c>
      <c r="H704">
        <f>IF(G704=1,F704,CEILING(F704,1))</f>
        <v/>
      </c>
      <c r="I704">
        <f>IF(G704=1,0,(H704-F704)*E704)</f>
        <v/>
      </c>
      <c r="J704">
        <f>E704*F704</f>
        <v/>
      </c>
    </row>
    <row r="705">
      <c r="A705">
        <f>Sources!A705</f>
        <v/>
      </c>
      <c r="B705">
        <f>Sources!B705</f>
        <v/>
      </c>
      <c r="C705">
        <f>Sources!D705</f>
        <v/>
      </c>
      <c r="D705">
        <f>Sources!E705</f>
        <v/>
      </c>
      <c r="E705">
        <f>Sources!F705</f>
        <v/>
      </c>
      <c r="F705">
        <f>Sources!H705</f>
        <v/>
      </c>
      <c r="G705">
        <f>IF(ABS(F705-ROUND(F705,0))&lt;0.001,1,0)</f>
        <v/>
      </c>
      <c r="H705">
        <f>IF(G705=1,F705,CEILING(F705,1))</f>
        <v/>
      </c>
      <c r="I705">
        <f>IF(G705=1,0,(H705-F705)*E705)</f>
        <v/>
      </c>
      <c r="J705">
        <f>E705*F705</f>
        <v/>
      </c>
    </row>
    <row r="706">
      <c r="A706">
        <f>Sources!A706</f>
        <v/>
      </c>
      <c r="B706">
        <f>Sources!B706</f>
        <v/>
      </c>
      <c r="C706">
        <f>Sources!D706</f>
        <v/>
      </c>
      <c r="D706">
        <f>Sources!E706</f>
        <v/>
      </c>
      <c r="E706">
        <f>Sources!F706</f>
        <v/>
      </c>
      <c r="F706">
        <f>Sources!H706</f>
        <v/>
      </c>
      <c r="G706">
        <f>IF(ABS(F706-ROUND(F706,0))&lt;0.001,1,0)</f>
        <v/>
      </c>
      <c r="H706">
        <f>IF(G706=1,F706,CEILING(F706,1))</f>
        <v/>
      </c>
      <c r="I706">
        <f>IF(G706=1,0,(H706-F706)*E706)</f>
        <v/>
      </c>
      <c r="J706">
        <f>E706*F706</f>
        <v/>
      </c>
    </row>
    <row r="707">
      <c r="A707">
        <f>Sources!A707</f>
        <v/>
      </c>
      <c r="B707">
        <f>Sources!B707</f>
        <v/>
      </c>
      <c r="C707">
        <f>Sources!D707</f>
        <v/>
      </c>
      <c r="D707">
        <f>Sources!E707</f>
        <v/>
      </c>
      <c r="E707">
        <f>Sources!F707</f>
        <v/>
      </c>
      <c r="F707">
        <f>Sources!H707</f>
        <v/>
      </c>
      <c r="G707">
        <f>IF(ABS(F707-ROUND(F707,0))&lt;0.001,1,0)</f>
        <v/>
      </c>
      <c r="H707">
        <f>IF(G707=1,F707,CEILING(F707,1))</f>
        <v/>
      </c>
      <c r="I707">
        <f>IF(G707=1,0,(H707-F707)*E707)</f>
        <v/>
      </c>
      <c r="J707">
        <f>E707*F707</f>
        <v/>
      </c>
    </row>
    <row r="708">
      <c r="A708">
        <f>Sources!A708</f>
        <v/>
      </c>
      <c r="B708">
        <f>Sources!B708</f>
        <v/>
      </c>
      <c r="C708">
        <f>Sources!D708</f>
        <v/>
      </c>
      <c r="D708">
        <f>Sources!E708</f>
        <v/>
      </c>
      <c r="E708">
        <f>Sources!F708</f>
        <v/>
      </c>
      <c r="F708">
        <f>Sources!H708</f>
        <v/>
      </c>
      <c r="G708">
        <f>IF(ABS(F708-ROUND(F708,0))&lt;0.001,1,0)</f>
        <v/>
      </c>
      <c r="H708">
        <f>IF(G708=1,F708,CEILING(F708,1))</f>
        <v/>
      </c>
      <c r="I708">
        <f>IF(G708=1,0,(H708-F708)*E708)</f>
        <v/>
      </c>
      <c r="J708">
        <f>E708*F708</f>
        <v/>
      </c>
    </row>
    <row r="709">
      <c r="A709">
        <f>Sources!A709</f>
        <v/>
      </c>
      <c r="B709">
        <f>Sources!B709</f>
        <v/>
      </c>
      <c r="C709">
        <f>Sources!D709</f>
        <v/>
      </c>
      <c r="D709">
        <f>Sources!E709</f>
        <v/>
      </c>
      <c r="E709">
        <f>Sources!F709</f>
        <v/>
      </c>
      <c r="F709">
        <f>Sources!H709</f>
        <v/>
      </c>
      <c r="G709">
        <f>IF(ABS(F709-ROUND(F709,0))&lt;0.001,1,0)</f>
        <v/>
      </c>
      <c r="H709">
        <f>IF(G709=1,F709,CEILING(F709,1))</f>
        <v/>
      </c>
      <c r="I709">
        <f>IF(G709=1,0,(H709-F709)*E709)</f>
        <v/>
      </c>
      <c r="J709">
        <f>E709*F709</f>
        <v/>
      </c>
    </row>
    <row r="710">
      <c r="A710">
        <f>Sources!A710</f>
        <v/>
      </c>
      <c r="B710">
        <f>Sources!B710</f>
        <v/>
      </c>
      <c r="C710">
        <f>Sources!D710</f>
        <v/>
      </c>
      <c r="D710">
        <f>Sources!E710</f>
        <v/>
      </c>
      <c r="E710">
        <f>Sources!F710</f>
        <v/>
      </c>
      <c r="F710">
        <f>Sources!H710</f>
        <v/>
      </c>
      <c r="G710">
        <f>IF(ABS(F710-ROUND(F710,0))&lt;0.001,1,0)</f>
        <v/>
      </c>
      <c r="H710">
        <f>IF(G710=1,F710,CEILING(F710,1))</f>
        <v/>
      </c>
      <c r="I710">
        <f>IF(G710=1,0,(H710-F710)*E710)</f>
        <v/>
      </c>
      <c r="J710">
        <f>E710*F710</f>
        <v/>
      </c>
    </row>
    <row r="711">
      <c r="A711">
        <f>Sources!A711</f>
        <v/>
      </c>
      <c r="B711">
        <f>Sources!B711</f>
        <v/>
      </c>
      <c r="C711">
        <f>Sources!D711</f>
        <v/>
      </c>
      <c r="D711">
        <f>Sources!E711</f>
        <v/>
      </c>
      <c r="E711">
        <f>Sources!F711</f>
        <v/>
      </c>
      <c r="F711">
        <f>Sources!H711</f>
        <v/>
      </c>
      <c r="G711">
        <f>IF(ABS(F711-ROUND(F711,0))&lt;0.001,1,0)</f>
        <v/>
      </c>
      <c r="H711">
        <f>IF(G711=1,F711,CEILING(F711,1))</f>
        <v/>
      </c>
      <c r="I711">
        <f>IF(G711=1,0,(H711-F711)*E711)</f>
        <v/>
      </c>
      <c r="J711">
        <f>E711*F711</f>
        <v/>
      </c>
    </row>
    <row r="712">
      <c r="A712">
        <f>Sources!A712</f>
        <v/>
      </c>
      <c r="B712">
        <f>Sources!B712</f>
        <v/>
      </c>
      <c r="C712">
        <f>Sources!D712</f>
        <v/>
      </c>
      <c r="D712">
        <f>Sources!E712</f>
        <v/>
      </c>
      <c r="E712">
        <f>Sources!F712</f>
        <v/>
      </c>
      <c r="F712">
        <f>Sources!H712</f>
        <v/>
      </c>
      <c r="G712">
        <f>IF(ABS(F712-ROUND(F712,0))&lt;0.001,1,0)</f>
        <v/>
      </c>
      <c r="H712">
        <f>IF(G712=1,F712,CEILING(F712,1))</f>
        <v/>
      </c>
      <c r="I712">
        <f>IF(G712=1,0,(H712-F712)*E712)</f>
        <v/>
      </c>
      <c r="J712">
        <f>E712*F712</f>
        <v/>
      </c>
    </row>
    <row r="713">
      <c r="A713">
        <f>Sources!A713</f>
        <v/>
      </c>
      <c r="B713">
        <f>Sources!B713</f>
        <v/>
      </c>
      <c r="C713">
        <f>Sources!D713</f>
        <v/>
      </c>
      <c r="D713">
        <f>Sources!E713</f>
        <v/>
      </c>
      <c r="E713">
        <f>Sources!F713</f>
        <v/>
      </c>
      <c r="F713">
        <f>Sources!H713</f>
        <v/>
      </c>
      <c r="G713">
        <f>IF(ABS(F713-ROUND(F713,0))&lt;0.001,1,0)</f>
        <v/>
      </c>
      <c r="H713">
        <f>IF(G713=1,F713,CEILING(F713,1))</f>
        <v/>
      </c>
      <c r="I713">
        <f>IF(G713=1,0,(H713-F713)*E713)</f>
        <v/>
      </c>
      <c r="J713">
        <f>E713*F713</f>
        <v/>
      </c>
    </row>
    <row r="714">
      <c r="A714">
        <f>Sources!A714</f>
        <v/>
      </c>
      <c r="B714">
        <f>Sources!B714</f>
        <v/>
      </c>
      <c r="C714">
        <f>Sources!D714</f>
        <v/>
      </c>
      <c r="D714">
        <f>Sources!E714</f>
        <v/>
      </c>
      <c r="E714">
        <f>Sources!F714</f>
        <v/>
      </c>
      <c r="F714">
        <f>Sources!H714</f>
        <v/>
      </c>
      <c r="G714">
        <f>IF(ABS(F714-ROUND(F714,0))&lt;0.001,1,0)</f>
        <v/>
      </c>
      <c r="H714">
        <f>IF(G714=1,F714,CEILING(F714,1))</f>
        <v/>
      </c>
      <c r="I714">
        <f>IF(G714=1,0,(H714-F714)*E714)</f>
        <v/>
      </c>
      <c r="J714">
        <f>E714*F714</f>
        <v/>
      </c>
    </row>
    <row r="715">
      <c r="A715">
        <f>Sources!A715</f>
        <v/>
      </c>
      <c r="B715">
        <f>Sources!B715</f>
        <v/>
      </c>
      <c r="C715">
        <f>Sources!D715</f>
        <v/>
      </c>
      <c r="D715">
        <f>Sources!E715</f>
        <v/>
      </c>
      <c r="E715">
        <f>Sources!F715</f>
        <v/>
      </c>
      <c r="F715">
        <f>Sources!H715</f>
        <v/>
      </c>
      <c r="G715">
        <f>IF(ABS(F715-ROUND(F715,0))&lt;0.001,1,0)</f>
        <v/>
      </c>
      <c r="H715">
        <f>IF(G715=1,F715,CEILING(F715,1))</f>
        <v/>
      </c>
      <c r="I715">
        <f>IF(G715=1,0,(H715-F715)*E715)</f>
        <v/>
      </c>
      <c r="J715">
        <f>E715*F715</f>
        <v/>
      </c>
    </row>
    <row r="716">
      <c r="A716">
        <f>Sources!A716</f>
        <v/>
      </c>
      <c r="B716">
        <f>Sources!B716</f>
        <v/>
      </c>
      <c r="C716">
        <f>Sources!D716</f>
        <v/>
      </c>
      <c r="D716">
        <f>Sources!E716</f>
        <v/>
      </c>
      <c r="E716">
        <f>Sources!F716</f>
        <v/>
      </c>
      <c r="F716">
        <f>Sources!H716</f>
        <v/>
      </c>
      <c r="G716">
        <f>IF(ABS(F716-ROUND(F716,0))&lt;0.001,1,0)</f>
        <v/>
      </c>
      <c r="H716">
        <f>IF(G716=1,F716,CEILING(F716,1))</f>
        <v/>
      </c>
      <c r="I716">
        <f>IF(G716=1,0,(H716-F716)*E716)</f>
        <v/>
      </c>
      <c r="J716">
        <f>E716*F716</f>
        <v/>
      </c>
    </row>
    <row r="717">
      <c r="A717">
        <f>Sources!A717</f>
        <v/>
      </c>
      <c r="B717">
        <f>Sources!B717</f>
        <v/>
      </c>
      <c r="C717">
        <f>Sources!D717</f>
        <v/>
      </c>
      <c r="D717">
        <f>Sources!E717</f>
        <v/>
      </c>
      <c r="E717">
        <f>Sources!F717</f>
        <v/>
      </c>
      <c r="F717">
        <f>Sources!H717</f>
        <v/>
      </c>
      <c r="G717">
        <f>IF(ABS(F717-ROUND(F717,0))&lt;0.001,1,0)</f>
        <v/>
      </c>
      <c r="H717">
        <f>IF(G717=1,F717,CEILING(F717,1))</f>
        <v/>
      </c>
      <c r="I717">
        <f>IF(G717=1,0,(H717-F717)*E717)</f>
        <v/>
      </c>
      <c r="J717">
        <f>E717*F717</f>
        <v/>
      </c>
    </row>
    <row r="718">
      <c r="A718">
        <f>Sources!A718</f>
        <v/>
      </c>
      <c r="B718">
        <f>Sources!B718</f>
        <v/>
      </c>
      <c r="C718">
        <f>Sources!D718</f>
        <v/>
      </c>
      <c r="D718">
        <f>Sources!E718</f>
        <v/>
      </c>
      <c r="E718">
        <f>Sources!F718</f>
        <v/>
      </c>
      <c r="F718">
        <f>Sources!H718</f>
        <v/>
      </c>
      <c r="G718">
        <f>IF(ABS(F718-ROUND(F718,0))&lt;0.001,1,0)</f>
        <v/>
      </c>
      <c r="H718">
        <f>IF(G718=1,F718,CEILING(F718,1))</f>
        <v/>
      </c>
      <c r="I718">
        <f>IF(G718=1,0,(H718-F718)*E718)</f>
        <v/>
      </c>
      <c r="J718">
        <f>E718*F718</f>
        <v/>
      </c>
    </row>
    <row r="719">
      <c r="A719">
        <f>Sources!A719</f>
        <v/>
      </c>
      <c r="B719">
        <f>Sources!B719</f>
        <v/>
      </c>
      <c r="C719">
        <f>Sources!D719</f>
        <v/>
      </c>
      <c r="D719">
        <f>Sources!E719</f>
        <v/>
      </c>
      <c r="E719">
        <f>Sources!F719</f>
        <v/>
      </c>
      <c r="F719">
        <f>Sources!H719</f>
        <v/>
      </c>
      <c r="G719">
        <f>IF(ABS(F719-ROUND(F719,0))&lt;0.001,1,0)</f>
        <v/>
      </c>
      <c r="H719">
        <f>IF(G719=1,F719,CEILING(F719,1))</f>
        <v/>
      </c>
      <c r="I719">
        <f>IF(G719=1,0,(H719-F719)*E719)</f>
        <v/>
      </c>
      <c r="J719">
        <f>E719*F719</f>
        <v/>
      </c>
    </row>
    <row r="720">
      <c r="A720">
        <f>Sources!A720</f>
        <v/>
      </c>
      <c r="B720">
        <f>Sources!B720</f>
        <v/>
      </c>
      <c r="C720">
        <f>Sources!D720</f>
        <v/>
      </c>
      <c r="D720">
        <f>Sources!E720</f>
        <v/>
      </c>
      <c r="E720">
        <f>Sources!F720</f>
        <v/>
      </c>
      <c r="F720">
        <f>Sources!H720</f>
        <v/>
      </c>
      <c r="G720">
        <f>IF(ABS(F720-ROUND(F720,0))&lt;0.001,1,0)</f>
        <v/>
      </c>
      <c r="H720">
        <f>IF(G720=1,F720,CEILING(F720,1))</f>
        <v/>
      </c>
      <c r="I720">
        <f>IF(G720=1,0,(H720-F720)*E720)</f>
        <v/>
      </c>
      <c r="J720">
        <f>E720*F720</f>
        <v/>
      </c>
    </row>
    <row r="721">
      <c r="A721">
        <f>Sources!A721</f>
        <v/>
      </c>
      <c r="B721">
        <f>Sources!B721</f>
        <v/>
      </c>
      <c r="C721">
        <f>Sources!D721</f>
        <v/>
      </c>
      <c r="D721">
        <f>Sources!E721</f>
        <v/>
      </c>
      <c r="E721">
        <f>Sources!F721</f>
        <v/>
      </c>
      <c r="F721">
        <f>Sources!H721</f>
        <v/>
      </c>
      <c r="G721">
        <f>IF(ABS(F721-ROUND(F721,0))&lt;0.001,1,0)</f>
        <v/>
      </c>
      <c r="H721">
        <f>IF(G721=1,F721,CEILING(F721,1))</f>
        <v/>
      </c>
      <c r="I721">
        <f>IF(G721=1,0,(H721-F721)*E721)</f>
        <v/>
      </c>
      <c r="J721">
        <f>E721*F721</f>
        <v/>
      </c>
    </row>
    <row r="722">
      <c r="A722">
        <f>Sources!A722</f>
        <v/>
      </c>
      <c r="B722">
        <f>Sources!B722</f>
        <v/>
      </c>
      <c r="C722">
        <f>Sources!D722</f>
        <v/>
      </c>
      <c r="D722">
        <f>Sources!E722</f>
        <v/>
      </c>
      <c r="E722">
        <f>Sources!F722</f>
        <v/>
      </c>
      <c r="F722">
        <f>Sources!H722</f>
        <v/>
      </c>
      <c r="G722">
        <f>IF(ABS(F722-ROUND(F722,0))&lt;0.001,1,0)</f>
        <v/>
      </c>
      <c r="H722">
        <f>IF(G722=1,F722,CEILING(F722,1))</f>
        <v/>
      </c>
      <c r="I722">
        <f>IF(G722=1,0,(H722-F722)*E722)</f>
        <v/>
      </c>
      <c r="J722">
        <f>E722*F722</f>
        <v/>
      </c>
    </row>
    <row r="723">
      <c r="A723">
        <f>Sources!A723</f>
        <v/>
      </c>
      <c r="B723">
        <f>Sources!B723</f>
        <v/>
      </c>
      <c r="C723">
        <f>Sources!D723</f>
        <v/>
      </c>
      <c r="D723">
        <f>Sources!E723</f>
        <v/>
      </c>
      <c r="E723">
        <f>Sources!F723</f>
        <v/>
      </c>
      <c r="F723">
        <f>Sources!H723</f>
        <v/>
      </c>
      <c r="G723">
        <f>IF(ABS(F723-ROUND(F723,0))&lt;0.001,1,0)</f>
        <v/>
      </c>
      <c r="H723">
        <f>IF(G723=1,F723,CEILING(F723,1))</f>
        <v/>
      </c>
      <c r="I723">
        <f>IF(G723=1,0,(H723-F723)*E723)</f>
        <v/>
      </c>
      <c r="J723">
        <f>E723*F723</f>
        <v/>
      </c>
    </row>
    <row r="724">
      <c r="A724">
        <f>Sources!A724</f>
        <v/>
      </c>
      <c r="B724">
        <f>Sources!B724</f>
        <v/>
      </c>
      <c r="C724">
        <f>Sources!D724</f>
        <v/>
      </c>
      <c r="D724">
        <f>Sources!E724</f>
        <v/>
      </c>
      <c r="E724">
        <f>Sources!F724</f>
        <v/>
      </c>
      <c r="F724">
        <f>Sources!H724</f>
        <v/>
      </c>
      <c r="G724">
        <f>IF(ABS(F724-ROUND(F724,0))&lt;0.001,1,0)</f>
        <v/>
      </c>
      <c r="H724">
        <f>IF(G724=1,F724,CEILING(F724,1))</f>
        <v/>
      </c>
      <c r="I724">
        <f>IF(G724=1,0,(H724-F724)*E724)</f>
        <v/>
      </c>
      <c r="J724">
        <f>E724*F724</f>
        <v/>
      </c>
    </row>
    <row r="725">
      <c r="A725">
        <f>Sources!A725</f>
        <v/>
      </c>
      <c r="B725">
        <f>Sources!B725</f>
        <v/>
      </c>
      <c r="C725">
        <f>Sources!D725</f>
        <v/>
      </c>
      <c r="D725">
        <f>Sources!E725</f>
        <v/>
      </c>
      <c r="E725">
        <f>Sources!F725</f>
        <v/>
      </c>
      <c r="F725">
        <f>Sources!H725</f>
        <v/>
      </c>
      <c r="G725">
        <f>IF(ABS(F725-ROUND(F725,0))&lt;0.001,1,0)</f>
        <v/>
      </c>
      <c r="H725">
        <f>IF(G725=1,F725,CEILING(F725,1))</f>
        <v/>
      </c>
      <c r="I725">
        <f>IF(G725=1,0,(H725-F725)*E725)</f>
        <v/>
      </c>
      <c r="J725">
        <f>E725*F725</f>
        <v/>
      </c>
    </row>
    <row r="726">
      <c r="A726">
        <f>Sources!A726</f>
        <v/>
      </c>
      <c r="B726">
        <f>Sources!B726</f>
        <v/>
      </c>
      <c r="C726">
        <f>Sources!D726</f>
        <v/>
      </c>
      <c r="D726">
        <f>Sources!E726</f>
        <v/>
      </c>
      <c r="E726">
        <f>Sources!F726</f>
        <v/>
      </c>
      <c r="F726">
        <f>Sources!H726</f>
        <v/>
      </c>
      <c r="G726">
        <f>IF(ABS(F726-ROUND(F726,0))&lt;0.001,1,0)</f>
        <v/>
      </c>
      <c r="H726">
        <f>IF(G726=1,F726,CEILING(F726,1))</f>
        <v/>
      </c>
      <c r="I726">
        <f>IF(G726=1,0,(H726-F726)*E726)</f>
        <v/>
      </c>
      <c r="J726">
        <f>E726*F726</f>
        <v/>
      </c>
    </row>
    <row r="727">
      <c r="A727">
        <f>Sources!A727</f>
        <v/>
      </c>
      <c r="B727">
        <f>Sources!B727</f>
        <v/>
      </c>
      <c r="C727">
        <f>Sources!D727</f>
        <v/>
      </c>
      <c r="D727">
        <f>Sources!E727</f>
        <v/>
      </c>
      <c r="E727">
        <f>Sources!F727</f>
        <v/>
      </c>
      <c r="F727">
        <f>Sources!H727</f>
        <v/>
      </c>
      <c r="G727">
        <f>IF(ABS(F727-ROUND(F727,0))&lt;0.001,1,0)</f>
        <v/>
      </c>
      <c r="H727">
        <f>IF(G727=1,F727,CEILING(F727,1))</f>
        <v/>
      </c>
      <c r="I727">
        <f>IF(G727=1,0,(H727-F727)*E727)</f>
        <v/>
      </c>
      <c r="J727">
        <f>E727*F727</f>
        <v/>
      </c>
    </row>
    <row r="728">
      <c r="A728">
        <f>Sources!A728</f>
        <v/>
      </c>
      <c r="B728">
        <f>Sources!B728</f>
        <v/>
      </c>
      <c r="C728">
        <f>Sources!D728</f>
        <v/>
      </c>
      <c r="D728">
        <f>Sources!E728</f>
        <v/>
      </c>
      <c r="E728">
        <f>Sources!F728</f>
        <v/>
      </c>
      <c r="F728">
        <f>Sources!H728</f>
        <v/>
      </c>
      <c r="G728">
        <f>IF(ABS(F728-ROUND(F728,0))&lt;0.001,1,0)</f>
        <v/>
      </c>
      <c r="H728">
        <f>IF(G728=1,F728,CEILING(F728,1))</f>
        <v/>
      </c>
      <c r="I728">
        <f>IF(G728=1,0,(H728-F728)*E728)</f>
        <v/>
      </c>
      <c r="J728">
        <f>E728*F728</f>
        <v/>
      </c>
    </row>
    <row r="729">
      <c r="A729">
        <f>Sources!A729</f>
        <v/>
      </c>
      <c r="B729">
        <f>Sources!B729</f>
        <v/>
      </c>
      <c r="C729">
        <f>Sources!D729</f>
        <v/>
      </c>
      <c r="D729">
        <f>Sources!E729</f>
        <v/>
      </c>
      <c r="E729">
        <f>Sources!F729</f>
        <v/>
      </c>
      <c r="F729">
        <f>Sources!H729</f>
        <v/>
      </c>
      <c r="G729">
        <f>IF(ABS(F729-ROUND(F729,0))&lt;0.001,1,0)</f>
        <v/>
      </c>
      <c r="H729">
        <f>IF(G729=1,F729,CEILING(F729,1))</f>
        <v/>
      </c>
      <c r="I729">
        <f>IF(G729=1,0,(H729-F729)*E729)</f>
        <v/>
      </c>
      <c r="J729">
        <f>E729*F729</f>
        <v/>
      </c>
    </row>
    <row r="730">
      <c r="A730">
        <f>Sources!A730</f>
        <v/>
      </c>
      <c r="B730">
        <f>Sources!B730</f>
        <v/>
      </c>
      <c r="C730">
        <f>Sources!D730</f>
        <v/>
      </c>
      <c r="D730">
        <f>Sources!E730</f>
        <v/>
      </c>
      <c r="E730">
        <f>Sources!F730</f>
        <v/>
      </c>
      <c r="F730">
        <f>Sources!H730</f>
        <v/>
      </c>
      <c r="G730">
        <f>IF(ABS(F730-ROUND(F730,0))&lt;0.001,1,0)</f>
        <v/>
      </c>
      <c r="H730">
        <f>IF(G730=1,F730,CEILING(F730,1))</f>
        <v/>
      </c>
      <c r="I730">
        <f>IF(G730=1,0,(H730-F730)*E730)</f>
        <v/>
      </c>
      <c r="J730">
        <f>E730*F730</f>
        <v/>
      </c>
    </row>
    <row r="731">
      <c r="A731">
        <f>Sources!A731</f>
        <v/>
      </c>
      <c r="B731">
        <f>Sources!B731</f>
        <v/>
      </c>
      <c r="C731">
        <f>Sources!D731</f>
        <v/>
      </c>
      <c r="D731">
        <f>Sources!E731</f>
        <v/>
      </c>
      <c r="E731">
        <f>Sources!F731</f>
        <v/>
      </c>
      <c r="F731">
        <f>Sources!H731</f>
        <v/>
      </c>
      <c r="G731">
        <f>IF(ABS(F731-ROUND(F731,0))&lt;0.001,1,0)</f>
        <v/>
      </c>
      <c r="H731">
        <f>IF(G731=1,F731,CEILING(F731,1))</f>
        <v/>
      </c>
      <c r="I731">
        <f>IF(G731=1,0,(H731-F731)*E731)</f>
        <v/>
      </c>
      <c r="J731">
        <f>E731*F731</f>
        <v/>
      </c>
    </row>
    <row r="732">
      <c r="A732">
        <f>Sources!A732</f>
        <v/>
      </c>
      <c r="B732">
        <f>Sources!B732</f>
        <v/>
      </c>
      <c r="C732">
        <f>Sources!D732</f>
        <v/>
      </c>
      <c r="D732">
        <f>Sources!E732</f>
        <v/>
      </c>
      <c r="E732">
        <f>Sources!F732</f>
        <v/>
      </c>
      <c r="F732">
        <f>Sources!H732</f>
        <v/>
      </c>
      <c r="G732">
        <f>IF(ABS(F732-ROUND(F732,0))&lt;0.001,1,0)</f>
        <v/>
      </c>
      <c r="H732">
        <f>IF(G732=1,F732,CEILING(F732,1))</f>
        <v/>
      </c>
      <c r="I732">
        <f>IF(G732=1,0,(H732-F732)*E732)</f>
        <v/>
      </c>
      <c r="J732">
        <f>E732*F732</f>
        <v/>
      </c>
    </row>
    <row r="733">
      <c r="A733">
        <f>Sources!A733</f>
        <v/>
      </c>
      <c r="B733">
        <f>Sources!B733</f>
        <v/>
      </c>
      <c r="C733">
        <f>Sources!D733</f>
        <v/>
      </c>
      <c r="D733">
        <f>Sources!E733</f>
        <v/>
      </c>
      <c r="E733">
        <f>Sources!F733</f>
        <v/>
      </c>
      <c r="F733">
        <f>Sources!H733</f>
        <v/>
      </c>
      <c r="G733">
        <f>IF(ABS(F733-ROUND(F733,0))&lt;0.001,1,0)</f>
        <v/>
      </c>
      <c r="H733">
        <f>IF(G733=1,F733,CEILING(F733,1))</f>
        <v/>
      </c>
      <c r="I733">
        <f>IF(G733=1,0,(H733-F733)*E733)</f>
        <v/>
      </c>
      <c r="J733">
        <f>E733*F733</f>
        <v/>
      </c>
    </row>
    <row r="734">
      <c r="A734">
        <f>Sources!A734</f>
        <v/>
      </c>
      <c r="B734">
        <f>Sources!B734</f>
        <v/>
      </c>
      <c r="C734">
        <f>Sources!D734</f>
        <v/>
      </c>
      <c r="D734">
        <f>Sources!E734</f>
        <v/>
      </c>
      <c r="E734">
        <f>Sources!F734</f>
        <v/>
      </c>
      <c r="F734">
        <f>Sources!H734</f>
        <v/>
      </c>
      <c r="G734">
        <f>IF(ABS(F734-ROUND(F734,0))&lt;0.001,1,0)</f>
        <v/>
      </c>
      <c r="H734">
        <f>IF(G734=1,F734,CEILING(F734,1))</f>
        <v/>
      </c>
      <c r="I734">
        <f>IF(G734=1,0,(H734-F734)*E734)</f>
        <v/>
      </c>
      <c r="J734">
        <f>E734*F734</f>
        <v/>
      </c>
    </row>
    <row r="735">
      <c r="A735">
        <f>Sources!A735</f>
        <v/>
      </c>
      <c r="B735">
        <f>Sources!B735</f>
        <v/>
      </c>
      <c r="C735">
        <f>Sources!D735</f>
        <v/>
      </c>
      <c r="D735">
        <f>Sources!E735</f>
        <v/>
      </c>
      <c r="E735">
        <f>Sources!F735</f>
        <v/>
      </c>
      <c r="F735">
        <f>Sources!H735</f>
        <v/>
      </c>
      <c r="G735">
        <f>IF(ABS(F735-ROUND(F735,0))&lt;0.001,1,0)</f>
        <v/>
      </c>
      <c r="H735">
        <f>IF(G735=1,F735,CEILING(F735,1))</f>
        <v/>
      </c>
      <c r="I735">
        <f>IF(G735=1,0,(H735-F735)*E735)</f>
        <v/>
      </c>
      <c r="J735">
        <f>E735*F735</f>
        <v/>
      </c>
    </row>
    <row r="736">
      <c r="A736">
        <f>Sources!A736</f>
        <v/>
      </c>
      <c r="B736">
        <f>Sources!B736</f>
        <v/>
      </c>
      <c r="C736">
        <f>Sources!D736</f>
        <v/>
      </c>
      <c r="D736">
        <f>Sources!E736</f>
        <v/>
      </c>
      <c r="E736">
        <f>Sources!F736</f>
        <v/>
      </c>
      <c r="F736">
        <f>Sources!H736</f>
        <v/>
      </c>
      <c r="G736">
        <f>IF(ABS(F736-ROUND(F736,0))&lt;0.001,1,0)</f>
        <v/>
      </c>
      <c r="H736">
        <f>IF(G736=1,F736,CEILING(F736,1))</f>
        <v/>
      </c>
      <c r="I736">
        <f>IF(G736=1,0,(H736-F736)*E736)</f>
        <v/>
      </c>
      <c r="J736">
        <f>E736*F736</f>
        <v/>
      </c>
    </row>
    <row r="737">
      <c r="A737">
        <f>Sources!A737</f>
        <v/>
      </c>
      <c r="B737">
        <f>Sources!B737</f>
        <v/>
      </c>
      <c r="C737">
        <f>Sources!D737</f>
        <v/>
      </c>
      <c r="D737">
        <f>Sources!E737</f>
        <v/>
      </c>
      <c r="E737">
        <f>Sources!F737</f>
        <v/>
      </c>
      <c r="F737">
        <f>Sources!H737</f>
        <v/>
      </c>
      <c r="G737">
        <f>IF(ABS(F737-ROUND(F737,0))&lt;0.001,1,0)</f>
        <v/>
      </c>
      <c r="H737">
        <f>IF(G737=1,F737,CEILING(F737,1))</f>
        <v/>
      </c>
      <c r="I737">
        <f>IF(G737=1,0,(H737-F737)*E737)</f>
        <v/>
      </c>
      <c r="J737">
        <f>E737*F737</f>
        <v/>
      </c>
    </row>
    <row r="738">
      <c r="A738">
        <f>Sources!A738</f>
        <v/>
      </c>
      <c r="B738">
        <f>Sources!B738</f>
        <v/>
      </c>
      <c r="C738">
        <f>Sources!D738</f>
        <v/>
      </c>
      <c r="D738">
        <f>Sources!E738</f>
        <v/>
      </c>
      <c r="E738">
        <f>Sources!F738</f>
        <v/>
      </c>
      <c r="F738">
        <f>Sources!H738</f>
        <v/>
      </c>
      <c r="G738">
        <f>IF(ABS(F738-ROUND(F738,0))&lt;0.001,1,0)</f>
        <v/>
      </c>
      <c r="H738">
        <f>IF(G738=1,F738,CEILING(F738,1))</f>
        <v/>
      </c>
      <c r="I738">
        <f>IF(G738=1,0,(H738-F738)*E738)</f>
        <v/>
      </c>
      <c r="J738">
        <f>E738*F738</f>
        <v/>
      </c>
    </row>
    <row r="739">
      <c r="A739">
        <f>Sources!A739</f>
        <v/>
      </c>
      <c r="B739">
        <f>Sources!B739</f>
        <v/>
      </c>
      <c r="C739">
        <f>Sources!D739</f>
        <v/>
      </c>
      <c r="D739">
        <f>Sources!E739</f>
        <v/>
      </c>
      <c r="E739">
        <f>Sources!F739</f>
        <v/>
      </c>
      <c r="F739">
        <f>Sources!H739</f>
        <v/>
      </c>
      <c r="G739">
        <f>IF(ABS(F739-ROUND(F739,0))&lt;0.001,1,0)</f>
        <v/>
      </c>
      <c r="H739">
        <f>IF(G739=1,F739,CEILING(F739,1))</f>
        <v/>
      </c>
      <c r="I739">
        <f>IF(G739=1,0,(H739-F739)*E739)</f>
        <v/>
      </c>
      <c r="J739">
        <f>E739*F739</f>
        <v/>
      </c>
    </row>
    <row r="740">
      <c r="A740">
        <f>Sources!A740</f>
        <v/>
      </c>
      <c r="B740">
        <f>Sources!B740</f>
        <v/>
      </c>
      <c r="C740">
        <f>Sources!D740</f>
        <v/>
      </c>
      <c r="D740">
        <f>Sources!E740</f>
        <v/>
      </c>
      <c r="E740">
        <f>Sources!F740</f>
        <v/>
      </c>
      <c r="F740">
        <f>Sources!H740</f>
        <v/>
      </c>
      <c r="G740">
        <f>IF(ABS(F740-ROUND(F740,0))&lt;0.001,1,0)</f>
        <v/>
      </c>
      <c r="H740">
        <f>IF(G740=1,F740,CEILING(F740,1))</f>
        <v/>
      </c>
      <c r="I740">
        <f>IF(G740=1,0,(H740-F740)*E740)</f>
        <v/>
      </c>
      <c r="J740">
        <f>E740*F740</f>
        <v/>
      </c>
    </row>
    <row r="741">
      <c r="A741">
        <f>Sources!A741</f>
        <v/>
      </c>
      <c r="B741">
        <f>Sources!B741</f>
        <v/>
      </c>
      <c r="C741">
        <f>Sources!D741</f>
        <v/>
      </c>
      <c r="D741">
        <f>Sources!E741</f>
        <v/>
      </c>
      <c r="E741">
        <f>Sources!F741</f>
        <v/>
      </c>
      <c r="F741">
        <f>Sources!H741</f>
        <v/>
      </c>
      <c r="G741">
        <f>IF(ABS(F741-ROUND(F741,0))&lt;0.001,1,0)</f>
        <v/>
      </c>
      <c r="H741">
        <f>IF(G741=1,F741,CEILING(F741,1))</f>
        <v/>
      </c>
      <c r="I741">
        <f>IF(G741=1,0,(H741-F741)*E741)</f>
        <v/>
      </c>
      <c r="J741">
        <f>E741*F741</f>
        <v/>
      </c>
    </row>
    <row r="742">
      <c r="A742">
        <f>Sources!A742</f>
        <v/>
      </c>
      <c r="B742">
        <f>Sources!B742</f>
        <v/>
      </c>
      <c r="C742">
        <f>Sources!D742</f>
        <v/>
      </c>
      <c r="D742">
        <f>Sources!E742</f>
        <v/>
      </c>
      <c r="E742">
        <f>Sources!F742</f>
        <v/>
      </c>
      <c r="F742">
        <f>Sources!H742</f>
        <v/>
      </c>
      <c r="G742">
        <f>IF(ABS(F742-ROUND(F742,0))&lt;0.001,1,0)</f>
        <v/>
      </c>
      <c r="H742">
        <f>IF(G742=1,F742,CEILING(F742,1))</f>
        <v/>
      </c>
      <c r="I742">
        <f>IF(G742=1,0,(H742-F742)*E742)</f>
        <v/>
      </c>
      <c r="J742">
        <f>E742*F742</f>
        <v/>
      </c>
    </row>
    <row r="743">
      <c r="A743">
        <f>Sources!A743</f>
        <v/>
      </c>
      <c r="B743">
        <f>Sources!B743</f>
        <v/>
      </c>
      <c r="C743">
        <f>Sources!D743</f>
        <v/>
      </c>
      <c r="D743">
        <f>Sources!E743</f>
        <v/>
      </c>
      <c r="E743">
        <f>Sources!F743</f>
        <v/>
      </c>
      <c r="F743">
        <f>Sources!H743</f>
        <v/>
      </c>
      <c r="G743">
        <f>IF(ABS(F743-ROUND(F743,0))&lt;0.001,1,0)</f>
        <v/>
      </c>
      <c r="H743">
        <f>IF(G743=1,F743,CEILING(F743,1))</f>
        <v/>
      </c>
      <c r="I743">
        <f>IF(G743=1,0,(H743-F743)*E743)</f>
        <v/>
      </c>
      <c r="J743">
        <f>E743*F743</f>
        <v/>
      </c>
    </row>
    <row r="744">
      <c r="A744">
        <f>Sources!A744</f>
        <v/>
      </c>
      <c r="B744">
        <f>Sources!B744</f>
        <v/>
      </c>
      <c r="C744">
        <f>Sources!D744</f>
        <v/>
      </c>
      <c r="D744">
        <f>Sources!E744</f>
        <v/>
      </c>
      <c r="E744">
        <f>Sources!F744</f>
        <v/>
      </c>
      <c r="F744">
        <f>Sources!H744</f>
        <v/>
      </c>
      <c r="G744">
        <f>IF(ABS(F744-ROUND(F744,0))&lt;0.001,1,0)</f>
        <v/>
      </c>
      <c r="H744">
        <f>IF(G744=1,F744,CEILING(F744,1))</f>
        <v/>
      </c>
      <c r="I744">
        <f>IF(G744=1,0,(H744-F744)*E744)</f>
        <v/>
      </c>
      <c r="J744">
        <f>E744*F744</f>
        <v/>
      </c>
    </row>
    <row r="745">
      <c r="A745">
        <f>Sources!A745</f>
        <v/>
      </c>
      <c r="B745">
        <f>Sources!B745</f>
        <v/>
      </c>
      <c r="C745">
        <f>Sources!D745</f>
        <v/>
      </c>
      <c r="D745">
        <f>Sources!E745</f>
        <v/>
      </c>
      <c r="E745">
        <f>Sources!F745</f>
        <v/>
      </c>
      <c r="F745">
        <f>Sources!H745</f>
        <v/>
      </c>
      <c r="G745">
        <f>IF(ABS(F745-ROUND(F745,0))&lt;0.001,1,0)</f>
        <v/>
      </c>
      <c r="H745">
        <f>IF(G745=1,F745,CEILING(F745,1))</f>
        <v/>
      </c>
      <c r="I745">
        <f>IF(G745=1,0,(H745-F745)*E745)</f>
        <v/>
      </c>
      <c r="J745">
        <f>E745*F745</f>
        <v/>
      </c>
    </row>
    <row r="746">
      <c r="A746">
        <f>Sources!A746</f>
        <v/>
      </c>
      <c r="B746">
        <f>Sources!B746</f>
        <v/>
      </c>
      <c r="C746">
        <f>Sources!D746</f>
        <v/>
      </c>
      <c r="D746">
        <f>Sources!E746</f>
        <v/>
      </c>
      <c r="E746">
        <f>Sources!F746</f>
        <v/>
      </c>
      <c r="F746">
        <f>Sources!H746</f>
        <v/>
      </c>
      <c r="G746">
        <f>IF(ABS(F746-ROUND(F746,0))&lt;0.001,1,0)</f>
        <v/>
      </c>
      <c r="H746">
        <f>IF(G746=1,F746,CEILING(F746,1))</f>
        <v/>
      </c>
      <c r="I746">
        <f>IF(G746=1,0,(H746-F746)*E746)</f>
        <v/>
      </c>
      <c r="J746">
        <f>E746*F746</f>
        <v/>
      </c>
    </row>
    <row r="747">
      <c r="A747">
        <f>Sources!A747</f>
        <v/>
      </c>
      <c r="B747">
        <f>Sources!B747</f>
        <v/>
      </c>
      <c r="C747">
        <f>Sources!D747</f>
        <v/>
      </c>
      <c r="D747">
        <f>Sources!E747</f>
        <v/>
      </c>
      <c r="E747">
        <f>Sources!F747</f>
        <v/>
      </c>
      <c r="F747">
        <f>Sources!H747</f>
        <v/>
      </c>
      <c r="G747">
        <f>IF(ABS(F747-ROUND(F747,0))&lt;0.001,1,0)</f>
        <v/>
      </c>
      <c r="H747">
        <f>IF(G747=1,F747,CEILING(F747,1))</f>
        <v/>
      </c>
      <c r="I747">
        <f>IF(G747=1,0,(H747-F747)*E747)</f>
        <v/>
      </c>
      <c r="J747">
        <f>E747*F747</f>
        <v/>
      </c>
    </row>
    <row r="748">
      <c r="A748">
        <f>Sources!A748</f>
        <v/>
      </c>
      <c r="B748">
        <f>Sources!B748</f>
        <v/>
      </c>
      <c r="C748">
        <f>Sources!D748</f>
        <v/>
      </c>
      <c r="D748">
        <f>Sources!E748</f>
        <v/>
      </c>
      <c r="E748">
        <f>Sources!F748</f>
        <v/>
      </c>
      <c r="F748">
        <f>Sources!H748</f>
        <v/>
      </c>
      <c r="G748">
        <f>IF(ABS(F748-ROUND(F748,0))&lt;0.001,1,0)</f>
        <v/>
      </c>
      <c r="H748">
        <f>IF(G748=1,F748,CEILING(F748,1))</f>
        <v/>
      </c>
      <c r="I748">
        <f>IF(G748=1,0,(H748-F748)*E748)</f>
        <v/>
      </c>
      <c r="J748">
        <f>E748*F748</f>
        <v/>
      </c>
    </row>
    <row r="749">
      <c r="A749">
        <f>Sources!A749</f>
        <v/>
      </c>
      <c r="B749">
        <f>Sources!B749</f>
        <v/>
      </c>
      <c r="C749">
        <f>Sources!D749</f>
        <v/>
      </c>
      <c r="D749">
        <f>Sources!E749</f>
        <v/>
      </c>
      <c r="E749">
        <f>Sources!F749</f>
        <v/>
      </c>
      <c r="F749">
        <f>Sources!H749</f>
        <v/>
      </c>
      <c r="G749">
        <f>IF(ABS(F749-ROUND(F749,0))&lt;0.001,1,0)</f>
        <v/>
      </c>
      <c r="H749">
        <f>IF(G749=1,F749,CEILING(F749,1))</f>
        <v/>
      </c>
      <c r="I749">
        <f>IF(G749=1,0,(H749-F749)*E749)</f>
        <v/>
      </c>
      <c r="J749">
        <f>E749*F749</f>
        <v/>
      </c>
    </row>
    <row r="750">
      <c r="A750">
        <f>Sources!A750</f>
        <v/>
      </c>
      <c r="B750">
        <f>Sources!B750</f>
        <v/>
      </c>
      <c r="C750">
        <f>Sources!D750</f>
        <v/>
      </c>
      <c r="D750">
        <f>Sources!E750</f>
        <v/>
      </c>
      <c r="E750">
        <f>Sources!F750</f>
        <v/>
      </c>
      <c r="F750">
        <f>Sources!H750</f>
        <v/>
      </c>
      <c r="G750">
        <f>IF(ABS(F750-ROUND(F750,0))&lt;0.001,1,0)</f>
        <v/>
      </c>
      <c r="H750">
        <f>IF(G750=1,F750,CEILING(F750,1))</f>
        <v/>
      </c>
      <c r="I750">
        <f>IF(G750=1,0,(H750-F750)*E750)</f>
        <v/>
      </c>
      <c r="J750">
        <f>E750*F750</f>
        <v/>
      </c>
    </row>
    <row r="751">
      <c r="A751">
        <f>Sources!A751</f>
        <v/>
      </c>
      <c r="B751">
        <f>Sources!B751</f>
        <v/>
      </c>
      <c r="C751">
        <f>Sources!D751</f>
        <v/>
      </c>
      <c r="D751">
        <f>Sources!E751</f>
        <v/>
      </c>
      <c r="E751">
        <f>Sources!F751</f>
        <v/>
      </c>
      <c r="F751">
        <f>Sources!H751</f>
        <v/>
      </c>
      <c r="G751">
        <f>IF(ABS(F751-ROUND(F751,0))&lt;0.001,1,0)</f>
        <v/>
      </c>
      <c r="H751">
        <f>IF(G751=1,F751,CEILING(F751,1))</f>
        <v/>
      </c>
      <c r="I751">
        <f>IF(G751=1,0,(H751-F751)*E751)</f>
        <v/>
      </c>
      <c r="J751">
        <f>E751*F751</f>
        <v/>
      </c>
    </row>
    <row r="752">
      <c r="A752">
        <f>Sources!A752</f>
        <v/>
      </c>
      <c r="B752">
        <f>Sources!B752</f>
        <v/>
      </c>
      <c r="C752">
        <f>Sources!D752</f>
        <v/>
      </c>
      <c r="D752">
        <f>Sources!E752</f>
        <v/>
      </c>
      <c r="E752">
        <f>Sources!F752</f>
        <v/>
      </c>
      <c r="F752">
        <f>Sources!H752</f>
        <v/>
      </c>
      <c r="G752">
        <f>IF(ABS(F752-ROUND(F752,0))&lt;0.001,1,0)</f>
        <v/>
      </c>
      <c r="H752">
        <f>IF(G752=1,F752,CEILING(F752,1))</f>
        <v/>
      </c>
      <c r="I752">
        <f>IF(G752=1,0,(H752-F752)*E752)</f>
        <v/>
      </c>
      <c r="J752">
        <f>E752*F752</f>
        <v/>
      </c>
    </row>
    <row r="753">
      <c r="A753">
        <f>Sources!A753</f>
        <v/>
      </c>
      <c r="B753">
        <f>Sources!B753</f>
        <v/>
      </c>
      <c r="C753">
        <f>Sources!D753</f>
        <v/>
      </c>
      <c r="D753">
        <f>Sources!E753</f>
        <v/>
      </c>
      <c r="E753">
        <f>Sources!F753</f>
        <v/>
      </c>
      <c r="F753">
        <f>Sources!H753</f>
        <v/>
      </c>
      <c r="G753">
        <f>IF(ABS(F753-ROUND(F753,0))&lt;0.001,1,0)</f>
        <v/>
      </c>
      <c r="H753">
        <f>IF(G753=1,F753,CEILING(F753,1))</f>
        <v/>
      </c>
      <c r="I753">
        <f>IF(G753=1,0,(H753-F753)*E753)</f>
        <v/>
      </c>
      <c r="J753">
        <f>E753*F753</f>
        <v/>
      </c>
    </row>
    <row r="754">
      <c r="A754">
        <f>Sources!A754</f>
        <v/>
      </c>
      <c r="B754">
        <f>Sources!B754</f>
        <v/>
      </c>
      <c r="C754">
        <f>Sources!D754</f>
        <v/>
      </c>
      <c r="D754">
        <f>Sources!E754</f>
        <v/>
      </c>
      <c r="E754">
        <f>Sources!F754</f>
        <v/>
      </c>
      <c r="F754">
        <f>Sources!H754</f>
        <v/>
      </c>
      <c r="G754">
        <f>IF(ABS(F754-ROUND(F754,0))&lt;0.001,1,0)</f>
        <v/>
      </c>
      <c r="H754">
        <f>IF(G754=1,F754,CEILING(F754,1))</f>
        <v/>
      </c>
      <c r="I754">
        <f>IF(G754=1,0,(H754-F754)*E754)</f>
        <v/>
      </c>
      <c r="J754">
        <f>E754*F754</f>
        <v/>
      </c>
    </row>
    <row r="755">
      <c r="A755">
        <f>Sources!A755</f>
        <v/>
      </c>
      <c r="B755">
        <f>Sources!B755</f>
        <v/>
      </c>
      <c r="C755">
        <f>Sources!D755</f>
        <v/>
      </c>
      <c r="D755">
        <f>Sources!E755</f>
        <v/>
      </c>
      <c r="E755">
        <f>Sources!F755</f>
        <v/>
      </c>
      <c r="F755">
        <f>Sources!H755</f>
        <v/>
      </c>
      <c r="G755">
        <f>IF(ABS(F755-ROUND(F755,0))&lt;0.001,1,0)</f>
        <v/>
      </c>
      <c r="H755">
        <f>IF(G755=1,F755,CEILING(F755,1))</f>
        <v/>
      </c>
      <c r="I755">
        <f>IF(G755=1,0,(H755-F755)*E755)</f>
        <v/>
      </c>
      <c r="J755">
        <f>E755*F755</f>
        <v/>
      </c>
    </row>
    <row r="756">
      <c r="A756">
        <f>Sources!A756</f>
        <v/>
      </c>
      <c r="B756">
        <f>Sources!B756</f>
        <v/>
      </c>
      <c r="C756">
        <f>Sources!D756</f>
        <v/>
      </c>
      <c r="D756">
        <f>Sources!E756</f>
        <v/>
      </c>
      <c r="E756">
        <f>Sources!F756</f>
        <v/>
      </c>
      <c r="F756">
        <f>Sources!H756</f>
        <v/>
      </c>
      <c r="G756">
        <f>IF(ABS(F756-ROUND(F756,0))&lt;0.001,1,0)</f>
        <v/>
      </c>
      <c r="H756">
        <f>IF(G756=1,F756,CEILING(F756,1))</f>
        <v/>
      </c>
      <c r="I756">
        <f>IF(G756=1,0,(H756-F756)*E756)</f>
        <v/>
      </c>
      <c r="J756">
        <f>E756*F756</f>
        <v/>
      </c>
    </row>
    <row r="757">
      <c r="A757">
        <f>Sources!A757</f>
        <v/>
      </c>
      <c r="B757">
        <f>Sources!B757</f>
        <v/>
      </c>
      <c r="C757">
        <f>Sources!D757</f>
        <v/>
      </c>
      <c r="D757">
        <f>Sources!E757</f>
        <v/>
      </c>
      <c r="E757">
        <f>Sources!F757</f>
        <v/>
      </c>
      <c r="F757">
        <f>Sources!H757</f>
        <v/>
      </c>
      <c r="G757">
        <f>IF(ABS(F757-ROUND(F757,0))&lt;0.001,1,0)</f>
        <v/>
      </c>
      <c r="H757">
        <f>IF(G757=1,F757,CEILING(F757,1))</f>
        <v/>
      </c>
      <c r="I757">
        <f>IF(G757=1,0,(H757-F757)*E757)</f>
        <v/>
      </c>
      <c r="J757">
        <f>E757*F757</f>
        <v/>
      </c>
    </row>
    <row r="758">
      <c r="A758">
        <f>Sources!A758</f>
        <v/>
      </c>
      <c r="B758">
        <f>Sources!B758</f>
        <v/>
      </c>
      <c r="C758">
        <f>Sources!D758</f>
        <v/>
      </c>
      <c r="D758">
        <f>Sources!E758</f>
        <v/>
      </c>
      <c r="E758">
        <f>Sources!F758</f>
        <v/>
      </c>
      <c r="F758">
        <f>Sources!H758</f>
        <v/>
      </c>
      <c r="G758">
        <f>IF(ABS(F758-ROUND(F758,0))&lt;0.001,1,0)</f>
        <v/>
      </c>
      <c r="H758">
        <f>IF(G758=1,F758,CEILING(F758,1))</f>
        <v/>
      </c>
      <c r="I758">
        <f>IF(G758=1,0,(H758-F758)*E758)</f>
        <v/>
      </c>
      <c r="J758">
        <f>E758*F758</f>
        <v/>
      </c>
    </row>
    <row r="759">
      <c r="A759">
        <f>Sources!A759</f>
        <v/>
      </c>
      <c r="B759">
        <f>Sources!B759</f>
        <v/>
      </c>
      <c r="C759">
        <f>Sources!D759</f>
        <v/>
      </c>
      <c r="D759">
        <f>Sources!E759</f>
        <v/>
      </c>
      <c r="E759">
        <f>Sources!F759</f>
        <v/>
      </c>
      <c r="F759">
        <f>Sources!H759</f>
        <v/>
      </c>
      <c r="G759">
        <f>IF(ABS(F759-ROUND(F759,0))&lt;0.001,1,0)</f>
        <v/>
      </c>
      <c r="H759">
        <f>IF(G759=1,F759,CEILING(F759,1))</f>
        <v/>
      </c>
      <c r="I759">
        <f>IF(G759=1,0,(H759-F759)*E759)</f>
        <v/>
      </c>
      <c r="J759">
        <f>E759*F759</f>
        <v/>
      </c>
    </row>
    <row r="760">
      <c r="A760">
        <f>Sources!A760</f>
        <v/>
      </c>
      <c r="B760">
        <f>Sources!B760</f>
        <v/>
      </c>
      <c r="C760">
        <f>Sources!D760</f>
        <v/>
      </c>
      <c r="D760">
        <f>Sources!E760</f>
        <v/>
      </c>
      <c r="E760">
        <f>Sources!F760</f>
        <v/>
      </c>
      <c r="F760">
        <f>Sources!H760</f>
        <v/>
      </c>
      <c r="G760">
        <f>IF(ABS(F760-ROUND(F760,0))&lt;0.001,1,0)</f>
        <v/>
      </c>
      <c r="H760">
        <f>IF(G760=1,F760,CEILING(F760,1))</f>
        <v/>
      </c>
      <c r="I760">
        <f>IF(G760=1,0,(H760-F760)*E760)</f>
        <v/>
      </c>
      <c r="J760">
        <f>E760*F760</f>
        <v/>
      </c>
    </row>
    <row r="761">
      <c r="A761">
        <f>Sources!A761</f>
        <v/>
      </c>
      <c r="B761">
        <f>Sources!B761</f>
        <v/>
      </c>
      <c r="C761">
        <f>Sources!D761</f>
        <v/>
      </c>
      <c r="D761">
        <f>Sources!E761</f>
        <v/>
      </c>
      <c r="E761">
        <f>Sources!F761</f>
        <v/>
      </c>
      <c r="F761">
        <f>Sources!H761</f>
        <v/>
      </c>
      <c r="G761">
        <f>IF(ABS(F761-ROUND(F761,0))&lt;0.001,1,0)</f>
        <v/>
      </c>
      <c r="H761">
        <f>IF(G761=1,F761,CEILING(F761,1))</f>
        <v/>
      </c>
      <c r="I761">
        <f>IF(G761=1,0,(H761-F761)*E761)</f>
        <v/>
      </c>
      <c r="J761">
        <f>E761*F761</f>
        <v/>
      </c>
    </row>
    <row r="762">
      <c r="A762">
        <f>Sources!A762</f>
        <v/>
      </c>
      <c r="B762">
        <f>Sources!B762</f>
        <v/>
      </c>
      <c r="C762">
        <f>Sources!D762</f>
        <v/>
      </c>
      <c r="D762">
        <f>Sources!E762</f>
        <v/>
      </c>
      <c r="E762">
        <f>Sources!F762</f>
        <v/>
      </c>
      <c r="F762">
        <f>Sources!H762</f>
        <v/>
      </c>
      <c r="G762">
        <f>IF(ABS(F762-ROUND(F762,0))&lt;0.001,1,0)</f>
        <v/>
      </c>
      <c r="H762">
        <f>IF(G762=1,F762,CEILING(F762,1))</f>
        <v/>
      </c>
      <c r="I762">
        <f>IF(G762=1,0,(H762-F762)*E762)</f>
        <v/>
      </c>
      <c r="J762">
        <f>E762*F762</f>
        <v/>
      </c>
    </row>
    <row r="763">
      <c r="A763">
        <f>Sources!A763</f>
        <v/>
      </c>
      <c r="B763">
        <f>Sources!B763</f>
        <v/>
      </c>
      <c r="C763">
        <f>Sources!D763</f>
        <v/>
      </c>
      <c r="D763">
        <f>Sources!E763</f>
        <v/>
      </c>
      <c r="E763">
        <f>Sources!F763</f>
        <v/>
      </c>
      <c r="F763">
        <f>Sources!H763</f>
        <v/>
      </c>
      <c r="G763">
        <f>IF(ABS(F763-ROUND(F763,0))&lt;0.001,1,0)</f>
        <v/>
      </c>
      <c r="H763">
        <f>IF(G763=1,F763,CEILING(F763,1))</f>
        <v/>
      </c>
      <c r="I763">
        <f>IF(G763=1,0,(H763-F763)*E763)</f>
        <v/>
      </c>
      <c r="J763">
        <f>E763*F763</f>
        <v/>
      </c>
    </row>
    <row r="764">
      <c r="A764">
        <f>Sources!A764</f>
        <v/>
      </c>
      <c r="B764">
        <f>Sources!B764</f>
        <v/>
      </c>
      <c r="C764">
        <f>Sources!D764</f>
        <v/>
      </c>
      <c r="D764">
        <f>Sources!E764</f>
        <v/>
      </c>
      <c r="E764">
        <f>Sources!F764</f>
        <v/>
      </c>
      <c r="F764">
        <f>Sources!H764</f>
        <v/>
      </c>
      <c r="G764">
        <f>IF(ABS(F764-ROUND(F764,0))&lt;0.001,1,0)</f>
        <v/>
      </c>
      <c r="H764">
        <f>IF(G764=1,F764,CEILING(F764,1))</f>
        <v/>
      </c>
      <c r="I764">
        <f>IF(G764=1,0,(H764-F764)*E764)</f>
        <v/>
      </c>
      <c r="J764">
        <f>E764*F764</f>
        <v/>
      </c>
    </row>
    <row r="765">
      <c r="A765">
        <f>Sources!A765</f>
        <v/>
      </c>
      <c r="B765">
        <f>Sources!B765</f>
        <v/>
      </c>
      <c r="C765">
        <f>Sources!D765</f>
        <v/>
      </c>
      <c r="D765">
        <f>Sources!E765</f>
        <v/>
      </c>
      <c r="E765">
        <f>Sources!F765</f>
        <v/>
      </c>
      <c r="F765">
        <f>Sources!H765</f>
        <v/>
      </c>
      <c r="G765">
        <f>IF(ABS(F765-ROUND(F765,0))&lt;0.001,1,0)</f>
        <v/>
      </c>
      <c r="H765">
        <f>IF(G765=1,F765,CEILING(F765,1))</f>
        <v/>
      </c>
      <c r="I765">
        <f>IF(G765=1,0,(H765-F765)*E765)</f>
        <v/>
      </c>
      <c r="J765">
        <f>E765*F765</f>
        <v/>
      </c>
    </row>
    <row r="766">
      <c r="A766">
        <f>Sources!A766</f>
        <v/>
      </c>
      <c r="B766">
        <f>Sources!B766</f>
        <v/>
      </c>
      <c r="C766">
        <f>Sources!D766</f>
        <v/>
      </c>
      <c r="D766">
        <f>Sources!E766</f>
        <v/>
      </c>
      <c r="E766">
        <f>Sources!F766</f>
        <v/>
      </c>
      <c r="F766">
        <f>Sources!H766</f>
        <v/>
      </c>
      <c r="G766">
        <f>IF(ABS(F766-ROUND(F766,0))&lt;0.001,1,0)</f>
        <v/>
      </c>
      <c r="H766">
        <f>IF(G766=1,F766,CEILING(F766,1))</f>
        <v/>
      </c>
      <c r="I766">
        <f>IF(G766=1,0,(H766-F766)*E766)</f>
        <v/>
      </c>
      <c r="J766">
        <f>E766*F766</f>
        <v/>
      </c>
    </row>
    <row r="767">
      <c r="A767">
        <f>Sources!A767</f>
        <v/>
      </c>
      <c r="B767">
        <f>Sources!B767</f>
        <v/>
      </c>
      <c r="C767">
        <f>Sources!D767</f>
        <v/>
      </c>
      <c r="D767">
        <f>Sources!E767</f>
        <v/>
      </c>
      <c r="E767">
        <f>Sources!F767</f>
        <v/>
      </c>
      <c r="F767">
        <f>Sources!H767</f>
        <v/>
      </c>
      <c r="G767">
        <f>IF(ABS(F767-ROUND(F767,0))&lt;0.001,1,0)</f>
        <v/>
      </c>
      <c r="H767">
        <f>IF(G767=1,F767,CEILING(F767,1))</f>
        <v/>
      </c>
      <c r="I767">
        <f>IF(G767=1,0,(H767-F767)*E767)</f>
        <v/>
      </c>
      <c r="J767">
        <f>E767*F767</f>
        <v/>
      </c>
    </row>
    <row r="768">
      <c r="A768">
        <f>Sources!A768</f>
        <v/>
      </c>
      <c r="B768">
        <f>Sources!B768</f>
        <v/>
      </c>
      <c r="C768">
        <f>Sources!D768</f>
        <v/>
      </c>
      <c r="D768">
        <f>Sources!E768</f>
        <v/>
      </c>
      <c r="E768">
        <f>Sources!F768</f>
        <v/>
      </c>
      <c r="F768">
        <f>Sources!H768</f>
        <v/>
      </c>
      <c r="G768">
        <f>IF(ABS(F768-ROUND(F768,0))&lt;0.001,1,0)</f>
        <v/>
      </c>
      <c r="H768">
        <f>IF(G768=1,F768,CEILING(F768,1))</f>
        <v/>
      </c>
      <c r="I768">
        <f>IF(G768=1,0,(H768-F768)*E768)</f>
        <v/>
      </c>
      <c r="J768">
        <f>E768*F768</f>
        <v/>
      </c>
    </row>
    <row r="769">
      <c r="A769">
        <f>Sources!A769</f>
        <v/>
      </c>
      <c r="B769">
        <f>Sources!B769</f>
        <v/>
      </c>
      <c r="C769">
        <f>Sources!D769</f>
        <v/>
      </c>
      <c r="D769">
        <f>Sources!E769</f>
        <v/>
      </c>
      <c r="E769">
        <f>Sources!F769</f>
        <v/>
      </c>
      <c r="F769">
        <f>Sources!H769</f>
        <v/>
      </c>
      <c r="G769">
        <f>IF(ABS(F769-ROUND(F769,0))&lt;0.001,1,0)</f>
        <v/>
      </c>
      <c r="H769">
        <f>IF(G769=1,F769,CEILING(F769,1))</f>
        <v/>
      </c>
      <c r="I769">
        <f>IF(G769=1,0,(H769-F769)*E769)</f>
        <v/>
      </c>
      <c r="J769">
        <f>E769*F769</f>
        <v/>
      </c>
    </row>
    <row r="770">
      <c r="A770">
        <f>Sources!A770</f>
        <v/>
      </c>
      <c r="B770">
        <f>Sources!B770</f>
        <v/>
      </c>
      <c r="C770">
        <f>Sources!D770</f>
        <v/>
      </c>
      <c r="D770">
        <f>Sources!E770</f>
        <v/>
      </c>
      <c r="E770">
        <f>Sources!F770</f>
        <v/>
      </c>
      <c r="F770">
        <f>Sources!H770</f>
        <v/>
      </c>
      <c r="G770">
        <f>IF(ABS(F770-ROUND(F770,0))&lt;0.001,1,0)</f>
        <v/>
      </c>
      <c r="H770">
        <f>IF(G770=1,F770,CEILING(F770,1))</f>
        <v/>
      </c>
      <c r="I770">
        <f>IF(G770=1,0,(H770-F770)*E770)</f>
        <v/>
      </c>
      <c r="J770">
        <f>E770*F770</f>
        <v/>
      </c>
    </row>
    <row r="771">
      <c r="A771">
        <f>Sources!A771</f>
        <v/>
      </c>
      <c r="B771">
        <f>Sources!B771</f>
        <v/>
      </c>
      <c r="C771">
        <f>Sources!D771</f>
        <v/>
      </c>
      <c r="D771">
        <f>Sources!E771</f>
        <v/>
      </c>
      <c r="E771">
        <f>Sources!F771</f>
        <v/>
      </c>
      <c r="F771">
        <f>Sources!H771</f>
        <v/>
      </c>
      <c r="G771">
        <f>IF(ABS(F771-ROUND(F771,0))&lt;0.001,1,0)</f>
        <v/>
      </c>
      <c r="H771">
        <f>IF(G771=1,F771,CEILING(F771,1))</f>
        <v/>
      </c>
      <c r="I771">
        <f>IF(G771=1,0,(H771-F771)*E771)</f>
        <v/>
      </c>
      <c r="J771">
        <f>E771*F771</f>
        <v/>
      </c>
    </row>
    <row r="772">
      <c r="A772">
        <f>Sources!A772</f>
        <v/>
      </c>
      <c r="B772">
        <f>Sources!B772</f>
        <v/>
      </c>
      <c r="C772">
        <f>Sources!D772</f>
        <v/>
      </c>
      <c r="D772">
        <f>Sources!E772</f>
        <v/>
      </c>
      <c r="E772">
        <f>Sources!F772</f>
        <v/>
      </c>
      <c r="F772">
        <f>Sources!H772</f>
        <v/>
      </c>
      <c r="G772">
        <f>IF(ABS(F772-ROUND(F772,0))&lt;0.001,1,0)</f>
        <v/>
      </c>
      <c r="H772">
        <f>IF(G772=1,F772,CEILING(F772,1))</f>
        <v/>
      </c>
      <c r="I772">
        <f>IF(G772=1,0,(H772-F772)*E772)</f>
        <v/>
      </c>
      <c r="J772">
        <f>E772*F772</f>
        <v/>
      </c>
    </row>
    <row r="773">
      <c r="A773">
        <f>Sources!A773</f>
        <v/>
      </c>
      <c r="B773">
        <f>Sources!B773</f>
        <v/>
      </c>
      <c r="C773">
        <f>Sources!D773</f>
        <v/>
      </c>
      <c r="D773">
        <f>Sources!E773</f>
        <v/>
      </c>
      <c r="E773">
        <f>Sources!F773</f>
        <v/>
      </c>
      <c r="F773">
        <f>Sources!H773</f>
        <v/>
      </c>
      <c r="G773">
        <f>IF(ABS(F773-ROUND(F773,0))&lt;0.001,1,0)</f>
        <v/>
      </c>
      <c r="H773">
        <f>IF(G773=1,F773,CEILING(F773,1))</f>
        <v/>
      </c>
      <c r="I773">
        <f>IF(G773=1,0,(H773-F773)*E773)</f>
        <v/>
      </c>
      <c r="J773">
        <f>E773*F773</f>
        <v/>
      </c>
    </row>
    <row r="774">
      <c r="A774">
        <f>Sources!A774</f>
        <v/>
      </c>
      <c r="B774">
        <f>Sources!B774</f>
        <v/>
      </c>
      <c r="C774">
        <f>Sources!D774</f>
        <v/>
      </c>
      <c r="D774">
        <f>Sources!E774</f>
        <v/>
      </c>
      <c r="E774">
        <f>Sources!F774</f>
        <v/>
      </c>
      <c r="F774">
        <f>Sources!H774</f>
        <v/>
      </c>
      <c r="G774">
        <f>IF(ABS(F774-ROUND(F774,0))&lt;0.001,1,0)</f>
        <v/>
      </c>
      <c r="H774">
        <f>IF(G774=1,F774,CEILING(F774,1))</f>
        <v/>
      </c>
      <c r="I774">
        <f>IF(G774=1,0,(H774-F774)*E774)</f>
        <v/>
      </c>
      <c r="J774">
        <f>E774*F774</f>
        <v/>
      </c>
    </row>
    <row r="775">
      <c r="A775">
        <f>Sources!A775</f>
        <v/>
      </c>
      <c r="B775">
        <f>Sources!B775</f>
        <v/>
      </c>
      <c r="C775">
        <f>Sources!D775</f>
        <v/>
      </c>
      <c r="D775">
        <f>Sources!E775</f>
        <v/>
      </c>
      <c r="E775">
        <f>Sources!F775</f>
        <v/>
      </c>
      <c r="F775">
        <f>Sources!H775</f>
        <v/>
      </c>
      <c r="G775">
        <f>IF(ABS(F775-ROUND(F775,0))&lt;0.001,1,0)</f>
        <v/>
      </c>
      <c r="H775">
        <f>IF(G775=1,F775,CEILING(F775,1))</f>
        <v/>
      </c>
      <c r="I775">
        <f>IF(G775=1,0,(H775-F775)*E775)</f>
        <v/>
      </c>
      <c r="J775">
        <f>E775*F775</f>
        <v/>
      </c>
    </row>
    <row r="776">
      <c r="A776">
        <f>Sources!A776</f>
        <v/>
      </c>
      <c r="B776">
        <f>Sources!B776</f>
        <v/>
      </c>
      <c r="C776">
        <f>Sources!D776</f>
        <v/>
      </c>
      <c r="D776">
        <f>Sources!E776</f>
        <v/>
      </c>
      <c r="E776">
        <f>Sources!F776</f>
        <v/>
      </c>
      <c r="F776">
        <f>Sources!H776</f>
        <v/>
      </c>
      <c r="G776">
        <f>IF(ABS(F776-ROUND(F776,0))&lt;0.001,1,0)</f>
        <v/>
      </c>
      <c r="H776">
        <f>IF(G776=1,F776,CEILING(F776,1))</f>
        <v/>
      </c>
      <c r="I776">
        <f>IF(G776=1,0,(H776-F776)*E776)</f>
        <v/>
      </c>
      <c r="J776">
        <f>E776*F776</f>
        <v/>
      </c>
    </row>
    <row r="777">
      <c r="A777">
        <f>Sources!A777</f>
        <v/>
      </c>
      <c r="B777">
        <f>Sources!B777</f>
        <v/>
      </c>
      <c r="C777">
        <f>Sources!D777</f>
        <v/>
      </c>
      <c r="D777">
        <f>Sources!E777</f>
        <v/>
      </c>
      <c r="E777">
        <f>Sources!F777</f>
        <v/>
      </c>
      <c r="F777">
        <f>Sources!H777</f>
        <v/>
      </c>
      <c r="G777">
        <f>IF(ABS(F777-ROUND(F777,0))&lt;0.001,1,0)</f>
        <v/>
      </c>
      <c r="H777">
        <f>IF(G777=1,F777,CEILING(F777,1))</f>
        <v/>
      </c>
      <c r="I777">
        <f>IF(G777=1,0,(H777-F777)*E777)</f>
        <v/>
      </c>
      <c r="J777">
        <f>E777*F777</f>
        <v/>
      </c>
    </row>
    <row r="778">
      <c r="A778">
        <f>Sources!A778</f>
        <v/>
      </c>
      <c r="B778">
        <f>Sources!B778</f>
        <v/>
      </c>
      <c r="C778">
        <f>Sources!D778</f>
        <v/>
      </c>
      <c r="D778">
        <f>Sources!E778</f>
        <v/>
      </c>
      <c r="E778">
        <f>Sources!F778</f>
        <v/>
      </c>
      <c r="F778">
        <f>Sources!H778</f>
        <v/>
      </c>
      <c r="G778">
        <f>IF(ABS(F778-ROUND(F778,0))&lt;0.001,1,0)</f>
        <v/>
      </c>
      <c r="H778">
        <f>IF(G778=1,F778,CEILING(F778,1))</f>
        <v/>
      </c>
      <c r="I778">
        <f>IF(G778=1,0,(H778-F778)*E778)</f>
        <v/>
      </c>
      <c r="J778">
        <f>E778*F778</f>
        <v/>
      </c>
    </row>
    <row r="779">
      <c r="A779">
        <f>Sources!A779</f>
        <v/>
      </c>
      <c r="B779">
        <f>Sources!B779</f>
        <v/>
      </c>
      <c r="C779">
        <f>Sources!D779</f>
        <v/>
      </c>
      <c r="D779">
        <f>Sources!E779</f>
        <v/>
      </c>
      <c r="E779">
        <f>Sources!F779</f>
        <v/>
      </c>
      <c r="F779">
        <f>Sources!H779</f>
        <v/>
      </c>
      <c r="G779">
        <f>IF(ABS(F779-ROUND(F779,0))&lt;0.001,1,0)</f>
        <v/>
      </c>
      <c r="H779">
        <f>IF(G779=1,F779,CEILING(F779,1))</f>
        <v/>
      </c>
      <c r="I779">
        <f>IF(G779=1,0,(H779-F779)*E779)</f>
        <v/>
      </c>
      <c r="J779">
        <f>E779*F779</f>
        <v/>
      </c>
    </row>
    <row r="780">
      <c r="A780">
        <f>Sources!A780</f>
        <v/>
      </c>
      <c r="B780">
        <f>Sources!B780</f>
        <v/>
      </c>
      <c r="C780">
        <f>Sources!D780</f>
        <v/>
      </c>
      <c r="D780">
        <f>Sources!E780</f>
        <v/>
      </c>
      <c r="E780">
        <f>Sources!F780</f>
        <v/>
      </c>
      <c r="F780">
        <f>Sources!H780</f>
        <v/>
      </c>
      <c r="G780">
        <f>IF(ABS(F780-ROUND(F780,0))&lt;0.001,1,0)</f>
        <v/>
      </c>
      <c r="H780">
        <f>IF(G780=1,F780,CEILING(F780,1))</f>
        <v/>
      </c>
      <c r="I780">
        <f>IF(G780=1,0,(H780-F780)*E780)</f>
        <v/>
      </c>
      <c r="J780">
        <f>E780*F780</f>
        <v/>
      </c>
    </row>
    <row r="781">
      <c r="A781">
        <f>Sources!A781</f>
        <v/>
      </c>
      <c r="B781">
        <f>Sources!B781</f>
        <v/>
      </c>
      <c r="C781">
        <f>Sources!D781</f>
        <v/>
      </c>
      <c r="D781">
        <f>Sources!E781</f>
        <v/>
      </c>
      <c r="E781">
        <f>Sources!F781</f>
        <v/>
      </c>
      <c r="F781">
        <f>Sources!H781</f>
        <v/>
      </c>
      <c r="G781">
        <f>IF(ABS(F781-ROUND(F781,0))&lt;0.001,1,0)</f>
        <v/>
      </c>
      <c r="H781">
        <f>IF(G781=1,F781,CEILING(F781,1))</f>
        <v/>
      </c>
      <c r="I781">
        <f>IF(G781=1,0,(H781-F781)*E781)</f>
        <v/>
      </c>
      <c r="J781">
        <f>E781*F781</f>
        <v/>
      </c>
    </row>
    <row r="782">
      <c r="A782">
        <f>Sources!A782</f>
        <v/>
      </c>
      <c r="B782">
        <f>Sources!B782</f>
        <v/>
      </c>
      <c r="C782">
        <f>Sources!D782</f>
        <v/>
      </c>
      <c r="D782">
        <f>Sources!E782</f>
        <v/>
      </c>
      <c r="E782">
        <f>Sources!F782</f>
        <v/>
      </c>
      <c r="F782">
        <f>Sources!H782</f>
        <v/>
      </c>
      <c r="G782">
        <f>IF(ABS(F782-ROUND(F782,0))&lt;0.001,1,0)</f>
        <v/>
      </c>
      <c r="H782">
        <f>IF(G782=1,F782,CEILING(F782,1))</f>
        <v/>
      </c>
      <c r="I782">
        <f>IF(G782=1,0,(H782-F782)*E782)</f>
        <v/>
      </c>
      <c r="J782">
        <f>E782*F782</f>
        <v/>
      </c>
    </row>
    <row r="783">
      <c r="A783">
        <f>Sources!A783</f>
        <v/>
      </c>
      <c r="B783">
        <f>Sources!B783</f>
        <v/>
      </c>
      <c r="C783">
        <f>Sources!D783</f>
        <v/>
      </c>
      <c r="D783">
        <f>Sources!E783</f>
        <v/>
      </c>
      <c r="E783">
        <f>Sources!F783</f>
        <v/>
      </c>
      <c r="F783">
        <f>Sources!H783</f>
        <v/>
      </c>
      <c r="G783">
        <f>IF(ABS(F783-ROUND(F783,0))&lt;0.001,1,0)</f>
        <v/>
      </c>
      <c r="H783">
        <f>IF(G783=1,F783,CEILING(F783,1))</f>
        <v/>
      </c>
      <c r="I783">
        <f>IF(G783=1,0,(H783-F783)*E783)</f>
        <v/>
      </c>
      <c r="J783">
        <f>E783*F783</f>
        <v/>
      </c>
    </row>
    <row r="784">
      <c r="A784">
        <f>Sources!A784</f>
        <v/>
      </c>
      <c r="B784">
        <f>Sources!B784</f>
        <v/>
      </c>
      <c r="C784">
        <f>Sources!D784</f>
        <v/>
      </c>
      <c r="D784">
        <f>Sources!E784</f>
        <v/>
      </c>
      <c r="E784">
        <f>Sources!F784</f>
        <v/>
      </c>
      <c r="F784">
        <f>Sources!H784</f>
        <v/>
      </c>
      <c r="G784">
        <f>IF(ABS(F784-ROUND(F784,0))&lt;0.001,1,0)</f>
        <v/>
      </c>
      <c r="H784">
        <f>IF(G784=1,F784,CEILING(F784,1))</f>
        <v/>
      </c>
      <c r="I784">
        <f>IF(G784=1,0,(H784-F784)*E784)</f>
        <v/>
      </c>
      <c r="J784">
        <f>E784*F784</f>
        <v/>
      </c>
    </row>
    <row r="785">
      <c r="A785">
        <f>Sources!A785</f>
        <v/>
      </c>
      <c r="B785">
        <f>Sources!B785</f>
        <v/>
      </c>
      <c r="C785">
        <f>Sources!D785</f>
        <v/>
      </c>
      <c r="D785">
        <f>Sources!E785</f>
        <v/>
      </c>
      <c r="E785">
        <f>Sources!F785</f>
        <v/>
      </c>
      <c r="F785">
        <f>Sources!H785</f>
        <v/>
      </c>
      <c r="G785">
        <f>IF(ABS(F785-ROUND(F785,0))&lt;0.001,1,0)</f>
        <v/>
      </c>
      <c r="H785">
        <f>IF(G785=1,F785,CEILING(F785,1))</f>
        <v/>
      </c>
      <c r="I785">
        <f>IF(G785=1,0,(H785-F785)*E785)</f>
        <v/>
      </c>
      <c r="J785">
        <f>E785*F785</f>
        <v/>
      </c>
    </row>
    <row r="786">
      <c r="A786">
        <f>Sources!A786</f>
        <v/>
      </c>
      <c r="B786">
        <f>Sources!B786</f>
        <v/>
      </c>
      <c r="C786">
        <f>Sources!D786</f>
        <v/>
      </c>
      <c r="D786">
        <f>Sources!E786</f>
        <v/>
      </c>
      <c r="E786">
        <f>Sources!F786</f>
        <v/>
      </c>
      <c r="F786">
        <f>Sources!H786</f>
        <v/>
      </c>
      <c r="G786">
        <f>IF(ABS(F786-ROUND(F786,0))&lt;0.001,1,0)</f>
        <v/>
      </c>
      <c r="H786">
        <f>IF(G786=1,F786,CEILING(F786,1))</f>
        <v/>
      </c>
      <c r="I786">
        <f>IF(G786=1,0,(H786-F786)*E786)</f>
        <v/>
      </c>
      <c r="J786">
        <f>E786*F786</f>
        <v/>
      </c>
    </row>
    <row r="787">
      <c r="A787">
        <f>Sources!A787</f>
        <v/>
      </c>
      <c r="B787">
        <f>Sources!B787</f>
        <v/>
      </c>
      <c r="C787">
        <f>Sources!D787</f>
        <v/>
      </c>
      <c r="D787">
        <f>Sources!E787</f>
        <v/>
      </c>
      <c r="E787">
        <f>Sources!F787</f>
        <v/>
      </c>
      <c r="F787">
        <f>Sources!H787</f>
        <v/>
      </c>
      <c r="G787">
        <f>IF(ABS(F787-ROUND(F787,0))&lt;0.001,1,0)</f>
        <v/>
      </c>
      <c r="H787">
        <f>IF(G787=1,F787,CEILING(F787,1))</f>
        <v/>
      </c>
      <c r="I787">
        <f>IF(G787=1,0,(H787-F787)*E787)</f>
        <v/>
      </c>
      <c r="J787">
        <f>E787*F787</f>
        <v/>
      </c>
    </row>
    <row r="788">
      <c r="A788">
        <f>Sources!A788</f>
        <v/>
      </c>
      <c r="B788">
        <f>Sources!B788</f>
        <v/>
      </c>
      <c r="C788">
        <f>Sources!D788</f>
        <v/>
      </c>
      <c r="D788">
        <f>Sources!E788</f>
        <v/>
      </c>
      <c r="E788">
        <f>Sources!F788</f>
        <v/>
      </c>
      <c r="F788">
        <f>Sources!H788</f>
        <v/>
      </c>
      <c r="G788">
        <f>IF(ABS(F788-ROUND(F788,0))&lt;0.001,1,0)</f>
        <v/>
      </c>
      <c r="H788">
        <f>IF(G788=1,F788,CEILING(F788,1))</f>
        <v/>
      </c>
      <c r="I788">
        <f>IF(G788=1,0,(H788-F788)*E788)</f>
        <v/>
      </c>
      <c r="J788">
        <f>E788*F788</f>
        <v/>
      </c>
    </row>
    <row r="789">
      <c r="A789">
        <f>Sources!A789</f>
        <v/>
      </c>
      <c r="B789">
        <f>Sources!B789</f>
        <v/>
      </c>
      <c r="C789">
        <f>Sources!D789</f>
        <v/>
      </c>
      <c r="D789">
        <f>Sources!E789</f>
        <v/>
      </c>
      <c r="E789">
        <f>Sources!F789</f>
        <v/>
      </c>
      <c r="F789">
        <f>Sources!H789</f>
        <v/>
      </c>
      <c r="G789">
        <f>IF(ABS(F789-ROUND(F789,0))&lt;0.001,1,0)</f>
        <v/>
      </c>
      <c r="H789">
        <f>IF(G789=1,F789,CEILING(F789,1))</f>
        <v/>
      </c>
      <c r="I789">
        <f>IF(G789=1,0,(H789-F789)*E789)</f>
        <v/>
      </c>
      <c r="J789">
        <f>E789*F789</f>
        <v/>
      </c>
    </row>
    <row r="790">
      <c r="A790">
        <f>Sources!A790</f>
        <v/>
      </c>
      <c r="B790">
        <f>Sources!B790</f>
        <v/>
      </c>
      <c r="C790">
        <f>Sources!D790</f>
        <v/>
      </c>
      <c r="D790">
        <f>Sources!E790</f>
        <v/>
      </c>
      <c r="E790">
        <f>Sources!F790</f>
        <v/>
      </c>
      <c r="F790">
        <f>Sources!H790</f>
        <v/>
      </c>
      <c r="G790">
        <f>IF(ABS(F790-ROUND(F790,0))&lt;0.001,1,0)</f>
        <v/>
      </c>
      <c r="H790">
        <f>IF(G790=1,F790,CEILING(F790,1))</f>
        <v/>
      </c>
      <c r="I790">
        <f>IF(G790=1,0,(H790-F790)*E790)</f>
        <v/>
      </c>
      <c r="J790">
        <f>E790*F790</f>
        <v/>
      </c>
    </row>
    <row r="791">
      <c r="A791">
        <f>Sources!A791</f>
        <v/>
      </c>
      <c r="B791">
        <f>Sources!B791</f>
        <v/>
      </c>
      <c r="C791">
        <f>Sources!D791</f>
        <v/>
      </c>
      <c r="D791">
        <f>Sources!E791</f>
        <v/>
      </c>
      <c r="E791">
        <f>Sources!F791</f>
        <v/>
      </c>
      <c r="F791">
        <f>Sources!H791</f>
        <v/>
      </c>
      <c r="G791">
        <f>IF(ABS(F791-ROUND(F791,0))&lt;0.001,1,0)</f>
        <v/>
      </c>
      <c r="H791">
        <f>IF(G791=1,F791,CEILING(F791,1))</f>
        <v/>
      </c>
      <c r="I791">
        <f>IF(G791=1,0,(H791-F791)*E791)</f>
        <v/>
      </c>
      <c r="J791">
        <f>E791*F791</f>
        <v/>
      </c>
    </row>
    <row r="792">
      <c r="A792">
        <f>Sources!A792</f>
        <v/>
      </c>
      <c r="B792">
        <f>Sources!B792</f>
        <v/>
      </c>
      <c r="C792">
        <f>Sources!D792</f>
        <v/>
      </c>
      <c r="D792">
        <f>Sources!E792</f>
        <v/>
      </c>
      <c r="E792">
        <f>Sources!F792</f>
        <v/>
      </c>
      <c r="F792">
        <f>Sources!H792</f>
        <v/>
      </c>
      <c r="G792">
        <f>IF(ABS(F792-ROUND(F792,0))&lt;0.001,1,0)</f>
        <v/>
      </c>
      <c r="H792">
        <f>IF(G792=1,F792,CEILING(F792,1))</f>
        <v/>
      </c>
      <c r="I792">
        <f>IF(G792=1,0,(H792-F792)*E792)</f>
        <v/>
      </c>
      <c r="J792">
        <f>E792*F792</f>
        <v/>
      </c>
    </row>
    <row r="793">
      <c r="A793">
        <f>Sources!A793</f>
        <v/>
      </c>
      <c r="B793">
        <f>Sources!B793</f>
        <v/>
      </c>
      <c r="C793">
        <f>Sources!D793</f>
        <v/>
      </c>
      <c r="D793">
        <f>Sources!E793</f>
        <v/>
      </c>
      <c r="E793">
        <f>Sources!F793</f>
        <v/>
      </c>
      <c r="F793">
        <f>Sources!H793</f>
        <v/>
      </c>
      <c r="G793">
        <f>IF(ABS(F793-ROUND(F793,0))&lt;0.001,1,0)</f>
        <v/>
      </c>
      <c r="H793">
        <f>IF(G793=1,F793,CEILING(F793,1))</f>
        <v/>
      </c>
      <c r="I793">
        <f>IF(G793=1,0,(H793-F793)*E793)</f>
        <v/>
      </c>
      <c r="J793">
        <f>E793*F793</f>
        <v/>
      </c>
    </row>
    <row r="794">
      <c r="A794">
        <f>Sources!A794</f>
        <v/>
      </c>
      <c r="B794">
        <f>Sources!B794</f>
        <v/>
      </c>
      <c r="C794">
        <f>Sources!D794</f>
        <v/>
      </c>
      <c r="D794">
        <f>Sources!E794</f>
        <v/>
      </c>
      <c r="E794">
        <f>Sources!F794</f>
        <v/>
      </c>
      <c r="F794">
        <f>Sources!H794</f>
        <v/>
      </c>
      <c r="G794">
        <f>IF(ABS(F794-ROUND(F794,0))&lt;0.001,1,0)</f>
        <v/>
      </c>
      <c r="H794">
        <f>IF(G794=1,F794,CEILING(F794,1))</f>
        <v/>
      </c>
      <c r="I794">
        <f>IF(G794=1,0,(H794-F794)*E794)</f>
        <v/>
      </c>
      <c r="J794">
        <f>E794*F794</f>
        <v/>
      </c>
    </row>
    <row r="795">
      <c r="A795">
        <f>Sources!A795</f>
        <v/>
      </c>
      <c r="B795">
        <f>Sources!B795</f>
        <v/>
      </c>
      <c r="C795">
        <f>Sources!D795</f>
        <v/>
      </c>
      <c r="D795">
        <f>Sources!E795</f>
        <v/>
      </c>
      <c r="E795">
        <f>Sources!F795</f>
        <v/>
      </c>
      <c r="F795">
        <f>Sources!H795</f>
        <v/>
      </c>
      <c r="G795">
        <f>IF(ABS(F795-ROUND(F795,0))&lt;0.001,1,0)</f>
        <v/>
      </c>
      <c r="H795">
        <f>IF(G795=1,F795,CEILING(F795,1))</f>
        <v/>
      </c>
      <c r="I795">
        <f>IF(G795=1,0,(H795-F795)*E795)</f>
        <v/>
      </c>
      <c r="J795">
        <f>E795*F795</f>
        <v/>
      </c>
    </row>
    <row r="796">
      <c r="A796">
        <f>Sources!A796</f>
        <v/>
      </c>
      <c r="B796">
        <f>Sources!B796</f>
        <v/>
      </c>
      <c r="C796">
        <f>Sources!D796</f>
        <v/>
      </c>
      <c r="D796">
        <f>Sources!E796</f>
        <v/>
      </c>
      <c r="E796">
        <f>Sources!F796</f>
        <v/>
      </c>
      <c r="F796">
        <f>Sources!H796</f>
        <v/>
      </c>
      <c r="G796">
        <f>IF(ABS(F796-ROUND(F796,0))&lt;0.001,1,0)</f>
        <v/>
      </c>
      <c r="H796">
        <f>IF(G796=1,F796,CEILING(F796,1))</f>
        <v/>
      </c>
      <c r="I796">
        <f>IF(G796=1,0,(H796-F796)*E796)</f>
        <v/>
      </c>
      <c r="J796">
        <f>E796*F796</f>
        <v/>
      </c>
    </row>
    <row r="797">
      <c r="A797">
        <f>Sources!A797</f>
        <v/>
      </c>
      <c r="B797">
        <f>Sources!B797</f>
        <v/>
      </c>
      <c r="C797">
        <f>Sources!D797</f>
        <v/>
      </c>
      <c r="D797">
        <f>Sources!E797</f>
        <v/>
      </c>
      <c r="E797">
        <f>Sources!F797</f>
        <v/>
      </c>
      <c r="F797">
        <f>Sources!H797</f>
        <v/>
      </c>
      <c r="G797">
        <f>IF(ABS(F797-ROUND(F797,0))&lt;0.001,1,0)</f>
        <v/>
      </c>
      <c r="H797">
        <f>IF(G797=1,F797,CEILING(F797,1))</f>
        <v/>
      </c>
      <c r="I797">
        <f>IF(G797=1,0,(H797-F797)*E797)</f>
        <v/>
      </c>
      <c r="J797">
        <f>E797*F797</f>
        <v/>
      </c>
    </row>
    <row r="798">
      <c r="A798">
        <f>Sources!A798</f>
        <v/>
      </c>
      <c r="B798">
        <f>Sources!B798</f>
        <v/>
      </c>
      <c r="C798">
        <f>Sources!D798</f>
        <v/>
      </c>
      <c r="D798">
        <f>Sources!E798</f>
        <v/>
      </c>
      <c r="E798">
        <f>Sources!F798</f>
        <v/>
      </c>
      <c r="F798">
        <f>Sources!H798</f>
        <v/>
      </c>
      <c r="G798">
        <f>IF(ABS(F798-ROUND(F798,0))&lt;0.001,1,0)</f>
        <v/>
      </c>
      <c r="H798">
        <f>IF(G798=1,F798,CEILING(F798,1))</f>
        <v/>
      </c>
      <c r="I798">
        <f>IF(G798=1,0,(H798-F798)*E798)</f>
        <v/>
      </c>
      <c r="J798">
        <f>E798*F798</f>
        <v/>
      </c>
    </row>
    <row r="799">
      <c r="A799">
        <f>Sources!A799</f>
        <v/>
      </c>
      <c r="B799">
        <f>Sources!B799</f>
        <v/>
      </c>
      <c r="C799">
        <f>Sources!D799</f>
        <v/>
      </c>
      <c r="D799">
        <f>Sources!E799</f>
        <v/>
      </c>
      <c r="E799">
        <f>Sources!F799</f>
        <v/>
      </c>
      <c r="F799">
        <f>Sources!H799</f>
        <v/>
      </c>
      <c r="G799">
        <f>IF(ABS(F799-ROUND(F799,0))&lt;0.001,1,0)</f>
        <v/>
      </c>
      <c r="H799">
        <f>IF(G799=1,F799,CEILING(F799,1))</f>
        <v/>
      </c>
      <c r="I799">
        <f>IF(G799=1,0,(H799-F799)*E799)</f>
        <v/>
      </c>
      <c r="J799">
        <f>E799*F799</f>
        <v/>
      </c>
    </row>
    <row r="800">
      <c r="A800">
        <f>Sources!A800</f>
        <v/>
      </c>
      <c r="B800">
        <f>Sources!B800</f>
        <v/>
      </c>
      <c r="C800">
        <f>Sources!D800</f>
        <v/>
      </c>
      <c r="D800">
        <f>Sources!E800</f>
        <v/>
      </c>
      <c r="E800">
        <f>Sources!F800</f>
        <v/>
      </c>
      <c r="F800">
        <f>Sources!H800</f>
        <v/>
      </c>
      <c r="G800">
        <f>IF(ABS(F800-ROUND(F800,0))&lt;0.001,1,0)</f>
        <v/>
      </c>
      <c r="H800">
        <f>IF(G800=1,F800,CEILING(F800,1))</f>
        <v/>
      </c>
      <c r="I800">
        <f>IF(G800=1,0,(H800-F800)*E800)</f>
        <v/>
      </c>
      <c r="J800">
        <f>E800*F800</f>
        <v/>
      </c>
    </row>
    <row r="801">
      <c r="A801">
        <f>Sources!A801</f>
        <v/>
      </c>
      <c r="B801">
        <f>Sources!B801</f>
        <v/>
      </c>
      <c r="C801">
        <f>Sources!D801</f>
        <v/>
      </c>
      <c r="D801">
        <f>Sources!E801</f>
        <v/>
      </c>
      <c r="E801">
        <f>Sources!F801</f>
        <v/>
      </c>
      <c r="F801">
        <f>Sources!H801</f>
        <v/>
      </c>
      <c r="G801">
        <f>IF(ABS(F801-ROUND(F801,0))&lt;0.001,1,0)</f>
        <v/>
      </c>
      <c r="H801">
        <f>IF(G801=1,F801,CEILING(F801,1))</f>
        <v/>
      </c>
      <c r="I801">
        <f>IF(G801=1,0,(H801-F801)*E801)</f>
        <v/>
      </c>
      <c r="J801">
        <f>E801*F801</f>
        <v/>
      </c>
    </row>
    <row r="802">
      <c r="A802">
        <f>Sources!A802</f>
        <v/>
      </c>
      <c r="B802">
        <f>Sources!B802</f>
        <v/>
      </c>
      <c r="C802">
        <f>Sources!D802</f>
        <v/>
      </c>
      <c r="D802">
        <f>Sources!E802</f>
        <v/>
      </c>
      <c r="E802">
        <f>Sources!F802</f>
        <v/>
      </c>
      <c r="F802">
        <f>Sources!H802</f>
        <v/>
      </c>
      <c r="G802">
        <f>IF(ABS(F802-ROUND(F802,0))&lt;0.001,1,0)</f>
        <v/>
      </c>
      <c r="H802">
        <f>IF(G802=1,F802,CEILING(F802,1))</f>
        <v/>
      </c>
      <c r="I802">
        <f>IF(G802=1,0,(H802-F802)*E802)</f>
        <v/>
      </c>
      <c r="J802">
        <f>E802*F802</f>
        <v/>
      </c>
    </row>
    <row r="803">
      <c r="A803">
        <f>Sources!A803</f>
        <v/>
      </c>
      <c r="B803">
        <f>Sources!B803</f>
        <v/>
      </c>
      <c r="C803">
        <f>Sources!D803</f>
        <v/>
      </c>
      <c r="D803">
        <f>Sources!E803</f>
        <v/>
      </c>
      <c r="E803">
        <f>Sources!F803</f>
        <v/>
      </c>
      <c r="F803">
        <f>Sources!H803</f>
        <v/>
      </c>
      <c r="G803">
        <f>IF(ABS(F803-ROUND(F803,0))&lt;0.001,1,0)</f>
        <v/>
      </c>
      <c r="H803">
        <f>IF(G803=1,F803,CEILING(F803,1))</f>
        <v/>
      </c>
      <c r="I803">
        <f>IF(G803=1,0,(H803-F803)*E803)</f>
        <v/>
      </c>
      <c r="J803">
        <f>E803*F803</f>
        <v/>
      </c>
    </row>
    <row r="804">
      <c r="A804">
        <f>Sources!A804</f>
        <v/>
      </c>
      <c r="B804">
        <f>Sources!B804</f>
        <v/>
      </c>
      <c r="C804">
        <f>Sources!D804</f>
        <v/>
      </c>
      <c r="D804">
        <f>Sources!E804</f>
        <v/>
      </c>
      <c r="E804">
        <f>Sources!F804</f>
        <v/>
      </c>
      <c r="F804">
        <f>Sources!H804</f>
        <v/>
      </c>
      <c r="G804">
        <f>IF(ABS(F804-ROUND(F804,0))&lt;0.001,1,0)</f>
        <v/>
      </c>
      <c r="H804">
        <f>IF(G804=1,F804,CEILING(F804,1))</f>
        <v/>
      </c>
      <c r="I804">
        <f>IF(G804=1,0,(H804-F804)*E804)</f>
        <v/>
      </c>
      <c r="J804">
        <f>E804*F804</f>
        <v/>
      </c>
    </row>
    <row r="805">
      <c r="A805">
        <f>Sources!A805</f>
        <v/>
      </c>
      <c r="B805">
        <f>Sources!B805</f>
        <v/>
      </c>
      <c r="C805">
        <f>Sources!D805</f>
        <v/>
      </c>
      <c r="D805">
        <f>Sources!E805</f>
        <v/>
      </c>
      <c r="E805">
        <f>Sources!F805</f>
        <v/>
      </c>
      <c r="F805">
        <f>Sources!H805</f>
        <v/>
      </c>
      <c r="G805">
        <f>IF(ABS(F805-ROUND(F805,0))&lt;0.001,1,0)</f>
        <v/>
      </c>
      <c r="H805">
        <f>IF(G805=1,F805,CEILING(F805,1))</f>
        <v/>
      </c>
      <c r="I805">
        <f>IF(G805=1,0,(H805-F805)*E805)</f>
        <v/>
      </c>
      <c r="J805">
        <f>E805*F805</f>
        <v/>
      </c>
    </row>
    <row r="806">
      <c r="A806">
        <f>Sources!A806</f>
        <v/>
      </c>
      <c r="B806">
        <f>Sources!B806</f>
        <v/>
      </c>
      <c r="C806">
        <f>Sources!D806</f>
        <v/>
      </c>
      <c r="D806">
        <f>Sources!E806</f>
        <v/>
      </c>
      <c r="E806">
        <f>Sources!F806</f>
        <v/>
      </c>
      <c r="F806">
        <f>Sources!H806</f>
        <v/>
      </c>
      <c r="G806">
        <f>IF(ABS(F806-ROUND(F806,0))&lt;0.001,1,0)</f>
        <v/>
      </c>
      <c r="H806">
        <f>IF(G806=1,F806,CEILING(F806,1))</f>
        <v/>
      </c>
      <c r="I806">
        <f>IF(G806=1,0,(H806-F806)*E806)</f>
        <v/>
      </c>
      <c r="J806">
        <f>E806*F806</f>
        <v/>
      </c>
    </row>
    <row r="807">
      <c r="A807">
        <f>Sources!A807</f>
        <v/>
      </c>
      <c r="B807">
        <f>Sources!B807</f>
        <v/>
      </c>
      <c r="C807">
        <f>Sources!D807</f>
        <v/>
      </c>
      <c r="D807">
        <f>Sources!E807</f>
        <v/>
      </c>
      <c r="E807">
        <f>Sources!F807</f>
        <v/>
      </c>
      <c r="F807">
        <f>Sources!H807</f>
        <v/>
      </c>
      <c r="G807">
        <f>IF(ABS(F807-ROUND(F807,0))&lt;0.001,1,0)</f>
        <v/>
      </c>
      <c r="H807">
        <f>IF(G807=1,F807,CEILING(F807,1))</f>
        <v/>
      </c>
      <c r="I807">
        <f>IF(G807=1,0,(H807-F807)*E807)</f>
        <v/>
      </c>
      <c r="J807">
        <f>E807*F807</f>
        <v/>
      </c>
    </row>
    <row r="808">
      <c r="A808">
        <f>Sources!A808</f>
        <v/>
      </c>
      <c r="B808">
        <f>Sources!B808</f>
        <v/>
      </c>
      <c r="C808">
        <f>Sources!D808</f>
        <v/>
      </c>
      <c r="D808">
        <f>Sources!E808</f>
        <v/>
      </c>
      <c r="E808">
        <f>Sources!F808</f>
        <v/>
      </c>
      <c r="F808">
        <f>Sources!H808</f>
        <v/>
      </c>
      <c r="G808">
        <f>IF(ABS(F808-ROUND(F808,0))&lt;0.001,1,0)</f>
        <v/>
      </c>
      <c r="H808">
        <f>IF(G808=1,F808,CEILING(F808,1))</f>
        <v/>
      </c>
      <c r="I808">
        <f>IF(G808=1,0,(H808-F808)*E808)</f>
        <v/>
      </c>
      <c r="J808">
        <f>E808*F808</f>
        <v/>
      </c>
    </row>
    <row r="809">
      <c r="A809">
        <f>Sources!A809</f>
        <v/>
      </c>
      <c r="B809">
        <f>Sources!B809</f>
        <v/>
      </c>
      <c r="C809">
        <f>Sources!D809</f>
        <v/>
      </c>
      <c r="D809">
        <f>Sources!E809</f>
        <v/>
      </c>
      <c r="E809">
        <f>Sources!F809</f>
        <v/>
      </c>
      <c r="F809">
        <f>Sources!H809</f>
        <v/>
      </c>
      <c r="G809">
        <f>IF(ABS(F809-ROUND(F809,0))&lt;0.001,1,0)</f>
        <v/>
      </c>
      <c r="H809">
        <f>IF(G809=1,F809,CEILING(F809,1))</f>
        <v/>
      </c>
      <c r="I809">
        <f>IF(G809=1,0,(H809-F809)*E809)</f>
        <v/>
      </c>
      <c r="J809">
        <f>E809*F809</f>
        <v/>
      </c>
    </row>
    <row r="810">
      <c r="A810">
        <f>Sources!A810</f>
        <v/>
      </c>
      <c r="B810">
        <f>Sources!B810</f>
        <v/>
      </c>
      <c r="C810">
        <f>Sources!D810</f>
        <v/>
      </c>
      <c r="D810">
        <f>Sources!E810</f>
        <v/>
      </c>
      <c r="E810">
        <f>Sources!F810</f>
        <v/>
      </c>
      <c r="F810">
        <f>Sources!H810</f>
        <v/>
      </c>
      <c r="G810">
        <f>IF(ABS(F810-ROUND(F810,0))&lt;0.001,1,0)</f>
        <v/>
      </c>
      <c r="H810">
        <f>IF(G810=1,F810,CEILING(F810,1))</f>
        <v/>
      </c>
      <c r="I810">
        <f>IF(G810=1,0,(H810-F810)*E810)</f>
        <v/>
      </c>
      <c r="J810">
        <f>E810*F810</f>
        <v/>
      </c>
    </row>
    <row r="811">
      <c r="A811">
        <f>Sources!A811</f>
        <v/>
      </c>
      <c r="B811">
        <f>Sources!B811</f>
        <v/>
      </c>
      <c r="C811">
        <f>Sources!D811</f>
        <v/>
      </c>
      <c r="D811">
        <f>Sources!E811</f>
        <v/>
      </c>
      <c r="E811">
        <f>Sources!F811</f>
        <v/>
      </c>
      <c r="F811">
        <f>Sources!H811</f>
        <v/>
      </c>
      <c r="G811">
        <f>IF(ABS(F811-ROUND(F811,0))&lt;0.001,1,0)</f>
        <v/>
      </c>
      <c r="H811">
        <f>IF(G811=1,F811,CEILING(F811,1))</f>
        <v/>
      </c>
      <c r="I811">
        <f>IF(G811=1,0,(H811-F811)*E811)</f>
        <v/>
      </c>
      <c r="J811">
        <f>E811*F811</f>
        <v/>
      </c>
    </row>
    <row r="812">
      <c r="A812">
        <f>Sources!A812</f>
        <v/>
      </c>
      <c r="B812">
        <f>Sources!B812</f>
        <v/>
      </c>
      <c r="C812">
        <f>Sources!D812</f>
        <v/>
      </c>
      <c r="D812">
        <f>Sources!E812</f>
        <v/>
      </c>
      <c r="E812">
        <f>Sources!F812</f>
        <v/>
      </c>
      <c r="F812">
        <f>Sources!H812</f>
        <v/>
      </c>
      <c r="G812">
        <f>IF(ABS(F812-ROUND(F812,0))&lt;0.001,1,0)</f>
        <v/>
      </c>
      <c r="H812">
        <f>IF(G812=1,F812,CEILING(F812,1))</f>
        <v/>
      </c>
      <c r="I812">
        <f>IF(G812=1,0,(H812-F812)*E812)</f>
        <v/>
      </c>
      <c r="J812">
        <f>E812*F812</f>
        <v/>
      </c>
    </row>
    <row r="813">
      <c r="A813">
        <f>Sources!A813</f>
        <v/>
      </c>
      <c r="B813">
        <f>Sources!B813</f>
        <v/>
      </c>
      <c r="C813">
        <f>Sources!D813</f>
        <v/>
      </c>
      <c r="D813">
        <f>Sources!E813</f>
        <v/>
      </c>
      <c r="E813">
        <f>Sources!F813</f>
        <v/>
      </c>
      <c r="F813">
        <f>Sources!H813</f>
        <v/>
      </c>
      <c r="G813">
        <f>IF(ABS(F813-ROUND(F813,0))&lt;0.001,1,0)</f>
        <v/>
      </c>
      <c r="H813">
        <f>IF(G813=1,F813,CEILING(F813,1))</f>
        <v/>
      </c>
      <c r="I813">
        <f>IF(G813=1,0,(H813-F813)*E813)</f>
        <v/>
      </c>
      <c r="J813">
        <f>E813*F813</f>
        <v/>
      </c>
    </row>
    <row r="814">
      <c r="A814">
        <f>Sources!A814</f>
        <v/>
      </c>
      <c r="B814">
        <f>Sources!B814</f>
        <v/>
      </c>
      <c r="C814">
        <f>Sources!D814</f>
        <v/>
      </c>
      <c r="D814">
        <f>Sources!E814</f>
        <v/>
      </c>
      <c r="E814">
        <f>Sources!F814</f>
        <v/>
      </c>
      <c r="F814">
        <f>Sources!H814</f>
        <v/>
      </c>
      <c r="G814">
        <f>IF(ABS(F814-ROUND(F814,0))&lt;0.001,1,0)</f>
        <v/>
      </c>
      <c r="H814">
        <f>IF(G814=1,F814,CEILING(F814,1))</f>
        <v/>
      </c>
      <c r="I814">
        <f>IF(G814=1,0,(H814-F814)*E814)</f>
        <v/>
      </c>
      <c r="J814">
        <f>E814*F814</f>
        <v/>
      </c>
    </row>
    <row r="815">
      <c r="A815">
        <f>Sources!A815</f>
        <v/>
      </c>
      <c r="B815">
        <f>Sources!B815</f>
        <v/>
      </c>
      <c r="C815">
        <f>Sources!D815</f>
        <v/>
      </c>
      <c r="D815">
        <f>Sources!E815</f>
        <v/>
      </c>
      <c r="E815">
        <f>Sources!F815</f>
        <v/>
      </c>
      <c r="F815">
        <f>Sources!H815</f>
        <v/>
      </c>
      <c r="G815">
        <f>IF(ABS(F815-ROUND(F815,0))&lt;0.001,1,0)</f>
        <v/>
      </c>
      <c r="H815">
        <f>IF(G815=1,F815,CEILING(F815,1))</f>
        <v/>
      </c>
      <c r="I815">
        <f>IF(G815=1,0,(H815-F815)*E815)</f>
        <v/>
      </c>
      <c r="J815">
        <f>E815*F815</f>
        <v/>
      </c>
    </row>
    <row r="816">
      <c r="A816">
        <f>Sources!A816</f>
        <v/>
      </c>
      <c r="B816">
        <f>Sources!B816</f>
        <v/>
      </c>
      <c r="C816">
        <f>Sources!D816</f>
        <v/>
      </c>
      <c r="D816">
        <f>Sources!E816</f>
        <v/>
      </c>
      <c r="E816">
        <f>Sources!F816</f>
        <v/>
      </c>
      <c r="F816">
        <f>Sources!H816</f>
        <v/>
      </c>
      <c r="G816">
        <f>IF(ABS(F816-ROUND(F816,0))&lt;0.001,1,0)</f>
        <v/>
      </c>
      <c r="H816">
        <f>IF(G816=1,F816,CEILING(F816,1))</f>
        <v/>
      </c>
      <c r="I816">
        <f>IF(G816=1,0,(H816-F816)*E816)</f>
        <v/>
      </c>
      <c r="J816">
        <f>E816*F816</f>
        <v/>
      </c>
    </row>
    <row r="817">
      <c r="A817">
        <f>Sources!A817</f>
        <v/>
      </c>
      <c r="B817">
        <f>Sources!B817</f>
        <v/>
      </c>
      <c r="C817">
        <f>Sources!D817</f>
        <v/>
      </c>
      <c r="D817">
        <f>Sources!E817</f>
        <v/>
      </c>
      <c r="E817">
        <f>Sources!F817</f>
        <v/>
      </c>
      <c r="F817">
        <f>Sources!H817</f>
        <v/>
      </c>
      <c r="G817">
        <f>IF(ABS(F817-ROUND(F817,0))&lt;0.001,1,0)</f>
        <v/>
      </c>
      <c r="H817">
        <f>IF(G817=1,F817,CEILING(F817,1))</f>
        <v/>
      </c>
      <c r="I817">
        <f>IF(G817=1,0,(H817-F817)*E817)</f>
        <v/>
      </c>
      <c r="J817">
        <f>E817*F817</f>
        <v/>
      </c>
    </row>
    <row r="818">
      <c r="A818">
        <f>Sources!A818</f>
        <v/>
      </c>
      <c r="B818">
        <f>Sources!B818</f>
        <v/>
      </c>
      <c r="C818">
        <f>Sources!D818</f>
        <v/>
      </c>
      <c r="D818">
        <f>Sources!E818</f>
        <v/>
      </c>
      <c r="E818">
        <f>Sources!F818</f>
        <v/>
      </c>
      <c r="F818">
        <f>Sources!H818</f>
        <v/>
      </c>
      <c r="G818">
        <f>IF(ABS(F818-ROUND(F818,0))&lt;0.001,1,0)</f>
        <v/>
      </c>
      <c r="H818">
        <f>IF(G818=1,F818,CEILING(F818,1))</f>
        <v/>
      </c>
      <c r="I818">
        <f>IF(G818=1,0,(H818-F818)*E818)</f>
        <v/>
      </c>
      <c r="J818">
        <f>E818*F818</f>
        <v/>
      </c>
    </row>
    <row r="819">
      <c r="A819">
        <f>Sources!A819</f>
        <v/>
      </c>
      <c r="B819">
        <f>Sources!B819</f>
        <v/>
      </c>
      <c r="C819">
        <f>Sources!D819</f>
        <v/>
      </c>
      <c r="D819">
        <f>Sources!E819</f>
        <v/>
      </c>
      <c r="E819">
        <f>Sources!F819</f>
        <v/>
      </c>
      <c r="F819">
        <f>Sources!H819</f>
        <v/>
      </c>
      <c r="G819">
        <f>IF(ABS(F819-ROUND(F819,0))&lt;0.001,1,0)</f>
        <v/>
      </c>
      <c r="H819">
        <f>IF(G819=1,F819,CEILING(F819,1))</f>
        <v/>
      </c>
      <c r="I819">
        <f>IF(G819=1,0,(H819-F819)*E819)</f>
        <v/>
      </c>
      <c r="J819">
        <f>E819*F819</f>
        <v/>
      </c>
    </row>
    <row r="820">
      <c r="A820">
        <f>Sources!A820</f>
        <v/>
      </c>
      <c r="B820">
        <f>Sources!B820</f>
        <v/>
      </c>
      <c r="C820">
        <f>Sources!D820</f>
        <v/>
      </c>
      <c r="D820">
        <f>Sources!E820</f>
        <v/>
      </c>
      <c r="E820">
        <f>Sources!F820</f>
        <v/>
      </c>
      <c r="F820">
        <f>Sources!H820</f>
        <v/>
      </c>
      <c r="G820">
        <f>IF(ABS(F820-ROUND(F820,0))&lt;0.001,1,0)</f>
        <v/>
      </c>
      <c r="H820">
        <f>IF(G820=1,F820,CEILING(F820,1))</f>
        <v/>
      </c>
      <c r="I820">
        <f>IF(G820=1,0,(H820-F820)*E820)</f>
        <v/>
      </c>
      <c r="J820">
        <f>E820*F820</f>
        <v/>
      </c>
    </row>
    <row r="821">
      <c r="A821">
        <f>Sources!A821</f>
        <v/>
      </c>
      <c r="B821">
        <f>Sources!B821</f>
        <v/>
      </c>
      <c r="C821">
        <f>Sources!D821</f>
        <v/>
      </c>
      <c r="D821">
        <f>Sources!E821</f>
        <v/>
      </c>
      <c r="E821">
        <f>Sources!F821</f>
        <v/>
      </c>
      <c r="F821">
        <f>Sources!H821</f>
        <v/>
      </c>
      <c r="G821">
        <f>IF(ABS(F821-ROUND(F821,0))&lt;0.001,1,0)</f>
        <v/>
      </c>
      <c r="H821">
        <f>IF(G821=1,F821,CEILING(F821,1))</f>
        <v/>
      </c>
      <c r="I821">
        <f>IF(G821=1,0,(H821-F821)*E821)</f>
        <v/>
      </c>
      <c r="J821">
        <f>E821*F821</f>
        <v/>
      </c>
    </row>
    <row r="822">
      <c r="A822">
        <f>Sources!A822</f>
        <v/>
      </c>
      <c r="B822">
        <f>Sources!B822</f>
        <v/>
      </c>
      <c r="C822">
        <f>Sources!D822</f>
        <v/>
      </c>
      <c r="D822">
        <f>Sources!E822</f>
        <v/>
      </c>
      <c r="E822">
        <f>Sources!F822</f>
        <v/>
      </c>
      <c r="F822">
        <f>Sources!H822</f>
        <v/>
      </c>
      <c r="G822">
        <f>IF(ABS(F822-ROUND(F822,0))&lt;0.001,1,0)</f>
        <v/>
      </c>
      <c r="H822">
        <f>IF(G822=1,F822,CEILING(F822,1))</f>
        <v/>
      </c>
      <c r="I822">
        <f>IF(G822=1,0,(H822-F822)*E822)</f>
        <v/>
      </c>
      <c r="J822">
        <f>E822*F822</f>
        <v/>
      </c>
    </row>
    <row r="823">
      <c r="A823">
        <f>Sources!A823</f>
        <v/>
      </c>
      <c r="B823">
        <f>Sources!B823</f>
        <v/>
      </c>
      <c r="C823">
        <f>Sources!D823</f>
        <v/>
      </c>
      <c r="D823">
        <f>Sources!E823</f>
        <v/>
      </c>
      <c r="E823">
        <f>Sources!F823</f>
        <v/>
      </c>
      <c r="F823">
        <f>Sources!H823</f>
        <v/>
      </c>
      <c r="G823">
        <f>IF(ABS(F823-ROUND(F823,0))&lt;0.001,1,0)</f>
        <v/>
      </c>
      <c r="H823">
        <f>IF(G823=1,F823,CEILING(F823,1))</f>
        <v/>
      </c>
      <c r="I823">
        <f>IF(G823=1,0,(H823-F823)*E823)</f>
        <v/>
      </c>
      <c r="J823">
        <f>E823*F823</f>
        <v/>
      </c>
    </row>
    <row r="824">
      <c r="A824">
        <f>Sources!A824</f>
        <v/>
      </c>
      <c r="B824">
        <f>Sources!B824</f>
        <v/>
      </c>
      <c r="C824">
        <f>Sources!D824</f>
        <v/>
      </c>
      <c r="D824">
        <f>Sources!E824</f>
        <v/>
      </c>
      <c r="E824">
        <f>Sources!F824</f>
        <v/>
      </c>
      <c r="F824">
        <f>Sources!H824</f>
        <v/>
      </c>
      <c r="G824">
        <f>IF(ABS(F824-ROUND(F824,0))&lt;0.001,1,0)</f>
        <v/>
      </c>
      <c r="H824">
        <f>IF(G824=1,F824,CEILING(F824,1))</f>
        <v/>
      </c>
      <c r="I824">
        <f>IF(G824=1,0,(H824-F824)*E824)</f>
        <v/>
      </c>
      <c r="J824">
        <f>E824*F824</f>
        <v/>
      </c>
    </row>
    <row r="825">
      <c r="A825">
        <f>Sources!A825</f>
        <v/>
      </c>
      <c r="B825">
        <f>Sources!B825</f>
        <v/>
      </c>
      <c r="C825">
        <f>Sources!D825</f>
        <v/>
      </c>
      <c r="D825">
        <f>Sources!E825</f>
        <v/>
      </c>
      <c r="E825">
        <f>Sources!F825</f>
        <v/>
      </c>
      <c r="F825">
        <f>Sources!H825</f>
        <v/>
      </c>
      <c r="G825">
        <f>IF(ABS(F825-ROUND(F825,0))&lt;0.001,1,0)</f>
        <v/>
      </c>
      <c r="H825">
        <f>IF(G825=1,F825,CEILING(F825,1))</f>
        <v/>
      </c>
      <c r="I825">
        <f>IF(G825=1,0,(H825-F825)*E825)</f>
        <v/>
      </c>
      <c r="J825">
        <f>E825*F825</f>
        <v/>
      </c>
    </row>
    <row r="826">
      <c r="A826">
        <f>Sources!A826</f>
        <v/>
      </c>
      <c r="B826">
        <f>Sources!B826</f>
        <v/>
      </c>
      <c r="C826">
        <f>Sources!D826</f>
        <v/>
      </c>
      <c r="D826">
        <f>Sources!E826</f>
        <v/>
      </c>
      <c r="E826">
        <f>Sources!F826</f>
        <v/>
      </c>
      <c r="F826">
        <f>Sources!H826</f>
        <v/>
      </c>
      <c r="G826">
        <f>IF(ABS(F826-ROUND(F826,0))&lt;0.001,1,0)</f>
        <v/>
      </c>
      <c r="H826">
        <f>IF(G826=1,F826,CEILING(F826,1))</f>
        <v/>
      </c>
      <c r="I826">
        <f>IF(G826=1,0,(H826-F826)*E826)</f>
        <v/>
      </c>
      <c r="J826">
        <f>E826*F826</f>
        <v/>
      </c>
    </row>
    <row r="827">
      <c r="A827">
        <f>Sources!A827</f>
        <v/>
      </c>
      <c r="B827">
        <f>Sources!B827</f>
        <v/>
      </c>
      <c r="C827">
        <f>Sources!D827</f>
        <v/>
      </c>
      <c r="D827">
        <f>Sources!E827</f>
        <v/>
      </c>
      <c r="E827">
        <f>Sources!F827</f>
        <v/>
      </c>
      <c r="F827">
        <f>Sources!H827</f>
        <v/>
      </c>
      <c r="G827">
        <f>IF(ABS(F827-ROUND(F827,0))&lt;0.001,1,0)</f>
        <v/>
      </c>
      <c r="H827">
        <f>IF(G827=1,F827,CEILING(F827,1))</f>
        <v/>
      </c>
      <c r="I827">
        <f>IF(G827=1,0,(H827-F827)*E827)</f>
        <v/>
      </c>
      <c r="J827">
        <f>E827*F827</f>
        <v/>
      </c>
    </row>
    <row r="828">
      <c r="A828">
        <f>Sources!A828</f>
        <v/>
      </c>
      <c r="B828">
        <f>Sources!B828</f>
        <v/>
      </c>
      <c r="C828">
        <f>Sources!D828</f>
        <v/>
      </c>
      <c r="D828">
        <f>Sources!E828</f>
        <v/>
      </c>
      <c r="E828">
        <f>Sources!F828</f>
        <v/>
      </c>
      <c r="F828">
        <f>Sources!H828</f>
        <v/>
      </c>
      <c r="G828">
        <f>IF(ABS(F828-ROUND(F828,0))&lt;0.001,1,0)</f>
        <v/>
      </c>
      <c r="H828">
        <f>IF(G828=1,F828,CEILING(F828,1))</f>
        <v/>
      </c>
      <c r="I828">
        <f>IF(G828=1,0,(H828-F828)*E828)</f>
        <v/>
      </c>
      <c r="J828">
        <f>E828*F828</f>
        <v/>
      </c>
    </row>
    <row r="829">
      <c r="A829">
        <f>Sources!A829</f>
        <v/>
      </c>
      <c r="B829">
        <f>Sources!B829</f>
        <v/>
      </c>
      <c r="C829">
        <f>Sources!D829</f>
        <v/>
      </c>
      <c r="D829">
        <f>Sources!E829</f>
        <v/>
      </c>
      <c r="E829">
        <f>Sources!F829</f>
        <v/>
      </c>
      <c r="F829">
        <f>Sources!H829</f>
        <v/>
      </c>
      <c r="G829">
        <f>IF(ABS(F829-ROUND(F829,0))&lt;0.001,1,0)</f>
        <v/>
      </c>
      <c r="H829">
        <f>IF(G829=1,F829,CEILING(F829,1))</f>
        <v/>
      </c>
      <c r="I829">
        <f>IF(G829=1,0,(H829-F829)*E829)</f>
        <v/>
      </c>
      <c r="J829">
        <f>E829*F829</f>
        <v/>
      </c>
    </row>
    <row r="830">
      <c r="A830">
        <f>Sources!A830</f>
        <v/>
      </c>
      <c r="B830">
        <f>Sources!B830</f>
        <v/>
      </c>
      <c r="C830">
        <f>Sources!D830</f>
        <v/>
      </c>
      <c r="D830">
        <f>Sources!E830</f>
        <v/>
      </c>
      <c r="E830">
        <f>Sources!F830</f>
        <v/>
      </c>
      <c r="F830">
        <f>Sources!H830</f>
        <v/>
      </c>
      <c r="G830">
        <f>IF(ABS(F830-ROUND(F830,0))&lt;0.001,1,0)</f>
        <v/>
      </c>
      <c r="H830">
        <f>IF(G830=1,F830,CEILING(F830,1))</f>
        <v/>
      </c>
      <c r="I830">
        <f>IF(G830=1,0,(H830-F830)*E830)</f>
        <v/>
      </c>
      <c r="J830">
        <f>E830*F830</f>
        <v/>
      </c>
    </row>
    <row r="831">
      <c r="A831">
        <f>Sources!A831</f>
        <v/>
      </c>
      <c r="B831">
        <f>Sources!B831</f>
        <v/>
      </c>
      <c r="C831">
        <f>Sources!D831</f>
        <v/>
      </c>
      <c r="D831">
        <f>Sources!E831</f>
        <v/>
      </c>
      <c r="E831">
        <f>Sources!F831</f>
        <v/>
      </c>
      <c r="F831">
        <f>Sources!H831</f>
        <v/>
      </c>
      <c r="G831">
        <f>IF(ABS(F831-ROUND(F831,0))&lt;0.001,1,0)</f>
        <v/>
      </c>
      <c r="H831">
        <f>IF(G831=1,F831,CEILING(F831,1))</f>
        <v/>
      </c>
      <c r="I831">
        <f>IF(G831=1,0,(H831-F831)*E831)</f>
        <v/>
      </c>
      <c r="J831">
        <f>E831*F831</f>
        <v/>
      </c>
    </row>
    <row r="832">
      <c r="A832">
        <f>Sources!A832</f>
        <v/>
      </c>
      <c r="B832">
        <f>Sources!B832</f>
        <v/>
      </c>
      <c r="C832">
        <f>Sources!D832</f>
        <v/>
      </c>
      <c r="D832">
        <f>Sources!E832</f>
        <v/>
      </c>
      <c r="E832">
        <f>Sources!F832</f>
        <v/>
      </c>
      <c r="F832">
        <f>Sources!H832</f>
        <v/>
      </c>
      <c r="G832">
        <f>IF(ABS(F832-ROUND(F832,0))&lt;0.001,1,0)</f>
        <v/>
      </c>
      <c r="H832">
        <f>IF(G832=1,F832,CEILING(F832,1))</f>
        <v/>
      </c>
      <c r="I832">
        <f>IF(G832=1,0,(H832-F832)*E832)</f>
        <v/>
      </c>
      <c r="J832">
        <f>E832*F832</f>
        <v/>
      </c>
    </row>
    <row r="833">
      <c r="A833">
        <f>Sources!A833</f>
        <v/>
      </c>
      <c r="B833">
        <f>Sources!B833</f>
        <v/>
      </c>
      <c r="C833">
        <f>Sources!D833</f>
        <v/>
      </c>
      <c r="D833">
        <f>Sources!E833</f>
        <v/>
      </c>
      <c r="E833">
        <f>Sources!F833</f>
        <v/>
      </c>
      <c r="F833">
        <f>Sources!H833</f>
        <v/>
      </c>
      <c r="G833">
        <f>IF(ABS(F833-ROUND(F833,0))&lt;0.001,1,0)</f>
        <v/>
      </c>
      <c r="H833">
        <f>IF(G833=1,F833,CEILING(F833,1))</f>
        <v/>
      </c>
      <c r="I833">
        <f>IF(G833=1,0,(H833-F833)*E833)</f>
        <v/>
      </c>
      <c r="J833">
        <f>E833*F833</f>
        <v/>
      </c>
    </row>
    <row r="834">
      <c r="A834">
        <f>Sources!A834</f>
        <v/>
      </c>
      <c r="B834">
        <f>Sources!B834</f>
        <v/>
      </c>
      <c r="C834">
        <f>Sources!D834</f>
        <v/>
      </c>
      <c r="D834">
        <f>Sources!E834</f>
        <v/>
      </c>
      <c r="E834">
        <f>Sources!F834</f>
        <v/>
      </c>
      <c r="F834">
        <f>Sources!H834</f>
        <v/>
      </c>
      <c r="G834">
        <f>IF(ABS(F834-ROUND(F834,0))&lt;0.001,1,0)</f>
        <v/>
      </c>
      <c r="H834">
        <f>IF(G834=1,F834,CEILING(F834,1))</f>
        <v/>
      </c>
      <c r="I834">
        <f>IF(G834=1,0,(H834-F834)*E834)</f>
        <v/>
      </c>
      <c r="J834">
        <f>E834*F834</f>
        <v/>
      </c>
    </row>
    <row r="835">
      <c r="A835">
        <f>Sources!A835</f>
        <v/>
      </c>
      <c r="B835">
        <f>Sources!B835</f>
        <v/>
      </c>
      <c r="C835">
        <f>Sources!D835</f>
        <v/>
      </c>
      <c r="D835">
        <f>Sources!E835</f>
        <v/>
      </c>
      <c r="E835">
        <f>Sources!F835</f>
        <v/>
      </c>
      <c r="F835">
        <f>Sources!H835</f>
        <v/>
      </c>
      <c r="G835">
        <f>IF(ABS(F835-ROUND(F835,0))&lt;0.001,1,0)</f>
        <v/>
      </c>
      <c r="H835">
        <f>IF(G835=1,F835,CEILING(F835,1))</f>
        <v/>
      </c>
      <c r="I835">
        <f>IF(G835=1,0,(H835-F835)*E835)</f>
        <v/>
      </c>
      <c r="J835">
        <f>E835*F835</f>
        <v/>
      </c>
    </row>
    <row r="836">
      <c r="A836">
        <f>Sources!A836</f>
        <v/>
      </c>
      <c r="B836">
        <f>Sources!B836</f>
        <v/>
      </c>
      <c r="C836">
        <f>Sources!D836</f>
        <v/>
      </c>
      <c r="D836">
        <f>Sources!E836</f>
        <v/>
      </c>
      <c r="E836">
        <f>Sources!F836</f>
        <v/>
      </c>
      <c r="F836">
        <f>Sources!H836</f>
        <v/>
      </c>
      <c r="G836">
        <f>IF(ABS(F836-ROUND(F836,0))&lt;0.001,1,0)</f>
        <v/>
      </c>
      <c r="H836">
        <f>IF(G836=1,F836,CEILING(F836,1))</f>
        <v/>
      </c>
      <c r="I836">
        <f>IF(G836=1,0,(H836-F836)*E836)</f>
        <v/>
      </c>
      <c r="J836">
        <f>E836*F836</f>
        <v/>
      </c>
    </row>
    <row r="837">
      <c r="A837">
        <f>Sources!A837</f>
        <v/>
      </c>
      <c r="B837">
        <f>Sources!B837</f>
        <v/>
      </c>
      <c r="C837">
        <f>Sources!D837</f>
        <v/>
      </c>
      <c r="D837">
        <f>Sources!E837</f>
        <v/>
      </c>
      <c r="E837">
        <f>Sources!F837</f>
        <v/>
      </c>
      <c r="F837">
        <f>Sources!H837</f>
        <v/>
      </c>
      <c r="G837">
        <f>IF(ABS(F837-ROUND(F837,0))&lt;0.001,1,0)</f>
        <v/>
      </c>
      <c r="H837">
        <f>IF(G837=1,F837,CEILING(F837,1))</f>
        <v/>
      </c>
      <c r="I837">
        <f>IF(G837=1,0,(H837-F837)*E837)</f>
        <v/>
      </c>
      <c r="J837">
        <f>E837*F837</f>
        <v/>
      </c>
    </row>
    <row r="838">
      <c r="A838">
        <f>Sources!A838</f>
        <v/>
      </c>
      <c r="B838">
        <f>Sources!B838</f>
        <v/>
      </c>
      <c r="C838">
        <f>Sources!D838</f>
        <v/>
      </c>
      <c r="D838">
        <f>Sources!E838</f>
        <v/>
      </c>
      <c r="E838">
        <f>Sources!F838</f>
        <v/>
      </c>
      <c r="F838">
        <f>Sources!H838</f>
        <v/>
      </c>
      <c r="G838">
        <f>IF(ABS(F838-ROUND(F838,0))&lt;0.001,1,0)</f>
        <v/>
      </c>
      <c r="H838">
        <f>IF(G838=1,F838,CEILING(F838,1))</f>
        <v/>
      </c>
      <c r="I838">
        <f>IF(G838=1,0,(H838-F838)*E838)</f>
        <v/>
      </c>
      <c r="J838">
        <f>E838*F838</f>
        <v/>
      </c>
    </row>
    <row r="839">
      <c r="A839">
        <f>Sources!A839</f>
        <v/>
      </c>
      <c r="B839">
        <f>Sources!B839</f>
        <v/>
      </c>
      <c r="C839">
        <f>Sources!D839</f>
        <v/>
      </c>
      <c r="D839">
        <f>Sources!E839</f>
        <v/>
      </c>
      <c r="E839">
        <f>Sources!F839</f>
        <v/>
      </c>
      <c r="F839">
        <f>Sources!H839</f>
        <v/>
      </c>
      <c r="G839">
        <f>IF(ABS(F839-ROUND(F839,0))&lt;0.001,1,0)</f>
        <v/>
      </c>
      <c r="H839">
        <f>IF(G839=1,F839,CEILING(F839,1))</f>
        <v/>
      </c>
      <c r="I839">
        <f>IF(G839=1,0,(H839-F839)*E839)</f>
        <v/>
      </c>
      <c r="J839">
        <f>E839*F839</f>
        <v/>
      </c>
    </row>
    <row r="840">
      <c r="A840">
        <f>Sources!A840</f>
        <v/>
      </c>
      <c r="B840">
        <f>Sources!B840</f>
        <v/>
      </c>
      <c r="C840">
        <f>Sources!D840</f>
        <v/>
      </c>
      <c r="D840">
        <f>Sources!E840</f>
        <v/>
      </c>
      <c r="E840">
        <f>Sources!F840</f>
        <v/>
      </c>
      <c r="F840">
        <f>Sources!H840</f>
        <v/>
      </c>
      <c r="G840">
        <f>IF(ABS(F840-ROUND(F840,0))&lt;0.001,1,0)</f>
        <v/>
      </c>
      <c r="H840">
        <f>IF(G840=1,F840,CEILING(F840,1))</f>
        <v/>
      </c>
      <c r="I840">
        <f>IF(G840=1,0,(H840-F840)*E840)</f>
        <v/>
      </c>
      <c r="J840">
        <f>E840*F840</f>
        <v/>
      </c>
    </row>
    <row r="841">
      <c r="A841">
        <f>Sources!A841</f>
        <v/>
      </c>
      <c r="B841">
        <f>Sources!B841</f>
        <v/>
      </c>
      <c r="C841">
        <f>Sources!D841</f>
        <v/>
      </c>
      <c r="D841">
        <f>Sources!E841</f>
        <v/>
      </c>
      <c r="E841">
        <f>Sources!F841</f>
        <v/>
      </c>
      <c r="F841">
        <f>Sources!H841</f>
        <v/>
      </c>
      <c r="G841">
        <f>IF(ABS(F841-ROUND(F841,0))&lt;0.001,1,0)</f>
        <v/>
      </c>
      <c r="H841">
        <f>IF(G841=1,F841,CEILING(F841,1))</f>
        <v/>
      </c>
      <c r="I841">
        <f>IF(G841=1,0,(H841-F841)*E841)</f>
        <v/>
      </c>
      <c r="J841">
        <f>E841*F841</f>
        <v/>
      </c>
    </row>
    <row r="842">
      <c r="A842">
        <f>Sources!A842</f>
        <v/>
      </c>
      <c r="B842">
        <f>Sources!B842</f>
        <v/>
      </c>
      <c r="C842">
        <f>Sources!D842</f>
        <v/>
      </c>
      <c r="D842">
        <f>Sources!E842</f>
        <v/>
      </c>
      <c r="E842">
        <f>Sources!F842</f>
        <v/>
      </c>
      <c r="F842">
        <f>Sources!H842</f>
        <v/>
      </c>
      <c r="G842">
        <f>IF(ABS(F842-ROUND(F842,0))&lt;0.001,1,0)</f>
        <v/>
      </c>
      <c r="H842">
        <f>IF(G842=1,F842,CEILING(F842,1))</f>
        <v/>
      </c>
      <c r="I842">
        <f>IF(G842=1,0,(H842-F842)*E842)</f>
        <v/>
      </c>
      <c r="J842">
        <f>E842*F842</f>
        <v/>
      </c>
    </row>
    <row r="843">
      <c r="A843">
        <f>Sources!A843</f>
        <v/>
      </c>
      <c r="B843">
        <f>Sources!B843</f>
        <v/>
      </c>
      <c r="C843">
        <f>Sources!D843</f>
        <v/>
      </c>
      <c r="D843">
        <f>Sources!E843</f>
        <v/>
      </c>
      <c r="E843">
        <f>Sources!F843</f>
        <v/>
      </c>
      <c r="F843">
        <f>Sources!H843</f>
        <v/>
      </c>
      <c r="G843">
        <f>IF(ABS(F843-ROUND(F843,0))&lt;0.001,1,0)</f>
        <v/>
      </c>
      <c r="H843">
        <f>IF(G843=1,F843,CEILING(F843,1))</f>
        <v/>
      </c>
      <c r="I843">
        <f>IF(G843=1,0,(H843-F843)*E843)</f>
        <v/>
      </c>
      <c r="J843">
        <f>E843*F843</f>
        <v/>
      </c>
    </row>
    <row r="844">
      <c r="A844">
        <f>Sources!A844</f>
        <v/>
      </c>
      <c r="B844">
        <f>Sources!B844</f>
        <v/>
      </c>
      <c r="C844">
        <f>Sources!D844</f>
        <v/>
      </c>
      <c r="D844">
        <f>Sources!E844</f>
        <v/>
      </c>
      <c r="E844">
        <f>Sources!F844</f>
        <v/>
      </c>
      <c r="F844">
        <f>Sources!H844</f>
        <v/>
      </c>
      <c r="G844">
        <f>IF(ABS(F844-ROUND(F844,0))&lt;0.001,1,0)</f>
        <v/>
      </c>
      <c r="H844">
        <f>IF(G844=1,F844,CEILING(F844,1))</f>
        <v/>
      </c>
      <c r="I844">
        <f>IF(G844=1,0,(H844-F844)*E844)</f>
        <v/>
      </c>
      <c r="J844">
        <f>E844*F844</f>
        <v/>
      </c>
    </row>
    <row r="845">
      <c r="A845">
        <f>Sources!A845</f>
        <v/>
      </c>
      <c r="B845">
        <f>Sources!B845</f>
        <v/>
      </c>
      <c r="C845">
        <f>Sources!D845</f>
        <v/>
      </c>
      <c r="D845">
        <f>Sources!E845</f>
        <v/>
      </c>
      <c r="E845">
        <f>Sources!F845</f>
        <v/>
      </c>
      <c r="F845">
        <f>Sources!H845</f>
        <v/>
      </c>
      <c r="G845">
        <f>IF(ABS(F845-ROUND(F845,0))&lt;0.001,1,0)</f>
        <v/>
      </c>
      <c r="H845">
        <f>IF(G845=1,F845,CEILING(F845,1))</f>
        <v/>
      </c>
      <c r="I845">
        <f>IF(G845=1,0,(H845-F845)*E845)</f>
        <v/>
      </c>
      <c r="J845">
        <f>E845*F845</f>
        <v/>
      </c>
    </row>
    <row r="846">
      <c r="A846">
        <f>Sources!A846</f>
        <v/>
      </c>
      <c r="B846">
        <f>Sources!B846</f>
        <v/>
      </c>
      <c r="C846">
        <f>Sources!D846</f>
        <v/>
      </c>
      <c r="D846">
        <f>Sources!E846</f>
        <v/>
      </c>
      <c r="E846">
        <f>Sources!F846</f>
        <v/>
      </c>
      <c r="F846">
        <f>Sources!H846</f>
        <v/>
      </c>
      <c r="G846">
        <f>IF(ABS(F846-ROUND(F846,0))&lt;0.001,1,0)</f>
        <v/>
      </c>
      <c r="H846">
        <f>IF(G846=1,F846,CEILING(F846,1))</f>
        <v/>
      </c>
      <c r="I846">
        <f>IF(G846=1,0,(H846-F846)*E846)</f>
        <v/>
      </c>
      <c r="J846">
        <f>E846*F846</f>
        <v/>
      </c>
    </row>
    <row r="847">
      <c r="A847">
        <f>Sources!A847</f>
        <v/>
      </c>
      <c r="B847">
        <f>Sources!B847</f>
        <v/>
      </c>
      <c r="C847">
        <f>Sources!D847</f>
        <v/>
      </c>
      <c r="D847">
        <f>Sources!E847</f>
        <v/>
      </c>
      <c r="E847">
        <f>Sources!F847</f>
        <v/>
      </c>
      <c r="F847">
        <f>Sources!H847</f>
        <v/>
      </c>
      <c r="G847">
        <f>IF(ABS(F847-ROUND(F847,0))&lt;0.001,1,0)</f>
        <v/>
      </c>
      <c r="H847">
        <f>IF(G847=1,F847,CEILING(F847,1))</f>
        <v/>
      </c>
      <c r="I847">
        <f>IF(G847=1,0,(H847-F847)*E847)</f>
        <v/>
      </c>
      <c r="J847">
        <f>E847*F847</f>
        <v/>
      </c>
    </row>
    <row r="848">
      <c r="A848">
        <f>Sources!A848</f>
        <v/>
      </c>
      <c r="B848">
        <f>Sources!B848</f>
        <v/>
      </c>
      <c r="C848">
        <f>Sources!D848</f>
        <v/>
      </c>
      <c r="D848">
        <f>Sources!E848</f>
        <v/>
      </c>
      <c r="E848">
        <f>Sources!F848</f>
        <v/>
      </c>
      <c r="F848">
        <f>Sources!H848</f>
        <v/>
      </c>
      <c r="G848">
        <f>IF(ABS(F848-ROUND(F848,0))&lt;0.001,1,0)</f>
        <v/>
      </c>
      <c r="H848">
        <f>IF(G848=1,F848,CEILING(F848,1))</f>
        <v/>
      </c>
      <c r="I848">
        <f>IF(G848=1,0,(H848-F848)*E848)</f>
        <v/>
      </c>
      <c r="J848">
        <f>E848*F848</f>
        <v/>
      </c>
    </row>
    <row r="849">
      <c r="A849">
        <f>Sources!A849</f>
        <v/>
      </c>
      <c r="B849">
        <f>Sources!B849</f>
        <v/>
      </c>
      <c r="C849">
        <f>Sources!D849</f>
        <v/>
      </c>
      <c r="D849">
        <f>Sources!E849</f>
        <v/>
      </c>
      <c r="E849">
        <f>Sources!F849</f>
        <v/>
      </c>
      <c r="F849">
        <f>Sources!H849</f>
        <v/>
      </c>
      <c r="G849">
        <f>IF(ABS(F849-ROUND(F849,0))&lt;0.001,1,0)</f>
        <v/>
      </c>
      <c r="H849">
        <f>IF(G849=1,F849,CEILING(F849,1))</f>
        <v/>
      </c>
      <c r="I849">
        <f>IF(G849=1,0,(H849-F849)*E849)</f>
        <v/>
      </c>
      <c r="J849">
        <f>E849*F849</f>
        <v/>
      </c>
    </row>
    <row r="850">
      <c r="A850">
        <f>Sources!A850</f>
        <v/>
      </c>
      <c r="B850">
        <f>Sources!B850</f>
        <v/>
      </c>
      <c r="C850">
        <f>Sources!D850</f>
        <v/>
      </c>
      <c r="D850">
        <f>Sources!E850</f>
        <v/>
      </c>
      <c r="E850">
        <f>Sources!F850</f>
        <v/>
      </c>
      <c r="F850">
        <f>Sources!H850</f>
        <v/>
      </c>
      <c r="G850">
        <f>IF(ABS(F850-ROUND(F850,0))&lt;0.001,1,0)</f>
        <v/>
      </c>
      <c r="H850">
        <f>IF(G850=1,F850,CEILING(F850,1))</f>
        <v/>
      </c>
      <c r="I850">
        <f>IF(G850=1,0,(H850-F850)*E850)</f>
        <v/>
      </c>
      <c r="J850">
        <f>E850*F850</f>
        <v/>
      </c>
    </row>
    <row r="851">
      <c r="A851">
        <f>Sources!A851</f>
        <v/>
      </c>
      <c r="B851">
        <f>Sources!B851</f>
        <v/>
      </c>
      <c r="C851">
        <f>Sources!D851</f>
        <v/>
      </c>
      <c r="D851">
        <f>Sources!E851</f>
        <v/>
      </c>
      <c r="E851">
        <f>Sources!F851</f>
        <v/>
      </c>
      <c r="F851">
        <f>Sources!H851</f>
        <v/>
      </c>
      <c r="G851">
        <f>IF(ABS(F851-ROUND(F851,0))&lt;0.001,1,0)</f>
        <v/>
      </c>
      <c r="H851">
        <f>IF(G851=1,F851,CEILING(F851,1))</f>
        <v/>
      </c>
      <c r="I851">
        <f>IF(G851=1,0,(H851-F851)*E851)</f>
        <v/>
      </c>
      <c r="J851">
        <f>E851*F851</f>
        <v/>
      </c>
    </row>
    <row r="852">
      <c r="A852">
        <f>Sources!A852</f>
        <v/>
      </c>
      <c r="B852">
        <f>Sources!B852</f>
        <v/>
      </c>
      <c r="C852">
        <f>Sources!D852</f>
        <v/>
      </c>
      <c r="D852">
        <f>Sources!E852</f>
        <v/>
      </c>
      <c r="E852">
        <f>Sources!F852</f>
        <v/>
      </c>
      <c r="F852">
        <f>Sources!H852</f>
        <v/>
      </c>
      <c r="G852">
        <f>IF(ABS(F852-ROUND(F852,0))&lt;0.001,1,0)</f>
        <v/>
      </c>
      <c r="H852">
        <f>IF(G852=1,F852,CEILING(F852,1))</f>
        <v/>
      </c>
      <c r="I852">
        <f>IF(G852=1,0,(H852-F852)*E852)</f>
        <v/>
      </c>
      <c r="J852">
        <f>E852*F852</f>
        <v/>
      </c>
    </row>
    <row r="853">
      <c r="A853">
        <f>Sources!A853</f>
        <v/>
      </c>
      <c r="B853">
        <f>Sources!B853</f>
        <v/>
      </c>
      <c r="C853">
        <f>Sources!D853</f>
        <v/>
      </c>
      <c r="D853">
        <f>Sources!E853</f>
        <v/>
      </c>
      <c r="E853">
        <f>Sources!F853</f>
        <v/>
      </c>
      <c r="F853">
        <f>Sources!H853</f>
        <v/>
      </c>
      <c r="G853">
        <f>IF(ABS(F853-ROUND(F853,0))&lt;0.001,1,0)</f>
        <v/>
      </c>
      <c r="H853">
        <f>IF(G853=1,F853,CEILING(F853,1))</f>
        <v/>
      </c>
      <c r="I853">
        <f>IF(G853=1,0,(H853-F853)*E853)</f>
        <v/>
      </c>
      <c r="J853">
        <f>E853*F853</f>
        <v/>
      </c>
    </row>
    <row r="854">
      <c r="A854">
        <f>Sources!A854</f>
        <v/>
      </c>
      <c r="B854">
        <f>Sources!B854</f>
        <v/>
      </c>
      <c r="C854">
        <f>Sources!D854</f>
        <v/>
      </c>
      <c r="D854">
        <f>Sources!E854</f>
        <v/>
      </c>
      <c r="E854">
        <f>Sources!F854</f>
        <v/>
      </c>
      <c r="F854">
        <f>Sources!H854</f>
        <v/>
      </c>
      <c r="G854">
        <f>IF(ABS(F854-ROUND(F854,0))&lt;0.001,1,0)</f>
        <v/>
      </c>
      <c r="H854">
        <f>IF(G854=1,F854,CEILING(F854,1))</f>
        <v/>
      </c>
      <c r="I854">
        <f>IF(G854=1,0,(H854-F854)*E854)</f>
        <v/>
      </c>
      <c r="J854">
        <f>E854*F854</f>
        <v/>
      </c>
    </row>
    <row r="855">
      <c r="A855">
        <f>Sources!A855</f>
        <v/>
      </c>
      <c r="B855">
        <f>Sources!B855</f>
        <v/>
      </c>
      <c r="C855">
        <f>Sources!D855</f>
        <v/>
      </c>
      <c r="D855">
        <f>Sources!E855</f>
        <v/>
      </c>
      <c r="E855">
        <f>Sources!F855</f>
        <v/>
      </c>
      <c r="F855">
        <f>Sources!H855</f>
        <v/>
      </c>
      <c r="G855">
        <f>IF(ABS(F855-ROUND(F855,0))&lt;0.001,1,0)</f>
        <v/>
      </c>
      <c r="H855">
        <f>IF(G855=1,F855,CEILING(F855,1))</f>
        <v/>
      </c>
      <c r="I855">
        <f>IF(G855=1,0,(H855-F855)*E855)</f>
        <v/>
      </c>
      <c r="J855">
        <f>E855*F855</f>
        <v/>
      </c>
    </row>
    <row r="856">
      <c r="A856">
        <f>Sources!A856</f>
        <v/>
      </c>
      <c r="B856">
        <f>Sources!B856</f>
        <v/>
      </c>
      <c r="C856">
        <f>Sources!D856</f>
        <v/>
      </c>
      <c r="D856">
        <f>Sources!E856</f>
        <v/>
      </c>
      <c r="E856">
        <f>Sources!F856</f>
        <v/>
      </c>
      <c r="F856">
        <f>Sources!H856</f>
        <v/>
      </c>
      <c r="G856">
        <f>IF(ABS(F856-ROUND(F856,0))&lt;0.001,1,0)</f>
        <v/>
      </c>
      <c r="H856">
        <f>IF(G856=1,F856,CEILING(F856,1))</f>
        <v/>
      </c>
      <c r="I856">
        <f>IF(G856=1,0,(H856-F856)*E856)</f>
        <v/>
      </c>
      <c r="J856">
        <f>E856*F856</f>
        <v/>
      </c>
    </row>
    <row r="857">
      <c r="A857">
        <f>Sources!A857</f>
        <v/>
      </c>
      <c r="B857">
        <f>Sources!B857</f>
        <v/>
      </c>
      <c r="C857">
        <f>Sources!D857</f>
        <v/>
      </c>
      <c r="D857">
        <f>Sources!E857</f>
        <v/>
      </c>
      <c r="E857">
        <f>Sources!F857</f>
        <v/>
      </c>
      <c r="F857">
        <f>Sources!H857</f>
        <v/>
      </c>
      <c r="G857">
        <f>IF(ABS(F857-ROUND(F857,0))&lt;0.001,1,0)</f>
        <v/>
      </c>
      <c r="H857">
        <f>IF(G857=1,F857,CEILING(F857,1))</f>
        <v/>
      </c>
      <c r="I857">
        <f>IF(G857=1,0,(H857-F857)*E857)</f>
        <v/>
      </c>
      <c r="J857">
        <f>E857*F857</f>
        <v/>
      </c>
    </row>
    <row r="858">
      <c r="A858">
        <f>Sources!A858</f>
        <v/>
      </c>
      <c r="B858">
        <f>Sources!B858</f>
        <v/>
      </c>
      <c r="C858">
        <f>Sources!D858</f>
        <v/>
      </c>
      <c r="D858">
        <f>Sources!E858</f>
        <v/>
      </c>
      <c r="E858">
        <f>Sources!F858</f>
        <v/>
      </c>
      <c r="F858">
        <f>Sources!H858</f>
        <v/>
      </c>
      <c r="G858">
        <f>IF(ABS(F858-ROUND(F858,0))&lt;0.001,1,0)</f>
        <v/>
      </c>
      <c r="H858">
        <f>IF(G858=1,F858,CEILING(F858,1))</f>
        <v/>
      </c>
      <c r="I858">
        <f>IF(G858=1,0,(H858-F858)*E858)</f>
        <v/>
      </c>
      <c r="J858">
        <f>E858*F858</f>
        <v/>
      </c>
    </row>
    <row r="859">
      <c r="A859">
        <f>Sources!A859</f>
        <v/>
      </c>
      <c r="B859">
        <f>Sources!B859</f>
        <v/>
      </c>
      <c r="C859">
        <f>Sources!D859</f>
        <v/>
      </c>
      <c r="D859">
        <f>Sources!E859</f>
        <v/>
      </c>
      <c r="E859">
        <f>Sources!F859</f>
        <v/>
      </c>
      <c r="F859">
        <f>Sources!H859</f>
        <v/>
      </c>
      <c r="G859">
        <f>IF(ABS(F859-ROUND(F859,0))&lt;0.001,1,0)</f>
        <v/>
      </c>
      <c r="H859">
        <f>IF(G859=1,F859,CEILING(F859,1))</f>
        <v/>
      </c>
      <c r="I859">
        <f>IF(G859=1,0,(H859-F859)*E859)</f>
        <v/>
      </c>
      <c r="J859">
        <f>E859*F859</f>
        <v/>
      </c>
    </row>
    <row r="860">
      <c r="A860">
        <f>Sources!A860</f>
        <v/>
      </c>
      <c r="B860">
        <f>Sources!B860</f>
        <v/>
      </c>
      <c r="C860">
        <f>Sources!D860</f>
        <v/>
      </c>
      <c r="D860">
        <f>Sources!E860</f>
        <v/>
      </c>
      <c r="E860">
        <f>Sources!F860</f>
        <v/>
      </c>
      <c r="F860">
        <f>Sources!H860</f>
        <v/>
      </c>
      <c r="G860">
        <f>IF(ABS(F860-ROUND(F860,0))&lt;0.001,1,0)</f>
        <v/>
      </c>
      <c r="H860">
        <f>IF(G860=1,F860,CEILING(F860,1))</f>
        <v/>
      </c>
      <c r="I860">
        <f>IF(G860=1,0,(H860-F860)*E860)</f>
        <v/>
      </c>
      <c r="J860">
        <f>E860*F860</f>
        <v/>
      </c>
    </row>
    <row r="861">
      <c r="A861">
        <f>Sources!A861</f>
        <v/>
      </c>
      <c r="B861">
        <f>Sources!B861</f>
        <v/>
      </c>
      <c r="C861">
        <f>Sources!D861</f>
        <v/>
      </c>
      <c r="D861">
        <f>Sources!E861</f>
        <v/>
      </c>
      <c r="E861">
        <f>Sources!F861</f>
        <v/>
      </c>
      <c r="F861">
        <f>Sources!H861</f>
        <v/>
      </c>
      <c r="G861">
        <f>IF(ABS(F861-ROUND(F861,0))&lt;0.001,1,0)</f>
        <v/>
      </c>
      <c r="H861">
        <f>IF(G861=1,F861,CEILING(F861,1))</f>
        <v/>
      </c>
      <c r="I861">
        <f>IF(G861=1,0,(H861-F861)*E861)</f>
        <v/>
      </c>
      <c r="J861">
        <f>E861*F861</f>
        <v/>
      </c>
    </row>
    <row r="862">
      <c r="A862">
        <f>Sources!A862</f>
        <v/>
      </c>
      <c r="B862">
        <f>Sources!B862</f>
        <v/>
      </c>
      <c r="C862">
        <f>Sources!D862</f>
        <v/>
      </c>
      <c r="D862">
        <f>Sources!E862</f>
        <v/>
      </c>
      <c r="E862">
        <f>Sources!F862</f>
        <v/>
      </c>
      <c r="F862">
        <f>Sources!H862</f>
        <v/>
      </c>
      <c r="G862">
        <f>IF(ABS(F862-ROUND(F862,0))&lt;0.001,1,0)</f>
        <v/>
      </c>
      <c r="H862">
        <f>IF(G862=1,F862,CEILING(F862,1))</f>
        <v/>
      </c>
      <c r="I862">
        <f>IF(G862=1,0,(H862-F862)*E862)</f>
        <v/>
      </c>
      <c r="J862">
        <f>E862*F862</f>
        <v/>
      </c>
    </row>
    <row r="863">
      <c r="A863">
        <f>Sources!A863</f>
        <v/>
      </c>
      <c r="B863">
        <f>Sources!B863</f>
        <v/>
      </c>
      <c r="C863">
        <f>Sources!D863</f>
        <v/>
      </c>
      <c r="D863">
        <f>Sources!E863</f>
        <v/>
      </c>
      <c r="E863">
        <f>Sources!F863</f>
        <v/>
      </c>
      <c r="F863">
        <f>Sources!H863</f>
        <v/>
      </c>
      <c r="G863">
        <f>IF(ABS(F863-ROUND(F863,0))&lt;0.001,1,0)</f>
        <v/>
      </c>
      <c r="H863">
        <f>IF(G863=1,F863,CEILING(F863,1))</f>
        <v/>
      </c>
      <c r="I863">
        <f>IF(G863=1,0,(H863-F863)*E863)</f>
        <v/>
      </c>
      <c r="J863">
        <f>E863*F863</f>
        <v/>
      </c>
    </row>
    <row r="864">
      <c r="A864">
        <f>Sources!A864</f>
        <v/>
      </c>
      <c r="B864">
        <f>Sources!B864</f>
        <v/>
      </c>
      <c r="C864">
        <f>Sources!D864</f>
        <v/>
      </c>
      <c r="D864">
        <f>Sources!E864</f>
        <v/>
      </c>
      <c r="E864">
        <f>Sources!F864</f>
        <v/>
      </c>
      <c r="F864">
        <f>Sources!H864</f>
        <v/>
      </c>
      <c r="G864">
        <f>IF(ABS(F864-ROUND(F864,0))&lt;0.001,1,0)</f>
        <v/>
      </c>
      <c r="H864">
        <f>IF(G864=1,F864,CEILING(F864,1))</f>
        <v/>
      </c>
      <c r="I864">
        <f>IF(G864=1,0,(H864-F864)*E864)</f>
        <v/>
      </c>
      <c r="J864">
        <f>E864*F864</f>
        <v/>
      </c>
    </row>
    <row r="865">
      <c r="A865">
        <f>Sources!A865</f>
        <v/>
      </c>
      <c r="B865">
        <f>Sources!B865</f>
        <v/>
      </c>
      <c r="C865">
        <f>Sources!D865</f>
        <v/>
      </c>
      <c r="D865">
        <f>Sources!E865</f>
        <v/>
      </c>
      <c r="E865">
        <f>Sources!F865</f>
        <v/>
      </c>
      <c r="F865">
        <f>Sources!H865</f>
        <v/>
      </c>
      <c r="G865">
        <f>IF(ABS(F865-ROUND(F865,0))&lt;0.001,1,0)</f>
        <v/>
      </c>
      <c r="H865">
        <f>IF(G865=1,F865,CEILING(F865,1))</f>
        <v/>
      </c>
      <c r="I865">
        <f>IF(G865=1,0,(H865-F865)*E865)</f>
        <v/>
      </c>
      <c r="J865">
        <f>E865*F865</f>
        <v/>
      </c>
    </row>
    <row r="866">
      <c r="A866">
        <f>Sources!A866</f>
        <v/>
      </c>
      <c r="B866">
        <f>Sources!B866</f>
        <v/>
      </c>
      <c r="C866">
        <f>Sources!D866</f>
        <v/>
      </c>
      <c r="D866">
        <f>Sources!E866</f>
        <v/>
      </c>
      <c r="E866">
        <f>Sources!F866</f>
        <v/>
      </c>
      <c r="F866">
        <f>Sources!H866</f>
        <v/>
      </c>
      <c r="G866">
        <f>IF(ABS(F866-ROUND(F866,0))&lt;0.001,1,0)</f>
        <v/>
      </c>
      <c r="H866">
        <f>IF(G866=1,F866,CEILING(F866,1))</f>
        <v/>
      </c>
      <c r="I866">
        <f>IF(G866=1,0,(H866-F866)*E866)</f>
        <v/>
      </c>
      <c r="J866">
        <f>E866*F866</f>
        <v/>
      </c>
    </row>
    <row r="867">
      <c r="A867">
        <f>Sources!A867</f>
        <v/>
      </c>
      <c r="B867">
        <f>Sources!B867</f>
        <v/>
      </c>
      <c r="C867">
        <f>Sources!D867</f>
        <v/>
      </c>
      <c r="D867">
        <f>Sources!E867</f>
        <v/>
      </c>
      <c r="E867">
        <f>Sources!F867</f>
        <v/>
      </c>
      <c r="F867">
        <f>Sources!H867</f>
        <v/>
      </c>
      <c r="G867">
        <f>IF(ABS(F867-ROUND(F867,0))&lt;0.001,1,0)</f>
        <v/>
      </c>
      <c r="H867">
        <f>IF(G867=1,F867,CEILING(F867,1))</f>
        <v/>
      </c>
      <c r="I867">
        <f>IF(G867=1,0,(H867-F867)*E867)</f>
        <v/>
      </c>
      <c r="J867">
        <f>E867*F867</f>
        <v/>
      </c>
    </row>
    <row r="868">
      <c r="A868">
        <f>Sources!A868</f>
        <v/>
      </c>
      <c r="B868">
        <f>Sources!B868</f>
        <v/>
      </c>
      <c r="C868">
        <f>Sources!D868</f>
        <v/>
      </c>
      <c r="D868">
        <f>Sources!E868</f>
        <v/>
      </c>
      <c r="E868">
        <f>Sources!F868</f>
        <v/>
      </c>
      <c r="F868">
        <f>Sources!H868</f>
        <v/>
      </c>
      <c r="G868">
        <f>IF(ABS(F868-ROUND(F868,0))&lt;0.001,1,0)</f>
        <v/>
      </c>
      <c r="H868">
        <f>IF(G868=1,F868,CEILING(F868,1))</f>
        <v/>
      </c>
      <c r="I868">
        <f>IF(G868=1,0,(H868-F868)*E868)</f>
        <v/>
      </c>
      <c r="J868">
        <f>E868*F868</f>
        <v/>
      </c>
    </row>
    <row r="869">
      <c r="A869">
        <f>Sources!A869</f>
        <v/>
      </c>
      <c r="B869">
        <f>Sources!B869</f>
        <v/>
      </c>
      <c r="C869">
        <f>Sources!D869</f>
        <v/>
      </c>
      <c r="D869">
        <f>Sources!E869</f>
        <v/>
      </c>
      <c r="E869">
        <f>Sources!F869</f>
        <v/>
      </c>
      <c r="F869">
        <f>Sources!H869</f>
        <v/>
      </c>
      <c r="G869">
        <f>IF(ABS(F869-ROUND(F869,0))&lt;0.001,1,0)</f>
        <v/>
      </c>
      <c r="H869">
        <f>IF(G869=1,F869,CEILING(F869,1))</f>
        <v/>
      </c>
      <c r="I869">
        <f>IF(G869=1,0,(H869-F869)*E869)</f>
        <v/>
      </c>
      <c r="J869">
        <f>E869*F869</f>
        <v/>
      </c>
    </row>
    <row r="870">
      <c r="A870">
        <f>Sources!A870</f>
        <v/>
      </c>
      <c r="B870">
        <f>Sources!B870</f>
        <v/>
      </c>
      <c r="C870">
        <f>Sources!D870</f>
        <v/>
      </c>
      <c r="D870">
        <f>Sources!E870</f>
        <v/>
      </c>
      <c r="E870">
        <f>Sources!F870</f>
        <v/>
      </c>
      <c r="F870">
        <f>Sources!H870</f>
        <v/>
      </c>
      <c r="G870">
        <f>IF(ABS(F870-ROUND(F870,0))&lt;0.001,1,0)</f>
        <v/>
      </c>
      <c r="H870">
        <f>IF(G870=1,F870,CEILING(F870,1))</f>
        <v/>
      </c>
      <c r="I870">
        <f>IF(G870=1,0,(H870-F870)*E870)</f>
        <v/>
      </c>
      <c r="J870">
        <f>E870*F870</f>
        <v/>
      </c>
    </row>
    <row r="871">
      <c r="A871">
        <f>Sources!A871</f>
        <v/>
      </c>
      <c r="B871">
        <f>Sources!B871</f>
        <v/>
      </c>
      <c r="C871">
        <f>Sources!D871</f>
        <v/>
      </c>
      <c r="D871">
        <f>Sources!E871</f>
        <v/>
      </c>
      <c r="E871">
        <f>Sources!F871</f>
        <v/>
      </c>
      <c r="F871">
        <f>Sources!H871</f>
        <v/>
      </c>
      <c r="G871">
        <f>IF(ABS(F871-ROUND(F871,0))&lt;0.001,1,0)</f>
        <v/>
      </c>
      <c r="H871">
        <f>IF(G871=1,F871,CEILING(F871,1))</f>
        <v/>
      </c>
      <c r="I871">
        <f>IF(G871=1,0,(H871-F871)*E871)</f>
        <v/>
      </c>
      <c r="J871">
        <f>E871*F871</f>
        <v/>
      </c>
    </row>
    <row r="872">
      <c r="A872">
        <f>Sources!A872</f>
        <v/>
      </c>
      <c r="B872">
        <f>Sources!B872</f>
        <v/>
      </c>
      <c r="C872">
        <f>Sources!D872</f>
        <v/>
      </c>
      <c r="D872">
        <f>Sources!E872</f>
        <v/>
      </c>
      <c r="E872">
        <f>Sources!F872</f>
        <v/>
      </c>
      <c r="F872">
        <f>Sources!H872</f>
        <v/>
      </c>
      <c r="G872">
        <f>IF(ABS(F872-ROUND(F872,0))&lt;0.001,1,0)</f>
        <v/>
      </c>
      <c r="H872">
        <f>IF(G872=1,F872,CEILING(F872,1))</f>
        <v/>
      </c>
      <c r="I872">
        <f>IF(G872=1,0,(H872-F872)*E872)</f>
        <v/>
      </c>
      <c r="J872">
        <f>E872*F872</f>
        <v/>
      </c>
    </row>
    <row r="873">
      <c r="A873">
        <f>Sources!A873</f>
        <v/>
      </c>
      <c r="B873">
        <f>Sources!B873</f>
        <v/>
      </c>
      <c r="C873">
        <f>Sources!D873</f>
        <v/>
      </c>
      <c r="D873">
        <f>Sources!E873</f>
        <v/>
      </c>
      <c r="E873">
        <f>Sources!F873</f>
        <v/>
      </c>
      <c r="F873">
        <f>Sources!H873</f>
        <v/>
      </c>
      <c r="G873">
        <f>IF(ABS(F873-ROUND(F873,0))&lt;0.001,1,0)</f>
        <v/>
      </c>
      <c r="H873">
        <f>IF(G873=1,F873,CEILING(F873,1))</f>
        <v/>
      </c>
      <c r="I873">
        <f>IF(G873=1,0,(H873-F873)*E873)</f>
        <v/>
      </c>
      <c r="J873">
        <f>E873*F873</f>
        <v/>
      </c>
    </row>
    <row r="874">
      <c r="A874">
        <f>Sources!A874</f>
        <v/>
      </c>
      <c r="B874">
        <f>Sources!B874</f>
        <v/>
      </c>
      <c r="C874">
        <f>Sources!D874</f>
        <v/>
      </c>
      <c r="D874">
        <f>Sources!E874</f>
        <v/>
      </c>
      <c r="E874">
        <f>Sources!F874</f>
        <v/>
      </c>
      <c r="F874">
        <f>Sources!H874</f>
        <v/>
      </c>
      <c r="G874">
        <f>IF(ABS(F874-ROUND(F874,0))&lt;0.001,1,0)</f>
        <v/>
      </c>
      <c r="H874">
        <f>IF(G874=1,F874,CEILING(F874,1))</f>
        <v/>
      </c>
      <c r="I874">
        <f>IF(G874=1,0,(H874-F874)*E874)</f>
        <v/>
      </c>
      <c r="J874">
        <f>E874*F874</f>
        <v/>
      </c>
    </row>
    <row r="875">
      <c r="A875">
        <f>Sources!A875</f>
        <v/>
      </c>
      <c r="B875">
        <f>Sources!B875</f>
        <v/>
      </c>
      <c r="C875">
        <f>Sources!D875</f>
        <v/>
      </c>
      <c r="D875">
        <f>Sources!E875</f>
        <v/>
      </c>
      <c r="E875">
        <f>Sources!F875</f>
        <v/>
      </c>
      <c r="F875">
        <f>Sources!H875</f>
        <v/>
      </c>
      <c r="G875">
        <f>IF(ABS(F875-ROUND(F875,0))&lt;0.001,1,0)</f>
        <v/>
      </c>
      <c r="H875">
        <f>IF(G875=1,F875,CEILING(F875,1))</f>
        <v/>
      </c>
      <c r="I875">
        <f>IF(G875=1,0,(H875-F875)*E875)</f>
        <v/>
      </c>
      <c r="J875">
        <f>E875*F875</f>
        <v/>
      </c>
    </row>
    <row r="876">
      <c r="A876">
        <f>Sources!A876</f>
        <v/>
      </c>
      <c r="B876">
        <f>Sources!B876</f>
        <v/>
      </c>
      <c r="C876">
        <f>Sources!D876</f>
        <v/>
      </c>
      <c r="D876">
        <f>Sources!E876</f>
        <v/>
      </c>
      <c r="E876">
        <f>Sources!F876</f>
        <v/>
      </c>
      <c r="F876">
        <f>Sources!H876</f>
        <v/>
      </c>
      <c r="G876">
        <f>IF(ABS(F876-ROUND(F876,0))&lt;0.001,1,0)</f>
        <v/>
      </c>
      <c r="H876">
        <f>IF(G876=1,F876,CEILING(F876,1))</f>
        <v/>
      </c>
      <c r="I876">
        <f>IF(G876=1,0,(H876-F876)*E876)</f>
        <v/>
      </c>
      <c r="J876">
        <f>E876*F876</f>
        <v/>
      </c>
    </row>
    <row r="877">
      <c r="A877">
        <f>Sources!A877</f>
        <v/>
      </c>
      <c r="B877">
        <f>Sources!B877</f>
        <v/>
      </c>
      <c r="C877">
        <f>Sources!D877</f>
        <v/>
      </c>
      <c r="D877">
        <f>Sources!E877</f>
        <v/>
      </c>
      <c r="E877">
        <f>Sources!F877</f>
        <v/>
      </c>
      <c r="F877">
        <f>Sources!H877</f>
        <v/>
      </c>
      <c r="G877">
        <f>IF(ABS(F877-ROUND(F877,0))&lt;0.001,1,0)</f>
        <v/>
      </c>
      <c r="H877">
        <f>IF(G877=1,F877,CEILING(F877,1))</f>
        <v/>
      </c>
      <c r="I877">
        <f>IF(G877=1,0,(H877-F877)*E877)</f>
        <v/>
      </c>
      <c r="J877">
        <f>E877*F877</f>
        <v/>
      </c>
    </row>
    <row r="878">
      <c r="A878">
        <f>Sources!A878</f>
        <v/>
      </c>
      <c r="B878">
        <f>Sources!B878</f>
        <v/>
      </c>
      <c r="C878">
        <f>Sources!D878</f>
        <v/>
      </c>
      <c r="D878">
        <f>Sources!E878</f>
        <v/>
      </c>
      <c r="E878">
        <f>Sources!F878</f>
        <v/>
      </c>
      <c r="F878">
        <f>Sources!H878</f>
        <v/>
      </c>
      <c r="G878">
        <f>IF(ABS(F878-ROUND(F878,0))&lt;0.001,1,0)</f>
        <v/>
      </c>
      <c r="H878">
        <f>IF(G878=1,F878,CEILING(F878,1))</f>
        <v/>
      </c>
      <c r="I878">
        <f>IF(G878=1,0,(H878-F878)*E878)</f>
        <v/>
      </c>
      <c r="J878">
        <f>E878*F878</f>
        <v/>
      </c>
    </row>
    <row r="879">
      <c r="A879">
        <f>Sources!A879</f>
        <v/>
      </c>
      <c r="B879">
        <f>Sources!B879</f>
        <v/>
      </c>
      <c r="C879">
        <f>Sources!D879</f>
        <v/>
      </c>
      <c r="D879">
        <f>Sources!E879</f>
        <v/>
      </c>
      <c r="E879">
        <f>Sources!F879</f>
        <v/>
      </c>
      <c r="F879">
        <f>Sources!H879</f>
        <v/>
      </c>
      <c r="G879">
        <f>IF(ABS(F879-ROUND(F879,0))&lt;0.001,1,0)</f>
        <v/>
      </c>
      <c r="H879">
        <f>IF(G879=1,F879,CEILING(F879,1))</f>
        <v/>
      </c>
      <c r="I879">
        <f>IF(G879=1,0,(H879-F879)*E879)</f>
        <v/>
      </c>
      <c r="J879">
        <f>E879*F879</f>
        <v/>
      </c>
    </row>
    <row r="880">
      <c r="A880">
        <f>Sources!A880</f>
        <v/>
      </c>
      <c r="B880">
        <f>Sources!B880</f>
        <v/>
      </c>
      <c r="C880">
        <f>Sources!D880</f>
        <v/>
      </c>
      <c r="D880">
        <f>Sources!E880</f>
        <v/>
      </c>
      <c r="E880">
        <f>Sources!F880</f>
        <v/>
      </c>
      <c r="F880">
        <f>Sources!H880</f>
        <v/>
      </c>
      <c r="G880">
        <f>IF(ABS(F880-ROUND(F880,0))&lt;0.001,1,0)</f>
        <v/>
      </c>
      <c r="H880">
        <f>IF(G880=1,F880,CEILING(F880,1))</f>
        <v/>
      </c>
      <c r="I880">
        <f>IF(G880=1,0,(H880-F880)*E880)</f>
        <v/>
      </c>
      <c r="J880">
        <f>E880*F880</f>
        <v/>
      </c>
    </row>
    <row r="881">
      <c r="A881">
        <f>Sources!A881</f>
        <v/>
      </c>
      <c r="B881">
        <f>Sources!B881</f>
        <v/>
      </c>
      <c r="C881">
        <f>Sources!D881</f>
        <v/>
      </c>
      <c r="D881">
        <f>Sources!E881</f>
        <v/>
      </c>
      <c r="E881">
        <f>Sources!F881</f>
        <v/>
      </c>
      <c r="F881">
        <f>Sources!H881</f>
        <v/>
      </c>
      <c r="G881">
        <f>IF(ABS(F881-ROUND(F881,0))&lt;0.001,1,0)</f>
        <v/>
      </c>
      <c r="H881">
        <f>IF(G881=1,F881,CEILING(F881,1))</f>
        <v/>
      </c>
      <c r="I881">
        <f>IF(G881=1,0,(H881-F881)*E881)</f>
        <v/>
      </c>
      <c r="J881">
        <f>E881*F881</f>
        <v/>
      </c>
    </row>
    <row r="882">
      <c r="A882">
        <f>Sources!A882</f>
        <v/>
      </c>
      <c r="B882">
        <f>Sources!B882</f>
        <v/>
      </c>
      <c r="C882">
        <f>Sources!D882</f>
        <v/>
      </c>
      <c r="D882">
        <f>Sources!E882</f>
        <v/>
      </c>
      <c r="E882">
        <f>Sources!F882</f>
        <v/>
      </c>
      <c r="F882">
        <f>Sources!H882</f>
        <v/>
      </c>
      <c r="G882">
        <f>IF(ABS(F882-ROUND(F882,0))&lt;0.001,1,0)</f>
        <v/>
      </c>
      <c r="H882">
        <f>IF(G882=1,F882,CEILING(F882,1))</f>
        <v/>
      </c>
      <c r="I882">
        <f>IF(G882=1,0,(H882-F882)*E882)</f>
        <v/>
      </c>
      <c r="J882">
        <f>E882*F882</f>
        <v/>
      </c>
    </row>
    <row r="883">
      <c r="A883">
        <f>Sources!A883</f>
        <v/>
      </c>
      <c r="B883">
        <f>Sources!B883</f>
        <v/>
      </c>
      <c r="C883">
        <f>Sources!D883</f>
        <v/>
      </c>
      <c r="D883">
        <f>Sources!E883</f>
        <v/>
      </c>
      <c r="E883">
        <f>Sources!F883</f>
        <v/>
      </c>
      <c r="F883">
        <f>Sources!H883</f>
        <v/>
      </c>
      <c r="G883">
        <f>IF(ABS(F883-ROUND(F883,0))&lt;0.001,1,0)</f>
        <v/>
      </c>
      <c r="H883">
        <f>IF(G883=1,F883,CEILING(F883,1))</f>
        <v/>
      </c>
      <c r="I883">
        <f>IF(G883=1,0,(H883-F883)*E883)</f>
        <v/>
      </c>
      <c r="J883">
        <f>E883*F883</f>
        <v/>
      </c>
    </row>
    <row r="884">
      <c r="A884">
        <f>Sources!A884</f>
        <v/>
      </c>
      <c r="B884">
        <f>Sources!B884</f>
        <v/>
      </c>
      <c r="C884">
        <f>Sources!D884</f>
        <v/>
      </c>
      <c r="D884">
        <f>Sources!E884</f>
        <v/>
      </c>
      <c r="E884">
        <f>Sources!F884</f>
        <v/>
      </c>
      <c r="F884">
        <f>Sources!H884</f>
        <v/>
      </c>
      <c r="G884">
        <f>IF(ABS(F884-ROUND(F884,0))&lt;0.001,1,0)</f>
        <v/>
      </c>
      <c r="H884">
        <f>IF(G884=1,F884,CEILING(F884,1))</f>
        <v/>
      </c>
      <c r="I884">
        <f>IF(G884=1,0,(H884-F884)*E884)</f>
        <v/>
      </c>
      <c r="J884">
        <f>E884*F884</f>
        <v/>
      </c>
    </row>
    <row r="885">
      <c r="A885">
        <f>Sources!A885</f>
        <v/>
      </c>
      <c r="B885">
        <f>Sources!B885</f>
        <v/>
      </c>
      <c r="C885">
        <f>Sources!D885</f>
        <v/>
      </c>
      <c r="D885">
        <f>Sources!E885</f>
        <v/>
      </c>
      <c r="E885">
        <f>Sources!F885</f>
        <v/>
      </c>
      <c r="F885">
        <f>Sources!H885</f>
        <v/>
      </c>
      <c r="G885">
        <f>IF(ABS(F885-ROUND(F885,0))&lt;0.001,1,0)</f>
        <v/>
      </c>
      <c r="H885">
        <f>IF(G885=1,F885,CEILING(F885,1))</f>
        <v/>
      </c>
      <c r="I885">
        <f>IF(G885=1,0,(H885-F885)*E885)</f>
        <v/>
      </c>
      <c r="J885">
        <f>E885*F885</f>
        <v/>
      </c>
    </row>
    <row r="886">
      <c r="A886">
        <f>Sources!A886</f>
        <v/>
      </c>
      <c r="B886">
        <f>Sources!B886</f>
        <v/>
      </c>
      <c r="C886">
        <f>Sources!D886</f>
        <v/>
      </c>
      <c r="D886">
        <f>Sources!E886</f>
        <v/>
      </c>
      <c r="E886">
        <f>Sources!F886</f>
        <v/>
      </c>
      <c r="F886">
        <f>Sources!H886</f>
        <v/>
      </c>
      <c r="G886">
        <f>IF(ABS(F886-ROUND(F886,0))&lt;0.001,1,0)</f>
        <v/>
      </c>
      <c r="H886">
        <f>IF(G886=1,F886,CEILING(F886,1))</f>
        <v/>
      </c>
      <c r="I886">
        <f>IF(G886=1,0,(H886-F886)*E886)</f>
        <v/>
      </c>
      <c r="J886">
        <f>E886*F886</f>
        <v/>
      </c>
    </row>
    <row r="887">
      <c r="A887">
        <f>Sources!A887</f>
        <v/>
      </c>
      <c r="B887">
        <f>Sources!B887</f>
        <v/>
      </c>
      <c r="C887">
        <f>Sources!D887</f>
        <v/>
      </c>
      <c r="D887">
        <f>Sources!E887</f>
        <v/>
      </c>
      <c r="E887">
        <f>Sources!F887</f>
        <v/>
      </c>
      <c r="F887">
        <f>Sources!H887</f>
        <v/>
      </c>
      <c r="G887">
        <f>IF(ABS(F887-ROUND(F887,0))&lt;0.001,1,0)</f>
        <v/>
      </c>
      <c r="H887">
        <f>IF(G887=1,F887,CEILING(F887,1))</f>
        <v/>
      </c>
      <c r="I887">
        <f>IF(G887=1,0,(H887-F887)*E887)</f>
        <v/>
      </c>
      <c r="J887">
        <f>E887*F887</f>
        <v/>
      </c>
    </row>
    <row r="888">
      <c r="A888">
        <f>Sources!A888</f>
        <v/>
      </c>
      <c r="B888">
        <f>Sources!B888</f>
        <v/>
      </c>
      <c r="C888">
        <f>Sources!D888</f>
        <v/>
      </c>
      <c r="D888">
        <f>Sources!E888</f>
        <v/>
      </c>
      <c r="E888">
        <f>Sources!F888</f>
        <v/>
      </c>
      <c r="F888">
        <f>Sources!H888</f>
        <v/>
      </c>
      <c r="G888">
        <f>IF(ABS(F888-ROUND(F888,0))&lt;0.001,1,0)</f>
        <v/>
      </c>
      <c r="H888">
        <f>IF(G888=1,F888,CEILING(F888,1))</f>
        <v/>
      </c>
      <c r="I888">
        <f>IF(G888=1,0,(H888-F888)*E888)</f>
        <v/>
      </c>
      <c r="J888">
        <f>E888*F888</f>
        <v/>
      </c>
    </row>
    <row r="889">
      <c r="A889">
        <f>Sources!A889</f>
        <v/>
      </c>
      <c r="B889">
        <f>Sources!B889</f>
        <v/>
      </c>
      <c r="C889">
        <f>Sources!D889</f>
        <v/>
      </c>
      <c r="D889">
        <f>Sources!E889</f>
        <v/>
      </c>
      <c r="E889">
        <f>Sources!F889</f>
        <v/>
      </c>
      <c r="F889">
        <f>Sources!H889</f>
        <v/>
      </c>
      <c r="G889">
        <f>IF(ABS(F889-ROUND(F889,0))&lt;0.001,1,0)</f>
        <v/>
      </c>
      <c r="H889">
        <f>IF(G889=1,F889,CEILING(F889,1))</f>
        <v/>
      </c>
      <c r="I889">
        <f>IF(G889=1,0,(H889-F889)*E889)</f>
        <v/>
      </c>
      <c r="J889">
        <f>E889*F889</f>
        <v/>
      </c>
    </row>
    <row r="890">
      <c r="A890">
        <f>Sources!A890</f>
        <v/>
      </c>
      <c r="B890">
        <f>Sources!B890</f>
        <v/>
      </c>
      <c r="C890">
        <f>Sources!D890</f>
        <v/>
      </c>
      <c r="D890">
        <f>Sources!E890</f>
        <v/>
      </c>
      <c r="E890">
        <f>Sources!F890</f>
        <v/>
      </c>
      <c r="F890">
        <f>Sources!H890</f>
        <v/>
      </c>
      <c r="G890">
        <f>IF(ABS(F890-ROUND(F890,0))&lt;0.001,1,0)</f>
        <v/>
      </c>
      <c r="H890">
        <f>IF(G890=1,F890,CEILING(F890,1))</f>
        <v/>
      </c>
      <c r="I890">
        <f>IF(G890=1,0,(H890-F890)*E890)</f>
        <v/>
      </c>
      <c r="J890">
        <f>E890*F890</f>
        <v/>
      </c>
    </row>
    <row r="891">
      <c r="A891">
        <f>Sources!A891</f>
        <v/>
      </c>
      <c r="B891">
        <f>Sources!B891</f>
        <v/>
      </c>
      <c r="C891">
        <f>Sources!D891</f>
        <v/>
      </c>
      <c r="D891">
        <f>Sources!E891</f>
        <v/>
      </c>
      <c r="E891">
        <f>Sources!F891</f>
        <v/>
      </c>
      <c r="F891">
        <f>Sources!H891</f>
        <v/>
      </c>
      <c r="G891">
        <f>IF(ABS(F891-ROUND(F891,0))&lt;0.001,1,0)</f>
        <v/>
      </c>
      <c r="H891">
        <f>IF(G891=1,F891,CEILING(F891,1))</f>
        <v/>
      </c>
      <c r="I891">
        <f>IF(G891=1,0,(H891-F891)*E891)</f>
        <v/>
      </c>
      <c r="J891">
        <f>E891*F891</f>
        <v/>
      </c>
    </row>
    <row r="892">
      <c r="A892">
        <f>Sources!A892</f>
        <v/>
      </c>
      <c r="B892">
        <f>Sources!B892</f>
        <v/>
      </c>
      <c r="C892">
        <f>Sources!D892</f>
        <v/>
      </c>
      <c r="D892">
        <f>Sources!E892</f>
        <v/>
      </c>
      <c r="E892">
        <f>Sources!F892</f>
        <v/>
      </c>
      <c r="F892">
        <f>Sources!H892</f>
        <v/>
      </c>
      <c r="G892">
        <f>IF(ABS(F892-ROUND(F892,0))&lt;0.001,1,0)</f>
        <v/>
      </c>
      <c r="H892">
        <f>IF(G892=1,F892,CEILING(F892,1))</f>
        <v/>
      </c>
      <c r="I892">
        <f>IF(G892=1,0,(H892-F892)*E892)</f>
        <v/>
      </c>
      <c r="J892">
        <f>E892*F892</f>
        <v/>
      </c>
    </row>
    <row r="893">
      <c r="A893">
        <f>Sources!A893</f>
        <v/>
      </c>
      <c r="B893">
        <f>Sources!B893</f>
        <v/>
      </c>
      <c r="C893">
        <f>Sources!D893</f>
        <v/>
      </c>
      <c r="D893">
        <f>Sources!E893</f>
        <v/>
      </c>
      <c r="E893">
        <f>Sources!F893</f>
        <v/>
      </c>
      <c r="F893">
        <f>Sources!H893</f>
        <v/>
      </c>
      <c r="G893">
        <f>IF(ABS(F893-ROUND(F893,0))&lt;0.001,1,0)</f>
        <v/>
      </c>
      <c r="H893">
        <f>IF(G893=1,F893,CEILING(F893,1))</f>
        <v/>
      </c>
      <c r="I893">
        <f>IF(G893=1,0,(H893-F893)*E893)</f>
        <v/>
      </c>
      <c r="J893">
        <f>E893*F893</f>
        <v/>
      </c>
    </row>
    <row r="894">
      <c r="A894">
        <f>Sources!A894</f>
        <v/>
      </c>
      <c r="B894">
        <f>Sources!B894</f>
        <v/>
      </c>
      <c r="C894">
        <f>Sources!D894</f>
        <v/>
      </c>
      <c r="D894">
        <f>Sources!E894</f>
        <v/>
      </c>
      <c r="E894">
        <f>Sources!F894</f>
        <v/>
      </c>
      <c r="F894">
        <f>Sources!H894</f>
        <v/>
      </c>
      <c r="G894">
        <f>IF(ABS(F894-ROUND(F894,0))&lt;0.001,1,0)</f>
        <v/>
      </c>
      <c r="H894">
        <f>IF(G894=1,F894,CEILING(F894,1))</f>
        <v/>
      </c>
      <c r="I894">
        <f>IF(G894=1,0,(H894-F894)*E894)</f>
        <v/>
      </c>
      <c r="J894">
        <f>E894*F894</f>
        <v/>
      </c>
    </row>
    <row r="895">
      <c r="A895">
        <f>Sources!A895</f>
        <v/>
      </c>
      <c r="B895">
        <f>Sources!B895</f>
        <v/>
      </c>
      <c r="C895">
        <f>Sources!D895</f>
        <v/>
      </c>
      <c r="D895">
        <f>Sources!E895</f>
        <v/>
      </c>
      <c r="E895">
        <f>Sources!F895</f>
        <v/>
      </c>
      <c r="F895">
        <f>Sources!H895</f>
        <v/>
      </c>
      <c r="G895">
        <f>IF(ABS(F895-ROUND(F895,0))&lt;0.001,1,0)</f>
        <v/>
      </c>
      <c r="H895">
        <f>IF(G895=1,F895,CEILING(F895,1))</f>
        <v/>
      </c>
      <c r="I895">
        <f>IF(G895=1,0,(H895-F895)*E895)</f>
        <v/>
      </c>
      <c r="J895">
        <f>E895*F895</f>
        <v/>
      </c>
    </row>
    <row r="896">
      <c r="A896">
        <f>Sources!A896</f>
        <v/>
      </c>
      <c r="B896">
        <f>Sources!B896</f>
        <v/>
      </c>
      <c r="C896">
        <f>Sources!D896</f>
        <v/>
      </c>
      <c r="D896">
        <f>Sources!E896</f>
        <v/>
      </c>
      <c r="E896">
        <f>Sources!F896</f>
        <v/>
      </c>
      <c r="F896">
        <f>Sources!H896</f>
        <v/>
      </c>
      <c r="G896">
        <f>IF(ABS(F896-ROUND(F896,0))&lt;0.001,1,0)</f>
        <v/>
      </c>
      <c r="H896">
        <f>IF(G896=1,F896,CEILING(F896,1))</f>
        <v/>
      </c>
      <c r="I896">
        <f>IF(G896=1,0,(H896-F896)*E896)</f>
        <v/>
      </c>
      <c r="J896">
        <f>E896*F896</f>
        <v/>
      </c>
    </row>
    <row r="897">
      <c r="A897">
        <f>Sources!A897</f>
        <v/>
      </c>
      <c r="B897">
        <f>Sources!B897</f>
        <v/>
      </c>
      <c r="C897">
        <f>Sources!D897</f>
        <v/>
      </c>
      <c r="D897">
        <f>Sources!E897</f>
        <v/>
      </c>
      <c r="E897">
        <f>Sources!F897</f>
        <v/>
      </c>
      <c r="F897">
        <f>Sources!H897</f>
        <v/>
      </c>
      <c r="G897">
        <f>IF(ABS(F897-ROUND(F897,0))&lt;0.001,1,0)</f>
        <v/>
      </c>
      <c r="H897">
        <f>IF(G897=1,F897,CEILING(F897,1))</f>
        <v/>
      </c>
      <c r="I897">
        <f>IF(G897=1,0,(H897-F897)*E897)</f>
        <v/>
      </c>
      <c r="J897">
        <f>E897*F897</f>
        <v/>
      </c>
    </row>
    <row r="898">
      <c r="A898">
        <f>Sources!A898</f>
        <v/>
      </c>
      <c r="B898">
        <f>Sources!B898</f>
        <v/>
      </c>
      <c r="C898">
        <f>Sources!D898</f>
        <v/>
      </c>
      <c r="D898">
        <f>Sources!E898</f>
        <v/>
      </c>
      <c r="E898">
        <f>Sources!F898</f>
        <v/>
      </c>
      <c r="F898">
        <f>Sources!H898</f>
        <v/>
      </c>
      <c r="G898">
        <f>IF(ABS(F898-ROUND(F898,0))&lt;0.001,1,0)</f>
        <v/>
      </c>
      <c r="H898">
        <f>IF(G898=1,F898,CEILING(F898,1))</f>
        <v/>
      </c>
      <c r="I898">
        <f>IF(G898=1,0,(H898-F898)*E898)</f>
        <v/>
      </c>
      <c r="J898">
        <f>E898*F898</f>
        <v/>
      </c>
    </row>
    <row r="899">
      <c r="A899">
        <f>Sources!A899</f>
        <v/>
      </c>
      <c r="B899">
        <f>Sources!B899</f>
        <v/>
      </c>
      <c r="C899">
        <f>Sources!D899</f>
        <v/>
      </c>
      <c r="D899">
        <f>Sources!E899</f>
        <v/>
      </c>
      <c r="E899">
        <f>Sources!F899</f>
        <v/>
      </c>
      <c r="F899">
        <f>Sources!H899</f>
        <v/>
      </c>
      <c r="G899">
        <f>IF(ABS(F899-ROUND(F899,0))&lt;0.001,1,0)</f>
        <v/>
      </c>
      <c r="H899">
        <f>IF(G899=1,F899,CEILING(F899,1))</f>
        <v/>
      </c>
      <c r="I899">
        <f>IF(G899=1,0,(H899-F899)*E899)</f>
        <v/>
      </c>
      <c r="J899">
        <f>E899*F899</f>
        <v/>
      </c>
    </row>
    <row r="900">
      <c r="A900">
        <f>Sources!A900</f>
        <v/>
      </c>
      <c r="B900">
        <f>Sources!B900</f>
        <v/>
      </c>
      <c r="C900">
        <f>Sources!D900</f>
        <v/>
      </c>
      <c r="D900">
        <f>Sources!E900</f>
        <v/>
      </c>
      <c r="E900">
        <f>Sources!F900</f>
        <v/>
      </c>
      <c r="F900">
        <f>Sources!H900</f>
        <v/>
      </c>
      <c r="G900">
        <f>IF(ABS(F900-ROUND(F900,0))&lt;0.001,1,0)</f>
        <v/>
      </c>
      <c r="H900">
        <f>IF(G900=1,F900,CEILING(F900,1))</f>
        <v/>
      </c>
      <c r="I900">
        <f>IF(G900=1,0,(H900-F900)*E900)</f>
        <v/>
      </c>
      <c r="J900">
        <f>E900*F900</f>
        <v/>
      </c>
    </row>
    <row r="901">
      <c r="A901">
        <f>Sources!A901</f>
        <v/>
      </c>
      <c r="B901">
        <f>Sources!B901</f>
        <v/>
      </c>
      <c r="C901">
        <f>Sources!D901</f>
        <v/>
      </c>
      <c r="D901">
        <f>Sources!E901</f>
        <v/>
      </c>
      <c r="E901">
        <f>Sources!F901</f>
        <v/>
      </c>
      <c r="F901">
        <f>Sources!H901</f>
        <v/>
      </c>
      <c r="G901">
        <f>IF(ABS(F901-ROUND(F901,0))&lt;0.001,1,0)</f>
        <v/>
      </c>
      <c r="H901">
        <f>IF(G901=1,F901,CEILING(F901,1))</f>
        <v/>
      </c>
      <c r="I901">
        <f>IF(G901=1,0,(H901-F901)*E901)</f>
        <v/>
      </c>
      <c r="J901">
        <f>E901*F901</f>
        <v/>
      </c>
    </row>
    <row r="902">
      <c r="A902">
        <f>Sources!A902</f>
        <v/>
      </c>
      <c r="B902">
        <f>Sources!B902</f>
        <v/>
      </c>
      <c r="C902">
        <f>Sources!D902</f>
        <v/>
      </c>
      <c r="D902">
        <f>Sources!E902</f>
        <v/>
      </c>
      <c r="E902">
        <f>Sources!F902</f>
        <v/>
      </c>
      <c r="F902">
        <f>Sources!H902</f>
        <v/>
      </c>
      <c r="G902">
        <f>IF(ABS(F902-ROUND(F902,0))&lt;0.001,1,0)</f>
        <v/>
      </c>
      <c r="H902">
        <f>IF(G902=1,F902,CEILING(F902,1))</f>
        <v/>
      </c>
      <c r="I902">
        <f>IF(G902=1,0,(H902-F902)*E902)</f>
        <v/>
      </c>
      <c r="J902">
        <f>E902*F902</f>
        <v/>
      </c>
    </row>
    <row r="903">
      <c r="A903">
        <f>Sources!A903</f>
        <v/>
      </c>
      <c r="B903">
        <f>Sources!B903</f>
        <v/>
      </c>
      <c r="C903">
        <f>Sources!D903</f>
        <v/>
      </c>
      <c r="D903">
        <f>Sources!E903</f>
        <v/>
      </c>
      <c r="E903">
        <f>Sources!F903</f>
        <v/>
      </c>
      <c r="F903">
        <f>Sources!H903</f>
        <v/>
      </c>
      <c r="G903">
        <f>IF(ABS(F903-ROUND(F903,0))&lt;0.001,1,0)</f>
        <v/>
      </c>
      <c r="H903">
        <f>IF(G903=1,F903,CEILING(F903,1))</f>
        <v/>
      </c>
      <c r="I903">
        <f>IF(G903=1,0,(H903-F903)*E903)</f>
        <v/>
      </c>
      <c r="J903">
        <f>E903*F903</f>
        <v/>
      </c>
    </row>
    <row r="904">
      <c r="A904">
        <f>Sources!A904</f>
        <v/>
      </c>
      <c r="B904">
        <f>Sources!B904</f>
        <v/>
      </c>
      <c r="C904">
        <f>Sources!D904</f>
        <v/>
      </c>
      <c r="D904">
        <f>Sources!E904</f>
        <v/>
      </c>
      <c r="E904">
        <f>Sources!F904</f>
        <v/>
      </c>
      <c r="F904">
        <f>Sources!H904</f>
        <v/>
      </c>
      <c r="G904">
        <f>IF(ABS(F904-ROUND(F904,0))&lt;0.001,1,0)</f>
        <v/>
      </c>
      <c r="H904">
        <f>IF(G904=1,F904,CEILING(F904,1))</f>
        <v/>
      </c>
      <c r="I904">
        <f>IF(G904=1,0,(H904-F904)*E904)</f>
        <v/>
      </c>
      <c r="J904">
        <f>E904*F904</f>
        <v/>
      </c>
    </row>
    <row r="905">
      <c r="A905">
        <f>Sources!A905</f>
        <v/>
      </c>
      <c r="B905">
        <f>Sources!B905</f>
        <v/>
      </c>
      <c r="C905">
        <f>Sources!D905</f>
        <v/>
      </c>
      <c r="D905">
        <f>Sources!E905</f>
        <v/>
      </c>
      <c r="E905">
        <f>Sources!F905</f>
        <v/>
      </c>
      <c r="F905">
        <f>Sources!H905</f>
        <v/>
      </c>
      <c r="G905">
        <f>IF(ABS(F905-ROUND(F905,0))&lt;0.001,1,0)</f>
        <v/>
      </c>
      <c r="H905">
        <f>IF(G905=1,F905,CEILING(F905,1))</f>
        <v/>
      </c>
      <c r="I905">
        <f>IF(G905=1,0,(H905-F905)*E905)</f>
        <v/>
      </c>
      <c r="J905">
        <f>E905*F905</f>
        <v/>
      </c>
    </row>
    <row r="906">
      <c r="A906">
        <f>Sources!A906</f>
        <v/>
      </c>
      <c r="B906">
        <f>Sources!B906</f>
        <v/>
      </c>
      <c r="C906">
        <f>Sources!D906</f>
        <v/>
      </c>
      <c r="D906">
        <f>Sources!E906</f>
        <v/>
      </c>
      <c r="E906">
        <f>Sources!F906</f>
        <v/>
      </c>
      <c r="F906">
        <f>Sources!H906</f>
        <v/>
      </c>
      <c r="G906">
        <f>IF(ABS(F906-ROUND(F906,0))&lt;0.001,1,0)</f>
        <v/>
      </c>
      <c r="H906">
        <f>IF(G906=1,F906,CEILING(F906,1))</f>
        <v/>
      </c>
      <c r="I906">
        <f>IF(G906=1,0,(H906-F906)*E906)</f>
        <v/>
      </c>
      <c r="J906">
        <f>E906*F906</f>
        <v/>
      </c>
    </row>
    <row r="907">
      <c r="A907">
        <f>Sources!A907</f>
        <v/>
      </c>
      <c r="B907">
        <f>Sources!B907</f>
        <v/>
      </c>
      <c r="C907">
        <f>Sources!D907</f>
        <v/>
      </c>
      <c r="D907">
        <f>Sources!E907</f>
        <v/>
      </c>
      <c r="E907">
        <f>Sources!F907</f>
        <v/>
      </c>
      <c r="F907">
        <f>Sources!H907</f>
        <v/>
      </c>
      <c r="G907">
        <f>IF(ABS(F907-ROUND(F907,0))&lt;0.001,1,0)</f>
        <v/>
      </c>
      <c r="H907">
        <f>IF(G907=1,F907,CEILING(F907,1))</f>
        <v/>
      </c>
      <c r="I907">
        <f>IF(G907=1,0,(H907-F907)*E907)</f>
        <v/>
      </c>
      <c r="J907">
        <f>E907*F907</f>
        <v/>
      </c>
    </row>
    <row r="908">
      <c r="A908">
        <f>Sources!A908</f>
        <v/>
      </c>
      <c r="B908">
        <f>Sources!B908</f>
        <v/>
      </c>
      <c r="C908">
        <f>Sources!D908</f>
        <v/>
      </c>
      <c r="D908">
        <f>Sources!E908</f>
        <v/>
      </c>
      <c r="E908">
        <f>Sources!F908</f>
        <v/>
      </c>
      <c r="F908">
        <f>Sources!H908</f>
        <v/>
      </c>
      <c r="G908">
        <f>IF(ABS(F908-ROUND(F908,0))&lt;0.001,1,0)</f>
        <v/>
      </c>
      <c r="H908">
        <f>IF(G908=1,F908,CEILING(F908,1))</f>
        <v/>
      </c>
      <c r="I908">
        <f>IF(G908=1,0,(H908-F908)*E908)</f>
        <v/>
      </c>
      <c r="J908">
        <f>E908*F908</f>
        <v/>
      </c>
    </row>
    <row r="909">
      <c r="A909">
        <f>Sources!A909</f>
        <v/>
      </c>
      <c r="B909">
        <f>Sources!B909</f>
        <v/>
      </c>
      <c r="C909">
        <f>Sources!D909</f>
        <v/>
      </c>
      <c r="D909">
        <f>Sources!E909</f>
        <v/>
      </c>
      <c r="E909">
        <f>Sources!F909</f>
        <v/>
      </c>
      <c r="F909">
        <f>Sources!H909</f>
        <v/>
      </c>
      <c r="G909">
        <f>IF(ABS(F909-ROUND(F909,0))&lt;0.001,1,0)</f>
        <v/>
      </c>
      <c r="H909">
        <f>IF(G909=1,F909,CEILING(F909,1))</f>
        <v/>
      </c>
      <c r="I909">
        <f>IF(G909=1,0,(H909-F909)*E909)</f>
        <v/>
      </c>
      <c r="J909">
        <f>E909*F909</f>
        <v/>
      </c>
    </row>
    <row r="910">
      <c r="A910">
        <f>Sources!A910</f>
        <v/>
      </c>
      <c r="B910">
        <f>Sources!B910</f>
        <v/>
      </c>
      <c r="C910">
        <f>Sources!D910</f>
        <v/>
      </c>
      <c r="D910">
        <f>Sources!E910</f>
        <v/>
      </c>
      <c r="E910">
        <f>Sources!F910</f>
        <v/>
      </c>
      <c r="F910">
        <f>Sources!H910</f>
        <v/>
      </c>
      <c r="G910">
        <f>IF(ABS(F910-ROUND(F910,0))&lt;0.001,1,0)</f>
        <v/>
      </c>
      <c r="H910">
        <f>IF(G910=1,F910,CEILING(F910,1))</f>
        <v/>
      </c>
      <c r="I910">
        <f>IF(G910=1,0,(H910-F910)*E910)</f>
        <v/>
      </c>
      <c r="J910">
        <f>E910*F910</f>
        <v/>
      </c>
    </row>
    <row r="911">
      <c r="A911">
        <f>Sources!A911</f>
        <v/>
      </c>
      <c r="B911">
        <f>Sources!B911</f>
        <v/>
      </c>
      <c r="C911">
        <f>Sources!D911</f>
        <v/>
      </c>
      <c r="D911">
        <f>Sources!E911</f>
        <v/>
      </c>
      <c r="E911">
        <f>Sources!F911</f>
        <v/>
      </c>
      <c r="F911">
        <f>Sources!H911</f>
        <v/>
      </c>
      <c r="G911">
        <f>IF(ABS(F911-ROUND(F911,0))&lt;0.001,1,0)</f>
        <v/>
      </c>
      <c r="H911">
        <f>IF(G911=1,F911,CEILING(F911,1))</f>
        <v/>
      </c>
      <c r="I911">
        <f>IF(G911=1,0,(H911-F911)*E911)</f>
        <v/>
      </c>
      <c r="J911">
        <f>E911*F911</f>
        <v/>
      </c>
    </row>
    <row r="912">
      <c r="A912">
        <f>Sources!A912</f>
        <v/>
      </c>
      <c r="B912">
        <f>Sources!B912</f>
        <v/>
      </c>
      <c r="C912">
        <f>Sources!D912</f>
        <v/>
      </c>
      <c r="D912">
        <f>Sources!E912</f>
        <v/>
      </c>
      <c r="E912">
        <f>Sources!F912</f>
        <v/>
      </c>
      <c r="F912">
        <f>Sources!H912</f>
        <v/>
      </c>
      <c r="G912">
        <f>IF(ABS(F912-ROUND(F912,0))&lt;0.001,1,0)</f>
        <v/>
      </c>
      <c r="H912">
        <f>IF(G912=1,F912,CEILING(F912,1))</f>
        <v/>
      </c>
      <c r="I912">
        <f>IF(G912=1,0,(H912-F912)*E912)</f>
        <v/>
      </c>
      <c r="J912">
        <f>E912*F912</f>
        <v/>
      </c>
    </row>
    <row r="913">
      <c r="A913">
        <f>Sources!A913</f>
        <v/>
      </c>
      <c r="B913">
        <f>Sources!B913</f>
        <v/>
      </c>
      <c r="C913">
        <f>Sources!D913</f>
        <v/>
      </c>
      <c r="D913">
        <f>Sources!E913</f>
        <v/>
      </c>
      <c r="E913">
        <f>Sources!F913</f>
        <v/>
      </c>
      <c r="F913">
        <f>Sources!H913</f>
        <v/>
      </c>
      <c r="G913">
        <f>IF(ABS(F913-ROUND(F913,0))&lt;0.001,1,0)</f>
        <v/>
      </c>
      <c r="H913">
        <f>IF(G913=1,F913,CEILING(F913,1))</f>
        <v/>
      </c>
      <c r="I913">
        <f>IF(G913=1,0,(H913-F913)*E913)</f>
        <v/>
      </c>
      <c r="J913">
        <f>E913*F913</f>
        <v/>
      </c>
    </row>
    <row r="914">
      <c r="A914">
        <f>Sources!A914</f>
        <v/>
      </c>
      <c r="B914">
        <f>Sources!B914</f>
        <v/>
      </c>
      <c r="C914">
        <f>Sources!D914</f>
        <v/>
      </c>
      <c r="D914">
        <f>Sources!E914</f>
        <v/>
      </c>
      <c r="E914">
        <f>Sources!F914</f>
        <v/>
      </c>
      <c r="F914">
        <f>Sources!H914</f>
        <v/>
      </c>
      <c r="G914">
        <f>IF(ABS(F914-ROUND(F914,0))&lt;0.001,1,0)</f>
        <v/>
      </c>
      <c r="H914">
        <f>IF(G914=1,F914,CEILING(F914,1))</f>
        <v/>
      </c>
      <c r="I914">
        <f>IF(G914=1,0,(H914-F914)*E914)</f>
        <v/>
      </c>
      <c r="J914">
        <f>E914*F914</f>
        <v/>
      </c>
    </row>
    <row r="915">
      <c r="A915">
        <f>Sources!A915</f>
        <v/>
      </c>
      <c r="B915">
        <f>Sources!B915</f>
        <v/>
      </c>
      <c r="C915">
        <f>Sources!D915</f>
        <v/>
      </c>
      <c r="D915">
        <f>Sources!E915</f>
        <v/>
      </c>
      <c r="E915">
        <f>Sources!F915</f>
        <v/>
      </c>
      <c r="F915">
        <f>Sources!H915</f>
        <v/>
      </c>
      <c r="G915">
        <f>IF(ABS(F915-ROUND(F915,0))&lt;0.001,1,0)</f>
        <v/>
      </c>
      <c r="H915">
        <f>IF(G915=1,F915,CEILING(F915,1))</f>
        <v/>
      </c>
      <c r="I915">
        <f>IF(G915=1,0,(H915-F915)*E915)</f>
        <v/>
      </c>
      <c r="J915">
        <f>E915*F915</f>
        <v/>
      </c>
    </row>
    <row r="916">
      <c r="A916">
        <f>Sources!A916</f>
        <v/>
      </c>
      <c r="B916">
        <f>Sources!B916</f>
        <v/>
      </c>
      <c r="C916">
        <f>Sources!D916</f>
        <v/>
      </c>
      <c r="D916">
        <f>Sources!E916</f>
        <v/>
      </c>
      <c r="E916">
        <f>Sources!F916</f>
        <v/>
      </c>
      <c r="F916">
        <f>Sources!H916</f>
        <v/>
      </c>
      <c r="G916">
        <f>IF(ABS(F916-ROUND(F916,0))&lt;0.001,1,0)</f>
        <v/>
      </c>
      <c r="H916">
        <f>IF(G916=1,F916,CEILING(F916,1))</f>
        <v/>
      </c>
      <c r="I916">
        <f>IF(G916=1,0,(H916-F916)*E916)</f>
        <v/>
      </c>
      <c r="J916">
        <f>E916*F916</f>
        <v/>
      </c>
    </row>
    <row r="917">
      <c r="A917">
        <f>Sources!A917</f>
        <v/>
      </c>
      <c r="B917">
        <f>Sources!B917</f>
        <v/>
      </c>
      <c r="C917">
        <f>Sources!D917</f>
        <v/>
      </c>
      <c r="D917">
        <f>Sources!E917</f>
        <v/>
      </c>
      <c r="E917">
        <f>Sources!F917</f>
        <v/>
      </c>
      <c r="F917">
        <f>Sources!H917</f>
        <v/>
      </c>
      <c r="G917">
        <f>IF(ABS(F917-ROUND(F917,0))&lt;0.001,1,0)</f>
        <v/>
      </c>
      <c r="H917">
        <f>IF(G917=1,F917,CEILING(F917,1))</f>
        <v/>
      </c>
      <c r="I917">
        <f>IF(G917=1,0,(H917-F917)*E917)</f>
        <v/>
      </c>
      <c r="J917">
        <f>E917*F917</f>
        <v/>
      </c>
    </row>
    <row r="918">
      <c r="A918">
        <f>Sources!A918</f>
        <v/>
      </c>
      <c r="B918">
        <f>Sources!B918</f>
        <v/>
      </c>
      <c r="C918">
        <f>Sources!D918</f>
        <v/>
      </c>
      <c r="D918">
        <f>Sources!E918</f>
        <v/>
      </c>
      <c r="E918">
        <f>Sources!F918</f>
        <v/>
      </c>
      <c r="F918">
        <f>Sources!H918</f>
        <v/>
      </c>
      <c r="G918">
        <f>IF(ABS(F918-ROUND(F918,0))&lt;0.001,1,0)</f>
        <v/>
      </c>
      <c r="H918">
        <f>IF(G918=1,F918,CEILING(F918,1))</f>
        <v/>
      </c>
      <c r="I918">
        <f>IF(G918=1,0,(H918-F918)*E918)</f>
        <v/>
      </c>
      <c r="J918">
        <f>E918*F918</f>
        <v/>
      </c>
    </row>
    <row r="919">
      <c r="A919">
        <f>Sources!A919</f>
        <v/>
      </c>
      <c r="B919">
        <f>Sources!B919</f>
        <v/>
      </c>
      <c r="C919">
        <f>Sources!D919</f>
        <v/>
      </c>
      <c r="D919">
        <f>Sources!E919</f>
        <v/>
      </c>
      <c r="E919">
        <f>Sources!F919</f>
        <v/>
      </c>
      <c r="F919">
        <f>Sources!H919</f>
        <v/>
      </c>
      <c r="G919">
        <f>IF(ABS(F919-ROUND(F919,0))&lt;0.001,1,0)</f>
        <v/>
      </c>
      <c r="H919">
        <f>IF(G919=1,F919,CEILING(F919,1))</f>
        <v/>
      </c>
      <c r="I919">
        <f>IF(G919=1,0,(H919-F919)*E919)</f>
        <v/>
      </c>
      <c r="J919">
        <f>E919*F919</f>
        <v/>
      </c>
    </row>
    <row r="920">
      <c r="A920">
        <f>Sources!A920</f>
        <v/>
      </c>
      <c r="B920">
        <f>Sources!B920</f>
        <v/>
      </c>
      <c r="C920">
        <f>Sources!D920</f>
        <v/>
      </c>
      <c r="D920">
        <f>Sources!E920</f>
        <v/>
      </c>
      <c r="E920">
        <f>Sources!F920</f>
        <v/>
      </c>
      <c r="F920">
        <f>Sources!H920</f>
        <v/>
      </c>
      <c r="G920">
        <f>IF(ABS(F920-ROUND(F920,0))&lt;0.001,1,0)</f>
        <v/>
      </c>
      <c r="H920">
        <f>IF(G920=1,F920,CEILING(F920,1))</f>
        <v/>
      </c>
      <c r="I920">
        <f>IF(G920=1,0,(H920-F920)*E920)</f>
        <v/>
      </c>
      <c r="J920">
        <f>E920*F920</f>
        <v/>
      </c>
    </row>
    <row r="921">
      <c r="A921">
        <f>Sources!A921</f>
        <v/>
      </c>
      <c r="B921">
        <f>Sources!B921</f>
        <v/>
      </c>
      <c r="C921">
        <f>Sources!D921</f>
        <v/>
      </c>
      <c r="D921">
        <f>Sources!E921</f>
        <v/>
      </c>
      <c r="E921">
        <f>Sources!F921</f>
        <v/>
      </c>
      <c r="F921">
        <f>Sources!H921</f>
        <v/>
      </c>
      <c r="G921">
        <f>IF(ABS(F921-ROUND(F921,0))&lt;0.001,1,0)</f>
        <v/>
      </c>
      <c r="H921">
        <f>IF(G921=1,F921,CEILING(F921,1))</f>
        <v/>
      </c>
      <c r="I921">
        <f>IF(G921=1,0,(H921-F921)*E921)</f>
        <v/>
      </c>
      <c r="J921">
        <f>E921*F921</f>
        <v/>
      </c>
    </row>
    <row r="922">
      <c r="A922">
        <f>Sources!A922</f>
        <v/>
      </c>
      <c r="B922">
        <f>Sources!B922</f>
        <v/>
      </c>
      <c r="C922">
        <f>Sources!D922</f>
        <v/>
      </c>
      <c r="D922">
        <f>Sources!E922</f>
        <v/>
      </c>
      <c r="E922">
        <f>Sources!F922</f>
        <v/>
      </c>
      <c r="F922">
        <f>Sources!H922</f>
        <v/>
      </c>
      <c r="G922">
        <f>IF(ABS(F922-ROUND(F922,0))&lt;0.001,1,0)</f>
        <v/>
      </c>
      <c r="H922">
        <f>IF(G922=1,F922,CEILING(F922,1))</f>
        <v/>
      </c>
      <c r="I922">
        <f>IF(G922=1,0,(H922-F922)*E922)</f>
        <v/>
      </c>
      <c r="J922">
        <f>E922*F922</f>
        <v/>
      </c>
    </row>
    <row r="923">
      <c r="A923">
        <f>Sources!A923</f>
        <v/>
      </c>
      <c r="B923">
        <f>Sources!B923</f>
        <v/>
      </c>
      <c r="C923">
        <f>Sources!D923</f>
        <v/>
      </c>
      <c r="D923">
        <f>Sources!E923</f>
        <v/>
      </c>
      <c r="E923">
        <f>Sources!F923</f>
        <v/>
      </c>
      <c r="F923">
        <f>Sources!H923</f>
        <v/>
      </c>
      <c r="G923">
        <f>IF(ABS(F923-ROUND(F923,0))&lt;0.001,1,0)</f>
        <v/>
      </c>
      <c r="H923">
        <f>IF(G923=1,F923,CEILING(F923,1))</f>
        <v/>
      </c>
      <c r="I923">
        <f>IF(G923=1,0,(H923-F923)*E923)</f>
        <v/>
      </c>
      <c r="J923">
        <f>E923*F923</f>
        <v/>
      </c>
    </row>
    <row r="924">
      <c r="A924">
        <f>Sources!A924</f>
        <v/>
      </c>
      <c r="B924">
        <f>Sources!B924</f>
        <v/>
      </c>
      <c r="C924">
        <f>Sources!D924</f>
        <v/>
      </c>
      <c r="D924">
        <f>Sources!E924</f>
        <v/>
      </c>
      <c r="E924">
        <f>Sources!F924</f>
        <v/>
      </c>
      <c r="F924">
        <f>Sources!H924</f>
        <v/>
      </c>
      <c r="G924">
        <f>IF(ABS(F924-ROUND(F924,0))&lt;0.001,1,0)</f>
        <v/>
      </c>
      <c r="H924">
        <f>IF(G924=1,F924,CEILING(F924,1))</f>
        <v/>
      </c>
      <c r="I924">
        <f>IF(G924=1,0,(H924-F924)*E924)</f>
        <v/>
      </c>
      <c r="J924">
        <f>E924*F924</f>
        <v/>
      </c>
    </row>
    <row r="925">
      <c r="A925">
        <f>Sources!A925</f>
        <v/>
      </c>
      <c r="B925">
        <f>Sources!B925</f>
        <v/>
      </c>
      <c r="C925">
        <f>Sources!D925</f>
        <v/>
      </c>
      <c r="D925">
        <f>Sources!E925</f>
        <v/>
      </c>
      <c r="E925">
        <f>Sources!F925</f>
        <v/>
      </c>
      <c r="F925">
        <f>Sources!H925</f>
        <v/>
      </c>
      <c r="G925">
        <f>IF(ABS(F925-ROUND(F925,0))&lt;0.001,1,0)</f>
        <v/>
      </c>
      <c r="H925">
        <f>IF(G925=1,F925,CEILING(F925,1))</f>
        <v/>
      </c>
      <c r="I925">
        <f>IF(G925=1,0,(H925-F925)*E925)</f>
        <v/>
      </c>
      <c r="J925">
        <f>E925*F925</f>
        <v/>
      </c>
    </row>
    <row r="926">
      <c r="A926">
        <f>Sources!A926</f>
        <v/>
      </c>
      <c r="B926">
        <f>Sources!B926</f>
        <v/>
      </c>
      <c r="C926">
        <f>Sources!D926</f>
        <v/>
      </c>
      <c r="D926">
        <f>Sources!E926</f>
        <v/>
      </c>
      <c r="E926">
        <f>Sources!F926</f>
        <v/>
      </c>
      <c r="F926">
        <f>Sources!H926</f>
        <v/>
      </c>
      <c r="G926">
        <f>IF(ABS(F926-ROUND(F926,0))&lt;0.001,1,0)</f>
        <v/>
      </c>
      <c r="H926">
        <f>IF(G926=1,F926,CEILING(F926,1))</f>
        <v/>
      </c>
      <c r="I926">
        <f>IF(G926=1,0,(H926-F926)*E926)</f>
        <v/>
      </c>
      <c r="J926">
        <f>E926*F926</f>
        <v/>
      </c>
    </row>
    <row r="927">
      <c r="A927">
        <f>Sources!A927</f>
        <v/>
      </c>
      <c r="B927">
        <f>Sources!B927</f>
        <v/>
      </c>
      <c r="C927">
        <f>Sources!D927</f>
        <v/>
      </c>
      <c r="D927">
        <f>Sources!E927</f>
        <v/>
      </c>
      <c r="E927">
        <f>Sources!F927</f>
        <v/>
      </c>
      <c r="F927">
        <f>Sources!H927</f>
        <v/>
      </c>
      <c r="G927">
        <f>IF(ABS(F927-ROUND(F927,0))&lt;0.001,1,0)</f>
        <v/>
      </c>
      <c r="H927">
        <f>IF(G927=1,F927,CEILING(F927,1))</f>
        <v/>
      </c>
      <c r="I927">
        <f>IF(G927=1,0,(H927-F927)*E927)</f>
        <v/>
      </c>
      <c r="J927">
        <f>E927*F927</f>
        <v/>
      </c>
    </row>
    <row r="928">
      <c r="A928">
        <f>Sources!A928</f>
        <v/>
      </c>
      <c r="B928">
        <f>Sources!B928</f>
        <v/>
      </c>
      <c r="C928">
        <f>Sources!D928</f>
        <v/>
      </c>
      <c r="D928">
        <f>Sources!E928</f>
        <v/>
      </c>
      <c r="E928">
        <f>Sources!F928</f>
        <v/>
      </c>
      <c r="F928">
        <f>Sources!H928</f>
        <v/>
      </c>
      <c r="G928">
        <f>IF(ABS(F928-ROUND(F928,0))&lt;0.001,1,0)</f>
        <v/>
      </c>
      <c r="H928">
        <f>IF(G928=1,F928,CEILING(F928,1))</f>
        <v/>
      </c>
      <c r="I928">
        <f>IF(G928=1,0,(H928-F928)*E928)</f>
        <v/>
      </c>
      <c r="J928">
        <f>E928*F928</f>
        <v/>
      </c>
    </row>
    <row r="929">
      <c r="A929">
        <f>Sources!A929</f>
        <v/>
      </c>
      <c r="B929">
        <f>Sources!B929</f>
        <v/>
      </c>
      <c r="C929">
        <f>Sources!D929</f>
        <v/>
      </c>
      <c r="D929">
        <f>Sources!E929</f>
        <v/>
      </c>
      <c r="E929">
        <f>Sources!F929</f>
        <v/>
      </c>
      <c r="F929">
        <f>Sources!H929</f>
        <v/>
      </c>
      <c r="G929">
        <f>IF(ABS(F929-ROUND(F929,0))&lt;0.001,1,0)</f>
        <v/>
      </c>
      <c r="H929">
        <f>IF(G929=1,F929,CEILING(F929,1))</f>
        <v/>
      </c>
      <c r="I929">
        <f>IF(G929=1,0,(H929-F929)*E929)</f>
        <v/>
      </c>
      <c r="J929">
        <f>E929*F929</f>
        <v/>
      </c>
    </row>
    <row r="930">
      <c r="A930">
        <f>Sources!A930</f>
        <v/>
      </c>
      <c r="B930">
        <f>Sources!B930</f>
        <v/>
      </c>
      <c r="C930">
        <f>Sources!D930</f>
        <v/>
      </c>
      <c r="D930">
        <f>Sources!E930</f>
        <v/>
      </c>
      <c r="E930">
        <f>Sources!F930</f>
        <v/>
      </c>
      <c r="F930">
        <f>Sources!H930</f>
        <v/>
      </c>
      <c r="G930">
        <f>IF(ABS(F930-ROUND(F930,0))&lt;0.001,1,0)</f>
        <v/>
      </c>
      <c r="H930">
        <f>IF(G930=1,F930,CEILING(F930,1))</f>
        <v/>
      </c>
      <c r="I930">
        <f>IF(G930=1,0,(H930-F930)*E930)</f>
        <v/>
      </c>
      <c r="J930">
        <f>E930*F930</f>
        <v/>
      </c>
    </row>
    <row r="931">
      <c r="A931">
        <f>Sources!A931</f>
        <v/>
      </c>
      <c r="B931">
        <f>Sources!B931</f>
        <v/>
      </c>
      <c r="C931">
        <f>Sources!D931</f>
        <v/>
      </c>
      <c r="D931">
        <f>Sources!E931</f>
        <v/>
      </c>
      <c r="E931">
        <f>Sources!F931</f>
        <v/>
      </c>
      <c r="F931">
        <f>Sources!H931</f>
        <v/>
      </c>
      <c r="G931">
        <f>IF(ABS(F931-ROUND(F931,0))&lt;0.001,1,0)</f>
        <v/>
      </c>
      <c r="H931">
        <f>IF(G931=1,F931,CEILING(F931,1))</f>
        <v/>
      </c>
      <c r="I931">
        <f>IF(G931=1,0,(H931-F931)*E931)</f>
        <v/>
      </c>
      <c r="J931">
        <f>E931*F931</f>
        <v/>
      </c>
    </row>
    <row r="932">
      <c r="A932">
        <f>Sources!A932</f>
        <v/>
      </c>
      <c r="B932">
        <f>Sources!B932</f>
        <v/>
      </c>
      <c r="C932">
        <f>Sources!D932</f>
        <v/>
      </c>
      <c r="D932">
        <f>Sources!E932</f>
        <v/>
      </c>
      <c r="E932">
        <f>Sources!F932</f>
        <v/>
      </c>
      <c r="F932">
        <f>Sources!H932</f>
        <v/>
      </c>
      <c r="G932">
        <f>IF(ABS(F932-ROUND(F932,0))&lt;0.001,1,0)</f>
        <v/>
      </c>
      <c r="H932">
        <f>IF(G932=1,F932,CEILING(F932,1))</f>
        <v/>
      </c>
      <c r="I932">
        <f>IF(G932=1,0,(H932-F932)*E932)</f>
        <v/>
      </c>
      <c r="J932">
        <f>E932*F932</f>
        <v/>
      </c>
    </row>
    <row r="933">
      <c r="A933">
        <f>Sources!A933</f>
        <v/>
      </c>
      <c r="B933">
        <f>Sources!B933</f>
        <v/>
      </c>
      <c r="C933">
        <f>Sources!D933</f>
        <v/>
      </c>
      <c r="D933">
        <f>Sources!E933</f>
        <v/>
      </c>
      <c r="E933">
        <f>Sources!F933</f>
        <v/>
      </c>
      <c r="F933">
        <f>Sources!H933</f>
        <v/>
      </c>
      <c r="G933">
        <f>IF(ABS(F933-ROUND(F933,0))&lt;0.001,1,0)</f>
        <v/>
      </c>
      <c r="H933">
        <f>IF(G933=1,F933,CEILING(F933,1))</f>
        <v/>
      </c>
      <c r="I933">
        <f>IF(G933=1,0,(H933-F933)*E933)</f>
        <v/>
      </c>
      <c r="J933">
        <f>E933*F933</f>
        <v/>
      </c>
    </row>
    <row r="934">
      <c r="A934">
        <f>Sources!A934</f>
        <v/>
      </c>
      <c r="B934">
        <f>Sources!B934</f>
        <v/>
      </c>
      <c r="C934">
        <f>Sources!D934</f>
        <v/>
      </c>
      <c r="D934">
        <f>Sources!E934</f>
        <v/>
      </c>
      <c r="E934">
        <f>Sources!F934</f>
        <v/>
      </c>
      <c r="F934">
        <f>Sources!H934</f>
        <v/>
      </c>
      <c r="G934">
        <f>IF(ABS(F934-ROUND(F934,0))&lt;0.001,1,0)</f>
        <v/>
      </c>
      <c r="H934">
        <f>IF(G934=1,F934,CEILING(F934,1))</f>
        <v/>
      </c>
      <c r="I934">
        <f>IF(G934=1,0,(H934-F934)*E934)</f>
        <v/>
      </c>
      <c r="J934">
        <f>E934*F934</f>
        <v/>
      </c>
    </row>
    <row r="935">
      <c r="A935">
        <f>Sources!A935</f>
        <v/>
      </c>
      <c r="B935">
        <f>Sources!B935</f>
        <v/>
      </c>
      <c r="C935">
        <f>Sources!D935</f>
        <v/>
      </c>
      <c r="D935">
        <f>Sources!E935</f>
        <v/>
      </c>
      <c r="E935">
        <f>Sources!F935</f>
        <v/>
      </c>
      <c r="F935">
        <f>Sources!H935</f>
        <v/>
      </c>
      <c r="G935">
        <f>IF(ABS(F935-ROUND(F935,0))&lt;0.001,1,0)</f>
        <v/>
      </c>
      <c r="H935">
        <f>IF(G935=1,F935,CEILING(F935,1))</f>
        <v/>
      </c>
      <c r="I935">
        <f>IF(G935=1,0,(H935-F935)*E935)</f>
        <v/>
      </c>
      <c r="J935">
        <f>E935*F935</f>
        <v/>
      </c>
    </row>
    <row r="936">
      <c r="A936">
        <f>Sources!A936</f>
        <v/>
      </c>
      <c r="B936">
        <f>Sources!B936</f>
        <v/>
      </c>
      <c r="C936">
        <f>Sources!D936</f>
        <v/>
      </c>
      <c r="D936">
        <f>Sources!E936</f>
        <v/>
      </c>
      <c r="E936">
        <f>Sources!F936</f>
        <v/>
      </c>
      <c r="F936">
        <f>Sources!H936</f>
        <v/>
      </c>
      <c r="G936">
        <f>IF(ABS(F936-ROUND(F936,0))&lt;0.001,1,0)</f>
        <v/>
      </c>
      <c r="H936">
        <f>IF(G936=1,F936,CEILING(F936,1))</f>
        <v/>
      </c>
      <c r="I936">
        <f>IF(G936=1,0,(H936-F936)*E936)</f>
        <v/>
      </c>
      <c r="J936">
        <f>E936*F936</f>
        <v/>
      </c>
    </row>
    <row r="937">
      <c r="A937">
        <f>Sources!A937</f>
        <v/>
      </c>
      <c r="B937">
        <f>Sources!B937</f>
        <v/>
      </c>
      <c r="C937">
        <f>Sources!D937</f>
        <v/>
      </c>
      <c r="D937">
        <f>Sources!E937</f>
        <v/>
      </c>
      <c r="E937">
        <f>Sources!F937</f>
        <v/>
      </c>
      <c r="F937">
        <f>Sources!H937</f>
        <v/>
      </c>
      <c r="G937">
        <f>IF(ABS(F937-ROUND(F937,0))&lt;0.001,1,0)</f>
        <v/>
      </c>
      <c r="H937">
        <f>IF(G937=1,F937,CEILING(F937,1))</f>
        <v/>
      </c>
      <c r="I937">
        <f>IF(G937=1,0,(H937-F937)*E937)</f>
        <v/>
      </c>
      <c r="J937">
        <f>E937*F937</f>
        <v/>
      </c>
    </row>
    <row r="938">
      <c r="A938">
        <f>Sources!A938</f>
        <v/>
      </c>
      <c r="B938">
        <f>Sources!B938</f>
        <v/>
      </c>
      <c r="C938">
        <f>Sources!D938</f>
        <v/>
      </c>
      <c r="D938">
        <f>Sources!E938</f>
        <v/>
      </c>
      <c r="E938">
        <f>Sources!F938</f>
        <v/>
      </c>
      <c r="F938">
        <f>Sources!H938</f>
        <v/>
      </c>
      <c r="G938">
        <f>IF(ABS(F938-ROUND(F938,0))&lt;0.001,1,0)</f>
        <v/>
      </c>
      <c r="H938">
        <f>IF(G938=1,F938,CEILING(F938,1))</f>
        <v/>
      </c>
      <c r="I938">
        <f>IF(G938=1,0,(H938-F938)*E938)</f>
        <v/>
      </c>
      <c r="J938">
        <f>E938*F938</f>
        <v/>
      </c>
    </row>
    <row r="939">
      <c r="A939">
        <f>Sources!A939</f>
        <v/>
      </c>
      <c r="B939">
        <f>Sources!B939</f>
        <v/>
      </c>
      <c r="C939">
        <f>Sources!D939</f>
        <v/>
      </c>
      <c r="D939">
        <f>Sources!E939</f>
        <v/>
      </c>
      <c r="E939">
        <f>Sources!F939</f>
        <v/>
      </c>
      <c r="F939">
        <f>Sources!H939</f>
        <v/>
      </c>
      <c r="G939">
        <f>IF(ABS(F939-ROUND(F939,0))&lt;0.001,1,0)</f>
        <v/>
      </c>
      <c r="H939">
        <f>IF(G939=1,F939,CEILING(F939,1))</f>
        <v/>
      </c>
      <c r="I939">
        <f>IF(G939=1,0,(H939-F939)*E939)</f>
        <v/>
      </c>
      <c r="J939">
        <f>E939*F939</f>
        <v/>
      </c>
    </row>
    <row r="940">
      <c r="A940">
        <f>Sources!A940</f>
        <v/>
      </c>
      <c r="B940">
        <f>Sources!B940</f>
        <v/>
      </c>
      <c r="C940">
        <f>Sources!D940</f>
        <v/>
      </c>
      <c r="D940">
        <f>Sources!E940</f>
        <v/>
      </c>
      <c r="E940">
        <f>Sources!F940</f>
        <v/>
      </c>
      <c r="F940">
        <f>Sources!H940</f>
        <v/>
      </c>
      <c r="G940">
        <f>IF(ABS(F940-ROUND(F940,0))&lt;0.001,1,0)</f>
        <v/>
      </c>
      <c r="H940">
        <f>IF(G940=1,F940,CEILING(F940,1))</f>
        <v/>
      </c>
      <c r="I940">
        <f>IF(G940=1,0,(H940-F940)*E940)</f>
        <v/>
      </c>
      <c r="J940">
        <f>E940*F940</f>
        <v/>
      </c>
    </row>
    <row r="941">
      <c r="A941">
        <f>Sources!A941</f>
        <v/>
      </c>
      <c r="B941">
        <f>Sources!B941</f>
        <v/>
      </c>
      <c r="C941">
        <f>Sources!D941</f>
        <v/>
      </c>
      <c r="D941">
        <f>Sources!E941</f>
        <v/>
      </c>
      <c r="E941">
        <f>Sources!F941</f>
        <v/>
      </c>
      <c r="F941">
        <f>Sources!H941</f>
        <v/>
      </c>
      <c r="G941">
        <f>IF(ABS(F941-ROUND(F941,0))&lt;0.001,1,0)</f>
        <v/>
      </c>
      <c r="H941">
        <f>IF(G941=1,F941,CEILING(F941,1))</f>
        <v/>
      </c>
      <c r="I941">
        <f>IF(G941=1,0,(H941-F941)*E941)</f>
        <v/>
      </c>
      <c r="J941">
        <f>E941*F941</f>
        <v/>
      </c>
    </row>
    <row r="942">
      <c r="A942">
        <f>Sources!A942</f>
        <v/>
      </c>
      <c r="B942">
        <f>Sources!B942</f>
        <v/>
      </c>
      <c r="C942">
        <f>Sources!D942</f>
        <v/>
      </c>
      <c r="D942">
        <f>Sources!E942</f>
        <v/>
      </c>
      <c r="E942">
        <f>Sources!F942</f>
        <v/>
      </c>
      <c r="F942">
        <f>Sources!H942</f>
        <v/>
      </c>
      <c r="G942">
        <f>IF(ABS(F942-ROUND(F942,0))&lt;0.001,1,0)</f>
        <v/>
      </c>
      <c r="H942">
        <f>IF(G942=1,F942,CEILING(F942,1))</f>
        <v/>
      </c>
      <c r="I942">
        <f>IF(G942=1,0,(H942-F942)*E942)</f>
        <v/>
      </c>
      <c r="J942">
        <f>E942*F942</f>
        <v/>
      </c>
    </row>
    <row r="943">
      <c r="A943">
        <f>Sources!A943</f>
        <v/>
      </c>
      <c r="B943">
        <f>Sources!B943</f>
        <v/>
      </c>
      <c r="C943">
        <f>Sources!D943</f>
        <v/>
      </c>
      <c r="D943">
        <f>Sources!E943</f>
        <v/>
      </c>
      <c r="E943">
        <f>Sources!F943</f>
        <v/>
      </c>
      <c r="F943">
        <f>Sources!H943</f>
        <v/>
      </c>
      <c r="G943">
        <f>IF(ABS(F943-ROUND(F943,0))&lt;0.001,1,0)</f>
        <v/>
      </c>
      <c r="H943">
        <f>IF(G943=1,F943,CEILING(F943,1))</f>
        <v/>
      </c>
      <c r="I943">
        <f>IF(G943=1,0,(H943-F943)*E943)</f>
        <v/>
      </c>
      <c r="J943">
        <f>E943*F943</f>
        <v/>
      </c>
    </row>
    <row r="944">
      <c r="A944">
        <f>Sources!A944</f>
        <v/>
      </c>
      <c r="B944">
        <f>Sources!B944</f>
        <v/>
      </c>
      <c r="C944">
        <f>Sources!D944</f>
        <v/>
      </c>
      <c r="D944">
        <f>Sources!E944</f>
        <v/>
      </c>
      <c r="E944">
        <f>Sources!F944</f>
        <v/>
      </c>
      <c r="F944">
        <f>Sources!H944</f>
        <v/>
      </c>
      <c r="G944">
        <f>IF(ABS(F944-ROUND(F944,0))&lt;0.001,1,0)</f>
        <v/>
      </c>
      <c r="H944">
        <f>IF(G944=1,F944,CEILING(F944,1))</f>
        <v/>
      </c>
      <c r="I944">
        <f>IF(G944=1,0,(H944-F944)*E944)</f>
        <v/>
      </c>
      <c r="J944">
        <f>E944*F944</f>
        <v/>
      </c>
    </row>
    <row r="945">
      <c r="A945">
        <f>Sources!A945</f>
        <v/>
      </c>
      <c r="B945">
        <f>Sources!B945</f>
        <v/>
      </c>
      <c r="C945">
        <f>Sources!D945</f>
        <v/>
      </c>
      <c r="D945">
        <f>Sources!E945</f>
        <v/>
      </c>
      <c r="E945">
        <f>Sources!F945</f>
        <v/>
      </c>
      <c r="F945">
        <f>Sources!H945</f>
        <v/>
      </c>
      <c r="G945">
        <f>IF(ABS(F945-ROUND(F945,0))&lt;0.001,1,0)</f>
        <v/>
      </c>
      <c r="H945">
        <f>IF(G945=1,F945,CEILING(F945,1))</f>
        <v/>
      </c>
      <c r="I945">
        <f>IF(G945=1,0,(H945-F945)*E945)</f>
        <v/>
      </c>
      <c r="J945">
        <f>E945*F945</f>
        <v/>
      </c>
    </row>
    <row r="946">
      <c r="A946">
        <f>Sources!A946</f>
        <v/>
      </c>
      <c r="B946">
        <f>Sources!B946</f>
        <v/>
      </c>
      <c r="C946">
        <f>Sources!D946</f>
        <v/>
      </c>
      <c r="D946">
        <f>Sources!E946</f>
        <v/>
      </c>
      <c r="E946">
        <f>Sources!F946</f>
        <v/>
      </c>
      <c r="F946">
        <f>Sources!H946</f>
        <v/>
      </c>
      <c r="G946">
        <f>IF(ABS(F946-ROUND(F946,0))&lt;0.001,1,0)</f>
        <v/>
      </c>
      <c r="H946">
        <f>IF(G946=1,F946,CEILING(F946,1))</f>
        <v/>
      </c>
      <c r="I946">
        <f>IF(G946=1,0,(H946-F946)*E946)</f>
        <v/>
      </c>
      <c r="J946">
        <f>E946*F946</f>
        <v/>
      </c>
    </row>
    <row r="947">
      <c r="A947">
        <f>Sources!A947</f>
        <v/>
      </c>
      <c r="B947">
        <f>Sources!B947</f>
        <v/>
      </c>
      <c r="C947">
        <f>Sources!D947</f>
        <v/>
      </c>
      <c r="D947">
        <f>Sources!E947</f>
        <v/>
      </c>
      <c r="E947">
        <f>Sources!F947</f>
        <v/>
      </c>
      <c r="F947">
        <f>Sources!H947</f>
        <v/>
      </c>
      <c r="G947">
        <f>IF(ABS(F947-ROUND(F947,0))&lt;0.001,1,0)</f>
        <v/>
      </c>
      <c r="H947">
        <f>IF(G947=1,F947,CEILING(F947,1))</f>
        <v/>
      </c>
      <c r="I947">
        <f>IF(G947=1,0,(H947-F947)*E947)</f>
        <v/>
      </c>
      <c r="J947">
        <f>E947*F947</f>
        <v/>
      </c>
    </row>
    <row r="948">
      <c r="A948">
        <f>Sources!A948</f>
        <v/>
      </c>
      <c r="B948">
        <f>Sources!B948</f>
        <v/>
      </c>
      <c r="C948">
        <f>Sources!D948</f>
        <v/>
      </c>
      <c r="D948">
        <f>Sources!E948</f>
        <v/>
      </c>
      <c r="E948">
        <f>Sources!F948</f>
        <v/>
      </c>
      <c r="F948">
        <f>Sources!H948</f>
        <v/>
      </c>
      <c r="G948">
        <f>IF(ABS(F948-ROUND(F948,0))&lt;0.001,1,0)</f>
        <v/>
      </c>
      <c r="H948">
        <f>IF(G948=1,F948,CEILING(F948,1))</f>
        <v/>
      </c>
      <c r="I948">
        <f>IF(G948=1,0,(H948-F948)*E948)</f>
        <v/>
      </c>
      <c r="J948">
        <f>E948*F948</f>
        <v/>
      </c>
    </row>
    <row r="949">
      <c r="A949">
        <f>Sources!A949</f>
        <v/>
      </c>
      <c r="B949">
        <f>Sources!B949</f>
        <v/>
      </c>
      <c r="C949">
        <f>Sources!D949</f>
        <v/>
      </c>
      <c r="D949">
        <f>Sources!E949</f>
        <v/>
      </c>
      <c r="E949">
        <f>Sources!F949</f>
        <v/>
      </c>
      <c r="F949">
        <f>Sources!H949</f>
        <v/>
      </c>
      <c r="G949">
        <f>IF(ABS(F949-ROUND(F949,0))&lt;0.001,1,0)</f>
        <v/>
      </c>
      <c r="H949">
        <f>IF(G949=1,F949,CEILING(F949,1))</f>
        <v/>
      </c>
      <c r="I949">
        <f>IF(G949=1,0,(H949-F949)*E949)</f>
        <v/>
      </c>
      <c r="J949">
        <f>E949*F949</f>
        <v/>
      </c>
    </row>
    <row r="950">
      <c r="A950">
        <f>Sources!A950</f>
        <v/>
      </c>
      <c r="B950">
        <f>Sources!B950</f>
        <v/>
      </c>
      <c r="C950">
        <f>Sources!D950</f>
        <v/>
      </c>
      <c r="D950">
        <f>Sources!E950</f>
        <v/>
      </c>
      <c r="E950">
        <f>Sources!F950</f>
        <v/>
      </c>
      <c r="F950">
        <f>Sources!H950</f>
        <v/>
      </c>
      <c r="G950">
        <f>IF(ABS(F950-ROUND(F950,0))&lt;0.001,1,0)</f>
        <v/>
      </c>
      <c r="H950">
        <f>IF(G950=1,F950,CEILING(F950,1))</f>
        <v/>
      </c>
      <c r="I950">
        <f>IF(G950=1,0,(H950-F950)*E950)</f>
        <v/>
      </c>
      <c r="J950">
        <f>E950*F950</f>
        <v/>
      </c>
    </row>
    <row r="951">
      <c r="A951">
        <f>Sources!A951</f>
        <v/>
      </c>
      <c r="B951">
        <f>Sources!B951</f>
        <v/>
      </c>
      <c r="C951">
        <f>Sources!D951</f>
        <v/>
      </c>
      <c r="D951">
        <f>Sources!E951</f>
        <v/>
      </c>
      <c r="E951">
        <f>Sources!F951</f>
        <v/>
      </c>
      <c r="F951">
        <f>Sources!H951</f>
        <v/>
      </c>
      <c r="G951">
        <f>IF(ABS(F951-ROUND(F951,0))&lt;0.001,1,0)</f>
        <v/>
      </c>
      <c r="H951">
        <f>IF(G951=1,F951,CEILING(F951,1))</f>
        <v/>
      </c>
      <c r="I951">
        <f>IF(G951=1,0,(H951-F951)*E951)</f>
        <v/>
      </c>
      <c r="J951">
        <f>E951*F951</f>
        <v/>
      </c>
    </row>
    <row r="952">
      <c r="A952">
        <f>Sources!A952</f>
        <v/>
      </c>
      <c r="B952">
        <f>Sources!B952</f>
        <v/>
      </c>
      <c r="C952">
        <f>Sources!D952</f>
        <v/>
      </c>
      <c r="D952">
        <f>Sources!E952</f>
        <v/>
      </c>
      <c r="E952">
        <f>Sources!F952</f>
        <v/>
      </c>
      <c r="F952">
        <f>Sources!H952</f>
        <v/>
      </c>
      <c r="G952">
        <f>IF(ABS(F952-ROUND(F952,0))&lt;0.001,1,0)</f>
        <v/>
      </c>
      <c r="H952">
        <f>IF(G952=1,F952,CEILING(F952,1))</f>
        <v/>
      </c>
      <c r="I952">
        <f>IF(G952=1,0,(H952-F952)*E952)</f>
        <v/>
      </c>
      <c r="J952">
        <f>E952*F952</f>
        <v/>
      </c>
    </row>
    <row r="953">
      <c r="A953">
        <f>Sources!A953</f>
        <v/>
      </c>
      <c r="B953">
        <f>Sources!B953</f>
        <v/>
      </c>
      <c r="C953">
        <f>Sources!D953</f>
        <v/>
      </c>
      <c r="D953">
        <f>Sources!E953</f>
        <v/>
      </c>
      <c r="E953">
        <f>Sources!F953</f>
        <v/>
      </c>
      <c r="F953">
        <f>Sources!H953</f>
        <v/>
      </c>
      <c r="G953">
        <f>IF(ABS(F953-ROUND(F953,0))&lt;0.001,1,0)</f>
        <v/>
      </c>
      <c r="H953">
        <f>IF(G953=1,F953,CEILING(F953,1))</f>
        <v/>
      </c>
      <c r="I953">
        <f>IF(G953=1,0,(H953-F953)*E953)</f>
        <v/>
      </c>
      <c r="J953">
        <f>E953*F953</f>
        <v/>
      </c>
    </row>
    <row r="954">
      <c r="A954">
        <f>Sources!A954</f>
        <v/>
      </c>
      <c r="B954">
        <f>Sources!B954</f>
        <v/>
      </c>
      <c r="C954">
        <f>Sources!D954</f>
        <v/>
      </c>
      <c r="D954">
        <f>Sources!E954</f>
        <v/>
      </c>
      <c r="E954">
        <f>Sources!F954</f>
        <v/>
      </c>
      <c r="F954">
        <f>Sources!H954</f>
        <v/>
      </c>
      <c r="G954">
        <f>IF(ABS(F954-ROUND(F954,0))&lt;0.001,1,0)</f>
        <v/>
      </c>
      <c r="H954">
        <f>IF(G954=1,F954,CEILING(F954,1))</f>
        <v/>
      </c>
      <c r="I954">
        <f>IF(G954=1,0,(H954-F954)*E954)</f>
        <v/>
      </c>
      <c r="J954">
        <f>E954*F954</f>
        <v/>
      </c>
    </row>
    <row r="955">
      <c r="A955">
        <f>Sources!A955</f>
        <v/>
      </c>
      <c r="B955">
        <f>Sources!B955</f>
        <v/>
      </c>
      <c r="C955">
        <f>Sources!D955</f>
        <v/>
      </c>
      <c r="D955">
        <f>Sources!E955</f>
        <v/>
      </c>
      <c r="E955">
        <f>Sources!F955</f>
        <v/>
      </c>
      <c r="F955">
        <f>Sources!H955</f>
        <v/>
      </c>
      <c r="G955">
        <f>IF(ABS(F955-ROUND(F955,0))&lt;0.001,1,0)</f>
        <v/>
      </c>
      <c r="H955">
        <f>IF(G955=1,F955,CEILING(F955,1))</f>
        <v/>
      </c>
      <c r="I955">
        <f>IF(G955=1,0,(H955-F955)*E955)</f>
        <v/>
      </c>
      <c r="J955">
        <f>E955*F955</f>
        <v/>
      </c>
    </row>
    <row r="956">
      <c r="A956">
        <f>Sources!A956</f>
        <v/>
      </c>
      <c r="B956">
        <f>Sources!B956</f>
        <v/>
      </c>
      <c r="C956">
        <f>Sources!D956</f>
        <v/>
      </c>
      <c r="D956">
        <f>Sources!E956</f>
        <v/>
      </c>
      <c r="E956">
        <f>Sources!F956</f>
        <v/>
      </c>
      <c r="F956">
        <f>Sources!H956</f>
        <v/>
      </c>
      <c r="G956">
        <f>IF(ABS(F956-ROUND(F956,0))&lt;0.001,1,0)</f>
        <v/>
      </c>
      <c r="H956">
        <f>IF(G956=1,F956,CEILING(F956,1))</f>
        <v/>
      </c>
      <c r="I956">
        <f>IF(G956=1,0,(H956-F956)*E956)</f>
        <v/>
      </c>
      <c r="J956">
        <f>E956*F956</f>
        <v/>
      </c>
    </row>
    <row r="957">
      <c r="A957">
        <f>Sources!A957</f>
        <v/>
      </c>
      <c r="B957">
        <f>Sources!B957</f>
        <v/>
      </c>
      <c r="C957">
        <f>Sources!D957</f>
        <v/>
      </c>
      <c r="D957">
        <f>Sources!E957</f>
        <v/>
      </c>
      <c r="E957">
        <f>Sources!F957</f>
        <v/>
      </c>
      <c r="F957">
        <f>Sources!H957</f>
        <v/>
      </c>
      <c r="G957">
        <f>IF(ABS(F957-ROUND(F957,0))&lt;0.001,1,0)</f>
        <v/>
      </c>
      <c r="H957">
        <f>IF(G957=1,F957,CEILING(F957,1))</f>
        <v/>
      </c>
      <c r="I957">
        <f>IF(G957=1,0,(H957-F957)*E957)</f>
        <v/>
      </c>
      <c r="J957">
        <f>E957*F957</f>
        <v/>
      </c>
    </row>
    <row r="958">
      <c r="A958">
        <f>Sources!A958</f>
        <v/>
      </c>
      <c r="B958">
        <f>Sources!B958</f>
        <v/>
      </c>
      <c r="C958">
        <f>Sources!D958</f>
        <v/>
      </c>
      <c r="D958">
        <f>Sources!E958</f>
        <v/>
      </c>
      <c r="E958">
        <f>Sources!F958</f>
        <v/>
      </c>
      <c r="F958">
        <f>Sources!H958</f>
        <v/>
      </c>
      <c r="G958">
        <f>IF(ABS(F958-ROUND(F958,0))&lt;0.001,1,0)</f>
        <v/>
      </c>
      <c r="H958">
        <f>IF(G958=1,F958,CEILING(F958,1))</f>
        <v/>
      </c>
      <c r="I958">
        <f>IF(G958=1,0,(H958-F958)*E958)</f>
        <v/>
      </c>
      <c r="J958">
        <f>E958*F958</f>
        <v/>
      </c>
    </row>
    <row r="959">
      <c r="A959">
        <f>Sources!A959</f>
        <v/>
      </c>
      <c r="B959">
        <f>Sources!B959</f>
        <v/>
      </c>
      <c r="C959">
        <f>Sources!D959</f>
        <v/>
      </c>
      <c r="D959">
        <f>Sources!E959</f>
        <v/>
      </c>
      <c r="E959">
        <f>Sources!F959</f>
        <v/>
      </c>
      <c r="F959">
        <f>Sources!H959</f>
        <v/>
      </c>
      <c r="G959">
        <f>IF(ABS(F959-ROUND(F959,0))&lt;0.001,1,0)</f>
        <v/>
      </c>
      <c r="H959">
        <f>IF(G959=1,F959,CEILING(F959,1))</f>
        <v/>
      </c>
      <c r="I959">
        <f>IF(G959=1,0,(H959-F959)*E959)</f>
        <v/>
      </c>
      <c r="J959">
        <f>E959*F959</f>
        <v/>
      </c>
    </row>
    <row r="960">
      <c r="A960">
        <f>Sources!A960</f>
        <v/>
      </c>
      <c r="B960">
        <f>Sources!B960</f>
        <v/>
      </c>
      <c r="C960">
        <f>Sources!D960</f>
        <v/>
      </c>
      <c r="D960">
        <f>Sources!E960</f>
        <v/>
      </c>
      <c r="E960">
        <f>Sources!F960</f>
        <v/>
      </c>
      <c r="F960">
        <f>Sources!H960</f>
        <v/>
      </c>
      <c r="G960">
        <f>IF(ABS(F960-ROUND(F960,0))&lt;0.001,1,0)</f>
        <v/>
      </c>
      <c r="H960">
        <f>IF(G960=1,F960,CEILING(F960,1))</f>
        <v/>
      </c>
      <c r="I960">
        <f>IF(G960=1,0,(H960-F960)*E960)</f>
        <v/>
      </c>
      <c r="J960">
        <f>E960*F960</f>
        <v/>
      </c>
    </row>
    <row r="961">
      <c r="A961">
        <f>Sources!A961</f>
        <v/>
      </c>
      <c r="B961">
        <f>Sources!B961</f>
        <v/>
      </c>
      <c r="C961">
        <f>Sources!D961</f>
        <v/>
      </c>
      <c r="D961">
        <f>Sources!E961</f>
        <v/>
      </c>
      <c r="E961">
        <f>Sources!F961</f>
        <v/>
      </c>
      <c r="F961">
        <f>Sources!H961</f>
        <v/>
      </c>
      <c r="G961">
        <f>IF(ABS(F961-ROUND(F961,0))&lt;0.001,1,0)</f>
        <v/>
      </c>
      <c r="H961">
        <f>IF(G961=1,F961,CEILING(F961,1))</f>
        <v/>
      </c>
      <c r="I961">
        <f>IF(G961=1,0,(H961-F961)*E961)</f>
        <v/>
      </c>
      <c r="J961">
        <f>E961*F961</f>
        <v/>
      </c>
    </row>
    <row r="962">
      <c r="A962">
        <f>Sources!A962</f>
        <v/>
      </c>
      <c r="B962">
        <f>Sources!B962</f>
        <v/>
      </c>
      <c r="C962">
        <f>Sources!D962</f>
        <v/>
      </c>
      <c r="D962">
        <f>Sources!E962</f>
        <v/>
      </c>
      <c r="E962">
        <f>Sources!F962</f>
        <v/>
      </c>
      <c r="F962">
        <f>Sources!H962</f>
        <v/>
      </c>
      <c r="G962">
        <f>IF(ABS(F962-ROUND(F962,0))&lt;0.001,1,0)</f>
        <v/>
      </c>
      <c r="H962">
        <f>IF(G962=1,F962,CEILING(F962,1))</f>
        <v/>
      </c>
      <c r="I962">
        <f>IF(G962=1,0,(H962-F962)*E962)</f>
        <v/>
      </c>
      <c r="J962">
        <f>E962*F962</f>
        <v/>
      </c>
    </row>
    <row r="963">
      <c r="A963">
        <f>Sources!A963</f>
        <v/>
      </c>
      <c r="B963">
        <f>Sources!B963</f>
        <v/>
      </c>
      <c r="C963">
        <f>Sources!D963</f>
        <v/>
      </c>
      <c r="D963">
        <f>Sources!E963</f>
        <v/>
      </c>
      <c r="E963">
        <f>Sources!F963</f>
        <v/>
      </c>
      <c r="F963">
        <f>Sources!H963</f>
        <v/>
      </c>
      <c r="G963">
        <f>IF(ABS(F963-ROUND(F963,0))&lt;0.001,1,0)</f>
        <v/>
      </c>
      <c r="H963">
        <f>IF(G963=1,F963,CEILING(F963,1))</f>
        <v/>
      </c>
      <c r="I963">
        <f>IF(G963=1,0,(H963-F963)*E963)</f>
        <v/>
      </c>
      <c r="J963">
        <f>E963*F963</f>
        <v/>
      </c>
    </row>
    <row r="964">
      <c r="A964">
        <f>Sources!A964</f>
        <v/>
      </c>
      <c r="B964">
        <f>Sources!B964</f>
        <v/>
      </c>
      <c r="C964">
        <f>Sources!D964</f>
        <v/>
      </c>
      <c r="D964">
        <f>Sources!E964</f>
        <v/>
      </c>
      <c r="E964">
        <f>Sources!F964</f>
        <v/>
      </c>
      <c r="F964">
        <f>Sources!H964</f>
        <v/>
      </c>
      <c r="G964">
        <f>IF(ABS(F964-ROUND(F964,0))&lt;0.001,1,0)</f>
        <v/>
      </c>
      <c r="H964">
        <f>IF(G964=1,F964,CEILING(F964,1))</f>
        <v/>
      </c>
      <c r="I964">
        <f>IF(G964=1,0,(H964-F964)*E964)</f>
        <v/>
      </c>
      <c r="J964">
        <f>E964*F964</f>
        <v/>
      </c>
    </row>
    <row r="965">
      <c r="A965">
        <f>Sources!A965</f>
        <v/>
      </c>
      <c r="B965">
        <f>Sources!B965</f>
        <v/>
      </c>
      <c r="C965">
        <f>Sources!D965</f>
        <v/>
      </c>
      <c r="D965">
        <f>Sources!E965</f>
        <v/>
      </c>
      <c r="E965">
        <f>Sources!F965</f>
        <v/>
      </c>
      <c r="F965">
        <f>Sources!H965</f>
        <v/>
      </c>
      <c r="G965">
        <f>IF(ABS(F965-ROUND(F965,0))&lt;0.001,1,0)</f>
        <v/>
      </c>
      <c r="H965">
        <f>IF(G965=1,F965,CEILING(F965,1))</f>
        <v/>
      </c>
      <c r="I965">
        <f>IF(G965=1,0,(H965-F965)*E965)</f>
        <v/>
      </c>
      <c r="J965">
        <f>E965*F965</f>
        <v/>
      </c>
    </row>
    <row r="966">
      <c r="A966">
        <f>Sources!A966</f>
        <v/>
      </c>
      <c r="B966">
        <f>Sources!B966</f>
        <v/>
      </c>
      <c r="C966">
        <f>Sources!D966</f>
        <v/>
      </c>
      <c r="D966">
        <f>Sources!E966</f>
        <v/>
      </c>
      <c r="E966">
        <f>Sources!F966</f>
        <v/>
      </c>
      <c r="F966">
        <f>Sources!H966</f>
        <v/>
      </c>
      <c r="G966">
        <f>IF(ABS(F966-ROUND(F966,0))&lt;0.001,1,0)</f>
        <v/>
      </c>
      <c r="H966">
        <f>IF(G966=1,F966,CEILING(F966,1))</f>
        <v/>
      </c>
      <c r="I966">
        <f>IF(G966=1,0,(H966-F966)*E966)</f>
        <v/>
      </c>
      <c r="J966">
        <f>E966*F966</f>
        <v/>
      </c>
    </row>
    <row r="967">
      <c r="A967">
        <f>Sources!A967</f>
        <v/>
      </c>
      <c r="B967">
        <f>Sources!B967</f>
        <v/>
      </c>
      <c r="C967">
        <f>Sources!D967</f>
        <v/>
      </c>
      <c r="D967">
        <f>Sources!E967</f>
        <v/>
      </c>
      <c r="E967">
        <f>Sources!F967</f>
        <v/>
      </c>
      <c r="F967">
        <f>Sources!H967</f>
        <v/>
      </c>
      <c r="G967">
        <f>IF(ABS(F967-ROUND(F967,0))&lt;0.001,1,0)</f>
        <v/>
      </c>
      <c r="H967">
        <f>IF(G967=1,F967,CEILING(F967,1))</f>
        <v/>
      </c>
      <c r="I967">
        <f>IF(G967=1,0,(H967-F967)*E967)</f>
        <v/>
      </c>
      <c r="J967">
        <f>E967*F967</f>
        <v/>
      </c>
    </row>
    <row r="968">
      <c r="A968">
        <f>Sources!A968</f>
        <v/>
      </c>
      <c r="B968">
        <f>Sources!B968</f>
        <v/>
      </c>
      <c r="C968">
        <f>Sources!D968</f>
        <v/>
      </c>
      <c r="D968">
        <f>Sources!E968</f>
        <v/>
      </c>
      <c r="E968">
        <f>Sources!F968</f>
        <v/>
      </c>
      <c r="F968">
        <f>Sources!H968</f>
        <v/>
      </c>
      <c r="G968">
        <f>IF(ABS(F968-ROUND(F968,0))&lt;0.001,1,0)</f>
        <v/>
      </c>
      <c r="H968">
        <f>IF(G968=1,F968,CEILING(F968,1))</f>
        <v/>
      </c>
      <c r="I968">
        <f>IF(G968=1,0,(H968-F968)*E968)</f>
        <v/>
      </c>
      <c r="J968">
        <f>E968*F968</f>
        <v/>
      </c>
    </row>
    <row r="969">
      <c r="A969">
        <f>Sources!A969</f>
        <v/>
      </c>
      <c r="B969">
        <f>Sources!B969</f>
        <v/>
      </c>
      <c r="C969">
        <f>Sources!D969</f>
        <v/>
      </c>
      <c r="D969">
        <f>Sources!E969</f>
        <v/>
      </c>
      <c r="E969">
        <f>Sources!F969</f>
        <v/>
      </c>
      <c r="F969">
        <f>Sources!H969</f>
        <v/>
      </c>
      <c r="G969">
        <f>IF(ABS(F969-ROUND(F969,0))&lt;0.001,1,0)</f>
        <v/>
      </c>
      <c r="H969">
        <f>IF(G969=1,F969,CEILING(F969,1))</f>
        <v/>
      </c>
      <c r="I969">
        <f>IF(G969=1,0,(H969-F969)*E969)</f>
        <v/>
      </c>
      <c r="J969">
        <f>E969*F969</f>
        <v/>
      </c>
    </row>
    <row r="970">
      <c r="A970">
        <f>Sources!A970</f>
        <v/>
      </c>
      <c r="B970">
        <f>Sources!B970</f>
        <v/>
      </c>
      <c r="C970">
        <f>Sources!D970</f>
        <v/>
      </c>
      <c r="D970">
        <f>Sources!E970</f>
        <v/>
      </c>
      <c r="E970">
        <f>Sources!F970</f>
        <v/>
      </c>
      <c r="F970">
        <f>Sources!H970</f>
        <v/>
      </c>
      <c r="G970">
        <f>IF(ABS(F970-ROUND(F970,0))&lt;0.001,1,0)</f>
        <v/>
      </c>
      <c r="H970">
        <f>IF(G970=1,F970,CEILING(F970,1))</f>
        <v/>
      </c>
      <c r="I970">
        <f>IF(G970=1,0,(H970-F970)*E970)</f>
        <v/>
      </c>
      <c r="J970">
        <f>E970*F970</f>
        <v/>
      </c>
    </row>
    <row r="971">
      <c r="A971">
        <f>Sources!A971</f>
        <v/>
      </c>
      <c r="B971">
        <f>Sources!B971</f>
        <v/>
      </c>
      <c r="C971">
        <f>Sources!D971</f>
        <v/>
      </c>
      <c r="D971">
        <f>Sources!E971</f>
        <v/>
      </c>
      <c r="E971">
        <f>Sources!F971</f>
        <v/>
      </c>
      <c r="F971">
        <f>Sources!H971</f>
        <v/>
      </c>
      <c r="G971">
        <f>IF(ABS(F971-ROUND(F971,0))&lt;0.001,1,0)</f>
        <v/>
      </c>
      <c r="H971">
        <f>IF(G971=1,F971,CEILING(F971,1))</f>
        <v/>
      </c>
      <c r="I971">
        <f>IF(G971=1,0,(H971-F971)*E971)</f>
        <v/>
      </c>
      <c r="J971">
        <f>E971*F971</f>
        <v/>
      </c>
    </row>
    <row r="972">
      <c r="A972">
        <f>Sources!A972</f>
        <v/>
      </c>
      <c r="B972">
        <f>Sources!B972</f>
        <v/>
      </c>
      <c r="C972">
        <f>Sources!D972</f>
        <v/>
      </c>
      <c r="D972">
        <f>Sources!E972</f>
        <v/>
      </c>
      <c r="E972">
        <f>Sources!F972</f>
        <v/>
      </c>
      <c r="F972">
        <f>Sources!H972</f>
        <v/>
      </c>
      <c r="G972">
        <f>IF(ABS(F972-ROUND(F972,0))&lt;0.001,1,0)</f>
        <v/>
      </c>
      <c r="H972">
        <f>IF(G972=1,F972,CEILING(F972,1))</f>
        <v/>
      </c>
      <c r="I972">
        <f>IF(G972=1,0,(H972-F972)*E972)</f>
        <v/>
      </c>
      <c r="J972">
        <f>E972*F972</f>
        <v/>
      </c>
    </row>
    <row r="973">
      <c r="A973">
        <f>Sources!A973</f>
        <v/>
      </c>
      <c r="B973">
        <f>Sources!B973</f>
        <v/>
      </c>
      <c r="C973">
        <f>Sources!D973</f>
        <v/>
      </c>
      <c r="D973">
        <f>Sources!E973</f>
        <v/>
      </c>
      <c r="E973">
        <f>Sources!F973</f>
        <v/>
      </c>
      <c r="F973">
        <f>Sources!H973</f>
        <v/>
      </c>
      <c r="G973">
        <f>IF(ABS(F973-ROUND(F973,0))&lt;0.001,1,0)</f>
        <v/>
      </c>
      <c r="H973">
        <f>IF(G973=1,F973,CEILING(F973,1))</f>
        <v/>
      </c>
      <c r="I973">
        <f>IF(G973=1,0,(H973-F973)*E973)</f>
        <v/>
      </c>
      <c r="J973">
        <f>E973*F973</f>
        <v/>
      </c>
    </row>
    <row r="974">
      <c r="A974">
        <f>Sources!A974</f>
        <v/>
      </c>
      <c r="B974">
        <f>Sources!B974</f>
        <v/>
      </c>
      <c r="C974">
        <f>Sources!D974</f>
        <v/>
      </c>
      <c r="D974">
        <f>Sources!E974</f>
        <v/>
      </c>
      <c r="E974">
        <f>Sources!F974</f>
        <v/>
      </c>
      <c r="F974">
        <f>Sources!H974</f>
        <v/>
      </c>
      <c r="G974">
        <f>IF(ABS(F974-ROUND(F974,0))&lt;0.001,1,0)</f>
        <v/>
      </c>
      <c r="H974">
        <f>IF(G974=1,F974,CEILING(F974,1))</f>
        <v/>
      </c>
      <c r="I974">
        <f>IF(G974=1,0,(H974-F974)*E974)</f>
        <v/>
      </c>
      <c r="J974">
        <f>E974*F974</f>
        <v/>
      </c>
    </row>
    <row r="975">
      <c r="A975">
        <f>Sources!A975</f>
        <v/>
      </c>
      <c r="B975">
        <f>Sources!B975</f>
        <v/>
      </c>
      <c r="C975">
        <f>Sources!D975</f>
        <v/>
      </c>
      <c r="D975">
        <f>Sources!E975</f>
        <v/>
      </c>
      <c r="E975">
        <f>Sources!F975</f>
        <v/>
      </c>
      <c r="F975">
        <f>Sources!H975</f>
        <v/>
      </c>
      <c r="G975">
        <f>IF(ABS(F975-ROUND(F975,0))&lt;0.001,1,0)</f>
        <v/>
      </c>
      <c r="H975">
        <f>IF(G975=1,F975,CEILING(F975,1))</f>
        <v/>
      </c>
      <c r="I975">
        <f>IF(G975=1,0,(H975-F975)*E975)</f>
        <v/>
      </c>
      <c r="J975">
        <f>E975*F975</f>
        <v/>
      </c>
    </row>
    <row r="976">
      <c r="A976">
        <f>Sources!A976</f>
        <v/>
      </c>
      <c r="B976">
        <f>Sources!B976</f>
        <v/>
      </c>
      <c r="C976">
        <f>Sources!D976</f>
        <v/>
      </c>
      <c r="D976">
        <f>Sources!E976</f>
        <v/>
      </c>
      <c r="E976">
        <f>Sources!F976</f>
        <v/>
      </c>
      <c r="F976">
        <f>Sources!H976</f>
        <v/>
      </c>
      <c r="G976">
        <f>IF(ABS(F976-ROUND(F976,0))&lt;0.001,1,0)</f>
        <v/>
      </c>
      <c r="H976">
        <f>IF(G976=1,F976,CEILING(F976,1))</f>
        <v/>
      </c>
      <c r="I976">
        <f>IF(G976=1,0,(H976-F976)*E976)</f>
        <v/>
      </c>
      <c r="J976">
        <f>E976*F976</f>
        <v/>
      </c>
    </row>
    <row r="977">
      <c r="A977">
        <f>Sources!A977</f>
        <v/>
      </c>
      <c r="B977">
        <f>Sources!B977</f>
        <v/>
      </c>
      <c r="C977">
        <f>Sources!D977</f>
        <v/>
      </c>
      <c r="D977">
        <f>Sources!E977</f>
        <v/>
      </c>
      <c r="E977">
        <f>Sources!F977</f>
        <v/>
      </c>
      <c r="F977">
        <f>Sources!H977</f>
        <v/>
      </c>
      <c r="G977">
        <f>IF(ABS(F977-ROUND(F977,0))&lt;0.001,1,0)</f>
        <v/>
      </c>
      <c r="H977">
        <f>IF(G977=1,F977,CEILING(F977,1))</f>
        <v/>
      </c>
      <c r="I977">
        <f>IF(G977=1,0,(H977-F977)*E977)</f>
        <v/>
      </c>
      <c r="J977">
        <f>E977*F977</f>
        <v/>
      </c>
    </row>
    <row r="978">
      <c r="A978">
        <f>Sources!A978</f>
        <v/>
      </c>
      <c r="B978">
        <f>Sources!B978</f>
        <v/>
      </c>
      <c r="C978">
        <f>Sources!D978</f>
        <v/>
      </c>
      <c r="D978">
        <f>Sources!E978</f>
        <v/>
      </c>
      <c r="E978">
        <f>Sources!F978</f>
        <v/>
      </c>
      <c r="F978">
        <f>Sources!H978</f>
        <v/>
      </c>
      <c r="G978">
        <f>IF(ABS(F978-ROUND(F978,0))&lt;0.001,1,0)</f>
        <v/>
      </c>
      <c r="H978">
        <f>IF(G978=1,F978,CEILING(F978,1))</f>
        <v/>
      </c>
      <c r="I978">
        <f>IF(G978=1,0,(H978-F978)*E978)</f>
        <v/>
      </c>
      <c r="J978">
        <f>E978*F978</f>
        <v/>
      </c>
    </row>
    <row r="979">
      <c r="A979">
        <f>Sources!A979</f>
        <v/>
      </c>
      <c r="B979">
        <f>Sources!B979</f>
        <v/>
      </c>
      <c r="C979">
        <f>Sources!D979</f>
        <v/>
      </c>
      <c r="D979">
        <f>Sources!E979</f>
        <v/>
      </c>
      <c r="E979">
        <f>Sources!F979</f>
        <v/>
      </c>
      <c r="F979">
        <f>Sources!H979</f>
        <v/>
      </c>
      <c r="G979">
        <f>IF(ABS(F979-ROUND(F979,0))&lt;0.001,1,0)</f>
        <v/>
      </c>
      <c r="H979">
        <f>IF(G979=1,F979,CEILING(F979,1))</f>
        <v/>
      </c>
      <c r="I979">
        <f>IF(G979=1,0,(H979-F979)*E979)</f>
        <v/>
      </c>
      <c r="J979">
        <f>E979*F979</f>
        <v/>
      </c>
    </row>
    <row r="980">
      <c r="A980">
        <f>Sources!A980</f>
        <v/>
      </c>
      <c r="B980">
        <f>Sources!B980</f>
        <v/>
      </c>
      <c r="C980">
        <f>Sources!D980</f>
        <v/>
      </c>
      <c r="D980">
        <f>Sources!E980</f>
        <v/>
      </c>
      <c r="E980">
        <f>Sources!F980</f>
        <v/>
      </c>
      <c r="F980">
        <f>Sources!H980</f>
        <v/>
      </c>
      <c r="G980">
        <f>IF(ABS(F980-ROUND(F980,0))&lt;0.001,1,0)</f>
        <v/>
      </c>
      <c r="H980">
        <f>IF(G980=1,F980,CEILING(F980,1))</f>
        <v/>
      </c>
      <c r="I980">
        <f>IF(G980=1,0,(H980-F980)*E980)</f>
        <v/>
      </c>
      <c r="J980">
        <f>E980*F980</f>
        <v/>
      </c>
    </row>
    <row r="981">
      <c r="A981">
        <f>Sources!A981</f>
        <v/>
      </c>
      <c r="B981">
        <f>Sources!B981</f>
        <v/>
      </c>
      <c r="C981">
        <f>Sources!D981</f>
        <v/>
      </c>
      <c r="D981">
        <f>Sources!E981</f>
        <v/>
      </c>
      <c r="E981">
        <f>Sources!F981</f>
        <v/>
      </c>
      <c r="F981">
        <f>Sources!H981</f>
        <v/>
      </c>
      <c r="G981">
        <f>IF(ABS(F981-ROUND(F981,0))&lt;0.001,1,0)</f>
        <v/>
      </c>
      <c r="H981">
        <f>IF(G981=1,F981,CEILING(F981,1))</f>
        <v/>
      </c>
      <c r="I981">
        <f>IF(G981=1,0,(H981-F981)*E981)</f>
        <v/>
      </c>
      <c r="J981">
        <f>E981*F981</f>
        <v/>
      </c>
    </row>
    <row r="982">
      <c r="A982">
        <f>Sources!A982</f>
        <v/>
      </c>
      <c r="B982">
        <f>Sources!B982</f>
        <v/>
      </c>
      <c r="C982">
        <f>Sources!D982</f>
        <v/>
      </c>
      <c r="D982">
        <f>Sources!E982</f>
        <v/>
      </c>
      <c r="E982">
        <f>Sources!F982</f>
        <v/>
      </c>
      <c r="F982">
        <f>Sources!H982</f>
        <v/>
      </c>
      <c r="G982">
        <f>IF(ABS(F982-ROUND(F982,0))&lt;0.001,1,0)</f>
        <v/>
      </c>
      <c r="H982">
        <f>IF(G982=1,F982,CEILING(F982,1))</f>
        <v/>
      </c>
      <c r="I982">
        <f>IF(G982=1,0,(H982-F982)*E982)</f>
        <v/>
      </c>
      <c r="J982">
        <f>E982*F982</f>
        <v/>
      </c>
    </row>
    <row r="983">
      <c r="A983">
        <f>Sources!A983</f>
        <v/>
      </c>
      <c r="B983">
        <f>Sources!B983</f>
        <v/>
      </c>
      <c r="C983">
        <f>Sources!D983</f>
        <v/>
      </c>
      <c r="D983">
        <f>Sources!E983</f>
        <v/>
      </c>
      <c r="E983">
        <f>Sources!F983</f>
        <v/>
      </c>
      <c r="F983">
        <f>Sources!H983</f>
        <v/>
      </c>
      <c r="G983">
        <f>IF(ABS(F983-ROUND(F983,0))&lt;0.001,1,0)</f>
        <v/>
      </c>
      <c r="H983">
        <f>IF(G983=1,F983,CEILING(F983,1))</f>
        <v/>
      </c>
      <c r="I983">
        <f>IF(G983=1,0,(H983-F983)*E983)</f>
        <v/>
      </c>
      <c r="J983">
        <f>E983*F983</f>
        <v/>
      </c>
    </row>
    <row r="984">
      <c r="A984">
        <f>Sources!A984</f>
        <v/>
      </c>
      <c r="B984">
        <f>Sources!B984</f>
        <v/>
      </c>
      <c r="C984">
        <f>Sources!D984</f>
        <v/>
      </c>
      <c r="D984">
        <f>Sources!E984</f>
        <v/>
      </c>
      <c r="E984">
        <f>Sources!F984</f>
        <v/>
      </c>
      <c r="F984">
        <f>Sources!H984</f>
        <v/>
      </c>
      <c r="G984">
        <f>IF(ABS(F984-ROUND(F984,0))&lt;0.001,1,0)</f>
        <v/>
      </c>
      <c r="H984">
        <f>IF(G984=1,F984,CEILING(F984,1))</f>
        <v/>
      </c>
      <c r="I984">
        <f>IF(G984=1,0,(H984-F984)*E984)</f>
        <v/>
      </c>
      <c r="J984">
        <f>E984*F984</f>
        <v/>
      </c>
    </row>
    <row r="985">
      <c r="A985">
        <f>Sources!A985</f>
        <v/>
      </c>
      <c r="B985">
        <f>Sources!B985</f>
        <v/>
      </c>
      <c r="C985">
        <f>Sources!D985</f>
        <v/>
      </c>
      <c r="D985">
        <f>Sources!E985</f>
        <v/>
      </c>
      <c r="E985">
        <f>Sources!F985</f>
        <v/>
      </c>
      <c r="F985">
        <f>Sources!H985</f>
        <v/>
      </c>
      <c r="G985">
        <f>IF(ABS(F985-ROUND(F985,0))&lt;0.001,1,0)</f>
        <v/>
      </c>
      <c r="H985">
        <f>IF(G985=1,F985,CEILING(F985,1))</f>
        <v/>
      </c>
      <c r="I985">
        <f>IF(G985=1,0,(H985-F985)*E985)</f>
        <v/>
      </c>
      <c r="J985">
        <f>E985*F985</f>
        <v/>
      </c>
    </row>
    <row r="986">
      <c r="A986">
        <f>Sources!A986</f>
        <v/>
      </c>
      <c r="B986">
        <f>Sources!B986</f>
        <v/>
      </c>
      <c r="C986">
        <f>Sources!D986</f>
        <v/>
      </c>
      <c r="D986">
        <f>Sources!E986</f>
        <v/>
      </c>
      <c r="E986">
        <f>Sources!F986</f>
        <v/>
      </c>
      <c r="F986">
        <f>Sources!H986</f>
        <v/>
      </c>
      <c r="G986">
        <f>IF(ABS(F986-ROUND(F986,0))&lt;0.001,1,0)</f>
        <v/>
      </c>
      <c r="H986">
        <f>IF(G986=1,F986,CEILING(F986,1))</f>
        <v/>
      </c>
      <c r="I986">
        <f>IF(G986=1,0,(H986-F986)*E986)</f>
        <v/>
      </c>
      <c r="J986">
        <f>E986*F986</f>
        <v/>
      </c>
    </row>
    <row r="987">
      <c r="A987">
        <f>Sources!A987</f>
        <v/>
      </c>
      <c r="B987">
        <f>Sources!B987</f>
        <v/>
      </c>
      <c r="C987">
        <f>Sources!D987</f>
        <v/>
      </c>
      <c r="D987">
        <f>Sources!E987</f>
        <v/>
      </c>
      <c r="E987">
        <f>Sources!F987</f>
        <v/>
      </c>
      <c r="F987">
        <f>Sources!H987</f>
        <v/>
      </c>
      <c r="G987">
        <f>IF(ABS(F987-ROUND(F987,0))&lt;0.001,1,0)</f>
        <v/>
      </c>
      <c r="H987">
        <f>IF(G987=1,F987,CEILING(F987,1))</f>
        <v/>
      </c>
      <c r="I987">
        <f>IF(G987=1,0,(H987-F987)*E987)</f>
        <v/>
      </c>
      <c r="J987">
        <f>E987*F987</f>
        <v/>
      </c>
    </row>
    <row r="988">
      <c r="A988">
        <f>Sources!A988</f>
        <v/>
      </c>
      <c r="B988">
        <f>Sources!B988</f>
        <v/>
      </c>
      <c r="C988">
        <f>Sources!D988</f>
        <v/>
      </c>
      <c r="D988">
        <f>Sources!E988</f>
        <v/>
      </c>
      <c r="E988">
        <f>Sources!F988</f>
        <v/>
      </c>
      <c r="F988">
        <f>Sources!H988</f>
        <v/>
      </c>
      <c r="G988">
        <f>IF(ABS(F988-ROUND(F988,0))&lt;0.001,1,0)</f>
        <v/>
      </c>
      <c r="H988">
        <f>IF(G988=1,F988,CEILING(F988,1))</f>
        <v/>
      </c>
      <c r="I988">
        <f>IF(G988=1,0,(H988-F988)*E988)</f>
        <v/>
      </c>
      <c r="J988">
        <f>E988*F988</f>
        <v/>
      </c>
    </row>
    <row r="989">
      <c r="A989">
        <f>Sources!A989</f>
        <v/>
      </c>
      <c r="B989">
        <f>Sources!B989</f>
        <v/>
      </c>
      <c r="C989">
        <f>Sources!D989</f>
        <v/>
      </c>
      <c r="D989">
        <f>Sources!E989</f>
        <v/>
      </c>
      <c r="E989">
        <f>Sources!F989</f>
        <v/>
      </c>
      <c r="F989">
        <f>Sources!H989</f>
        <v/>
      </c>
      <c r="G989">
        <f>IF(ABS(F989-ROUND(F989,0))&lt;0.001,1,0)</f>
        <v/>
      </c>
      <c r="H989">
        <f>IF(G989=1,F989,CEILING(F989,1))</f>
        <v/>
      </c>
      <c r="I989">
        <f>IF(G989=1,0,(H989-F989)*E989)</f>
        <v/>
      </c>
      <c r="J989">
        <f>E989*F989</f>
        <v/>
      </c>
    </row>
    <row r="990">
      <c r="A990">
        <f>Sources!A990</f>
        <v/>
      </c>
      <c r="B990">
        <f>Sources!B990</f>
        <v/>
      </c>
      <c r="C990">
        <f>Sources!D990</f>
        <v/>
      </c>
      <c r="D990">
        <f>Sources!E990</f>
        <v/>
      </c>
      <c r="E990">
        <f>Sources!F990</f>
        <v/>
      </c>
      <c r="F990">
        <f>Sources!H990</f>
        <v/>
      </c>
      <c r="G990">
        <f>IF(ABS(F990-ROUND(F990,0))&lt;0.001,1,0)</f>
        <v/>
      </c>
      <c r="H990">
        <f>IF(G990=1,F990,CEILING(F990,1))</f>
        <v/>
      </c>
      <c r="I990">
        <f>IF(G990=1,0,(H990-F990)*E990)</f>
        <v/>
      </c>
      <c r="J990">
        <f>E990*F990</f>
        <v/>
      </c>
    </row>
    <row r="991">
      <c r="A991">
        <f>Sources!A991</f>
        <v/>
      </c>
      <c r="B991">
        <f>Sources!B991</f>
        <v/>
      </c>
      <c r="C991">
        <f>Sources!D991</f>
        <v/>
      </c>
      <c r="D991">
        <f>Sources!E991</f>
        <v/>
      </c>
      <c r="E991">
        <f>Sources!F991</f>
        <v/>
      </c>
      <c r="F991">
        <f>Sources!H991</f>
        <v/>
      </c>
      <c r="G991">
        <f>IF(ABS(F991-ROUND(F991,0))&lt;0.001,1,0)</f>
        <v/>
      </c>
      <c r="H991">
        <f>IF(G991=1,F991,CEILING(F991,1))</f>
        <v/>
      </c>
      <c r="I991">
        <f>IF(G991=1,0,(H991-F991)*E991)</f>
        <v/>
      </c>
      <c r="J991">
        <f>E991*F991</f>
        <v/>
      </c>
    </row>
    <row r="992">
      <c r="A992">
        <f>Sources!A992</f>
        <v/>
      </c>
      <c r="B992">
        <f>Sources!B992</f>
        <v/>
      </c>
      <c r="C992">
        <f>Sources!D992</f>
        <v/>
      </c>
      <c r="D992">
        <f>Sources!E992</f>
        <v/>
      </c>
      <c r="E992">
        <f>Sources!F992</f>
        <v/>
      </c>
      <c r="F992">
        <f>Sources!H992</f>
        <v/>
      </c>
      <c r="G992">
        <f>IF(ABS(F992-ROUND(F992,0))&lt;0.001,1,0)</f>
        <v/>
      </c>
      <c r="H992">
        <f>IF(G992=1,F992,CEILING(F992,1))</f>
        <v/>
      </c>
      <c r="I992">
        <f>IF(G992=1,0,(H992-F992)*E992)</f>
        <v/>
      </c>
      <c r="J992">
        <f>E992*F992</f>
        <v/>
      </c>
    </row>
    <row r="993">
      <c r="A993">
        <f>Sources!A993</f>
        <v/>
      </c>
      <c r="B993">
        <f>Sources!B993</f>
        <v/>
      </c>
      <c r="C993">
        <f>Sources!D993</f>
        <v/>
      </c>
      <c r="D993">
        <f>Sources!E993</f>
        <v/>
      </c>
      <c r="E993">
        <f>Sources!F993</f>
        <v/>
      </c>
      <c r="F993">
        <f>Sources!H993</f>
        <v/>
      </c>
      <c r="G993">
        <f>IF(ABS(F993-ROUND(F993,0))&lt;0.001,1,0)</f>
        <v/>
      </c>
      <c r="H993">
        <f>IF(G993=1,F993,CEILING(F993,1))</f>
        <v/>
      </c>
      <c r="I993">
        <f>IF(G993=1,0,(H993-F993)*E993)</f>
        <v/>
      </c>
      <c r="J993">
        <f>E993*F993</f>
        <v/>
      </c>
    </row>
    <row r="994">
      <c r="A994">
        <f>Sources!A994</f>
        <v/>
      </c>
      <c r="B994">
        <f>Sources!B994</f>
        <v/>
      </c>
      <c r="C994">
        <f>Sources!D994</f>
        <v/>
      </c>
      <c r="D994">
        <f>Sources!E994</f>
        <v/>
      </c>
      <c r="E994">
        <f>Sources!F994</f>
        <v/>
      </c>
      <c r="F994">
        <f>Sources!H994</f>
        <v/>
      </c>
      <c r="G994">
        <f>IF(ABS(F994-ROUND(F994,0))&lt;0.001,1,0)</f>
        <v/>
      </c>
      <c r="H994">
        <f>IF(G994=1,F994,CEILING(F994,1))</f>
        <v/>
      </c>
      <c r="I994">
        <f>IF(G994=1,0,(H994-F994)*E994)</f>
        <v/>
      </c>
      <c r="J994">
        <f>E994*F994</f>
        <v/>
      </c>
    </row>
    <row r="995">
      <c r="A995">
        <f>Sources!A995</f>
        <v/>
      </c>
      <c r="B995">
        <f>Sources!B995</f>
        <v/>
      </c>
      <c r="C995">
        <f>Sources!D995</f>
        <v/>
      </c>
      <c r="D995">
        <f>Sources!E995</f>
        <v/>
      </c>
      <c r="E995">
        <f>Sources!F995</f>
        <v/>
      </c>
      <c r="F995">
        <f>Sources!H995</f>
        <v/>
      </c>
      <c r="G995">
        <f>IF(ABS(F995-ROUND(F995,0))&lt;0.001,1,0)</f>
        <v/>
      </c>
      <c r="H995">
        <f>IF(G995=1,F995,CEILING(F995,1))</f>
        <v/>
      </c>
      <c r="I995">
        <f>IF(G995=1,0,(H995-F995)*E995)</f>
        <v/>
      </c>
      <c r="J995">
        <f>E995*F995</f>
        <v/>
      </c>
    </row>
    <row r="996">
      <c r="A996">
        <f>Sources!A996</f>
        <v/>
      </c>
      <c r="B996">
        <f>Sources!B996</f>
        <v/>
      </c>
      <c r="C996">
        <f>Sources!D996</f>
        <v/>
      </c>
      <c r="D996">
        <f>Sources!E996</f>
        <v/>
      </c>
      <c r="E996">
        <f>Sources!F996</f>
        <v/>
      </c>
      <c r="F996">
        <f>Sources!H996</f>
        <v/>
      </c>
      <c r="G996">
        <f>IF(ABS(F996-ROUND(F996,0))&lt;0.001,1,0)</f>
        <v/>
      </c>
      <c r="H996">
        <f>IF(G996=1,F996,CEILING(F996,1))</f>
        <v/>
      </c>
      <c r="I996">
        <f>IF(G996=1,0,(H996-F996)*E996)</f>
        <v/>
      </c>
      <c r="J996">
        <f>E996*F996</f>
        <v/>
      </c>
    </row>
    <row r="997">
      <c r="A997">
        <f>Sources!A997</f>
        <v/>
      </c>
      <c r="B997">
        <f>Sources!B997</f>
        <v/>
      </c>
      <c r="C997">
        <f>Sources!D997</f>
        <v/>
      </c>
      <c r="D997">
        <f>Sources!E997</f>
        <v/>
      </c>
      <c r="E997">
        <f>Sources!F997</f>
        <v/>
      </c>
      <c r="F997">
        <f>Sources!H997</f>
        <v/>
      </c>
      <c r="G997">
        <f>IF(ABS(F997-ROUND(F997,0))&lt;0.001,1,0)</f>
        <v/>
      </c>
      <c r="H997">
        <f>IF(G997=1,F997,CEILING(F997,1))</f>
        <v/>
      </c>
      <c r="I997">
        <f>IF(G997=1,0,(H997-F997)*E997)</f>
        <v/>
      </c>
      <c r="J997">
        <f>E997*F997</f>
        <v/>
      </c>
    </row>
    <row r="998">
      <c r="A998">
        <f>Sources!A998</f>
        <v/>
      </c>
      <c r="B998">
        <f>Sources!B998</f>
        <v/>
      </c>
      <c r="C998">
        <f>Sources!D998</f>
        <v/>
      </c>
      <c r="D998">
        <f>Sources!E998</f>
        <v/>
      </c>
      <c r="E998">
        <f>Sources!F998</f>
        <v/>
      </c>
      <c r="F998">
        <f>Sources!H998</f>
        <v/>
      </c>
      <c r="G998">
        <f>IF(ABS(F998-ROUND(F998,0))&lt;0.001,1,0)</f>
        <v/>
      </c>
      <c r="H998">
        <f>IF(G998=1,F998,CEILING(F998,1))</f>
        <v/>
      </c>
      <c r="I998">
        <f>IF(G998=1,0,(H998-F998)*E998)</f>
        <v/>
      </c>
      <c r="J998">
        <f>E998*F998</f>
        <v/>
      </c>
    </row>
    <row r="999">
      <c r="A999">
        <f>Sources!A999</f>
        <v/>
      </c>
      <c r="B999">
        <f>Sources!B999</f>
        <v/>
      </c>
      <c r="C999">
        <f>Sources!D999</f>
        <v/>
      </c>
      <c r="D999">
        <f>Sources!E999</f>
        <v/>
      </c>
      <c r="E999">
        <f>Sources!F999</f>
        <v/>
      </c>
      <c r="F999">
        <f>Sources!H999</f>
        <v/>
      </c>
      <c r="G999">
        <f>IF(ABS(F999-ROUND(F999,0))&lt;0.001,1,0)</f>
        <v/>
      </c>
      <c r="H999">
        <f>IF(G999=1,F999,CEILING(F999,1))</f>
        <v/>
      </c>
      <c r="I999">
        <f>IF(G999=1,0,(H999-F999)*E999)</f>
        <v/>
      </c>
      <c r="J999">
        <f>E999*F999</f>
        <v/>
      </c>
    </row>
    <row r="1000">
      <c r="A1000">
        <f>Sources!A1000</f>
        <v/>
      </c>
      <c r="B1000">
        <f>Sources!B1000</f>
        <v/>
      </c>
      <c r="C1000">
        <f>Sources!D1000</f>
        <v/>
      </c>
      <c r="D1000">
        <f>Sources!E1000</f>
        <v/>
      </c>
      <c r="E1000">
        <f>Sources!F1000</f>
        <v/>
      </c>
      <c r="F1000">
        <f>Sources!H1000</f>
        <v/>
      </c>
      <c r="G1000">
        <f>IF(ABS(F1000-ROUND(F1000,0))&lt;0.001,1,0)</f>
        <v/>
      </c>
      <c r="H1000">
        <f>IF(G1000=1,F1000,CEILING(F1000,1))</f>
        <v/>
      </c>
      <c r="I1000">
        <f>IF(G1000=1,0,(H1000-F1000)*E1000)</f>
        <v/>
      </c>
      <c r="J1000">
        <f>E1000*F1000</f>
        <v/>
      </c>
    </row>
    <row r="1001">
      <c r="A1001">
        <f>Sources!A1001</f>
        <v/>
      </c>
      <c r="B1001">
        <f>Sources!B1001</f>
        <v/>
      </c>
      <c r="C1001">
        <f>Sources!D1001</f>
        <v/>
      </c>
      <c r="D1001">
        <f>Sources!E1001</f>
        <v/>
      </c>
      <c r="E1001">
        <f>Sources!F1001</f>
        <v/>
      </c>
      <c r="F1001">
        <f>Sources!H1001</f>
        <v/>
      </c>
      <c r="G1001">
        <f>IF(ABS(F1001-ROUND(F1001,0))&lt;0.001,1,0)</f>
        <v/>
      </c>
      <c r="H1001">
        <f>IF(G1001=1,F1001,CEILING(F1001,1))</f>
        <v/>
      </c>
      <c r="I1001">
        <f>IF(G1001=1,0,(H1001-F1001)*E1001)</f>
        <v/>
      </c>
      <c r="J1001">
        <f>E1001*F1001</f>
        <v/>
      </c>
    </row>
    <row r="1002">
      <c r="A1002">
        <f>Sources!A1002</f>
        <v/>
      </c>
      <c r="B1002">
        <f>Sources!B1002</f>
        <v/>
      </c>
      <c r="C1002">
        <f>Sources!D1002</f>
        <v/>
      </c>
      <c r="D1002">
        <f>Sources!E1002</f>
        <v/>
      </c>
      <c r="E1002">
        <f>Sources!F1002</f>
        <v/>
      </c>
      <c r="F1002">
        <f>Sources!H1002</f>
        <v/>
      </c>
      <c r="G1002">
        <f>IF(ABS(F1002-ROUND(F1002,0))&lt;0.001,1,0)</f>
        <v/>
      </c>
      <c r="H1002">
        <f>IF(G1002=1,F1002,CEILING(F1002,1))</f>
        <v/>
      </c>
      <c r="I1002">
        <f>IF(G1002=1,0,(H1002-F1002)*E1002)</f>
        <v/>
      </c>
      <c r="J1002">
        <f>E1002*F1002</f>
        <v/>
      </c>
    </row>
    <row r="1003">
      <c r="A1003">
        <f>Sources!A1003</f>
        <v/>
      </c>
      <c r="B1003">
        <f>Sources!B1003</f>
        <v/>
      </c>
      <c r="C1003">
        <f>Sources!D1003</f>
        <v/>
      </c>
      <c r="D1003">
        <f>Sources!E1003</f>
        <v/>
      </c>
      <c r="E1003">
        <f>Sources!F1003</f>
        <v/>
      </c>
      <c r="F1003">
        <f>Sources!H1003</f>
        <v/>
      </c>
      <c r="G1003">
        <f>IF(ABS(F1003-ROUND(F1003,0))&lt;0.001,1,0)</f>
        <v/>
      </c>
      <c r="H1003">
        <f>IF(G1003=1,F1003,CEILING(F1003,1))</f>
        <v/>
      </c>
      <c r="I1003">
        <f>IF(G1003=1,0,(H1003-F1003)*E1003)</f>
        <v/>
      </c>
      <c r="J1003">
        <f>E1003*F1003</f>
        <v/>
      </c>
    </row>
    <row r="1004">
      <c r="A1004">
        <f>Sources!A1004</f>
        <v/>
      </c>
      <c r="B1004">
        <f>Sources!B1004</f>
        <v/>
      </c>
      <c r="C1004">
        <f>Sources!D1004</f>
        <v/>
      </c>
      <c r="D1004">
        <f>Sources!E1004</f>
        <v/>
      </c>
      <c r="E1004">
        <f>Sources!F1004</f>
        <v/>
      </c>
      <c r="F1004">
        <f>Sources!H1004</f>
        <v/>
      </c>
      <c r="G1004">
        <f>IF(ABS(F1004-ROUND(F1004,0))&lt;0.001,1,0)</f>
        <v/>
      </c>
      <c r="H1004">
        <f>IF(G1004=1,F1004,CEILING(F1004,1))</f>
        <v/>
      </c>
      <c r="I1004">
        <f>IF(G1004=1,0,(H1004-F1004)*E1004)</f>
        <v/>
      </c>
      <c r="J1004">
        <f>E1004*F1004</f>
        <v/>
      </c>
    </row>
    <row r="1005">
      <c r="A1005">
        <f>Sources!A1005</f>
        <v/>
      </c>
      <c r="B1005">
        <f>Sources!B1005</f>
        <v/>
      </c>
      <c r="C1005">
        <f>Sources!D1005</f>
        <v/>
      </c>
      <c r="D1005">
        <f>Sources!E1005</f>
        <v/>
      </c>
      <c r="E1005">
        <f>Sources!F1005</f>
        <v/>
      </c>
      <c r="F1005">
        <f>Sources!H1005</f>
        <v/>
      </c>
      <c r="G1005">
        <f>IF(ABS(F1005-ROUND(F1005,0))&lt;0.001,1,0)</f>
        <v/>
      </c>
      <c r="H1005">
        <f>IF(G1005=1,F1005,CEILING(F1005,1))</f>
        <v/>
      </c>
      <c r="I1005">
        <f>IF(G1005=1,0,(H1005-F1005)*E1005)</f>
        <v/>
      </c>
      <c r="J1005">
        <f>E1005*F1005</f>
        <v/>
      </c>
    </row>
    <row r="1006">
      <c r="A1006">
        <f>Sources!A1006</f>
        <v/>
      </c>
      <c r="B1006">
        <f>Sources!B1006</f>
        <v/>
      </c>
      <c r="C1006">
        <f>Sources!D1006</f>
        <v/>
      </c>
      <c r="D1006">
        <f>Sources!E1006</f>
        <v/>
      </c>
      <c r="E1006">
        <f>Sources!F1006</f>
        <v/>
      </c>
      <c r="F1006">
        <f>Sources!H1006</f>
        <v/>
      </c>
      <c r="G1006">
        <f>IF(ABS(F1006-ROUND(F1006,0))&lt;0.001,1,0)</f>
        <v/>
      </c>
      <c r="H1006">
        <f>IF(G1006=1,F1006,CEILING(F1006,1))</f>
        <v/>
      </c>
      <c r="I1006">
        <f>IF(G1006=1,0,(H1006-F1006)*E1006)</f>
        <v/>
      </c>
      <c r="J1006">
        <f>E1006*F1006</f>
        <v/>
      </c>
    </row>
    <row r="1007">
      <c r="A1007">
        <f>Sources!A1007</f>
        <v/>
      </c>
      <c r="B1007">
        <f>Sources!B1007</f>
        <v/>
      </c>
      <c r="C1007">
        <f>Sources!D1007</f>
        <v/>
      </c>
      <c r="D1007">
        <f>Sources!E1007</f>
        <v/>
      </c>
      <c r="E1007">
        <f>Sources!F1007</f>
        <v/>
      </c>
      <c r="F1007">
        <f>Sources!H1007</f>
        <v/>
      </c>
      <c r="G1007">
        <f>IF(ABS(F1007-ROUND(F1007,0))&lt;0.001,1,0)</f>
        <v/>
      </c>
      <c r="H1007">
        <f>IF(G1007=1,F1007,CEILING(F1007,1))</f>
        <v/>
      </c>
      <c r="I1007">
        <f>IF(G1007=1,0,(H1007-F1007)*E1007)</f>
        <v/>
      </c>
      <c r="J1007">
        <f>E1007*F1007</f>
        <v/>
      </c>
    </row>
    <row r="1008">
      <c r="A1008">
        <f>Sources!A1008</f>
        <v/>
      </c>
      <c r="B1008">
        <f>Sources!B1008</f>
        <v/>
      </c>
      <c r="C1008">
        <f>Sources!D1008</f>
        <v/>
      </c>
      <c r="D1008">
        <f>Sources!E1008</f>
        <v/>
      </c>
      <c r="E1008">
        <f>Sources!F1008</f>
        <v/>
      </c>
      <c r="F1008">
        <f>Sources!H1008</f>
        <v/>
      </c>
      <c r="G1008">
        <f>IF(ABS(F1008-ROUND(F1008,0))&lt;0.001,1,0)</f>
        <v/>
      </c>
      <c r="H1008">
        <f>IF(G1008=1,F1008,CEILING(F1008,1))</f>
        <v/>
      </c>
      <c r="I1008">
        <f>IF(G1008=1,0,(H1008-F1008)*E1008)</f>
        <v/>
      </c>
      <c r="J1008">
        <f>E1008*F1008</f>
        <v/>
      </c>
    </row>
    <row r="1009">
      <c r="A1009">
        <f>Sources!A1009</f>
        <v/>
      </c>
      <c r="B1009">
        <f>Sources!B1009</f>
        <v/>
      </c>
      <c r="C1009">
        <f>Sources!D1009</f>
        <v/>
      </c>
      <c r="D1009">
        <f>Sources!E1009</f>
        <v/>
      </c>
      <c r="E1009">
        <f>Sources!F1009</f>
        <v/>
      </c>
      <c r="F1009">
        <f>Sources!H1009</f>
        <v/>
      </c>
      <c r="G1009">
        <f>IF(ABS(F1009-ROUND(F1009,0))&lt;0.001,1,0)</f>
        <v/>
      </c>
      <c r="H1009">
        <f>IF(G1009=1,F1009,CEILING(F1009,1))</f>
        <v/>
      </c>
      <c r="I1009">
        <f>IF(G1009=1,0,(H1009-F1009)*E1009)</f>
        <v/>
      </c>
      <c r="J1009">
        <f>E1009*F1009</f>
        <v/>
      </c>
    </row>
    <row r="1010">
      <c r="A1010">
        <f>Sources!A1010</f>
        <v/>
      </c>
      <c r="B1010">
        <f>Sources!B1010</f>
        <v/>
      </c>
      <c r="C1010">
        <f>Sources!D1010</f>
        <v/>
      </c>
      <c r="D1010">
        <f>Sources!E1010</f>
        <v/>
      </c>
      <c r="E1010">
        <f>Sources!F1010</f>
        <v/>
      </c>
      <c r="F1010">
        <f>Sources!H1010</f>
        <v/>
      </c>
      <c r="G1010">
        <f>IF(ABS(F1010-ROUND(F1010,0))&lt;0.001,1,0)</f>
        <v/>
      </c>
      <c r="H1010">
        <f>IF(G1010=1,F1010,CEILING(F1010,1))</f>
        <v/>
      </c>
      <c r="I1010">
        <f>IF(G1010=1,0,(H1010-F1010)*E1010)</f>
        <v/>
      </c>
      <c r="J1010">
        <f>E1010*F1010</f>
        <v/>
      </c>
    </row>
    <row r="1011">
      <c r="A1011">
        <f>Sources!A1011</f>
        <v/>
      </c>
      <c r="B1011">
        <f>Sources!B1011</f>
        <v/>
      </c>
      <c r="C1011">
        <f>Sources!D1011</f>
        <v/>
      </c>
      <c r="D1011">
        <f>Sources!E1011</f>
        <v/>
      </c>
      <c r="E1011">
        <f>Sources!F1011</f>
        <v/>
      </c>
      <c r="F1011">
        <f>Sources!H1011</f>
        <v/>
      </c>
      <c r="G1011">
        <f>IF(ABS(F1011-ROUND(F1011,0))&lt;0.001,1,0)</f>
        <v/>
      </c>
      <c r="H1011">
        <f>IF(G1011=1,F1011,CEILING(F1011,1))</f>
        <v/>
      </c>
      <c r="I1011">
        <f>IF(G1011=1,0,(H1011-F1011)*E1011)</f>
        <v/>
      </c>
      <c r="J1011">
        <f>E1011*F1011</f>
        <v/>
      </c>
    </row>
    <row r="1012">
      <c r="A1012">
        <f>Sources!A1012</f>
        <v/>
      </c>
      <c r="B1012">
        <f>Sources!B1012</f>
        <v/>
      </c>
      <c r="C1012">
        <f>Sources!D1012</f>
        <v/>
      </c>
      <c r="D1012">
        <f>Sources!E1012</f>
        <v/>
      </c>
      <c r="E1012">
        <f>Sources!F1012</f>
        <v/>
      </c>
      <c r="F1012">
        <f>Sources!H1012</f>
        <v/>
      </c>
      <c r="G1012">
        <f>IF(ABS(F1012-ROUND(F1012,0))&lt;0.001,1,0)</f>
        <v/>
      </c>
      <c r="H1012">
        <f>IF(G1012=1,F1012,CEILING(F1012,1))</f>
        <v/>
      </c>
      <c r="I1012">
        <f>IF(G1012=1,0,(H1012-F1012)*E1012)</f>
        <v/>
      </c>
      <c r="J1012">
        <f>E1012*F1012</f>
        <v/>
      </c>
    </row>
    <row r="1013">
      <c r="A1013">
        <f>Sources!A1013</f>
        <v/>
      </c>
      <c r="B1013">
        <f>Sources!B1013</f>
        <v/>
      </c>
      <c r="C1013">
        <f>Sources!D1013</f>
        <v/>
      </c>
      <c r="D1013">
        <f>Sources!E1013</f>
        <v/>
      </c>
      <c r="E1013">
        <f>Sources!F1013</f>
        <v/>
      </c>
      <c r="F1013">
        <f>Sources!H1013</f>
        <v/>
      </c>
      <c r="G1013">
        <f>IF(ABS(F1013-ROUND(F1013,0))&lt;0.001,1,0)</f>
        <v/>
      </c>
      <c r="H1013">
        <f>IF(G1013=1,F1013,CEILING(F1013,1))</f>
        <v/>
      </c>
      <c r="I1013">
        <f>IF(G1013=1,0,(H1013-F1013)*E1013)</f>
        <v/>
      </c>
      <c r="J1013">
        <f>E1013*F1013</f>
        <v/>
      </c>
    </row>
    <row r="1014">
      <c r="A1014">
        <f>Sources!A1014</f>
        <v/>
      </c>
      <c r="B1014">
        <f>Sources!B1014</f>
        <v/>
      </c>
      <c r="C1014">
        <f>Sources!D1014</f>
        <v/>
      </c>
      <c r="D1014">
        <f>Sources!E1014</f>
        <v/>
      </c>
      <c r="E1014">
        <f>Sources!F1014</f>
        <v/>
      </c>
      <c r="F1014">
        <f>Sources!H1014</f>
        <v/>
      </c>
      <c r="G1014">
        <f>IF(ABS(F1014-ROUND(F1014,0))&lt;0.001,1,0)</f>
        <v/>
      </c>
      <c r="H1014">
        <f>IF(G1014=1,F1014,CEILING(F1014,1))</f>
        <v/>
      </c>
      <c r="I1014">
        <f>IF(G1014=1,0,(H1014-F1014)*E1014)</f>
        <v/>
      </c>
      <c r="J1014">
        <f>E1014*F1014</f>
        <v/>
      </c>
    </row>
    <row r="1015">
      <c r="A1015">
        <f>Sources!A1015</f>
        <v/>
      </c>
      <c r="B1015">
        <f>Sources!B1015</f>
        <v/>
      </c>
      <c r="C1015">
        <f>Sources!D1015</f>
        <v/>
      </c>
      <c r="D1015">
        <f>Sources!E1015</f>
        <v/>
      </c>
      <c r="E1015">
        <f>Sources!F1015</f>
        <v/>
      </c>
      <c r="F1015">
        <f>Sources!H1015</f>
        <v/>
      </c>
      <c r="G1015">
        <f>IF(ABS(F1015-ROUND(F1015,0))&lt;0.001,1,0)</f>
        <v/>
      </c>
      <c r="H1015">
        <f>IF(G1015=1,F1015,CEILING(F1015,1))</f>
        <v/>
      </c>
      <c r="I1015">
        <f>IF(G1015=1,0,(H1015-F1015)*E1015)</f>
        <v/>
      </c>
      <c r="J1015">
        <f>E1015*F1015</f>
        <v/>
      </c>
    </row>
    <row r="1016">
      <c r="A1016">
        <f>Sources!A1016</f>
        <v/>
      </c>
      <c r="B1016">
        <f>Sources!B1016</f>
        <v/>
      </c>
      <c r="C1016">
        <f>Sources!D1016</f>
        <v/>
      </c>
      <c r="D1016">
        <f>Sources!E1016</f>
        <v/>
      </c>
      <c r="E1016">
        <f>Sources!F1016</f>
        <v/>
      </c>
      <c r="F1016">
        <f>Sources!H1016</f>
        <v/>
      </c>
      <c r="G1016">
        <f>IF(ABS(F1016-ROUND(F1016,0))&lt;0.001,1,0)</f>
        <v/>
      </c>
      <c r="H1016">
        <f>IF(G1016=1,F1016,CEILING(F1016,1))</f>
        <v/>
      </c>
      <c r="I1016">
        <f>IF(G1016=1,0,(H1016-F1016)*E1016)</f>
        <v/>
      </c>
      <c r="J1016">
        <f>E1016*F1016</f>
        <v/>
      </c>
    </row>
    <row r="1017">
      <c r="A1017">
        <f>Sources!A1017</f>
        <v/>
      </c>
      <c r="B1017">
        <f>Sources!B1017</f>
        <v/>
      </c>
      <c r="C1017">
        <f>Sources!D1017</f>
        <v/>
      </c>
      <c r="D1017">
        <f>Sources!E1017</f>
        <v/>
      </c>
      <c r="E1017">
        <f>Sources!F1017</f>
        <v/>
      </c>
      <c r="F1017">
        <f>Sources!H1017</f>
        <v/>
      </c>
      <c r="G1017">
        <f>IF(ABS(F1017-ROUND(F1017,0))&lt;0.001,1,0)</f>
        <v/>
      </c>
      <c r="H1017">
        <f>IF(G1017=1,F1017,CEILING(F1017,1))</f>
        <v/>
      </c>
      <c r="I1017">
        <f>IF(G1017=1,0,(H1017-F1017)*E1017)</f>
        <v/>
      </c>
      <c r="J1017">
        <f>E1017*F1017</f>
        <v/>
      </c>
    </row>
    <row r="1018">
      <c r="A1018">
        <f>Sources!A1018</f>
        <v/>
      </c>
      <c r="B1018">
        <f>Sources!B1018</f>
        <v/>
      </c>
      <c r="C1018">
        <f>Sources!D1018</f>
        <v/>
      </c>
      <c r="D1018">
        <f>Sources!E1018</f>
        <v/>
      </c>
      <c r="E1018">
        <f>Sources!F1018</f>
        <v/>
      </c>
      <c r="F1018">
        <f>Sources!H1018</f>
        <v/>
      </c>
      <c r="G1018">
        <f>IF(ABS(F1018-ROUND(F1018,0))&lt;0.001,1,0)</f>
        <v/>
      </c>
      <c r="H1018">
        <f>IF(G1018=1,F1018,CEILING(F1018,1))</f>
        <v/>
      </c>
      <c r="I1018">
        <f>IF(G1018=1,0,(H1018-F1018)*E1018)</f>
        <v/>
      </c>
      <c r="J1018">
        <f>E1018*F1018</f>
        <v/>
      </c>
    </row>
    <row r="1019">
      <c r="A1019">
        <f>Sources!A1019</f>
        <v/>
      </c>
      <c r="B1019">
        <f>Sources!B1019</f>
        <v/>
      </c>
      <c r="C1019">
        <f>Sources!D1019</f>
        <v/>
      </c>
      <c r="D1019">
        <f>Sources!E1019</f>
        <v/>
      </c>
      <c r="E1019">
        <f>Sources!F1019</f>
        <v/>
      </c>
      <c r="F1019">
        <f>Sources!H1019</f>
        <v/>
      </c>
      <c r="G1019">
        <f>IF(ABS(F1019-ROUND(F1019,0))&lt;0.001,1,0)</f>
        <v/>
      </c>
      <c r="H1019">
        <f>IF(G1019=1,F1019,CEILING(F1019,1))</f>
        <v/>
      </c>
      <c r="I1019">
        <f>IF(G1019=1,0,(H1019-F1019)*E1019)</f>
        <v/>
      </c>
      <c r="J1019">
        <f>E1019*F1019</f>
        <v/>
      </c>
    </row>
    <row r="1020">
      <c r="A1020">
        <f>Sources!A1020</f>
        <v/>
      </c>
      <c r="B1020">
        <f>Sources!B1020</f>
        <v/>
      </c>
      <c r="C1020">
        <f>Sources!D1020</f>
        <v/>
      </c>
      <c r="D1020">
        <f>Sources!E1020</f>
        <v/>
      </c>
      <c r="E1020">
        <f>Sources!F1020</f>
        <v/>
      </c>
      <c r="F1020">
        <f>Sources!H1020</f>
        <v/>
      </c>
      <c r="G1020">
        <f>IF(ABS(F1020-ROUND(F1020,0))&lt;0.001,1,0)</f>
        <v/>
      </c>
      <c r="H1020">
        <f>IF(G1020=1,F1020,CEILING(F1020,1))</f>
        <v/>
      </c>
      <c r="I1020">
        <f>IF(G1020=1,0,(H1020-F1020)*E1020)</f>
        <v/>
      </c>
      <c r="J1020">
        <f>E1020*F1020</f>
        <v/>
      </c>
    </row>
    <row r="1021">
      <c r="A1021">
        <f>Sources!A1021</f>
        <v/>
      </c>
      <c r="B1021">
        <f>Sources!B1021</f>
        <v/>
      </c>
      <c r="C1021">
        <f>Sources!D1021</f>
        <v/>
      </c>
      <c r="D1021">
        <f>Sources!E1021</f>
        <v/>
      </c>
      <c r="E1021">
        <f>Sources!F1021</f>
        <v/>
      </c>
      <c r="F1021">
        <f>Sources!H1021</f>
        <v/>
      </c>
      <c r="G1021">
        <f>IF(ABS(F1021-ROUND(F1021,0))&lt;0.001,1,0)</f>
        <v/>
      </c>
      <c r="H1021">
        <f>IF(G1021=1,F1021,CEILING(F1021,1))</f>
        <v/>
      </c>
      <c r="I1021">
        <f>IF(G1021=1,0,(H1021-F1021)*E1021)</f>
        <v/>
      </c>
      <c r="J1021">
        <f>E1021*F1021</f>
        <v/>
      </c>
    </row>
    <row r="1022">
      <c r="A1022">
        <f>Sources!A1022</f>
        <v/>
      </c>
      <c r="B1022">
        <f>Sources!B1022</f>
        <v/>
      </c>
      <c r="C1022">
        <f>Sources!D1022</f>
        <v/>
      </c>
      <c r="D1022">
        <f>Sources!E1022</f>
        <v/>
      </c>
      <c r="E1022">
        <f>Sources!F1022</f>
        <v/>
      </c>
      <c r="F1022">
        <f>Sources!H1022</f>
        <v/>
      </c>
      <c r="G1022">
        <f>IF(ABS(F1022-ROUND(F1022,0))&lt;0.001,1,0)</f>
        <v/>
      </c>
      <c r="H1022">
        <f>IF(G1022=1,F1022,CEILING(F1022,1))</f>
        <v/>
      </c>
      <c r="I1022">
        <f>IF(G1022=1,0,(H1022-F1022)*E1022)</f>
        <v/>
      </c>
      <c r="J1022">
        <f>E1022*F1022</f>
        <v/>
      </c>
    </row>
    <row r="1023">
      <c r="A1023">
        <f>Sources!A1023</f>
        <v/>
      </c>
      <c r="B1023">
        <f>Sources!B1023</f>
        <v/>
      </c>
      <c r="C1023">
        <f>Sources!D1023</f>
        <v/>
      </c>
      <c r="D1023">
        <f>Sources!E1023</f>
        <v/>
      </c>
      <c r="E1023">
        <f>Sources!F1023</f>
        <v/>
      </c>
      <c r="F1023">
        <f>Sources!H1023</f>
        <v/>
      </c>
      <c r="G1023">
        <f>IF(ABS(F1023-ROUND(F1023,0))&lt;0.001,1,0)</f>
        <v/>
      </c>
      <c r="H1023">
        <f>IF(G1023=1,F1023,CEILING(F1023,1))</f>
        <v/>
      </c>
      <c r="I1023">
        <f>IF(G1023=1,0,(H1023-F1023)*E1023)</f>
        <v/>
      </c>
      <c r="J1023">
        <f>E1023*F1023</f>
        <v/>
      </c>
    </row>
    <row r="1024">
      <c r="A1024">
        <f>Sources!A1024</f>
        <v/>
      </c>
      <c r="B1024">
        <f>Sources!B1024</f>
        <v/>
      </c>
      <c r="C1024">
        <f>Sources!D1024</f>
        <v/>
      </c>
      <c r="D1024">
        <f>Sources!E1024</f>
        <v/>
      </c>
      <c r="E1024">
        <f>Sources!F1024</f>
        <v/>
      </c>
      <c r="F1024">
        <f>Sources!H1024</f>
        <v/>
      </c>
      <c r="G1024">
        <f>IF(ABS(F1024-ROUND(F1024,0))&lt;0.001,1,0)</f>
        <v/>
      </c>
      <c r="H1024">
        <f>IF(G1024=1,F1024,CEILING(F1024,1))</f>
        <v/>
      </c>
      <c r="I1024">
        <f>IF(G1024=1,0,(H1024-F1024)*E1024)</f>
        <v/>
      </c>
      <c r="J1024">
        <f>E1024*F1024</f>
        <v/>
      </c>
    </row>
    <row r="1025">
      <c r="A1025">
        <f>Sources!A1025</f>
        <v/>
      </c>
      <c r="B1025">
        <f>Sources!B1025</f>
        <v/>
      </c>
      <c r="C1025">
        <f>Sources!D1025</f>
        <v/>
      </c>
      <c r="D1025">
        <f>Sources!E1025</f>
        <v/>
      </c>
      <c r="E1025">
        <f>Sources!F1025</f>
        <v/>
      </c>
      <c r="F1025">
        <f>Sources!H1025</f>
        <v/>
      </c>
      <c r="G1025">
        <f>IF(ABS(F1025-ROUND(F1025,0))&lt;0.001,1,0)</f>
        <v/>
      </c>
      <c r="H1025">
        <f>IF(G1025=1,F1025,CEILING(F1025,1))</f>
        <v/>
      </c>
      <c r="I1025">
        <f>IF(G1025=1,0,(H1025-F1025)*E1025)</f>
        <v/>
      </c>
      <c r="J1025">
        <f>E1025*F1025</f>
        <v/>
      </c>
    </row>
    <row r="1026">
      <c r="A1026">
        <f>Sources!A1026</f>
        <v/>
      </c>
      <c r="B1026">
        <f>Sources!B1026</f>
        <v/>
      </c>
      <c r="C1026">
        <f>Sources!D1026</f>
        <v/>
      </c>
      <c r="D1026">
        <f>Sources!E1026</f>
        <v/>
      </c>
      <c r="E1026">
        <f>Sources!F1026</f>
        <v/>
      </c>
      <c r="F1026">
        <f>Sources!H1026</f>
        <v/>
      </c>
      <c r="G1026">
        <f>IF(ABS(F1026-ROUND(F1026,0))&lt;0.001,1,0)</f>
        <v/>
      </c>
      <c r="H1026">
        <f>IF(G1026=1,F1026,CEILING(F1026,1))</f>
        <v/>
      </c>
      <c r="I1026">
        <f>IF(G1026=1,0,(H1026-F1026)*E1026)</f>
        <v/>
      </c>
      <c r="J1026">
        <f>E1026*F1026</f>
        <v/>
      </c>
    </row>
    <row r="1027">
      <c r="A1027">
        <f>Sources!A1027</f>
        <v/>
      </c>
      <c r="B1027">
        <f>Sources!B1027</f>
        <v/>
      </c>
      <c r="C1027">
        <f>Sources!D1027</f>
        <v/>
      </c>
      <c r="D1027">
        <f>Sources!E1027</f>
        <v/>
      </c>
      <c r="E1027">
        <f>Sources!F1027</f>
        <v/>
      </c>
      <c r="F1027">
        <f>Sources!H1027</f>
        <v/>
      </c>
      <c r="G1027">
        <f>IF(ABS(F1027-ROUND(F1027,0))&lt;0.001,1,0)</f>
        <v/>
      </c>
      <c r="H1027">
        <f>IF(G1027=1,F1027,CEILING(F1027,1))</f>
        <v/>
      </c>
      <c r="I1027">
        <f>IF(G1027=1,0,(H1027-F1027)*E1027)</f>
        <v/>
      </c>
      <c r="J1027">
        <f>E1027*F1027</f>
        <v/>
      </c>
    </row>
    <row r="1028">
      <c r="A1028">
        <f>Sources!A1028</f>
        <v/>
      </c>
      <c r="B1028">
        <f>Sources!B1028</f>
        <v/>
      </c>
      <c r="C1028">
        <f>Sources!D1028</f>
        <v/>
      </c>
      <c r="D1028">
        <f>Sources!E1028</f>
        <v/>
      </c>
      <c r="E1028">
        <f>Sources!F1028</f>
        <v/>
      </c>
      <c r="F1028">
        <f>Sources!H1028</f>
        <v/>
      </c>
      <c r="G1028">
        <f>IF(ABS(F1028-ROUND(F1028,0))&lt;0.001,1,0)</f>
        <v/>
      </c>
      <c r="H1028">
        <f>IF(G1028=1,F1028,CEILING(F1028,1))</f>
        <v/>
      </c>
      <c r="I1028">
        <f>IF(G1028=1,0,(H1028-F1028)*E1028)</f>
        <v/>
      </c>
      <c r="J1028">
        <f>E1028*F1028</f>
        <v/>
      </c>
    </row>
    <row r="1029">
      <c r="A1029">
        <f>Sources!A1029</f>
        <v/>
      </c>
      <c r="B1029">
        <f>Sources!B1029</f>
        <v/>
      </c>
      <c r="C1029">
        <f>Sources!D1029</f>
        <v/>
      </c>
      <c r="D1029">
        <f>Sources!E1029</f>
        <v/>
      </c>
      <c r="E1029">
        <f>Sources!F1029</f>
        <v/>
      </c>
      <c r="F1029">
        <f>Sources!H1029</f>
        <v/>
      </c>
      <c r="G1029">
        <f>IF(ABS(F1029-ROUND(F1029,0))&lt;0.001,1,0)</f>
        <v/>
      </c>
      <c r="H1029">
        <f>IF(G1029=1,F1029,CEILING(F1029,1))</f>
        <v/>
      </c>
      <c r="I1029">
        <f>IF(G1029=1,0,(H1029-F1029)*E1029)</f>
        <v/>
      </c>
      <c r="J1029">
        <f>E1029*F1029</f>
        <v/>
      </c>
    </row>
    <row r="1030">
      <c r="A1030">
        <f>Sources!A1030</f>
        <v/>
      </c>
      <c r="B1030">
        <f>Sources!B1030</f>
        <v/>
      </c>
      <c r="C1030">
        <f>Sources!D1030</f>
        <v/>
      </c>
      <c r="D1030">
        <f>Sources!E1030</f>
        <v/>
      </c>
      <c r="E1030">
        <f>Sources!F1030</f>
        <v/>
      </c>
      <c r="F1030">
        <f>Sources!H1030</f>
        <v/>
      </c>
      <c r="G1030">
        <f>IF(ABS(F1030-ROUND(F1030,0))&lt;0.001,1,0)</f>
        <v/>
      </c>
      <c r="H1030">
        <f>IF(G1030=1,F1030,CEILING(F1030,1))</f>
        <v/>
      </c>
      <c r="I1030">
        <f>IF(G1030=1,0,(H1030-F1030)*E1030)</f>
        <v/>
      </c>
      <c r="J1030">
        <f>E1030*F1030</f>
        <v/>
      </c>
    </row>
    <row r="1031">
      <c r="A1031">
        <f>Sources!A1031</f>
        <v/>
      </c>
      <c r="B1031">
        <f>Sources!B1031</f>
        <v/>
      </c>
      <c r="C1031">
        <f>Sources!D1031</f>
        <v/>
      </c>
      <c r="D1031">
        <f>Sources!E1031</f>
        <v/>
      </c>
      <c r="E1031">
        <f>Sources!F1031</f>
        <v/>
      </c>
      <c r="F1031">
        <f>Sources!H1031</f>
        <v/>
      </c>
      <c r="G1031">
        <f>IF(ABS(F1031-ROUND(F1031,0))&lt;0.001,1,0)</f>
        <v/>
      </c>
      <c r="H1031">
        <f>IF(G1031=1,F1031,CEILING(F1031,1))</f>
        <v/>
      </c>
      <c r="I1031">
        <f>IF(G1031=1,0,(H1031-F1031)*E1031)</f>
        <v/>
      </c>
      <c r="J1031">
        <f>E1031*F1031</f>
        <v/>
      </c>
    </row>
    <row r="1032">
      <c r="A1032">
        <f>Sources!A1032</f>
        <v/>
      </c>
      <c r="B1032">
        <f>Sources!B1032</f>
        <v/>
      </c>
      <c r="C1032">
        <f>Sources!D1032</f>
        <v/>
      </c>
      <c r="D1032">
        <f>Sources!E1032</f>
        <v/>
      </c>
      <c r="E1032">
        <f>Sources!F1032</f>
        <v/>
      </c>
      <c r="F1032">
        <f>Sources!H1032</f>
        <v/>
      </c>
      <c r="G1032">
        <f>IF(ABS(F1032-ROUND(F1032,0))&lt;0.001,1,0)</f>
        <v/>
      </c>
      <c r="H1032">
        <f>IF(G1032=1,F1032,CEILING(F1032,1))</f>
        <v/>
      </c>
      <c r="I1032">
        <f>IF(G1032=1,0,(H1032-F1032)*E1032)</f>
        <v/>
      </c>
      <c r="J1032">
        <f>E1032*F1032</f>
        <v/>
      </c>
    </row>
    <row r="1033">
      <c r="A1033">
        <f>Sources!A1033</f>
        <v/>
      </c>
      <c r="B1033">
        <f>Sources!B1033</f>
        <v/>
      </c>
      <c r="C1033">
        <f>Sources!D1033</f>
        <v/>
      </c>
      <c r="D1033">
        <f>Sources!E1033</f>
        <v/>
      </c>
      <c r="E1033">
        <f>Sources!F1033</f>
        <v/>
      </c>
      <c r="F1033">
        <f>Sources!H1033</f>
        <v/>
      </c>
      <c r="G1033">
        <f>IF(ABS(F1033-ROUND(F1033,0))&lt;0.001,1,0)</f>
        <v/>
      </c>
      <c r="H1033">
        <f>IF(G1033=1,F1033,CEILING(F1033,1))</f>
        <v/>
      </c>
      <c r="I1033">
        <f>IF(G1033=1,0,(H1033-F1033)*E1033)</f>
        <v/>
      </c>
      <c r="J1033">
        <f>E1033*F1033</f>
        <v/>
      </c>
    </row>
    <row r="1034">
      <c r="A1034">
        <f>Sources!A1034</f>
        <v/>
      </c>
      <c r="B1034">
        <f>Sources!B1034</f>
        <v/>
      </c>
      <c r="C1034">
        <f>Sources!D1034</f>
        <v/>
      </c>
      <c r="D1034">
        <f>Sources!E1034</f>
        <v/>
      </c>
      <c r="E1034">
        <f>Sources!F1034</f>
        <v/>
      </c>
      <c r="F1034">
        <f>Sources!H1034</f>
        <v/>
      </c>
      <c r="G1034">
        <f>IF(ABS(F1034-ROUND(F1034,0))&lt;0.001,1,0)</f>
        <v/>
      </c>
      <c r="H1034">
        <f>IF(G1034=1,F1034,CEILING(F1034,1))</f>
        <v/>
      </c>
      <c r="I1034">
        <f>IF(G1034=1,0,(H1034-F1034)*E1034)</f>
        <v/>
      </c>
      <c r="J1034">
        <f>E1034*F1034</f>
        <v/>
      </c>
    </row>
    <row r="1035">
      <c r="A1035">
        <f>Sources!A1035</f>
        <v/>
      </c>
      <c r="B1035">
        <f>Sources!B1035</f>
        <v/>
      </c>
      <c r="C1035">
        <f>Sources!D1035</f>
        <v/>
      </c>
      <c r="D1035">
        <f>Sources!E1035</f>
        <v/>
      </c>
      <c r="E1035">
        <f>Sources!F1035</f>
        <v/>
      </c>
      <c r="F1035">
        <f>Sources!H1035</f>
        <v/>
      </c>
      <c r="G1035">
        <f>IF(ABS(F1035-ROUND(F1035,0))&lt;0.001,1,0)</f>
        <v/>
      </c>
      <c r="H1035">
        <f>IF(G1035=1,F1035,CEILING(F1035,1))</f>
        <v/>
      </c>
      <c r="I1035">
        <f>IF(G1035=1,0,(H1035-F1035)*E1035)</f>
        <v/>
      </c>
      <c r="J1035">
        <f>E1035*F1035</f>
        <v/>
      </c>
    </row>
    <row r="1036">
      <c r="A1036">
        <f>Sources!A1036</f>
        <v/>
      </c>
      <c r="B1036">
        <f>Sources!B1036</f>
        <v/>
      </c>
      <c r="C1036">
        <f>Sources!D1036</f>
        <v/>
      </c>
      <c r="D1036">
        <f>Sources!E1036</f>
        <v/>
      </c>
      <c r="E1036">
        <f>Sources!F1036</f>
        <v/>
      </c>
      <c r="F1036">
        <f>Sources!H1036</f>
        <v/>
      </c>
      <c r="G1036">
        <f>IF(ABS(F1036-ROUND(F1036,0))&lt;0.001,1,0)</f>
        <v/>
      </c>
      <c r="H1036">
        <f>IF(G1036=1,F1036,CEILING(F1036,1))</f>
        <v/>
      </c>
      <c r="I1036">
        <f>IF(G1036=1,0,(H1036-F1036)*E1036)</f>
        <v/>
      </c>
      <c r="J1036">
        <f>E1036*F1036</f>
        <v/>
      </c>
    </row>
    <row r="1037">
      <c r="A1037">
        <f>Sources!A1037</f>
        <v/>
      </c>
      <c r="B1037">
        <f>Sources!B1037</f>
        <v/>
      </c>
      <c r="C1037">
        <f>Sources!D1037</f>
        <v/>
      </c>
      <c r="D1037">
        <f>Sources!E1037</f>
        <v/>
      </c>
      <c r="E1037">
        <f>Sources!F1037</f>
        <v/>
      </c>
      <c r="F1037">
        <f>Sources!H1037</f>
        <v/>
      </c>
      <c r="G1037">
        <f>IF(ABS(F1037-ROUND(F1037,0))&lt;0.001,1,0)</f>
        <v/>
      </c>
      <c r="H1037">
        <f>IF(G1037=1,F1037,CEILING(F1037,1))</f>
        <v/>
      </c>
      <c r="I1037">
        <f>IF(G1037=1,0,(H1037-F1037)*E1037)</f>
        <v/>
      </c>
      <c r="J1037">
        <f>E1037*F1037</f>
        <v/>
      </c>
    </row>
    <row r="1038">
      <c r="A1038">
        <f>Sources!A1038</f>
        <v/>
      </c>
      <c r="B1038">
        <f>Sources!B1038</f>
        <v/>
      </c>
      <c r="C1038">
        <f>Sources!D1038</f>
        <v/>
      </c>
      <c r="D1038">
        <f>Sources!E1038</f>
        <v/>
      </c>
      <c r="E1038">
        <f>Sources!F1038</f>
        <v/>
      </c>
      <c r="F1038">
        <f>Sources!H1038</f>
        <v/>
      </c>
      <c r="G1038">
        <f>IF(ABS(F1038-ROUND(F1038,0))&lt;0.001,1,0)</f>
        <v/>
      </c>
      <c r="H1038">
        <f>IF(G1038=1,F1038,CEILING(F1038,1))</f>
        <v/>
      </c>
      <c r="I1038">
        <f>IF(G1038=1,0,(H1038-F1038)*E1038)</f>
        <v/>
      </c>
      <c r="J1038">
        <f>E1038*F1038</f>
        <v/>
      </c>
    </row>
    <row r="1039">
      <c r="A1039">
        <f>Sources!A1039</f>
        <v/>
      </c>
      <c r="B1039">
        <f>Sources!B1039</f>
        <v/>
      </c>
      <c r="C1039">
        <f>Sources!D1039</f>
        <v/>
      </c>
      <c r="D1039">
        <f>Sources!E1039</f>
        <v/>
      </c>
      <c r="E1039">
        <f>Sources!F1039</f>
        <v/>
      </c>
      <c r="F1039">
        <f>Sources!H1039</f>
        <v/>
      </c>
      <c r="G1039">
        <f>IF(ABS(F1039-ROUND(F1039,0))&lt;0.001,1,0)</f>
        <v/>
      </c>
      <c r="H1039">
        <f>IF(G1039=1,F1039,CEILING(F1039,1))</f>
        <v/>
      </c>
      <c r="I1039">
        <f>IF(G1039=1,0,(H1039-F1039)*E1039)</f>
        <v/>
      </c>
      <c r="J1039">
        <f>E1039*F1039</f>
        <v/>
      </c>
    </row>
    <row r="1040">
      <c r="A1040">
        <f>Sources!A1040</f>
        <v/>
      </c>
      <c r="B1040">
        <f>Sources!B1040</f>
        <v/>
      </c>
      <c r="C1040">
        <f>Sources!D1040</f>
        <v/>
      </c>
      <c r="D1040">
        <f>Sources!E1040</f>
        <v/>
      </c>
      <c r="E1040">
        <f>Sources!F1040</f>
        <v/>
      </c>
      <c r="F1040">
        <f>Sources!H1040</f>
        <v/>
      </c>
      <c r="G1040">
        <f>IF(ABS(F1040-ROUND(F1040,0))&lt;0.001,1,0)</f>
        <v/>
      </c>
      <c r="H1040">
        <f>IF(G1040=1,F1040,CEILING(F1040,1))</f>
        <v/>
      </c>
      <c r="I1040">
        <f>IF(G1040=1,0,(H1040-F1040)*E1040)</f>
        <v/>
      </c>
      <c r="J1040">
        <f>E1040*F1040</f>
        <v/>
      </c>
    </row>
    <row r="1041">
      <c r="A1041">
        <f>Sources!A1041</f>
        <v/>
      </c>
      <c r="B1041">
        <f>Sources!B1041</f>
        <v/>
      </c>
      <c r="C1041">
        <f>Sources!D1041</f>
        <v/>
      </c>
      <c r="D1041">
        <f>Sources!E1041</f>
        <v/>
      </c>
      <c r="E1041">
        <f>Sources!F1041</f>
        <v/>
      </c>
      <c r="F1041">
        <f>Sources!H1041</f>
        <v/>
      </c>
      <c r="G1041">
        <f>IF(ABS(F1041-ROUND(F1041,0))&lt;0.001,1,0)</f>
        <v/>
      </c>
      <c r="H1041">
        <f>IF(G1041=1,F1041,CEILING(F1041,1))</f>
        <v/>
      </c>
      <c r="I1041">
        <f>IF(G1041=1,0,(H1041-F1041)*E1041)</f>
        <v/>
      </c>
      <c r="J1041">
        <f>E1041*F1041</f>
        <v/>
      </c>
    </row>
    <row r="1042">
      <c r="A1042">
        <f>Sources!A1042</f>
        <v/>
      </c>
      <c r="B1042">
        <f>Sources!B1042</f>
        <v/>
      </c>
      <c r="C1042">
        <f>Sources!D1042</f>
        <v/>
      </c>
      <c r="D1042">
        <f>Sources!E1042</f>
        <v/>
      </c>
      <c r="E1042">
        <f>Sources!F1042</f>
        <v/>
      </c>
      <c r="F1042">
        <f>Sources!H1042</f>
        <v/>
      </c>
      <c r="G1042">
        <f>IF(ABS(F1042-ROUND(F1042,0))&lt;0.001,1,0)</f>
        <v/>
      </c>
      <c r="H1042">
        <f>IF(G1042=1,F1042,CEILING(F1042,1))</f>
        <v/>
      </c>
      <c r="I1042">
        <f>IF(G1042=1,0,(H1042-F1042)*E1042)</f>
        <v/>
      </c>
      <c r="J1042">
        <f>E1042*F1042</f>
        <v/>
      </c>
    </row>
    <row r="1043">
      <c r="A1043">
        <f>Sources!A1043</f>
        <v/>
      </c>
      <c r="B1043">
        <f>Sources!B1043</f>
        <v/>
      </c>
      <c r="C1043">
        <f>Sources!D1043</f>
        <v/>
      </c>
      <c r="D1043">
        <f>Sources!E1043</f>
        <v/>
      </c>
      <c r="E1043">
        <f>Sources!F1043</f>
        <v/>
      </c>
      <c r="F1043">
        <f>Sources!H1043</f>
        <v/>
      </c>
      <c r="G1043">
        <f>IF(ABS(F1043-ROUND(F1043,0))&lt;0.001,1,0)</f>
        <v/>
      </c>
      <c r="H1043">
        <f>IF(G1043=1,F1043,CEILING(F1043,1))</f>
        <v/>
      </c>
      <c r="I1043">
        <f>IF(G1043=1,0,(H1043-F1043)*E1043)</f>
        <v/>
      </c>
      <c r="J1043">
        <f>E1043*F1043</f>
        <v/>
      </c>
    </row>
    <row r="1044">
      <c r="A1044">
        <f>Sources!A1044</f>
        <v/>
      </c>
      <c r="B1044">
        <f>Sources!B1044</f>
        <v/>
      </c>
      <c r="C1044">
        <f>Sources!D1044</f>
        <v/>
      </c>
      <c r="D1044">
        <f>Sources!E1044</f>
        <v/>
      </c>
      <c r="E1044">
        <f>Sources!F1044</f>
        <v/>
      </c>
      <c r="F1044">
        <f>Sources!H1044</f>
        <v/>
      </c>
      <c r="G1044">
        <f>IF(ABS(F1044-ROUND(F1044,0))&lt;0.001,1,0)</f>
        <v/>
      </c>
      <c r="H1044">
        <f>IF(G1044=1,F1044,CEILING(F1044,1))</f>
        <v/>
      </c>
      <c r="I1044">
        <f>IF(G1044=1,0,(H1044-F1044)*E1044)</f>
        <v/>
      </c>
      <c r="J1044">
        <f>E1044*F1044</f>
        <v/>
      </c>
    </row>
    <row r="1045">
      <c r="A1045">
        <f>Sources!A1045</f>
        <v/>
      </c>
      <c r="B1045">
        <f>Sources!B1045</f>
        <v/>
      </c>
      <c r="C1045">
        <f>Sources!D1045</f>
        <v/>
      </c>
      <c r="D1045">
        <f>Sources!E1045</f>
        <v/>
      </c>
      <c r="E1045">
        <f>Sources!F1045</f>
        <v/>
      </c>
      <c r="F1045">
        <f>Sources!H1045</f>
        <v/>
      </c>
      <c r="G1045">
        <f>IF(ABS(F1045-ROUND(F1045,0))&lt;0.001,1,0)</f>
        <v/>
      </c>
      <c r="H1045">
        <f>IF(G1045=1,F1045,CEILING(F1045,1))</f>
        <v/>
      </c>
      <c r="I1045">
        <f>IF(G1045=1,0,(H1045-F1045)*E1045)</f>
        <v/>
      </c>
      <c r="J1045">
        <f>E1045*F1045</f>
        <v/>
      </c>
    </row>
    <row r="1046">
      <c r="A1046">
        <f>Sources!A1046</f>
        <v/>
      </c>
      <c r="B1046">
        <f>Sources!B1046</f>
        <v/>
      </c>
      <c r="C1046">
        <f>Sources!D1046</f>
        <v/>
      </c>
      <c r="D1046">
        <f>Sources!E1046</f>
        <v/>
      </c>
      <c r="E1046">
        <f>Sources!F1046</f>
        <v/>
      </c>
      <c r="F1046">
        <f>Sources!H1046</f>
        <v/>
      </c>
      <c r="G1046">
        <f>IF(ABS(F1046-ROUND(F1046,0))&lt;0.001,1,0)</f>
        <v/>
      </c>
      <c r="H1046">
        <f>IF(G1046=1,F1046,CEILING(F1046,1))</f>
        <v/>
      </c>
      <c r="I1046">
        <f>IF(G1046=1,0,(H1046-F1046)*E1046)</f>
        <v/>
      </c>
      <c r="J1046">
        <f>E1046*F1046</f>
        <v/>
      </c>
    </row>
    <row r="1047">
      <c r="A1047">
        <f>Sources!A1047</f>
        <v/>
      </c>
      <c r="B1047">
        <f>Sources!B1047</f>
        <v/>
      </c>
      <c r="C1047">
        <f>Sources!D1047</f>
        <v/>
      </c>
      <c r="D1047">
        <f>Sources!E1047</f>
        <v/>
      </c>
      <c r="E1047">
        <f>Sources!F1047</f>
        <v/>
      </c>
      <c r="F1047">
        <f>Sources!H1047</f>
        <v/>
      </c>
      <c r="G1047">
        <f>IF(ABS(F1047-ROUND(F1047,0))&lt;0.001,1,0)</f>
        <v/>
      </c>
      <c r="H1047">
        <f>IF(G1047=1,F1047,CEILING(F1047,1))</f>
        <v/>
      </c>
      <c r="I1047">
        <f>IF(G1047=1,0,(H1047-F1047)*E1047)</f>
        <v/>
      </c>
      <c r="J1047">
        <f>E1047*F1047</f>
        <v/>
      </c>
    </row>
    <row r="1048">
      <c r="A1048">
        <f>Sources!A1048</f>
        <v/>
      </c>
      <c r="B1048">
        <f>Sources!B1048</f>
        <v/>
      </c>
      <c r="C1048">
        <f>Sources!D1048</f>
        <v/>
      </c>
      <c r="D1048">
        <f>Sources!E1048</f>
        <v/>
      </c>
      <c r="E1048">
        <f>Sources!F1048</f>
        <v/>
      </c>
      <c r="F1048">
        <f>Sources!H1048</f>
        <v/>
      </c>
      <c r="G1048">
        <f>IF(ABS(F1048-ROUND(F1048,0))&lt;0.001,1,0)</f>
        <v/>
      </c>
      <c r="H1048">
        <f>IF(G1048=1,F1048,CEILING(F1048,1))</f>
        <v/>
      </c>
      <c r="I1048">
        <f>IF(G1048=1,0,(H1048-F1048)*E1048)</f>
        <v/>
      </c>
      <c r="J1048">
        <f>E1048*F1048</f>
        <v/>
      </c>
    </row>
    <row r="1049">
      <c r="A1049">
        <f>Sources!A1049</f>
        <v/>
      </c>
      <c r="B1049">
        <f>Sources!B1049</f>
        <v/>
      </c>
      <c r="C1049">
        <f>Sources!D1049</f>
        <v/>
      </c>
      <c r="D1049">
        <f>Sources!E1049</f>
        <v/>
      </c>
      <c r="E1049">
        <f>Sources!F1049</f>
        <v/>
      </c>
      <c r="F1049">
        <f>Sources!H1049</f>
        <v/>
      </c>
      <c r="G1049">
        <f>IF(ABS(F1049-ROUND(F1049,0))&lt;0.001,1,0)</f>
        <v/>
      </c>
      <c r="H1049">
        <f>IF(G1049=1,F1049,CEILING(F1049,1))</f>
        <v/>
      </c>
      <c r="I1049">
        <f>IF(G1049=1,0,(H1049-F1049)*E1049)</f>
        <v/>
      </c>
      <c r="J1049">
        <f>E1049*F1049</f>
        <v/>
      </c>
    </row>
    <row r="1050">
      <c r="A1050">
        <f>Sources!A1050</f>
        <v/>
      </c>
      <c r="B1050">
        <f>Sources!B1050</f>
        <v/>
      </c>
      <c r="C1050">
        <f>Sources!D1050</f>
        <v/>
      </c>
      <c r="D1050">
        <f>Sources!E1050</f>
        <v/>
      </c>
      <c r="E1050">
        <f>Sources!F1050</f>
        <v/>
      </c>
      <c r="F1050">
        <f>Sources!H1050</f>
        <v/>
      </c>
      <c r="G1050">
        <f>IF(ABS(F1050-ROUND(F1050,0))&lt;0.001,1,0)</f>
        <v/>
      </c>
      <c r="H1050">
        <f>IF(G1050=1,F1050,CEILING(F1050,1))</f>
        <v/>
      </c>
      <c r="I1050">
        <f>IF(G1050=1,0,(H1050-F1050)*E1050)</f>
        <v/>
      </c>
      <c r="J1050">
        <f>E1050*F1050</f>
        <v/>
      </c>
    </row>
    <row r="1051">
      <c r="A1051">
        <f>Sources!A1051</f>
        <v/>
      </c>
      <c r="B1051">
        <f>Sources!B1051</f>
        <v/>
      </c>
      <c r="C1051">
        <f>Sources!D1051</f>
        <v/>
      </c>
      <c r="D1051">
        <f>Sources!E1051</f>
        <v/>
      </c>
      <c r="E1051">
        <f>Sources!F1051</f>
        <v/>
      </c>
      <c r="F1051">
        <f>Sources!H1051</f>
        <v/>
      </c>
      <c r="G1051">
        <f>IF(ABS(F1051-ROUND(F1051,0))&lt;0.001,1,0)</f>
        <v/>
      </c>
      <c r="H1051">
        <f>IF(G1051=1,F1051,CEILING(F1051,1))</f>
        <v/>
      </c>
      <c r="I1051">
        <f>IF(G1051=1,0,(H1051-F1051)*E1051)</f>
        <v/>
      </c>
      <c r="J1051">
        <f>E1051*F1051</f>
        <v/>
      </c>
    </row>
    <row r="1052">
      <c r="A1052">
        <f>Sources!A1052</f>
        <v/>
      </c>
      <c r="B1052">
        <f>Sources!B1052</f>
        <v/>
      </c>
      <c r="C1052">
        <f>Sources!D1052</f>
        <v/>
      </c>
      <c r="D1052">
        <f>Sources!E1052</f>
        <v/>
      </c>
      <c r="E1052">
        <f>Sources!F1052</f>
        <v/>
      </c>
      <c r="F1052">
        <f>Sources!H1052</f>
        <v/>
      </c>
      <c r="G1052">
        <f>IF(ABS(F1052-ROUND(F1052,0))&lt;0.001,1,0)</f>
        <v/>
      </c>
      <c r="H1052">
        <f>IF(G1052=1,F1052,CEILING(F1052,1))</f>
        <v/>
      </c>
      <c r="I1052">
        <f>IF(G1052=1,0,(H1052-F1052)*E1052)</f>
        <v/>
      </c>
      <c r="J1052">
        <f>E1052*F1052</f>
        <v/>
      </c>
    </row>
    <row r="1053">
      <c r="A1053">
        <f>Sources!A1053</f>
        <v/>
      </c>
      <c r="B1053">
        <f>Sources!B1053</f>
        <v/>
      </c>
      <c r="C1053">
        <f>Sources!D1053</f>
        <v/>
      </c>
      <c r="D1053">
        <f>Sources!E1053</f>
        <v/>
      </c>
      <c r="E1053">
        <f>Sources!F1053</f>
        <v/>
      </c>
      <c r="F1053">
        <f>Sources!H1053</f>
        <v/>
      </c>
      <c r="G1053">
        <f>IF(ABS(F1053-ROUND(F1053,0))&lt;0.001,1,0)</f>
        <v/>
      </c>
      <c r="H1053">
        <f>IF(G1053=1,F1053,CEILING(F1053,1))</f>
        <v/>
      </c>
      <c r="I1053">
        <f>IF(G1053=1,0,(H1053-F1053)*E1053)</f>
        <v/>
      </c>
      <c r="J1053">
        <f>E1053*F1053</f>
        <v/>
      </c>
    </row>
    <row r="1054">
      <c r="A1054">
        <f>Sources!A1054</f>
        <v/>
      </c>
      <c r="B1054">
        <f>Sources!B1054</f>
        <v/>
      </c>
      <c r="C1054">
        <f>Sources!D1054</f>
        <v/>
      </c>
      <c r="D1054">
        <f>Sources!E1054</f>
        <v/>
      </c>
      <c r="E1054">
        <f>Sources!F1054</f>
        <v/>
      </c>
      <c r="F1054">
        <f>Sources!H1054</f>
        <v/>
      </c>
      <c r="G1054">
        <f>IF(ABS(F1054-ROUND(F1054,0))&lt;0.001,1,0)</f>
        <v/>
      </c>
      <c r="H1054">
        <f>IF(G1054=1,F1054,CEILING(F1054,1))</f>
        <v/>
      </c>
      <c r="I1054">
        <f>IF(G1054=1,0,(H1054-F1054)*E1054)</f>
        <v/>
      </c>
      <c r="J1054">
        <f>E1054*F1054</f>
        <v/>
      </c>
    </row>
    <row r="1055">
      <c r="A1055">
        <f>Sources!A1055</f>
        <v/>
      </c>
      <c r="B1055">
        <f>Sources!B1055</f>
        <v/>
      </c>
      <c r="C1055">
        <f>Sources!D1055</f>
        <v/>
      </c>
      <c r="D1055">
        <f>Sources!E1055</f>
        <v/>
      </c>
      <c r="E1055">
        <f>Sources!F1055</f>
        <v/>
      </c>
      <c r="F1055">
        <f>Sources!H1055</f>
        <v/>
      </c>
      <c r="G1055">
        <f>IF(ABS(F1055-ROUND(F1055,0))&lt;0.001,1,0)</f>
        <v/>
      </c>
      <c r="H1055">
        <f>IF(G1055=1,F1055,CEILING(F1055,1))</f>
        <v/>
      </c>
      <c r="I1055">
        <f>IF(G1055=1,0,(H1055-F1055)*E1055)</f>
        <v/>
      </c>
      <c r="J1055">
        <f>E1055*F1055</f>
        <v/>
      </c>
    </row>
    <row r="1056">
      <c r="A1056">
        <f>Sources!A1056</f>
        <v/>
      </c>
      <c r="B1056">
        <f>Sources!B1056</f>
        <v/>
      </c>
      <c r="C1056">
        <f>Sources!D1056</f>
        <v/>
      </c>
      <c r="D1056">
        <f>Sources!E1056</f>
        <v/>
      </c>
      <c r="E1056">
        <f>Sources!F1056</f>
        <v/>
      </c>
      <c r="F1056">
        <f>Sources!H1056</f>
        <v/>
      </c>
      <c r="G1056">
        <f>IF(ABS(F1056-ROUND(F1056,0))&lt;0.001,1,0)</f>
        <v/>
      </c>
      <c r="H1056">
        <f>IF(G1056=1,F1056,CEILING(F1056,1))</f>
        <v/>
      </c>
      <c r="I1056">
        <f>IF(G1056=1,0,(H1056-F1056)*E1056)</f>
        <v/>
      </c>
      <c r="J1056">
        <f>E1056*F1056</f>
        <v/>
      </c>
    </row>
    <row r="1057">
      <c r="A1057">
        <f>Sources!A1057</f>
        <v/>
      </c>
      <c r="B1057">
        <f>Sources!B1057</f>
        <v/>
      </c>
      <c r="C1057">
        <f>Sources!D1057</f>
        <v/>
      </c>
      <c r="D1057">
        <f>Sources!E1057</f>
        <v/>
      </c>
      <c r="E1057">
        <f>Sources!F1057</f>
        <v/>
      </c>
      <c r="F1057">
        <f>Sources!H1057</f>
        <v/>
      </c>
      <c r="G1057">
        <f>IF(ABS(F1057-ROUND(F1057,0))&lt;0.001,1,0)</f>
        <v/>
      </c>
      <c r="H1057">
        <f>IF(G1057=1,F1057,CEILING(F1057,1))</f>
        <v/>
      </c>
      <c r="I1057">
        <f>IF(G1057=1,0,(H1057-F1057)*E1057)</f>
        <v/>
      </c>
      <c r="J1057">
        <f>E1057*F1057</f>
        <v/>
      </c>
    </row>
    <row r="1058">
      <c r="A1058">
        <f>Sources!A1058</f>
        <v/>
      </c>
      <c r="B1058">
        <f>Sources!B1058</f>
        <v/>
      </c>
      <c r="C1058">
        <f>Sources!D1058</f>
        <v/>
      </c>
      <c r="D1058">
        <f>Sources!E1058</f>
        <v/>
      </c>
      <c r="E1058">
        <f>Sources!F1058</f>
        <v/>
      </c>
      <c r="F1058">
        <f>Sources!H1058</f>
        <v/>
      </c>
      <c r="G1058">
        <f>IF(ABS(F1058-ROUND(F1058,0))&lt;0.001,1,0)</f>
        <v/>
      </c>
      <c r="H1058">
        <f>IF(G1058=1,F1058,CEILING(F1058,1))</f>
        <v/>
      </c>
      <c r="I1058">
        <f>IF(G1058=1,0,(H1058-F1058)*E1058)</f>
        <v/>
      </c>
      <c r="J1058">
        <f>E1058*F1058</f>
        <v/>
      </c>
    </row>
    <row r="1059">
      <c r="A1059">
        <f>Sources!A1059</f>
        <v/>
      </c>
      <c r="B1059">
        <f>Sources!B1059</f>
        <v/>
      </c>
      <c r="C1059">
        <f>Sources!D1059</f>
        <v/>
      </c>
      <c r="D1059">
        <f>Sources!E1059</f>
        <v/>
      </c>
      <c r="E1059">
        <f>Sources!F1059</f>
        <v/>
      </c>
      <c r="F1059">
        <f>Sources!H1059</f>
        <v/>
      </c>
      <c r="G1059">
        <f>IF(ABS(F1059-ROUND(F1059,0))&lt;0.001,1,0)</f>
        <v/>
      </c>
      <c r="H1059">
        <f>IF(G1059=1,F1059,CEILING(F1059,1))</f>
        <v/>
      </c>
      <c r="I1059">
        <f>IF(G1059=1,0,(H1059-F1059)*E1059)</f>
        <v/>
      </c>
      <c r="J1059">
        <f>E1059*F1059</f>
        <v/>
      </c>
    </row>
    <row r="1060">
      <c r="A1060">
        <f>Sources!A1060</f>
        <v/>
      </c>
      <c r="B1060">
        <f>Sources!B1060</f>
        <v/>
      </c>
      <c r="C1060">
        <f>Sources!D1060</f>
        <v/>
      </c>
      <c r="D1060">
        <f>Sources!E1060</f>
        <v/>
      </c>
      <c r="E1060">
        <f>Sources!F1060</f>
        <v/>
      </c>
      <c r="F1060">
        <f>Sources!H1060</f>
        <v/>
      </c>
      <c r="G1060">
        <f>IF(ABS(F1060-ROUND(F1060,0))&lt;0.001,1,0)</f>
        <v/>
      </c>
      <c r="H1060">
        <f>IF(G1060=1,F1060,CEILING(F1060,1))</f>
        <v/>
      </c>
      <c r="I1060">
        <f>IF(G1060=1,0,(H1060-F1060)*E1060)</f>
        <v/>
      </c>
      <c r="J1060">
        <f>E1060*F1060</f>
        <v/>
      </c>
    </row>
    <row r="1061">
      <c r="A1061">
        <f>Sources!A1061</f>
        <v/>
      </c>
      <c r="B1061">
        <f>Sources!B1061</f>
        <v/>
      </c>
      <c r="C1061">
        <f>Sources!D1061</f>
        <v/>
      </c>
      <c r="D1061">
        <f>Sources!E1061</f>
        <v/>
      </c>
      <c r="E1061">
        <f>Sources!F1061</f>
        <v/>
      </c>
      <c r="F1061">
        <f>Sources!H1061</f>
        <v/>
      </c>
      <c r="G1061">
        <f>IF(ABS(F1061-ROUND(F1061,0))&lt;0.001,1,0)</f>
        <v/>
      </c>
      <c r="H1061">
        <f>IF(G1061=1,F1061,CEILING(F1061,1))</f>
        <v/>
      </c>
      <c r="I1061">
        <f>IF(G1061=1,0,(H1061-F1061)*E1061)</f>
        <v/>
      </c>
      <c r="J1061">
        <f>E1061*F1061</f>
        <v/>
      </c>
    </row>
    <row r="1062">
      <c r="A1062">
        <f>Sources!A1062</f>
        <v/>
      </c>
      <c r="B1062">
        <f>Sources!B1062</f>
        <v/>
      </c>
      <c r="C1062">
        <f>Sources!D1062</f>
        <v/>
      </c>
      <c r="D1062">
        <f>Sources!E1062</f>
        <v/>
      </c>
      <c r="E1062">
        <f>Sources!F1062</f>
        <v/>
      </c>
      <c r="F1062">
        <f>Sources!H1062</f>
        <v/>
      </c>
      <c r="G1062">
        <f>IF(ABS(F1062-ROUND(F1062,0))&lt;0.001,1,0)</f>
        <v/>
      </c>
      <c r="H1062">
        <f>IF(G1062=1,F1062,CEILING(F1062,1))</f>
        <v/>
      </c>
      <c r="I1062">
        <f>IF(G1062=1,0,(H1062-F1062)*E1062)</f>
        <v/>
      </c>
      <c r="J1062">
        <f>E1062*F1062</f>
        <v/>
      </c>
    </row>
    <row r="1063">
      <c r="A1063">
        <f>Sources!A1063</f>
        <v/>
      </c>
      <c r="B1063">
        <f>Sources!B1063</f>
        <v/>
      </c>
      <c r="C1063">
        <f>Sources!D1063</f>
        <v/>
      </c>
      <c r="D1063">
        <f>Sources!E1063</f>
        <v/>
      </c>
      <c r="E1063">
        <f>Sources!F1063</f>
        <v/>
      </c>
      <c r="F1063">
        <f>Sources!H1063</f>
        <v/>
      </c>
      <c r="G1063">
        <f>IF(ABS(F1063-ROUND(F1063,0))&lt;0.001,1,0)</f>
        <v/>
      </c>
      <c r="H1063">
        <f>IF(G1063=1,F1063,CEILING(F1063,1))</f>
        <v/>
      </c>
      <c r="I1063">
        <f>IF(G1063=1,0,(H1063-F1063)*E1063)</f>
        <v/>
      </c>
      <c r="J1063">
        <f>E1063*F1063</f>
        <v/>
      </c>
    </row>
    <row r="1064">
      <c r="A1064">
        <f>Sources!A1064</f>
        <v/>
      </c>
      <c r="B1064">
        <f>Sources!B1064</f>
        <v/>
      </c>
      <c r="C1064">
        <f>Sources!D1064</f>
        <v/>
      </c>
      <c r="D1064">
        <f>Sources!E1064</f>
        <v/>
      </c>
      <c r="E1064">
        <f>Sources!F1064</f>
        <v/>
      </c>
      <c r="F1064">
        <f>Sources!H1064</f>
        <v/>
      </c>
      <c r="G1064">
        <f>IF(ABS(F1064-ROUND(F1064,0))&lt;0.001,1,0)</f>
        <v/>
      </c>
      <c r="H1064">
        <f>IF(G1064=1,F1064,CEILING(F1064,1))</f>
        <v/>
      </c>
      <c r="I1064">
        <f>IF(G1064=1,0,(H1064-F1064)*E1064)</f>
        <v/>
      </c>
      <c r="J1064">
        <f>E1064*F1064</f>
        <v/>
      </c>
    </row>
    <row r="1065">
      <c r="A1065">
        <f>Sources!A1065</f>
        <v/>
      </c>
      <c r="B1065">
        <f>Sources!B1065</f>
        <v/>
      </c>
      <c r="C1065">
        <f>Sources!D1065</f>
        <v/>
      </c>
      <c r="D1065">
        <f>Sources!E1065</f>
        <v/>
      </c>
      <c r="E1065">
        <f>Sources!F1065</f>
        <v/>
      </c>
      <c r="F1065">
        <f>Sources!H1065</f>
        <v/>
      </c>
      <c r="G1065">
        <f>IF(ABS(F1065-ROUND(F1065,0))&lt;0.001,1,0)</f>
        <v/>
      </c>
      <c r="H1065">
        <f>IF(G1065=1,F1065,CEILING(F1065,1))</f>
        <v/>
      </c>
      <c r="I1065">
        <f>IF(G1065=1,0,(H1065-F1065)*E1065)</f>
        <v/>
      </c>
      <c r="J1065">
        <f>E1065*F1065</f>
        <v/>
      </c>
    </row>
    <row r="1066">
      <c r="A1066">
        <f>Sources!A1066</f>
        <v/>
      </c>
      <c r="B1066">
        <f>Sources!B1066</f>
        <v/>
      </c>
      <c r="C1066">
        <f>Sources!D1066</f>
        <v/>
      </c>
      <c r="D1066">
        <f>Sources!E1066</f>
        <v/>
      </c>
      <c r="E1066">
        <f>Sources!F1066</f>
        <v/>
      </c>
      <c r="F1066">
        <f>Sources!H1066</f>
        <v/>
      </c>
      <c r="G1066">
        <f>IF(ABS(F1066-ROUND(F1066,0))&lt;0.001,1,0)</f>
        <v/>
      </c>
      <c r="H1066">
        <f>IF(G1066=1,F1066,CEILING(F1066,1))</f>
        <v/>
      </c>
      <c r="I1066">
        <f>IF(G1066=1,0,(H1066-F1066)*E1066)</f>
        <v/>
      </c>
      <c r="J1066">
        <f>E1066*F1066</f>
        <v/>
      </c>
    </row>
    <row r="1067">
      <c r="A1067">
        <f>Sources!A1067</f>
        <v/>
      </c>
      <c r="B1067">
        <f>Sources!B1067</f>
        <v/>
      </c>
      <c r="C1067">
        <f>Sources!D1067</f>
        <v/>
      </c>
      <c r="D1067">
        <f>Sources!E1067</f>
        <v/>
      </c>
      <c r="E1067">
        <f>Sources!F1067</f>
        <v/>
      </c>
      <c r="F1067">
        <f>Sources!H1067</f>
        <v/>
      </c>
      <c r="G1067">
        <f>IF(ABS(F1067-ROUND(F1067,0))&lt;0.001,1,0)</f>
        <v/>
      </c>
      <c r="H1067">
        <f>IF(G1067=1,F1067,CEILING(F1067,1))</f>
        <v/>
      </c>
      <c r="I1067">
        <f>IF(G1067=1,0,(H1067-F1067)*E1067)</f>
        <v/>
      </c>
      <c r="J1067">
        <f>E1067*F1067</f>
        <v/>
      </c>
    </row>
    <row r="1068">
      <c r="A1068">
        <f>Sources!A1068</f>
        <v/>
      </c>
      <c r="B1068">
        <f>Sources!B1068</f>
        <v/>
      </c>
      <c r="C1068">
        <f>Sources!D1068</f>
        <v/>
      </c>
      <c r="D1068">
        <f>Sources!E1068</f>
        <v/>
      </c>
      <c r="E1068">
        <f>Sources!F1068</f>
        <v/>
      </c>
      <c r="F1068">
        <f>Sources!H1068</f>
        <v/>
      </c>
      <c r="G1068">
        <f>IF(ABS(F1068-ROUND(F1068,0))&lt;0.001,1,0)</f>
        <v/>
      </c>
      <c r="H1068">
        <f>IF(G1068=1,F1068,CEILING(F1068,1))</f>
        <v/>
      </c>
      <c r="I1068">
        <f>IF(G1068=1,0,(H1068-F1068)*E1068)</f>
        <v/>
      </c>
      <c r="J1068">
        <f>E1068*F1068</f>
        <v/>
      </c>
    </row>
    <row r="1069">
      <c r="A1069">
        <f>Sources!A1069</f>
        <v/>
      </c>
      <c r="B1069">
        <f>Sources!B1069</f>
        <v/>
      </c>
      <c r="C1069">
        <f>Sources!D1069</f>
        <v/>
      </c>
      <c r="D1069">
        <f>Sources!E1069</f>
        <v/>
      </c>
      <c r="E1069">
        <f>Sources!F1069</f>
        <v/>
      </c>
      <c r="F1069">
        <f>Sources!H1069</f>
        <v/>
      </c>
      <c r="G1069">
        <f>IF(ABS(F1069-ROUND(F1069,0))&lt;0.001,1,0)</f>
        <v/>
      </c>
      <c r="H1069">
        <f>IF(G1069=1,F1069,CEILING(F1069,1))</f>
        <v/>
      </c>
      <c r="I1069">
        <f>IF(G1069=1,0,(H1069-F1069)*E1069)</f>
        <v/>
      </c>
      <c r="J1069">
        <f>E1069*F1069</f>
        <v/>
      </c>
    </row>
    <row r="1070">
      <c r="A1070">
        <f>Sources!A1070</f>
        <v/>
      </c>
      <c r="B1070">
        <f>Sources!B1070</f>
        <v/>
      </c>
      <c r="C1070">
        <f>Sources!D1070</f>
        <v/>
      </c>
      <c r="D1070">
        <f>Sources!E1070</f>
        <v/>
      </c>
      <c r="E1070">
        <f>Sources!F1070</f>
        <v/>
      </c>
      <c r="F1070">
        <f>Sources!H1070</f>
        <v/>
      </c>
      <c r="G1070">
        <f>IF(ABS(F1070-ROUND(F1070,0))&lt;0.001,1,0)</f>
        <v/>
      </c>
      <c r="H1070">
        <f>IF(G1070=1,F1070,CEILING(F1070,1))</f>
        <v/>
      </c>
      <c r="I1070">
        <f>IF(G1070=1,0,(H1070-F1070)*E1070)</f>
        <v/>
      </c>
      <c r="J1070">
        <f>E1070*F1070</f>
        <v/>
      </c>
    </row>
    <row r="1071">
      <c r="A1071">
        <f>Sources!A1071</f>
        <v/>
      </c>
      <c r="B1071">
        <f>Sources!B1071</f>
        <v/>
      </c>
      <c r="C1071">
        <f>Sources!D1071</f>
        <v/>
      </c>
      <c r="D1071">
        <f>Sources!E1071</f>
        <v/>
      </c>
      <c r="E1071">
        <f>Sources!F1071</f>
        <v/>
      </c>
      <c r="F1071">
        <f>Sources!H1071</f>
        <v/>
      </c>
      <c r="G1071">
        <f>IF(ABS(F1071-ROUND(F1071,0))&lt;0.001,1,0)</f>
        <v/>
      </c>
      <c r="H1071">
        <f>IF(G1071=1,F1071,CEILING(F1071,1))</f>
        <v/>
      </c>
      <c r="I1071">
        <f>IF(G1071=1,0,(H1071-F1071)*E1071)</f>
        <v/>
      </c>
      <c r="J1071">
        <f>E1071*F1071</f>
        <v/>
      </c>
    </row>
    <row r="1072">
      <c r="A1072">
        <f>Sources!A1072</f>
        <v/>
      </c>
      <c r="B1072">
        <f>Sources!B1072</f>
        <v/>
      </c>
      <c r="C1072">
        <f>Sources!D1072</f>
        <v/>
      </c>
      <c r="D1072">
        <f>Sources!E1072</f>
        <v/>
      </c>
      <c r="E1072">
        <f>Sources!F1072</f>
        <v/>
      </c>
      <c r="F1072">
        <f>Sources!H1072</f>
        <v/>
      </c>
      <c r="G1072">
        <f>IF(ABS(F1072-ROUND(F1072,0))&lt;0.001,1,0)</f>
        <v/>
      </c>
      <c r="H1072">
        <f>IF(G1072=1,F1072,CEILING(F1072,1))</f>
        <v/>
      </c>
      <c r="I1072">
        <f>IF(G1072=1,0,(H1072-F1072)*E1072)</f>
        <v/>
      </c>
      <c r="J1072">
        <f>E1072*F1072</f>
        <v/>
      </c>
    </row>
    <row r="1073">
      <c r="A1073">
        <f>Sources!A1073</f>
        <v/>
      </c>
      <c r="B1073">
        <f>Sources!B1073</f>
        <v/>
      </c>
      <c r="C1073">
        <f>Sources!D1073</f>
        <v/>
      </c>
      <c r="D1073">
        <f>Sources!E1073</f>
        <v/>
      </c>
      <c r="E1073">
        <f>Sources!F1073</f>
        <v/>
      </c>
      <c r="F1073">
        <f>Sources!H1073</f>
        <v/>
      </c>
      <c r="G1073">
        <f>IF(ABS(F1073-ROUND(F1073,0))&lt;0.001,1,0)</f>
        <v/>
      </c>
      <c r="H1073">
        <f>IF(G1073=1,F1073,CEILING(F1073,1))</f>
        <v/>
      </c>
      <c r="I1073">
        <f>IF(G1073=1,0,(H1073-F1073)*E1073)</f>
        <v/>
      </c>
      <c r="J1073">
        <f>E1073*F1073</f>
        <v/>
      </c>
    </row>
    <row r="1074">
      <c r="A1074">
        <f>Sources!A1074</f>
        <v/>
      </c>
      <c r="B1074">
        <f>Sources!B1074</f>
        <v/>
      </c>
      <c r="C1074">
        <f>Sources!D1074</f>
        <v/>
      </c>
      <c r="D1074">
        <f>Sources!E1074</f>
        <v/>
      </c>
      <c r="E1074">
        <f>Sources!F1074</f>
        <v/>
      </c>
      <c r="F1074">
        <f>Sources!H1074</f>
        <v/>
      </c>
      <c r="G1074">
        <f>IF(ABS(F1074-ROUND(F1074,0))&lt;0.001,1,0)</f>
        <v/>
      </c>
      <c r="H1074">
        <f>IF(G1074=1,F1074,CEILING(F1074,1))</f>
        <v/>
      </c>
      <c r="I1074">
        <f>IF(G1074=1,0,(H1074-F1074)*E1074)</f>
        <v/>
      </c>
      <c r="J1074">
        <f>E1074*F1074</f>
        <v/>
      </c>
    </row>
    <row r="1075">
      <c r="A1075">
        <f>Sources!A1075</f>
        <v/>
      </c>
      <c r="B1075">
        <f>Sources!B1075</f>
        <v/>
      </c>
      <c r="C1075">
        <f>Sources!D1075</f>
        <v/>
      </c>
      <c r="D1075">
        <f>Sources!E1075</f>
        <v/>
      </c>
      <c r="E1075">
        <f>Sources!F1075</f>
        <v/>
      </c>
      <c r="F1075">
        <f>Sources!H1075</f>
        <v/>
      </c>
      <c r="G1075">
        <f>IF(ABS(F1075-ROUND(F1075,0))&lt;0.001,1,0)</f>
        <v/>
      </c>
      <c r="H1075">
        <f>IF(G1075=1,F1075,CEILING(F1075,1))</f>
        <v/>
      </c>
      <c r="I1075">
        <f>IF(G1075=1,0,(H1075-F1075)*E1075)</f>
        <v/>
      </c>
      <c r="J1075">
        <f>E1075*F1075</f>
        <v/>
      </c>
    </row>
    <row r="1076">
      <c r="A1076">
        <f>Sources!A1076</f>
        <v/>
      </c>
      <c r="B1076">
        <f>Sources!B1076</f>
        <v/>
      </c>
      <c r="C1076">
        <f>Sources!D1076</f>
        <v/>
      </c>
      <c r="D1076">
        <f>Sources!E1076</f>
        <v/>
      </c>
      <c r="E1076">
        <f>Sources!F1076</f>
        <v/>
      </c>
      <c r="F1076">
        <f>Sources!H1076</f>
        <v/>
      </c>
      <c r="G1076">
        <f>IF(ABS(F1076-ROUND(F1076,0))&lt;0.001,1,0)</f>
        <v/>
      </c>
      <c r="H1076">
        <f>IF(G1076=1,F1076,CEILING(F1076,1))</f>
        <v/>
      </c>
      <c r="I1076">
        <f>IF(G1076=1,0,(H1076-F1076)*E1076)</f>
        <v/>
      </c>
      <c r="J1076">
        <f>E1076*F1076</f>
        <v/>
      </c>
    </row>
    <row r="1077">
      <c r="A1077">
        <f>Sources!A1077</f>
        <v/>
      </c>
      <c r="B1077">
        <f>Sources!B1077</f>
        <v/>
      </c>
      <c r="C1077">
        <f>Sources!D1077</f>
        <v/>
      </c>
      <c r="D1077">
        <f>Sources!E1077</f>
        <v/>
      </c>
      <c r="E1077">
        <f>Sources!F1077</f>
        <v/>
      </c>
      <c r="F1077">
        <f>Sources!H1077</f>
        <v/>
      </c>
      <c r="G1077">
        <f>IF(ABS(F1077-ROUND(F1077,0))&lt;0.001,1,0)</f>
        <v/>
      </c>
      <c r="H1077">
        <f>IF(G1077=1,F1077,CEILING(F1077,1))</f>
        <v/>
      </c>
      <c r="I1077">
        <f>IF(G1077=1,0,(H1077-F1077)*E1077)</f>
        <v/>
      </c>
      <c r="J1077">
        <f>E1077*F1077</f>
        <v/>
      </c>
    </row>
    <row r="1078">
      <c r="A1078">
        <f>Sources!A1078</f>
        <v/>
      </c>
      <c r="B1078">
        <f>Sources!B1078</f>
        <v/>
      </c>
      <c r="C1078">
        <f>Sources!D1078</f>
        <v/>
      </c>
      <c r="D1078">
        <f>Sources!E1078</f>
        <v/>
      </c>
      <c r="E1078">
        <f>Sources!F1078</f>
        <v/>
      </c>
      <c r="F1078">
        <f>Sources!H1078</f>
        <v/>
      </c>
      <c r="G1078">
        <f>IF(ABS(F1078-ROUND(F1078,0))&lt;0.001,1,0)</f>
        <v/>
      </c>
      <c r="H1078">
        <f>IF(G1078=1,F1078,CEILING(F1078,1))</f>
        <v/>
      </c>
      <c r="I1078">
        <f>IF(G1078=1,0,(H1078-F1078)*E1078)</f>
        <v/>
      </c>
      <c r="J1078">
        <f>E1078*F1078</f>
        <v/>
      </c>
    </row>
    <row r="1079">
      <c r="A1079">
        <f>Sources!A1079</f>
        <v/>
      </c>
      <c r="B1079">
        <f>Sources!B1079</f>
        <v/>
      </c>
      <c r="C1079">
        <f>Sources!D1079</f>
        <v/>
      </c>
      <c r="D1079">
        <f>Sources!E1079</f>
        <v/>
      </c>
      <c r="E1079">
        <f>Sources!F1079</f>
        <v/>
      </c>
      <c r="F1079">
        <f>Sources!H1079</f>
        <v/>
      </c>
      <c r="G1079">
        <f>IF(ABS(F1079-ROUND(F1079,0))&lt;0.001,1,0)</f>
        <v/>
      </c>
      <c r="H1079">
        <f>IF(G1079=1,F1079,CEILING(F1079,1))</f>
        <v/>
      </c>
      <c r="I1079">
        <f>IF(G1079=1,0,(H1079-F1079)*E1079)</f>
        <v/>
      </c>
      <c r="J1079">
        <f>E1079*F1079</f>
        <v/>
      </c>
    </row>
    <row r="1080">
      <c r="A1080">
        <f>Sources!A1080</f>
        <v/>
      </c>
      <c r="B1080">
        <f>Sources!B1080</f>
        <v/>
      </c>
      <c r="C1080">
        <f>Sources!D1080</f>
        <v/>
      </c>
      <c r="D1080">
        <f>Sources!E1080</f>
        <v/>
      </c>
      <c r="E1080">
        <f>Sources!F1080</f>
        <v/>
      </c>
      <c r="F1080">
        <f>Sources!H1080</f>
        <v/>
      </c>
      <c r="G1080">
        <f>IF(ABS(F1080-ROUND(F1080,0))&lt;0.001,1,0)</f>
        <v/>
      </c>
      <c r="H1080">
        <f>IF(G1080=1,F1080,CEILING(F1080,1))</f>
        <v/>
      </c>
      <c r="I1080">
        <f>IF(G1080=1,0,(H1080-F1080)*E1080)</f>
        <v/>
      </c>
      <c r="J1080">
        <f>E1080*F1080</f>
        <v/>
      </c>
    </row>
    <row r="1081">
      <c r="A1081">
        <f>Sources!A1081</f>
        <v/>
      </c>
      <c r="B1081">
        <f>Sources!B1081</f>
        <v/>
      </c>
      <c r="C1081">
        <f>Sources!D1081</f>
        <v/>
      </c>
      <c r="D1081">
        <f>Sources!E1081</f>
        <v/>
      </c>
      <c r="E1081">
        <f>Sources!F1081</f>
        <v/>
      </c>
      <c r="F1081">
        <f>Sources!H1081</f>
        <v/>
      </c>
      <c r="G1081">
        <f>IF(ABS(F1081-ROUND(F1081,0))&lt;0.001,1,0)</f>
        <v/>
      </c>
      <c r="H1081">
        <f>IF(G1081=1,F1081,CEILING(F1081,1))</f>
        <v/>
      </c>
      <c r="I1081">
        <f>IF(G1081=1,0,(H1081-F1081)*E1081)</f>
        <v/>
      </c>
      <c r="J1081">
        <f>E1081*F1081</f>
        <v/>
      </c>
    </row>
    <row r="1082">
      <c r="A1082">
        <f>Sources!A1082</f>
        <v/>
      </c>
      <c r="B1082">
        <f>Sources!B1082</f>
        <v/>
      </c>
      <c r="C1082">
        <f>Sources!D1082</f>
        <v/>
      </c>
      <c r="D1082">
        <f>Sources!E1082</f>
        <v/>
      </c>
      <c r="E1082">
        <f>Sources!F1082</f>
        <v/>
      </c>
      <c r="F1082">
        <f>Sources!H1082</f>
        <v/>
      </c>
      <c r="G1082">
        <f>IF(ABS(F1082-ROUND(F1082,0))&lt;0.001,1,0)</f>
        <v/>
      </c>
      <c r="H1082">
        <f>IF(G1082=1,F1082,CEILING(F1082,1))</f>
        <v/>
      </c>
      <c r="I1082">
        <f>IF(G1082=1,0,(H1082-F1082)*E1082)</f>
        <v/>
      </c>
      <c r="J1082">
        <f>E1082*F1082</f>
        <v/>
      </c>
    </row>
    <row r="1083">
      <c r="A1083">
        <f>Sources!A1083</f>
        <v/>
      </c>
      <c r="B1083">
        <f>Sources!B1083</f>
        <v/>
      </c>
      <c r="C1083">
        <f>Sources!D1083</f>
        <v/>
      </c>
      <c r="D1083">
        <f>Sources!E1083</f>
        <v/>
      </c>
      <c r="E1083">
        <f>Sources!F1083</f>
        <v/>
      </c>
      <c r="F1083">
        <f>Sources!H1083</f>
        <v/>
      </c>
      <c r="G1083">
        <f>IF(ABS(F1083-ROUND(F1083,0))&lt;0.001,1,0)</f>
        <v/>
      </c>
      <c r="H1083">
        <f>IF(G1083=1,F1083,CEILING(F1083,1))</f>
        <v/>
      </c>
      <c r="I1083">
        <f>IF(G1083=1,0,(H1083-F1083)*E1083)</f>
        <v/>
      </c>
      <c r="J1083">
        <f>E1083*F1083</f>
        <v/>
      </c>
    </row>
    <row r="1084">
      <c r="A1084">
        <f>Sources!A1084</f>
        <v/>
      </c>
      <c r="B1084">
        <f>Sources!B1084</f>
        <v/>
      </c>
      <c r="C1084">
        <f>Sources!D1084</f>
        <v/>
      </c>
      <c r="D1084">
        <f>Sources!E1084</f>
        <v/>
      </c>
      <c r="E1084">
        <f>Sources!F1084</f>
        <v/>
      </c>
      <c r="F1084">
        <f>Sources!H1084</f>
        <v/>
      </c>
      <c r="G1084">
        <f>IF(ABS(F1084-ROUND(F1084,0))&lt;0.001,1,0)</f>
        <v/>
      </c>
      <c r="H1084">
        <f>IF(G1084=1,F1084,CEILING(F1084,1))</f>
        <v/>
      </c>
      <c r="I1084">
        <f>IF(G1084=1,0,(H1084-F1084)*E1084)</f>
        <v/>
      </c>
      <c r="J1084">
        <f>E1084*F1084</f>
        <v/>
      </c>
    </row>
    <row r="1085">
      <c r="A1085">
        <f>Sources!A1085</f>
        <v/>
      </c>
      <c r="B1085">
        <f>Sources!B1085</f>
        <v/>
      </c>
      <c r="C1085">
        <f>Sources!D1085</f>
        <v/>
      </c>
      <c r="D1085">
        <f>Sources!E1085</f>
        <v/>
      </c>
      <c r="E1085">
        <f>Sources!F1085</f>
        <v/>
      </c>
      <c r="F1085">
        <f>Sources!H1085</f>
        <v/>
      </c>
      <c r="G1085">
        <f>IF(ABS(F1085-ROUND(F1085,0))&lt;0.001,1,0)</f>
        <v/>
      </c>
      <c r="H1085">
        <f>IF(G1085=1,F1085,CEILING(F1085,1))</f>
        <v/>
      </c>
      <c r="I1085">
        <f>IF(G1085=1,0,(H1085-F1085)*E1085)</f>
        <v/>
      </c>
      <c r="J1085">
        <f>E1085*F1085</f>
        <v/>
      </c>
    </row>
    <row r="1086">
      <c r="A1086">
        <f>Sources!A1086</f>
        <v/>
      </c>
      <c r="B1086">
        <f>Sources!B1086</f>
        <v/>
      </c>
      <c r="C1086">
        <f>Sources!D1086</f>
        <v/>
      </c>
      <c r="D1086">
        <f>Sources!E1086</f>
        <v/>
      </c>
      <c r="E1086">
        <f>Sources!F1086</f>
        <v/>
      </c>
      <c r="F1086">
        <f>Sources!H1086</f>
        <v/>
      </c>
      <c r="G1086">
        <f>IF(ABS(F1086-ROUND(F1086,0))&lt;0.001,1,0)</f>
        <v/>
      </c>
      <c r="H1086">
        <f>IF(G1086=1,F1086,CEILING(F1086,1))</f>
        <v/>
      </c>
      <c r="I1086">
        <f>IF(G1086=1,0,(H1086-F1086)*E1086)</f>
        <v/>
      </c>
      <c r="J1086">
        <f>E1086*F1086</f>
        <v/>
      </c>
    </row>
    <row r="1087">
      <c r="A1087">
        <f>Sources!A1087</f>
        <v/>
      </c>
      <c r="B1087">
        <f>Sources!B1087</f>
        <v/>
      </c>
      <c r="C1087">
        <f>Sources!D1087</f>
        <v/>
      </c>
      <c r="D1087">
        <f>Sources!E1087</f>
        <v/>
      </c>
      <c r="E1087">
        <f>Sources!F1087</f>
        <v/>
      </c>
      <c r="F1087">
        <f>Sources!H1087</f>
        <v/>
      </c>
      <c r="G1087">
        <f>IF(ABS(F1087-ROUND(F1087,0))&lt;0.001,1,0)</f>
        <v/>
      </c>
      <c r="H1087">
        <f>IF(G1087=1,F1087,CEILING(F1087,1))</f>
        <v/>
      </c>
      <c r="I1087">
        <f>IF(G1087=1,0,(H1087-F1087)*E1087)</f>
        <v/>
      </c>
      <c r="J1087">
        <f>E1087*F1087</f>
        <v/>
      </c>
    </row>
    <row r="1088">
      <c r="A1088">
        <f>Sources!A1088</f>
        <v/>
      </c>
      <c r="B1088">
        <f>Sources!B1088</f>
        <v/>
      </c>
      <c r="C1088">
        <f>Sources!D1088</f>
        <v/>
      </c>
      <c r="D1088">
        <f>Sources!E1088</f>
        <v/>
      </c>
      <c r="E1088">
        <f>Sources!F1088</f>
        <v/>
      </c>
      <c r="F1088">
        <f>Sources!H1088</f>
        <v/>
      </c>
      <c r="G1088">
        <f>IF(ABS(F1088-ROUND(F1088,0))&lt;0.001,1,0)</f>
        <v/>
      </c>
      <c r="H1088">
        <f>IF(G1088=1,F1088,CEILING(F1088,1))</f>
        <v/>
      </c>
      <c r="I1088">
        <f>IF(G1088=1,0,(H1088-F1088)*E1088)</f>
        <v/>
      </c>
      <c r="J1088">
        <f>E1088*F1088</f>
        <v/>
      </c>
    </row>
    <row r="1089">
      <c r="A1089">
        <f>Sources!A1089</f>
        <v/>
      </c>
      <c r="B1089">
        <f>Sources!B1089</f>
        <v/>
      </c>
      <c r="C1089">
        <f>Sources!D1089</f>
        <v/>
      </c>
      <c r="D1089">
        <f>Sources!E1089</f>
        <v/>
      </c>
      <c r="E1089">
        <f>Sources!F1089</f>
        <v/>
      </c>
      <c r="F1089">
        <f>Sources!H1089</f>
        <v/>
      </c>
      <c r="G1089">
        <f>IF(ABS(F1089-ROUND(F1089,0))&lt;0.001,1,0)</f>
        <v/>
      </c>
      <c r="H1089">
        <f>IF(G1089=1,F1089,CEILING(F1089,1))</f>
        <v/>
      </c>
      <c r="I1089">
        <f>IF(G1089=1,0,(H1089-F1089)*E1089)</f>
        <v/>
      </c>
      <c r="J1089">
        <f>E1089*F1089</f>
        <v/>
      </c>
    </row>
    <row r="1090">
      <c r="A1090">
        <f>Sources!A1090</f>
        <v/>
      </c>
      <c r="B1090">
        <f>Sources!B1090</f>
        <v/>
      </c>
      <c r="C1090">
        <f>Sources!D1090</f>
        <v/>
      </c>
      <c r="D1090">
        <f>Sources!E1090</f>
        <v/>
      </c>
      <c r="E1090">
        <f>Sources!F1090</f>
        <v/>
      </c>
      <c r="F1090">
        <f>Sources!H1090</f>
        <v/>
      </c>
      <c r="G1090">
        <f>IF(ABS(F1090-ROUND(F1090,0))&lt;0.001,1,0)</f>
        <v/>
      </c>
      <c r="H1090">
        <f>IF(G1090=1,F1090,CEILING(F1090,1))</f>
        <v/>
      </c>
      <c r="I1090">
        <f>IF(G1090=1,0,(H1090-F1090)*E1090)</f>
        <v/>
      </c>
      <c r="J1090">
        <f>E1090*F1090</f>
        <v/>
      </c>
    </row>
    <row r="1091">
      <c r="A1091">
        <f>Sources!A1091</f>
        <v/>
      </c>
      <c r="B1091">
        <f>Sources!B1091</f>
        <v/>
      </c>
      <c r="C1091">
        <f>Sources!D1091</f>
        <v/>
      </c>
      <c r="D1091">
        <f>Sources!E1091</f>
        <v/>
      </c>
      <c r="E1091">
        <f>Sources!F1091</f>
        <v/>
      </c>
      <c r="F1091">
        <f>Sources!H1091</f>
        <v/>
      </c>
      <c r="G1091">
        <f>IF(ABS(F1091-ROUND(F1091,0))&lt;0.001,1,0)</f>
        <v/>
      </c>
      <c r="H1091">
        <f>IF(G1091=1,F1091,CEILING(F1091,1))</f>
        <v/>
      </c>
      <c r="I1091">
        <f>IF(G1091=1,0,(H1091-F1091)*E1091)</f>
        <v/>
      </c>
      <c r="J1091">
        <f>E1091*F1091</f>
        <v/>
      </c>
    </row>
    <row r="1092">
      <c r="A1092">
        <f>Sources!A1092</f>
        <v/>
      </c>
      <c r="B1092">
        <f>Sources!B1092</f>
        <v/>
      </c>
      <c r="C1092">
        <f>Sources!D1092</f>
        <v/>
      </c>
      <c r="D1092">
        <f>Sources!E1092</f>
        <v/>
      </c>
      <c r="E1092">
        <f>Sources!F1092</f>
        <v/>
      </c>
      <c r="F1092">
        <f>Sources!H1092</f>
        <v/>
      </c>
      <c r="G1092">
        <f>IF(ABS(F1092-ROUND(F1092,0))&lt;0.001,1,0)</f>
        <v/>
      </c>
      <c r="H1092">
        <f>IF(G1092=1,F1092,CEILING(F1092,1))</f>
        <v/>
      </c>
      <c r="I1092">
        <f>IF(G1092=1,0,(H1092-F1092)*E1092)</f>
        <v/>
      </c>
      <c r="J1092">
        <f>E1092*F1092</f>
        <v/>
      </c>
    </row>
    <row r="1093">
      <c r="A1093">
        <f>Sources!A1093</f>
        <v/>
      </c>
      <c r="B1093">
        <f>Sources!B1093</f>
        <v/>
      </c>
      <c r="C1093">
        <f>Sources!D1093</f>
        <v/>
      </c>
      <c r="D1093">
        <f>Sources!E1093</f>
        <v/>
      </c>
      <c r="E1093">
        <f>Sources!F1093</f>
        <v/>
      </c>
      <c r="F1093">
        <f>Sources!H1093</f>
        <v/>
      </c>
      <c r="G1093">
        <f>IF(ABS(F1093-ROUND(F1093,0))&lt;0.001,1,0)</f>
        <v/>
      </c>
      <c r="H1093">
        <f>IF(G1093=1,F1093,CEILING(F1093,1))</f>
        <v/>
      </c>
      <c r="I1093">
        <f>IF(G1093=1,0,(H1093-F1093)*E1093)</f>
        <v/>
      </c>
      <c r="J1093">
        <f>E1093*F1093</f>
        <v/>
      </c>
    </row>
    <row r="1094">
      <c r="A1094">
        <f>Sources!A1094</f>
        <v/>
      </c>
      <c r="B1094">
        <f>Sources!B1094</f>
        <v/>
      </c>
      <c r="C1094">
        <f>Sources!D1094</f>
        <v/>
      </c>
      <c r="D1094">
        <f>Sources!E1094</f>
        <v/>
      </c>
      <c r="E1094">
        <f>Sources!F1094</f>
        <v/>
      </c>
      <c r="F1094">
        <f>Sources!H1094</f>
        <v/>
      </c>
      <c r="G1094">
        <f>IF(ABS(F1094-ROUND(F1094,0))&lt;0.001,1,0)</f>
        <v/>
      </c>
      <c r="H1094">
        <f>IF(G1094=1,F1094,CEILING(F1094,1))</f>
        <v/>
      </c>
      <c r="I1094">
        <f>IF(G1094=1,0,(H1094-F1094)*E1094)</f>
        <v/>
      </c>
      <c r="J1094">
        <f>E1094*F1094</f>
        <v/>
      </c>
    </row>
    <row r="1095">
      <c r="A1095">
        <f>Sources!A1095</f>
        <v/>
      </c>
      <c r="B1095">
        <f>Sources!B1095</f>
        <v/>
      </c>
      <c r="C1095">
        <f>Sources!D1095</f>
        <v/>
      </c>
      <c r="D1095">
        <f>Sources!E1095</f>
        <v/>
      </c>
      <c r="E1095">
        <f>Sources!F1095</f>
        <v/>
      </c>
      <c r="F1095">
        <f>Sources!H1095</f>
        <v/>
      </c>
      <c r="G1095">
        <f>IF(ABS(F1095-ROUND(F1095,0))&lt;0.001,1,0)</f>
        <v/>
      </c>
      <c r="H1095">
        <f>IF(G1095=1,F1095,CEILING(F1095,1))</f>
        <v/>
      </c>
      <c r="I1095">
        <f>IF(G1095=1,0,(H1095-F1095)*E1095)</f>
        <v/>
      </c>
      <c r="J1095">
        <f>E1095*F1095</f>
        <v/>
      </c>
    </row>
    <row r="1096">
      <c r="A1096">
        <f>Sources!A1096</f>
        <v/>
      </c>
      <c r="B1096">
        <f>Sources!B1096</f>
        <v/>
      </c>
      <c r="C1096">
        <f>Sources!D1096</f>
        <v/>
      </c>
      <c r="D1096">
        <f>Sources!E1096</f>
        <v/>
      </c>
      <c r="E1096">
        <f>Sources!F1096</f>
        <v/>
      </c>
      <c r="F1096">
        <f>Sources!H1096</f>
        <v/>
      </c>
      <c r="G1096">
        <f>IF(ABS(F1096-ROUND(F1096,0))&lt;0.001,1,0)</f>
        <v/>
      </c>
      <c r="H1096">
        <f>IF(G1096=1,F1096,CEILING(F1096,1))</f>
        <v/>
      </c>
      <c r="I1096">
        <f>IF(G1096=1,0,(H1096-F1096)*E1096)</f>
        <v/>
      </c>
      <c r="J1096">
        <f>E1096*F1096</f>
        <v/>
      </c>
    </row>
    <row r="1097">
      <c r="A1097">
        <f>Sources!A1097</f>
        <v/>
      </c>
      <c r="B1097">
        <f>Sources!B1097</f>
        <v/>
      </c>
      <c r="C1097">
        <f>Sources!D1097</f>
        <v/>
      </c>
      <c r="D1097">
        <f>Sources!E1097</f>
        <v/>
      </c>
      <c r="E1097">
        <f>Sources!F1097</f>
        <v/>
      </c>
      <c r="F1097">
        <f>Sources!H1097</f>
        <v/>
      </c>
      <c r="G1097">
        <f>IF(ABS(F1097-ROUND(F1097,0))&lt;0.001,1,0)</f>
        <v/>
      </c>
      <c r="H1097">
        <f>IF(G1097=1,F1097,CEILING(F1097,1))</f>
        <v/>
      </c>
      <c r="I1097">
        <f>IF(G1097=1,0,(H1097-F1097)*E1097)</f>
        <v/>
      </c>
      <c r="J1097">
        <f>E1097*F1097</f>
        <v/>
      </c>
    </row>
    <row r="1098">
      <c r="A1098">
        <f>Sources!A1098</f>
        <v/>
      </c>
      <c r="B1098">
        <f>Sources!B1098</f>
        <v/>
      </c>
      <c r="C1098">
        <f>Sources!D1098</f>
        <v/>
      </c>
      <c r="D1098">
        <f>Sources!E1098</f>
        <v/>
      </c>
      <c r="E1098">
        <f>Sources!F1098</f>
        <v/>
      </c>
      <c r="F1098">
        <f>Sources!H1098</f>
        <v/>
      </c>
      <c r="G1098">
        <f>IF(ABS(F1098-ROUND(F1098,0))&lt;0.001,1,0)</f>
        <v/>
      </c>
      <c r="H1098">
        <f>IF(G1098=1,F1098,CEILING(F1098,1))</f>
        <v/>
      </c>
      <c r="I1098">
        <f>IF(G1098=1,0,(H1098-F1098)*E1098)</f>
        <v/>
      </c>
      <c r="J1098">
        <f>E1098*F1098</f>
        <v/>
      </c>
    </row>
    <row r="1099">
      <c r="A1099">
        <f>Sources!A1099</f>
        <v/>
      </c>
      <c r="B1099">
        <f>Sources!B1099</f>
        <v/>
      </c>
      <c r="C1099">
        <f>Sources!D1099</f>
        <v/>
      </c>
      <c r="D1099">
        <f>Sources!E1099</f>
        <v/>
      </c>
      <c r="E1099">
        <f>Sources!F1099</f>
        <v/>
      </c>
      <c r="F1099">
        <f>Sources!H1099</f>
        <v/>
      </c>
      <c r="G1099">
        <f>IF(ABS(F1099-ROUND(F1099,0))&lt;0.001,1,0)</f>
        <v/>
      </c>
      <c r="H1099">
        <f>IF(G1099=1,F1099,CEILING(F1099,1))</f>
        <v/>
      </c>
      <c r="I1099">
        <f>IF(G1099=1,0,(H1099-F1099)*E1099)</f>
        <v/>
      </c>
      <c r="J1099">
        <f>E1099*F1099</f>
        <v/>
      </c>
    </row>
    <row r="1100">
      <c r="A1100">
        <f>Sources!A1100</f>
        <v/>
      </c>
      <c r="B1100">
        <f>Sources!B1100</f>
        <v/>
      </c>
      <c r="C1100">
        <f>Sources!D1100</f>
        <v/>
      </c>
      <c r="D1100">
        <f>Sources!E1100</f>
        <v/>
      </c>
      <c r="E1100">
        <f>Sources!F1100</f>
        <v/>
      </c>
      <c r="F1100">
        <f>Sources!H1100</f>
        <v/>
      </c>
      <c r="G1100">
        <f>IF(ABS(F1100-ROUND(F1100,0))&lt;0.001,1,0)</f>
        <v/>
      </c>
      <c r="H1100">
        <f>IF(G1100=1,F1100,CEILING(F1100,1))</f>
        <v/>
      </c>
      <c r="I1100">
        <f>IF(G1100=1,0,(H1100-F1100)*E1100)</f>
        <v/>
      </c>
      <c r="J1100">
        <f>E1100*F1100</f>
        <v/>
      </c>
    </row>
    <row r="1101">
      <c r="A1101">
        <f>Sources!A1101</f>
        <v/>
      </c>
      <c r="B1101">
        <f>Sources!B1101</f>
        <v/>
      </c>
      <c r="C1101">
        <f>Sources!D1101</f>
        <v/>
      </c>
      <c r="D1101">
        <f>Sources!E1101</f>
        <v/>
      </c>
      <c r="E1101">
        <f>Sources!F1101</f>
        <v/>
      </c>
      <c r="F1101">
        <f>Sources!H1101</f>
        <v/>
      </c>
      <c r="G1101">
        <f>IF(ABS(F1101-ROUND(F1101,0))&lt;0.001,1,0)</f>
        <v/>
      </c>
      <c r="H1101">
        <f>IF(G1101=1,F1101,CEILING(F1101,1))</f>
        <v/>
      </c>
      <c r="I1101">
        <f>IF(G1101=1,0,(H1101-F1101)*E1101)</f>
        <v/>
      </c>
      <c r="J1101">
        <f>E1101*F1101</f>
        <v/>
      </c>
    </row>
    <row r="1102">
      <c r="A1102">
        <f>Sources!A1102</f>
        <v/>
      </c>
      <c r="B1102">
        <f>Sources!B1102</f>
        <v/>
      </c>
      <c r="C1102">
        <f>Sources!D1102</f>
        <v/>
      </c>
      <c r="D1102">
        <f>Sources!E1102</f>
        <v/>
      </c>
      <c r="E1102">
        <f>Sources!F1102</f>
        <v/>
      </c>
      <c r="F1102">
        <f>Sources!H1102</f>
        <v/>
      </c>
      <c r="G1102">
        <f>IF(ABS(F1102-ROUND(F1102,0))&lt;0.001,1,0)</f>
        <v/>
      </c>
      <c r="H1102">
        <f>IF(G1102=1,F1102,CEILING(F1102,1))</f>
        <v/>
      </c>
      <c r="I1102">
        <f>IF(G1102=1,0,(H1102-F1102)*E1102)</f>
        <v/>
      </c>
      <c r="J1102">
        <f>E1102*F1102</f>
        <v/>
      </c>
    </row>
    <row r="1103">
      <c r="A1103">
        <f>Sources!A1103</f>
        <v/>
      </c>
      <c r="B1103">
        <f>Sources!B1103</f>
        <v/>
      </c>
      <c r="C1103">
        <f>Sources!D1103</f>
        <v/>
      </c>
      <c r="D1103">
        <f>Sources!E1103</f>
        <v/>
      </c>
      <c r="E1103">
        <f>Sources!F1103</f>
        <v/>
      </c>
      <c r="F1103">
        <f>Sources!H1103</f>
        <v/>
      </c>
      <c r="G1103">
        <f>IF(ABS(F1103-ROUND(F1103,0))&lt;0.001,1,0)</f>
        <v/>
      </c>
      <c r="H1103">
        <f>IF(G1103=1,F1103,CEILING(F1103,1))</f>
        <v/>
      </c>
      <c r="I1103">
        <f>IF(G1103=1,0,(H1103-F1103)*E1103)</f>
        <v/>
      </c>
      <c r="J1103">
        <f>E1103*F1103</f>
        <v/>
      </c>
    </row>
    <row r="1104">
      <c r="A1104">
        <f>Sources!A1104</f>
        <v/>
      </c>
      <c r="B1104">
        <f>Sources!B1104</f>
        <v/>
      </c>
      <c r="C1104">
        <f>Sources!D1104</f>
        <v/>
      </c>
      <c r="D1104">
        <f>Sources!E1104</f>
        <v/>
      </c>
      <c r="E1104">
        <f>Sources!F1104</f>
        <v/>
      </c>
      <c r="F1104">
        <f>Sources!H1104</f>
        <v/>
      </c>
      <c r="G1104">
        <f>IF(ABS(F1104-ROUND(F1104,0))&lt;0.001,1,0)</f>
        <v/>
      </c>
      <c r="H1104">
        <f>IF(G1104=1,F1104,CEILING(F1104,1))</f>
        <v/>
      </c>
      <c r="I1104">
        <f>IF(G1104=1,0,(H1104-F1104)*E1104)</f>
        <v/>
      </c>
      <c r="J1104">
        <f>E1104*F1104</f>
        <v/>
      </c>
    </row>
    <row r="1105">
      <c r="A1105">
        <f>Sources!A1105</f>
        <v/>
      </c>
      <c r="B1105">
        <f>Sources!B1105</f>
        <v/>
      </c>
      <c r="C1105">
        <f>Sources!D1105</f>
        <v/>
      </c>
      <c r="D1105">
        <f>Sources!E1105</f>
        <v/>
      </c>
      <c r="E1105">
        <f>Sources!F1105</f>
        <v/>
      </c>
      <c r="F1105">
        <f>Sources!H1105</f>
        <v/>
      </c>
      <c r="G1105">
        <f>IF(ABS(F1105-ROUND(F1105,0))&lt;0.001,1,0)</f>
        <v/>
      </c>
      <c r="H1105">
        <f>IF(G1105=1,F1105,CEILING(F1105,1))</f>
        <v/>
      </c>
      <c r="I1105">
        <f>IF(G1105=1,0,(H1105-F1105)*E1105)</f>
        <v/>
      </c>
      <c r="J1105">
        <f>E1105*F1105</f>
        <v/>
      </c>
    </row>
    <row r="1106">
      <c r="A1106">
        <f>Sources!A1106</f>
        <v/>
      </c>
      <c r="B1106">
        <f>Sources!B1106</f>
        <v/>
      </c>
      <c r="C1106">
        <f>Sources!D1106</f>
        <v/>
      </c>
      <c r="D1106">
        <f>Sources!E1106</f>
        <v/>
      </c>
      <c r="E1106">
        <f>Sources!F1106</f>
        <v/>
      </c>
      <c r="F1106">
        <f>Sources!H1106</f>
        <v/>
      </c>
      <c r="G1106">
        <f>IF(ABS(F1106-ROUND(F1106,0))&lt;0.001,1,0)</f>
        <v/>
      </c>
      <c r="H1106">
        <f>IF(G1106=1,F1106,CEILING(F1106,1))</f>
        <v/>
      </c>
      <c r="I1106">
        <f>IF(G1106=1,0,(H1106-F1106)*E1106)</f>
        <v/>
      </c>
      <c r="J1106">
        <f>E1106*F1106</f>
        <v/>
      </c>
    </row>
    <row r="1107">
      <c r="A1107">
        <f>Sources!A1107</f>
        <v/>
      </c>
      <c r="B1107">
        <f>Sources!B1107</f>
        <v/>
      </c>
      <c r="C1107">
        <f>Sources!D1107</f>
        <v/>
      </c>
      <c r="D1107">
        <f>Sources!E1107</f>
        <v/>
      </c>
      <c r="E1107">
        <f>Sources!F1107</f>
        <v/>
      </c>
      <c r="F1107">
        <f>Sources!H1107</f>
        <v/>
      </c>
      <c r="G1107">
        <f>IF(ABS(F1107-ROUND(F1107,0))&lt;0.001,1,0)</f>
        <v/>
      </c>
      <c r="H1107">
        <f>IF(G1107=1,F1107,CEILING(F1107,1))</f>
        <v/>
      </c>
      <c r="I1107">
        <f>IF(G1107=1,0,(H1107-F1107)*E1107)</f>
        <v/>
      </c>
      <c r="J1107">
        <f>E1107*F1107</f>
        <v/>
      </c>
    </row>
    <row r="1108">
      <c r="A1108">
        <f>Sources!A1108</f>
        <v/>
      </c>
      <c r="B1108">
        <f>Sources!B1108</f>
        <v/>
      </c>
      <c r="C1108">
        <f>Sources!D1108</f>
        <v/>
      </c>
      <c r="D1108">
        <f>Sources!E1108</f>
        <v/>
      </c>
      <c r="E1108">
        <f>Sources!F1108</f>
        <v/>
      </c>
      <c r="F1108">
        <f>Sources!H1108</f>
        <v/>
      </c>
      <c r="G1108">
        <f>IF(ABS(F1108-ROUND(F1108,0))&lt;0.001,1,0)</f>
        <v/>
      </c>
      <c r="H1108">
        <f>IF(G1108=1,F1108,CEILING(F1108,1))</f>
        <v/>
      </c>
      <c r="I1108">
        <f>IF(G1108=1,0,(H1108-F1108)*E1108)</f>
        <v/>
      </c>
      <c r="J1108">
        <f>E1108*F1108</f>
        <v/>
      </c>
    </row>
    <row r="1109">
      <c r="A1109">
        <f>Sources!A1109</f>
        <v/>
      </c>
      <c r="B1109">
        <f>Sources!B1109</f>
        <v/>
      </c>
      <c r="C1109">
        <f>Sources!D1109</f>
        <v/>
      </c>
      <c r="D1109">
        <f>Sources!E1109</f>
        <v/>
      </c>
      <c r="E1109">
        <f>Sources!F1109</f>
        <v/>
      </c>
      <c r="F1109">
        <f>Sources!H1109</f>
        <v/>
      </c>
      <c r="G1109">
        <f>IF(ABS(F1109-ROUND(F1109,0))&lt;0.001,1,0)</f>
        <v/>
      </c>
      <c r="H1109">
        <f>IF(G1109=1,F1109,CEILING(F1109,1))</f>
        <v/>
      </c>
      <c r="I1109">
        <f>IF(G1109=1,0,(H1109-F1109)*E1109)</f>
        <v/>
      </c>
      <c r="J1109">
        <f>E1109*F1109</f>
        <v/>
      </c>
    </row>
    <row r="1110">
      <c r="A1110">
        <f>Sources!A1110</f>
        <v/>
      </c>
      <c r="B1110">
        <f>Sources!B1110</f>
        <v/>
      </c>
      <c r="C1110">
        <f>Sources!D1110</f>
        <v/>
      </c>
      <c r="D1110">
        <f>Sources!E1110</f>
        <v/>
      </c>
      <c r="E1110">
        <f>Sources!F1110</f>
        <v/>
      </c>
      <c r="F1110">
        <f>Sources!H1110</f>
        <v/>
      </c>
      <c r="G1110">
        <f>IF(ABS(F1110-ROUND(F1110,0))&lt;0.001,1,0)</f>
        <v/>
      </c>
      <c r="H1110">
        <f>IF(G1110=1,F1110,CEILING(F1110,1))</f>
        <v/>
      </c>
      <c r="I1110">
        <f>IF(G1110=1,0,(H1110-F1110)*E1110)</f>
        <v/>
      </c>
      <c r="J1110">
        <f>E1110*F1110</f>
        <v/>
      </c>
    </row>
    <row r="1111">
      <c r="A1111">
        <f>Sources!A1111</f>
        <v/>
      </c>
      <c r="B1111">
        <f>Sources!B1111</f>
        <v/>
      </c>
      <c r="C1111">
        <f>Sources!D1111</f>
        <v/>
      </c>
      <c r="D1111">
        <f>Sources!E1111</f>
        <v/>
      </c>
      <c r="E1111">
        <f>Sources!F1111</f>
        <v/>
      </c>
      <c r="F1111">
        <f>Sources!H1111</f>
        <v/>
      </c>
      <c r="G1111">
        <f>IF(ABS(F1111-ROUND(F1111,0))&lt;0.001,1,0)</f>
        <v/>
      </c>
      <c r="H1111">
        <f>IF(G1111=1,F1111,CEILING(F1111,1))</f>
        <v/>
      </c>
      <c r="I1111">
        <f>IF(G1111=1,0,(H1111-F1111)*E1111)</f>
        <v/>
      </c>
      <c r="J1111">
        <f>E1111*F1111</f>
        <v/>
      </c>
    </row>
    <row r="1112">
      <c r="A1112">
        <f>Sources!A1112</f>
        <v/>
      </c>
      <c r="B1112">
        <f>Sources!B1112</f>
        <v/>
      </c>
      <c r="C1112">
        <f>Sources!D1112</f>
        <v/>
      </c>
      <c r="D1112">
        <f>Sources!E1112</f>
        <v/>
      </c>
      <c r="E1112">
        <f>Sources!F1112</f>
        <v/>
      </c>
      <c r="F1112">
        <f>Sources!H1112</f>
        <v/>
      </c>
      <c r="G1112">
        <f>IF(ABS(F1112-ROUND(F1112,0))&lt;0.001,1,0)</f>
        <v/>
      </c>
      <c r="H1112">
        <f>IF(G1112=1,F1112,CEILING(F1112,1))</f>
        <v/>
      </c>
      <c r="I1112">
        <f>IF(G1112=1,0,(H1112-F1112)*E1112)</f>
        <v/>
      </c>
      <c r="J1112">
        <f>E1112*F1112</f>
        <v/>
      </c>
    </row>
    <row r="1113">
      <c r="A1113">
        <f>Sources!A1113</f>
        <v/>
      </c>
      <c r="B1113">
        <f>Sources!B1113</f>
        <v/>
      </c>
      <c r="C1113">
        <f>Sources!D1113</f>
        <v/>
      </c>
      <c r="D1113">
        <f>Sources!E1113</f>
        <v/>
      </c>
      <c r="E1113">
        <f>Sources!F1113</f>
        <v/>
      </c>
      <c r="F1113">
        <f>Sources!H1113</f>
        <v/>
      </c>
      <c r="G1113">
        <f>IF(ABS(F1113-ROUND(F1113,0))&lt;0.001,1,0)</f>
        <v/>
      </c>
      <c r="H1113">
        <f>IF(G1113=1,F1113,CEILING(F1113,1))</f>
        <v/>
      </c>
      <c r="I1113">
        <f>IF(G1113=1,0,(H1113-F1113)*E1113)</f>
        <v/>
      </c>
      <c r="J1113">
        <f>E1113*F1113</f>
        <v/>
      </c>
    </row>
    <row r="1114">
      <c r="A1114">
        <f>Sources!A1114</f>
        <v/>
      </c>
      <c r="B1114">
        <f>Sources!B1114</f>
        <v/>
      </c>
      <c r="C1114">
        <f>Sources!D1114</f>
        <v/>
      </c>
      <c r="D1114">
        <f>Sources!E1114</f>
        <v/>
      </c>
      <c r="E1114">
        <f>Sources!F1114</f>
        <v/>
      </c>
      <c r="F1114">
        <f>Sources!H1114</f>
        <v/>
      </c>
      <c r="G1114">
        <f>IF(ABS(F1114-ROUND(F1114,0))&lt;0.001,1,0)</f>
        <v/>
      </c>
      <c r="H1114">
        <f>IF(G1114=1,F1114,CEILING(F1114,1))</f>
        <v/>
      </c>
      <c r="I1114">
        <f>IF(G1114=1,0,(H1114-F1114)*E1114)</f>
        <v/>
      </c>
      <c r="J1114">
        <f>E1114*F1114</f>
        <v/>
      </c>
    </row>
    <row r="1115">
      <c r="A1115">
        <f>Sources!A1115</f>
        <v/>
      </c>
      <c r="B1115">
        <f>Sources!B1115</f>
        <v/>
      </c>
      <c r="C1115">
        <f>Sources!D1115</f>
        <v/>
      </c>
      <c r="D1115">
        <f>Sources!E1115</f>
        <v/>
      </c>
      <c r="E1115">
        <f>Sources!F1115</f>
        <v/>
      </c>
      <c r="F1115">
        <f>Sources!H1115</f>
        <v/>
      </c>
      <c r="G1115">
        <f>IF(ABS(F1115-ROUND(F1115,0))&lt;0.001,1,0)</f>
        <v/>
      </c>
      <c r="H1115">
        <f>IF(G1115=1,F1115,CEILING(F1115,1))</f>
        <v/>
      </c>
      <c r="I1115">
        <f>IF(G1115=1,0,(H1115-F1115)*E1115)</f>
        <v/>
      </c>
      <c r="J1115">
        <f>E1115*F1115</f>
        <v/>
      </c>
    </row>
    <row r="1116">
      <c r="A1116">
        <f>Sources!A1116</f>
        <v/>
      </c>
      <c r="B1116">
        <f>Sources!B1116</f>
        <v/>
      </c>
      <c r="C1116">
        <f>Sources!D1116</f>
        <v/>
      </c>
      <c r="D1116">
        <f>Sources!E1116</f>
        <v/>
      </c>
      <c r="E1116">
        <f>Sources!F1116</f>
        <v/>
      </c>
      <c r="F1116">
        <f>Sources!H1116</f>
        <v/>
      </c>
      <c r="G1116">
        <f>IF(ABS(F1116-ROUND(F1116,0))&lt;0.001,1,0)</f>
        <v/>
      </c>
      <c r="H1116">
        <f>IF(G1116=1,F1116,CEILING(F1116,1))</f>
        <v/>
      </c>
      <c r="I1116">
        <f>IF(G1116=1,0,(H1116-F1116)*E1116)</f>
        <v/>
      </c>
      <c r="J1116">
        <f>E1116*F1116</f>
        <v/>
      </c>
    </row>
    <row r="1117">
      <c r="A1117">
        <f>Sources!A1117</f>
        <v/>
      </c>
      <c r="B1117">
        <f>Sources!B1117</f>
        <v/>
      </c>
      <c r="C1117">
        <f>Sources!D1117</f>
        <v/>
      </c>
      <c r="D1117">
        <f>Sources!E1117</f>
        <v/>
      </c>
      <c r="E1117">
        <f>Sources!F1117</f>
        <v/>
      </c>
      <c r="F1117">
        <f>Sources!H1117</f>
        <v/>
      </c>
      <c r="G1117">
        <f>IF(ABS(F1117-ROUND(F1117,0))&lt;0.001,1,0)</f>
        <v/>
      </c>
      <c r="H1117">
        <f>IF(G1117=1,F1117,CEILING(F1117,1))</f>
        <v/>
      </c>
      <c r="I1117">
        <f>IF(G1117=1,0,(H1117-F1117)*E1117)</f>
        <v/>
      </c>
      <c r="J1117">
        <f>E1117*F1117</f>
        <v/>
      </c>
    </row>
    <row r="1118">
      <c r="A1118">
        <f>Sources!A1118</f>
        <v/>
      </c>
      <c r="B1118">
        <f>Sources!B1118</f>
        <v/>
      </c>
      <c r="C1118">
        <f>Sources!D1118</f>
        <v/>
      </c>
      <c r="D1118">
        <f>Sources!E1118</f>
        <v/>
      </c>
      <c r="E1118">
        <f>Sources!F1118</f>
        <v/>
      </c>
      <c r="F1118">
        <f>Sources!H1118</f>
        <v/>
      </c>
      <c r="G1118">
        <f>IF(ABS(F1118-ROUND(F1118,0))&lt;0.001,1,0)</f>
        <v/>
      </c>
      <c r="H1118">
        <f>IF(G1118=1,F1118,CEILING(F1118,1))</f>
        <v/>
      </c>
      <c r="I1118">
        <f>IF(G1118=1,0,(H1118-F1118)*E1118)</f>
        <v/>
      </c>
      <c r="J1118">
        <f>E1118*F1118</f>
        <v/>
      </c>
    </row>
    <row r="1119">
      <c r="A1119">
        <f>Sources!A1119</f>
        <v/>
      </c>
      <c r="B1119">
        <f>Sources!B1119</f>
        <v/>
      </c>
      <c r="C1119">
        <f>Sources!D1119</f>
        <v/>
      </c>
      <c r="D1119">
        <f>Sources!E1119</f>
        <v/>
      </c>
      <c r="E1119">
        <f>Sources!F1119</f>
        <v/>
      </c>
      <c r="F1119">
        <f>Sources!H1119</f>
        <v/>
      </c>
      <c r="G1119">
        <f>IF(ABS(F1119-ROUND(F1119,0))&lt;0.001,1,0)</f>
        <v/>
      </c>
      <c r="H1119">
        <f>IF(G1119=1,F1119,CEILING(F1119,1))</f>
        <v/>
      </c>
      <c r="I1119">
        <f>IF(G1119=1,0,(H1119-F1119)*E1119)</f>
        <v/>
      </c>
      <c r="J1119">
        <f>E1119*F1119</f>
        <v/>
      </c>
    </row>
    <row r="1120">
      <c r="A1120">
        <f>Sources!A1120</f>
        <v/>
      </c>
      <c r="B1120">
        <f>Sources!B1120</f>
        <v/>
      </c>
      <c r="C1120">
        <f>Sources!D1120</f>
        <v/>
      </c>
      <c r="D1120">
        <f>Sources!E1120</f>
        <v/>
      </c>
      <c r="E1120">
        <f>Sources!F1120</f>
        <v/>
      </c>
      <c r="F1120">
        <f>Sources!H1120</f>
        <v/>
      </c>
      <c r="G1120">
        <f>IF(ABS(F1120-ROUND(F1120,0))&lt;0.001,1,0)</f>
        <v/>
      </c>
      <c r="H1120">
        <f>IF(G1120=1,F1120,CEILING(F1120,1))</f>
        <v/>
      </c>
      <c r="I1120">
        <f>IF(G1120=1,0,(H1120-F1120)*E1120)</f>
        <v/>
      </c>
      <c r="J1120">
        <f>E1120*F1120</f>
        <v/>
      </c>
    </row>
    <row r="1121">
      <c r="A1121">
        <f>Sources!A1121</f>
        <v/>
      </c>
      <c r="B1121">
        <f>Sources!B1121</f>
        <v/>
      </c>
      <c r="C1121">
        <f>Sources!D1121</f>
        <v/>
      </c>
      <c r="D1121">
        <f>Sources!E1121</f>
        <v/>
      </c>
      <c r="E1121">
        <f>Sources!F1121</f>
        <v/>
      </c>
      <c r="F1121">
        <f>Sources!H1121</f>
        <v/>
      </c>
      <c r="G1121">
        <f>IF(ABS(F1121-ROUND(F1121,0))&lt;0.001,1,0)</f>
        <v/>
      </c>
      <c r="H1121">
        <f>IF(G1121=1,F1121,CEILING(F1121,1))</f>
        <v/>
      </c>
      <c r="I1121">
        <f>IF(G1121=1,0,(H1121-F1121)*E1121)</f>
        <v/>
      </c>
      <c r="J1121">
        <f>E1121*F1121</f>
        <v/>
      </c>
    </row>
    <row r="1122">
      <c r="A1122">
        <f>Sources!A1122</f>
        <v/>
      </c>
      <c r="B1122">
        <f>Sources!B1122</f>
        <v/>
      </c>
      <c r="C1122">
        <f>Sources!D1122</f>
        <v/>
      </c>
      <c r="D1122">
        <f>Sources!E1122</f>
        <v/>
      </c>
      <c r="E1122">
        <f>Sources!F1122</f>
        <v/>
      </c>
      <c r="F1122">
        <f>Sources!H1122</f>
        <v/>
      </c>
      <c r="G1122">
        <f>IF(ABS(F1122-ROUND(F1122,0))&lt;0.001,1,0)</f>
        <v/>
      </c>
      <c r="H1122">
        <f>IF(G1122=1,F1122,CEILING(F1122,1))</f>
        <v/>
      </c>
      <c r="I1122">
        <f>IF(G1122=1,0,(H1122-F1122)*E1122)</f>
        <v/>
      </c>
      <c r="J1122">
        <f>E1122*F1122</f>
        <v/>
      </c>
    </row>
    <row r="1123">
      <c r="A1123">
        <f>Sources!A1123</f>
        <v/>
      </c>
      <c r="B1123">
        <f>Sources!B1123</f>
        <v/>
      </c>
      <c r="C1123">
        <f>Sources!D1123</f>
        <v/>
      </c>
      <c r="D1123">
        <f>Sources!E1123</f>
        <v/>
      </c>
      <c r="E1123">
        <f>Sources!F1123</f>
        <v/>
      </c>
      <c r="F1123">
        <f>Sources!H1123</f>
        <v/>
      </c>
      <c r="G1123">
        <f>IF(ABS(F1123-ROUND(F1123,0))&lt;0.001,1,0)</f>
        <v/>
      </c>
      <c r="H1123">
        <f>IF(G1123=1,F1123,CEILING(F1123,1))</f>
        <v/>
      </c>
      <c r="I1123">
        <f>IF(G1123=1,0,(H1123-F1123)*E1123)</f>
        <v/>
      </c>
      <c r="J1123">
        <f>E1123*F1123</f>
        <v/>
      </c>
    </row>
    <row r="1124">
      <c r="A1124">
        <f>Sources!A1124</f>
        <v/>
      </c>
      <c r="B1124">
        <f>Sources!B1124</f>
        <v/>
      </c>
      <c r="C1124">
        <f>Sources!D1124</f>
        <v/>
      </c>
      <c r="D1124">
        <f>Sources!E1124</f>
        <v/>
      </c>
      <c r="E1124">
        <f>Sources!F1124</f>
        <v/>
      </c>
      <c r="F1124">
        <f>Sources!H1124</f>
        <v/>
      </c>
      <c r="G1124">
        <f>IF(ABS(F1124-ROUND(F1124,0))&lt;0.001,1,0)</f>
        <v/>
      </c>
      <c r="H1124">
        <f>IF(G1124=1,F1124,CEILING(F1124,1))</f>
        <v/>
      </c>
      <c r="I1124">
        <f>IF(G1124=1,0,(H1124-F1124)*E1124)</f>
        <v/>
      </c>
      <c r="J1124">
        <f>E1124*F1124</f>
        <v/>
      </c>
    </row>
    <row r="1125">
      <c r="A1125">
        <f>Sources!A1125</f>
        <v/>
      </c>
      <c r="B1125">
        <f>Sources!B1125</f>
        <v/>
      </c>
      <c r="C1125">
        <f>Sources!D1125</f>
        <v/>
      </c>
      <c r="D1125">
        <f>Sources!E1125</f>
        <v/>
      </c>
      <c r="E1125">
        <f>Sources!F1125</f>
        <v/>
      </c>
      <c r="F1125">
        <f>Sources!H1125</f>
        <v/>
      </c>
      <c r="G1125">
        <f>IF(ABS(F1125-ROUND(F1125,0))&lt;0.001,1,0)</f>
        <v/>
      </c>
      <c r="H1125">
        <f>IF(G1125=1,F1125,CEILING(F1125,1))</f>
        <v/>
      </c>
      <c r="I1125">
        <f>IF(G1125=1,0,(H1125-F1125)*E1125)</f>
        <v/>
      </c>
      <c r="J1125">
        <f>E1125*F1125</f>
        <v/>
      </c>
    </row>
    <row r="1126">
      <c r="A1126">
        <f>Sources!A1126</f>
        <v/>
      </c>
      <c r="B1126">
        <f>Sources!B1126</f>
        <v/>
      </c>
      <c r="C1126">
        <f>Sources!D1126</f>
        <v/>
      </c>
      <c r="D1126">
        <f>Sources!E1126</f>
        <v/>
      </c>
      <c r="E1126">
        <f>Sources!F1126</f>
        <v/>
      </c>
      <c r="F1126">
        <f>Sources!H1126</f>
        <v/>
      </c>
      <c r="G1126">
        <f>IF(ABS(F1126-ROUND(F1126,0))&lt;0.001,1,0)</f>
        <v/>
      </c>
      <c r="H1126">
        <f>IF(G1126=1,F1126,CEILING(F1126,1))</f>
        <v/>
      </c>
      <c r="I1126">
        <f>IF(G1126=1,0,(H1126-F1126)*E1126)</f>
        <v/>
      </c>
      <c r="J1126">
        <f>E1126*F1126</f>
        <v/>
      </c>
    </row>
    <row r="1127">
      <c r="A1127">
        <f>Sources!A1127</f>
        <v/>
      </c>
      <c r="B1127">
        <f>Sources!B1127</f>
        <v/>
      </c>
      <c r="C1127">
        <f>Sources!D1127</f>
        <v/>
      </c>
      <c r="D1127">
        <f>Sources!E1127</f>
        <v/>
      </c>
      <c r="E1127">
        <f>Sources!F1127</f>
        <v/>
      </c>
      <c r="F1127">
        <f>Sources!H1127</f>
        <v/>
      </c>
      <c r="G1127">
        <f>IF(ABS(F1127-ROUND(F1127,0))&lt;0.001,1,0)</f>
        <v/>
      </c>
      <c r="H1127">
        <f>IF(G1127=1,F1127,CEILING(F1127,1))</f>
        <v/>
      </c>
      <c r="I1127">
        <f>IF(G1127=1,0,(H1127-F1127)*E1127)</f>
        <v/>
      </c>
      <c r="J1127">
        <f>E1127*F1127</f>
        <v/>
      </c>
    </row>
    <row r="1128">
      <c r="A1128">
        <f>Sources!A1128</f>
        <v/>
      </c>
      <c r="B1128">
        <f>Sources!B1128</f>
        <v/>
      </c>
      <c r="C1128">
        <f>Sources!D1128</f>
        <v/>
      </c>
      <c r="D1128">
        <f>Sources!E1128</f>
        <v/>
      </c>
      <c r="E1128">
        <f>Sources!F1128</f>
        <v/>
      </c>
      <c r="F1128">
        <f>Sources!H1128</f>
        <v/>
      </c>
      <c r="G1128">
        <f>IF(ABS(F1128-ROUND(F1128,0))&lt;0.001,1,0)</f>
        <v/>
      </c>
      <c r="H1128">
        <f>IF(G1128=1,F1128,CEILING(F1128,1))</f>
        <v/>
      </c>
      <c r="I1128">
        <f>IF(G1128=1,0,(H1128-F1128)*E1128)</f>
        <v/>
      </c>
      <c r="J1128">
        <f>E1128*F1128</f>
        <v/>
      </c>
    </row>
    <row r="1129">
      <c r="A1129">
        <f>Sources!A1129</f>
        <v/>
      </c>
      <c r="B1129">
        <f>Sources!B1129</f>
        <v/>
      </c>
      <c r="C1129">
        <f>Sources!D1129</f>
        <v/>
      </c>
      <c r="D1129">
        <f>Sources!E1129</f>
        <v/>
      </c>
      <c r="E1129">
        <f>Sources!F1129</f>
        <v/>
      </c>
      <c r="F1129">
        <f>Sources!H1129</f>
        <v/>
      </c>
      <c r="G1129">
        <f>IF(ABS(F1129-ROUND(F1129,0))&lt;0.001,1,0)</f>
        <v/>
      </c>
      <c r="H1129">
        <f>IF(G1129=1,F1129,CEILING(F1129,1))</f>
        <v/>
      </c>
      <c r="I1129">
        <f>IF(G1129=1,0,(H1129-F1129)*E1129)</f>
        <v/>
      </c>
      <c r="J1129">
        <f>E1129*F1129</f>
        <v/>
      </c>
    </row>
    <row r="1130">
      <c r="A1130">
        <f>Sources!A1130</f>
        <v/>
      </c>
      <c r="B1130">
        <f>Sources!B1130</f>
        <v/>
      </c>
      <c r="C1130">
        <f>Sources!D1130</f>
        <v/>
      </c>
      <c r="D1130">
        <f>Sources!E1130</f>
        <v/>
      </c>
      <c r="E1130">
        <f>Sources!F1130</f>
        <v/>
      </c>
      <c r="F1130">
        <f>Sources!H1130</f>
        <v/>
      </c>
      <c r="G1130">
        <f>IF(ABS(F1130-ROUND(F1130,0))&lt;0.001,1,0)</f>
        <v/>
      </c>
      <c r="H1130">
        <f>IF(G1130=1,F1130,CEILING(F1130,1))</f>
        <v/>
      </c>
      <c r="I1130">
        <f>IF(G1130=1,0,(H1130-F1130)*E1130)</f>
        <v/>
      </c>
      <c r="J1130">
        <f>E1130*F1130</f>
        <v/>
      </c>
    </row>
    <row r="1131">
      <c r="A1131">
        <f>Sources!A1131</f>
        <v/>
      </c>
      <c r="B1131">
        <f>Sources!B1131</f>
        <v/>
      </c>
      <c r="C1131">
        <f>Sources!D1131</f>
        <v/>
      </c>
      <c r="D1131">
        <f>Sources!E1131</f>
        <v/>
      </c>
      <c r="E1131">
        <f>Sources!F1131</f>
        <v/>
      </c>
      <c r="F1131">
        <f>Sources!H1131</f>
        <v/>
      </c>
      <c r="G1131">
        <f>IF(ABS(F1131-ROUND(F1131,0))&lt;0.001,1,0)</f>
        <v/>
      </c>
      <c r="H1131">
        <f>IF(G1131=1,F1131,CEILING(F1131,1))</f>
        <v/>
      </c>
      <c r="I1131">
        <f>IF(G1131=1,0,(H1131-F1131)*E1131)</f>
        <v/>
      </c>
      <c r="J1131">
        <f>E1131*F1131</f>
        <v/>
      </c>
    </row>
    <row r="1132">
      <c r="A1132">
        <f>Sources!A1132</f>
        <v/>
      </c>
      <c r="B1132">
        <f>Sources!B1132</f>
        <v/>
      </c>
      <c r="C1132">
        <f>Sources!D1132</f>
        <v/>
      </c>
      <c r="D1132">
        <f>Sources!E1132</f>
        <v/>
      </c>
      <c r="E1132">
        <f>Sources!F1132</f>
        <v/>
      </c>
      <c r="F1132">
        <f>Sources!H1132</f>
        <v/>
      </c>
      <c r="G1132">
        <f>IF(ABS(F1132-ROUND(F1132,0))&lt;0.001,1,0)</f>
        <v/>
      </c>
      <c r="H1132">
        <f>IF(G1132=1,F1132,CEILING(F1132,1))</f>
        <v/>
      </c>
      <c r="I1132">
        <f>IF(G1132=1,0,(H1132-F1132)*E1132)</f>
        <v/>
      </c>
      <c r="J1132">
        <f>E1132*F1132</f>
        <v/>
      </c>
    </row>
    <row r="1133">
      <c r="A1133">
        <f>Sources!A1133</f>
        <v/>
      </c>
      <c r="B1133">
        <f>Sources!B1133</f>
        <v/>
      </c>
      <c r="C1133">
        <f>Sources!D1133</f>
        <v/>
      </c>
      <c r="D1133">
        <f>Sources!E1133</f>
        <v/>
      </c>
      <c r="E1133">
        <f>Sources!F1133</f>
        <v/>
      </c>
      <c r="F1133">
        <f>Sources!H1133</f>
        <v/>
      </c>
      <c r="G1133">
        <f>IF(ABS(F1133-ROUND(F1133,0))&lt;0.001,1,0)</f>
        <v/>
      </c>
      <c r="H1133">
        <f>IF(G1133=1,F1133,CEILING(F1133,1))</f>
        <v/>
      </c>
      <c r="I1133">
        <f>IF(G1133=1,0,(H1133-F1133)*E1133)</f>
        <v/>
      </c>
      <c r="J1133">
        <f>E1133*F1133</f>
        <v/>
      </c>
    </row>
    <row r="1134">
      <c r="A1134">
        <f>Sources!A1134</f>
        <v/>
      </c>
      <c r="B1134">
        <f>Sources!B1134</f>
        <v/>
      </c>
      <c r="C1134">
        <f>Sources!D1134</f>
        <v/>
      </c>
      <c r="D1134">
        <f>Sources!E1134</f>
        <v/>
      </c>
      <c r="E1134">
        <f>Sources!F1134</f>
        <v/>
      </c>
      <c r="F1134">
        <f>Sources!H1134</f>
        <v/>
      </c>
      <c r="G1134">
        <f>IF(ABS(F1134-ROUND(F1134,0))&lt;0.001,1,0)</f>
        <v/>
      </c>
      <c r="H1134">
        <f>IF(G1134=1,F1134,CEILING(F1134,1))</f>
        <v/>
      </c>
      <c r="I1134">
        <f>IF(G1134=1,0,(H1134-F1134)*E1134)</f>
        <v/>
      </c>
      <c r="J1134">
        <f>E1134*F1134</f>
        <v/>
      </c>
    </row>
    <row r="1135">
      <c r="A1135">
        <f>Sources!A1135</f>
        <v/>
      </c>
      <c r="B1135">
        <f>Sources!B1135</f>
        <v/>
      </c>
      <c r="C1135">
        <f>Sources!D1135</f>
        <v/>
      </c>
      <c r="D1135">
        <f>Sources!E1135</f>
        <v/>
      </c>
      <c r="E1135">
        <f>Sources!F1135</f>
        <v/>
      </c>
      <c r="F1135">
        <f>Sources!H1135</f>
        <v/>
      </c>
      <c r="G1135">
        <f>IF(ABS(F1135-ROUND(F1135,0))&lt;0.001,1,0)</f>
        <v/>
      </c>
      <c r="H1135">
        <f>IF(G1135=1,F1135,CEILING(F1135,1))</f>
        <v/>
      </c>
      <c r="I1135">
        <f>IF(G1135=1,0,(H1135-F1135)*E1135)</f>
        <v/>
      </c>
      <c r="J1135">
        <f>E1135*F1135</f>
        <v/>
      </c>
    </row>
    <row r="1136">
      <c r="A1136">
        <f>Sources!A1136</f>
        <v/>
      </c>
      <c r="B1136">
        <f>Sources!B1136</f>
        <v/>
      </c>
      <c r="C1136">
        <f>Sources!D1136</f>
        <v/>
      </c>
      <c r="D1136">
        <f>Sources!E1136</f>
        <v/>
      </c>
      <c r="E1136">
        <f>Sources!F1136</f>
        <v/>
      </c>
      <c r="F1136">
        <f>Sources!H1136</f>
        <v/>
      </c>
      <c r="G1136">
        <f>IF(ABS(F1136-ROUND(F1136,0))&lt;0.001,1,0)</f>
        <v/>
      </c>
      <c r="H1136">
        <f>IF(G1136=1,F1136,CEILING(F1136,1))</f>
        <v/>
      </c>
      <c r="I1136">
        <f>IF(G1136=1,0,(H1136-F1136)*E1136)</f>
        <v/>
      </c>
      <c r="J1136">
        <f>E1136*F1136</f>
        <v/>
      </c>
    </row>
    <row r="1137">
      <c r="A1137">
        <f>Sources!A1137</f>
        <v/>
      </c>
      <c r="B1137">
        <f>Sources!B1137</f>
        <v/>
      </c>
      <c r="C1137">
        <f>Sources!D1137</f>
        <v/>
      </c>
      <c r="D1137">
        <f>Sources!E1137</f>
        <v/>
      </c>
      <c r="E1137">
        <f>Sources!F1137</f>
        <v/>
      </c>
      <c r="F1137">
        <f>Sources!H1137</f>
        <v/>
      </c>
      <c r="G1137">
        <f>IF(ABS(F1137-ROUND(F1137,0))&lt;0.001,1,0)</f>
        <v/>
      </c>
      <c r="H1137">
        <f>IF(G1137=1,F1137,CEILING(F1137,1))</f>
        <v/>
      </c>
      <c r="I1137">
        <f>IF(G1137=1,0,(H1137-F1137)*E1137)</f>
        <v/>
      </c>
      <c r="J1137">
        <f>E1137*F1137</f>
        <v/>
      </c>
    </row>
    <row r="1138">
      <c r="A1138">
        <f>Sources!A1138</f>
        <v/>
      </c>
      <c r="B1138">
        <f>Sources!B1138</f>
        <v/>
      </c>
      <c r="C1138">
        <f>Sources!D1138</f>
        <v/>
      </c>
      <c r="D1138">
        <f>Sources!E1138</f>
        <v/>
      </c>
      <c r="E1138">
        <f>Sources!F1138</f>
        <v/>
      </c>
      <c r="F1138">
        <f>Sources!H1138</f>
        <v/>
      </c>
      <c r="G1138">
        <f>IF(ABS(F1138-ROUND(F1138,0))&lt;0.001,1,0)</f>
        <v/>
      </c>
      <c r="H1138">
        <f>IF(G1138=1,F1138,CEILING(F1138,1))</f>
        <v/>
      </c>
      <c r="I1138">
        <f>IF(G1138=1,0,(H1138-F1138)*E1138)</f>
        <v/>
      </c>
      <c r="J1138">
        <f>E1138*F1138</f>
        <v/>
      </c>
    </row>
    <row r="1139">
      <c r="A1139">
        <f>Sources!A1139</f>
        <v/>
      </c>
      <c r="B1139">
        <f>Sources!B1139</f>
        <v/>
      </c>
      <c r="C1139">
        <f>Sources!D1139</f>
        <v/>
      </c>
      <c r="D1139">
        <f>Sources!E1139</f>
        <v/>
      </c>
      <c r="E1139">
        <f>Sources!F1139</f>
        <v/>
      </c>
      <c r="F1139">
        <f>Sources!H1139</f>
        <v/>
      </c>
      <c r="G1139">
        <f>IF(ABS(F1139-ROUND(F1139,0))&lt;0.001,1,0)</f>
        <v/>
      </c>
      <c r="H1139">
        <f>IF(G1139=1,F1139,CEILING(F1139,1))</f>
        <v/>
      </c>
      <c r="I1139">
        <f>IF(G1139=1,0,(H1139-F1139)*E1139)</f>
        <v/>
      </c>
      <c r="J1139">
        <f>E1139*F1139</f>
        <v/>
      </c>
    </row>
    <row r="1140">
      <c r="A1140">
        <f>Sources!A1140</f>
        <v/>
      </c>
      <c r="B1140">
        <f>Sources!B1140</f>
        <v/>
      </c>
      <c r="C1140">
        <f>Sources!D1140</f>
        <v/>
      </c>
      <c r="D1140">
        <f>Sources!E1140</f>
        <v/>
      </c>
      <c r="E1140">
        <f>Sources!F1140</f>
        <v/>
      </c>
      <c r="F1140">
        <f>Sources!H1140</f>
        <v/>
      </c>
      <c r="G1140">
        <f>IF(ABS(F1140-ROUND(F1140,0))&lt;0.001,1,0)</f>
        <v/>
      </c>
      <c r="H1140">
        <f>IF(G1140=1,F1140,CEILING(F1140,1))</f>
        <v/>
      </c>
      <c r="I1140">
        <f>IF(G1140=1,0,(H1140-F1140)*E1140)</f>
        <v/>
      </c>
      <c r="J1140">
        <f>E1140*F1140</f>
        <v/>
      </c>
    </row>
    <row r="1141">
      <c r="A1141">
        <f>Sources!A1141</f>
        <v/>
      </c>
      <c r="B1141">
        <f>Sources!B1141</f>
        <v/>
      </c>
      <c r="C1141">
        <f>Sources!D1141</f>
        <v/>
      </c>
      <c r="D1141">
        <f>Sources!E1141</f>
        <v/>
      </c>
      <c r="E1141">
        <f>Sources!F1141</f>
        <v/>
      </c>
      <c r="F1141">
        <f>Sources!H1141</f>
        <v/>
      </c>
      <c r="G1141">
        <f>IF(ABS(F1141-ROUND(F1141,0))&lt;0.001,1,0)</f>
        <v/>
      </c>
      <c r="H1141">
        <f>IF(G1141=1,F1141,CEILING(F1141,1))</f>
        <v/>
      </c>
      <c r="I1141">
        <f>IF(G1141=1,0,(H1141-F1141)*E1141)</f>
        <v/>
      </c>
      <c r="J1141">
        <f>E1141*F1141</f>
        <v/>
      </c>
    </row>
    <row r="1142">
      <c r="A1142">
        <f>Sources!A1142</f>
        <v/>
      </c>
      <c r="B1142">
        <f>Sources!B1142</f>
        <v/>
      </c>
      <c r="C1142">
        <f>Sources!D1142</f>
        <v/>
      </c>
      <c r="D1142">
        <f>Sources!E1142</f>
        <v/>
      </c>
      <c r="E1142">
        <f>Sources!F1142</f>
        <v/>
      </c>
      <c r="F1142">
        <f>Sources!H1142</f>
        <v/>
      </c>
      <c r="G1142">
        <f>IF(ABS(F1142-ROUND(F1142,0))&lt;0.001,1,0)</f>
        <v/>
      </c>
      <c r="H1142">
        <f>IF(G1142=1,F1142,CEILING(F1142,1))</f>
        <v/>
      </c>
      <c r="I1142">
        <f>IF(G1142=1,0,(H1142-F1142)*E1142)</f>
        <v/>
      </c>
      <c r="J1142">
        <f>E1142*F1142</f>
        <v/>
      </c>
    </row>
    <row r="1143">
      <c r="A1143">
        <f>Sources!A1143</f>
        <v/>
      </c>
      <c r="B1143">
        <f>Sources!B1143</f>
        <v/>
      </c>
      <c r="C1143">
        <f>Sources!D1143</f>
        <v/>
      </c>
      <c r="D1143">
        <f>Sources!E1143</f>
        <v/>
      </c>
      <c r="E1143">
        <f>Sources!F1143</f>
        <v/>
      </c>
      <c r="F1143">
        <f>Sources!H1143</f>
        <v/>
      </c>
      <c r="G1143">
        <f>IF(ABS(F1143-ROUND(F1143,0))&lt;0.001,1,0)</f>
        <v/>
      </c>
      <c r="H1143">
        <f>IF(G1143=1,F1143,CEILING(F1143,1))</f>
        <v/>
      </c>
      <c r="I1143">
        <f>IF(G1143=1,0,(H1143-F1143)*E1143)</f>
        <v/>
      </c>
      <c r="J1143">
        <f>E1143*F1143</f>
        <v/>
      </c>
    </row>
    <row r="1144">
      <c r="A1144">
        <f>Sources!A1144</f>
        <v/>
      </c>
      <c r="B1144">
        <f>Sources!B1144</f>
        <v/>
      </c>
      <c r="C1144">
        <f>Sources!D1144</f>
        <v/>
      </c>
      <c r="D1144">
        <f>Sources!E1144</f>
        <v/>
      </c>
      <c r="E1144">
        <f>Sources!F1144</f>
        <v/>
      </c>
      <c r="F1144">
        <f>Sources!H1144</f>
        <v/>
      </c>
      <c r="G1144">
        <f>IF(ABS(F1144-ROUND(F1144,0))&lt;0.001,1,0)</f>
        <v/>
      </c>
      <c r="H1144">
        <f>IF(G1144=1,F1144,CEILING(F1144,1))</f>
        <v/>
      </c>
      <c r="I1144">
        <f>IF(G1144=1,0,(H1144-F1144)*E1144)</f>
        <v/>
      </c>
      <c r="J1144">
        <f>E1144*F1144</f>
        <v/>
      </c>
    </row>
    <row r="1145">
      <c r="A1145">
        <f>Sources!A1145</f>
        <v/>
      </c>
      <c r="B1145">
        <f>Sources!B1145</f>
        <v/>
      </c>
      <c r="C1145">
        <f>Sources!D1145</f>
        <v/>
      </c>
      <c r="D1145">
        <f>Sources!E1145</f>
        <v/>
      </c>
      <c r="E1145">
        <f>Sources!F1145</f>
        <v/>
      </c>
      <c r="F1145">
        <f>Sources!H1145</f>
        <v/>
      </c>
      <c r="G1145">
        <f>IF(ABS(F1145-ROUND(F1145,0))&lt;0.001,1,0)</f>
        <v/>
      </c>
      <c r="H1145">
        <f>IF(G1145=1,F1145,CEILING(F1145,1))</f>
        <v/>
      </c>
      <c r="I1145">
        <f>IF(G1145=1,0,(H1145-F1145)*E1145)</f>
        <v/>
      </c>
      <c r="J1145">
        <f>E1145*F1145</f>
        <v/>
      </c>
    </row>
    <row r="1146">
      <c r="A1146">
        <f>Sources!A1146</f>
        <v/>
      </c>
      <c r="B1146">
        <f>Sources!B1146</f>
        <v/>
      </c>
      <c r="C1146">
        <f>Sources!D1146</f>
        <v/>
      </c>
      <c r="D1146">
        <f>Sources!E1146</f>
        <v/>
      </c>
      <c r="E1146">
        <f>Sources!F1146</f>
        <v/>
      </c>
      <c r="F1146">
        <f>Sources!H1146</f>
        <v/>
      </c>
      <c r="G1146">
        <f>IF(ABS(F1146-ROUND(F1146,0))&lt;0.001,1,0)</f>
        <v/>
      </c>
      <c r="H1146">
        <f>IF(G1146=1,F1146,CEILING(F1146,1))</f>
        <v/>
      </c>
      <c r="I1146">
        <f>IF(G1146=1,0,(H1146-F1146)*E1146)</f>
        <v/>
      </c>
      <c r="J1146">
        <f>E1146*F1146</f>
        <v/>
      </c>
    </row>
    <row r="1147">
      <c r="A1147">
        <f>Sources!A1147</f>
        <v/>
      </c>
      <c r="B1147">
        <f>Sources!B1147</f>
        <v/>
      </c>
      <c r="C1147">
        <f>Sources!D1147</f>
        <v/>
      </c>
      <c r="D1147">
        <f>Sources!E1147</f>
        <v/>
      </c>
      <c r="E1147">
        <f>Sources!F1147</f>
        <v/>
      </c>
      <c r="F1147">
        <f>Sources!H1147</f>
        <v/>
      </c>
      <c r="G1147">
        <f>IF(ABS(F1147-ROUND(F1147,0))&lt;0.001,1,0)</f>
        <v/>
      </c>
      <c r="H1147">
        <f>IF(G1147=1,F1147,CEILING(F1147,1))</f>
        <v/>
      </c>
      <c r="I1147">
        <f>IF(G1147=1,0,(H1147-F1147)*E1147)</f>
        <v/>
      </c>
      <c r="J1147">
        <f>E1147*F1147</f>
        <v/>
      </c>
    </row>
    <row r="1148">
      <c r="A1148">
        <f>Sources!A1148</f>
        <v/>
      </c>
      <c r="B1148">
        <f>Sources!B1148</f>
        <v/>
      </c>
      <c r="C1148">
        <f>Sources!D1148</f>
        <v/>
      </c>
      <c r="D1148">
        <f>Sources!E1148</f>
        <v/>
      </c>
      <c r="E1148">
        <f>Sources!F1148</f>
        <v/>
      </c>
      <c r="F1148">
        <f>Sources!H1148</f>
        <v/>
      </c>
      <c r="G1148">
        <f>IF(ABS(F1148-ROUND(F1148,0))&lt;0.001,1,0)</f>
        <v/>
      </c>
      <c r="H1148">
        <f>IF(G1148=1,F1148,CEILING(F1148,1))</f>
        <v/>
      </c>
      <c r="I1148">
        <f>IF(G1148=1,0,(H1148-F1148)*E1148)</f>
        <v/>
      </c>
      <c r="J1148">
        <f>E1148*F1148</f>
        <v/>
      </c>
    </row>
    <row r="1149">
      <c r="A1149">
        <f>Sources!A1149</f>
        <v/>
      </c>
      <c r="B1149">
        <f>Sources!B1149</f>
        <v/>
      </c>
      <c r="C1149">
        <f>Sources!D1149</f>
        <v/>
      </c>
      <c r="D1149">
        <f>Sources!E1149</f>
        <v/>
      </c>
      <c r="E1149">
        <f>Sources!F1149</f>
        <v/>
      </c>
      <c r="F1149">
        <f>Sources!H1149</f>
        <v/>
      </c>
      <c r="G1149">
        <f>IF(ABS(F1149-ROUND(F1149,0))&lt;0.001,1,0)</f>
        <v/>
      </c>
      <c r="H1149">
        <f>IF(G1149=1,F1149,CEILING(F1149,1))</f>
        <v/>
      </c>
      <c r="I1149">
        <f>IF(G1149=1,0,(H1149-F1149)*E1149)</f>
        <v/>
      </c>
      <c r="J1149">
        <f>E1149*F1149</f>
        <v/>
      </c>
    </row>
    <row r="1150">
      <c r="A1150">
        <f>Sources!A1150</f>
        <v/>
      </c>
      <c r="B1150">
        <f>Sources!B1150</f>
        <v/>
      </c>
      <c r="C1150">
        <f>Sources!D1150</f>
        <v/>
      </c>
      <c r="D1150">
        <f>Sources!E1150</f>
        <v/>
      </c>
      <c r="E1150">
        <f>Sources!F1150</f>
        <v/>
      </c>
      <c r="F1150">
        <f>Sources!H1150</f>
        <v/>
      </c>
      <c r="G1150">
        <f>IF(ABS(F1150-ROUND(F1150,0))&lt;0.001,1,0)</f>
        <v/>
      </c>
      <c r="H1150">
        <f>IF(G1150=1,F1150,CEILING(F1150,1))</f>
        <v/>
      </c>
      <c r="I1150">
        <f>IF(G1150=1,0,(H1150-F1150)*E1150)</f>
        <v/>
      </c>
      <c r="J1150">
        <f>E1150*F1150</f>
        <v/>
      </c>
    </row>
    <row r="1151">
      <c r="A1151">
        <f>Sources!A1151</f>
        <v/>
      </c>
      <c r="B1151">
        <f>Sources!B1151</f>
        <v/>
      </c>
      <c r="C1151">
        <f>Sources!D1151</f>
        <v/>
      </c>
      <c r="D1151">
        <f>Sources!E1151</f>
        <v/>
      </c>
      <c r="E1151">
        <f>Sources!F1151</f>
        <v/>
      </c>
      <c r="F1151">
        <f>Sources!H1151</f>
        <v/>
      </c>
      <c r="G1151">
        <f>IF(ABS(F1151-ROUND(F1151,0))&lt;0.001,1,0)</f>
        <v/>
      </c>
      <c r="H1151">
        <f>IF(G1151=1,F1151,CEILING(F1151,1))</f>
        <v/>
      </c>
      <c r="I1151">
        <f>IF(G1151=1,0,(H1151-F1151)*E1151)</f>
        <v/>
      </c>
      <c r="J1151">
        <f>E1151*F1151</f>
        <v/>
      </c>
    </row>
    <row r="1152">
      <c r="A1152">
        <f>Sources!A1152</f>
        <v/>
      </c>
      <c r="B1152">
        <f>Sources!B1152</f>
        <v/>
      </c>
      <c r="C1152">
        <f>Sources!D1152</f>
        <v/>
      </c>
      <c r="D1152">
        <f>Sources!E1152</f>
        <v/>
      </c>
      <c r="E1152">
        <f>Sources!F1152</f>
        <v/>
      </c>
      <c r="F1152">
        <f>Sources!H1152</f>
        <v/>
      </c>
      <c r="G1152">
        <f>IF(ABS(F1152-ROUND(F1152,0))&lt;0.001,1,0)</f>
        <v/>
      </c>
      <c r="H1152">
        <f>IF(G1152=1,F1152,CEILING(F1152,1))</f>
        <v/>
      </c>
      <c r="I1152">
        <f>IF(G1152=1,0,(H1152-F1152)*E1152)</f>
        <v/>
      </c>
      <c r="J1152">
        <f>E1152*F1152</f>
        <v/>
      </c>
    </row>
    <row r="1153">
      <c r="A1153">
        <f>Sources!A1153</f>
        <v/>
      </c>
      <c r="B1153">
        <f>Sources!B1153</f>
        <v/>
      </c>
      <c r="C1153">
        <f>Sources!D1153</f>
        <v/>
      </c>
      <c r="D1153">
        <f>Sources!E1153</f>
        <v/>
      </c>
      <c r="E1153">
        <f>Sources!F1153</f>
        <v/>
      </c>
      <c r="F1153">
        <f>Sources!H1153</f>
        <v/>
      </c>
      <c r="G1153">
        <f>IF(ABS(F1153-ROUND(F1153,0))&lt;0.001,1,0)</f>
        <v/>
      </c>
      <c r="H1153">
        <f>IF(G1153=1,F1153,CEILING(F1153,1))</f>
        <v/>
      </c>
      <c r="I1153">
        <f>IF(G1153=1,0,(H1153-F1153)*E1153)</f>
        <v/>
      </c>
      <c r="J1153">
        <f>E1153*F1153</f>
        <v/>
      </c>
    </row>
    <row r="1154">
      <c r="A1154">
        <f>Sources!A1154</f>
        <v/>
      </c>
      <c r="B1154">
        <f>Sources!B1154</f>
        <v/>
      </c>
      <c r="C1154">
        <f>Sources!D1154</f>
        <v/>
      </c>
      <c r="D1154">
        <f>Sources!E1154</f>
        <v/>
      </c>
      <c r="E1154">
        <f>Sources!F1154</f>
        <v/>
      </c>
      <c r="F1154">
        <f>Sources!H1154</f>
        <v/>
      </c>
      <c r="G1154">
        <f>IF(ABS(F1154-ROUND(F1154,0))&lt;0.001,1,0)</f>
        <v/>
      </c>
      <c r="H1154">
        <f>IF(G1154=1,F1154,CEILING(F1154,1))</f>
        <v/>
      </c>
      <c r="I1154">
        <f>IF(G1154=1,0,(H1154-F1154)*E1154)</f>
        <v/>
      </c>
      <c r="J1154">
        <f>E1154*F1154</f>
        <v/>
      </c>
    </row>
    <row r="1155">
      <c r="A1155">
        <f>Sources!A1155</f>
        <v/>
      </c>
      <c r="B1155">
        <f>Sources!B1155</f>
        <v/>
      </c>
      <c r="C1155">
        <f>Sources!D1155</f>
        <v/>
      </c>
      <c r="D1155">
        <f>Sources!E1155</f>
        <v/>
      </c>
      <c r="E1155">
        <f>Sources!F1155</f>
        <v/>
      </c>
      <c r="F1155">
        <f>Sources!H1155</f>
        <v/>
      </c>
      <c r="G1155">
        <f>IF(ABS(F1155-ROUND(F1155,0))&lt;0.001,1,0)</f>
        <v/>
      </c>
      <c r="H1155">
        <f>IF(G1155=1,F1155,CEILING(F1155,1))</f>
        <v/>
      </c>
      <c r="I1155">
        <f>IF(G1155=1,0,(H1155-F1155)*E1155)</f>
        <v/>
      </c>
      <c r="J1155">
        <f>E1155*F1155</f>
        <v/>
      </c>
    </row>
    <row r="1156">
      <c r="A1156">
        <f>Sources!A1156</f>
        <v/>
      </c>
      <c r="B1156">
        <f>Sources!B1156</f>
        <v/>
      </c>
      <c r="C1156">
        <f>Sources!D1156</f>
        <v/>
      </c>
      <c r="D1156">
        <f>Sources!E1156</f>
        <v/>
      </c>
      <c r="E1156">
        <f>Sources!F1156</f>
        <v/>
      </c>
      <c r="F1156">
        <f>Sources!H1156</f>
        <v/>
      </c>
      <c r="G1156">
        <f>IF(ABS(F1156-ROUND(F1156,0))&lt;0.001,1,0)</f>
        <v/>
      </c>
      <c r="H1156">
        <f>IF(G1156=1,F1156,CEILING(F1156,1))</f>
        <v/>
      </c>
      <c r="I1156">
        <f>IF(G1156=1,0,(H1156-F1156)*E1156)</f>
        <v/>
      </c>
      <c r="J1156">
        <f>E1156*F1156</f>
        <v/>
      </c>
    </row>
    <row r="1157">
      <c r="A1157">
        <f>Sources!A1157</f>
        <v/>
      </c>
      <c r="B1157">
        <f>Sources!B1157</f>
        <v/>
      </c>
      <c r="C1157">
        <f>Sources!D1157</f>
        <v/>
      </c>
      <c r="D1157">
        <f>Sources!E1157</f>
        <v/>
      </c>
      <c r="E1157">
        <f>Sources!F1157</f>
        <v/>
      </c>
      <c r="F1157">
        <f>Sources!H1157</f>
        <v/>
      </c>
      <c r="G1157">
        <f>IF(ABS(F1157-ROUND(F1157,0))&lt;0.001,1,0)</f>
        <v/>
      </c>
      <c r="H1157">
        <f>IF(G1157=1,F1157,CEILING(F1157,1))</f>
        <v/>
      </c>
      <c r="I1157">
        <f>IF(G1157=1,0,(H1157-F1157)*E1157)</f>
        <v/>
      </c>
      <c r="J1157">
        <f>E1157*F1157</f>
        <v/>
      </c>
    </row>
    <row r="1158">
      <c r="A1158">
        <f>Sources!A1158</f>
        <v/>
      </c>
      <c r="B1158">
        <f>Sources!B1158</f>
        <v/>
      </c>
      <c r="C1158">
        <f>Sources!D1158</f>
        <v/>
      </c>
      <c r="D1158">
        <f>Sources!E1158</f>
        <v/>
      </c>
      <c r="E1158">
        <f>Sources!F1158</f>
        <v/>
      </c>
      <c r="F1158">
        <f>Sources!H1158</f>
        <v/>
      </c>
      <c r="G1158">
        <f>IF(ABS(F1158-ROUND(F1158,0))&lt;0.001,1,0)</f>
        <v/>
      </c>
      <c r="H1158">
        <f>IF(G1158=1,F1158,CEILING(F1158,1))</f>
        <v/>
      </c>
      <c r="I1158">
        <f>IF(G1158=1,0,(H1158-F1158)*E1158)</f>
        <v/>
      </c>
      <c r="J1158">
        <f>E1158*F1158</f>
        <v/>
      </c>
    </row>
    <row r="1159">
      <c r="A1159">
        <f>Sources!A1159</f>
        <v/>
      </c>
      <c r="B1159">
        <f>Sources!B1159</f>
        <v/>
      </c>
      <c r="C1159">
        <f>Sources!D1159</f>
        <v/>
      </c>
      <c r="D1159">
        <f>Sources!E1159</f>
        <v/>
      </c>
      <c r="E1159">
        <f>Sources!F1159</f>
        <v/>
      </c>
      <c r="F1159">
        <f>Sources!H1159</f>
        <v/>
      </c>
      <c r="G1159">
        <f>IF(ABS(F1159-ROUND(F1159,0))&lt;0.001,1,0)</f>
        <v/>
      </c>
      <c r="H1159">
        <f>IF(G1159=1,F1159,CEILING(F1159,1))</f>
        <v/>
      </c>
      <c r="I1159">
        <f>IF(G1159=1,0,(H1159-F1159)*E1159)</f>
        <v/>
      </c>
      <c r="J1159">
        <f>E1159*F1159</f>
        <v/>
      </c>
    </row>
    <row r="1160">
      <c r="A1160">
        <f>Sources!A1160</f>
        <v/>
      </c>
      <c r="B1160">
        <f>Sources!B1160</f>
        <v/>
      </c>
      <c r="C1160">
        <f>Sources!D1160</f>
        <v/>
      </c>
      <c r="D1160">
        <f>Sources!E1160</f>
        <v/>
      </c>
      <c r="E1160">
        <f>Sources!F1160</f>
        <v/>
      </c>
      <c r="F1160">
        <f>Sources!H1160</f>
        <v/>
      </c>
      <c r="G1160">
        <f>IF(ABS(F1160-ROUND(F1160,0))&lt;0.001,1,0)</f>
        <v/>
      </c>
      <c r="H1160">
        <f>IF(G1160=1,F1160,CEILING(F1160,1))</f>
        <v/>
      </c>
      <c r="I1160">
        <f>IF(G1160=1,0,(H1160-F1160)*E1160)</f>
        <v/>
      </c>
      <c r="J1160">
        <f>E1160*F1160</f>
        <v/>
      </c>
    </row>
    <row r="1161">
      <c r="A1161">
        <f>Sources!A1161</f>
        <v/>
      </c>
      <c r="B1161">
        <f>Sources!B1161</f>
        <v/>
      </c>
      <c r="C1161">
        <f>Sources!D1161</f>
        <v/>
      </c>
      <c r="D1161">
        <f>Sources!E1161</f>
        <v/>
      </c>
      <c r="E1161">
        <f>Sources!F1161</f>
        <v/>
      </c>
      <c r="F1161">
        <f>Sources!H1161</f>
        <v/>
      </c>
      <c r="G1161">
        <f>IF(ABS(F1161-ROUND(F1161,0))&lt;0.001,1,0)</f>
        <v/>
      </c>
      <c r="H1161">
        <f>IF(G1161=1,F1161,CEILING(F1161,1))</f>
        <v/>
      </c>
      <c r="I1161">
        <f>IF(G1161=1,0,(H1161-F1161)*E1161)</f>
        <v/>
      </c>
      <c r="J1161">
        <f>E1161*F1161</f>
        <v/>
      </c>
    </row>
    <row r="1162">
      <c r="A1162">
        <f>Sources!A1162</f>
        <v/>
      </c>
      <c r="B1162">
        <f>Sources!B1162</f>
        <v/>
      </c>
      <c r="C1162">
        <f>Sources!D1162</f>
        <v/>
      </c>
      <c r="D1162">
        <f>Sources!E1162</f>
        <v/>
      </c>
      <c r="E1162">
        <f>Sources!F1162</f>
        <v/>
      </c>
      <c r="F1162">
        <f>Sources!H1162</f>
        <v/>
      </c>
      <c r="G1162">
        <f>IF(ABS(F1162-ROUND(F1162,0))&lt;0.001,1,0)</f>
        <v/>
      </c>
      <c r="H1162">
        <f>IF(G1162=1,F1162,CEILING(F1162,1))</f>
        <v/>
      </c>
      <c r="I1162">
        <f>IF(G1162=1,0,(H1162-F1162)*E1162)</f>
        <v/>
      </c>
      <c r="J1162">
        <f>E1162*F1162</f>
        <v/>
      </c>
    </row>
    <row r="1163">
      <c r="A1163">
        <f>Sources!A1163</f>
        <v/>
      </c>
      <c r="B1163">
        <f>Sources!B1163</f>
        <v/>
      </c>
      <c r="C1163">
        <f>Sources!D1163</f>
        <v/>
      </c>
      <c r="D1163">
        <f>Sources!E1163</f>
        <v/>
      </c>
      <c r="E1163">
        <f>Sources!F1163</f>
        <v/>
      </c>
      <c r="F1163">
        <f>Sources!H1163</f>
        <v/>
      </c>
      <c r="G1163">
        <f>IF(ABS(F1163-ROUND(F1163,0))&lt;0.001,1,0)</f>
        <v/>
      </c>
      <c r="H1163">
        <f>IF(G1163=1,F1163,CEILING(F1163,1))</f>
        <v/>
      </c>
      <c r="I1163">
        <f>IF(G1163=1,0,(H1163-F1163)*E1163)</f>
        <v/>
      </c>
      <c r="J1163">
        <f>E1163*F1163</f>
        <v/>
      </c>
    </row>
    <row r="1164">
      <c r="A1164">
        <f>Sources!A1164</f>
        <v/>
      </c>
      <c r="B1164">
        <f>Sources!B1164</f>
        <v/>
      </c>
      <c r="C1164">
        <f>Sources!D1164</f>
        <v/>
      </c>
      <c r="D1164">
        <f>Sources!E1164</f>
        <v/>
      </c>
      <c r="E1164">
        <f>Sources!F1164</f>
        <v/>
      </c>
      <c r="F1164">
        <f>Sources!H1164</f>
        <v/>
      </c>
      <c r="G1164">
        <f>IF(ABS(F1164-ROUND(F1164,0))&lt;0.001,1,0)</f>
        <v/>
      </c>
      <c r="H1164">
        <f>IF(G1164=1,F1164,CEILING(F1164,1))</f>
        <v/>
      </c>
      <c r="I1164">
        <f>IF(G1164=1,0,(H1164-F1164)*E1164)</f>
        <v/>
      </c>
      <c r="J1164">
        <f>E1164*F1164</f>
        <v/>
      </c>
    </row>
    <row r="1165">
      <c r="A1165">
        <f>Sources!A1165</f>
        <v/>
      </c>
      <c r="B1165">
        <f>Sources!B1165</f>
        <v/>
      </c>
      <c r="C1165">
        <f>Sources!D1165</f>
        <v/>
      </c>
      <c r="D1165">
        <f>Sources!E1165</f>
        <v/>
      </c>
      <c r="E1165">
        <f>Sources!F1165</f>
        <v/>
      </c>
      <c r="F1165">
        <f>Sources!H1165</f>
        <v/>
      </c>
      <c r="G1165">
        <f>IF(ABS(F1165-ROUND(F1165,0))&lt;0.001,1,0)</f>
        <v/>
      </c>
      <c r="H1165">
        <f>IF(G1165=1,F1165,CEILING(F1165,1))</f>
        <v/>
      </c>
      <c r="I1165">
        <f>IF(G1165=1,0,(H1165-F1165)*E1165)</f>
        <v/>
      </c>
      <c r="J1165">
        <f>E1165*F1165</f>
        <v/>
      </c>
    </row>
    <row r="1166">
      <c r="A1166">
        <f>Sources!A1166</f>
        <v/>
      </c>
      <c r="B1166">
        <f>Sources!B1166</f>
        <v/>
      </c>
      <c r="C1166">
        <f>Sources!D1166</f>
        <v/>
      </c>
      <c r="D1166">
        <f>Sources!E1166</f>
        <v/>
      </c>
      <c r="E1166">
        <f>Sources!F1166</f>
        <v/>
      </c>
      <c r="F1166">
        <f>Sources!H1166</f>
        <v/>
      </c>
      <c r="G1166">
        <f>IF(ABS(F1166-ROUND(F1166,0))&lt;0.001,1,0)</f>
        <v/>
      </c>
      <c r="H1166">
        <f>IF(G1166=1,F1166,CEILING(F1166,1))</f>
        <v/>
      </c>
      <c r="I1166">
        <f>IF(G1166=1,0,(H1166-F1166)*E1166)</f>
        <v/>
      </c>
      <c r="J1166">
        <f>E1166*F1166</f>
        <v/>
      </c>
    </row>
    <row r="1167">
      <c r="A1167">
        <f>Sources!A1167</f>
        <v/>
      </c>
      <c r="B1167">
        <f>Sources!B1167</f>
        <v/>
      </c>
      <c r="C1167">
        <f>Sources!D1167</f>
        <v/>
      </c>
      <c r="D1167">
        <f>Sources!E1167</f>
        <v/>
      </c>
      <c r="E1167">
        <f>Sources!F1167</f>
        <v/>
      </c>
      <c r="F1167">
        <f>Sources!H1167</f>
        <v/>
      </c>
      <c r="G1167">
        <f>IF(ABS(F1167-ROUND(F1167,0))&lt;0.001,1,0)</f>
        <v/>
      </c>
      <c r="H1167">
        <f>IF(G1167=1,F1167,CEILING(F1167,1))</f>
        <v/>
      </c>
      <c r="I1167">
        <f>IF(G1167=1,0,(H1167-F1167)*E1167)</f>
        <v/>
      </c>
      <c r="J1167">
        <f>E1167*F1167</f>
        <v/>
      </c>
    </row>
    <row r="1168">
      <c r="A1168">
        <f>Sources!A1168</f>
        <v/>
      </c>
      <c r="B1168">
        <f>Sources!B1168</f>
        <v/>
      </c>
      <c r="C1168">
        <f>Sources!D1168</f>
        <v/>
      </c>
      <c r="D1168">
        <f>Sources!E1168</f>
        <v/>
      </c>
      <c r="E1168">
        <f>Sources!F1168</f>
        <v/>
      </c>
      <c r="F1168">
        <f>Sources!H1168</f>
        <v/>
      </c>
      <c r="G1168">
        <f>IF(ABS(F1168-ROUND(F1168,0))&lt;0.001,1,0)</f>
        <v/>
      </c>
      <c r="H1168">
        <f>IF(G1168=1,F1168,CEILING(F1168,1))</f>
        <v/>
      </c>
      <c r="I1168">
        <f>IF(G1168=1,0,(H1168-F1168)*E1168)</f>
        <v/>
      </c>
      <c r="J1168">
        <f>E1168*F1168</f>
        <v/>
      </c>
    </row>
    <row r="1169">
      <c r="A1169">
        <f>Sources!A1169</f>
        <v/>
      </c>
      <c r="B1169">
        <f>Sources!B1169</f>
        <v/>
      </c>
      <c r="C1169">
        <f>Sources!D1169</f>
        <v/>
      </c>
      <c r="D1169">
        <f>Sources!E1169</f>
        <v/>
      </c>
      <c r="E1169">
        <f>Sources!F1169</f>
        <v/>
      </c>
      <c r="F1169">
        <f>Sources!H1169</f>
        <v/>
      </c>
      <c r="G1169">
        <f>IF(ABS(F1169-ROUND(F1169,0))&lt;0.001,1,0)</f>
        <v/>
      </c>
      <c r="H1169">
        <f>IF(G1169=1,F1169,CEILING(F1169,1))</f>
        <v/>
      </c>
      <c r="I1169">
        <f>IF(G1169=1,0,(H1169-F1169)*E1169)</f>
        <v/>
      </c>
      <c r="J1169">
        <f>E1169*F1169</f>
        <v/>
      </c>
    </row>
    <row r="1170">
      <c r="A1170">
        <f>Sources!A1170</f>
        <v/>
      </c>
      <c r="B1170">
        <f>Sources!B1170</f>
        <v/>
      </c>
      <c r="C1170">
        <f>Sources!D1170</f>
        <v/>
      </c>
      <c r="D1170">
        <f>Sources!E1170</f>
        <v/>
      </c>
      <c r="E1170">
        <f>Sources!F1170</f>
        <v/>
      </c>
      <c r="F1170">
        <f>Sources!H1170</f>
        <v/>
      </c>
      <c r="G1170">
        <f>IF(ABS(F1170-ROUND(F1170,0))&lt;0.001,1,0)</f>
        <v/>
      </c>
      <c r="H1170">
        <f>IF(G1170=1,F1170,CEILING(F1170,1))</f>
        <v/>
      </c>
      <c r="I1170">
        <f>IF(G1170=1,0,(H1170-F1170)*E1170)</f>
        <v/>
      </c>
      <c r="J1170">
        <f>E1170*F1170</f>
        <v/>
      </c>
    </row>
    <row r="1171">
      <c r="A1171">
        <f>Sources!A1171</f>
        <v/>
      </c>
      <c r="B1171">
        <f>Sources!B1171</f>
        <v/>
      </c>
      <c r="C1171">
        <f>Sources!D1171</f>
        <v/>
      </c>
      <c r="D1171">
        <f>Sources!E1171</f>
        <v/>
      </c>
      <c r="E1171">
        <f>Sources!F1171</f>
        <v/>
      </c>
      <c r="F1171">
        <f>Sources!H1171</f>
        <v/>
      </c>
      <c r="G1171">
        <f>IF(ABS(F1171-ROUND(F1171,0))&lt;0.001,1,0)</f>
        <v/>
      </c>
      <c r="H1171">
        <f>IF(G1171=1,F1171,CEILING(F1171,1))</f>
        <v/>
      </c>
      <c r="I1171">
        <f>IF(G1171=1,0,(H1171-F1171)*E1171)</f>
        <v/>
      </c>
      <c r="J1171">
        <f>E1171*F1171</f>
        <v/>
      </c>
    </row>
    <row r="1172">
      <c r="A1172">
        <f>Sources!A1172</f>
        <v/>
      </c>
      <c r="B1172">
        <f>Sources!B1172</f>
        <v/>
      </c>
      <c r="C1172">
        <f>Sources!D1172</f>
        <v/>
      </c>
      <c r="D1172">
        <f>Sources!E1172</f>
        <v/>
      </c>
      <c r="E1172">
        <f>Sources!F1172</f>
        <v/>
      </c>
      <c r="F1172">
        <f>Sources!H1172</f>
        <v/>
      </c>
      <c r="G1172">
        <f>IF(ABS(F1172-ROUND(F1172,0))&lt;0.001,1,0)</f>
        <v/>
      </c>
      <c r="H1172">
        <f>IF(G1172=1,F1172,CEILING(F1172,1))</f>
        <v/>
      </c>
      <c r="I1172">
        <f>IF(G1172=1,0,(H1172-F1172)*E1172)</f>
        <v/>
      </c>
      <c r="J1172">
        <f>E1172*F1172</f>
        <v/>
      </c>
    </row>
    <row r="1173">
      <c r="A1173">
        <f>Sources!A1173</f>
        <v/>
      </c>
      <c r="B1173">
        <f>Sources!B1173</f>
        <v/>
      </c>
      <c r="C1173">
        <f>Sources!D1173</f>
        <v/>
      </c>
      <c r="D1173">
        <f>Sources!E1173</f>
        <v/>
      </c>
      <c r="E1173">
        <f>Sources!F1173</f>
        <v/>
      </c>
      <c r="F1173">
        <f>Sources!H1173</f>
        <v/>
      </c>
      <c r="G1173">
        <f>IF(ABS(F1173-ROUND(F1173,0))&lt;0.001,1,0)</f>
        <v/>
      </c>
      <c r="H1173">
        <f>IF(G1173=1,F1173,CEILING(F1173,1))</f>
        <v/>
      </c>
      <c r="I1173">
        <f>IF(G1173=1,0,(H1173-F1173)*E1173)</f>
        <v/>
      </c>
      <c r="J1173">
        <f>E1173*F1173</f>
        <v/>
      </c>
    </row>
    <row r="1174">
      <c r="A1174">
        <f>Sources!A1174</f>
        <v/>
      </c>
      <c r="B1174">
        <f>Sources!B1174</f>
        <v/>
      </c>
      <c r="C1174">
        <f>Sources!D1174</f>
        <v/>
      </c>
      <c r="D1174">
        <f>Sources!E1174</f>
        <v/>
      </c>
      <c r="E1174">
        <f>Sources!F1174</f>
        <v/>
      </c>
      <c r="F1174">
        <f>Sources!H1174</f>
        <v/>
      </c>
      <c r="G1174">
        <f>IF(ABS(F1174-ROUND(F1174,0))&lt;0.001,1,0)</f>
        <v/>
      </c>
      <c r="H1174">
        <f>IF(G1174=1,F1174,CEILING(F1174,1))</f>
        <v/>
      </c>
      <c r="I1174">
        <f>IF(G1174=1,0,(H1174-F1174)*E1174)</f>
        <v/>
      </c>
      <c r="J1174">
        <f>E1174*F1174</f>
        <v/>
      </c>
    </row>
    <row r="1175">
      <c r="A1175">
        <f>Sources!A1175</f>
        <v/>
      </c>
      <c r="B1175">
        <f>Sources!B1175</f>
        <v/>
      </c>
      <c r="C1175">
        <f>Sources!D1175</f>
        <v/>
      </c>
      <c r="D1175">
        <f>Sources!E1175</f>
        <v/>
      </c>
      <c r="E1175">
        <f>Sources!F1175</f>
        <v/>
      </c>
      <c r="F1175">
        <f>Sources!H1175</f>
        <v/>
      </c>
      <c r="G1175">
        <f>IF(ABS(F1175-ROUND(F1175,0))&lt;0.001,1,0)</f>
        <v/>
      </c>
      <c r="H1175">
        <f>IF(G1175=1,F1175,CEILING(F1175,1))</f>
        <v/>
      </c>
      <c r="I1175">
        <f>IF(G1175=1,0,(H1175-F1175)*E1175)</f>
        <v/>
      </c>
      <c r="J1175">
        <f>E1175*F1175</f>
        <v/>
      </c>
    </row>
    <row r="1176">
      <c r="A1176">
        <f>Sources!A1176</f>
        <v/>
      </c>
      <c r="B1176">
        <f>Sources!B1176</f>
        <v/>
      </c>
      <c r="C1176">
        <f>Sources!D1176</f>
        <v/>
      </c>
      <c r="D1176">
        <f>Sources!E1176</f>
        <v/>
      </c>
      <c r="E1176">
        <f>Sources!F1176</f>
        <v/>
      </c>
      <c r="F1176">
        <f>Sources!H1176</f>
        <v/>
      </c>
      <c r="G1176">
        <f>IF(ABS(F1176-ROUND(F1176,0))&lt;0.001,1,0)</f>
        <v/>
      </c>
      <c r="H1176">
        <f>IF(G1176=1,F1176,CEILING(F1176,1))</f>
        <v/>
      </c>
      <c r="I1176">
        <f>IF(G1176=1,0,(H1176-F1176)*E1176)</f>
        <v/>
      </c>
      <c r="J1176">
        <f>E1176*F1176</f>
        <v/>
      </c>
    </row>
    <row r="1177">
      <c r="A1177">
        <f>Sources!A1177</f>
        <v/>
      </c>
      <c r="B1177">
        <f>Sources!B1177</f>
        <v/>
      </c>
      <c r="C1177">
        <f>Sources!D1177</f>
        <v/>
      </c>
      <c r="D1177">
        <f>Sources!E1177</f>
        <v/>
      </c>
      <c r="E1177">
        <f>Sources!F1177</f>
        <v/>
      </c>
      <c r="F1177">
        <f>Sources!H1177</f>
        <v/>
      </c>
      <c r="G1177">
        <f>IF(ABS(F1177-ROUND(F1177,0))&lt;0.001,1,0)</f>
        <v/>
      </c>
      <c r="H1177">
        <f>IF(G1177=1,F1177,CEILING(F1177,1))</f>
        <v/>
      </c>
      <c r="I1177">
        <f>IF(G1177=1,0,(H1177-F1177)*E1177)</f>
        <v/>
      </c>
      <c r="J1177">
        <f>E1177*F1177</f>
        <v/>
      </c>
    </row>
    <row r="1178">
      <c r="A1178">
        <f>Sources!A1178</f>
        <v/>
      </c>
      <c r="B1178">
        <f>Sources!B1178</f>
        <v/>
      </c>
      <c r="C1178">
        <f>Sources!D1178</f>
        <v/>
      </c>
      <c r="D1178">
        <f>Sources!E1178</f>
        <v/>
      </c>
      <c r="E1178">
        <f>Sources!F1178</f>
        <v/>
      </c>
      <c r="F1178">
        <f>Sources!H1178</f>
        <v/>
      </c>
      <c r="G1178">
        <f>IF(ABS(F1178-ROUND(F1178,0))&lt;0.001,1,0)</f>
        <v/>
      </c>
      <c r="H1178">
        <f>IF(G1178=1,F1178,CEILING(F1178,1))</f>
        <v/>
      </c>
      <c r="I1178">
        <f>IF(G1178=1,0,(H1178-F1178)*E1178)</f>
        <v/>
      </c>
      <c r="J1178">
        <f>E1178*F1178</f>
        <v/>
      </c>
    </row>
    <row r="1179">
      <c r="A1179">
        <f>Sources!A1179</f>
        <v/>
      </c>
      <c r="B1179">
        <f>Sources!B1179</f>
        <v/>
      </c>
      <c r="C1179">
        <f>Sources!D1179</f>
        <v/>
      </c>
      <c r="D1179">
        <f>Sources!E1179</f>
        <v/>
      </c>
      <c r="E1179">
        <f>Sources!F1179</f>
        <v/>
      </c>
      <c r="F1179">
        <f>Sources!H1179</f>
        <v/>
      </c>
      <c r="G1179">
        <f>IF(ABS(F1179-ROUND(F1179,0))&lt;0.001,1,0)</f>
        <v/>
      </c>
      <c r="H1179">
        <f>IF(G1179=1,F1179,CEILING(F1179,1))</f>
        <v/>
      </c>
      <c r="I1179">
        <f>IF(G1179=1,0,(H1179-F1179)*E1179)</f>
        <v/>
      </c>
      <c r="J1179">
        <f>E1179*F1179</f>
        <v/>
      </c>
    </row>
    <row r="1180">
      <c r="A1180">
        <f>Sources!A1180</f>
        <v/>
      </c>
      <c r="B1180">
        <f>Sources!B1180</f>
        <v/>
      </c>
      <c r="C1180">
        <f>Sources!D1180</f>
        <v/>
      </c>
      <c r="D1180">
        <f>Sources!E1180</f>
        <v/>
      </c>
      <c r="E1180">
        <f>Sources!F1180</f>
        <v/>
      </c>
      <c r="F1180">
        <f>Sources!H1180</f>
        <v/>
      </c>
      <c r="G1180">
        <f>IF(ABS(F1180-ROUND(F1180,0))&lt;0.001,1,0)</f>
        <v/>
      </c>
      <c r="H1180">
        <f>IF(G1180=1,F1180,CEILING(F1180,1))</f>
        <v/>
      </c>
      <c r="I1180">
        <f>IF(G1180=1,0,(H1180-F1180)*E1180)</f>
        <v/>
      </c>
      <c r="J1180">
        <f>E1180*F1180</f>
        <v/>
      </c>
    </row>
    <row r="1181">
      <c r="A1181">
        <f>Sources!A1181</f>
        <v/>
      </c>
      <c r="B1181">
        <f>Sources!B1181</f>
        <v/>
      </c>
      <c r="C1181">
        <f>Sources!D1181</f>
        <v/>
      </c>
      <c r="D1181">
        <f>Sources!E1181</f>
        <v/>
      </c>
      <c r="E1181">
        <f>Sources!F1181</f>
        <v/>
      </c>
      <c r="F1181">
        <f>Sources!H1181</f>
        <v/>
      </c>
      <c r="G1181">
        <f>IF(ABS(F1181-ROUND(F1181,0))&lt;0.001,1,0)</f>
        <v/>
      </c>
      <c r="H1181">
        <f>IF(G1181=1,F1181,CEILING(F1181,1))</f>
        <v/>
      </c>
      <c r="I1181">
        <f>IF(G1181=1,0,(H1181-F1181)*E1181)</f>
        <v/>
      </c>
      <c r="J1181">
        <f>E1181*F1181</f>
        <v/>
      </c>
    </row>
    <row r="1182">
      <c r="A1182">
        <f>Sources!A1182</f>
        <v/>
      </c>
      <c r="B1182">
        <f>Sources!B1182</f>
        <v/>
      </c>
      <c r="C1182">
        <f>Sources!D1182</f>
        <v/>
      </c>
      <c r="D1182">
        <f>Sources!E1182</f>
        <v/>
      </c>
      <c r="E1182">
        <f>Sources!F1182</f>
        <v/>
      </c>
      <c r="F1182">
        <f>Sources!H1182</f>
        <v/>
      </c>
      <c r="G1182">
        <f>IF(ABS(F1182-ROUND(F1182,0))&lt;0.001,1,0)</f>
        <v/>
      </c>
      <c r="H1182">
        <f>IF(G1182=1,F1182,CEILING(F1182,1))</f>
        <v/>
      </c>
      <c r="I1182">
        <f>IF(G1182=1,0,(H1182-F1182)*E1182)</f>
        <v/>
      </c>
      <c r="J1182">
        <f>E1182*F1182</f>
        <v/>
      </c>
    </row>
    <row r="1183">
      <c r="A1183">
        <f>Sources!A1183</f>
        <v/>
      </c>
      <c r="B1183">
        <f>Sources!B1183</f>
        <v/>
      </c>
      <c r="C1183">
        <f>Sources!D1183</f>
        <v/>
      </c>
      <c r="D1183">
        <f>Sources!E1183</f>
        <v/>
      </c>
      <c r="E1183">
        <f>Sources!F1183</f>
        <v/>
      </c>
      <c r="F1183">
        <f>Sources!H1183</f>
        <v/>
      </c>
      <c r="G1183">
        <f>IF(ABS(F1183-ROUND(F1183,0))&lt;0.001,1,0)</f>
        <v/>
      </c>
      <c r="H1183">
        <f>IF(G1183=1,F1183,CEILING(F1183,1))</f>
        <v/>
      </c>
      <c r="I1183">
        <f>IF(G1183=1,0,(H1183-F1183)*E1183)</f>
        <v/>
      </c>
      <c r="J1183">
        <f>E1183*F1183</f>
        <v/>
      </c>
    </row>
    <row r="1184">
      <c r="A1184">
        <f>Sources!A1184</f>
        <v/>
      </c>
      <c r="B1184">
        <f>Sources!B1184</f>
        <v/>
      </c>
      <c r="C1184">
        <f>Sources!D1184</f>
        <v/>
      </c>
      <c r="D1184">
        <f>Sources!E1184</f>
        <v/>
      </c>
      <c r="E1184">
        <f>Sources!F1184</f>
        <v/>
      </c>
      <c r="F1184">
        <f>Sources!H1184</f>
        <v/>
      </c>
      <c r="G1184">
        <f>IF(ABS(F1184-ROUND(F1184,0))&lt;0.001,1,0)</f>
        <v/>
      </c>
      <c r="H1184">
        <f>IF(G1184=1,F1184,CEILING(F1184,1))</f>
        <v/>
      </c>
      <c r="I1184">
        <f>IF(G1184=1,0,(H1184-F1184)*E1184)</f>
        <v/>
      </c>
      <c r="J1184">
        <f>E1184*F1184</f>
        <v/>
      </c>
    </row>
    <row r="1185">
      <c r="A1185">
        <f>Sources!A1185</f>
        <v/>
      </c>
      <c r="B1185">
        <f>Sources!B1185</f>
        <v/>
      </c>
      <c r="C1185">
        <f>Sources!D1185</f>
        <v/>
      </c>
      <c r="D1185">
        <f>Sources!E1185</f>
        <v/>
      </c>
      <c r="E1185">
        <f>Sources!F1185</f>
        <v/>
      </c>
      <c r="F1185">
        <f>Sources!H1185</f>
        <v/>
      </c>
      <c r="G1185">
        <f>IF(ABS(F1185-ROUND(F1185,0))&lt;0.001,1,0)</f>
        <v/>
      </c>
      <c r="H1185">
        <f>IF(G1185=1,F1185,CEILING(F1185,1))</f>
        <v/>
      </c>
      <c r="I1185">
        <f>IF(G1185=1,0,(H1185-F1185)*E1185)</f>
        <v/>
      </c>
      <c r="J1185">
        <f>E1185*F1185</f>
        <v/>
      </c>
    </row>
    <row r="1186">
      <c r="A1186">
        <f>Sources!A1186</f>
        <v/>
      </c>
      <c r="B1186">
        <f>Sources!B1186</f>
        <v/>
      </c>
      <c r="C1186">
        <f>Sources!D1186</f>
        <v/>
      </c>
      <c r="D1186">
        <f>Sources!E1186</f>
        <v/>
      </c>
      <c r="E1186">
        <f>Sources!F1186</f>
        <v/>
      </c>
      <c r="F1186">
        <f>Sources!H1186</f>
        <v/>
      </c>
      <c r="G1186">
        <f>IF(ABS(F1186-ROUND(F1186,0))&lt;0.001,1,0)</f>
        <v/>
      </c>
      <c r="H1186">
        <f>IF(G1186=1,F1186,CEILING(F1186,1))</f>
        <v/>
      </c>
      <c r="I1186">
        <f>IF(G1186=1,0,(H1186-F1186)*E1186)</f>
        <v/>
      </c>
      <c r="J1186">
        <f>E1186*F1186</f>
        <v/>
      </c>
    </row>
    <row r="1187">
      <c r="A1187">
        <f>Sources!A1187</f>
        <v/>
      </c>
      <c r="B1187">
        <f>Sources!B1187</f>
        <v/>
      </c>
      <c r="C1187">
        <f>Sources!D1187</f>
        <v/>
      </c>
      <c r="D1187">
        <f>Sources!E1187</f>
        <v/>
      </c>
      <c r="E1187">
        <f>Sources!F1187</f>
        <v/>
      </c>
      <c r="F1187">
        <f>Sources!H1187</f>
        <v/>
      </c>
      <c r="G1187">
        <f>IF(ABS(F1187-ROUND(F1187,0))&lt;0.001,1,0)</f>
        <v/>
      </c>
      <c r="H1187">
        <f>IF(G1187=1,F1187,CEILING(F1187,1))</f>
        <v/>
      </c>
      <c r="I1187">
        <f>IF(G1187=1,0,(H1187-F1187)*E1187)</f>
        <v/>
      </c>
      <c r="J1187">
        <f>E1187*F1187</f>
        <v/>
      </c>
    </row>
    <row r="1188">
      <c r="A1188">
        <f>Sources!A1188</f>
        <v/>
      </c>
      <c r="B1188">
        <f>Sources!B1188</f>
        <v/>
      </c>
      <c r="C1188">
        <f>Sources!D1188</f>
        <v/>
      </c>
      <c r="D1188">
        <f>Sources!E1188</f>
        <v/>
      </c>
      <c r="E1188">
        <f>Sources!F1188</f>
        <v/>
      </c>
      <c r="F1188">
        <f>Sources!H1188</f>
        <v/>
      </c>
      <c r="G1188">
        <f>IF(ABS(F1188-ROUND(F1188,0))&lt;0.001,1,0)</f>
        <v/>
      </c>
      <c r="H1188">
        <f>IF(G1188=1,F1188,CEILING(F1188,1))</f>
        <v/>
      </c>
      <c r="I1188">
        <f>IF(G1188=1,0,(H1188-F1188)*E1188)</f>
        <v/>
      </c>
      <c r="J1188">
        <f>E1188*F1188</f>
        <v/>
      </c>
    </row>
    <row r="1189">
      <c r="A1189">
        <f>Sources!A1189</f>
        <v/>
      </c>
      <c r="B1189">
        <f>Sources!B1189</f>
        <v/>
      </c>
      <c r="C1189">
        <f>Sources!D1189</f>
        <v/>
      </c>
      <c r="D1189">
        <f>Sources!E1189</f>
        <v/>
      </c>
      <c r="E1189">
        <f>Sources!F1189</f>
        <v/>
      </c>
      <c r="F1189">
        <f>Sources!H1189</f>
        <v/>
      </c>
      <c r="G1189">
        <f>IF(ABS(F1189-ROUND(F1189,0))&lt;0.001,1,0)</f>
        <v/>
      </c>
      <c r="H1189">
        <f>IF(G1189=1,F1189,CEILING(F1189,1))</f>
        <v/>
      </c>
      <c r="I1189">
        <f>IF(G1189=1,0,(H1189-F1189)*E1189)</f>
        <v/>
      </c>
      <c r="J1189">
        <f>E1189*F1189</f>
        <v/>
      </c>
    </row>
    <row r="1190">
      <c r="A1190">
        <f>Sources!A1190</f>
        <v/>
      </c>
      <c r="B1190">
        <f>Sources!B1190</f>
        <v/>
      </c>
      <c r="C1190">
        <f>Sources!D1190</f>
        <v/>
      </c>
      <c r="D1190">
        <f>Sources!E1190</f>
        <v/>
      </c>
      <c r="E1190">
        <f>Sources!F1190</f>
        <v/>
      </c>
      <c r="F1190">
        <f>Sources!H1190</f>
        <v/>
      </c>
      <c r="G1190">
        <f>IF(ABS(F1190-ROUND(F1190,0))&lt;0.001,1,0)</f>
        <v/>
      </c>
      <c r="H1190">
        <f>IF(G1190=1,F1190,CEILING(F1190,1))</f>
        <v/>
      </c>
      <c r="I1190">
        <f>IF(G1190=1,0,(H1190-F1190)*E1190)</f>
        <v/>
      </c>
      <c r="J1190">
        <f>E1190*F1190</f>
        <v/>
      </c>
    </row>
    <row r="1191">
      <c r="A1191">
        <f>Sources!A1191</f>
        <v/>
      </c>
      <c r="B1191">
        <f>Sources!B1191</f>
        <v/>
      </c>
      <c r="C1191">
        <f>Sources!D1191</f>
        <v/>
      </c>
      <c r="D1191">
        <f>Sources!E1191</f>
        <v/>
      </c>
      <c r="E1191">
        <f>Sources!F1191</f>
        <v/>
      </c>
      <c r="F1191">
        <f>Sources!H1191</f>
        <v/>
      </c>
      <c r="G1191">
        <f>IF(ABS(F1191-ROUND(F1191,0))&lt;0.001,1,0)</f>
        <v/>
      </c>
      <c r="H1191">
        <f>IF(G1191=1,F1191,CEILING(F1191,1))</f>
        <v/>
      </c>
      <c r="I1191">
        <f>IF(G1191=1,0,(H1191-F1191)*E1191)</f>
        <v/>
      </c>
      <c r="J1191">
        <f>E1191*F1191</f>
        <v/>
      </c>
    </row>
    <row r="1192">
      <c r="A1192">
        <f>Sources!A1192</f>
        <v/>
      </c>
      <c r="B1192">
        <f>Sources!B1192</f>
        <v/>
      </c>
      <c r="C1192">
        <f>Sources!D1192</f>
        <v/>
      </c>
      <c r="D1192">
        <f>Sources!E1192</f>
        <v/>
      </c>
      <c r="E1192">
        <f>Sources!F1192</f>
        <v/>
      </c>
      <c r="F1192">
        <f>Sources!H1192</f>
        <v/>
      </c>
      <c r="G1192">
        <f>IF(ABS(F1192-ROUND(F1192,0))&lt;0.001,1,0)</f>
        <v/>
      </c>
      <c r="H1192">
        <f>IF(G1192=1,F1192,CEILING(F1192,1))</f>
        <v/>
      </c>
      <c r="I1192">
        <f>IF(G1192=1,0,(H1192-F1192)*E1192)</f>
        <v/>
      </c>
      <c r="J1192">
        <f>E1192*F1192</f>
        <v/>
      </c>
    </row>
    <row r="1193">
      <c r="A1193">
        <f>Sources!A1193</f>
        <v/>
      </c>
      <c r="B1193">
        <f>Sources!B1193</f>
        <v/>
      </c>
      <c r="C1193">
        <f>Sources!D1193</f>
        <v/>
      </c>
      <c r="D1193">
        <f>Sources!E1193</f>
        <v/>
      </c>
      <c r="E1193">
        <f>Sources!F1193</f>
        <v/>
      </c>
      <c r="F1193">
        <f>Sources!H1193</f>
        <v/>
      </c>
      <c r="G1193">
        <f>IF(ABS(F1193-ROUND(F1193,0))&lt;0.001,1,0)</f>
        <v/>
      </c>
      <c r="H1193">
        <f>IF(G1193=1,F1193,CEILING(F1193,1))</f>
        <v/>
      </c>
      <c r="I1193">
        <f>IF(G1193=1,0,(H1193-F1193)*E1193)</f>
        <v/>
      </c>
      <c r="J1193">
        <f>E1193*F1193</f>
        <v/>
      </c>
    </row>
    <row r="1194">
      <c r="A1194">
        <f>Sources!A1194</f>
        <v/>
      </c>
      <c r="B1194">
        <f>Sources!B1194</f>
        <v/>
      </c>
      <c r="C1194">
        <f>Sources!D1194</f>
        <v/>
      </c>
      <c r="D1194">
        <f>Sources!E1194</f>
        <v/>
      </c>
      <c r="E1194">
        <f>Sources!F1194</f>
        <v/>
      </c>
      <c r="F1194">
        <f>Sources!H1194</f>
        <v/>
      </c>
      <c r="G1194">
        <f>IF(ABS(F1194-ROUND(F1194,0))&lt;0.001,1,0)</f>
        <v/>
      </c>
      <c r="H1194">
        <f>IF(G1194=1,F1194,CEILING(F1194,1))</f>
        <v/>
      </c>
      <c r="I1194">
        <f>IF(G1194=1,0,(H1194-F1194)*E1194)</f>
        <v/>
      </c>
      <c r="J1194">
        <f>E1194*F1194</f>
        <v/>
      </c>
    </row>
    <row r="1195">
      <c r="A1195">
        <f>Sources!A1195</f>
        <v/>
      </c>
      <c r="B1195">
        <f>Sources!B1195</f>
        <v/>
      </c>
      <c r="C1195">
        <f>Sources!D1195</f>
        <v/>
      </c>
      <c r="D1195">
        <f>Sources!E1195</f>
        <v/>
      </c>
      <c r="E1195">
        <f>Sources!F1195</f>
        <v/>
      </c>
      <c r="F1195">
        <f>Sources!H1195</f>
        <v/>
      </c>
      <c r="G1195">
        <f>IF(ABS(F1195-ROUND(F1195,0))&lt;0.001,1,0)</f>
        <v/>
      </c>
      <c r="H1195">
        <f>IF(G1195=1,F1195,CEILING(F1195,1))</f>
        <v/>
      </c>
      <c r="I1195">
        <f>IF(G1195=1,0,(H1195-F1195)*E1195)</f>
        <v/>
      </c>
      <c r="J1195">
        <f>E1195*F1195</f>
        <v/>
      </c>
    </row>
    <row r="1196">
      <c r="A1196">
        <f>Sources!A1196</f>
        <v/>
      </c>
      <c r="B1196">
        <f>Sources!B1196</f>
        <v/>
      </c>
      <c r="C1196">
        <f>Sources!D1196</f>
        <v/>
      </c>
      <c r="D1196">
        <f>Sources!E1196</f>
        <v/>
      </c>
      <c r="E1196">
        <f>Sources!F1196</f>
        <v/>
      </c>
      <c r="F1196">
        <f>Sources!H1196</f>
        <v/>
      </c>
      <c r="G1196">
        <f>IF(ABS(F1196-ROUND(F1196,0))&lt;0.001,1,0)</f>
        <v/>
      </c>
      <c r="H1196">
        <f>IF(G1196=1,F1196,CEILING(F1196,1))</f>
        <v/>
      </c>
      <c r="I1196">
        <f>IF(G1196=1,0,(H1196-F1196)*E1196)</f>
        <v/>
      </c>
      <c r="J1196">
        <f>E1196*F1196</f>
        <v/>
      </c>
    </row>
    <row r="1197">
      <c r="A1197">
        <f>Sources!A1197</f>
        <v/>
      </c>
      <c r="B1197">
        <f>Sources!B1197</f>
        <v/>
      </c>
      <c r="C1197">
        <f>Sources!D1197</f>
        <v/>
      </c>
      <c r="D1197">
        <f>Sources!E1197</f>
        <v/>
      </c>
      <c r="E1197">
        <f>Sources!F1197</f>
        <v/>
      </c>
      <c r="F1197">
        <f>Sources!H1197</f>
        <v/>
      </c>
      <c r="G1197">
        <f>IF(ABS(F1197-ROUND(F1197,0))&lt;0.001,1,0)</f>
        <v/>
      </c>
      <c r="H1197">
        <f>IF(G1197=1,F1197,CEILING(F1197,1))</f>
        <v/>
      </c>
      <c r="I1197">
        <f>IF(G1197=1,0,(H1197-F1197)*E1197)</f>
        <v/>
      </c>
      <c r="J1197">
        <f>E1197*F1197</f>
        <v/>
      </c>
    </row>
    <row r="1198">
      <c r="A1198">
        <f>Sources!A1198</f>
        <v/>
      </c>
      <c r="B1198">
        <f>Sources!B1198</f>
        <v/>
      </c>
      <c r="C1198">
        <f>Sources!D1198</f>
        <v/>
      </c>
      <c r="D1198">
        <f>Sources!E1198</f>
        <v/>
      </c>
      <c r="E1198">
        <f>Sources!F1198</f>
        <v/>
      </c>
      <c r="F1198">
        <f>Sources!H1198</f>
        <v/>
      </c>
      <c r="G1198">
        <f>IF(ABS(F1198-ROUND(F1198,0))&lt;0.001,1,0)</f>
        <v/>
      </c>
      <c r="H1198">
        <f>IF(G1198=1,F1198,CEILING(F1198,1))</f>
        <v/>
      </c>
      <c r="I1198">
        <f>IF(G1198=1,0,(H1198-F1198)*E1198)</f>
        <v/>
      </c>
      <c r="J1198">
        <f>E1198*F1198</f>
        <v/>
      </c>
    </row>
    <row r="1199">
      <c r="A1199">
        <f>Sources!A1199</f>
        <v/>
      </c>
      <c r="B1199">
        <f>Sources!B1199</f>
        <v/>
      </c>
      <c r="C1199">
        <f>Sources!D1199</f>
        <v/>
      </c>
      <c r="D1199">
        <f>Sources!E1199</f>
        <v/>
      </c>
      <c r="E1199">
        <f>Sources!F1199</f>
        <v/>
      </c>
      <c r="F1199">
        <f>Sources!H1199</f>
        <v/>
      </c>
      <c r="G1199">
        <f>IF(ABS(F1199-ROUND(F1199,0))&lt;0.001,1,0)</f>
        <v/>
      </c>
      <c r="H1199">
        <f>IF(G1199=1,F1199,CEILING(F1199,1))</f>
        <v/>
      </c>
      <c r="I1199">
        <f>IF(G1199=1,0,(H1199-F1199)*E1199)</f>
        <v/>
      </c>
      <c r="J1199">
        <f>E1199*F1199</f>
        <v/>
      </c>
    </row>
    <row r="1200">
      <c r="A1200">
        <f>Sources!A1200</f>
        <v/>
      </c>
      <c r="B1200">
        <f>Sources!B1200</f>
        <v/>
      </c>
      <c r="C1200">
        <f>Sources!D1200</f>
        <v/>
      </c>
      <c r="D1200">
        <f>Sources!E1200</f>
        <v/>
      </c>
      <c r="E1200">
        <f>Sources!F1200</f>
        <v/>
      </c>
      <c r="F1200">
        <f>Sources!H1200</f>
        <v/>
      </c>
      <c r="G1200">
        <f>IF(ABS(F1200-ROUND(F1200,0))&lt;0.001,1,0)</f>
        <v/>
      </c>
      <c r="H1200">
        <f>IF(G1200=1,F1200,CEILING(F1200,1))</f>
        <v/>
      </c>
      <c r="I1200">
        <f>IF(G1200=1,0,(H1200-F1200)*E1200)</f>
        <v/>
      </c>
      <c r="J1200">
        <f>E1200*F1200</f>
        <v/>
      </c>
    </row>
    <row r="1201">
      <c r="A1201">
        <f>Sources!A1201</f>
        <v/>
      </c>
      <c r="B1201">
        <f>Sources!B1201</f>
        <v/>
      </c>
      <c r="C1201">
        <f>Sources!D1201</f>
        <v/>
      </c>
      <c r="D1201">
        <f>Sources!E1201</f>
        <v/>
      </c>
      <c r="E1201">
        <f>Sources!F1201</f>
        <v/>
      </c>
      <c r="F1201">
        <f>Sources!H1201</f>
        <v/>
      </c>
      <c r="G1201">
        <f>IF(ABS(F1201-ROUND(F1201,0))&lt;0.001,1,0)</f>
        <v/>
      </c>
      <c r="H1201">
        <f>IF(G1201=1,F1201,CEILING(F1201,1))</f>
        <v/>
      </c>
      <c r="I1201">
        <f>IF(G1201=1,0,(H1201-F1201)*E1201)</f>
        <v/>
      </c>
      <c r="J1201">
        <f>E1201*F1201</f>
        <v/>
      </c>
    </row>
    <row r="1202">
      <c r="A1202">
        <f>Sources!A1202</f>
        <v/>
      </c>
      <c r="B1202">
        <f>Sources!B1202</f>
        <v/>
      </c>
      <c r="C1202">
        <f>Sources!D1202</f>
        <v/>
      </c>
      <c r="D1202">
        <f>Sources!E1202</f>
        <v/>
      </c>
      <c r="E1202">
        <f>Sources!F1202</f>
        <v/>
      </c>
      <c r="F1202">
        <f>Sources!H1202</f>
        <v/>
      </c>
      <c r="G1202">
        <f>IF(ABS(F1202-ROUND(F1202,0))&lt;0.001,1,0)</f>
        <v/>
      </c>
      <c r="H1202">
        <f>IF(G1202=1,F1202,CEILING(F1202,1))</f>
        <v/>
      </c>
      <c r="I1202">
        <f>IF(G1202=1,0,(H1202-F1202)*E1202)</f>
        <v/>
      </c>
      <c r="J1202">
        <f>E1202*F1202</f>
        <v/>
      </c>
    </row>
    <row r="1203">
      <c r="A1203">
        <f>Sources!A1203</f>
        <v/>
      </c>
      <c r="B1203">
        <f>Sources!B1203</f>
        <v/>
      </c>
      <c r="C1203">
        <f>Sources!D1203</f>
        <v/>
      </c>
      <c r="D1203">
        <f>Sources!E1203</f>
        <v/>
      </c>
      <c r="E1203">
        <f>Sources!F1203</f>
        <v/>
      </c>
      <c r="F1203">
        <f>Sources!H1203</f>
        <v/>
      </c>
      <c r="G1203">
        <f>IF(ABS(F1203-ROUND(F1203,0))&lt;0.001,1,0)</f>
        <v/>
      </c>
      <c r="H1203">
        <f>IF(G1203=1,F1203,CEILING(F1203,1))</f>
        <v/>
      </c>
      <c r="I1203">
        <f>IF(G1203=1,0,(H1203-F1203)*E1203)</f>
        <v/>
      </c>
      <c r="J1203">
        <f>E1203*F1203</f>
        <v/>
      </c>
    </row>
    <row r="1204">
      <c r="A1204">
        <f>Sources!A1204</f>
        <v/>
      </c>
      <c r="B1204">
        <f>Sources!B1204</f>
        <v/>
      </c>
      <c r="C1204">
        <f>Sources!D1204</f>
        <v/>
      </c>
      <c r="D1204">
        <f>Sources!E1204</f>
        <v/>
      </c>
      <c r="E1204">
        <f>Sources!F1204</f>
        <v/>
      </c>
      <c r="F1204">
        <f>Sources!H1204</f>
        <v/>
      </c>
      <c r="G1204">
        <f>IF(ABS(F1204-ROUND(F1204,0))&lt;0.001,1,0)</f>
        <v/>
      </c>
      <c r="H1204">
        <f>IF(G1204=1,F1204,CEILING(F1204,1))</f>
        <v/>
      </c>
      <c r="I1204">
        <f>IF(G1204=1,0,(H1204-F1204)*E1204)</f>
        <v/>
      </c>
      <c r="J1204">
        <f>E1204*F1204</f>
        <v/>
      </c>
    </row>
    <row r="1205">
      <c r="A1205">
        <f>Sources!A1205</f>
        <v/>
      </c>
      <c r="B1205">
        <f>Sources!B1205</f>
        <v/>
      </c>
      <c r="C1205">
        <f>Sources!D1205</f>
        <v/>
      </c>
      <c r="D1205">
        <f>Sources!E1205</f>
        <v/>
      </c>
      <c r="E1205">
        <f>Sources!F1205</f>
        <v/>
      </c>
      <c r="F1205">
        <f>Sources!H1205</f>
        <v/>
      </c>
      <c r="G1205">
        <f>IF(ABS(F1205-ROUND(F1205,0))&lt;0.001,1,0)</f>
        <v/>
      </c>
      <c r="H1205">
        <f>IF(G1205=1,F1205,CEILING(F1205,1))</f>
        <v/>
      </c>
      <c r="I1205">
        <f>IF(G1205=1,0,(H1205-F1205)*E1205)</f>
        <v/>
      </c>
      <c r="J1205">
        <f>E1205*F1205</f>
        <v/>
      </c>
    </row>
    <row r="1206">
      <c r="A1206">
        <f>Sources!A1206</f>
        <v/>
      </c>
      <c r="B1206">
        <f>Sources!B1206</f>
        <v/>
      </c>
      <c r="C1206">
        <f>Sources!D1206</f>
        <v/>
      </c>
      <c r="D1206">
        <f>Sources!E1206</f>
        <v/>
      </c>
      <c r="E1206">
        <f>Sources!F1206</f>
        <v/>
      </c>
      <c r="F1206">
        <f>Sources!H1206</f>
        <v/>
      </c>
      <c r="G1206">
        <f>IF(ABS(F1206-ROUND(F1206,0))&lt;0.001,1,0)</f>
        <v/>
      </c>
      <c r="H1206">
        <f>IF(G1206=1,F1206,CEILING(F1206,1))</f>
        <v/>
      </c>
      <c r="I1206">
        <f>IF(G1206=1,0,(H1206-F1206)*E1206)</f>
        <v/>
      </c>
      <c r="J1206">
        <f>E1206*F1206</f>
        <v/>
      </c>
    </row>
    <row r="1207">
      <c r="A1207">
        <f>Sources!A1207</f>
        <v/>
      </c>
      <c r="B1207">
        <f>Sources!B1207</f>
        <v/>
      </c>
      <c r="C1207">
        <f>Sources!D1207</f>
        <v/>
      </c>
      <c r="D1207">
        <f>Sources!E1207</f>
        <v/>
      </c>
      <c r="E1207">
        <f>Sources!F1207</f>
        <v/>
      </c>
      <c r="F1207">
        <f>Sources!H1207</f>
        <v/>
      </c>
      <c r="G1207">
        <f>IF(ABS(F1207-ROUND(F1207,0))&lt;0.001,1,0)</f>
        <v/>
      </c>
      <c r="H1207">
        <f>IF(G1207=1,F1207,CEILING(F1207,1))</f>
        <v/>
      </c>
      <c r="I1207">
        <f>IF(G1207=1,0,(H1207-F1207)*E1207)</f>
        <v/>
      </c>
      <c r="J1207">
        <f>E1207*F1207</f>
        <v/>
      </c>
    </row>
    <row r="1208">
      <c r="A1208">
        <f>Sources!A1208</f>
        <v/>
      </c>
      <c r="B1208">
        <f>Sources!B1208</f>
        <v/>
      </c>
      <c r="C1208">
        <f>Sources!D1208</f>
        <v/>
      </c>
      <c r="D1208">
        <f>Sources!E1208</f>
        <v/>
      </c>
      <c r="E1208">
        <f>Sources!F1208</f>
        <v/>
      </c>
      <c r="F1208">
        <f>Sources!H1208</f>
        <v/>
      </c>
      <c r="G1208">
        <f>IF(ABS(F1208-ROUND(F1208,0))&lt;0.001,1,0)</f>
        <v/>
      </c>
      <c r="H1208">
        <f>IF(G1208=1,F1208,CEILING(F1208,1))</f>
        <v/>
      </c>
      <c r="I1208">
        <f>IF(G1208=1,0,(H1208-F1208)*E1208)</f>
        <v/>
      </c>
      <c r="J1208">
        <f>E1208*F1208</f>
        <v/>
      </c>
    </row>
    <row r="1209">
      <c r="A1209">
        <f>Sources!A1209</f>
        <v/>
      </c>
      <c r="B1209">
        <f>Sources!B1209</f>
        <v/>
      </c>
      <c r="C1209">
        <f>Sources!D1209</f>
        <v/>
      </c>
      <c r="D1209">
        <f>Sources!E1209</f>
        <v/>
      </c>
      <c r="E1209">
        <f>Sources!F1209</f>
        <v/>
      </c>
      <c r="F1209">
        <f>Sources!H1209</f>
        <v/>
      </c>
      <c r="G1209">
        <f>IF(ABS(F1209-ROUND(F1209,0))&lt;0.001,1,0)</f>
        <v/>
      </c>
      <c r="H1209">
        <f>IF(G1209=1,F1209,CEILING(F1209,1))</f>
        <v/>
      </c>
      <c r="I1209">
        <f>IF(G1209=1,0,(H1209-F1209)*E1209)</f>
        <v/>
      </c>
      <c r="J1209">
        <f>E1209*F1209</f>
        <v/>
      </c>
    </row>
    <row r="1210">
      <c r="A1210">
        <f>Sources!A1210</f>
        <v/>
      </c>
      <c r="B1210">
        <f>Sources!B1210</f>
        <v/>
      </c>
      <c r="C1210">
        <f>Sources!D1210</f>
        <v/>
      </c>
      <c r="D1210">
        <f>Sources!E1210</f>
        <v/>
      </c>
      <c r="E1210">
        <f>Sources!F1210</f>
        <v/>
      </c>
      <c r="F1210">
        <f>Sources!H1210</f>
        <v/>
      </c>
      <c r="G1210">
        <f>IF(ABS(F1210-ROUND(F1210,0))&lt;0.001,1,0)</f>
        <v/>
      </c>
      <c r="H1210">
        <f>IF(G1210=1,F1210,CEILING(F1210,1))</f>
        <v/>
      </c>
      <c r="I1210">
        <f>IF(G1210=1,0,(H1210-F1210)*E1210)</f>
        <v/>
      </c>
      <c r="J1210">
        <f>E1210*F1210</f>
        <v/>
      </c>
    </row>
    <row r="1211">
      <c r="A1211">
        <f>Sources!A1211</f>
        <v/>
      </c>
      <c r="B1211">
        <f>Sources!B1211</f>
        <v/>
      </c>
      <c r="C1211">
        <f>Sources!D1211</f>
        <v/>
      </c>
      <c r="D1211">
        <f>Sources!E1211</f>
        <v/>
      </c>
      <c r="E1211">
        <f>Sources!F1211</f>
        <v/>
      </c>
      <c r="F1211">
        <f>Sources!H1211</f>
        <v/>
      </c>
      <c r="G1211">
        <f>IF(ABS(F1211-ROUND(F1211,0))&lt;0.001,1,0)</f>
        <v/>
      </c>
      <c r="H1211">
        <f>IF(G1211=1,F1211,CEILING(F1211,1))</f>
        <v/>
      </c>
      <c r="I1211">
        <f>IF(G1211=1,0,(H1211-F1211)*E1211)</f>
        <v/>
      </c>
      <c r="J1211">
        <f>E1211*F1211</f>
        <v/>
      </c>
    </row>
    <row r="1212">
      <c r="A1212">
        <f>Sources!A1212</f>
        <v/>
      </c>
      <c r="B1212">
        <f>Sources!B1212</f>
        <v/>
      </c>
      <c r="C1212">
        <f>Sources!D1212</f>
        <v/>
      </c>
      <c r="D1212">
        <f>Sources!E1212</f>
        <v/>
      </c>
      <c r="E1212">
        <f>Sources!F1212</f>
        <v/>
      </c>
      <c r="F1212">
        <f>Sources!H1212</f>
        <v/>
      </c>
      <c r="G1212">
        <f>IF(ABS(F1212-ROUND(F1212,0))&lt;0.001,1,0)</f>
        <v/>
      </c>
      <c r="H1212">
        <f>IF(G1212=1,F1212,CEILING(F1212,1))</f>
        <v/>
      </c>
      <c r="I1212">
        <f>IF(G1212=1,0,(H1212-F1212)*E1212)</f>
        <v/>
      </c>
      <c r="J1212">
        <f>E1212*F1212</f>
        <v/>
      </c>
    </row>
    <row r="1213">
      <c r="A1213">
        <f>Sources!A1213</f>
        <v/>
      </c>
      <c r="B1213">
        <f>Sources!B1213</f>
        <v/>
      </c>
      <c r="C1213">
        <f>Sources!D1213</f>
        <v/>
      </c>
      <c r="D1213">
        <f>Sources!E1213</f>
        <v/>
      </c>
      <c r="E1213">
        <f>Sources!F1213</f>
        <v/>
      </c>
      <c r="F1213">
        <f>Sources!H1213</f>
        <v/>
      </c>
      <c r="G1213">
        <f>IF(ABS(F1213-ROUND(F1213,0))&lt;0.001,1,0)</f>
        <v/>
      </c>
      <c r="H1213">
        <f>IF(G1213=1,F1213,CEILING(F1213,1))</f>
        <v/>
      </c>
      <c r="I1213">
        <f>IF(G1213=1,0,(H1213-F1213)*E1213)</f>
        <v/>
      </c>
      <c r="J1213">
        <f>E1213*F1213</f>
        <v/>
      </c>
    </row>
    <row r="1214">
      <c r="A1214">
        <f>Sources!A1214</f>
        <v/>
      </c>
      <c r="B1214">
        <f>Sources!B1214</f>
        <v/>
      </c>
      <c r="C1214">
        <f>Sources!D1214</f>
        <v/>
      </c>
      <c r="D1214">
        <f>Sources!E1214</f>
        <v/>
      </c>
      <c r="E1214">
        <f>Sources!F1214</f>
        <v/>
      </c>
      <c r="F1214">
        <f>Sources!H1214</f>
        <v/>
      </c>
      <c r="G1214">
        <f>IF(ABS(F1214-ROUND(F1214,0))&lt;0.001,1,0)</f>
        <v/>
      </c>
      <c r="H1214">
        <f>IF(G1214=1,F1214,CEILING(F1214,1))</f>
        <v/>
      </c>
      <c r="I1214">
        <f>IF(G1214=1,0,(H1214-F1214)*E1214)</f>
        <v/>
      </c>
      <c r="J1214">
        <f>E1214*F1214</f>
        <v/>
      </c>
    </row>
    <row r="1215">
      <c r="A1215">
        <f>Sources!A1215</f>
        <v/>
      </c>
      <c r="B1215">
        <f>Sources!B1215</f>
        <v/>
      </c>
      <c r="C1215">
        <f>Sources!D1215</f>
        <v/>
      </c>
      <c r="D1215">
        <f>Sources!E1215</f>
        <v/>
      </c>
      <c r="E1215">
        <f>Sources!F1215</f>
        <v/>
      </c>
      <c r="F1215">
        <f>Sources!H1215</f>
        <v/>
      </c>
      <c r="G1215">
        <f>IF(ABS(F1215-ROUND(F1215,0))&lt;0.001,1,0)</f>
        <v/>
      </c>
      <c r="H1215">
        <f>IF(G1215=1,F1215,CEILING(F1215,1))</f>
        <v/>
      </c>
      <c r="I1215">
        <f>IF(G1215=1,0,(H1215-F1215)*E1215)</f>
        <v/>
      </c>
      <c r="J1215">
        <f>E1215*F1215</f>
        <v/>
      </c>
    </row>
    <row r="1216">
      <c r="A1216">
        <f>Sources!A1216</f>
        <v/>
      </c>
      <c r="B1216">
        <f>Sources!B1216</f>
        <v/>
      </c>
      <c r="C1216">
        <f>Sources!D1216</f>
        <v/>
      </c>
      <c r="D1216">
        <f>Sources!E1216</f>
        <v/>
      </c>
      <c r="E1216">
        <f>Sources!F1216</f>
        <v/>
      </c>
      <c r="F1216">
        <f>Sources!H1216</f>
        <v/>
      </c>
      <c r="G1216">
        <f>IF(ABS(F1216-ROUND(F1216,0))&lt;0.001,1,0)</f>
        <v/>
      </c>
      <c r="H1216">
        <f>IF(G1216=1,F1216,CEILING(F1216,1))</f>
        <v/>
      </c>
      <c r="I1216">
        <f>IF(G1216=1,0,(H1216-F1216)*E1216)</f>
        <v/>
      </c>
      <c r="J1216">
        <f>E1216*F1216</f>
        <v/>
      </c>
    </row>
    <row r="1217">
      <c r="A1217">
        <f>Sources!A1217</f>
        <v/>
      </c>
      <c r="B1217">
        <f>Sources!B1217</f>
        <v/>
      </c>
      <c r="C1217">
        <f>Sources!D1217</f>
        <v/>
      </c>
      <c r="D1217">
        <f>Sources!E1217</f>
        <v/>
      </c>
      <c r="E1217">
        <f>Sources!F1217</f>
        <v/>
      </c>
      <c r="F1217">
        <f>Sources!H1217</f>
        <v/>
      </c>
      <c r="G1217">
        <f>IF(ABS(F1217-ROUND(F1217,0))&lt;0.001,1,0)</f>
        <v/>
      </c>
      <c r="H1217">
        <f>IF(G1217=1,F1217,CEILING(F1217,1))</f>
        <v/>
      </c>
      <c r="I1217">
        <f>IF(G1217=1,0,(H1217-F1217)*E1217)</f>
        <v/>
      </c>
      <c r="J1217">
        <f>E1217*F1217</f>
        <v/>
      </c>
    </row>
    <row r="1218">
      <c r="A1218">
        <f>Sources!A1218</f>
        <v/>
      </c>
      <c r="B1218">
        <f>Sources!B1218</f>
        <v/>
      </c>
      <c r="C1218">
        <f>Sources!D1218</f>
        <v/>
      </c>
      <c r="D1218">
        <f>Sources!E1218</f>
        <v/>
      </c>
      <c r="E1218">
        <f>Sources!F1218</f>
        <v/>
      </c>
      <c r="F1218">
        <f>Sources!H1218</f>
        <v/>
      </c>
      <c r="G1218">
        <f>IF(ABS(F1218-ROUND(F1218,0))&lt;0.001,1,0)</f>
        <v/>
      </c>
      <c r="H1218">
        <f>IF(G1218=1,F1218,CEILING(F1218,1))</f>
        <v/>
      </c>
      <c r="I1218">
        <f>IF(G1218=1,0,(H1218-F1218)*E1218)</f>
        <v/>
      </c>
      <c r="J1218">
        <f>E1218*F1218</f>
        <v/>
      </c>
    </row>
    <row r="1219">
      <c r="A1219">
        <f>Sources!A1219</f>
        <v/>
      </c>
      <c r="B1219">
        <f>Sources!B1219</f>
        <v/>
      </c>
      <c r="C1219">
        <f>Sources!D1219</f>
        <v/>
      </c>
      <c r="D1219">
        <f>Sources!E1219</f>
        <v/>
      </c>
      <c r="E1219">
        <f>Sources!F1219</f>
        <v/>
      </c>
      <c r="F1219">
        <f>Sources!H1219</f>
        <v/>
      </c>
      <c r="G1219">
        <f>IF(ABS(F1219-ROUND(F1219,0))&lt;0.001,1,0)</f>
        <v/>
      </c>
      <c r="H1219">
        <f>IF(G1219=1,F1219,CEILING(F1219,1))</f>
        <v/>
      </c>
      <c r="I1219">
        <f>IF(G1219=1,0,(H1219-F1219)*E1219)</f>
        <v/>
      </c>
      <c r="J1219">
        <f>E1219*F1219</f>
        <v/>
      </c>
    </row>
    <row r="1220">
      <c r="A1220">
        <f>Sources!A1220</f>
        <v/>
      </c>
      <c r="B1220">
        <f>Sources!B1220</f>
        <v/>
      </c>
      <c r="C1220">
        <f>Sources!D1220</f>
        <v/>
      </c>
      <c r="D1220">
        <f>Sources!E1220</f>
        <v/>
      </c>
      <c r="E1220">
        <f>Sources!F1220</f>
        <v/>
      </c>
      <c r="F1220">
        <f>Sources!H1220</f>
        <v/>
      </c>
      <c r="G1220">
        <f>IF(ABS(F1220-ROUND(F1220,0))&lt;0.001,1,0)</f>
        <v/>
      </c>
      <c r="H1220">
        <f>IF(G1220=1,F1220,CEILING(F1220,1))</f>
        <v/>
      </c>
      <c r="I1220">
        <f>IF(G1220=1,0,(H1220-F1220)*E1220)</f>
        <v/>
      </c>
      <c r="J1220">
        <f>E1220*F1220</f>
        <v/>
      </c>
    </row>
    <row r="1221">
      <c r="A1221">
        <f>Sources!A1221</f>
        <v/>
      </c>
      <c r="B1221">
        <f>Sources!B1221</f>
        <v/>
      </c>
      <c r="C1221">
        <f>Sources!D1221</f>
        <v/>
      </c>
      <c r="D1221">
        <f>Sources!E1221</f>
        <v/>
      </c>
      <c r="E1221">
        <f>Sources!F1221</f>
        <v/>
      </c>
      <c r="F1221">
        <f>Sources!H1221</f>
        <v/>
      </c>
      <c r="G1221">
        <f>IF(ABS(F1221-ROUND(F1221,0))&lt;0.001,1,0)</f>
        <v/>
      </c>
      <c r="H1221">
        <f>IF(G1221=1,F1221,CEILING(F1221,1))</f>
        <v/>
      </c>
      <c r="I1221">
        <f>IF(G1221=1,0,(H1221-F1221)*E1221)</f>
        <v/>
      </c>
      <c r="J1221">
        <f>E1221*F1221</f>
        <v/>
      </c>
    </row>
    <row r="1222">
      <c r="A1222">
        <f>Sources!A1222</f>
        <v/>
      </c>
      <c r="B1222">
        <f>Sources!B1222</f>
        <v/>
      </c>
      <c r="C1222">
        <f>Sources!D1222</f>
        <v/>
      </c>
      <c r="D1222">
        <f>Sources!E1222</f>
        <v/>
      </c>
      <c r="E1222">
        <f>Sources!F1222</f>
        <v/>
      </c>
      <c r="F1222">
        <f>Sources!H1222</f>
        <v/>
      </c>
      <c r="G1222">
        <f>IF(ABS(F1222-ROUND(F1222,0))&lt;0.001,1,0)</f>
        <v/>
      </c>
      <c r="H1222">
        <f>IF(G1222=1,F1222,CEILING(F1222,1))</f>
        <v/>
      </c>
      <c r="I1222">
        <f>IF(G1222=1,0,(H1222-F1222)*E1222)</f>
        <v/>
      </c>
      <c r="J1222">
        <f>E1222*F1222</f>
        <v/>
      </c>
    </row>
    <row r="1223">
      <c r="A1223">
        <f>Sources!A1223</f>
        <v/>
      </c>
      <c r="B1223">
        <f>Sources!B1223</f>
        <v/>
      </c>
      <c r="C1223">
        <f>Sources!D1223</f>
        <v/>
      </c>
      <c r="D1223">
        <f>Sources!E1223</f>
        <v/>
      </c>
      <c r="E1223">
        <f>Sources!F1223</f>
        <v/>
      </c>
      <c r="F1223">
        <f>Sources!H1223</f>
        <v/>
      </c>
      <c r="G1223">
        <f>IF(ABS(F1223-ROUND(F1223,0))&lt;0.001,1,0)</f>
        <v/>
      </c>
      <c r="H1223">
        <f>IF(G1223=1,F1223,CEILING(F1223,1))</f>
        <v/>
      </c>
      <c r="I1223">
        <f>IF(G1223=1,0,(H1223-F1223)*E1223)</f>
        <v/>
      </c>
      <c r="J1223">
        <f>E1223*F1223</f>
        <v/>
      </c>
    </row>
    <row r="1224">
      <c r="A1224">
        <f>Sources!A1224</f>
        <v/>
      </c>
      <c r="B1224">
        <f>Sources!B1224</f>
        <v/>
      </c>
      <c r="C1224">
        <f>Sources!D1224</f>
        <v/>
      </c>
      <c r="D1224">
        <f>Sources!E1224</f>
        <v/>
      </c>
      <c r="E1224">
        <f>Sources!F1224</f>
        <v/>
      </c>
      <c r="F1224">
        <f>Sources!H1224</f>
        <v/>
      </c>
      <c r="G1224">
        <f>IF(ABS(F1224-ROUND(F1224,0))&lt;0.001,1,0)</f>
        <v/>
      </c>
      <c r="H1224">
        <f>IF(G1224=1,F1224,CEILING(F1224,1))</f>
        <v/>
      </c>
      <c r="I1224">
        <f>IF(G1224=1,0,(H1224-F1224)*E1224)</f>
        <v/>
      </c>
      <c r="J1224">
        <f>E1224*F1224</f>
        <v/>
      </c>
    </row>
    <row r="1225">
      <c r="A1225">
        <f>Sources!A1225</f>
        <v/>
      </c>
      <c r="B1225">
        <f>Sources!B1225</f>
        <v/>
      </c>
      <c r="C1225">
        <f>Sources!D1225</f>
        <v/>
      </c>
      <c r="D1225">
        <f>Sources!E1225</f>
        <v/>
      </c>
      <c r="E1225">
        <f>Sources!F1225</f>
        <v/>
      </c>
      <c r="F1225">
        <f>Sources!H1225</f>
        <v/>
      </c>
      <c r="G1225">
        <f>IF(ABS(F1225-ROUND(F1225,0))&lt;0.001,1,0)</f>
        <v/>
      </c>
      <c r="H1225">
        <f>IF(G1225=1,F1225,CEILING(F1225,1))</f>
        <v/>
      </c>
      <c r="I1225">
        <f>IF(G1225=1,0,(H1225-F1225)*E1225)</f>
        <v/>
      </c>
      <c r="J1225">
        <f>E1225*F1225</f>
        <v/>
      </c>
    </row>
    <row r="1226">
      <c r="A1226">
        <f>Sources!A1226</f>
        <v/>
      </c>
      <c r="B1226">
        <f>Sources!B1226</f>
        <v/>
      </c>
      <c r="C1226">
        <f>Sources!D1226</f>
        <v/>
      </c>
      <c r="D1226">
        <f>Sources!E1226</f>
        <v/>
      </c>
      <c r="E1226">
        <f>Sources!F1226</f>
        <v/>
      </c>
      <c r="F1226">
        <f>Sources!H1226</f>
        <v/>
      </c>
      <c r="G1226">
        <f>IF(ABS(F1226-ROUND(F1226,0))&lt;0.001,1,0)</f>
        <v/>
      </c>
      <c r="H1226">
        <f>IF(G1226=1,F1226,CEILING(F1226,1))</f>
        <v/>
      </c>
      <c r="I1226">
        <f>IF(G1226=1,0,(H1226-F1226)*E1226)</f>
        <v/>
      </c>
      <c r="J1226">
        <f>E1226*F1226</f>
        <v/>
      </c>
    </row>
    <row r="1227">
      <c r="A1227">
        <f>Sources!A1227</f>
        <v/>
      </c>
      <c r="B1227">
        <f>Sources!B1227</f>
        <v/>
      </c>
      <c r="C1227">
        <f>Sources!D1227</f>
        <v/>
      </c>
      <c r="D1227">
        <f>Sources!E1227</f>
        <v/>
      </c>
      <c r="E1227">
        <f>Sources!F1227</f>
        <v/>
      </c>
      <c r="F1227">
        <f>Sources!H1227</f>
        <v/>
      </c>
      <c r="G1227">
        <f>IF(ABS(F1227-ROUND(F1227,0))&lt;0.001,1,0)</f>
        <v/>
      </c>
      <c r="H1227">
        <f>IF(G1227=1,F1227,CEILING(F1227,1))</f>
        <v/>
      </c>
      <c r="I1227">
        <f>IF(G1227=1,0,(H1227-F1227)*E1227)</f>
        <v/>
      </c>
      <c r="J1227">
        <f>E1227*F1227</f>
        <v/>
      </c>
    </row>
    <row r="1228">
      <c r="A1228">
        <f>Sources!A1228</f>
        <v/>
      </c>
      <c r="B1228">
        <f>Sources!B1228</f>
        <v/>
      </c>
      <c r="C1228">
        <f>Sources!D1228</f>
        <v/>
      </c>
      <c r="D1228">
        <f>Sources!E1228</f>
        <v/>
      </c>
      <c r="E1228">
        <f>Sources!F1228</f>
        <v/>
      </c>
      <c r="F1228">
        <f>Sources!H1228</f>
        <v/>
      </c>
      <c r="G1228">
        <f>IF(ABS(F1228-ROUND(F1228,0))&lt;0.001,1,0)</f>
        <v/>
      </c>
      <c r="H1228">
        <f>IF(G1228=1,F1228,CEILING(F1228,1))</f>
        <v/>
      </c>
      <c r="I1228">
        <f>IF(G1228=1,0,(H1228-F1228)*E1228)</f>
        <v/>
      </c>
      <c r="J1228">
        <f>E1228*F1228</f>
        <v/>
      </c>
    </row>
    <row r="1229">
      <c r="A1229">
        <f>Sources!A1229</f>
        <v/>
      </c>
      <c r="B1229">
        <f>Sources!B1229</f>
        <v/>
      </c>
      <c r="C1229">
        <f>Sources!D1229</f>
        <v/>
      </c>
      <c r="D1229">
        <f>Sources!E1229</f>
        <v/>
      </c>
      <c r="E1229">
        <f>Sources!F1229</f>
        <v/>
      </c>
      <c r="F1229">
        <f>Sources!H1229</f>
        <v/>
      </c>
      <c r="G1229">
        <f>IF(ABS(F1229-ROUND(F1229,0))&lt;0.001,1,0)</f>
        <v/>
      </c>
      <c r="H1229">
        <f>IF(G1229=1,F1229,CEILING(F1229,1))</f>
        <v/>
      </c>
      <c r="I1229">
        <f>IF(G1229=1,0,(H1229-F1229)*E1229)</f>
        <v/>
      </c>
      <c r="J1229">
        <f>E1229*F1229</f>
        <v/>
      </c>
    </row>
    <row r="1230">
      <c r="A1230">
        <f>Sources!A1230</f>
        <v/>
      </c>
      <c r="B1230">
        <f>Sources!B1230</f>
        <v/>
      </c>
      <c r="C1230">
        <f>Sources!D1230</f>
        <v/>
      </c>
      <c r="D1230">
        <f>Sources!E1230</f>
        <v/>
      </c>
      <c r="E1230">
        <f>Sources!F1230</f>
        <v/>
      </c>
      <c r="F1230">
        <f>Sources!H1230</f>
        <v/>
      </c>
      <c r="G1230">
        <f>IF(ABS(F1230-ROUND(F1230,0))&lt;0.001,1,0)</f>
        <v/>
      </c>
      <c r="H1230">
        <f>IF(G1230=1,F1230,CEILING(F1230,1))</f>
        <v/>
      </c>
      <c r="I1230">
        <f>IF(G1230=1,0,(H1230-F1230)*E1230)</f>
        <v/>
      </c>
      <c r="J1230">
        <f>E1230*F1230</f>
        <v/>
      </c>
    </row>
    <row r="1231">
      <c r="A1231">
        <f>Sources!A1231</f>
        <v/>
      </c>
      <c r="B1231">
        <f>Sources!B1231</f>
        <v/>
      </c>
      <c r="C1231">
        <f>Sources!D1231</f>
        <v/>
      </c>
      <c r="D1231">
        <f>Sources!E1231</f>
        <v/>
      </c>
      <c r="E1231">
        <f>Sources!F1231</f>
        <v/>
      </c>
      <c r="F1231">
        <f>Sources!H1231</f>
        <v/>
      </c>
      <c r="G1231">
        <f>IF(ABS(F1231-ROUND(F1231,0))&lt;0.001,1,0)</f>
        <v/>
      </c>
      <c r="H1231">
        <f>IF(G1231=1,F1231,CEILING(F1231,1))</f>
        <v/>
      </c>
      <c r="I1231">
        <f>IF(G1231=1,0,(H1231-F1231)*E1231)</f>
        <v/>
      </c>
      <c r="J1231">
        <f>E1231*F1231</f>
        <v/>
      </c>
    </row>
    <row r="1232">
      <c r="A1232">
        <f>Sources!A1232</f>
        <v/>
      </c>
      <c r="B1232">
        <f>Sources!B1232</f>
        <v/>
      </c>
      <c r="C1232">
        <f>Sources!D1232</f>
        <v/>
      </c>
      <c r="D1232">
        <f>Sources!E1232</f>
        <v/>
      </c>
      <c r="E1232">
        <f>Sources!F1232</f>
        <v/>
      </c>
      <c r="F1232">
        <f>Sources!H1232</f>
        <v/>
      </c>
      <c r="G1232">
        <f>IF(ABS(F1232-ROUND(F1232,0))&lt;0.001,1,0)</f>
        <v/>
      </c>
      <c r="H1232">
        <f>IF(G1232=1,F1232,CEILING(F1232,1))</f>
        <v/>
      </c>
      <c r="I1232">
        <f>IF(G1232=1,0,(H1232-F1232)*E1232)</f>
        <v/>
      </c>
      <c r="J1232">
        <f>E1232*F1232</f>
        <v/>
      </c>
    </row>
    <row r="1233">
      <c r="A1233">
        <f>Sources!A1233</f>
        <v/>
      </c>
      <c r="B1233">
        <f>Sources!B1233</f>
        <v/>
      </c>
      <c r="C1233">
        <f>Sources!D1233</f>
        <v/>
      </c>
      <c r="D1233">
        <f>Sources!E1233</f>
        <v/>
      </c>
      <c r="E1233">
        <f>Sources!F1233</f>
        <v/>
      </c>
      <c r="F1233">
        <f>Sources!H1233</f>
        <v/>
      </c>
      <c r="G1233">
        <f>IF(ABS(F1233-ROUND(F1233,0))&lt;0.001,1,0)</f>
        <v/>
      </c>
      <c r="H1233">
        <f>IF(G1233=1,F1233,CEILING(F1233,1))</f>
        <v/>
      </c>
      <c r="I1233">
        <f>IF(G1233=1,0,(H1233-F1233)*E1233)</f>
        <v/>
      </c>
      <c r="J1233">
        <f>E1233*F1233</f>
        <v/>
      </c>
    </row>
    <row r="1234">
      <c r="A1234">
        <f>Sources!A1234</f>
        <v/>
      </c>
      <c r="B1234">
        <f>Sources!B1234</f>
        <v/>
      </c>
      <c r="C1234">
        <f>Sources!D1234</f>
        <v/>
      </c>
      <c r="D1234">
        <f>Sources!E1234</f>
        <v/>
      </c>
      <c r="E1234">
        <f>Sources!F1234</f>
        <v/>
      </c>
      <c r="F1234">
        <f>Sources!H1234</f>
        <v/>
      </c>
      <c r="G1234">
        <f>IF(ABS(F1234-ROUND(F1234,0))&lt;0.001,1,0)</f>
        <v/>
      </c>
      <c r="H1234">
        <f>IF(G1234=1,F1234,CEILING(F1234,1))</f>
        <v/>
      </c>
      <c r="I1234">
        <f>IF(G1234=1,0,(H1234-F1234)*E1234)</f>
        <v/>
      </c>
      <c r="J1234">
        <f>E1234*F1234</f>
        <v/>
      </c>
    </row>
    <row r="1235">
      <c r="A1235">
        <f>Sources!A1235</f>
        <v/>
      </c>
      <c r="B1235">
        <f>Sources!B1235</f>
        <v/>
      </c>
      <c r="C1235">
        <f>Sources!D1235</f>
        <v/>
      </c>
      <c r="D1235">
        <f>Sources!E1235</f>
        <v/>
      </c>
      <c r="E1235">
        <f>Sources!F1235</f>
        <v/>
      </c>
      <c r="F1235">
        <f>Sources!H1235</f>
        <v/>
      </c>
      <c r="G1235">
        <f>IF(ABS(F1235-ROUND(F1235,0))&lt;0.001,1,0)</f>
        <v/>
      </c>
      <c r="H1235">
        <f>IF(G1235=1,F1235,CEILING(F1235,1))</f>
        <v/>
      </c>
      <c r="I1235">
        <f>IF(G1235=1,0,(H1235-F1235)*E1235)</f>
        <v/>
      </c>
      <c r="J1235">
        <f>E1235*F1235</f>
        <v/>
      </c>
    </row>
    <row r="1236">
      <c r="A1236">
        <f>Sources!A1236</f>
        <v/>
      </c>
      <c r="B1236">
        <f>Sources!B1236</f>
        <v/>
      </c>
      <c r="C1236">
        <f>Sources!D1236</f>
        <v/>
      </c>
      <c r="D1236">
        <f>Sources!E1236</f>
        <v/>
      </c>
      <c r="E1236">
        <f>Sources!F1236</f>
        <v/>
      </c>
      <c r="F1236">
        <f>Sources!H1236</f>
        <v/>
      </c>
      <c r="G1236">
        <f>IF(ABS(F1236-ROUND(F1236,0))&lt;0.001,1,0)</f>
        <v/>
      </c>
      <c r="H1236">
        <f>IF(G1236=1,F1236,CEILING(F1236,1))</f>
        <v/>
      </c>
      <c r="I1236">
        <f>IF(G1236=1,0,(H1236-F1236)*E1236)</f>
        <v/>
      </c>
      <c r="J1236">
        <f>E1236*F1236</f>
        <v/>
      </c>
    </row>
    <row r="1237">
      <c r="A1237">
        <f>Sources!A1237</f>
        <v/>
      </c>
      <c r="B1237">
        <f>Sources!B1237</f>
        <v/>
      </c>
      <c r="C1237">
        <f>Sources!D1237</f>
        <v/>
      </c>
      <c r="D1237">
        <f>Sources!E1237</f>
        <v/>
      </c>
      <c r="E1237">
        <f>Sources!F1237</f>
        <v/>
      </c>
      <c r="F1237">
        <f>Sources!H1237</f>
        <v/>
      </c>
      <c r="G1237">
        <f>IF(ABS(F1237-ROUND(F1237,0))&lt;0.001,1,0)</f>
        <v/>
      </c>
      <c r="H1237">
        <f>IF(G1237=1,F1237,CEILING(F1237,1))</f>
        <v/>
      </c>
      <c r="I1237">
        <f>IF(G1237=1,0,(H1237-F1237)*E1237)</f>
        <v/>
      </c>
      <c r="J1237">
        <f>E1237*F1237</f>
        <v/>
      </c>
    </row>
    <row r="1238">
      <c r="A1238">
        <f>Sources!A1238</f>
        <v/>
      </c>
      <c r="B1238">
        <f>Sources!B1238</f>
        <v/>
      </c>
      <c r="C1238">
        <f>Sources!D1238</f>
        <v/>
      </c>
      <c r="D1238">
        <f>Sources!E1238</f>
        <v/>
      </c>
      <c r="E1238">
        <f>Sources!F1238</f>
        <v/>
      </c>
      <c r="F1238">
        <f>Sources!H1238</f>
        <v/>
      </c>
      <c r="G1238">
        <f>IF(ABS(F1238-ROUND(F1238,0))&lt;0.001,1,0)</f>
        <v/>
      </c>
      <c r="H1238">
        <f>IF(G1238=1,F1238,CEILING(F1238,1))</f>
        <v/>
      </c>
      <c r="I1238">
        <f>IF(G1238=1,0,(H1238-F1238)*E1238)</f>
        <v/>
      </c>
      <c r="J1238">
        <f>E1238*F1238</f>
        <v/>
      </c>
    </row>
    <row r="1239">
      <c r="A1239">
        <f>Sources!A1239</f>
        <v/>
      </c>
      <c r="B1239">
        <f>Sources!B1239</f>
        <v/>
      </c>
      <c r="C1239">
        <f>Sources!D1239</f>
        <v/>
      </c>
      <c r="D1239">
        <f>Sources!E1239</f>
        <v/>
      </c>
      <c r="E1239">
        <f>Sources!F1239</f>
        <v/>
      </c>
      <c r="F1239">
        <f>Sources!H1239</f>
        <v/>
      </c>
      <c r="G1239">
        <f>IF(ABS(F1239-ROUND(F1239,0))&lt;0.001,1,0)</f>
        <v/>
      </c>
      <c r="H1239">
        <f>IF(G1239=1,F1239,CEILING(F1239,1))</f>
        <v/>
      </c>
      <c r="I1239">
        <f>IF(G1239=1,0,(H1239-F1239)*E1239)</f>
        <v/>
      </c>
      <c r="J1239">
        <f>E1239*F1239</f>
        <v/>
      </c>
    </row>
    <row r="1240">
      <c r="A1240">
        <f>Sources!A1240</f>
        <v/>
      </c>
      <c r="B1240">
        <f>Sources!B1240</f>
        <v/>
      </c>
      <c r="C1240">
        <f>Sources!D1240</f>
        <v/>
      </c>
      <c r="D1240">
        <f>Sources!E1240</f>
        <v/>
      </c>
      <c r="E1240">
        <f>Sources!F1240</f>
        <v/>
      </c>
      <c r="F1240">
        <f>Sources!H1240</f>
        <v/>
      </c>
      <c r="G1240">
        <f>IF(ABS(F1240-ROUND(F1240,0))&lt;0.001,1,0)</f>
        <v/>
      </c>
      <c r="H1240">
        <f>IF(G1240=1,F1240,CEILING(F1240,1))</f>
        <v/>
      </c>
      <c r="I1240">
        <f>IF(G1240=1,0,(H1240-F1240)*E1240)</f>
        <v/>
      </c>
      <c r="J1240">
        <f>E1240*F1240</f>
        <v/>
      </c>
    </row>
    <row r="1241">
      <c r="A1241">
        <f>Sources!A1241</f>
        <v/>
      </c>
      <c r="B1241">
        <f>Sources!B1241</f>
        <v/>
      </c>
      <c r="C1241">
        <f>Sources!D1241</f>
        <v/>
      </c>
      <c r="D1241">
        <f>Sources!E1241</f>
        <v/>
      </c>
      <c r="E1241">
        <f>Sources!F1241</f>
        <v/>
      </c>
      <c r="F1241">
        <f>Sources!H1241</f>
        <v/>
      </c>
      <c r="G1241">
        <f>IF(ABS(F1241-ROUND(F1241,0))&lt;0.001,1,0)</f>
        <v/>
      </c>
      <c r="H1241">
        <f>IF(G1241=1,F1241,CEILING(F1241,1))</f>
        <v/>
      </c>
      <c r="I1241">
        <f>IF(G1241=1,0,(H1241-F1241)*E1241)</f>
        <v/>
      </c>
      <c r="J1241">
        <f>E1241*F1241</f>
        <v/>
      </c>
    </row>
    <row r="1242">
      <c r="A1242">
        <f>Sources!A1242</f>
        <v/>
      </c>
      <c r="B1242">
        <f>Sources!B1242</f>
        <v/>
      </c>
      <c r="C1242">
        <f>Sources!D1242</f>
        <v/>
      </c>
      <c r="D1242">
        <f>Sources!E1242</f>
        <v/>
      </c>
      <c r="E1242">
        <f>Sources!F1242</f>
        <v/>
      </c>
      <c r="F1242">
        <f>Sources!H1242</f>
        <v/>
      </c>
      <c r="G1242">
        <f>IF(ABS(F1242-ROUND(F1242,0))&lt;0.001,1,0)</f>
        <v/>
      </c>
      <c r="H1242">
        <f>IF(G1242=1,F1242,CEILING(F1242,1))</f>
        <v/>
      </c>
      <c r="I1242">
        <f>IF(G1242=1,0,(H1242-F1242)*E1242)</f>
        <v/>
      </c>
      <c r="J1242">
        <f>E1242*F1242</f>
        <v/>
      </c>
    </row>
    <row r="1243">
      <c r="A1243">
        <f>Sources!A1243</f>
        <v/>
      </c>
      <c r="B1243">
        <f>Sources!B1243</f>
        <v/>
      </c>
      <c r="C1243">
        <f>Sources!D1243</f>
        <v/>
      </c>
      <c r="D1243">
        <f>Sources!E1243</f>
        <v/>
      </c>
      <c r="E1243">
        <f>Sources!F1243</f>
        <v/>
      </c>
      <c r="F1243">
        <f>Sources!H1243</f>
        <v/>
      </c>
      <c r="G1243">
        <f>IF(ABS(F1243-ROUND(F1243,0))&lt;0.001,1,0)</f>
        <v/>
      </c>
      <c r="H1243">
        <f>IF(G1243=1,F1243,CEILING(F1243,1))</f>
        <v/>
      </c>
      <c r="I1243">
        <f>IF(G1243=1,0,(H1243-F1243)*E1243)</f>
        <v/>
      </c>
      <c r="J1243">
        <f>E1243*F1243</f>
        <v/>
      </c>
    </row>
    <row r="1244">
      <c r="A1244">
        <f>Sources!A1244</f>
        <v/>
      </c>
      <c r="B1244">
        <f>Sources!B1244</f>
        <v/>
      </c>
      <c r="C1244">
        <f>Sources!D1244</f>
        <v/>
      </c>
      <c r="D1244">
        <f>Sources!E1244</f>
        <v/>
      </c>
      <c r="E1244">
        <f>Sources!F1244</f>
        <v/>
      </c>
      <c r="F1244">
        <f>Sources!H1244</f>
        <v/>
      </c>
      <c r="G1244">
        <f>IF(ABS(F1244-ROUND(F1244,0))&lt;0.001,1,0)</f>
        <v/>
      </c>
      <c r="H1244">
        <f>IF(G1244=1,F1244,CEILING(F1244,1))</f>
        <v/>
      </c>
      <c r="I1244">
        <f>IF(G1244=1,0,(H1244-F1244)*E1244)</f>
        <v/>
      </c>
      <c r="J1244">
        <f>E1244*F1244</f>
        <v/>
      </c>
    </row>
    <row r="1245">
      <c r="A1245">
        <f>Sources!A1245</f>
        <v/>
      </c>
      <c r="B1245">
        <f>Sources!B1245</f>
        <v/>
      </c>
      <c r="C1245">
        <f>Sources!D1245</f>
        <v/>
      </c>
      <c r="D1245">
        <f>Sources!E1245</f>
        <v/>
      </c>
      <c r="E1245">
        <f>Sources!F1245</f>
        <v/>
      </c>
      <c r="F1245">
        <f>Sources!H1245</f>
        <v/>
      </c>
      <c r="G1245">
        <f>IF(ABS(F1245-ROUND(F1245,0))&lt;0.001,1,0)</f>
        <v/>
      </c>
      <c r="H1245">
        <f>IF(G1245=1,F1245,CEILING(F1245,1))</f>
        <v/>
      </c>
      <c r="I1245">
        <f>IF(G1245=1,0,(H1245-F1245)*E1245)</f>
        <v/>
      </c>
      <c r="J1245">
        <f>E1245*F1245</f>
        <v/>
      </c>
    </row>
    <row r="1246">
      <c r="A1246">
        <f>Sources!A1246</f>
        <v/>
      </c>
      <c r="B1246">
        <f>Sources!B1246</f>
        <v/>
      </c>
      <c r="C1246">
        <f>Sources!D1246</f>
        <v/>
      </c>
      <c r="D1246">
        <f>Sources!E1246</f>
        <v/>
      </c>
      <c r="E1246">
        <f>Sources!F1246</f>
        <v/>
      </c>
      <c r="F1246">
        <f>Sources!H1246</f>
        <v/>
      </c>
      <c r="G1246">
        <f>IF(ABS(F1246-ROUND(F1246,0))&lt;0.001,1,0)</f>
        <v/>
      </c>
      <c r="H1246">
        <f>IF(G1246=1,F1246,CEILING(F1246,1))</f>
        <v/>
      </c>
      <c r="I1246">
        <f>IF(G1246=1,0,(H1246-F1246)*E1246)</f>
        <v/>
      </c>
      <c r="J1246">
        <f>E1246*F1246</f>
        <v/>
      </c>
    </row>
    <row r="1247">
      <c r="A1247">
        <f>Sources!A1247</f>
        <v/>
      </c>
      <c r="B1247">
        <f>Sources!B1247</f>
        <v/>
      </c>
      <c r="C1247">
        <f>Sources!D1247</f>
        <v/>
      </c>
      <c r="D1247">
        <f>Sources!E1247</f>
        <v/>
      </c>
      <c r="E1247">
        <f>Sources!F1247</f>
        <v/>
      </c>
      <c r="F1247">
        <f>Sources!H1247</f>
        <v/>
      </c>
      <c r="G1247">
        <f>IF(ABS(F1247-ROUND(F1247,0))&lt;0.001,1,0)</f>
        <v/>
      </c>
      <c r="H1247">
        <f>IF(G1247=1,F1247,CEILING(F1247,1))</f>
        <v/>
      </c>
      <c r="I1247">
        <f>IF(G1247=1,0,(H1247-F1247)*E1247)</f>
        <v/>
      </c>
      <c r="J1247">
        <f>E1247*F1247</f>
        <v/>
      </c>
    </row>
    <row r="1248">
      <c r="A1248">
        <f>Sources!A1248</f>
        <v/>
      </c>
      <c r="B1248">
        <f>Sources!B1248</f>
        <v/>
      </c>
      <c r="C1248">
        <f>Sources!D1248</f>
        <v/>
      </c>
      <c r="D1248">
        <f>Sources!E1248</f>
        <v/>
      </c>
      <c r="E1248">
        <f>Sources!F1248</f>
        <v/>
      </c>
      <c r="F1248">
        <f>Sources!H1248</f>
        <v/>
      </c>
      <c r="G1248">
        <f>IF(ABS(F1248-ROUND(F1248,0))&lt;0.001,1,0)</f>
        <v/>
      </c>
      <c r="H1248">
        <f>IF(G1248=1,F1248,CEILING(F1248,1))</f>
        <v/>
      </c>
      <c r="I1248">
        <f>IF(G1248=1,0,(H1248-F1248)*E1248)</f>
        <v/>
      </c>
      <c r="J1248">
        <f>E1248*F1248</f>
        <v/>
      </c>
    </row>
    <row r="1249">
      <c r="A1249">
        <f>Sources!A1249</f>
        <v/>
      </c>
      <c r="B1249">
        <f>Sources!B1249</f>
        <v/>
      </c>
      <c r="C1249">
        <f>Sources!D1249</f>
        <v/>
      </c>
      <c r="D1249">
        <f>Sources!E1249</f>
        <v/>
      </c>
      <c r="E1249">
        <f>Sources!F1249</f>
        <v/>
      </c>
      <c r="F1249">
        <f>Sources!H1249</f>
        <v/>
      </c>
      <c r="G1249">
        <f>IF(ABS(F1249-ROUND(F1249,0))&lt;0.001,1,0)</f>
        <v/>
      </c>
      <c r="H1249">
        <f>IF(G1249=1,F1249,CEILING(F1249,1))</f>
        <v/>
      </c>
      <c r="I1249">
        <f>IF(G1249=1,0,(H1249-F1249)*E1249)</f>
        <v/>
      </c>
      <c r="J1249">
        <f>E1249*F1249</f>
        <v/>
      </c>
    </row>
    <row r="1250">
      <c r="A1250">
        <f>Sources!A1250</f>
        <v/>
      </c>
      <c r="B1250">
        <f>Sources!B1250</f>
        <v/>
      </c>
      <c r="C1250">
        <f>Sources!D1250</f>
        <v/>
      </c>
      <c r="D1250">
        <f>Sources!E1250</f>
        <v/>
      </c>
      <c r="E1250">
        <f>Sources!F1250</f>
        <v/>
      </c>
      <c r="F1250">
        <f>Sources!H1250</f>
        <v/>
      </c>
      <c r="G1250">
        <f>IF(ABS(F1250-ROUND(F1250,0))&lt;0.001,1,0)</f>
        <v/>
      </c>
      <c r="H1250">
        <f>IF(G1250=1,F1250,CEILING(F1250,1))</f>
        <v/>
      </c>
      <c r="I1250">
        <f>IF(G1250=1,0,(H1250-F1250)*E1250)</f>
        <v/>
      </c>
      <c r="J1250">
        <f>E1250*F1250</f>
        <v/>
      </c>
    </row>
    <row r="1251">
      <c r="A1251">
        <f>Sources!A1251</f>
        <v/>
      </c>
      <c r="B1251">
        <f>Sources!B1251</f>
        <v/>
      </c>
      <c r="C1251">
        <f>Sources!D1251</f>
        <v/>
      </c>
      <c r="D1251">
        <f>Sources!E1251</f>
        <v/>
      </c>
      <c r="E1251">
        <f>Sources!F1251</f>
        <v/>
      </c>
      <c r="F1251">
        <f>Sources!H1251</f>
        <v/>
      </c>
      <c r="G1251">
        <f>IF(ABS(F1251-ROUND(F1251,0))&lt;0.001,1,0)</f>
        <v/>
      </c>
      <c r="H1251">
        <f>IF(G1251=1,F1251,CEILING(F1251,1))</f>
        <v/>
      </c>
      <c r="I1251">
        <f>IF(G1251=1,0,(H1251-F1251)*E1251)</f>
        <v/>
      </c>
      <c r="J1251">
        <f>E1251*F1251</f>
        <v/>
      </c>
    </row>
    <row r="1252">
      <c r="A1252">
        <f>Sources!A1252</f>
        <v/>
      </c>
      <c r="B1252">
        <f>Sources!B1252</f>
        <v/>
      </c>
      <c r="C1252">
        <f>Sources!D1252</f>
        <v/>
      </c>
      <c r="D1252">
        <f>Sources!E1252</f>
        <v/>
      </c>
      <c r="E1252">
        <f>Sources!F1252</f>
        <v/>
      </c>
      <c r="F1252">
        <f>Sources!H1252</f>
        <v/>
      </c>
      <c r="G1252">
        <f>IF(ABS(F1252-ROUND(F1252,0))&lt;0.001,1,0)</f>
        <v/>
      </c>
      <c r="H1252">
        <f>IF(G1252=1,F1252,CEILING(F1252,1))</f>
        <v/>
      </c>
      <c r="I1252">
        <f>IF(G1252=1,0,(H1252-F1252)*E1252)</f>
        <v/>
      </c>
      <c r="J1252">
        <f>E1252*F1252</f>
        <v/>
      </c>
    </row>
    <row r="1253">
      <c r="A1253">
        <f>Sources!A1253</f>
        <v/>
      </c>
      <c r="B1253">
        <f>Sources!B1253</f>
        <v/>
      </c>
      <c r="C1253">
        <f>Sources!D1253</f>
        <v/>
      </c>
      <c r="D1253">
        <f>Sources!E1253</f>
        <v/>
      </c>
      <c r="E1253">
        <f>Sources!F1253</f>
        <v/>
      </c>
      <c r="F1253">
        <f>Sources!H1253</f>
        <v/>
      </c>
      <c r="G1253">
        <f>IF(ABS(F1253-ROUND(F1253,0))&lt;0.001,1,0)</f>
        <v/>
      </c>
      <c r="H1253">
        <f>IF(G1253=1,F1253,CEILING(F1253,1))</f>
        <v/>
      </c>
      <c r="I1253">
        <f>IF(G1253=1,0,(H1253-F1253)*E1253)</f>
        <v/>
      </c>
      <c r="J1253">
        <f>E1253*F1253</f>
        <v/>
      </c>
    </row>
    <row r="1254">
      <c r="A1254">
        <f>Sources!A1254</f>
        <v/>
      </c>
      <c r="B1254">
        <f>Sources!B1254</f>
        <v/>
      </c>
      <c r="C1254">
        <f>Sources!D1254</f>
        <v/>
      </c>
      <c r="D1254">
        <f>Sources!E1254</f>
        <v/>
      </c>
      <c r="E1254">
        <f>Sources!F1254</f>
        <v/>
      </c>
      <c r="F1254">
        <f>Sources!H1254</f>
        <v/>
      </c>
      <c r="G1254">
        <f>IF(ABS(F1254-ROUND(F1254,0))&lt;0.001,1,0)</f>
        <v/>
      </c>
      <c r="H1254">
        <f>IF(G1254=1,F1254,CEILING(F1254,1))</f>
        <v/>
      </c>
      <c r="I1254">
        <f>IF(G1254=1,0,(H1254-F1254)*E1254)</f>
        <v/>
      </c>
      <c r="J1254">
        <f>E1254*F1254</f>
        <v/>
      </c>
    </row>
    <row r="1255">
      <c r="A1255">
        <f>Sources!A1255</f>
        <v/>
      </c>
      <c r="B1255">
        <f>Sources!B1255</f>
        <v/>
      </c>
      <c r="C1255">
        <f>Sources!D1255</f>
        <v/>
      </c>
      <c r="D1255">
        <f>Sources!E1255</f>
        <v/>
      </c>
      <c r="E1255">
        <f>Sources!F1255</f>
        <v/>
      </c>
      <c r="F1255">
        <f>Sources!H1255</f>
        <v/>
      </c>
      <c r="G1255">
        <f>IF(ABS(F1255-ROUND(F1255,0))&lt;0.001,1,0)</f>
        <v/>
      </c>
      <c r="H1255">
        <f>IF(G1255=1,F1255,CEILING(F1255,1))</f>
        <v/>
      </c>
      <c r="I1255">
        <f>IF(G1255=1,0,(H1255-F1255)*E1255)</f>
        <v/>
      </c>
      <c r="J1255">
        <f>E1255*F1255</f>
        <v/>
      </c>
    </row>
    <row r="1256">
      <c r="A1256">
        <f>Sources!A1256</f>
        <v/>
      </c>
      <c r="B1256">
        <f>Sources!B1256</f>
        <v/>
      </c>
      <c r="C1256">
        <f>Sources!D1256</f>
        <v/>
      </c>
      <c r="D1256">
        <f>Sources!E1256</f>
        <v/>
      </c>
      <c r="E1256">
        <f>Sources!F1256</f>
        <v/>
      </c>
      <c r="F1256">
        <f>Sources!H1256</f>
        <v/>
      </c>
      <c r="G1256">
        <f>IF(ABS(F1256-ROUND(F1256,0))&lt;0.001,1,0)</f>
        <v/>
      </c>
      <c r="H1256">
        <f>IF(G1256=1,F1256,CEILING(F1256,1))</f>
        <v/>
      </c>
      <c r="I1256">
        <f>IF(G1256=1,0,(H1256-F1256)*E1256)</f>
        <v/>
      </c>
      <c r="J1256">
        <f>E1256*F1256</f>
        <v/>
      </c>
    </row>
    <row r="1257">
      <c r="A1257">
        <f>Sources!A1257</f>
        <v/>
      </c>
      <c r="B1257">
        <f>Sources!B1257</f>
        <v/>
      </c>
      <c r="C1257">
        <f>Sources!D1257</f>
        <v/>
      </c>
      <c r="D1257">
        <f>Sources!E1257</f>
        <v/>
      </c>
      <c r="E1257">
        <f>Sources!F1257</f>
        <v/>
      </c>
      <c r="F1257">
        <f>Sources!H1257</f>
        <v/>
      </c>
      <c r="G1257">
        <f>IF(ABS(F1257-ROUND(F1257,0))&lt;0.001,1,0)</f>
        <v/>
      </c>
      <c r="H1257">
        <f>IF(G1257=1,F1257,CEILING(F1257,1))</f>
        <v/>
      </c>
      <c r="I1257">
        <f>IF(G1257=1,0,(H1257-F1257)*E1257)</f>
        <v/>
      </c>
      <c r="J1257">
        <f>E1257*F1257</f>
        <v/>
      </c>
    </row>
    <row r="1258">
      <c r="A1258">
        <f>Sources!A1258</f>
        <v/>
      </c>
      <c r="B1258">
        <f>Sources!B1258</f>
        <v/>
      </c>
      <c r="C1258">
        <f>Sources!D1258</f>
        <v/>
      </c>
      <c r="D1258">
        <f>Sources!E1258</f>
        <v/>
      </c>
      <c r="E1258">
        <f>Sources!F1258</f>
        <v/>
      </c>
      <c r="F1258">
        <f>Sources!H1258</f>
        <v/>
      </c>
      <c r="G1258">
        <f>IF(ABS(F1258-ROUND(F1258,0))&lt;0.001,1,0)</f>
        <v/>
      </c>
      <c r="H1258">
        <f>IF(G1258=1,F1258,CEILING(F1258,1))</f>
        <v/>
      </c>
      <c r="I1258">
        <f>IF(G1258=1,0,(H1258-F1258)*E1258)</f>
        <v/>
      </c>
      <c r="J1258">
        <f>E1258*F1258</f>
        <v/>
      </c>
    </row>
    <row r="1259">
      <c r="A1259">
        <f>Sources!A1259</f>
        <v/>
      </c>
      <c r="B1259">
        <f>Sources!B1259</f>
        <v/>
      </c>
      <c r="C1259">
        <f>Sources!D1259</f>
        <v/>
      </c>
      <c r="D1259">
        <f>Sources!E1259</f>
        <v/>
      </c>
      <c r="E1259">
        <f>Sources!F1259</f>
        <v/>
      </c>
      <c r="F1259">
        <f>Sources!H1259</f>
        <v/>
      </c>
      <c r="G1259">
        <f>IF(ABS(F1259-ROUND(F1259,0))&lt;0.001,1,0)</f>
        <v/>
      </c>
      <c r="H1259">
        <f>IF(G1259=1,F1259,CEILING(F1259,1))</f>
        <v/>
      </c>
      <c r="I1259">
        <f>IF(G1259=1,0,(H1259-F1259)*E1259)</f>
        <v/>
      </c>
      <c r="J1259">
        <f>E1259*F1259</f>
        <v/>
      </c>
    </row>
    <row r="1260">
      <c r="A1260">
        <f>Sources!A1260</f>
        <v/>
      </c>
      <c r="B1260">
        <f>Sources!B1260</f>
        <v/>
      </c>
      <c r="C1260">
        <f>Sources!D1260</f>
        <v/>
      </c>
      <c r="D1260">
        <f>Sources!E1260</f>
        <v/>
      </c>
      <c r="E1260">
        <f>Sources!F1260</f>
        <v/>
      </c>
      <c r="F1260">
        <f>Sources!H1260</f>
        <v/>
      </c>
      <c r="G1260">
        <f>IF(ABS(F1260-ROUND(F1260,0))&lt;0.001,1,0)</f>
        <v/>
      </c>
      <c r="H1260">
        <f>IF(G1260=1,F1260,CEILING(F1260,1))</f>
        <v/>
      </c>
      <c r="I1260">
        <f>IF(G1260=1,0,(H1260-F1260)*E1260)</f>
        <v/>
      </c>
      <c r="J1260">
        <f>E1260*F1260</f>
        <v/>
      </c>
    </row>
    <row r="1261">
      <c r="A1261">
        <f>Sources!A1261</f>
        <v/>
      </c>
      <c r="B1261">
        <f>Sources!B1261</f>
        <v/>
      </c>
      <c r="C1261">
        <f>Sources!D1261</f>
        <v/>
      </c>
      <c r="D1261">
        <f>Sources!E1261</f>
        <v/>
      </c>
      <c r="E1261">
        <f>Sources!F1261</f>
        <v/>
      </c>
      <c r="F1261">
        <f>Sources!H1261</f>
        <v/>
      </c>
      <c r="G1261">
        <f>IF(ABS(F1261-ROUND(F1261,0))&lt;0.001,1,0)</f>
        <v/>
      </c>
      <c r="H1261">
        <f>IF(G1261=1,F1261,CEILING(F1261,1))</f>
        <v/>
      </c>
      <c r="I1261">
        <f>IF(G1261=1,0,(H1261-F1261)*E1261)</f>
        <v/>
      </c>
      <c r="J1261">
        <f>E1261*F1261</f>
        <v/>
      </c>
    </row>
    <row r="1262">
      <c r="A1262">
        <f>Sources!A1262</f>
        <v/>
      </c>
      <c r="B1262">
        <f>Sources!B1262</f>
        <v/>
      </c>
      <c r="C1262">
        <f>Sources!D1262</f>
        <v/>
      </c>
      <c r="D1262">
        <f>Sources!E1262</f>
        <v/>
      </c>
      <c r="E1262">
        <f>Sources!F1262</f>
        <v/>
      </c>
      <c r="F1262">
        <f>Sources!H1262</f>
        <v/>
      </c>
      <c r="G1262">
        <f>IF(ABS(F1262-ROUND(F1262,0))&lt;0.001,1,0)</f>
        <v/>
      </c>
      <c r="H1262">
        <f>IF(G1262=1,F1262,CEILING(F1262,1))</f>
        <v/>
      </c>
      <c r="I1262">
        <f>IF(G1262=1,0,(H1262-F1262)*E1262)</f>
        <v/>
      </c>
      <c r="J1262">
        <f>E1262*F1262</f>
        <v/>
      </c>
    </row>
    <row r="1263">
      <c r="A1263">
        <f>Sources!A1263</f>
        <v/>
      </c>
      <c r="B1263">
        <f>Sources!B1263</f>
        <v/>
      </c>
      <c r="C1263">
        <f>Sources!D1263</f>
        <v/>
      </c>
      <c r="D1263">
        <f>Sources!E1263</f>
        <v/>
      </c>
      <c r="E1263">
        <f>Sources!F1263</f>
        <v/>
      </c>
      <c r="F1263">
        <f>Sources!H1263</f>
        <v/>
      </c>
      <c r="G1263">
        <f>IF(ABS(F1263-ROUND(F1263,0))&lt;0.001,1,0)</f>
        <v/>
      </c>
      <c r="H1263">
        <f>IF(G1263=1,F1263,CEILING(F1263,1))</f>
        <v/>
      </c>
      <c r="I1263">
        <f>IF(G1263=1,0,(H1263-F1263)*E1263)</f>
        <v/>
      </c>
      <c r="J1263">
        <f>E1263*F1263</f>
        <v/>
      </c>
    </row>
    <row r="1264">
      <c r="A1264">
        <f>Sources!A1264</f>
        <v/>
      </c>
      <c r="B1264">
        <f>Sources!B1264</f>
        <v/>
      </c>
      <c r="C1264">
        <f>Sources!D1264</f>
        <v/>
      </c>
      <c r="D1264">
        <f>Sources!E1264</f>
        <v/>
      </c>
      <c r="E1264">
        <f>Sources!F1264</f>
        <v/>
      </c>
      <c r="F1264">
        <f>Sources!H1264</f>
        <v/>
      </c>
      <c r="G1264">
        <f>IF(ABS(F1264-ROUND(F1264,0))&lt;0.001,1,0)</f>
        <v/>
      </c>
      <c r="H1264">
        <f>IF(G1264=1,F1264,CEILING(F1264,1))</f>
        <v/>
      </c>
      <c r="I1264">
        <f>IF(G1264=1,0,(H1264-F1264)*E1264)</f>
        <v/>
      </c>
      <c r="J1264">
        <f>E1264*F1264</f>
        <v/>
      </c>
    </row>
    <row r="1265">
      <c r="A1265">
        <f>Sources!A1265</f>
        <v/>
      </c>
      <c r="B1265">
        <f>Sources!B1265</f>
        <v/>
      </c>
      <c r="C1265">
        <f>Sources!D1265</f>
        <v/>
      </c>
      <c r="D1265">
        <f>Sources!E1265</f>
        <v/>
      </c>
      <c r="E1265">
        <f>Sources!F1265</f>
        <v/>
      </c>
      <c r="F1265">
        <f>Sources!H1265</f>
        <v/>
      </c>
      <c r="G1265">
        <f>IF(ABS(F1265-ROUND(F1265,0))&lt;0.001,1,0)</f>
        <v/>
      </c>
      <c r="H1265">
        <f>IF(G1265=1,F1265,CEILING(F1265,1))</f>
        <v/>
      </c>
      <c r="I1265">
        <f>IF(G1265=1,0,(H1265-F1265)*E1265)</f>
        <v/>
      </c>
      <c r="J1265">
        <f>E1265*F1265</f>
        <v/>
      </c>
    </row>
    <row r="1266">
      <c r="A1266">
        <f>Sources!A1266</f>
        <v/>
      </c>
      <c r="B1266">
        <f>Sources!B1266</f>
        <v/>
      </c>
      <c r="C1266">
        <f>Sources!D1266</f>
        <v/>
      </c>
      <c r="D1266">
        <f>Sources!E1266</f>
        <v/>
      </c>
      <c r="E1266">
        <f>Sources!F1266</f>
        <v/>
      </c>
      <c r="F1266">
        <f>Sources!H1266</f>
        <v/>
      </c>
      <c r="G1266">
        <f>IF(ABS(F1266-ROUND(F1266,0))&lt;0.001,1,0)</f>
        <v/>
      </c>
      <c r="H1266">
        <f>IF(G1266=1,F1266,CEILING(F1266,1))</f>
        <v/>
      </c>
      <c r="I1266">
        <f>IF(G1266=1,0,(H1266-F1266)*E1266)</f>
        <v/>
      </c>
      <c r="J1266">
        <f>E1266*F1266</f>
        <v/>
      </c>
    </row>
    <row r="1267">
      <c r="A1267">
        <f>Sources!A1267</f>
        <v/>
      </c>
      <c r="B1267">
        <f>Sources!B1267</f>
        <v/>
      </c>
      <c r="C1267">
        <f>Sources!D1267</f>
        <v/>
      </c>
      <c r="D1267">
        <f>Sources!E1267</f>
        <v/>
      </c>
      <c r="E1267">
        <f>Sources!F1267</f>
        <v/>
      </c>
      <c r="F1267">
        <f>Sources!H1267</f>
        <v/>
      </c>
      <c r="G1267">
        <f>IF(ABS(F1267-ROUND(F1267,0))&lt;0.001,1,0)</f>
        <v/>
      </c>
      <c r="H1267">
        <f>IF(G1267=1,F1267,CEILING(F1267,1))</f>
        <v/>
      </c>
      <c r="I1267">
        <f>IF(G1267=1,0,(H1267-F1267)*E1267)</f>
        <v/>
      </c>
      <c r="J1267">
        <f>E1267*F1267</f>
        <v/>
      </c>
    </row>
    <row r="1268">
      <c r="A1268">
        <f>Sources!A1268</f>
        <v/>
      </c>
      <c r="B1268">
        <f>Sources!B1268</f>
        <v/>
      </c>
      <c r="C1268">
        <f>Sources!D1268</f>
        <v/>
      </c>
      <c r="D1268">
        <f>Sources!E1268</f>
        <v/>
      </c>
      <c r="E1268">
        <f>Sources!F1268</f>
        <v/>
      </c>
      <c r="F1268">
        <f>Sources!H1268</f>
        <v/>
      </c>
      <c r="G1268">
        <f>IF(ABS(F1268-ROUND(F1268,0))&lt;0.001,1,0)</f>
        <v/>
      </c>
      <c r="H1268">
        <f>IF(G1268=1,F1268,CEILING(F1268,1))</f>
        <v/>
      </c>
      <c r="I1268">
        <f>IF(G1268=1,0,(H1268-F1268)*E1268)</f>
        <v/>
      </c>
      <c r="J1268">
        <f>E1268*F1268</f>
        <v/>
      </c>
    </row>
    <row r="1269">
      <c r="A1269">
        <f>Sources!A1269</f>
        <v/>
      </c>
      <c r="B1269">
        <f>Sources!B1269</f>
        <v/>
      </c>
      <c r="C1269">
        <f>Sources!D1269</f>
        <v/>
      </c>
      <c r="D1269">
        <f>Sources!E1269</f>
        <v/>
      </c>
      <c r="E1269">
        <f>Sources!F1269</f>
        <v/>
      </c>
      <c r="F1269">
        <f>Sources!H1269</f>
        <v/>
      </c>
      <c r="G1269">
        <f>IF(ABS(F1269-ROUND(F1269,0))&lt;0.001,1,0)</f>
        <v/>
      </c>
      <c r="H1269">
        <f>IF(G1269=1,F1269,CEILING(F1269,1))</f>
        <v/>
      </c>
      <c r="I1269">
        <f>IF(G1269=1,0,(H1269-F1269)*E1269)</f>
        <v/>
      </c>
      <c r="J1269">
        <f>E1269*F1269</f>
        <v/>
      </c>
    </row>
    <row r="1270">
      <c r="A1270">
        <f>Sources!A1270</f>
        <v/>
      </c>
      <c r="B1270">
        <f>Sources!B1270</f>
        <v/>
      </c>
      <c r="C1270">
        <f>Sources!D1270</f>
        <v/>
      </c>
      <c r="D1270">
        <f>Sources!E1270</f>
        <v/>
      </c>
      <c r="E1270">
        <f>Sources!F1270</f>
        <v/>
      </c>
      <c r="F1270">
        <f>Sources!H1270</f>
        <v/>
      </c>
      <c r="G1270">
        <f>IF(ABS(F1270-ROUND(F1270,0))&lt;0.001,1,0)</f>
        <v/>
      </c>
      <c r="H1270">
        <f>IF(G1270=1,F1270,CEILING(F1270,1))</f>
        <v/>
      </c>
      <c r="I1270">
        <f>IF(G1270=1,0,(H1270-F1270)*E1270)</f>
        <v/>
      </c>
      <c r="J1270">
        <f>E1270*F1270</f>
        <v/>
      </c>
    </row>
    <row r="1271">
      <c r="A1271">
        <f>Sources!A1271</f>
        <v/>
      </c>
      <c r="B1271">
        <f>Sources!B1271</f>
        <v/>
      </c>
      <c r="C1271">
        <f>Sources!D1271</f>
        <v/>
      </c>
      <c r="D1271">
        <f>Sources!E1271</f>
        <v/>
      </c>
      <c r="E1271">
        <f>Sources!F1271</f>
        <v/>
      </c>
      <c r="F1271">
        <f>Sources!H1271</f>
        <v/>
      </c>
      <c r="G1271">
        <f>IF(ABS(F1271-ROUND(F1271,0))&lt;0.001,1,0)</f>
        <v/>
      </c>
      <c r="H1271">
        <f>IF(G1271=1,F1271,CEILING(F1271,1))</f>
        <v/>
      </c>
      <c r="I1271">
        <f>IF(G1271=1,0,(H1271-F1271)*E1271)</f>
        <v/>
      </c>
      <c r="J1271">
        <f>E1271*F1271</f>
        <v/>
      </c>
    </row>
    <row r="1272">
      <c r="A1272">
        <f>Sources!A1272</f>
        <v/>
      </c>
      <c r="B1272">
        <f>Sources!B1272</f>
        <v/>
      </c>
      <c r="C1272">
        <f>Sources!D1272</f>
        <v/>
      </c>
      <c r="D1272">
        <f>Sources!E1272</f>
        <v/>
      </c>
      <c r="E1272">
        <f>Sources!F1272</f>
        <v/>
      </c>
      <c r="F1272">
        <f>Sources!H1272</f>
        <v/>
      </c>
      <c r="G1272">
        <f>IF(ABS(F1272-ROUND(F1272,0))&lt;0.001,1,0)</f>
        <v/>
      </c>
      <c r="H1272">
        <f>IF(G1272=1,F1272,CEILING(F1272,1))</f>
        <v/>
      </c>
      <c r="I1272">
        <f>IF(G1272=1,0,(H1272-F1272)*E1272)</f>
        <v/>
      </c>
      <c r="J1272">
        <f>E1272*F1272</f>
        <v/>
      </c>
    </row>
    <row r="1273">
      <c r="A1273">
        <f>Sources!A1273</f>
        <v/>
      </c>
      <c r="B1273">
        <f>Sources!B1273</f>
        <v/>
      </c>
      <c r="C1273">
        <f>Sources!D1273</f>
        <v/>
      </c>
      <c r="D1273">
        <f>Sources!E1273</f>
        <v/>
      </c>
      <c r="E1273">
        <f>Sources!F1273</f>
        <v/>
      </c>
      <c r="F1273">
        <f>Sources!H1273</f>
        <v/>
      </c>
      <c r="G1273">
        <f>IF(ABS(F1273-ROUND(F1273,0))&lt;0.001,1,0)</f>
        <v/>
      </c>
      <c r="H1273">
        <f>IF(G1273=1,F1273,CEILING(F1273,1))</f>
        <v/>
      </c>
      <c r="I1273">
        <f>IF(G1273=1,0,(H1273-F1273)*E1273)</f>
        <v/>
      </c>
      <c r="J1273">
        <f>E1273*F1273</f>
        <v/>
      </c>
    </row>
    <row r="1274">
      <c r="A1274">
        <f>Sources!A1274</f>
        <v/>
      </c>
      <c r="B1274">
        <f>Sources!B1274</f>
        <v/>
      </c>
      <c r="C1274">
        <f>Sources!D1274</f>
        <v/>
      </c>
      <c r="D1274">
        <f>Sources!E1274</f>
        <v/>
      </c>
      <c r="E1274">
        <f>Sources!F1274</f>
        <v/>
      </c>
      <c r="F1274">
        <f>Sources!H1274</f>
        <v/>
      </c>
      <c r="G1274">
        <f>IF(ABS(F1274-ROUND(F1274,0))&lt;0.001,1,0)</f>
        <v/>
      </c>
      <c r="H1274">
        <f>IF(G1274=1,F1274,CEILING(F1274,1))</f>
        <v/>
      </c>
      <c r="I1274">
        <f>IF(G1274=1,0,(H1274-F1274)*E1274)</f>
        <v/>
      </c>
      <c r="J1274">
        <f>E1274*F1274</f>
        <v/>
      </c>
    </row>
    <row r="1275">
      <c r="A1275">
        <f>Sources!A1275</f>
        <v/>
      </c>
      <c r="B1275">
        <f>Sources!B1275</f>
        <v/>
      </c>
      <c r="C1275">
        <f>Sources!D1275</f>
        <v/>
      </c>
      <c r="D1275">
        <f>Sources!E1275</f>
        <v/>
      </c>
      <c r="E1275">
        <f>Sources!F1275</f>
        <v/>
      </c>
      <c r="F1275">
        <f>Sources!H1275</f>
        <v/>
      </c>
      <c r="G1275">
        <f>IF(ABS(F1275-ROUND(F1275,0))&lt;0.001,1,0)</f>
        <v/>
      </c>
      <c r="H1275">
        <f>IF(G1275=1,F1275,CEILING(F1275,1))</f>
        <v/>
      </c>
      <c r="I1275">
        <f>IF(G1275=1,0,(H1275-F1275)*E1275)</f>
        <v/>
      </c>
      <c r="J1275">
        <f>E1275*F1275</f>
        <v/>
      </c>
    </row>
    <row r="1276">
      <c r="A1276">
        <f>Sources!A1276</f>
        <v/>
      </c>
      <c r="B1276">
        <f>Sources!B1276</f>
        <v/>
      </c>
      <c r="C1276">
        <f>Sources!D1276</f>
        <v/>
      </c>
      <c r="D1276">
        <f>Sources!E1276</f>
        <v/>
      </c>
      <c r="E1276">
        <f>Sources!F1276</f>
        <v/>
      </c>
      <c r="F1276">
        <f>Sources!H1276</f>
        <v/>
      </c>
      <c r="G1276">
        <f>IF(ABS(F1276-ROUND(F1276,0))&lt;0.001,1,0)</f>
        <v/>
      </c>
      <c r="H1276">
        <f>IF(G1276=1,F1276,CEILING(F1276,1))</f>
        <v/>
      </c>
      <c r="I1276">
        <f>IF(G1276=1,0,(H1276-F1276)*E1276)</f>
        <v/>
      </c>
      <c r="J1276">
        <f>E1276*F1276</f>
        <v/>
      </c>
    </row>
    <row r="1277">
      <c r="A1277">
        <f>Sources!A1277</f>
        <v/>
      </c>
      <c r="B1277">
        <f>Sources!B1277</f>
        <v/>
      </c>
      <c r="C1277">
        <f>Sources!D1277</f>
        <v/>
      </c>
      <c r="D1277">
        <f>Sources!E1277</f>
        <v/>
      </c>
      <c r="E1277">
        <f>Sources!F1277</f>
        <v/>
      </c>
      <c r="F1277">
        <f>Sources!H1277</f>
        <v/>
      </c>
      <c r="G1277">
        <f>IF(ABS(F1277-ROUND(F1277,0))&lt;0.001,1,0)</f>
        <v/>
      </c>
      <c r="H1277">
        <f>IF(G1277=1,F1277,CEILING(F1277,1))</f>
        <v/>
      </c>
      <c r="I1277">
        <f>IF(G1277=1,0,(H1277-F1277)*E1277)</f>
        <v/>
      </c>
      <c r="J1277">
        <f>E1277*F1277</f>
        <v/>
      </c>
    </row>
    <row r="1278">
      <c r="A1278">
        <f>Sources!A1278</f>
        <v/>
      </c>
      <c r="B1278">
        <f>Sources!B1278</f>
        <v/>
      </c>
      <c r="C1278">
        <f>Sources!D1278</f>
        <v/>
      </c>
      <c r="D1278">
        <f>Sources!E1278</f>
        <v/>
      </c>
      <c r="E1278">
        <f>Sources!F1278</f>
        <v/>
      </c>
      <c r="F1278">
        <f>Sources!H1278</f>
        <v/>
      </c>
      <c r="G1278">
        <f>IF(ABS(F1278-ROUND(F1278,0))&lt;0.001,1,0)</f>
        <v/>
      </c>
      <c r="H1278">
        <f>IF(G1278=1,F1278,CEILING(F1278,1))</f>
        <v/>
      </c>
      <c r="I1278">
        <f>IF(G1278=1,0,(H1278-F1278)*E1278)</f>
        <v/>
      </c>
      <c r="J1278">
        <f>E1278*F1278</f>
        <v/>
      </c>
    </row>
    <row r="1279">
      <c r="A1279">
        <f>Sources!A1279</f>
        <v/>
      </c>
      <c r="B1279">
        <f>Sources!B1279</f>
        <v/>
      </c>
      <c r="C1279">
        <f>Sources!D1279</f>
        <v/>
      </c>
      <c r="D1279">
        <f>Sources!E1279</f>
        <v/>
      </c>
      <c r="E1279">
        <f>Sources!F1279</f>
        <v/>
      </c>
      <c r="F1279">
        <f>Sources!H1279</f>
        <v/>
      </c>
      <c r="G1279">
        <f>IF(ABS(F1279-ROUND(F1279,0))&lt;0.001,1,0)</f>
        <v/>
      </c>
      <c r="H1279">
        <f>IF(G1279=1,F1279,CEILING(F1279,1))</f>
        <v/>
      </c>
      <c r="I1279">
        <f>IF(G1279=1,0,(H1279-F1279)*E1279)</f>
        <v/>
      </c>
      <c r="J1279">
        <f>E1279*F1279</f>
        <v/>
      </c>
    </row>
    <row r="1280">
      <c r="A1280">
        <f>Sources!A1280</f>
        <v/>
      </c>
      <c r="B1280">
        <f>Sources!B1280</f>
        <v/>
      </c>
      <c r="C1280">
        <f>Sources!D1280</f>
        <v/>
      </c>
      <c r="D1280">
        <f>Sources!E1280</f>
        <v/>
      </c>
      <c r="E1280">
        <f>Sources!F1280</f>
        <v/>
      </c>
      <c r="F1280">
        <f>Sources!H1280</f>
        <v/>
      </c>
      <c r="G1280">
        <f>IF(ABS(F1280-ROUND(F1280,0))&lt;0.001,1,0)</f>
        <v/>
      </c>
      <c r="H1280">
        <f>IF(G1280=1,F1280,CEILING(F1280,1))</f>
        <v/>
      </c>
      <c r="I1280">
        <f>IF(G1280=1,0,(H1280-F1280)*E1280)</f>
        <v/>
      </c>
      <c r="J1280">
        <f>E1280*F1280</f>
        <v/>
      </c>
    </row>
    <row r="1281">
      <c r="A1281">
        <f>Sources!A1281</f>
        <v/>
      </c>
      <c r="B1281">
        <f>Sources!B1281</f>
        <v/>
      </c>
      <c r="C1281">
        <f>Sources!D1281</f>
        <v/>
      </c>
      <c r="D1281">
        <f>Sources!E1281</f>
        <v/>
      </c>
      <c r="E1281">
        <f>Sources!F1281</f>
        <v/>
      </c>
      <c r="F1281">
        <f>Sources!H1281</f>
        <v/>
      </c>
      <c r="G1281">
        <f>IF(ABS(F1281-ROUND(F1281,0))&lt;0.001,1,0)</f>
        <v/>
      </c>
      <c r="H1281">
        <f>IF(G1281=1,F1281,CEILING(F1281,1))</f>
        <v/>
      </c>
      <c r="I1281">
        <f>IF(G1281=1,0,(H1281-F1281)*E1281)</f>
        <v/>
      </c>
      <c r="J1281">
        <f>E1281*F1281</f>
        <v/>
      </c>
    </row>
    <row r="1282">
      <c r="A1282">
        <f>Sources!A1282</f>
        <v/>
      </c>
      <c r="B1282">
        <f>Sources!B1282</f>
        <v/>
      </c>
      <c r="C1282">
        <f>Sources!D1282</f>
        <v/>
      </c>
      <c r="D1282">
        <f>Sources!E1282</f>
        <v/>
      </c>
      <c r="E1282">
        <f>Sources!F1282</f>
        <v/>
      </c>
      <c r="F1282">
        <f>Sources!H1282</f>
        <v/>
      </c>
      <c r="G1282">
        <f>IF(ABS(F1282-ROUND(F1282,0))&lt;0.001,1,0)</f>
        <v/>
      </c>
      <c r="H1282">
        <f>IF(G1282=1,F1282,CEILING(F1282,1))</f>
        <v/>
      </c>
      <c r="I1282">
        <f>IF(G1282=1,0,(H1282-F1282)*E1282)</f>
        <v/>
      </c>
      <c r="J1282">
        <f>E1282*F1282</f>
        <v/>
      </c>
    </row>
    <row r="1283">
      <c r="A1283">
        <f>Sources!A1283</f>
        <v/>
      </c>
      <c r="B1283">
        <f>Sources!B1283</f>
        <v/>
      </c>
      <c r="C1283">
        <f>Sources!D1283</f>
        <v/>
      </c>
      <c r="D1283">
        <f>Sources!E1283</f>
        <v/>
      </c>
      <c r="E1283">
        <f>Sources!F1283</f>
        <v/>
      </c>
      <c r="F1283">
        <f>Sources!H1283</f>
        <v/>
      </c>
      <c r="G1283">
        <f>IF(ABS(F1283-ROUND(F1283,0))&lt;0.001,1,0)</f>
        <v/>
      </c>
      <c r="H1283">
        <f>IF(G1283=1,F1283,CEILING(F1283,1))</f>
        <v/>
      </c>
      <c r="I1283">
        <f>IF(G1283=1,0,(H1283-F1283)*E1283)</f>
        <v/>
      </c>
      <c r="J1283">
        <f>E1283*F1283</f>
        <v/>
      </c>
    </row>
    <row r="1284">
      <c r="A1284">
        <f>Sources!A1284</f>
        <v/>
      </c>
      <c r="B1284">
        <f>Sources!B1284</f>
        <v/>
      </c>
      <c r="C1284">
        <f>Sources!D1284</f>
        <v/>
      </c>
      <c r="D1284">
        <f>Sources!E1284</f>
        <v/>
      </c>
      <c r="E1284">
        <f>Sources!F1284</f>
        <v/>
      </c>
      <c r="F1284">
        <f>Sources!H1284</f>
        <v/>
      </c>
      <c r="G1284">
        <f>IF(ABS(F1284-ROUND(F1284,0))&lt;0.001,1,0)</f>
        <v/>
      </c>
      <c r="H1284">
        <f>IF(G1284=1,F1284,CEILING(F1284,1))</f>
        <v/>
      </c>
      <c r="I1284">
        <f>IF(G1284=1,0,(H1284-F1284)*E1284)</f>
        <v/>
      </c>
      <c r="J1284">
        <f>E1284*F1284</f>
        <v/>
      </c>
    </row>
    <row r="1285">
      <c r="A1285">
        <f>Sources!A1285</f>
        <v/>
      </c>
      <c r="B1285">
        <f>Sources!B1285</f>
        <v/>
      </c>
      <c r="C1285">
        <f>Sources!D1285</f>
        <v/>
      </c>
      <c r="D1285">
        <f>Sources!E1285</f>
        <v/>
      </c>
      <c r="E1285">
        <f>Sources!F1285</f>
        <v/>
      </c>
      <c r="F1285">
        <f>Sources!H1285</f>
        <v/>
      </c>
      <c r="G1285">
        <f>IF(ABS(F1285-ROUND(F1285,0))&lt;0.001,1,0)</f>
        <v/>
      </c>
      <c r="H1285">
        <f>IF(G1285=1,F1285,CEILING(F1285,1))</f>
        <v/>
      </c>
      <c r="I1285">
        <f>IF(G1285=1,0,(H1285-F1285)*E1285)</f>
        <v/>
      </c>
      <c r="J1285">
        <f>E1285*F1285</f>
        <v/>
      </c>
    </row>
    <row r="1286">
      <c r="A1286">
        <f>Sources!A1286</f>
        <v/>
      </c>
      <c r="B1286">
        <f>Sources!B1286</f>
        <v/>
      </c>
      <c r="C1286">
        <f>Sources!D1286</f>
        <v/>
      </c>
      <c r="D1286">
        <f>Sources!E1286</f>
        <v/>
      </c>
      <c r="E1286">
        <f>Sources!F1286</f>
        <v/>
      </c>
      <c r="F1286">
        <f>Sources!H1286</f>
        <v/>
      </c>
      <c r="G1286">
        <f>IF(ABS(F1286-ROUND(F1286,0))&lt;0.001,1,0)</f>
        <v/>
      </c>
      <c r="H1286">
        <f>IF(G1286=1,F1286,CEILING(F1286,1))</f>
        <v/>
      </c>
      <c r="I1286">
        <f>IF(G1286=1,0,(H1286-F1286)*E1286)</f>
        <v/>
      </c>
      <c r="J1286">
        <f>E1286*F1286</f>
        <v/>
      </c>
    </row>
    <row r="1287">
      <c r="A1287">
        <f>Sources!A1287</f>
        <v/>
      </c>
      <c r="B1287">
        <f>Sources!B1287</f>
        <v/>
      </c>
      <c r="C1287">
        <f>Sources!D1287</f>
        <v/>
      </c>
      <c r="D1287">
        <f>Sources!E1287</f>
        <v/>
      </c>
      <c r="E1287">
        <f>Sources!F1287</f>
        <v/>
      </c>
      <c r="F1287">
        <f>Sources!H1287</f>
        <v/>
      </c>
      <c r="G1287">
        <f>IF(ABS(F1287-ROUND(F1287,0))&lt;0.001,1,0)</f>
        <v/>
      </c>
      <c r="H1287">
        <f>IF(G1287=1,F1287,CEILING(F1287,1))</f>
        <v/>
      </c>
      <c r="I1287">
        <f>IF(G1287=1,0,(H1287-F1287)*E1287)</f>
        <v/>
      </c>
      <c r="J1287">
        <f>E1287*F1287</f>
        <v/>
      </c>
    </row>
    <row r="1288">
      <c r="A1288">
        <f>Sources!A1288</f>
        <v/>
      </c>
      <c r="B1288">
        <f>Sources!B1288</f>
        <v/>
      </c>
      <c r="C1288">
        <f>Sources!D1288</f>
        <v/>
      </c>
      <c r="D1288">
        <f>Sources!E1288</f>
        <v/>
      </c>
      <c r="E1288">
        <f>Sources!F1288</f>
        <v/>
      </c>
      <c r="F1288">
        <f>Sources!H1288</f>
        <v/>
      </c>
      <c r="G1288">
        <f>IF(ABS(F1288-ROUND(F1288,0))&lt;0.001,1,0)</f>
        <v/>
      </c>
      <c r="H1288">
        <f>IF(G1288=1,F1288,CEILING(F1288,1))</f>
        <v/>
      </c>
      <c r="I1288">
        <f>IF(G1288=1,0,(H1288-F1288)*E1288)</f>
        <v/>
      </c>
      <c r="J1288">
        <f>E1288*F1288</f>
        <v/>
      </c>
    </row>
    <row r="1289">
      <c r="A1289">
        <f>Sources!A1289</f>
        <v/>
      </c>
      <c r="B1289">
        <f>Sources!B1289</f>
        <v/>
      </c>
      <c r="C1289">
        <f>Sources!D1289</f>
        <v/>
      </c>
      <c r="D1289">
        <f>Sources!E1289</f>
        <v/>
      </c>
      <c r="E1289">
        <f>Sources!F1289</f>
        <v/>
      </c>
      <c r="F1289">
        <f>Sources!H1289</f>
        <v/>
      </c>
      <c r="G1289">
        <f>IF(ABS(F1289-ROUND(F1289,0))&lt;0.001,1,0)</f>
        <v/>
      </c>
      <c r="H1289">
        <f>IF(G1289=1,F1289,CEILING(F1289,1))</f>
        <v/>
      </c>
      <c r="I1289">
        <f>IF(G1289=1,0,(H1289-F1289)*E1289)</f>
        <v/>
      </c>
      <c r="J1289">
        <f>E1289*F1289</f>
        <v/>
      </c>
    </row>
    <row r="1290">
      <c r="A1290">
        <f>Sources!A1290</f>
        <v/>
      </c>
      <c r="B1290">
        <f>Sources!B1290</f>
        <v/>
      </c>
      <c r="C1290">
        <f>Sources!D1290</f>
        <v/>
      </c>
      <c r="D1290">
        <f>Sources!E1290</f>
        <v/>
      </c>
      <c r="E1290">
        <f>Sources!F1290</f>
        <v/>
      </c>
      <c r="F1290">
        <f>Sources!H1290</f>
        <v/>
      </c>
      <c r="G1290">
        <f>IF(ABS(F1290-ROUND(F1290,0))&lt;0.001,1,0)</f>
        <v/>
      </c>
      <c r="H1290">
        <f>IF(G1290=1,F1290,CEILING(F1290,1))</f>
        <v/>
      </c>
      <c r="I1290">
        <f>IF(G1290=1,0,(H1290-F1290)*E1290)</f>
        <v/>
      </c>
      <c r="J1290">
        <f>E1290*F1290</f>
        <v/>
      </c>
    </row>
    <row r="1291">
      <c r="A1291">
        <f>Sources!A1291</f>
        <v/>
      </c>
      <c r="B1291">
        <f>Sources!B1291</f>
        <v/>
      </c>
      <c r="C1291">
        <f>Sources!D1291</f>
        <v/>
      </c>
      <c r="D1291">
        <f>Sources!E1291</f>
        <v/>
      </c>
      <c r="E1291">
        <f>Sources!F1291</f>
        <v/>
      </c>
      <c r="F1291">
        <f>Sources!H1291</f>
        <v/>
      </c>
      <c r="G1291">
        <f>IF(ABS(F1291-ROUND(F1291,0))&lt;0.001,1,0)</f>
        <v/>
      </c>
      <c r="H1291">
        <f>IF(G1291=1,F1291,CEILING(F1291,1))</f>
        <v/>
      </c>
      <c r="I1291">
        <f>IF(G1291=1,0,(H1291-F1291)*E1291)</f>
        <v/>
      </c>
      <c r="J1291">
        <f>E1291*F1291</f>
        <v/>
      </c>
    </row>
    <row r="1292">
      <c r="A1292">
        <f>Sources!A1292</f>
        <v/>
      </c>
      <c r="B1292">
        <f>Sources!B1292</f>
        <v/>
      </c>
      <c r="C1292">
        <f>Sources!D1292</f>
        <v/>
      </c>
      <c r="D1292">
        <f>Sources!E1292</f>
        <v/>
      </c>
      <c r="E1292">
        <f>Sources!F1292</f>
        <v/>
      </c>
      <c r="F1292">
        <f>Sources!H1292</f>
        <v/>
      </c>
      <c r="G1292">
        <f>IF(ABS(F1292-ROUND(F1292,0))&lt;0.001,1,0)</f>
        <v/>
      </c>
      <c r="H1292">
        <f>IF(G1292=1,F1292,CEILING(F1292,1))</f>
        <v/>
      </c>
      <c r="I1292">
        <f>IF(G1292=1,0,(H1292-F1292)*E1292)</f>
        <v/>
      </c>
      <c r="J1292">
        <f>E1292*F1292</f>
        <v/>
      </c>
    </row>
    <row r="1293">
      <c r="A1293">
        <f>Sources!A1293</f>
        <v/>
      </c>
      <c r="B1293">
        <f>Sources!B1293</f>
        <v/>
      </c>
      <c r="C1293">
        <f>Sources!D1293</f>
        <v/>
      </c>
      <c r="D1293">
        <f>Sources!E1293</f>
        <v/>
      </c>
      <c r="E1293">
        <f>Sources!F1293</f>
        <v/>
      </c>
      <c r="F1293">
        <f>Sources!H1293</f>
        <v/>
      </c>
      <c r="G1293">
        <f>IF(ABS(F1293-ROUND(F1293,0))&lt;0.001,1,0)</f>
        <v/>
      </c>
      <c r="H1293">
        <f>IF(G1293=1,F1293,CEILING(F1293,1))</f>
        <v/>
      </c>
      <c r="I1293">
        <f>IF(G1293=1,0,(H1293-F1293)*E1293)</f>
        <v/>
      </c>
      <c r="J1293">
        <f>E1293*F1293</f>
        <v/>
      </c>
    </row>
    <row r="1294">
      <c r="A1294">
        <f>Sources!A1294</f>
        <v/>
      </c>
      <c r="B1294">
        <f>Sources!B1294</f>
        <v/>
      </c>
      <c r="C1294">
        <f>Sources!D1294</f>
        <v/>
      </c>
      <c r="D1294">
        <f>Sources!E1294</f>
        <v/>
      </c>
      <c r="E1294">
        <f>Sources!F1294</f>
        <v/>
      </c>
      <c r="F1294">
        <f>Sources!H1294</f>
        <v/>
      </c>
      <c r="G1294">
        <f>IF(ABS(F1294-ROUND(F1294,0))&lt;0.001,1,0)</f>
        <v/>
      </c>
      <c r="H1294">
        <f>IF(G1294=1,F1294,CEILING(F1294,1))</f>
        <v/>
      </c>
      <c r="I1294">
        <f>IF(G1294=1,0,(H1294-F1294)*E1294)</f>
        <v/>
      </c>
      <c r="J1294">
        <f>E1294*F1294</f>
        <v/>
      </c>
    </row>
    <row r="1295">
      <c r="A1295">
        <f>Sources!A1295</f>
        <v/>
      </c>
      <c r="B1295">
        <f>Sources!B1295</f>
        <v/>
      </c>
      <c r="C1295">
        <f>Sources!D1295</f>
        <v/>
      </c>
      <c r="D1295">
        <f>Sources!E1295</f>
        <v/>
      </c>
      <c r="E1295">
        <f>Sources!F1295</f>
        <v/>
      </c>
      <c r="F1295">
        <f>Sources!H1295</f>
        <v/>
      </c>
      <c r="G1295">
        <f>IF(ABS(F1295-ROUND(F1295,0))&lt;0.001,1,0)</f>
        <v/>
      </c>
      <c r="H1295">
        <f>IF(G1295=1,F1295,CEILING(F1295,1))</f>
        <v/>
      </c>
      <c r="I1295">
        <f>IF(G1295=1,0,(H1295-F1295)*E1295)</f>
        <v/>
      </c>
      <c r="J1295">
        <f>E1295*F1295</f>
        <v/>
      </c>
    </row>
    <row r="1296">
      <c r="A1296">
        <f>Sources!A1296</f>
        <v/>
      </c>
      <c r="B1296">
        <f>Sources!B1296</f>
        <v/>
      </c>
      <c r="C1296">
        <f>Sources!D1296</f>
        <v/>
      </c>
      <c r="D1296">
        <f>Sources!E1296</f>
        <v/>
      </c>
      <c r="E1296">
        <f>Sources!F1296</f>
        <v/>
      </c>
      <c r="F1296">
        <f>Sources!H1296</f>
        <v/>
      </c>
      <c r="G1296">
        <f>IF(ABS(F1296-ROUND(F1296,0))&lt;0.001,1,0)</f>
        <v/>
      </c>
      <c r="H1296">
        <f>IF(G1296=1,F1296,CEILING(F1296,1))</f>
        <v/>
      </c>
      <c r="I1296">
        <f>IF(G1296=1,0,(H1296-F1296)*E1296)</f>
        <v/>
      </c>
      <c r="J1296">
        <f>E1296*F1296</f>
        <v/>
      </c>
    </row>
    <row r="1297">
      <c r="A1297">
        <f>Sources!A1297</f>
        <v/>
      </c>
      <c r="B1297">
        <f>Sources!B1297</f>
        <v/>
      </c>
      <c r="C1297">
        <f>Sources!D1297</f>
        <v/>
      </c>
      <c r="D1297">
        <f>Sources!E1297</f>
        <v/>
      </c>
      <c r="E1297">
        <f>Sources!F1297</f>
        <v/>
      </c>
      <c r="F1297">
        <f>Sources!H1297</f>
        <v/>
      </c>
      <c r="G1297">
        <f>IF(ABS(F1297-ROUND(F1297,0))&lt;0.001,1,0)</f>
        <v/>
      </c>
      <c r="H1297">
        <f>IF(G1297=1,F1297,CEILING(F1297,1))</f>
        <v/>
      </c>
      <c r="I1297">
        <f>IF(G1297=1,0,(H1297-F1297)*E1297)</f>
        <v/>
      </c>
      <c r="J1297">
        <f>E1297*F1297</f>
        <v/>
      </c>
    </row>
    <row r="1298">
      <c r="A1298">
        <f>Sources!A1298</f>
        <v/>
      </c>
      <c r="B1298">
        <f>Sources!B1298</f>
        <v/>
      </c>
      <c r="C1298">
        <f>Sources!D1298</f>
        <v/>
      </c>
      <c r="D1298">
        <f>Sources!E1298</f>
        <v/>
      </c>
      <c r="E1298">
        <f>Sources!F1298</f>
        <v/>
      </c>
      <c r="F1298">
        <f>Sources!H1298</f>
        <v/>
      </c>
      <c r="G1298">
        <f>IF(ABS(F1298-ROUND(F1298,0))&lt;0.001,1,0)</f>
        <v/>
      </c>
      <c r="H1298">
        <f>IF(G1298=1,F1298,CEILING(F1298,1))</f>
        <v/>
      </c>
      <c r="I1298">
        <f>IF(G1298=1,0,(H1298-F1298)*E1298)</f>
        <v/>
      </c>
      <c r="J1298">
        <f>E1298*F1298</f>
        <v/>
      </c>
    </row>
    <row r="1299">
      <c r="A1299">
        <f>Sources!A1299</f>
        <v/>
      </c>
      <c r="B1299">
        <f>Sources!B1299</f>
        <v/>
      </c>
      <c r="C1299">
        <f>Sources!D1299</f>
        <v/>
      </c>
      <c r="D1299">
        <f>Sources!E1299</f>
        <v/>
      </c>
      <c r="E1299">
        <f>Sources!F1299</f>
        <v/>
      </c>
      <c r="F1299">
        <f>Sources!H1299</f>
        <v/>
      </c>
      <c r="G1299">
        <f>IF(ABS(F1299-ROUND(F1299,0))&lt;0.001,1,0)</f>
        <v/>
      </c>
      <c r="H1299">
        <f>IF(G1299=1,F1299,CEILING(F1299,1))</f>
        <v/>
      </c>
      <c r="I1299">
        <f>IF(G1299=1,0,(H1299-F1299)*E1299)</f>
        <v/>
      </c>
      <c r="J1299">
        <f>E1299*F1299</f>
        <v/>
      </c>
    </row>
    <row r="1300">
      <c r="A1300">
        <f>Sources!A1300</f>
        <v/>
      </c>
      <c r="B1300">
        <f>Sources!B1300</f>
        <v/>
      </c>
      <c r="C1300">
        <f>Sources!D1300</f>
        <v/>
      </c>
      <c r="D1300">
        <f>Sources!E1300</f>
        <v/>
      </c>
      <c r="E1300">
        <f>Sources!F1300</f>
        <v/>
      </c>
      <c r="F1300">
        <f>Sources!H1300</f>
        <v/>
      </c>
      <c r="G1300">
        <f>IF(ABS(F1300-ROUND(F1300,0))&lt;0.001,1,0)</f>
        <v/>
      </c>
      <c r="H1300">
        <f>IF(G1300=1,F1300,CEILING(F1300,1))</f>
        <v/>
      </c>
      <c r="I1300">
        <f>IF(G1300=1,0,(H1300-F1300)*E1300)</f>
        <v/>
      </c>
      <c r="J1300">
        <f>E1300*F1300</f>
        <v/>
      </c>
    </row>
    <row r="1301">
      <c r="A1301">
        <f>Sources!A1301</f>
        <v/>
      </c>
      <c r="B1301">
        <f>Sources!B1301</f>
        <v/>
      </c>
      <c r="C1301">
        <f>Sources!D1301</f>
        <v/>
      </c>
      <c r="D1301">
        <f>Sources!E1301</f>
        <v/>
      </c>
      <c r="E1301">
        <f>Sources!F1301</f>
        <v/>
      </c>
      <c r="F1301">
        <f>Sources!H1301</f>
        <v/>
      </c>
      <c r="G1301">
        <f>IF(ABS(F1301-ROUND(F1301,0))&lt;0.001,1,0)</f>
        <v/>
      </c>
      <c r="H1301">
        <f>IF(G1301=1,F1301,CEILING(F1301,1))</f>
        <v/>
      </c>
      <c r="I1301">
        <f>IF(G1301=1,0,(H1301-F1301)*E1301)</f>
        <v/>
      </c>
      <c r="J1301">
        <f>E1301*F1301</f>
        <v/>
      </c>
    </row>
    <row r="1302">
      <c r="A1302">
        <f>Sources!A1302</f>
        <v/>
      </c>
      <c r="B1302">
        <f>Sources!B1302</f>
        <v/>
      </c>
      <c r="C1302">
        <f>Sources!D1302</f>
        <v/>
      </c>
      <c r="D1302">
        <f>Sources!E1302</f>
        <v/>
      </c>
      <c r="E1302">
        <f>Sources!F1302</f>
        <v/>
      </c>
      <c r="F1302">
        <f>Sources!H1302</f>
        <v/>
      </c>
      <c r="G1302">
        <f>IF(ABS(F1302-ROUND(F1302,0))&lt;0.001,1,0)</f>
        <v/>
      </c>
      <c r="H1302">
        <f>IF(G1302=1,F1302,CEILING(F1302,1))</f>
        <v/>
      </c>
      <c r="I1302">
        <f>IF(G1302=1,0,(H1302-F1302)*E1302)</f>
        <v/>
      </c>
      <c r="J1302">
        <f>E1302*F1302</f>
        <v/>
      </c>
    </row>
    <row r="1303">
      <c r="A1303">
        <f>Sources!A1303</f>
        <v/>
      </c>
      <c r="B1303">
        <f>Sources!B1303</f>
        <v/>
      </c>
      <c r="C1303">
        <f>Sources!D1303</f>
        <v/>
      </c>
      <c r="D1303">
        <f>Sources!E1303</f>
        <v/>
      </c>
      <c r="E1303">
        <f>Sources!F1303</f>
        <v/>
      </c>
      <c r="F1303">
        <f>Sources!H1303</f>
        <v/>
      </c>
      <c r="G1303">
        <f>IF(ABS(F1303-ROUND(F1303,0))&lt;0.001,1,0)</f>
        <v/>
      </c>
      <c r="H1303">
        <f>IF(G1303=1,F1303,CEILING(F1303,1))</f>
        <v/>
      </c>
      <c r="I1303">
        <f>IF(G1303=1,0,(H1303-F1303)*E1303)</f>
        <v/>
      </c>
      <c r="J1303">
        <f>E1303*F1303</f>
        <v/>
      </c>
    </row>
    <row r="1304">
      <c r="A1304">
        <f>Sources!A1304</f>
        <v/>
      </c>
      <c r="B1304">
        <f>Sources!B1304</f>
        <v/>
      </c>
      <c r="C1304">
        <f>Sources!D1304</f>
        <v/>
      </c>
      <c r="D1304">
        <f>Sources!E1304</f>
        <v/>
      </c>
      <c r="E1304">
        <f>Sources!F1304</f>
        <v/>
      </c>
      <c r="F1304">
        <f>Sources!H1304</f>
        <v/>
      </c>
      <c r="G1304">
        <f>IF(ABS(F1304-ROUND(F1304,0))&lt;0.001,1,0)</f>
        <v/>
      </c>
      <c r="H1304">
        <f>IF(G1304=1,F1304,CEILING(F1304,1))</f>
        <v/>
      </c>
      <c r="I1304">
        <f>IF(G1304=1,0,(H1304-F1304)*E1304)</f>
        <v/>
      </c>
      <c r="J1304">
        <f>E1304*F1304</f>
        <v/>
      </c>
    </row>
    <row r="1305">
      <c r="A1305">
        <f>Sources!A1305</f>
        <v/>
      </c>
      <c r="B1305">
        <f>Sources!B1305</f>
        <v/>
      </c>
      <c r="C1305">
        <f>Sources!D1305</f>
        <v/>
      </c>
      <c r="D1305">
        <f>Sources!E1305</f>
        <v/>
      </c>
      <c r="E1305">
        <f>Sources!F1305</f>
        <v/>
      </c>
      <c r="F1305">
        <f>Sources!H1305</f>
        <v/>
      </c>
      <c r="G1305">
        <f>IF(ABS(F1305-ROUND(F1305,0))&lt;0.001,1,0)</f>
        <v/>
      </c>
      <c r="H1305">
        <f>IF(G1305=1,F1305,CEILING(F1305,1))</f>
        <v/>
      </c>
      <c r="I1305">
        <f>IF(G1305=1,0,(H1305-F1305)*E1305)</f>
        <v/>
      </c>
      <c r="J1305">
        <f>E1305*F1305</f>
        <v/>
      </c>
    </row>
    <row r="1306">
      <c r="A1306">
        <f>Sources!A1306</f>
        <v/>
      </c>
      <c r="B1306">
        <f>Sources!B1306</f>
        <v/>
      </c>
      <c r="C1306">
        <f>Sources!D1306</f>
        <v/>
      </c>
      <c r="D1306">
        <f>Sources!E1306</f>
        <v/>
      </c>
      <c r="E1306">
        <f>Sources!F1306</f>
        <v/>
      </c>
      <c r="F1306">
        <f>Sources!H1306</f>
        <v/>
      </c>
      <c r="G1306">
        <f>IF(ABS(F1306-ROUND(F1306,0))&lt;0.001,1,0)</f>
        <v/>
      </c>
      <c r="H1306">
        <f>IF(G1306=1,F1306,CEILING(F1306,1))</f>
        <v/>
      </c>
      <c r="I1306">
        <f>IF(G1306=1,0,(H1306-F1306)*E1306)</f>
        <v/>
      </c>
      <c r="J1306">
        <f>E1306*F1306</f>
        <v/>
      </c>
    </row>
    <row r="1307">
      <c r="A1307">
        <f>Sources!A1307</f>
        <v/>
      </c>
      <c r="B1307">
        <f>Sources!B1307</f>
        <v/>
      </c>
      <c r="C1307">
        <f>Sources!D1307</f>
        <v/>
      </c>
      <c r="D1307">
        <f>Sources!E1307</f>
        <v/>
      </c>
      <c r="E1307">
        <f>Sources!F1307</f>
        <v/>
      </c>
      <c r="F1307">
        <f>Sources!H1307</f>
        <v/>
      </c>
      <c r="G1307">
        <f>IF(ABS(F1307-ROUND(F1307,0))&lt;0.001,1,0)</f>
        <v/>
      </c>
      <c r="H1307">
        <f>IF(G1307=1,F1307,CEILING(F1307,1))</f>
        <v/>
      </c>
      <c r="I1307">
        <f>IF(G1307=1,0,(H1307-F1307)*E1307)</f>
        <v/>
      </c>
      <c r="J1307">
        <f>E1307*F1307</f>
        <v/>
      </c>
    </row>
    <row r="1308">
      <c r="A1308">
        <f>Sources!A1308</f>
        <v/>
      </c>
      <c r="B1308">
        <f>Sources!B1308</f>
        <v/>
      </c>
      <c r="C1308">
        <f>Sources!D1308</f>
        <v/>
      </c>
      <c r="D1308">
        <f>Sources!E1308</f>
        <v/>
      </c>
      <c r="E1308">
        <f>Sources!F1308</f>
        <v/>
      </c>
      <c r="F1308">
        <f>Sources!H1308</f>
        <v/>
      </c>
      <c r="G1308">
        <f>IF(ABS(F1308-ROUND(F1308,0))&lt;0.001,1,0)</f>
        <v/>
      </c>
      <c r="H1308">
        <f>IF(G1308=1,F1308,CEILING(F1308,1))</f>
        <v/>
      </c>
      <c r="I1308">
        <f>IF(G1308=1,0,(H1308-F1308)*E1308)</f>
        <v/>
      </c>
      <c r="J1308">
        <f>E1308*F1308</f>
        <v/>
      </c>
    </row>
    <row r="1309">
      <c r="A1309">
        <f>Sources!A1309</f>
        <v/>
      </c>
      <c r="B1309">
        <f>Sources!B1309</f>
        <v/>
      </c>
      <c r="C1309">
        <f>Sources!D1309</f>
        <v/>
      </c>
      <c r="D1309">
        <f>Sources!E1309</f>
        <v/>
      </c>
      <c r="E1309">
        <f>Sources!F1309</f>
        <v/>
      </c>
      <c r="F1309">
        <f>Sources!H1309</f>
        <v/>
      </c>
      <c r="G1309">
        <f>IF(ABS(F1309-ROUND(F1309,0))&lt;0.001,1,0)</f>
        <v/>
      </c>
      <c r="H1309">
        <f>IF(G1309=1,F1309,CEILING(F1309,1))</f>
        <v/>
      </c>
      <c r="I1309">
        <f>IF(G1309=1,0,(H1309-F1309)*E1309)</f>
        <v/>
      </c>
      <c r="J1309">
        <f>E1309*F1309</f>
        <v/>
      </c>
    </row>
    <row r="1310">
      <c r="A1310">
        <f>Sources!A1310</f>
        <v/>
      </c>
      <c r="B1310">
        <f>Sources!B1310</f>
        <v/>
      </c>
      <c r="C1310">
        <f>Sources!D1310</f>
        <v/>
      </c>
      <c r="D1310">
        <f>Sources!E1310</f>
        <v/>
      </c>
      <c r="E1310">
        <f>Sources!F1310</f>
        <v/>
      </c>
      <c r="F1310">
        <f>Sources!H1310</f>
        <v/>
      </c>
      <c r="G1310">
        <f>IF(ABS(F1310-ROUND(F1310,0))&lt;0.001,1,0)</f>
        <v/>
      </c>
      <c r="H1310">
        <f>IF(G1310=1,F1310,CEILING(F1310,1))</f>
        <v/>
      </c>
      <c r="I1310">
        <f>IF(G1310=1,0,(H1310-F1310)*E1310)</f>
        <v/>
      </c>
      <c r="J1310">
        <f>E1310*F1310</f>
        <v/>
      </c>
    </row>
    <row r="1311">
      <c r="A1311">
        <f>Sources!A1311</f>
        <v/>
      </c>
      <c r="B1311">
        <f>Sources!B1311</f>
        <v/>
      </c>
      <c r="C1311">
        <f>Sources!D1311</f>
        <v/>
      </c>
      <c r="D1311">
        <f>Sources!E1311</f>
        <v/>
      </c>
      <c r="E1311">
        <f>Sources!F1311</f>
        <v/>
      </c>
      <c r="F1311">
        <f>Sources!H1311</f>
        <v/>
      </c>
      <c r="G1311">
        <f>IF(ABS(F1311-ROUND(F1311,0))&lt;0.001,1,0)</f>
        <v/>
      </c>
      <c r="H1311">
        <f>IF(G1311=1,F1311,CEILING(F1311,1))</f>
        <v/>
      </c>
      <c r="I1311">
        <f>IF(G1311=1,0,(H1311-F1311)*E1311)</f>
        <v/>
      </c>
      <c r="J1311">
        <f>E1311*F1311</f>
        <v/>
      </c>
    </row>
    <row r="1312">
      <c r="A1312">
        <f>Sources!A1312</f>
        <v/>
      </c>
      <c r="B1312">
        <f>Sources!B1312</f>
        <v/>
      </c>
      <c r="C1312">
        <f>Sources!D1312</f>
        <v/>
      </c>
      <c r="D1312">
        <f>Sources!E1312</f>
        <v/>
      </c>
      <c r="E1312">
        <f>Sources!F1312</f>
        <v/>
      </c>
      <c r="F1312">
        <f>Sources!H1312</f>
        <v/>
      </c>
      <c r="G1312">
        <f>IF(ABS(F1312-ROUND(F1312,0))&lt;0.001,1,0)</f>
        <v/>
      </c>
      <c r="H1312">
        <f>IF(G1312=1,F1312,CEILING(F1312,1))</f>
        <v/>
      </c>
      <c r="I1312">
        <f>IF(G1312=1,0,(H1312-F1312)*E1312)</f>
        <v/>
      </c>
      <c r="J1312">
        <f>E1312*F1312</f>
        <v/>
      </c>
    </row>
    <row r="1313">
      <c r="A1313">
        <f>Sources!A1313</f>
        <v/>
      </c>
      <c r="B1313">
        <f>Sources!B1313</f>
        <v/>
      </c>
      <c r="C1313">
        <f>Sources!D1313</f>
        <v/>
      </c>
      <c r="D1313">
        <f>Sources!E1313</f>
        <v/>
      </c>
      <c r="E1313">
        <f>Sources!F1313</f>
        <v/>
      </c>
      <c r="F1313">
        <f>Sources!H1313</f>
        <v/>
      </c>
      <c r="G1313">
        <f>IF(ABS(F1313-ROUND(F1313,0))&lt;0.001,1,0)</f>
        <v/>
      </c>
      <c r="H1313">
        <f>IF(G1313=1,F1313,CEILING(F1313,1))</f>
        <v/>
      </c>
      <c r="I1313">
        <f>IF(G1313=1,0,(H1313-F1313)*E1313)</f>
        <v/>
      </c>
      <c r="J1313">
        <f>E1313*F1313</f>
        <v/>
      </c>
    </row>
    <row r="1314">
      <c r="A1314">
        <f>Sources!A1314</f>
        <v/>
      </c>
      <c r="B1314">
        <f>Sources!B1314</f>
        <v/>
      </c>
      <c r="C1314">
        <f>Sources!D1314</f>
        <v/>
      </c>
      <c r="D1314">
        <f>Sources!E1314</f>
        <v/>
      </c>
      <c r="E1314">
        <f>Sources!F1314</f>
        <v/>
      </c>
      <c r="F1314">
        <f>Sources!H1314</f>
        <v/>
      </c>
      <c r="G1314">
        <f>IF(ABS(F1314-ROUND(F1314,0))&lt;0.001,1,0)</f>
        <v/>
      </c>
      <c r="H1314">
        <f>IF(G1314=1,F1314,CEILING(F1314,1))</f>
        <v/>
      </c>
      <c r="I1314">
        <f>IF(G1314=1,0,(H1314-F1314)*E1314)</f>
        <v/>
      </c>
      <c r="J1314">
        <f>E1314*F1314</f>
        <v/>
      </c>
    </row>
    <row r="1315">
      <c r="A1315">
        <f>Sources!A1315</f>
        <v/>
      </c>
      <c r="B1315">
        <f>Sources!B1315</f>
        <v/>
      </c>
      <c r="C1315">
        <f>Sources!D1315</f>
        <v/>
      </c>
      <c r="D1315">
        <f>Sources!E1315</f>
        <v/>
      </c>
      <c r="E1315">
        <f>Sources!F1315</f>
        <v/>
      </c>
      <c r="F1315">
        <f>Sources!H1315</f>
        <v/>
      </c>
      <c r="G1315">
        <f>IF(ABS(F1315-ROUND(F1315,0))&lt;0.001,1,0)</f>
        <v/>
      </c>
      <c r="H1315">
        <f>IF(G1315=1,F1315,CEILING(F1315,1))</f>
        <v/>
      </c>
      <c r="I1315">
        <f>IF(G1315=1,0,(H1315-F1315)*E1315)</f>
        <v/>
      </c>
      <c r="J1315">
        <f>E1315*F1315</f>
        <v/>
      </c>
    </row>
    <row r="1316">
      <c r="A1316">
        <f>Sources!A1316</f>
        <v/>
      </c>
      <c r="B1316">
        <f>Sources!B1316</f>
        <v/>
      </c>
      <c r="C1316">
        <f>Sources!D1316</f>
        <v/>
      </c>
      <c r="D1316">
        <f>Sources!E1316</f>
        <v/>
      </c>
      <c r="E1316">
        <f>Sources!F1316</f>
        <v/>
      </c>
      <c r="F1316">
        <f>Sources!H1316</f>
        <v/>
      </c>
      <c r="G1316">
        <f>IF(ABS(F1316-ROUND(F1316,0))&lt;0.001,1,0)</f>
        <v/>
      </c>
      <c r="H1316">
        <f>IF(G1316=1,F1316,CEILING(F1316,1))</f>
        <v/>
      </c>
      <c r="I1316">
        <f>IF(G1316=1,0,(H1316-F1316)*E1316)</f>
        <v/>
      </c>
      <c r="J1316">
        <f>E1316*F1316</f>
        <v/>
      </c>
    </row>
    <row r="1317">
      <c r="A1317">
        <f>Sources!A1317</f>
        <v/>
      </c>
      <c r="B1317">
        <f>Sources!B1317</f>
        <v/>
      </c>
      <c r="C1317">
        <f>Sources!D1317</f>
        <v/>
      </c>
      <c r="D1317">
        <f>Sources!E1317</f>
        <v/>
      </c>
      <c r="E1317">
        <f>Sources!F1317</f>
        <v/>
      </c>
      <c r="F1317">
        <f>Sources!H1317</f>
        <v/>
      </c>
      <c r="G1317">
        <f>IF(ABS(F1317-ROUND(F1317,0))&lt;0.001,1,0)</f>
        <v/>
      </c>
      <c r="H1317">
        <f>IF(G1317=1,F1317,CEILING(F1317,1))</f>
        <v/>
      </c>
      <c r="I1317">
        <f>IF(G1317=1,0,(H1317-F1317)*E1317)</f>
        <v/>
      </c>
      <c r="J1317">
        <f>E1317*F1317</f>
        <v/>
      </c>
    </row>
    <row r="1318">
      <c r="A1318">
        <f>Sources!A1318</f>
        <v/>
      </c>
      <c r="B1318">
        <f>Sources!B1318</f>
        <v/>
      </c>
      <c r="C1318">
        <f>Sources!D1318</f>
        <v/>
      </c>
      <c r="D1318">
        <f>Sources!E1318</f>
        <v/>
      </c>
      <c r="E1318">
        <f>Sources!F1318</f>
        <v/>
      </c>
      <c r="F1318">
        <f>Sources!H1318</f>
        <v/>
      </c>
      <c r="G1318">
        <f>IF(ABS(F1318-ROUND(F1318,0))&lt;0.001,1,0)</f>
        <v/>
      </c>
      <c r="H1318">
        <f>IF(G1318=1,F1318,CEILING(F1318,1))</f>
        <v/>
      </c>
      <c r="I1318">
        <f>IF(G1318=1,0,(H1318-F1318)*E1318)</f>
        <v/>
      </c>
      <c r="J1318">
        <f>E1318*F1318</f>
        <v/>
      </c>
    </row>
    <row r="1319">
      <c r="A1319">
        <f>Sources!A1319</f>
        <v/>
      </c>
      <c r="B1319">
        <f>Sources!B1319</f>
        <v/>
      </c>
      <c r="C1319">
        <f>Sources!D1319</f>
        <v/>
      </c>
      <c r="D1319">
        <f>Sources!E1319</f>
        <v/>
      </c>
      <c r="E1319">
        <f>Sources!F1319</f>
        <v/>
      </c>
      <c r="F1319">
        <f>Sources!H1319</f>
        <v/>
      </c>
      <c r="G1319">
        <f>IF(ABS(F1319-ROUND(F1319,0))&lt;0.001,1,0)</f>
        <v/>
      </c>
      <c r="H1319">
        <f>IF(G1319=1,F1319,CEILING(F1319,1))</f>
        <v/>
      </c>
      <c r="I1319">
        <f>IF(G1319=1,0,(H1319-F1319)*E1319)</f>
        <v/>
      </c>
      <c r="J1319">
        <f>E1319*F1319</f>
        <v/>
      </c>
    </row>
    <row r="1320">
      <c r="A1320">
        <f>Sources!A1320</f>
        <v/>
      </c>
      <c r="B1320">
        <f>Sources!B1320</f>
        <v/>
      </c>
      <c r="C1320">
        <f>Sources!D1320</f>
        <v/>
      </c>
      <c r="D1320">
        <f>Sources!E1320</f>
        <v/>
      </c>
      <c r="E1320">
        <f>Sources!F1320</f>
        <v/>
      </c>
      <c r="F1320">
        <f>Sources!H1320</f>
        <v/>
      </c>
      <c r="G1320">
        <f>IF(ABS(F1320-ROUND(F1320,0))&lt;0.001,1,0)</f>
        <v/>
      </c>
      <c r="H1320">
        <f>IF(G1320=1,F1320,CEILING(F1320,1))</f>
        <v/>
      </c>
      <c r="I1320">
        <f>IF(G1320=1,0,(H1320-F1320)*E1320)</f>
        <v/>
      </c>
      <c r="J1320">
        <f>E1320*F1320</f>
        <v/>
      </c>
    </row>
    <row r="1321">
      <c r="A1321">
        <f>Sources!A1321</f>
        <v/>
      </c>
      <c r="B1321">
        <f>Sources!B1321</f>
        <v/>
      </c>
      <c r="C1321">
        <f>Sources!D1321</f>
        <v/>
      </c>
      <c r="D1321">
        <f>Sources!E1321</f>
        <v/>
      </c>
      <c r="E1321">
        <f>Sources!F1321</f>
        <v/>
      </c>
      <c r="F1321">
        <f>Sources!H1321</f>
        <v/>
      </c>
      <c r="G1321">
        <f>IF(ABS(F1321-ROUND(F1321,0))&lt;0.001,1,0)</f>
        <v/>
      </c>
      <c r="H1321">
        <f>IF(G1321=1,F1321,CEILING(F1321,1))</f>
        <v/>
      </c>
      <c r="I1321">
        <f>IF(G1321=1,0,(H1321-F1321)*E1321)</f>
        <v/>
      </c>
      <c r="J1321">
        <f>E1321*F1321</f>
        <v/>
      </c>
    </row>
    <row r="1322">
      <c r="A1322">
        <f>Sources!A1322</f>
        <v/>
      </c>
      <c r="B1322">
        <f>Sources!B1322</f>
        <v/>
      </c>
      <c r="C1322">
        <f>Sources!D1322</f>
        <v/>
      </c>
      <c r="D1322">
        <f>Sources!E1322</f>
        <v/>
      </c>
      <c r="E1322">
        <f>Sources!F1322</f>
        <v/>
      </c>
      <c r="F1322">
        <f>Sources!H1322</f>
        <v/>
      </c>
      <c r="G1322">
        <f>IF(ABS(F1322-ROUND(F1322,0))&lt;0.001,1,0)</f>
        <v/>
      </c>
      <c r="H1322">
        <f>IF(G1322=1,F1322,CEILING(F1322,1))</f>
        <v/>
      </c>
      <c r="I1322">
        <f>IF(G1322=1,0,(H1322-F1322)*E1322)</f>
        <v/>
      </c>
      <c r="J1322">
        <f>E1322*F1322</f>
        <v/>
      </c>
    </row>
    <row r="1323">
      <c r="A1323">
        <f>Sources!A1323</f>
        <v/>
      </c>
      <c r="B1323">
        <f>Sources!B1323</f>
        <v/>
      </c>
      <c r="C1323">
        <f>Sources!D1323</f>
        <v/>
      </c>
      <c r="D1323">
        <f>Sources!E1323</f>
        <v/>
      </c>
      <c r="E1323">
        <f>Sources!F1323</f>
        <v/>
      </c>
      <c r="F1323">
        <f>Sources!H1323</f>
        <v/>
      </c>
      <c r="G1323">
        <f>IF(ABS(F1323-ROUND(F1323,0))&lt;0.001,1,0)</f>
        <v/>
      </c>
      <c r="H1323">
        <f>IF(G1323=1,F1323,CEILING(F1323,1))</f>
        <v/>
      </c>
      <c r="I1323">
        <f>IF(G1323=1,0,(H1323-F1323)*E1323)</f>
        <v/>
      </c>
      <c r="J1323">
        <f>E1323*F1323</f>
        <v/>
      </c>
    </row>
    <row r="1324">
      <c r="A1324">
        <f>Sources!A1324</f>
        <v/>
      </c>
      <c r="B1324">
        <f>Sources!B1324</f>
        <v/>
      </c>
      <c r="C1324">
        <f>Sources!D1324</f>
        <v/>
      </c>
      <c r="D1324">
        <f>Sources!E1324</f>
        <v/>
      </c>
      <c r="E1324">
        <f>Sources!F1324</f>
        <v/>
      </c>
      <c r="F1324">
        <f>Sources!H1324</f>
        <v/>
      </c>
      <c r="G1324">
        <f>IF(ABS(F1324-ROUND(F1324,0))&lt;0.001,1,0)</f>
        <v/>
      </c>
      <c r="H1324">
        <f>IF(G1324=1,F1324,CEILING(F1324,1))</f>
        <v/>
      </c>
      <c r="I1324">
        <f>IF(G1324=1,0,(H1324-F1324)*E1324)</f>
        <v/>
      </c>
      <c r="J1324">
        <f>E1324*F1324</f>
        <v/>
      </c>
    </row>
    <row r="1325">
      <c r="A1325">
        <f>Sources!A1325</f>
        <v/>
      </c>
      <c r="B1325">
        <f>Sources!B1325</f>
        <v/>
      </c>
      <c r="C1325">
        <f>Sources!D1325</f>
        <v/>
      </c>
      <c r="D1325">
        <f>Sources!E1325</f>
        <v/>
      </c>
      <c r="E1325">
        <f>Sources!F1325</f>
        <v/>
      </c>
      <c r="F1325">
        <f>Sources!H1325</f>
        <v/>
      </c>
      <c r="G1325">
        <f>IF(ABS(F1325-ROUND(F1325,0))&lt;0.001,1,0)</f>
        <v/>
      </c>
      <c r="H1325">
        <f>IF(G1325=1,F1325,CEILING(F1325,1))</f>
        <v/>
      </c>
      <c r="I1325">
        <f>IF(G1325=1,0,(H1325-F1325)*E1325)</f>
        <v/>
      </c>
      <c r="J1325">
        <f>E1325*F1325</f>
        <v/>
      </c>
    </row>
    <row r="1326">
      <c r="A1326">
        <f>Sources!A1326</f>
        <v/>
      </c>
      <c r="B1326">
        <f>Sources!B1326</f>
        <v/>
      </c>
      <c r="C1326">
        <f>Sources!D1326</f>
        <v/>
      </c>
      <c r="D1326">
        <f>Sources!E1326</f>
        <v/>
      </c>
      <c r="E1326">
        <f>Sources!F1326</f>
        <v/>
      </c>
      <c r="F1326">
        <f>Sources!H1326</f>
        <v/>
      </c>
      <c r="G1326">
        <f>IF(ABS(F1326-ROUND(F1326,0))&lt;0.001,1,0)</f>
        <v/>
      </c>
      <c r="H1326">
        <f>IF(G1326=1,F1326,CEILING(F1326,1))</f>
        <v/>
      </c>
      <c r="I1326">
        <f>IF(G1326=1,0,(H1326-F1326)*E1326)</f>
        <v/>
      </c>
      <c r="J1326">
        <f>E1326*F1326</f>
        <v/>
      </c>
    </row>
    <row r="1327">
      <c r="A1327">
        <f>Sources!A1327</f>
        <v/>
      </c>
      <c r="B1327">
        <f>Sources!B1327</f>
        <v/>
      </c>
      <c r="C1327">
        <f>Sources!D1327</f>
        <v/>
      </c>
      <c r="D1327">
        <f>Sources!E1327</f>
        <v/>
      </c>
      <c r="E1327">
        <f>Sources!F1327</f>
        <v/>
      </c>
      <c r="F1327">
        <f>Sources!H1327</f>
        <v/>
      </c>
      <c r="G1327">
        <f>IF(ABS(F1327-ROUND(F1327,0))&lt;0.001,1,0)</f>
        <v/>
      </c>
      <c r="H1327">
        <f>IF(G1327=1,F1327,CEILING(F1327,1))</f>
        <v/>
      </c>
      <c r="I1327">
        <f>IF(G1327=1,0,(H1327-F1327)*E1327)</f>
        <v/>
      </c>
      <c r="J1327">
        <f>E1327*F1327</f>
        <v/>
      </c>
    </row>
    <row r="1328">
      <c r="A1328">
        <f>Sources!A1328</f>
        <v/>
      </c>
      <c r="B1328">
        <f>Sources!B1328</f>
        <v/>
      </c>
      <c r="C1328">
        <f>Sources!D1328</f>
        <v/>
      </c>
      <c r="D1328">
        <f>Sources!E1328</f>
        <v/>
      </c>
      <c r="E1328">
        <f>Sources!F1328</f>
        <v/>
      </c>
      <c r="F1328">
        <f>Sources!H1328</f>
        <v/>
      </c>
      <c r="G1328">
        <f>IF(ABS(F1328-ROUND(F1328,0))&lt;0.001,1,0)</f>
        <v/>
      </c>
      <c r="H1328">
        <f>IF(G1328=1,F1328,CEILING(F1328,1))</f>
        <v/>
      </c>
      <c r="I1328">
        <f>IF(G1328=1,0,(H1328-F1328)*E1328)</f>
        <v/>
      </c>
      <c r="J1328">
        <f>E1328*F1328</f>
        <v/>
      </c>
    </row>
    <row r="1329">
      <c r="A1329">
        <f>Sources!A1329</f>
        <v/>
      </c>
      <c r="B1329">
        <f>Sources!B1329</f>
        <v/>
      </c>
      <c r="C1329">
        <f>Sources!D1329</f>
        <v/>
      </c>
      <c r="D1329">
        <f>Sources!E1329</f>
        <v/>
      </c>
      <c r="E1329">
        <f>Sources!F1329</f>
        <v/>
      </c>
      <c r="F1329">
        <f>Sources!H1329</f>
        <v/>
      </c>
      <c r="G1329">
        <f>IF(ABS(F1329-ROUND(F1329,0))&lt;0.001,1,0)</f>
        <v/>
      </c>
      <c r="H1329">
        <f>IF(G1329=1,F1329,CEILING(F1329,1))</f>
        <v/>
      </c>
      <c r="I1329">
        <f>IF(G1329=1,0,(H1329-F1329)*E1329)</f>
        <v/>
      </c>
      <c r="J1329">
        <f>E1329*F1329</f>
        <v/>
      </c>
    </row>
    <row r="1330">
      <c r="A1330">
        <f>Sources!A1330</f>
        <v/>
      </c>
      <c r="B1330">
        <f>Sources!B1330</f>
        <v/>
      </c>
      <c r="C1330">
        <f>Sources!D1330</f>
        <v/>
      </c>
      <c r="D1330">
        <f>Sources!E1330</f>
        <v/>
      </c>
      <c r="E1330">
        <f>Sources!F1330</f>
        <v/>
      </c>
      <c r="F1330">
        <f>Sources!H1330</f>
        <v/>
      </c>
      <c r="G1330">
        <f>IF(ABS(F1330-ROUND(F1330,0))&lt;0.001,1,0)</f>
        <v/>
      </c>
      <c r="H1330">
        <f>IF(G1330=1,F1330,CEILING(F1330,1))</f>
        <v/>
      </c>
      <c r="I1330">
        <f>IF(G1330=1,0,(H1330-F1330)*E1330)</f>
        <v/>
      </c>
      <c r="J1330">
        <f>E1330*F1330</f>
        <v/>
      </c>
    </row>
    <row r="1331">
      <c r="A1331">
        <f>Sources!A1331</f>
        <v/>
      </c>
      <c r="B1331">
        <f>Sources!B1331</f>
        <v/>
      </c>
      <c r="C1331">
        <f>Sources!D1331</f>
        <v/>
      </c>
      <c r="D1331">
        <f>Sources!E1331</f>
        <v/>
      </c>
      <c r="E1331">
        <f>Sources!F1331</f>
        <v/>
      </c>
      <c r="F1331">
        <f>Sources!H1331</f>
        <v/>
      </c>
      <c r="G1331">
        <f>IF(ABS(F1331-ROUND(F1331,0))&lt;0.001,1,0)</f>
        <v/>
      </c>
      <c r="H1331">
        <f>IF(G1331=1,F1331,CEILING(F1331,1))</f>
        <v/>
      </c>
      <c r="I1331">
        <f>IF(G1331=1,0,(H1331-F1331)*E1331)</f>
        <v/>
      </c>
      <c r="J1331">
        <f>E1331*F1331</f>
        <v/>
      </c>
    </row>
    <row r="1332">
      <c r="A1332">
        <f>Sources!A1332</f>
        <v/>
      </c>
      <c r="B1332">
        <f>Sources!B1332</f>
        <v/>
      </c>
      <c r="C1332">
        <f>Sources!D1332</f>
        <v/>
      </c>
      <c r="D1332">
        <f>Sources!E1332</f>
        <v/>
      </c>
      <c r="E1332">
        <f>Sources!F1332</f>
        <v/>
      </c>
      <c r="F1332">
        <f>Sources!H1332</f>
        <v/>
      </c>
      <c r="G1332">
        <f>IF(ABS(F1332-ROUND(F1332,0))&lt;0.001,1,0)</f>
        <v/>
      </c>
      <c r="H1332">
        <f>IF(G1332=1,F1332,CEILING(F1332,1))</f>
        <v/>
      </c>
      <c r="I1332">
        <f>IF(G1332=1,0,(H1332-F1332)*E1332)</f>
        <v/>
      </c>
      <c r="J1332">
        <f>E1332*F1332</f>
        <v/>
      </c>
    </row>
    <row r="1333">
      <c r="A1333">
        <f>Sources!A1333</f>
        <v/>
      </c>
      <c r="B1333">
        <f>Sources!B1333</f>
        <v/>
      </c>
      <c r="C1333">
        <f>Sources!D1333</f>
        <v/>
      </c>
      <c r="D1333">
        <f>Sources!E1333</f>
        <v/>
      </c>
      <c r="E1333">
        <f>Sources!F1333</f>
        <v/>
      </c>
      <c r="F1333">
        <f>Sources!H1333</f>
        <v/>
      </c>
      <c r="G1333">
        <f>IF(ABS(F1333-ROUND(F1333,0))&lt;0.001,1,0)</f>
        <v/>
      </c>
      <c r="H1333">
        <f>IF(G1333=1,F1333,CEILING(F1333,1))</f>
        <v/>
      </c>
      <c r="I1333">
        <f>IF(G1333=1,0,(H1333-F1333)*E1333)</f>
        <v/>
      </c>
      <c r="J1333">
        <f>E1333*F1333</f>
        <v/>
      </c>
    </row>
    <row r="1334">
      <c r="A1334">
        <f>Sources!A1334</f>
        <v/>
      </c>
      <c r="B1334">
        <f>Sources!B1334</f>
        <v/>
      </c>
      <c r="C1334">
        <f>Sources!D1334</f>
        <v/>
      </c>
      <c r="D1334">
        <f>Sources!E1334</f>
        <v/>
      </c>
      <c r="E1334">
        <f>Sources!F1334</f>
        <v/>
      </c>
      <c r="F1334">
        <f>Sources!H1334</f>
        <v/>
      </c>
      <c r="G1334">
        <f>IF(ABS(F1334-ROUND(F1334,0))&lt;0.001,1,0)</f>
        <v/>
      </c>
      <c r="H1334">
        <f>IF(G1334=1,F1334,CEILING(F1334,1))</f>
        <v/>
      </c>
      <c r="I1334">
        <f>IF(G1334=1,0,(H1334-F1334)*E1334)</f>
        <v/>
      </c>
      <c r="J1334">
        <f>E1334*F1334</f>
        <v/>
      </c>
    </row>
    <row r="1335">
      <c r="A1335">
        <f>Sources!A1335</f>
        <v/>
      </c>
      <c r="B1335">
        <f>Sources!B1335</f>
        <v/>
      </c>
      <c r="C1335">
        <f>Sources!D1335</f>
        <v/>
      </c>
      <c r="D1335">
        <f>Sources!E1335</f>
        <v/>
      </c>
      <c r="E1335">
        <f>Sources!F1335</f>
        <v/>
      </c>
      <c r="F1335">
        <f>Sources!H1335</f>
        <v/>
      </c>
      <c r="G1335">
        <f>IF(ABS(F1335-ROUND(F1335,0))&lt;0.001,1,0)</f>
        <v/>
      </c>
      <c r="H1335">
        <f>IF(G1335=1,F1335,CEILING(F1335,1))</f>
        <v/>
      </c>
      <c r="I1335">
        <f>IF(G1335=1,0,(H1335-F1335)*E1335)</f>
        <v/>
      </c>
      <c r="J1335">
        <f>E1335*F1335</f>
        <v/>
      </c>
    </row>
    <row r="1336">
      <c r="A1336">
        <f>Sources!A1336</f>
        <v/>
      </c>
      <c r="B1336">
        <f>Sources!B1336</f>
        <v/>
      </c>
      <c r="C1336">
        <f>Sources!D1336</f>
        <v/>
      </c>
      <c r="D1336">
        <f>Sources!E1336</f>
        <v/>
      </c>
      <c r="E1336">
        <f>Sources!F1336</f>
        <v/>
      </c>
      <c r="F1336">
        <f>Sources!H1336</f>
        <v/>
      </c>
      <c r="G1336">
        <f>IF(ABS(F1336-ROUND(F1336,0))&lt;0.001,1,0)</f>
        <v/>
      </c>
      <c r="H1336">
        <f>IF(G1336=1,F1336,CEILING(F1336,1))</f>
        <v/>
      </c>
      <c r="I1336">
        <f>IF(G1336=1,0,(H1336-F1336)*E1336)</f>
        <v/>
      </c>
      <c r="J1336">
        <f>E1336*F1336</f>
        <v/>
      </c>
    </row>
    <row r="1337">
      <c r="A1337">
        <f>Sources!A1337</f>
        <v/>
      </c>
      <c r="B1337">
        <f>Sources!B1337</f>
        <v/>
      </c>
      <c r="C1337">
        <f>Sources!D1337</f>
        <v/>
      </c>
      <c r="D1337">
        <f>Sources!E1337</f>
        <v/>
      </c>
      <c r="E1337">
        <f>Sources!F1337</f>
        <v/>
      </c>
      <c r="F1337">
        <f>Sources!H1337</f>
        <v/>
      </c>
      <c r="G1337">
        <f>IF(ABS(F1337-ROUND(F1337,0))&lt;0.001,1,0)</f>
        <v/>
      </c>
      <c r="H1337">
        <f>IF(G1337=1,F1337,CEILING(F1337,1))</f>
        <v/>
      </c>
      <c r="I1337">
        <f>IF(G1337=1,0,(H1337-F1337)*E1337)</f>
        <v/>
      </c>
      <c r="J1337">
        <f>E1337*F1337</f>
        <v/>
      </c>
    </row>
    <row r="1338">
      <c r="A1338">
        <f>Sources!A1338</f>
        <v/>
      </c>
      <c r="B1338">
        <f>Sources!B1338</f>
        <v/>
      </c>
      <c r="C1338">
        <f>Sources!D1338</f>
        <v/>
      </c>
      <c r="D1338">
        <f>Sources!E1338</f>
        <v/>
      </c>
      <c r="E1338">
        <f>Sources!F1338</f>
        <v/>
      </c>
      <c r="F1338">
        <f>Sources!H1338</f>
        <v/>
      </c>
      <c r="G1338">
        <f>IF(ABS(F1338-ROUND(F1338,0))&lt;0.001,1,0)</f>
        <v/>
      </c>
      <c r="H1338">
        <f>IF(G1338=1,F1338,CEILING(F1338,1))</f>
        <v/>
      </c>
      <c r="I1338">
        <f>IF(G1338=1,0,(H1338-F1338)*E1338)</f>
        <v/>
      </c>
      <c r="J1338">
        <f>E1338*F1338</f>
        <v/>
      </c>
    </row>
    <row r="1339">
      <c r="A1339">
        <f>Sources!A1339</f>
        <v/>
      </c>
      <c r="B1339">
        <f>Sources!B1339</f>
        <v/>
      </c>
      <c r="C1339">
        <f>Sources!D1339</f>
        <v/>
      </c>
      <c r="D1339">
        <f>Sources!E1339</f>
        <v/>
      </c>
      <c r="E1339">
        <f>Sources!F1339</f>
        <v/>
      </c>
      <c r="F1339">
        <f>Sources!H1339</f>
        <v/>
      </c>
      <c r="G1339">
        <f>IF(ABS(F1339-ROUND(F1339,0))&lt;0.001,1,0)</f>
        <v/>
      </c>
      <c r="H1339">
        <f>IF(G1339=1,F1339,CEILING(F1339,1))</f>
        <v/>
      </c>
      <c r="I1339">
        <f>IF(G1339=1,0,(H1339-F1339)*E1339)</f>
        <v/>
      </c>
      <c r="J1339">
        <f>E1339*F1339</f>
        <v/>
      </c>
    </row>
    <row r="1340">
      <c r="A1340">
        <f>Sources!A1340</f>
        <v/>
      </c>
      <c r="B1340">
        <f>Sources!B1340</f>
        <v/>
      </c>
      <c r="C1340">
        <f>Sources!D1340</f>
        <v/>
      </c>
      <c r="D1340">
        <f>Sources!E1340</f>
        <v/>
      </c>
      <c r="E1340">
        <f>Sources!F1340</f>
        <v/>
      </c>
      <c r="F1340">
        <f>Sources!H1340</f>
        <v/>
      </c>
      <c r="G1340">
        <f>IF(ABS(F1340-ROUND(F1340,0))&lt;0.001,1,0)</f>
        <v/>
      </c>
      <c r="H1340">
        <f>IF(G1340=1,F1340,CEILING(F1340,1))</f>
        <v/>
      </c>
      <c r="I1340">
        <f>IF(G1340=1,0,(H1340-F1340)*E1340)</f>
        <v/>
      </c>
      <c r="J1340">
        <f>E1340*F1340</f>
        <v/>
      </c>
    </row>
    <row r="1341">
      <c r="A1341">
        <f>Sources!A1341</f>
        <v/>
      </c>
      <c r="B1341">
        <f>Sources!B1341</f>
        <v/>
      </c>
      <c r="C1341">
        <f>Sources!D1341</f>
        <v/>
      </c>
      <c r="D1341">
        <f>Sources!E1341</f>
        <v/>
      </c>
      <c r="E1341">
        <f>Sources!F1341</f>
        <v/>
      </c>
      <c r="F1341">
        <f>Sources!H1341</f>
        <v/>
      </c>
      <c r="G1341">
        <f>IF(ABS(F1341-ROUND(F1341,0))&lt;0.001,1,0)</f>
        <v/>
      </c>
      <c r="H1341">
        <f>IF(G1341=1,F1341,CEILING(F1341,1))</f>
        <v/>
      </c>
      <c r="I1341">
        <f>IF(G1341=1,0,(H1341-F1341)*E1341)</f>
        <v/>
      </c>
      <c r="J1341">
        <f>E1341*F1341</f>
        <v/>
      </c>
    </row>
    <row r="1342">
      <c r="A1342">
        <f>Sources!A1342</f>
        <v/>
      </c>
      <c r="B1342">
        <f>Sources!B1342</f>
        <v/>
      </c>
      <c r="C1342">
        <f>Sources!D1342</f>
        <v/>
      </c>
      <c r="D1342">
        <f>Sources!E1342</f>
        <v/>
      </c>
      <c r="E1342">
        <f>Sources!F1342</f>
        <v/>
      </c>
      <c r="F1342">
        <f>Sources!H1342</f>
        <v/>
      </c>
      <c r="G1342">
        <f>IF(ABS(F1342-ROUND(F1342,0))&lt;0.001,1,0)</f>
        <v/>
      </c>
      <c r="H1342">
        <f>IF(G1342=1,F1342,CEILING(F1342,1))</f>
        <v/>
      </c>
      <c r="I1342">
        <f>IF(G1342=1,0,(H1342-F1342)*E1342)</f>
        <v/>
      </c>
      <c r="J1342">
        <f>E1342*F1342</f>
        <v/>
      </c>
    </row>
    <row r="1343">
      <c r="A1343">
        <f>Sources!A1343</f>
        <v/>
      </c>
      <c r="B1343">
        <f>Sources!B1343</f>
        <v/>
      </c>
      <c r="C1343">
        <f>Sources!D1343</f>
        <v/>
      </c>
      <c r="D1343">
        <f>Sources!E1343</f>
        <v/>
      </c>
      <c r="E1343">
        <f>Sources!F1343</f>
        <v/>
      </c>
      <c r="F1343">
        <f>Sources!H1343</f>
        <v/>
      </c>
      <c r="G1343">
        <f>IF(ABS(F1343-ROUND(F1343,0))&lt;0.001,1,0)</f>
        <v/>
      </c>
      <c r="H1343">
        <f>IF(G1343=1,F1343,CEILING(F1343,1))</f>
        <v/>
      </c>
      <c r="I1343">
        <f>IF(G1343=1,0,(H1343-F1343)*E1343)</f>
        <v/>
      </c>
      <c r="J1343">
        <f>E1343*F1343</f>
        <v/>
      </c>
    </row>
    <row r="1344">
      <c r="A1344">
        <f>Sources!A1344</f>
        <v/>
      </c>
      <c r="B1344">
        <f>Sources!B1344</f>
        <v/>
      </c>
      <c r="C1344">
        <f>Sources!D1344</f>
        <v/>
      </c>
      <c r="D1344">
        <f>Sources!E1344</f>
        <v/>
      </c>
      <c r="E1344">
        <f>Sources!F1344</f>
        <v/>
      </c>
      <c r="F1344">
        <f>Sources!H1344</f>
        <v/>
      </c>
      <c r="G1344">
        <f>IF(ABS(F1344-ROUND(F1344,0))&lt;0.001,1,0)</f>
        <v/>
      </c>
      <c r="H1344">
        <f>IF(G1344=1,F1344,CEILING(F1344,1))</f>
        <v/>
      </c>
      <c r="I1344">
        <f>IF(G1344=1,0,(H1344-F1344)*E1344)</f>
        <v/>
      </c>
      <c r="J1344">
        <f>E1344*F1344</f>
        <v/>
      </c>
    </row>
    <row r="1345">
      <c r="A1345">
        <f>Sources!A1345</f>
        <v/>
      </c>
      <c r="B1345">
        <f>Sources!B1345</f>
        <v/>
      </c>
      <c r="C1345">
        <f>Sources!D1345</f>
        <v/>
      </c>
      <c r="D1345">
        <f>Sources!E1345</f>
        <v/>
      </c>
      <c r="E1345">
        <f>Sources!F1345</f>
        <v/>
      </c>
      <c r="F1345">
        <f>Sources!H1345</f>
        <v/>
      </c>
      <c r="G1345">
        <f>IF(ABS(F1345-ROUND(F1345,0))&lt;0.001,1,0)</f>
        <v/>
      </c>
      <c r="H1345">
        <f>IF(G1345=1,F1345,CEILING(F1345,1))</f>
        <v/>
      </c>
      <c r="I1345">
        <f>IF(G1345=1,0,(H1345-F1345)*E1345)</f>
        <v/>
      </c>
      <c r="J1345">
        <f>E1345*F1345</f>
        <v/>
      </c>
    </row>
    <row r="1346">
      <c r="A1346">
        <f>Sources!A1346</f>
        <v/>
      </c>
      <c r="B1346">
        <f>Sources!B1346</f>
        <v/>
      </c>
      <c r="C1346">
        <f>Sources!D1346</f>
        <v/>
      </c>
      <c r="D1346">
        <f>Sources!E1346</f>
        <v/>
      </c>
      <c r="E1346">
        <f>Sources!F1346</f>
        <v/>
      </c>
      <c r="F1346">
        <f>Sources!H1346</f>
        <v/>
      </c>
      <c r="G1346">
        <f>IF(ABS(F1346-ROUND(F1346,0))&lt;0.001,1,0)</f>
        <v/>
      </c>
      <c r="H1346">
        <f>IF(G1346=1,F1346,CEILING(F1346,1))</f>
        <v/>
      </c>
      <c r="I1346">
        <f>IF(G1346=1,0,(H1346-F1346)*E1346)</f>
        <v/>
      </c>
      <c r="J1346">
        <f>E1346*F1346</f>
        <v/>
      </c>
    </row>
    <row r="1347">
      <c r="A1347">
        <f>Sources!A1347</f>
        <v/>
      </c>
      <c r="B1347">
        <f>Sources!B1347</f>
        <v/>
      </c>
      <c r="C1347">
        <f>Sources!D1347</f>
        <v/>
      </c>
      <c r="D1347">
        <f>Sources!E1347</f>
        <v/>
      </c>
      <c r="E1347">
        <f>Sources!F1347</f>
        <v/>
      </c>
      <c r="F1347">
        <f>Sources!H1347</f>
        <v/>
      </c>
      <c r="G1347">
        <f>IF(ABS(F1347-ROUND(F1347,0))&lt;0.001,1,0)</f>
        <v/>
      </c>
      <c r="H1347">
        <f>IF(G1347=1,F1347,CEILING(F1347,1))</f>
        <v/>
      </c>
      <c r="I1347">
        <f>IF(G1347=1,0,(H1347-F1347)*E1347)</f>
        <v/>
      </c>
      <c r="J1347">
        <f>E1347*F1347</f>
        <v/>
      </c>
    </row>
    <row r="1348">
      <c r="A1348">
        <f>Sources!A1348</f>
        <v/>
      </c>
      <c r="B1348">
        <f>Sources!B1348</f>
        <v/>
      </c>
      <c r="C1348">
        <f>Sources!D1348</f>
        <v/>
      </c>
      <c r="D1348">
        <f>Sources!E1348</f>
        <v/>
      </c>
      <c r="E1348">
        <f>Sources!F1348</f>
        <v/>
      </c>
      <c r="F1348">
        <f>Sources!H1348</f>
        <v/>
      </c>
      <c r="G1348">
        <f>IF(ABS(F1348-ROUND(F1348,0))&lt;0.001,1,0)</f>
        <v/>
      </c>
      <c r="H1348">
        <f>IF(G1348=1,F1348,CEILING(F1348,1))</f>
        <v/>
      </c>
      <c r="I1348">
        <f>IF(G1348=1,0,(H1348-F1348)*E1348)</f>
        <v/>
      </c>
      <c r="J1348">
        <f>E1348*F1348</f>
        <v/>
      </c>
    </row>
    <row r="1349">
      <c r="A1349">
        <f>Sources!A1349</f>
        <v/>
      </c>
      <c r="B1349">
        <f>Sources!B1349</f>
        <v/>
      </c>
      <c r="C1349">
        <f>Sources!D1349</f>
        <v/>
      </c>
      <c r="D1349">
        <f>Sources!E1349</f>
        <v/>
      </c>
      <c r="E1349">
        <f>Sources!F1349</f>
        <v/>
      </c>
      <c r="F1349">
        <f>Sources!H1349</f>
        <v/>
      </c>
      <c r="G1349">
        <f>IF(ABS(F1349-ROUND(F1349,0))&lt;0.001,1,0)</f>
        <v/>
      </c>
      <c r="H1349">
        <f>IF(G1349=1,F1349,CEILING(F1349,1))</f>
        <v/>
      </c>
      <c r="I1349">
        <f>IF(G1349=1,0,(H1349-F1349)*E1349)</f>
        <v/>
      </c>
      <c r="J1349">
        <f>E1349*F1349</f>
        <v/>
      </c>
    </row>
    <row r="1350">
      <c r="A1350">
        <f>Sources!A1350</f>
        <v/>
      </c>
      <c r="B1350">
        <f>Sources!B1350</f>
        <v/>
      </c>
      <c r="C1350">
        <f>Sources!D1350</f>
        <v/>
      </c>
      <c r="D1350">
        <f>Sources!E1350</f>
        <v/>
      </c>
      <c r="E1350">
        <f>Sources!F1350</f>
        <v/>
      </c>
      <c r="F1350">
        <f>Sources!H1350</f>
        <v/>
      </c>
      <c r="G1350">
        <f>IF(ABS(F1350-ROUND(F1350,0))&lt;0.001,1,0)</f>
        <v/>
      </c>
      <c r="H1350">
        <f>IF(G1350=1,F1350,CEILING(F1350,1))</f>
        <v/>
      </c>
      <c r="I1350">
        <f>IF(G1350=1,0,(H1350-F1350)*E1350)</f>
        <v/>
      </c>
      <c r="J1350">
        <f>E1350*F1350</f>
        <v/>
      </c>
    </row>
    <row r="1351">
      <c r="A1351">
        <f>Sources!A1351</f>
        <v/>
      </c>
      <c r="B1351">
        <f>Sources!B1351</f>
        <v/>
      </c>
      <c r="C1351">
        <f>Sources!D1351</f>
        <v/>
      </c>
      <c r="D1351">
        <f>Sources!E1351</f>
        <v/>
      </c>
      <c r="E1351">
        <f>Sources!F1351</f>
        <v/>
      </c>
      <c r="F1351">
        <f>Sources!H1351</f>
        <v/>
      </c>
      <c r="G1351">
        <f>IF(ABS(F1351-ROUND(F1351,0))&lt;0.001,1,0)</f>
        <v/>
      </c>
      <c r="H1351">
        <f>IF(G1351=1,F1351,CEILING(F1351,1))</f>
        <v/>
      </c>
      <c r="I1351">
        <f>IF(G1351=1,0,(H1351-F1351)*E1351)</f>
        <v/>
      </c>
      <c r="J1351">
        <f>E1351*F1351</f>
        <v/>
      </c>
    </row>
    <row r="1352">
      <c r="A1352">
        <f>Sources!A1352</f>
        <v/>
      </c>
      <c r="B1352">
        <f>Sources!B1352</f>
        <v/>
      </c>
      <c r="C1352">
        <f>Sources!D1352</f>
        <v/>
      </c>
      <c r="D1352">
        <f>Sources!E1352</f>
        <v/>
      </c>
      <c r="E1352">
        <f>Sources!F1352</f>
        <v/>
      </c>
      <c r="F1352">
        <f>Sources!H1352</f>
        <v/>
      </c>
      <c r="G1352">
        <f>IF(ABS(F1352-ROUND(F1352,0))&lt;0.001,1,0)</f>
        <v/>
      </c>
      <c r="H1352">
        <f>IF(G1352=1,F1352,CEILING(F1352,1))</f>
        <v/>
      </c>
      <c r="I1352">
        <f>IF(G1352=1,0,(H1352-F1352)*E1352)</f>
        <v/>
      </c>
      <c r="J1352">
        <f>E1352*F1352</f>
        <v/>
      </c>
    </row>
    <row r="1353">
      <c r="A1353">
        <f>Sources!A1353</f>
        <v/>
      </c>
      <c r="B1353">
        <f>Sources!B1353</f>
        <v/>
      </c>
      <c r="C1353">
        <f>Sources!D1353</f>
        <v/>
      </c>
      <c r="D1353">
        <f>Sources!E1353</f>
        <v/>
      </c>
      <c r="E1353">
        <f>Sources!F1353</f>
        <v/>
      </c>
      <c r="F1353">
        <f>Sources!H1353</f>
        <v/>
      </c>
      <c r="G1353">
        <f>IF(ABS(F1353-ROUND(F1353,0))&lt;0.001,1,0)</f>
        <v/>
      </c>
      <c r="H1353">
        <f>IF(G1353=1,F1353,CEILING(F1353,1))</f>
        <v/>
      </c>
      <c r="I1353">
        <f>IF(G1353=1,0,(H1353-F1353)*E1353)</f>
        <v/>
      </c>
      <c r="J1353">
        <f>E1353*F1353</f>
        <v/>
      </c>
    </row>
    <row r="1354">
      <c r="A1354">
        <f>Sources!A1354</f>
        <v/>
      </c>
      <c r="B1354">
        <f>Sources!B1354</f>
        <v/>
      </c>
      <c r="C1354">
        <f>Sources!D1354</f>
        <v/>
      </c>
      <c r="D1354">
        <f>Sources!E1354</f>
        <v/>
      </c>
      <c r="E1354">
        <f>Sources!F1354</f>
        <v/>
      </c>
      <c r="F1354">
        <f>Sources!H1354</f>
        <v/>
      </c>
      <c r="G1354">
        <f>IF(ABS(F1354-ROUND(F1354,0))&lt;0.001,1,0)</f>
        <v/>
      </c>
      <c r="H1354">
        <f>IF(G1354=1,F1354,CEILING(F1354,1))</f>
        <v/>
      </c>
      <c r="I1354">
        <f>IF(G1354=1,0,(H1354-F1354)*E1354)</f>
        <v/>
      </c>
      <c r="J1354">
        <f>E1354*F1354</f>
        <v/>
      </c>
    </row>
    <row r="1355">
      <c r="A1355">
        <f>Sources!A1355</f>
        <v/>
      </c>
      <c r="B1355">
        <f>Sources!B1355</f>
        <v/>
      </c>
      <c r="C1355">
        <f>Sources!D1355</f>
        <v/>
      </c>
      <c r="D1355">
        <f>Sources!E1355</f>
        <v/>
      </c>
      <c r="E1355">
        <f>Sources!F1355</f>
        <v/>
      </c>
      <c r="F1355">
        <f>Sources!H1355</f>
        <v/>
      </c>
      <c r="G1355">
        <f>IF(ABS(F1355-ROUND(F1355,0))&lt;0.001,1,0)</f>
        <v/>
      </c>
      <c r="H1355">
        <f>IF(G1355=1,F1355,CEILING(F1355,1))</f>
        <v/>
      </c>
      <c r="I1355">
        <f>IF(G1355=1,0,(H1355-F1355)*E1355)</f>
        <v/>
      </c>
      <c r="J1355">
        <f>E1355*F1355</f>
        <v/>
      </c>
    </row>
    <row r="1356">
      <c r="A1356">
        <f>Sources!A1356</f>
        <v/>
      </c>
      <c r="B1356">
        <f>Sources!B1356</f>
        <v/>
      </c>
      <c r="C1356">
        <f>Sources!D1356</f>
        <v/>
      </c>
      <c r="D1356">
        <f>Sources!E1356</f>
        <v/>
      </c>
      <c r="E1356">
        <f>Sources!F1356</f>
        <v/>
      </c>
      <c r="F1356">
        <f>Sources!H1356</f>
        <v/>
      </c>
      <c r="G1356">
        <f>IF(ABS(F1356-ROUND(F1356,0))&lt;0.001,1,0)</f>
        <v/>
      </c>
      <c r="H1356">
        <f>IF(G1356=1,F1356,CEILING(F1356,1))</f>
        <v/>
      </c>
      <c r="I1356">
        <f>IF(G1356=1,0,(H1356-F1356)*E1356)</f>
        <v/>
      </c>
      <c r="J1356">
        <f>E1356*F1356</f>
        <v/>
      </c>
    </row>
    <row r="1357">
      <c r="A1357">
        <f>Sources!A1357</f>
        <v/>
      </c>
      <c r="B1357">
        <f>Sources!B1357</f>
        <v/>
      </c>
      <c r="C1357">
        <f>Sources!D1357</f>
        <v/>
      </c>
      <c r="D1357">
        <f>Sources!E1357</f>
        <v/>
      </c>
      <c r="E1357">
        <f>Sources!F1357</f>
        <v/>
      </c>
      <c r="F1357">
        <f>Sources!H1357</f>
        <v/>
      </c>
      <c r="G1357">
        <f>IF(ABS(F1357-ROUND(F1357,0))&lt;0.001,1,0)</f>
        <v/>
      </c>
      <c r="H1357">
        <f>IF(G1357=1,F1357,CEILING(F1357,1))</f>
        <v/>
      </c>
      <c r="I1357">
        <f>IF(G1357=1,0,(H1357-F1357)*E1357)</f>
        <v/>
      </c>
      <c r="J1357">
        <f>E1357*F1357</f>
        <v/>
      </c>
    </row>
    <row r="1358">
      <c r="A1358">
        <f>Sources!A1358</f>
        <v/>
      </c>
      <c r="B1358">
        <f>Sources!B1358</f>
        <v/>
      </c>
      <c r="C1358">
        <f>Sources!D1358</f>
        <v/>
      </c>
      <c r="D1358">
        <f>Sources!E1358</f>
        <v/>
      </c>
      <c r="E1358">
        <f>Sources!F1358</f>
        <v/>
      </c>
      <c r="F1358">
        <f>Sources!H1358</f>
        <v/>
      </c>
      <c r="G1358">
        <f>IF(ABS(F1358-ROUND(F1358,0))&lt;0.001,1,0)</f>
        <v/>
      </c>
      <c r="H1358">
        <f>IF(G1358=1,F1358,CEILING(F1358,1))</f>
        <v/>
      </c>
      <c r="I1358">
        <f>IF(G1358=1,0,(H1358-F1358)*E1358)</f>
        <v/>
      </c>
      <c r="J1358">
        <f>E1358*F1358</f>
        <v/>
      </c>
    </row>
    <row r="1359">
      <c r="A1359">
        <f>Sources!A1359</f>
        <v/>
      </c>
      <c r="B1359">
        <f>Sources!B1359</f>
        <v/>
      </c>
      <c r="C1359">
        <f>Sources!D1359</f>
        <v/>
      </c>
      <c r="D1359">
        <f>Sources!E1359</f>
        <v/>
      </c>
      <c r="E1359">
        <f>Sources!F1359</f>
        <v/>
      </c>
      <c r="F1359">
        <f>Sources!H1359</f>
        <v/>
      </c>
      <c r="G1359">
        <f>IF(ABS(F1359-ROUND(F1359,0))&lt;0.001,1,0)</f>
        <v/>
      </c>
      <c r="H1359">
        <f>IF(G1359=1,F1359,CEILING(F1359,1))</f>
        <v/>
      </c>
      <c r="I1359">
        <f>IF(G1359=1,0,(H1359-F1359)*E1359)</f>
        <v/>
      </c>
      <c r="J1359">
        <f>E1359*F1359</f>
        <v/>
      </c>
    </row>
    <row r="1360">
      <c r="A1360">
        <f>Sources!A1360</f>
        <v/>
      </c>
      <c r="B1360">
        <f>Sources!B1360</f>
        <v/>
      </c>
      <c r="C1360">
        <f>Sources!D1360</f>
        <v/>
      </c>
      <c r="D1360">
        <f>Sources!E1360</f>
        <v/>
      </c>
      <c r="E1360">
        <f>Sources!F1360</f>
        <v/>
      </c>
      <c r="F1360">
        <f>Sources!H1360</f>
        <v/>
      </c>
      <c r="G1360">
        <f>IF(ABS(F1360-ROUND(F1360,0))&lt;0.001,1,0)</f>
        <v/>
      </c>
      <c r="H1360">
        <f>IF(G1360=1,F1360,CEILING(F1360,1))</f>
        <v/>
      </c>
      <c r="I1360">
        <f>IF(G1360=1,0,(H1360-F1360)*E1360)</f>
        <v/>
      </c>
      <c r="J1360">
        <f>E1360*F1360</f>
        <v/>
      </c>
    </row>
    <row r="1361">
      <c r="A1361">
        <f>Sources!A1361</f>
        <v/>
      </c>
      <c r="B1361">
        <f>Sources!B1361</f>
        <v/>
      </c>
      <c r="C1361">
        <f>Sources!D1361</f>
        <v/>
      </c>
      <c r="D1361">
        <f>Sources!E1361</f>
        <v/>
      </c>
      <c r="E1361">
        <f>Sources!F1361</f>
        <v/>
      </c>
      <c r="F1361">
        <f>Sources!H1361</f>
        <v/>
      </c>
      <c r="G1361">
        <f>IF(ABS(F1361-ROUND(F1361,0))&lt;0.001,1,0)</f>
        <v/>
      </c>
      <c r="H1361">
        <f>IF(G1361=1,F1361,CEILING(F1361,1))</f>
        <v/>
      </c>
      <c r="I1361">
        <f>IF(G1361=1,0,(H1361-F1361)*E1361)</f>
        <v/>
      </c>
      <c r="J1361">
        <f>E1361*F1361</f>
        <v/>
      </c>
    </row>
    <row r="1362">
      <c r="A1362">
        <f>Sources!A1362</f>
        <v/>
      </c>
      <c r="B1362">
        <f>Sources!B1362</f>
        <v/>
      </c>
      <c r="C1362">
        <f>Sources!D1362</f>
        <v/>
      </c>
      <c r="D1362">
        <f>Sources!E1362</f>
        <v/>
      </c>
      <c r="E1362">
        <f>Sources!F1362</f>
        <v/>
      </c>
      <c r="F1362">
        <f>Sources!H1362</f>
        <v/>
      </c>
      <c r="G1362">
        <f>IF(ABS(F1362-ROUND(F1362,0))&lt;0.001,1,0)</f>
        <v/>
      </c>
      <c r="H1362">
        <f>IF(G1362=1,F1362,CEILING(F1362,1))</f>
        <v/>
      </c>
      <c r="I1362">
        <f>IF(G1362=1,0,(H1362-F1362)*E1362)</f>
        <v/>
      </c>
      <c r="J1362">
        <f>E1362*F1362</f>
        <v/>
      </c>
    </row>
    <row r="1363">
      <c r="A1363">
        <f>Sources!A1363</f>
        <v/>
      </c>
      <c r="B1363">
        <f>Sources!B1363</f>
        <v/>
      </c>
      <c r="C1363">
        <f>Sources!D1363</f>
        <v/>
      </c>
      <c r="D1363">
        <f>Sources!E1363</f>
        <v/>
      </c>
      <c r="E1363">
        <f>Sources!F1363</f>
        <v/>
      </c>
      <c r="F1363">
        <f>Sources!H1363</f>
        <v/>
      </c>
      <c r="G1363">
        <f>IF(ABS(F1363-ROUND(F1363,0))&lt;0.001,1,0)</f>
        <v/>
      </c>
      <c r="H1363">
        <f>IF(G1363=1,F1363,CEILING(F1363,1))</f>
        <v/>
      </c>
      <c r="I1363">
        <f>IF(G1363=1,0,(H1363-F1363)*E1363)</f>
        <v/>
      </c>
      <c r="J1363">
        <f>E1363*F1363</f>
        <v/>
      </c>
    </row>
    <row r="1364">
      <c r="A1364">
        <f>Sources!A1364</f>
        <v/>
      </c>
      <c r="B1364">
        <f>Sources!B1364</f>
        <v/>
      </c>
      <c r="C1364">
        <f>Sources!D1364</f>
        <v/>
      </c>
      <c r="D1364">
        <f>Sources!E1364</f>
        <v/>
      </c>
      <c r="E1364">
        <f>Sources!F1364</f>
        <v/>
      </c>
      <c r="F1364">
        <f>Sources!H1364</f>
        <v/>
      </c>
      <c r="G1364">
        <f>IF(ABS(F1364-ROUND(F1364,0))&lt;0.001,1,0)</f>
        <v/>
      </c>
      <c r="H1364">
        <f>IF(G1364=1,F1364,CEILING(F1364,1))</f>
        <v/>
      </c>
      <c r="I1364">
        <f>IF(G1364=1,0,(H1364-F1364)*E1364)</f>
        <v/>
      </c>
      <c r="J1364">
        <f>E1364*F1364</f>
        <v/>
      </c>
    </row>
    <row r="1365">
      <c r="A1365">
        <f>Sources!A1365</f>
        <v/>
      </c>
      <c r="B1365">
        <f>Sources!B1365</f>
        <v/>
      </c>
      <c r="C1365">
        <f>Sources!D1365</f>
        <v/>
      </c>
      <c r="D1365">
        <f>Sources!E1365</f>
        <v/>
      </c>
      <c r="E1365">
        <f>Sources!F1365</f>
        <v/>
      </c>
      <c r="F1365">
        <f>Sources!H1365</f>
        <v/>
      </c>
      <c r="G1365">
        <f>IF(ABS(F1365-ROUND(F1365,0))&lt;0.001,1,0)</f>
        <v/>
      </c>
      <c r="H1365">
        <f>IF(G1365=1,F1365,CEILING(F1365,1))</f>
        <v/>
      </c>
      <c r="I1365">
        <f>IF(G1365=1,0,(H1365-F1365)*E1365)</f>
        <v/>
      </c>
      <c r="J1365">
        <f>E1365*F1365</f>
        <v/>
      </c>
    </row>
    <row r="1366">
      <c r="A1366">
        <f>Sources!A1366</f>
        <v/>
      </c>
      <c r="B1366">
        <f>Sources!B1366</f>
        <v/>
      </c>
      <c r="C1366">
        <f>Sources!D1366</f>
        <v/>
      </c>
      <c r="D1366">
        <f>Sources!E1366</f>
        <v/>
      </c>
      <c r="E1366">
        <f>Sources!F1366</f>
        <v/>
      </c>
      <c r="F1366">
        <f>Sources!H1366</f>
        <v/>
      </c>
      <c r="G1366">
        <f>IF(ABS(F1366-ROUND(F1366,0))&lt;0.001,1,0)</f>
        <v/>
      </c>
      <c r="H1366">
        <f>IF(G1366=1,F1366,CEILING(F1366,1))</f>
        <v/>
      </c>
      <c r="I1366">
        <f>IF(G1366=1,0,(H1366-F1366)*E1366)</f>
        <v/>
      </c>
      <c r="J1366">
        <f>E1366*F1366</f>
        <v/>
      </c>
    </row>
    <row r="1367">
      <c r="A1367">
        <f>Sources!A1367</f>
        <v/>
      </c>
      <c r="B1367">
        <f>Sources!B1367</f>
        <v/>
      </c>
      <c r="C1367">
        <f>Sources!D1367</f>
        <v/>
      </c>
      <c r="D1367">
        <f>Sources!E1367</f>
        <v/>
      </c>
      <c r="E1367">
        <f>Sources!F1367</f>
        <v/>
      </c>
      <c r="F1367">
        <f>Sources!H1367</f>
        <v/>
      </c>
      <c r="G1367">
        <f>IF(ABS(F1367-ROUND(F1367,0))&lt;0.001,1,0)</f>
        <v/>
      </c>
      <c r="H1367">
        <f>IF(G1367=1,F1367,CEILING(F1367,1))</f>
        <v/>
      </c>
      <c r="I1367">
        <f>IF(G1367=1,0,(H1367-F1367)*E1367)</f>
        <v/>
      </c>
      <c r="J1367">
        <f>E1367*F1367</f>
        <v/>
      </c>
    </row>
    <row r="1368">
      <c r="A1368">
        <f>Sources!A1368</f>
        <v/>
      </c>
      <c r="B1368">
        <f>Sources!B1368</f>
        <v/>
      </c>
      <c r="C1368">
        <f>Sources!D1368</f>
        <v/>
      </c>
      <c r="D1368">
        <f>Sources!E1368</f>
        <v/>
      </c>
      <c r="E1368">
        <f>Sources!F1368</f>
        <v/>
      </c>
      <c r="F1368">
        <f>Sources!H1368</f>
        <v/>
      </c>
      <c r="G1368">
        <f>IF(ABS(F1368-ROUND(F1368,0))&lt;0.001,1,0)</f>
        <v/>
      </c>
      <c r="H1368">
        <f>IF(G1368=1,F1368,CEILING(F1368,1))</f>
        <v/>
      </c>
      <c r="I1368">
        <f>IF(G1368=1,0,(H1368-F1368)*E1368)</f>
        <v/>
      </c>
      <c r="J1368">
        <f>E1368*F1368</f>
        <v/>
      </c>
    </row>
    <row r="1369">
      <c r="A1369">
        <f>Sources!A1369</f>
        <v/>
      </c>
      <c r="B1369">
        <f>Sources!B1369</f>
        <v/>
      </c>
      <c r="C1369">
        <f>Sources!D1369</f>
        <v/>
      </c>
      <c r="D1369">
        <f>Sources!E1369</f>
        <v/>
      </c>
      <c r="E1369">
        <f>Sources!F1369</f>
        <v/>
      </c>
      <c r="F1369">
        <f>Sources!H1369</f>
        <v/>
      </c>
      <c r="G1369">
        <f>IF(ABS(F1369-ROUND(F1369,0))&lt;0.001,1,0)</f>
        <v/>
      </c>
      <c r="H1369">
        <f>IF(G1369=1,F1369,CEILING(F1369,1))</f>
        <v/>
      </c>
      <c r="I1369">
        <f>IF(G1369=1,0,(H1369-F1369)*E1369)</f>
        <v/>
      </c>
      <c r="J1369">
        <f>E1369*F1369</f>
        <v/>
      </c>
    </row>
    <row r="1370">
      <c r="A1370">
        <f>Sources!A1370</f>
        <v/>
      </c>
      <c r="B1370">
        <f>Sources!B1370</f>
        <v/>
      </c>
      <c r="C1370">
        <f>Sources!D1370</f>
        <v/>
      </c>
      <c r="D1370">
        <f>Sources!E1370</f>
        <v/>
      </c>
      <c r="E1370">
        <f>Sources!F1370</f>
        <v/>
      </c>
      <c r="F1370">
        <f>Sources!H1370</f>
        <v/>
      </c>
      <c r="G1370">
        <f>IF(ABS(F1370-ROUND(F1370,0))&lt;0.001,1,0)</f>
        <v/>
      </c>
      <c r="H1370">
        <f>IF(G1370=1,F1370,CEILING(F1370,1))</f>
        <v/>
      </c>
      <c r="I1370">
        <f>IF(G1370=1,0,(H1370-F1370)*E1370)</f>
        <v/>
      </c>
      <c r="J1370">
        <f>E1370*F1370</f>
        <v/>
      </c>
    </row>
    <row r="1371">
      <c r="A1371">
        <f>Sources!A1371</f>
        <v/>
      </c>
      <c r="B1371">
        <f>Sources!B1371</f>
        <v/>
      </c>
      <c r="C1371">
        <f>Sources!D1371</f>
        <v/>
      </c>
      <c r="D1371">
        <f>Sources!E1371</f>
        <v/>
      </c>
      <c r="E1371">
        <f>Sources!F1371</f>
        <v/>
      </c>
      <c r="F1371">
        <f>Sources!H1371</f>
        <v/>
      </c>
      <c r="G1371">
        <f>IF(ABS(F1371-ROUND(F1371,0))&lt;0.001,1,0)</f>
        <v/>
      </c>
      <c r="H1371">
        <f>IF(G1371=1,F1371,CEILING(F1371,1))</f>
        <v/>
      </c>
      <c r="I1371">
        <f>IF(G1371=1,0,(H1371-F1371)*E1371)</f>
        <v/>
      </c>
      <c r="J1371">
        <f>E1371*F1371</f>
        <v/>
      </c>
    </row>
    <row r="1372">
      <c r="A1372">
        <f>Sources!A1372</f>
        <v/>
      </c>
      <c r="B1372">
        <f>Sources!B1372</f>
        <v/>
      </c>
      <c r="C1372">
        <f>Sources!D1372</f>
        <v/>
      </c>
      <c r="D1372">
        <f>Sources!E1372</f>
        <v/>
      </c>
      <c r="E1372">
        <f>Sources!F1372</f>
        <v/>
      </c>
      <c r="F1372">
        <f>Sources!H1372</f>
        <v/>
      </c>
      <c r="G1372">
        <f>IF(ABS(F1372-ROUND(F1372,0))&lt;0.001,1,0)</f>
        <v/>
      </c>
      <c r="H1372">
        <f>IF(G1372=1,F1372,CEILING(F1372,1))</f>
        <v/>
      </c>
      <c r="I1372">
        <f>IF(G1372=1,0,(H1372-F1372)*E1372)</f>
        <v/>
      </c>
      <c r="J1372">
        <f>E1372*F1372</f>
        <v/>
      </c>
    </row>
    <row r="1373">
      <c r="A1373">
        <f>Sources!A1373</f>
        <v/>
      </c>
      <c r="B1373">
        <f>Sources!B1373</f>
        <v/>
      </c>
      <c r="C1373">
        <f>Sources!D1373</f>
        <v/>
      </c>
      <c r="D1373">
        <f>Sources!E1373</f>
        <v/>
      </c>
      <c r="E1373">
        <f>Sources!F1373</f>
        <v/>
      </c>
      <c r="F1373">
        <f>Sources!H1373</f>
        <v/>
      </c>
      <c r="G1373">
        <f>IF(ABS(F1373-ROUND(F1373,0))&lt;0.001,1,0)</f>
        <v/>
      </c>
      <c r="H1373">
        <f>IF(G1373=1,F1373,CEILING(F1373,1))</f>
        <v/>
      </c>
      <c r="I1373">
        <f>IF(G1373=1,0,(H1373-F1373)*E1373)</f>
        <v/>
      </c>
      <c r="J1373">
        <f>E1373*F1373</f>
        <v/>
      </c>
    </row>
    <row r="1374">
      <c r="A1374">
        <f>Sources!A1374</f>
        <v/>
      </c>
      <c r="B1374">
        <f>Sources!B1374</f>
        <v/>
      </c>
      <c r="C1374">
        <f>Sources!D1374</f>
        <v/>
      </c>
      <c r="D1374">
        <f>Sources!E1374</f>
        <v/>
      </c>
      <c r="E1374">
        <f>Sources!F1374</f>
        <v/>
      </c>
      <c r="F1374">
        <f>Sources!H1374</f>
        <v/>
      </c>
      <c r="G1374">
        <f>IF(ABS(F1374-ROUND(F1374,0))&lt;0.001,1,0)</f>
        <v/>
      </c>
      <c r="H1374">
        <f>IF(G1374=1,F1374,CEILING(F1374,1))</f>
        <v/>
      </c>
      <c r="I1374">
        <f>IF(G1374=1,0,(H1374-F1374)*E1374)</f>
        <v/>
      </c>
      <c r="J1374">
        <f>E1374*F1374</f>
        <v/>
      </c>
    </row>
    <row r="1375">
      <c r="A1375">
        <f>Sources!A1375</f>
        <v/>
      </c>
      <c r="B1375">
        <f>Sources!B1375</f>
        <v/>
      </c>
      <c r="C1375">
        <f>Sources!D1375</f>
        <v/>
      </c>
      <c r="D1375">
        <f>Sources!E1375</f>
        <v/>
      </c>
      <c r="E1375">
        <f>Sources!F1375</f>
        <v/>
      </c>
      <c r="F1375">
        <f>Sources!H1375</f>
        <v/>
      </c>
      <c r="G1375">
        <f>IF(ABS(F1375-ROUND(F1375,0))&lt;0.001,1,0)</f>
        <v/>
      </c>
      <c r="H1375">
        <f>IF(G1375=1,F1375,CEILING(F1375,1))</f>
        <v/>
      </c>
      <c r="I1375">
        <f>IF(G1375=1,0,(H1375-F1375)*E1375)</f>
        <v/>
      </c>
      <c r="J1375">
        <f>E1375*F1375</f>
        <v/>
      </c>
    </row>
    <row r="1376">
      <c r="A1376">
        <f>Sources!A1376</f>
        <v/>
      </c>
      <c r="B1376">
        <f>Sources!B1376</f>
        <v/>
      </c>
      <c r="C1376">
        <f>Sources!D1376</f>
        <v/>
      </c>
      <c r="D1376">
        <f>Sources!E1376</f>
        <v/>
      </c>
      <c r="E1376">
        <f>Sources!F1376</f>
        <v/>
      </c>
      <c r="F1376">
        <f>Sources!H1376</f>
        <v/>
      </c>
      <c r="G1376">
        <f>IF(ABS(F1376-ROUND(F1376,0))&lt;0.001,1,0)</f>
        <v/>
      </c>
      <c r="H1376">
        <f>IF(G1376=1,F1376,CEILING(F1376,1))</f>
        <v/>
      </c>
      <c r="I1376">
        <f>IF(G1376=1,0,(H1376-F1376)*E1376)</f>
        <v/>
      </c>
      <c r="J1376">
        <f>E1376*F1376</f>
        <v/>
      </c>
    </row>
    <row r="1377">
      <c r="A1377">
        <f>Sources!A1377</f>
        <v/>
      </c>
      <c r="B1377">
        <f>Sources!B1377</f>
        <v/>
      </c>
      <c r="C1377">
        <f>Sources!D1377</f>
        <v/>
      </c>
      <c r="D1377">
        <f>Sources!E1377</f>
        <v/>
      </c>
      <c r="E1377">
        <f>Sources!F1377</f>
        <v/>
      </c>
      <c r="F1377">
        <f>Sources!H1377</f>
        <v/>
      </c>
      <c r="G1377">
        <f>IF(ABS(F1377-ROUND(F1377,0))&lt;0.001,1,0)</f>
        <v/>
      </c>
      <c r="H1377">
        <f>IF(G1377=1,F1377,CEILING(F1377,1))</f>
        <v/>
      </c>
      <c r="I1377">
        <f>IF(G1377=1,0,(H1377-F1377)*E1377)</f>
        <v/>
      </c>
      <c r="J1377">
        <f>E1377*F1377</f>
        <v/>
      </c>
    </row>
    <row r="1378">
      <c r="A1378">
        <f>Sources!A1378</f>
        <v/>
      </c>
      <c r="B1378">
        <f>Sources!B1378</f>
        <v/>
      </c>
      <c r="C1378">
        <f>Sources!D1378</f>
        <v/>
      </c>
      <c r="D1378">
        <f>Sources!E1378</f>
        <v/>
      </c>
      <c r="E1378">
        <f>Sources!F1378</f>
        <v/>
      </c>
      <c r="F1378">
        <f>Sources!H1378</f>
        <v/>
      </c>
      <c r="G1378">
        <f>IF(ABS(F1378-ROUND(F1378,0))&lt;0.001,1,0)</f>
        <v/>
      </c>
      <c r="H1378">
        <f>IF(G1378=1,F1378,CEILING(F1378,1))</f>
        <v/>
      </c>
      <c r="I1378">
        <f>IF(G1378=1,0,(H1378-F1378)*E1378)</f>
        <v/>
      </c>
      <c r="J1378">
        <f>E1378*F1378</f>
        <v/>
      </c>
    </row>
    <row r="1379">
      <c r="A1379">
        <f>Sources!A1379</f>
        <v/>
      </c>
      <c r="B1379">
        <f>Sources!B1379</f>
        <v/>
      </c>
      <c r="C1379">
        <f>Sources!D1379</f>
        <v/>
      </c>
      <c r="D1379">
        <f>Sources!E1379</f>
        <v/>
      </c>
      <c r="E1379">
        <f>Sources!F1379</f>
        <v/>
      </c>
      <c r="F1379">
        <f>Sources!H1379</f>
        <v/>
      </c>
      <c r="G1379">
        <f>IF(ABS(F1379-ROUND(F1379,0))&lt;0.001,1,0)</f>
        <v/>
      </c>
      <c r="H1379">
        <f>IF(G1379=1,F1379,CEILING(F1379,1))</f>
        <v/>
      </c>
      <c r="I1379">
        <f>IF(G1379=1,0,(H1379-F1379)*E1379)</f>
        <v/>
      </c>
      <c r="J1379">
        <f>E1379*F1379</f>
        <v/>
      </c>
    </row>
    <row r="1380">
      <c r="A1380">
        <f>Sources!A1380</f>
        <v/>
      </c>
      <c r="B1380">
        <f>Sources!B1380</f>
        <v/>
      </c>
      <c r="C1380">
        <f>Sources!D1380</f>
        <v/>
      </c>
      <c r="D1380">
        <f>Sources!E1380</f>
        <v/>
      </c>
      <c r="E1380">
        <f>Sources!F1380</f>
        <v/>
      </c>
      <c r="F1380">
        <f>Sources!H1380</f>
        <v/>
      </c>
      <c r="G1380">
        <f>IF(ABS(F1380-ROUND(F1380,0))&lt;0.001,1,0)</f>
        <v/>
      </c>
      <c r="H1380">
        <f>IF(G1380=1,F1380,CEILING(F1380,1))</f>
        <v/>
      </c>
      <c r="I1380">
        <f>IF(G1380=1,0,(H1380-F1380)*E1380)</f>
        <v/>
      </c>
      <c r="J1380">
        <f>E1380*F1380</f>
        <v/>
      </c>
    </row>
    <row r="1381">
      <c r="A1381">
        <f>Sources!A1381</f>
        <v/>
      </c>
      <c r="B1381">
        <f>Sources!B1381</f>
        <v/>
      </c>
      <c r="C1381">
        <f>Sources!D1381</f>
        <v/>
      </c>
      <c r="D1381">
        <f>Sources!E1381</f>
        <v/>
      </c>
      <c r="E1381">
        <f>Sources!F1381</f>
        <v/>
      </c>
      <c r="F1381">
        <f>Sources!H1381</f>
        <v/>
      </c>
      <c r="G1381">
        <f>IF(ABS(F1381-ROUND(F1381,0))&lt;0.001,1,0)</f>
        <v/>
      </c>
      <c r="H1381">
        <f>IF(G1381=1,F1381,CEILING(F1381,1))</f>
        <v/>
      </c>
      <c r="I1381">
        <f>IF(G1381=1,0,(H1381-F1381)*E1381)</f>
        <v/>
      </c>
      <c r="J1381">
        <f>E1381*F1381</f>
        <v/>
      </c>
    </row>
    <row r="1382">
      <c r="A1382">
        <f>Sources!A1382</f>
        <v/>
      </c>
      <c r="B1382">
        <f>Sources!B1382</f>
        <v/>
      </c>
      <c r="C1382">
        <f>Sources!D1382</f>
        <v/>
      </c>
      <c r="D1382">
        <f>Sources!E1382</f>
        <v/>
      </c>
      <c r="E1382">
        <f>Sources!F1382</f>
        <v/>
      </c>
      <c r="F1382">
        <f>Sources!H1382</f>
        <v/>
      </c>
      <c r="G1382">
        <f>IF(ABS(F1382-ROUND(F1382,0))&lt;0.001,1,0)</f>
        <v/>
      </c>
      <c r="H1382">
        <f>IF(G1382=1,F1382,CEILING(F1382,1))</f>
        <v/>
      </c>
      <c r="I1382">
        <f>IF(G1382=1,0,(H1382-F1382)*E1382)</f>
        <v/>
      </c>
      <c r="J1382">
        <f>E1382*F1382</f>
        <v/>
      </c>
    </row>
    <row r="1383">
      <c r="A1383">
        <f>Sources!A1383</f>
        <v/>
      </c>
      <c r="B1383">
        <f>Sources!B1383</f>
        <v/>
      </c>
      <c r="C1383">
        <f>Sources!D1383</f>
        <v/>
      </c>
      <c r="D1383">
        <f>Sources!E1383</f>
        <v/>
      </c>
      <c r="E1383">
        <f>Sources!F1383</f>
        <v/>
      </c>
      <c r="F1383">
        <f>Sources!H1383</f>
        <v/>
      </c>
      <c r="G1383">
        <f>IF(ABS(F1383-ROUND(F1383,0))&lt;0.001,1,0)</f>
        <v/>
      </c>
      <c r="H1383">
        <f>IF(G1383=1,F1383,CEILING(F1383,1))</f>
        <v/>
      </c>
      <c r="I1383">
        <f>IF(G1383=1,0,(H1383-F1383)*E1383)</f>
        <v/>
      </c>
      <c r="J1383">
        <f>E1383*F1383</f>
        <v/>
      </c>
    </row>
    <row r="1384">
      <c r="A1384">
        <f>Sources!A1384</f>
        <v/>
      </c>
      <c r="B1384">
        <f>Sources!B1384</f>
        <v/>
      </c>
      <c r="C1384">
        <f>Sources!D1384</f>
        <v/>
      </c>
      <c r="D1384">
        <f>Sources!E1384</f>
        <v/>
      </c>
      <c r="E1384">
        <f>Sources!F1384</f>
        <v/>
      </c>
      <c r="F1384">
        <f>Sources!H1384</f>
        <v/>
      </c>
      <c r="G1384">
        <f>IF(ABS(F1384-ROUND(F1384,0))&lt;0.001,1,0)</f>
        <v/>
      </c>
      <c r="H1384">
        <f>IF(G1384=1,F1384,CEILING(F1384,1))</f>
        <v/>
      </c>
      <c r="I1384">
        <f>IF(G1384=1,0,(H1384-F1384)*E1384)</f>
        <v/>
      </c>
      <c r="J1384">
        <f>E1384*F1384</f>
        <v/>
      </c>
    </row>
    <row r="1385">
      <c r="A1385">
        <f>Sources!A1385</f>
        <v/>
      </c>
      <c r="B1385">
        <f>Sources!B1385</f>
        <v/>
      </c>
      <c r="C1385">
        <f>Sources!D1385</f>
        <v/>
      </c>
      <c r="D1385">
        <f>Sources!E1385</f>
        <v/>
      </c>
      <c r="E1385">
        <f>Sources!F1385</f>
        <v/>
      </c>
      <c r="F1385">
        <f>Sources!H1385</f>
        <v/>
      </c>
      <c r="G1385">
        <f>IF(ABS(F1385-ROUND(F1385,0))&lt;0.001,1,0)</f>
        <v/>
      </c>
      <c r="H1385">
        <f>IF(G1385=1,F1385,CEILING(F1385,1))</f>
        <v/>
      </c>
      <c r="I1385">
        <f>IF(G1385=1,0,(H1385-F1385)*E1385)</f>
        <v/>
      </c>
      <c r="J1385">
        <f>E1385*F1385</f>
        <v/>
      </c>
    </row>
    <row r="1386">
      <c r="A1386">
        <f>Sources!A1386</f>
        <v/>
      </c>
      <c r="B1386">
        <f>Sources!B1386</f>
        <v/>
      </c>
      <c r="C1386">
        <f>Sources!D1386</f>
        <v/>
      </c>
      <c r="D1386">
        <f>Sources!E1386</f>
        <v/>
      </c>
      <c r="E1386">
        <f>Sources!F1386</f>
        <v/>
      </c>
      <c r="F1386">
        <f>Sources!H1386</f>
        <v/>
      </c>
      <c r="G1386">
        <f>IF(ABS(F1386-ROUND(F1386,0))&lt;0.001,1,0)</f>
        <v/>
      </c>
      <c r="H1386">
        <f>IF(G1386=1,F1386,CEILING(F1386,1))</f>
        <v/>
      </c>
      <c r="I1386">
        <f>IF(G1386=1,0,(H1386-F1386)*E1386)</f>
        <v/>
      </c>
      <c r="J1386">
        <f>E1386*F1386</f>
        <v/>
      </c>
    </row>
    <row r="1387">
      <c r="A1387">
        <f>Sources!A1387</f>
        <v/>
      </c>
      <c r="B1387">
        <f>Sources!B1387</f>
        <v/>
      </c>
      <c r="C1387">
        <f>Sources!D1387</f>
        <v/>
      </c>
      <c r="D1387">
        <f>Sources!E1387</f>
        <v/>
      </c>
      <c r="E1387">
        <f>Sources!F1387</f>
        <v/>
      </c>
      <c r="F1387">
        <f>Sources!H1387</f>
        <v/>
      </c>
      <c r="G1387">
        <f>IF(ABS(F1387-ROUND(F1387,0))&lt;0.001,1,0)</f>
        <v/>
      </c>
      <c r="H1387">
        <f>IF(G1387=1,F1387,CEILING(F1387,1))</f>
        <v/>
      </c>
      <c r="I1387">
        <f>IF(G1387=1,0,(H1387-F1387)*E1387)</f>
        <v/>
      </c>
      <c r="J1387">
        <f>E1387*F1387</f>
        <v/>
      </c>
    </row>
    <row r="1388">
      <c r="A1388">
        <f>Sources!A1388</f>
        <v/>
      </c>
      <c r="B1388">
        <f>Sources!B1388</f>
        <v/>
      </c>
      <c r="C1388">
        <f>Sources!D1388</f>
        <v/>
      </c>
      <c r="D1388">
        <f>Sources!E1388</f>
        <v/>
      </c>
      <c r="E1388">
        <f>Sources!F1388</f>
        <v/>
      </c>
      <c r="F1388">
        <f>Sources!H1388</f>
        <v/>
      </c>
      <c r="G1388">
        <f>IF(ABS(F1388-ROUND(F1388,0))&lt;0.001,1,0)</f>
        <v/>
      </c>
      <c r="H1388">
        <f>IF(G1388=1,F1388,CEILING(F1388,1))</f>
        <v/>
      </c>
      <c r="I1388">
        <f>IF(G1388=1,0,(H1388-F1388)*E1388)</f>
        <v/>
      </c>
      <c r="J1388">
        <f>E1388*F1388</f>
        <v/>
      </c>
    </row>
    <row r="1389">
      <c r="A1389">
        <f>Sources!A1389</f>
        <v/>
      </c>
      <c r="B1389">
        <f>Sources!B1389</f>
        <v/>
      </c>
      <c r="C1389">
        <f>Sources!D1389</f>
        <v/>
      </c>
      <c r="D1389">
        <f>Sources!E1389</f>
        <v/>
      </c>
      <c r="E1389">
        <f>Sources!F1389</f>
        <v/>
      </c>
      <c r="F1389">
        <f>Sources!H1389</f>
        <v/>
      </c>
      <c r="G1389">
        <f>IF(ABS(F1389-ROUND(F1389,0))&lt;0.001,1,0)</f>
        <v/>
      </c>
      <c r="H1389">
        <f>IF(G1389=1,F1389,CEILING(F1389,1))</f>
        <v/>
      </c>
      <c r="I1389">
        <f>IF(G1389=1,0,(H1389-F1389)*E1389)</f>
        <v/>
      </c>
      <c r="J1389">
        <f>E1389*F1389</f>
        <v/>
      </c>
    </row>
    <row r="1390">
      <c r="A1390">
        <f>Sources!A1390</f>
        <v/>
      </c>
      <c r="B1390">
        <f>Sources!B1390</f>
        <v/>
      </c>
      <c r="C1390">
        <f>Sources!D1390</f>
        <v/>
      </c>
      <c r="D1390">
        <f>Sources!E1390</f>
        <v/>
      </c>
      <c r="E1390">
        <f>Sources!F1390</f>
        <v/>
      </c>
      <c r="F1390">
        <f>Sources!H1390</f>
        <v/>
      </c>
      <c r="G1390">
        <f>IF(ABS(F1390-ROUND(F1390,0))&lt;0.001,1,0)</f>
        <v/>
      </c>
      <c r="H1390">
        <f>IF(G1390=1,F1390,CEILING(F1390,1))</f>
        <v/>
      </c>
      <c r="I1390">
        <f>IF(G1390=1,0,(H1390-F1390)*E1390)</f>
        <v/>
      </c>
      <c r="J1390">
        <f>E1390*F1390</f>
        <v/>
      </c>
    </row>
    <row r="1391">
      <c r="A1391">
        <f>Sources!A1391</f>
        <v/>
      </c>
      <c r="B1391">
        <f>Sources!B1391</f>
        <v/>
      </c>
      <c r="C1391">
        <f>Sources!D1391</f>
        <v/>
      </c>
      <c r="D1391">
        <f>Sources!E1391</f>
        <v/>
      </c>
      <c r="E1391">
        <f>Sources!F1391</f>
        <v/>
      </c>
      <c r="F1391">
        <f>Sources!H1391</f>
        <v/>
      </c>
      <c r="G1391">
        <f>IF(ABS(F1391-ROUND(F1391,0))&lt;0.001,1,0)</f>
        <v/>
      </c>
      <c r="H1391">
        <f>IF(G1391=1,F1391,CEILING(F1391,1))</f>
        <v/>
      </c>
      <c r="I1391">
        <f>IF(G1391=1,0,(H1391-F1391)*E1391)</f>
        <v/>
      </c>
      <c r="J1391">
        <f>E1391*F1391</f>
        <v/>
      </c>
    </row>
    <row r="1392">
      <c r="A1392">
        <f>Sources!A1392</f>
        <v/>
      </c>
      <c r="B1392">
        <f>Sources!B1392</f>
        <v/>
      </c>
      <c r="C1392">
        <f>Sources!D1392</f>
        <v/>
      </c>
      <c r="D1392">
        <f>Sources!E1392</f>
        <v/>
      </c>
      <c r="E1392">
        <f>Sources!F1392</f>
        <v/>
      </c>
      <c r="F1392">
        <f>Sources!H1392</f>
        <v/>
      </c>
      <c r="G1392">
        <f>IF(ABS(F1392-ROUND(F1392,0))&lt;0.001,1,0)</f>
        <v/>
      </c>
      <c r="H1392">
        <f>IF(G1392=1,F1392,CEILING(F1392,1))</f>
        <v/>
      </c>
      <c r="I1392">
        <f>IF(G1392=1,0,(H1392-F1392)*E1392)</f>
        <v/>
      </c>
      <c r="J1392">
        <f>E1392*F1392</f>
        <v/>
      </c>
    </row>
    <row r="1393">
      <c r="A1393">
        <f>Sources!A1393</f>
        <v/>
      </c>
      <c r="B1393">
        <f>Sources!B1393</f>
        <v/>
      </c>
      <c r="C1393">
        <f>Sources!D1393</f>
        <v/>
      </c>
      <c r="D1393">
        <f>Sources!E1393</f>
        <v/>
      </c>
      <c r="E1393">
        <f>Sources!F1393</f>
        <v/>
      </c>
      <c r="F1393">
        <f>Sources!H1393</f>
        <v/>
      </c>
      <c r="G1393">
        <f>IF(ABS(F1393-ROUND(F1393,0))&lt;0.001,1,0)</f>
        <v/>
      </c>
      <c r="H1393">
        <f>IF(G1393=1,F1393,CEILING(F1393,1))</f>
        <v/>
      </c>
      <c r="I1393">
        <f>IF(G1393=1,0,(H1393-F1393)*E1393)</f>
        <v/>
      </c>
      <c r="J1393">
        <f>E1393*F1393</f>
        <v/>
      </c>
    </row>
    <row r="1394">
      <c r="A1394">
        <f>Sources!A1394</f>
        <v/>
      </c>
      <c r="B1394">
        <f>Sources!B1394</f>
        <v/>
      </c>
      <c r="C1394">
        <f>Sources!D1394</f>
        <v/>
      </c>
      <c r="D1394">
        <f>Sources!E1394</f>
        <v/>
      </c>
      <c r="E1394">
        <f>Sources!F1394</f>
        <v/>
      </c>
      <c r="F1394">
        <f>Sources!H1394</f>
        <v/>
      </c>
      <c r="G1394">
        <f>IF(ABS(F1394-ROUND(F1394,0))&lt;0.001,1,0)</f>
        <v/>
      </c>
      <c r="H1394">
        <f>IF(G1394=1,F1394,CEILING(F1394,1))</f>
        <v/>
      </c>
      <c r="I1394">
        <f>IF(G1394=1,0,(H1394-F1394)*E1394)</f>
        <v/>
      </c>
      <c r="J1394">
        <f>E1394*F1394</f>
        <v/>
      </c>
    </row>
    <row r="1395">
      <c r="A1395">
        <f>Sources!A1395</f>
        <v/>
      </c>
      <c r="B1395">
        <f>Sources!B1395</f>
        <v/>
      </c>
      <c r="C1395">
        <f>Sources!D1395</f>
        <v/>
      </c>
      <c r="D1395">
        <f>Sources!E1395</f>
        <v/>
      </c>
      <c r="E1395">
        <f>Sources!F1395</f>
        <v/>
      </c>
      <c r="F1395">
        <f>Sources!H1395</f>
        <v/>
      </c>
      <c r="G1395">
        <f>IF(ABS(F1395-ROUND(F1395,0))&lt;0.001,1,0)</f>
        <v/>
      </c>
      <c r="H1395">
        <f>IF(G1395=1,F1395,CEILING(F1395,1))</f>
        <v/>
      </c>
      <c r="I1395">
        <f>IF(G1395=1,0,(H1395-F1395)*E1395)</f>
        <v/>
      </c>
      <c r="J1395">
        <f>E1395*F1395</f>
        <v/>
      </c>
    </row>
    <row r="1396">
      <c r="A1396">
        <f>Sources!A1396</f>
        <v/>
      </c>
      <c r="B1396">
        <f>Sources!B1396</f>
        <v/>
      </c>
      <c r="C1396">
        <f>Sources!D1396</f>
        <v/>
      </c>
      <c r="D1396">
        <f>Sources!E1396</f>
        <v/>
      </c>
      <c r="E1396">
        <f>Sources!F1396</f>
        <v/>
      </c>
      <c r="F1396">
        <f>Sources!H1396</f>
        <v/>
      </c>
      <c r="G1396">
        <f>IF(ABS(F1396-ROUND(F1396,0))&lt;0.001,1,0)</f>
        <v/>
      </c>
      <c r="H1396">
        <f>IF(G1396=1,F1396,CEILING(F1396,1))</f>
        <v/>
      </c>
      <c r="I1396">
        <f>IF(G1396=1,0,(H1396-F1396)*E1396)</f>
        <v/>
      </c>
      <c r="J1396">
        <f>E1396*F1396</f>
        <v/>
      </c>
    </row>
    <row r="1397">
      <c r="A1397">
        <f>Sources!A1397</f>
        <v/>
      </c>
      <c r="B1397">
        <f>Sources!B1397</f>
        <v/>
      </c>
      <c r="C1397">
        <f>Sources!D1397</f>
        <v/>
      </c>
      <c r="D1397">
        <f>Sources!E1397</f>
        <v/>
      </c>
      <c r="E1397">
        <f>Sources!F1397</f>
        <v/>
      </c>
      <c r="F1397">
        <f>Sources!H1397</f>
        <v/>
      </c>
      <c r="G1397">
        <f>IF(ABS(F1397-ROUND(F1397,0))&lt;0.001,1,0)</f>
        <v/>
      </c>
      <c r="H1397">
        <f>IF(G1397=1,F1397,CEILING(F1397,1))</f>
        <v/>
      </c>
      <c r="I1397">
        <f>IF(G1397=1,0,(H1397-F1397)*E1397)</f>
        <v/>
      </c>
      <c r="J1397">
        <f>E1397*F1397</f>
        <v/>
      </c>
    </row>
    <row r="1398">
      <c r="A1398">
        <f>Sources!A1398</f>
        <v/>
      </c>
      <c r="B1398">
        <f>Sources!B1398</f>
        <v/>
      </c>
      <c r="C1398">
        <f>Sources!D1398</f>
        <v/>
      </c>
      <c r="D1398">
        <f>Sources!E1398</f>
        <v/>
      </c>
      <c r="E1398">
        <f>Sources!F1398</f>
        <v/>
      </c>
      <c r="F1398">
        <f>Sources!H1398</f>
        <v/>
      </c>
      <c r="G1398">
        <f>IF(ABS(F1398-ROUND(F1398,0))&lt;0.001,1,0)</f>
        <v/>
      </c>
      <c r="H1398">
        <f>IF(G1398=1,F1398,CEILING(F1398,1))</f>
        <v/>
      </c>
      <c r="I1398">
        <f>IF(G1398=1,0,(H1398-F1398)*E1398)</f>
        <v/>
      </c>
      <c r="J1398">
        <f>E1398*F1398</f>
        <v/>
      </c>
    </row>
    <row r="1399">
      <c r="A1399">
        <f>Sources!A1399</f>
        <v/>
      </c>
      <c r="B1399">
        <f>Sources!B1399</f>
        <v/>
      </c>
      <c r="C1399">
        <f>Sources!D1399</f>
        <v/>
      </c>
      <c r="D1399">
        <f>Sources!E1399</f>
        <v/>
      </c>
      <c r="E1399">
        <f>Sources!F1399</f>
        <v/>
      </c>
      <c r="F1399">
        <f>Sources!H1399</f>
        <v/>
      </c>
      <c r="G1399">
        <f>IF(ABS(F1399-ROUND(F1399,0))&lt;0.001,1,0)</f>
        <v/>
      </c>
      <c r="H1399">
        <f>IF(G1399=1,F1399,CEILING(F1399,1))</f>
        <v/>
      </c>
      <c r="I1399">
        <f>IF(G1399=1,0,(H1399-F1399)*E1399)</f>
        <v/>
      </c>
      <c r="J1399">
        <f>E1399*F1399</f>
        <v/>
      </c>
    </row>
    <row r="1400">
      <c r="A1400">
        <f>Sources!A1400</f>
        <v/>
      </c>
      <c r="B1400">
        <f>Sources!B1400</f>
        <v/>
      </c>
      <c r="C1400">
        <f>Sources!D1400</f>
        <v/>
      </c>
      <c r="D1400">
        <f>Sources!E1400</f>
        <v/>
      </c>
      <c r="E1400">
        <f>Sources!F1400</f>
        <v/>
      </c>
      <c r="F1400">
        <f>Sources!H1400</f>
        <v/>
      </c>
      <c r="G1400">
        <f>IF(ABS(F1400-ROUND(F1400,0))&lt;0.001,1,0)</f>
        <v/>
      </c>
      <c r="H1400">
        <f>IF(G1400=1,F1400,CEILING(F1400,1))</f>
        <v/>
      </c>
      <c r="I1400">
        <f>IF(G1400=1,0,(H1400-F1400)*E1400)</f>
        <v/>
      </c>
      <c r="J1400">
        <f>E1400*F1400</f>
        <v/>
      </c>
    </row>
    <row r="1401">
      <c r="A1401">
        <f>Sources!A1401</f>
        <v/>
      </c>
      <c r="B1401">
        <f>Sources!B1401</f>
        <v/>
      </c>
      <c r="C1401">
        <f>Sources!D1401</f>
        <v/>
      </c>
      <c r="D1401">
        <f>Sources!E1401</f>
        <v/>
      </c>
      <c r="E1401">
        <f>Sources!F1401</f>
        <v/>
      </c>
      <c r="F1401">
        <f>Sources!H1401</f>
        <v/>
      </c>
      <c r="G1401">
        <f>IF(ABS(F1401-ROUND(F1401,0))&lt;0.001,1,0)</f>
        <v/>
      </c>
      <c r="H1401">
        <f>IF(G1401=1,F1401,CEILING(F1401,1))</f>
        <v/>
      </c>
      <c r="I1401">
        <f>IF(G1401=1,0,(H1401-F1401)*E1401)</f>
        <v/>
      </c>
      <c r="J1401">
        <f>E1401*F1401</f>
        <v/>
      </c>
    </row>
    <row r="1402">
      <c r="A1402">
        <f>Sources!A1402</f>
        <v/>
      </c>
      <c r="B1402">
        <f>Sources!B1402</f>
        <v/>
      </c>
      <c r="C1402">
        <f>Sources!D1402</f>
        <v/>
      </c>
      <c r="D1402">
        <f>Sources!E1402</f>
        <v/>
      </c>
      <c r="E1402">
        <f>Sources!F1402</f>
        <v/>
      </c>
      <c r="F1402">
        <f>Sources!H1402</f>
        <v/>
      </c>
      <c r="G1402">
        <f>IF(ABS(F1402-ROUND(F1402,0))&lt;0.001,1,0)</f>
        <v/>
      </c>
      <c r="H1402">
        <f>IF(G1402=1,F1402,CEILING(F1402,1))</f>
        <v/>
      </c>
      <c r="I1402">
        <f>IF(G1402=1,0,(H1402-F1402)*E1402)</f>
        <v/>
      </c>
      <c r="J1402">
        <f>E1402*F1402</f>
        <v/>
      </c>
    </row>
    <row r="1403">
      <c r="A1403">
        <f>Sources!A1403</f>
        <v/>
      </c>
      <c r="B1403">
        <f>Sources!B1403</f>
        <v/>
      </c>
      <c r="C1403">
        <f>Sources!D1403</f>
        <v/>
      </c>
      <c r="D1403">
        <f>Sources!E1403</f>
        <v/>
      </c>
      <c r="E1403">
        <f>Sources!F1403</f>
        <v/>
      </c>
      <c r="F1403">
        <f>Sources!H1403</f>
        <v/>
      </c>
      <c r="G1403">
        <f>IF(ABS(F1403-ROUND(F1403,0))&lt;0.001,1,0)</f>
        <v/>
      </c>
      <c r="H1403">
        <f>IF(G1403=1,F1403,CEILING(F1403,1))</f>
        <v/>
      </c>
      <c r="I1403">
        <f>IF(G1403=1,0,(H1403-F1403)*E1403)</f>
        <v/>
      </c>
      <c r="J1403">
        <f>E1403*F1403</f>
        <v/>
      </c>
    </row>
    <row r="1404">
      <c r="A1404">
        <f>Sources!A1404</f>
        <v/>
      </c>
      <c r="B1404">
        <f>Sources!B1404</f>
        <v/>
      </c>
      <c r="C1404">
        <f>Sources!D1404</f>
        <v/>
      </c>
      <c r="D1404">
        <f>Sources!E1404</f>
        <v/>
      </c>
      <c r="E1404">
        <f>Sources!F1404</f>
        <v/>
      </c>
      <c r="F1404">
        <f>Sources!H1404</f>
        <v/>
      </c>
      <c r="G1404">
        <f>IF(ABS(F1404-ROUND(F1404,0))&lt;0.001,1,0)</f>
        <v/>
      </c>
      <c r="H1404">
        <f>IF(G1404=1,F1404,CEILING(F1404,1))</f>
        <v/>
      </c>
      <c r="I1404">
        <f>IF(G1404=1,0,(H1404-F1404)*E1404)</f>
        <v/>
      </c>
      <c r="J1404">
        <f>E1404*F1404</f>
        <v/>
      </c>
    </row>
    <row r="1405">
      <c r="A1405">
        <f>Sources!A1405</f>
        <v/>
      </c>
      <c r="B1405">
        <f>Sources!B1405</f>
        <v/>
      </c>
      <c r="C1405">
        <f>Sources!D1405</f>
        <v/>
      </c>
      <c r="D1405">
        <f>Sources!E1405</f>
        <v/>
      </c>
      <c r="E1405">
        <f>Sources!F1405</f>
        <v/>
      </c>
      <c r="F1405">
        <f>Sources!H1405</f>
        <v/>
      </c>
      <c r="G1405">
        <f>IF(ABS(F1405-ROUND(F1405,0))&lt;0.001,1,0)</f>
        <v/>
      </c>
      <c r="H1405">
        <f>IF(G1405=1,F1405,CEILING(F1405,1))</f>
        <v/>
      </c>
      <c r="I1405">
        <f>IF(G1405=1,0,(H1405-F1405)*E1405)</f>
        <v/>
      </c>
      <c r="J1405">
        <f>E1405*F1405</f>
        <v/>
      </c>
    </row>
    <row r="1406">
      <c r="A1406">
        <f>Sources!A1406</f>
        <v/>
      </c>
      <c r="B1406">
        <f>Sources!B1406</f>
        <v/>
      </c>
      <c r="C1406">
        <f>Sources!D1406</f>
        <v/>
      </c>
      <c r="D1406">
        <f>Sources!E1406</f>
        <v/>
      </c>
      <c r="E1406">
        <f>Sources!F1406</f>
        <v/>
      </c>
      <c r="F1406">
        <f>Sources!H1406</f>
        <v/>
      </c>
      <c r="G1406">
        <f>IF(ABS(F1406-ROUND(F1406,0))&lt;0.001,1,0)</f>
        <v/>
      </c>
      <c r="H1406">
        <f>IF(G1406=1,F1406,CEILING(F1406,1))</f>
        <v/>
      </c>
      <c r="I1406">
        <f>IF(G1406=1,0,(H1406-F1406)*E1406)</f>
        <v/>
      </c>
      <c r="J1406">
        <f>E1406*F1406</f>
        <v/>
      </c>
    </row>
    <row r="1407">
      <c r="A1407">
        <f>Sources!A1407</f>
        <v/>
      </c>
      <c r="B1407">
        <f>Sources!B1407</f>
        <v/>
      </c>
      <c r="C1407">
        <f>Sources!D1407</f>
        <v/>
      </c>
      <c r="D1407">
        <f>Sources!E1407</f>
        <v/>
      </c>
      <c r="E1407">
        <f>Sources!F1407</f>
        <v/>
      </c>
      <c r="F1407">
        <f>Sources!H1407</f>
        <v/>
      </c>
      <c r="G1407">
        <f>IF(ABS(F1407-ROUND(F1407,0))&lt;0.001,1,0)</f>
        <v/>
      </c>
      <c r="H1407">
        <f>IF(G1407=1,F1407,CEILING(F1407,1))</f>
        <v/>
      </c>
      <c r="I1407">
        <f>IF(G1407=1,0,(H1407-F1407)*E1407)</f>
        <v/>
      </c>
      <c r="J1407">
        <f>E1407*F1407</f>
        <v/>
      </c>
    </row>
    <row r="1408">
      <c r="A1408">
        <f>Sources!A1408</f>
        <v/>
      </c>
      <c r="B1408">
        <f>Sources!B1408</f>
        <v/>
      </c>
      <c r="C1408">
        <f>Sources!D1408</f>
        <v/>
      </c>
      <c r="D1408">
        <f>Sources!E1408</f>
        <v/>
      </c>
      <c r="E1408">
        <f>Sources!F1408</f>
        <v/>
      </c>
      <c r="F1408">
        <f>Sources!H1408</f>
        <v/>
      </c>
      <c r="G1408">
        <f>IF(ABS(F1408-ROUND(F1408,0))&lt;0.001,1,0)</f>
        <v/>
      </c>
      <c r="H1408">
        <f>IF(G1408=1,F1408,CEILING(F1408,1))</f>
        <v/>
      </c>
      <c r="I1408">
        <f>IF(G1408=1,0,(H1408-F1408)*E1408)</f>
        <v/>
      </c>
      <c r="J1408">
        <f>E1408*F1408</f>
        <v/>
      </c>
    </row>
    <row r="1409">
      <c r="A1409">
        <f>Sources!A1409</f>
        <v/>
      </c>
      <c r="B1409">
        <f>Sources!B1409</f>
        <v/>
      </c>
      <c r="C1409">
        <f>Sources!D1409</f>
        <v/>
      </c>
      <c r="D1409">
        <f>Sources!E1409</f>
        <v/>
      </c>
      <c r="E1409">
        <f>Sources!F1409</f>
        <v/>
      </c>
      <c r="F1409">
        <f>Sources!H1409</f>
        <v/>
      </c>
      <c r="G1409">
        <f>IF(ABS(F1409-ROUND(F1409,0))&lt;0.001,1,0)</f>
        <v/>
      </c>
      <c r="H1409">
        <f>IF(G1409=1,F1409,CEILING(F1409,1))</f>
        <v/>
      </c>
      <c r="I1409">
        <f>IF(G1409=1,0,(H1409-F1409)*E1409)</f>
        <v/>
      </c>
      <c r="J1409">
        <f>E1409*F1409</f>
        <v/>
      </c>
    </row>
    <row r="1410">
      <c r="A1410">
        <f>Sources!A1410</f>
        <v/>
      </c>
      <c r="B1410">
        <f>Sources!B1410</f>
        <v/>
      </c>
      <c r="C1410">
        <f>Sources!D1410</f>
        <v/>
      </c>
      <c r="D1410">
        <f>Sources!E1410</f>
        <v/>
      </c>
      <c r="E1410">
        <f>Sources!F1410</f>
        <v/>
      </c>
      <c r="F1410">
        <f>Sources!H1410</f>
        <v/>
      </c>
      <c r="G1410">
        <f>IF(ABS(F1410-ROUND(F1410,0))&lt;0.001,1,0)</f>
        <v/>
      </c>
      <c r="H1410">
        <f>IF(G1410=1,F1410,CEILING(F1410,1))</f>
        <v/>
      </c>
      <c r="I1410">
        <f>IF(G1410=1,0,(H1410-F1410)*E1410)</f>
        <v/>
      </c>
      <c r="J1410">
        <f>E1410*F1410</f>
        <v/>
      </c>
    </row>
    <row r="1411">
      <c r="A1411">
        <f>Sources!A1411</f>
        <v/>
      </c>
      <c r="B1411">
        <f>Sources!B1411</f>
        <v/>
      </c>
      <c r="C1411">
        <f>Sources!D1411</f>
        <v/>
      </c>
      <c r="D1411">
        <f>Sources!E1411</f>
        <v/>
      </c>
      <c r="E1411">
        <f>Sources!F1411</f>
        <v/>
      </c>
      <c r="F1411">
        <f>Sources!H1411</f>
        <v/>
      </c>
      <c r="G1411">
        <f>IF(ABS(F1411-ROUND(F1411,0))&lt;0.001,1,0)</f>
        <v/>
      </c>
      <c r="H1411">
        <f>IF(G1411=1,F1411,CEILING(F1411,1))</f>
        <v/>
      </c>
      <c r="I1411">
        <f>IF(G1411=1,0,(H1411-F1411)*E1411)</f>
        <v/>
      </c>
      <c r="J1411">
        <f>E1411*F1411</f>
        <v/>
      </c>
    </row>
    <row r="1412">
      <c r="A1412">
        <f>Sources!A1412</f>
        <v/>
      </c>
      <c r="B1412">
        <f>Sources!B1412</f>
        <v/>
      </c>
      <c r="C1412">
        <f>Sources!D1412</f>
        <v/>
      </c>
      <c r="D1412">
        <f>Sources!E1412</f>
        <v/>
      </c>
      <c r="E1412">
        <f>Sources!F1412</f>
        <v/>
      </c>
      <c r="F1412">
        <f>Sources!H1412</f>
        <v/>
      </c>
      <c r="G1412">
        <f>IF(ABS(F1412-ROUND(F1412,0))&lt;0.001,1,0)</f>
        <v/>
      </c>
      <c r="H1412">
        <f>IF(G1412=1,F1412,CEILING(F1412,1))</f>
        <v/>
      </c>
      <c r="I1412">
        <f>IF(G1412=1,0,(H1412-F1412)*E1412)</f>
        <v/>
      </c>
      <c r="J1412">
        <f>E1412*F1412</f>
        <v/>
      </c>
    </row>
    <row r="1413">
      <c r="A1413">
        <f>Sources!A1413</f>
        <v/>
      </c>
      <c r="B1413">
        <f>Sources!B1413</f>
        <v/>
      </c>
      <c r="C1413">
        <f>Sources!D1413</f>
        <v/>
      </c>
      <c r="D1413">
        <f>Sources!E1413</f>
        <v/>
      </c>
      <c r="E1413">
        <f>Sources!F1413</f>
        <v/>
      </c>
      <c r="F1413">
        <f>Sources!H1413</f>
        <v/>
      </c>
      <c r="G1413">
        <f>IF(ABS(F1413-ROUND(F1413,0))&lt;0.001,1,0)</f>
        <v/>
      </c>
      <c r="H1413">
        <f>IF(G1413=1,F1413,CEILING(F1413,1))</f>
        <v/>
      </c>
      <c r="I1413">
        <f>IF(G1413=1,0,(H1413-F1413)*E1413)</f>
        <v/>
      </c>
      <c r="J1413">
        <f>E1413*F1413</f>
        <v/>
      </c>
    </row>
    <row r="1414">
      <c r="A1414">
        <f>Sources!A1414</f>
        <v/>
      </c>
      <c r="B1414">
        <f>Sources!B1414</f>
        <v/>
      </c>
      <c r="C1414">
        <f>Sources!D1414</f>
        <v/>
      </c>
      <c r="D1414">
        <f>Sources!E1414</f>
        <v/>
      </c>
      <c r="E1414">
        <f>Sources!F1414</f>
        <v/>
      </c>
      <c r="F1414">
        <f>Sources!H1414</f>
        <v/>
      </c>
      <c r="G1414">
        <f>IF(ABS(F1414-ROUND(F1414,0))&lt;0.001,1,0)</f>
        <v/>
      </c>
      <c r="H1414">
        <f>IF(G1414=1,F1414,CEILING(F1414,1))</f>
        <v/>
      </c>
      <c r="I1414">
        <f>IF(G1414=1,0,(H1414-F1414)*E1414)</f>
        <v/>
      </c>
      <c r="J1414">
        <f>E1414*F1414</f>
        <v/>
      </c>
    </row>
    <row r="1415">
      <c r="A1415">
        <f>Sources!A1415</f>
        <v/>
      </c>
      <c r="B1415">
        <f>Sources!B1415</f>
        <v/>
      </c>
      <c r="C1415">
        <f>Sources!D1415</f>
        <v/>
      </c>
      <c r="D1415">
        <f>Sources!E1415</f>
        <v/>
      </c>
      <c r="E1415">
        <f>Sources!F1415</f>
        <v/>
      </c>
      <c r="F1415">
        <f>Sources!H1415</f>
        <v/>
      </c>
      <c r="G1415">
        <f>IF(ABS(F1415-ROUND(F1415,0))&lt;0.001,1,0)</f>
        <v/>
      </c>
      <c r="H1415">
        <f>IF(G1415=1,F1415,CEILING(F1415,1))</f>
        <v/>
      </c>
      <c r="I1415">
        <f>IF(G1415=1,0,(H1415-F1415)*E1415)</f>
        <v/>
      </c>
      <c r="J1415">
        <f>E1415*F1415</f>
        <v/>
      </c>
    </row>
    <row r="1416">
      <c r="A1416">
        <f>Sources!A1416</f>
        <v/>
      </c>
      <c r="B1416">
        <f>Sources!B1416</f>
        <v/>
      </c>
      <c r="C1416">
        <f>Sources!D1416</f>
        <v/>
      </c>
      <c r="D1416">
        <f>Sources!E1416</f>
        <v/>
      </c>
      <c r="E1416">
        <f>Sources!F1416</f>
        <v/>
      </c>
      <c r="F1416">
        <f>Sources!H1416</f>
        <v/>
      </c>
      <c r="G1416">
        <f>IF(ABS(F1416-ROUND(F1416,0))&lt;0.001,1,0)</f>
        <v/>
      </c>
      <c r="H1416">
        <f>IF(G1416=1,F1416,CEILING(F1416,1))</f>
        <v/>
      </c>
      <c r="I1416">
        <f>IF(G1416=1,0,(H1416-F1416)*E1416)</f>
        <v/>
      </c>
      <c r="J1416">
        <f>E1416*F1416</f>
        <v/>
      </c>
    </row>
    <row r="1417">
      <c r="A1417">
        <f>Sources!A1417</f>
        <v/>
      </c>
      <c r="B1417">
        <f>Sources!B1417</f>
        <v/>
      </c>
      <c r="C1417">
        <f>Sources!D1417</f>
        <v/>
      </c>
      <c r="D1417">
        <f>Sources!E1417</f>
        <v/>
      </c>
      <c r="E1417">
        <f>Sources!F1417</f>
        <v/>
      </c>
      <c r="F1417">
        <f>Sources!H1417</f>
        <v/>
      </c>
      <c r="G1417">
        <f>IF(ABS(F1417-ROUND(F1417,0))&lt;0.001,1,0)</f>
        <v/>
      </c>
      <c r="H1417">
        <f>IF(G1417=1,F1417,CEILING(F1417,1))</f>
        <v/>
      </c>
      <c r="I1417">
        <f>IF(G1417=1,0,(H1417-F1417)*E1417)</f>
        <v/>
      </c>
      <c r="J1417">
        <f>E1417*F1417</f>
        <v/>
      </c>
    </row>
    <row r="1418">
      <c r="A1418">
        <f>Sources!A1418</f>
        <v/>
      </c>
      <c r="B1418">
        <f>Sources!B1418</f>
        <v/>
      </c>
      <c r="C1418">
        <f>Sources!D1418</f>
        <v/>
      </c>
      <c r="D1418">
        <f>Sources!E1418</f>
        <v/>
      </c>
      <c r="E1418">
        <f>Sources!F1418</f>
        <v/>
      </c>
      <c r="F1418">
        <f>Sources!H1418</f>
        <v/>
      </c>
      <c r="G1418">
        <f>IF(ABS(F1418-ROUND(F1418,0))&lt;0.001,1,0)</f>
        <v/>
      </c>
      <c r="H1418">
        <f>IF(G1418=1,F1418,CEILING(F1418,1))</f>
        <v/>
      </c>
      <c r="I1418">
        <f>IF(G1418=1,0,(H1418-F1418)*E1418)</f>
        <v/>
      </c>
      <c r="J1418">
        <f>E1418*F1418</f>
        <v/>
      </c>
    </row>
    <row r="1419">
      <c r="A1419">
        <f>Sources!A1419</f>
        <v/>
      </c>
      <c r="B1419">
        <f>Sources!B1419</f>
        <v/>
      </c>
      <c r="C1419">
        <f>Sources!D1419</f>
        <v/>
      </c>
      <c r="D1419">
        <f>Sources!E1419</f>
        <v/>
      </c>
      <c r="E1419">
        <f>Sources!F1419</f>
        <v/>
      </c>
      <c r="F1419">
        <f>Sources!H1419</f>
        <v/>
      </c>
      <c r="G1419">
        <f>IF(ABS(F1419-ROUND(F1419,0))&lt;0.001,1,0)</f>
        <v/>
      </c>
      <c r="H1419">
        <f>IF(G1419=1,F1419,CEILING(F1419,1))</f>
        <v/>
      </c>
      <c r="I1419">
        <f>IF(G1419=1,0,(H1419-F1419)*E1419)</f>
        <v/>
      </c>
      <c r="J1419">
        <f>E1419*F1419</f>
        <v/>
      </c>
    </row>
    <row r="1420">
      <c r="A1420">
        <f>Sources!A1420</f>
        <v/>
      </c>
      <c r="B1420">
        <f>Sources!B1420</f>
        <v/>
      </c>
      <c r="C1420">
        <f>Sources!D1420</f>
        <v/>
      </c>
      <c r="D1420">
        <f>Sources!E1420</f>
        <v/>
      </c>
      <c r="E1420">
        <f>Sources!F1420</f>
        <v/>
      </c>
      <c r="F1420">
        <f>Sources!H1420</f>
        <v/>
      </c>
      <c r="G1420">
        <f>IF(ABS(F1420-ROUND(F1420,0))&lt;0.001,1,0)</f>
        <v/>
      </c>
      <c r="H1420">
        <f>IF(G1420=1,F1420,CEILING(F1420,1))</f>
        <v/>
      </c>
      <c r="I1420">
        <f>IF(G1420=1,0,(H1420-F1420)*E1420)</f>
        <v/>
      </c>
      <c r="J1420">
        <f>E1420*F1420</f>
        <v/>
      </c>
    </row>
    <row r="1421">
      <c r="A1421">
        <f>Sources!A1421</f>
        <v/>
      </c>
      <c r="B1421">
        <f>Sources!B1421</f>
        <v/>
      </c>
      <c r="C1421">
        <f>Sources!D1421</f>
        <v/>
      </c>
      <c r="D1421">
        <f>Sources!E1421</f>
        <v/>
      </c>
      <c r="E1421">
        <f>Sources!F1421</f>
        <v/>
      </c>
      <c r="F1421">
        <f>Sources!H1421</f>
        <v/>
      </c>
      <c r="G1421">
        <f>IF(ABS(F1421-ROUND(F1421,0))&lt;0.001,1,0)</f>
        <v/>
      </c>
      <c r="H1421">
        <f>IF(G1421=1,F1421,CEILING(F1421,1))</f>
        <v/>
      </c>
      <c r="I1421">
        <f>IF(G1421=1,0,(H1421-F1421)*E1421)</f>
        <v/>
      </c>
      <c r="J1421">
        <f>E1421*F1421</f>
        <v/>
      </c>
    </row>
    <row r="1422">
      <c r="A1422">
        <f>Sources!A1422</f>
        <v/>
      </c>
      <c r="B1422">
        <f>Sources!B1422</f>
        <v/>
      </c>
      <c r="C1422">
        <f>Sources!D1422</f>
        <v/>
      </c>
      <c r="D1422">
        <f>Sources!E1422</f>
        <v/>
      </c>
      <c r="E1422">
        <f>Sources!F1422</f>
        <v/>
      </c>
      <c r="F1422">
        <f>Sources!H1422</f>
        <v/>
      </c>
      <c r="G1422">
        <f>IF(ABS(F1422-ROUND(F1422,0))&lt;0.001,1,0)</f>
        <v/>
      </c>
      <c r="H1422">
        <f>IF(G1422=1,F1422,CEILING(F1422,1))</f>
        <v/>
      </c>
      <c r="I1422">
        <f>IF(G1422=1,0,(H1422-F1422)*E1422)</f>
        <v/>
      </c>
      <c r="J1422">
        <f>E1422*F1422</f>
        <v/>
      </c>
    </row>
    <row r="1423">
      <c r="A1423">
        <f>Sources!A1423</f>
        <v/>
      </c>
      <c r="B1423">
        <f>Sources!B1423</f>
        <v/>
      </c>
      <c r="C1423">
        <f>Sources!D1423</f>
        <v/>
      </c>
      <c r="D1423">
        <f>Sources!E1423</f>
        <v/>
      </c>
      <c r="E1423">
        <f>Sources!F1423</f>
        <v/>
      </c>
      <c r="F1423">
        <f>Sources!H1423</f>
        <v/>
      </c>
      <c r="G1423">
        <f>IF(ABS(F1423-ROUND(F1423,0))&lt;0.001,1,0)</f>
        <v/>
      </c>
      <c r="H1423">
        <f>IF(G1423=1,F1423,CEILING(F1423,1))</f>
        <v/>
      </c>
      <c r="I1423">
        <f>IF(G1423=1,0,(H1423-F1423)*E1423)</f>
        <v/>
      </c>
      <c r="J1423">
        <f>E1423*F1423</f>
        <v/>
      </c>
    </row>
    <row r="1424">
      <c r="A1424">
        <f>Sources!A1424</f>
        <v/>
      </c>
      <c r="B1424">
        <f>Sources!B1424</f>
        <v/>
      </c>
      <c r="C1424">
        <f>Sources!D1424</f>
        <v/>
      </c>
      <c r="D1424">
        <f>Sources!E1424</f>
        <v/>
      </c>
      <c r="E1424">
        <f>Sources!F1424</f>
        <v/>
      </c>
      <c r="F1424">
        <f>Sources!H1424</f>
        <v/>
      </c>
      <c r="G1424">
        <f>IF(ABS(F1424-ROUND(F1424,0))&lt;0.001,1,0)</f>
        <v/>
      </c>
      <c r="H1424">
        <f>IF(G1424=1,F1424,CEILING(F1424,1))</f>
        <v/>
      </c>
      <c r="I1424">
        <f>IF(G1424=1,0,(H1424-F1424)*E1424)</f>
        <v/>
      </c>
      <c r="J1424">
        <f>E1424*F1424</f>
        <v/>
      </c>
    </row>
    <row r="1425">
      <c r="A1425">
        <f>Sources!A1425</f>
        <v/>
      </c>
      <c r="B1425">
        <f>Sources!B1425</f>
        <v/>
      </c>
      <c r="C1425">
        <f>Sources!D1425</f>
        <v/>
      </c>
      <c r="D1425">
        <f>Sources!E1425</f>
        <v/>
      </c>
      <c r="E1425">
        <f>Sources!F1425</f>
        <v/>
      </c>
      <c r="F1425">
        <f>Sources!H1425</f>
        <v/>
      </c>
      <c r="G1425">
        <f>IF(ABS(F1425-ROUND(F1425,0))&lt;0.001,1,0)</f>
        <v/>
      </c>
      <c r="H1425">
        <f>IF(G1425=1,F1425,CEILING(F1425,1))</f>
        <v/>
      </c>
      <c r="I1425">
        <f>IF(G1425=1,0,(H1425-F1425)*E1425)</f>
        <v/>
      </c>
      <c r="J1425">
        <f>E1425*F1425</f>
        <v/>
      </c>
    </row>
    <row r="1426">
      <c r="A1426">
        <f>Sources!A1426</f>
        <v/>
      </c>
      <c r="B1426">
        <f>Sources!B1426</f>
        <v/>
      </c>
      <c r="C1426">
        <f>Sources!D1426</f>
        <v/>
      </c>
      <c r="D1426">
        <f>Sources!E1426</f>
        <v/>
      </c>
      <c r="E1426">
        <f>Sources!F1426</f>
        <v/>
      </c>
      <c r="F1426">
        <f>Sources!H1426</f>
        <v/>
      </c>
      <c r="G1426">
        <f>IF(ABS(F1426-ROUND(F1426,0))&lt;0.001,1,0)</f>
        <v/>
      </c>
      <c r="H1426">
        <f>IF(G1426=1,F1426,CEILING(F1426,1))</f>
        <v/>
      </c>
      <c r="I1426">
        <f>IF(G1426=1,0,(H1426-F1426)*E1426)</f>
        <v/>
      </c>
      <c r="J1426">
        <f>E1426*F1426</f>
        <v/>
      </c>
    </row>
    <row r="1427">
      <c r="A1427">
        <f>Sources!A1427</f>
        <v/>
      </c>
      <c r="B1427">
        <f>Sources!B1427</f>
        <v/>
      </c>
      <c r="C1427">
        <f>Sources!D1427</f>
        <v/>
      </c>
      <c r="D1427">
        <f>Sources!E1427</f>
        <v/>
      </c>
      <c r="E1427">
        <f>Sources!F1427</f>
        <v/>
      </c>
      <c r="F1427">
        <f>Sources!H1427</f>
        <v/>
      </c>
      <c r="G1427">
        <f>IF(ABS(F1427-ROUND(F1427,0))&lt;0.001,1,0)</f>
        <v/>
      </c>
      <c r="H1427">
        <f>IF(G1427=1,F1427,CEILING(F1427,1))</f>
        <v/>
      </c>
      <c r="I1427">
        <f>IF(G1427=1,0,(H1427-F1427)*E1427)</f>
        <v/>
      </c>
      <c r="J1427">
        <f>E1427*F1427</f>
        <v/>
      </c>
    </row>
    <row r="1428">
      <c r="A1428">
        <f>Sources!A1428</f>
        <v/>
      </c>
      <c r="B1428">
        <f>Sources!B1428</f>
        <v/>
      </c>
      <c r="C1428">
        <f>Sources!D1428</f>
        <v/>
      </c>
      <c r="D1428">
        <f>Sources!E1428</f>
        <v/>
      </c>
      <c r="E1428">
        <f>Sources!F1428</f>
        <v/>
      </c>
      <c r="F1428">
        <f>Sources!H1428</f>
        <v/>
      </c>
      <c r="G1428">
        <f>IF(ABS(F1428-ROUND(F1428,0))&lt;0.001,1,0)</f>
        <v/>
      </c>
      <c r="H1428">
        <f>IF(G1428=1,F1428,CEILING(F1428,1))</f>
        <v/>
      </c>
      <c r="I1428">
        <f>IF(G1428=1,0,(H1428-F1428)*E1428)</f>
        <v/>
      </c>
      <c r="J1428">
        <f>E1428*F1428</f>
        <v/>
      </c>
    </row>
    <row r="1429">
      <c r="A1429">
        <f>Sources!A1429</f>
        <v/>
      </c>
      <c r="B1429">
        <f>Sources!B1429</f>
        <v/>
      </c>
      <c r="C1429">
        <f>Sources!D1429</f>
        <v/>
      </c>
      <c r="D1429">
        <f>Sources!E1429</f>
        <v/>
      </c>
      <c r="E1429">
        <f>Sources!F1429</f>
        <v/>
      </c>
      <c r="F1429">
        <f>Sources!H1429</f>
        <v/>
      </c>
      <c r="G1429">
        <f>IF(ABS(F1429-ROUND(F1429,0))&lt;0.001,1,0)</f>
        <v/>
      </c>
      <c r="H1429">
        <f>IF(G1429=1,F1429,CEILING(F1429,1))</f>
        <v/>
      </c>
      <c r="I1429">
        <f>IF(G1429=1,0,(H1429-F1429)*E1429)</f>
        <v/>
      </c>
      <c r="J1429">
        <f>E1429*F1429</f>
        <v/>
      </c>
    </row>
    <row r="1430">
      <c r="A1430">
        <f>Sources!A1430</f>
        <v/>
      </c>
      <c r="B1430">
        <f>Sources!B1430</f>
        <v/>
      </c>
      <c r="C1430">
        <f>Sources!D1430</f>
        <v/>
      </c>
      <c r="D1430">
        <f>Sources!E1430</f>
        <v/>
      </c>
      <c r="E1430">
        <f>Sources!F1430</f>
        <v/>
      </c>
      <c r="F1430">
        <f>Sources!H1430</f>
        <v/>
      </c>
      <c r="G1430">
        <f>IF(ABS(F1430-ROUND(F1430,0))&lt;0.001,1,0)</f>
        <v/>
      </c>
      <c r="H1430">
        <f>IF(G1430=1,F1430,CEILING(F1430,1))</f>
        <v/>
      </c>
      <c r="I1430">
        <f>IF(G1430=1,0,(H1430-F1430)*E1430)</f>
        <v/>
      </c>
      <c r="J1430">
        <f>E1430*F1430</f>
        <v/>
      </c>
    </row>
    <row r="1431">
      <c r="A1431">
        <f>Sources!A1431</f>
        <v/>
      </c>
      <c r="B1431">
        <f>Sources!B1431</f>
        <v/>
      </c>
      <c r="C1431">
        <f>Sources!D1431</f>
        <v/>
      </c>
      <c r="D1431">
        <f>Sources!E1431</f>
        <v/>
      </c>
      <c r="E1431">
        <f>Sources!F1431</f>
        <v/>
      </c>
      <c r="F1431">
        <f>Sources!H1431</f>
        <v/>
      </c>
      <c r="G1431">
        <f>IF(ABS(F1431-ROUND(F1431,0))&lt;0.001,1,0)</f>
        <v/>
      </c>
      <c r="H1431">
        <f>IF(G1431=1,F1431,CEILING(F1431,1))</f>
        <v/>
      </c>
      <c r="I1431">
        <f>IF(G1431=1,0,(H1431-F1431)*E1431)</f>
        <v/>
      </c>
      <c r="J1431">
        <f>E1431*F1431</f>
        <v/>
      </c>
    </row>
    <row r="1432">
      <c r="A1432">
        <f>Sources!A1432</f>
        <v/>
      </c>
      <c r="B1432">
        <f>Sources!B1432</f>
        <v/>
      </c>
      <c r="C1432">
        <f>Sources!D1432</f>
        <v/>
      </c>
      <c r="D1432">
        <f>Sources!E1432</f>
        <v/>
      </c>
      <c r="E1432">
        <f>Sources!F1432</f>
        <v/>
      </c>
      <c r="F1432">
        <f>Sources!H1432</f>
        <v/>
      </c>
      <c r="G1432">
        <f>IF(ABS(F1432-ROUND(F1432,0))&lt;0.001,1,0)</f>
        <v/>
      </c>
      <c r="H1432">
        <f>IF(G1432=1,F1432,CEILING(F1432,1))</f>
        <v/>
      </c>
      <c r="I1432">
        <f>IF(G1432=1,0,(H1432-F1432)*E1432)</f>
        <v/>
      </c>
      <c r="J1432">
        <f>E1432*F1432</f>
        <v/>
      </c>
    </row>
    <row r="1433">
      <c r="A1433">
        <f>Sources!A1433</f>
        <v/>
      </c>
      <c r="B1433">
        <f>Sources!B1433</f>
        <v/>
      </c>
      <c r="C1433">
        <f>Sources!D1433</f>
        <v/>
      </c>
      <c r="D1433">
        <f>Sources!E1433</f>
        <v/>
      </c>
      <c r="E1433">
        <f>Sources!F1433</f>
        <v/>
      </c>
      <c r="F1433">
        <f>Sources!H1433</f>
        <v/>
      </c>
      <c r="G1433">
        <f>IF(ABS(F1433-ROUND(F1433,0))&lt;0.001,1,0)</f>
        <v/>
      </c>
      <c r="H1433">
        <f>IF(G1433=1,F1433,CEILING(F1433,1))</f>
        <v/>
      </c>
      <c r="I1433">
        <f>IF(G1433=1,0,(H1433-F1433)*E1433)</f>
        <v/>
      </c>
      <c r="J1433">
        <f>E1433*F1433</f>
        <v/>
      </c>
    </row>
    <row r="1434">
      <c r="A1434">
        <f>Sources!A1434</f>
        <v/>
      </c>
      <c r="B1434">
        <f>Sources!B1434</f>
        <v/>
      </c>
      <c r="C1434">
        <f>Sources!D1434</f>
        <v/>
      </c>
      <c r="D1434">
        <f>Sources!E1434</f>
        <v/>
      </c>
      <c r="E1434">
        <f>Sources!F1434</f>
        <v/>
      </c>
      <c r="F1434">
        <f>Sources!H1434</f>
        <v/>
      </c>
      <c r="G1434">
        <f>IF(ABS(F1434-ROUND(F1434,0))&lt;0.001,1,0)</f>
        <v/>
      </c>
      <c r="H1434">
        <f>IF(G1434=1,F1434,CEILING(F1434,1))</f>
        <v/>
      </c>
      <c r="I1434">
        <f>IF(G1434=1,0,(H1434-F1434)*E1434)</f>
        <v/>
      </c>
      <c r="J1434">
        <f>E1434*F1434</f>
        <v/>
      </c>
    </row>
    <row r="1435">
      <c r="A1435">
        <f>Sources!A1435</f>
        <v/>
      </c>
      <c r="B1435">
        <f>Sources!B1435</f>
        <v/>
      </c>
      <c r="C1435">
        <f>Sources!D1435</f>
        <v/>
      </c>
      <c r="D1435">
        <f>Sources!E1435</f>
        <v/>
      </c>
      <c r="E1435">
        <f>Sources!F1435</f>
        <v/>
      </c>
      <c r="F1435">
        <f>Sources!H1435</f>
        <v/>
      </c>
      <c r="G1435">
        <f>IF(ABS(F1435-ROUND(F1435,0))&lt;0.001,1,0)</f>
        <v/>
      </c>
      <c r="H1435">
        <f>IF(G1435=1,F1435,CEILING(F1435,1))</f>
        <v/>
      </c>
      <c r="I1435">
        <f>IF(G1435=1,0,(H1435-F1435)*E1435)</f>
        <v/>
      </c>
      <c r="J1435">
        <f>E1435*F1435</f>
        <v/>
      </c>
    </row>
    <row r="1436">
      <c r="A1436">
        <f>Sources!A1436</f>
        <v/>
      </c>
      <c r="B1436">
        <f>Sources!B1436</f>
        <v/>
      </c>
      <c r="C1436">
        <f>Sources!D1436</f>
        <v/>
      </c>
      <c r="D1436">
        <f>Sources!E1436</f>
        <v/>
      </c>
      <c r="E1436">
        <f>Sources!F1436</f>
        <v/>
      </c>
      <c r="F1436">
        <f>Sources!H1436</f>
        <v/>
      </c>
      <c r="G1436">
        <f>IF(ABS(F1436-ROUND(F1436,0))&lt;0.001,1,0)</f>
        <v/>
      </c>
      <c r="H1436">
        <f>IF(G1436=1,F1436,CEILING(F1436,1))</f>
        <v/>
      </c>
      <c r="I1436">
        <f>IF(G1436=1,0,(H1436-F1436)*E1436)</f>
        <v/>
      </c>
      <c r="J1436">
        <f>E1436*F1436</f>
        <v/>
      </c>
    </row>
    <row r="1437">
      <c r="A1437">
        <f>Sources!A1437</f>
        <v/>
      </c>
      <c r="B1437">
        <f>Sources!B1437</f>
        <v/>
      </c>
      <c r="C1437">
        <f>Sources!D1437</f>
        <v/>
      </c>
      <c r="D1437">
        <f>Sources!E1437</f>
        <v/>
      </c>
      <c r="E1437">
        <f>Sources!F1437</f>
        <v/>
      </c>
      <c r="F1437">
        <f>Sources!H1437</f>
        <v/>
      </c>
      <c r="G1437">
        <f>IF(ABS(F1437-ROUND(F1437,0))&lt;0.001,1,0)</f>
        <v/>
      </c>
      <c r="H1437">
        <f>IF(G1437=1,F1437,CEILING(F1437,1))</f>
        <v/>
      </c>
      <c r="I1437">
        <f>IF(G1437=1,0,(H1437-F1437)*E1437)</f>
        <v/>
      </c>
      <c r="J1437">
        <f>E1437*F1437</f>
        <v/>
      </c>
    </row>
    <row r="1438">
      <c r="A1438">
        <f>Sources!A1438</f>
        <v/>
      </c>
      <c r="B1438">
        <f>Sources!B1438</f>
        <v/>
      </c>
      <c r="C1438">
        <f>Sources!D1438</f>
        <v/>
      </c>
      <c r="D1438">
        <f>Sources!E1438</f>
        <v/>
      </c>
      <c r="E1438">
        <f>Sources!F1438</f>
        <v/>
      </c>
      <c r="F1438">
        <f>Sources!H1438</f>
        <v/>
      </c>
      <c r="G1438">
        <f>IF(ABS(F1438-ROUND(F1438,0))&lt;0.001,1,0)</f>
        <v/>
      </c>
      <c r="H1438">
        <f>IF(G1438=1,F1438,CEILING(F1438,1))</f>
        <v/>
      </c>
      <c r="I1438">
        <f>IF(G1438=1,0,(H1438-F1438)*E1438)</f>
        <v/>
      </c>
      <c r="J1438">
        <f>E1438*F1438</f>
        <v/>
      </c>
    </row>
    <row r="1439">
      <c r="A1439">
        <f>Sources!A1439</f>
        <v/>
      </c>
      <c r="B1439">
        <f>Sources!B1439</f>
        <v/>
      </c>
      <c r="C1439">
        <f>Sources!D1439</f>
        <v/>
      </c>
      <c r="D1439">
        <f>Sources!E1439</f>
        <v/>
      </c>
      <c r="E1439">
        <f>Sources!F1439</f>
        <v/>
      </c>
      <c r="F1439">
        <f>Sources!H1439</f>
        <v/>
      </c>
      <c r="G1439">
        <f>IF(ABS(F1439-ROUND(F1439,0))&lt;0.001,1,0)</f>
        <v/>
      </c>
      <c r="H1439">
        <f>IF(G1439=1,F1439,CEILING(F1439,1))</f>
        <v/>
      </c>
      <c r="I1439">
        <f>IF(G1439=1,0,(H1439-F1439)*E1439)</f>
        <v/>
      </c>
      <c r="J1439">
        <f>E1439*F1439</f>
        <v/>
      </c>
    </row>
    <row r="1440">
      <c r="A1440">
        <f>Sources!A1440</f>
        <v/>
      </c>
      <c r="B1440">
        <f>Sources!B1440</f>
        <v/>
      </c>
      <c r="C1440">
        <f>Sources!D1440</f>
        <v/>
      </c>
      <c r="D1440">
        <f>Sources!E1440</f>
        <v/>
      </c>
      <c r="E1440">
        <f>Sources!F1440</f>
        <v/>
      </c>
      <c r="F1440">
        <f>Sources!H1440</f>
        <v/>
      </c>
      <c r="G1440">
        <f>IF(ABS(F1440-ROUND(F1440,0))&lt;0.001,1,0)</f>
        <v/>
      </c>
      <c r="H1440">
        <f>IF(G1440=1,F1440,CEILING(F1440,1))</f>
        <v/>
      </c>
      <c r="I1440">
        <f>IF(G1440=1,0,(H1440-F1440)*E1440)</f>
        <v/>
      </c>
      <c r="J1440">
        <f>E1440*F1440</f>
        <v/>
      </c>
    </row>
    <row r="1441">
      <c r="A1441">
        <f>Sources!A1441</f>
        <v/>
      </c>
      <c r="B1441">
        <f>Sources!B1441</f>
        <v/>
      </c>
      <c r="C1441">
        <f>Sources!D1441</f>
        <v/>
      </c>
      <c r="D1441">
        <f>Sources!E1441</f>
        <v/>
      </c>
      <c r="E1441">
        <f>Sources!F1441</f>
        <v/>
      </c>
      <c r="F1441">
        <f>Sources!H1441</f>
        <v/>
      </c>
      <c r="G1441">
        <f>IF(ABS(F1441-ROUND(F1441,0))&lt;0.001,1,0)</f>
        <v/>
      </c>
      <c r="H1441">
        <f>IF(G1441=1,F1441,CEILING(F1441,1))</f>
        <v/>
      </c>
      <c r="I1441">
        <f>IF(G1441=1,0,(H1441-F1441)*E1441)</f>
        <v/>
      </c>
      <c r="J1441">
        <f>E1441*F1441</f>
        <v/>
      </c>
    </row>
    <row r="1442">
      <c r="A1442">
        <f>Sources!A1442</f>
        <v/>
      </c>
      <c r="B1442">
        <f>Sources!B1442</f>
        <v/>
      </c>
      <c r="C1442">
        <f>Sources!D1442</f>
        <v/>
      </c>
      <c r="D1442">
        <f>Sources!E1442</f>
        <v/>
      </c>
      <c r="E1442">
        <f>Sources!F1442</f>
        <v/>
      </c>
      <c r="F1442">
        <f>Sources!H1442</f>
        <v/>
      </c>
      <c r="G1442">
        <f>IF(ABS(F1442-ROUND(F1442,0))&lt;0.001,1,0)</f>
        <v/>
      </c>
      <c r="H1442">
        <f>IF(G1442=1,F1442,CEILING(F1442,1))</f>
        <v/>
      </c>
      <c r="I1442">
        <f>IF(G1442=1,0,(H1442-F1442)*E1442)</f>
        <v/>
      </c>
      <c r="J1442">
        <f>E1442*F1442</f>
        <v/>
      </c>
    </row>
    <row r="1443">
      <c r="A1443">
        <f>Sources!A1443</f>
        <v/>
      </c>
      <c r="B1443">
        <f>Sources!B1443</f>
        <v/>
      </c>
      <c r="C1443">
        <f>Sources!D1443</f>
        <v/>
      </c>
      <c r="D1443">
        <f>Sources!E1443</f>
        <v/>
      </c>
      <c r="E1443">
        <f>Sources!F1443</f>
        <v/>
      </c>
      <c r="F1443">
        <f>Sources!H1443</f>
        <v/>
      </c>
      <c r="G1443">
        <f>IF(ABS(F1443-ROUND(F1443,0))&lt;0.001,1,0)</f>
        <v/>
      </c>
      <c r="H1443">
        <f>IF(G1443=1,F1443,CEILING(F1443,1))</f>
        <v/>
      </c>
      <c r="I1443">
        <f>IF(G1443=1,0,(H1443-F1443)*E1443)</f>
        <v/>
      </c>
      <c r="J1443">
        <f>E1443*F1443</f>
        <v/>
      </c>
    </row>
    <row r="1444">
      <c r="A1444">
        <f>Sources!A1444</f>
        <v/>
      </c>
      <c r="B1444">
        <f>Sources!B1444</f>
        <v/>
      </c>
      <c r="C1444">
        <f>Sources!D1444</f>
        <v/>
      </c>
      <c r="D1444">
        <f>Sources!E1444</f>
        <v/>
      </c>
      <c r="E1444">
        <f>Sources!F1444</f>
        <v/>
      </c>
      <c r="F1444">
        <f>Sources!H1444</f>
        <v/>
      </c>
      <c r="G1444">
        <f>IF(ABS(F1444-ROUND(F1444,0))&lt;0.001,1,0)</f>
        <v/>
      </c>
      <c r="H1444">
        <f>IF(G1444=1,F1444,CEILING(F1444,1))</f>
        <v/>
      </c>
      <c r="I1444">
        <f>IF(G1444=1,0,(H1444-F1444)*E1444)</f>
        <v/>
      </c>
      <c r="J1444">
        <f>E1444*F1444</f>
        <v/>
      </c>
    </row>
    <row r="1445">
      <c r="A1445">
        <f>Sources!A1445</f>
        <v/>
      </c>
      <c r="B1445">
        <f>Sources!B1445</f>
        <v/>
      </c>
      <c r="C1445">
        <f>Sources!D1445</f>
        <v/>
      </c>
      <c r="D1445">
        <f>Sources!E1445</f>
        <v/>
      </c>
      <c r="E1445">
        <f>Sources!F1445</f>
        <v/>
      </c>
      <c r="F1445">
        <f>Sources!H1445</f>
        <v/>
      </c>
      <c r="G1445">
        <f>IF(ABS(F1445-ROUND(F1445,0))&lt;0.001,1,0)</f>
        <v/>
      </c>
      <c r="H1445">
        <f>IF(G1445=1,F1445,CEILING(F1445,1))</f>
        <v/>
      </c>
      <c r="I1445">
        <f>IF(G1445=1,0,(H1445-F1445)*E1445)</f>
        <v/>
      </c>
      <c r="J1445">
        <f>E1445*F1445</f>
        <v/>
      </c>
    </row>
    <row r="1446">
      <c r="A1446">
        <f>Sources!A1446</f>
        <v/>
      </c>
      <c r="B1446">
        <f>Sources!B1446</f>
        <v/>
      </c>
      <c r="C1446">
        <f>Sources!D1446</f>
        <v/>
      </c>
      <c r="D1446">
        <f>Sources!E1446</f>
        <v/>
      </c>
      <c r="E1446">
        <f>Sources!F1446</f>
        <v/>
      </c>
      <c r="F1446">
        <f>Sources!H1446</f>
        <v/>
      </c>
      <c r="G1446">
        <f>IF(ABS(F1446-ROUND(F1446,0))&lt;0.001,1,0)</f>
        <v/>
      </c>
      <c r="H1446">
        <f>IF(G1446=1,F1446,CEILING(F1446,1))</f>
        <v/>
      </c>
      <c r="I1446">
        <f>IF(G1446=1,0,(H1446-F1446)*E1446)</f>
        <v/>
      </c>
      <c r="J1446">
        <f>E1446*F1446</f>
        <v/>
      </c>
    </row>
    <row r="1447">
      <c r="A1447">
        <f>Sources!A1447</f>
        <v/>
      </c>
      <c r="B1447">
        <f>Sources!B1447</f>
        <v/>
      </c>
      <c r="C1447">
        <f>Sources!D1447</f>
        <v/>
      </c>
      <c r="D1447">
        <f>Sources!E1447</f>
        <v/>
      </c>
      <c r="E1447">
        <f>Sources!F1447</f>
        <v/>
      </c>
      <c r="F1447">
        <f>Sources!H1447</f>
        <v/>
      </c>
      <c r="G1447">
        <f>IF(ABS(F1447-ROUND(F1447,0))&lt;0.001,1,0)</f>
        <v/>
      </c>
      <c r="H1447">
        <f>IF(G1447=1,F1447,CEILING(F1447,1))</f>
        <v/>
      </c>
      <c r="I1447">
        <f>IF(G1447=1,0,(H1447-F1447)*E1447)</f>
        <v/>
      </c>
      <c r="J1447">
        <f>E1447*F1447</f>
        <v/>
      </c>
    </row>
    <row r="1448">
      <c r="A1448">
        <f>Sources!A1448</f>
        <v/>
      </c>
      <c r="B1448">
        <f>Sources!B1448</f>
        <v/>
      </c>
      <c r="C1448">
        <f>Sources!D1448</f>
        <v/>
      </c>
      <c r="D1448">
        <f>Sources!E1448</f>
        <v/>
      </c>
      <c r="E1448">
        <f>Sources!F1448</f>
        <v/>
      </c>
      <c r="F1448">
        <f>Sources!H1448</f>
        <v/>
      </c>
      <c r="G1448">
        <f>IF(ABS(F1448-ROUND(F1448,0))&lt;0.001,1,0)</f>
        <v/>
      </c>
      <c r="H1448">
        <f>IF(G1448=1,F1448,CEILING(F1448,1))</f>
        <v/>
      </c>
      <c r="I1448">
        <f>IF(G1448=1,0,(H1448-F1448)*E1448)</f>
        <v/>
      </c>
      <c r="J1448">
        <f>E1448*F1448</f>
        <v/>
      </c>
    </row>
    <row r="1449">
      <c r="A1449">
        <f>Sources!A1449</f>
        <v/>
      </c>
      <c r="B1449">
        <f>Sources!B1449</f>
        <v/>
      </c>
      <c r="C1449">
        <f>Sources!D1449</f>
        <v/>
      </c>
      <c r="D1449">
        <f>Sources!E1449</f>
        <v/>
      </c>
      <c r="E1449">
        <f>Sources!F1449</f>
        <v/>
      </c>
      <c r="F1449">
        <f>Sources!H1449</f>
        <v/>
      </c>
      <c r="G1449">
        <f>IF(ABS(F1449-ROUND(F1449,0))&lt;0.001,1,0)</f>
        <v/>
      </c>
      <c r="H1449">
        <f>IF(G1449=1,F1449,CEILING(F1449,1))</f>
        <v/>
      </c>
      <c r="I1449">
        <f>IF(G1449=1,0,(H1449-F1449)*E1449)</f>
        <v/>
      </c>
      <c r="J1449">
        <f>E1449*F1449</f>
        <v/>
      </c>
    </row>
    <row r="1450">
      <c r="A1450">
        <f>Sources!A1450</f>
        <v/>
      </c>
      <c r="B1450">
        <f>Sources!B1450</f>
        <v/>
      </c>
      <c r="C1450">
        <f>Sources!D1450</f>
        <v/>
      </c>
      <c r="D1450">
        <f>Sources!E1450</f>
        <v/>
      </c>
      <c r="E1450">
        <f>Sources!F1450</f>
        <v/>
      </c>
      <c r="F1450">
        <f>Sources!H1450</f>
        <v/>
      </c>
      <c r="G1450">
        <f>IF(ABS(F1450-ROUND(F1450,0))&lt;0.001,1,0)</f>
        <v/>
      </c>
      <c r="H1450">
        <f>IF(G1450=1,F1450,CEILING(F1450,1))</f>
        <v/>
      </c>
      <c r="I1450">
        <f>IF(G1450=1,0,(H1450-F1450)*E1450)</f>
        <v/>
      </c>
      <c r="J1450">
        <f>E1450*F1450</f>
        <v/>
      </c>
    </row>
    <row r="1451">
      <c r="A1451">
        <f>Sources!A1451</f>
        <v/>
      </c>
      <c r="B1451">
        <f>Sources!B1451</f>
        <v/>
      </c>
      <c r="C1451">
        <f>Sources!D1451</f>
        <v/>
      </c>
      <c r="D1451">
        <f>Sources!E1451</f>
        <v/>
      </c>
      <c r="E1451">
        <f>Sources!F1451</f>
        <v/>
      </c>
      <c r="F1451">
        <f>Sources!H1451</f>
        <v/>
      </c>
      <c r="G1451">
        <f>IF(ABS(F1451-ROUND(F1451,0))&lt;0.001,1,0)</f>
        <v/>
      </c>
      <c r="H1451">
        <f>IF(G1451=1,F1451,CEILING(F1451,1))</f>
        <v/>
      </c>
      <c r="I1451">
        <f>IF(G1451=1,0,(H1451-F1451)*E1451)</f>
        <v/>
      </c>
      <c r="J1451">
        <f>E1451*F1451</f>
        <v/>
      </c>
    </row>
    <row r="1452">
      <c r="A1452">
        <f>Sources!A1452</f>
        <v/>
      </c>
      <c r="B1452">
        <f>Sources!B1452</f>
        <v/>
      </c>
      <c r="C1452">
        <f>Sources!D1452</f>
        <v/>
      </c>
      <c r="D1452">
        <f>Sources!E1452</f>
        <v/>
      </c>
      <c r="E1452">
        <f>Sources!F1452</f>
        <v/>
      </c>
      <c r="F1452">
        <f>Sources!H1452</f>
        <v/>
      </c>
      <c r="G1452">
        <f>IF(ABS(F1452-ROUND(F1452,0))&lt;0.001,1,0)</f>
        <v/>
      </c>
      <c r="H1452">
        <f>IF(G1452=1,F1452,CEILING(F1452,1))</f>
        <v/>
      </c>
      <c r="I1452">
        <f>IF(G1452=1,0,(H1452-F1452)*E1452)</f>
        <v/>
      </c>
      <c r="J1452">
        <f>E1452*F1452</f>
        <v/>
      </c>
    </row>
    <row r="1453">
      <c r="A1453">
        <f>Sources!A1453</f>
        <v/>
      </c>
      <c r="B1453">
        <f>Sources!B1453</f>
        <v/>
      </c>
      <c r="C1453">
        <f>Sources!D1453</f>
        <v/>
      </c>
      <c r="D1453">
        <f>Sources!E1453</f>
        <v/>
      </c>
      <c r="E1453">
        <f>Sources!F1453</f>
        <v/>
      </c>
      <c r="F1453">
        <f>Sources!H1453</f>
        <v/>
      </c>
      <c r="G1453">
        <f>IF(ABS(F1453-ROUND(F1453,0))&lt;0.001,1,0)</f>
        <v/>
      </c>
      <c r="H1453">
        <f>IF(G1453=1,F1453,CEILING(F1453,1))</f>
        <v/>
      </c>
      <c r="I1453">
        <f>IF(G1453=1,0,(H1453-F1453)*E1453)</f>
        <v/>
      </c>
      <c r="J1453">
        <f>E1453*F1453</f>
        <v/>
      </c>
    </row>
    <row r="1454">
      <c r="A1454">
        <f>Sources!A1454</f>
        <v/>
      </c>
      <c r="B1454">
        <f>Sources!B1454</f>
        <v/>
      </c>
      <c r="C1454">
        <f>Sources!D1454</f>
        <v/>
      </c>
      <c r="D1454">
        <f>Sources!E1454</f>
        <v/>
      </c>
      <c r="E1454">
        <f>Sources!F1454</f>
        <v/>
      </c>
      <c r="F1454">
        <f>Sources!H1454</f>
        <v/>
      </c>
      <c r="G1454">
        <f>IF(ABS(F1454-ROUND(F1454,0))&lt;0.001,1,0)</f>
        <v/>
      </c>
      <c r="H1454">
        <f>IF(G1454=1,F1454,CEILING(F1454,1))</f>
        <v/>
      </c>
      <c r="I1454">
        <f>IF(G1454=1,0,(H1454-F1454)*E1454)</f>
        <v/>
      </c>
      <c r="J1454">
        <f>E1454*F1454</f>
        <v/>
      </c>
    </row>
    <row r="1455">
      <c r="A1455">
        <f>Sources!A1455</f>
        <v/>
      </c>
      <c r="B1455">
        <f>Sources!B1455</f>
        <v/>
      </c>
      <c r="C1455">
        <f>Sources!D1455</f>
        <v/>
      </c>
      <c r="D1455">
        <f>Sources!E1455</f>
        <v/>
      </c>
      <c r="E1455">
        <f>Sources!F1455</f>
        <v/>
      </c>
      <c r="F1455">
        <f>Sources!H1455</f>
        <v/>
      </c>
      <c r="G1455">
        <f>IF(ABS(F1455-ROUND(F1455,0))&lt;0.001,1,0)</f>
        <v/>
      </c>
      <c r="H1455">
        <f>IF(G1455=1,F1455,CEILING(F1455,1))</f>
        <v/>
      </c>
      <c r="I1455">
        <f>IF(G1455=1,0,(H1455-F1455)*E1455)</f>
        <v/>
      </c>
      <c r="J1455">
        <f>E1455*F1455</f>
        <v/>
      </c>
    </row>
    <row r="1456">
      <c r="A1456">
        <f>Sources!A1456</f>
        <v/>
      </c>
      <c r="B1456">
        <f>Sources!B1456</f>
        <v/>
      </c>
      <c r="C1456">
        <f>Sources!D1456</f>
        <v/>
      </c>
      <c r="D1456">
        <f>Sources!E1456</f>
        <v/>
      </c>
      <c r="E1456">
        <f>Sources!F1456</f>
        <v/>
      </c>
      <c r="F1456">
        <f>Sources!H1456</f>
        <v/>
      </c>
      <c r="G1456">
        <f>IF(ABS(F1456-ROUND(F1456,0))&lt;0.001,1,0)</f>
        <v/>
      </c>
      <c r="H1456">
        <f>IF(G1456=1,F1456,CEILING(F1456,1))</f>
        <v/>
      </c>
      <c r="I1456">
        <f>IF(G1456=1,0,(H1456-F1456)*E1456)</f>
        <v/>
      </c>
      <c r="J1456">
        <f>E1456*F1456</f>
        <v/>
      </c>
    </row>
    <row r="1457">
      <c r="A1457">
        <f>Sources!A1457</f>
        <v/>
      </c>
      <c r="B1457">
        <f>Sources!B1457</f>
        <v/>
      </c>
      <c r="C1457">
        <f>Sources!D1457</f>
        <v/>
      </c>
      <c r="D1457">
        <f>Sources!E1457</f>
        <v/>
      </c>
      <c r="E1457">
        <f>Sources!F1457</f>
        <v/>
      </c>
      <c r="F1457">
        <f>Sources!H1457</f>
        <v/>
      </c>
      <c r="G1457">
        <f>IF(ABS(F1457-ROUND(F1457,0))&lt;0.001,1,0)</f>
        <v/>
      </c>
      <c r="H1457">
        <f>IF(G1457=1,F1457,CEILING(F1457,1))</f>
        <v/>
      </c>
      <c r="I1457">
        <f>IF(G1457=1,0,(H1457-F1457)*E1457)</f>
        <v/>
      </c>
      <c r="J1457">
        <f>E1457*F1457</f>
        <v/>
      </c>
    </row>
    <row r="1458">
      <c r="A1458">
        <f>Sources!A1458</f>
        <v/>
      </c>
      <c r="B1458">
        <f>Sources!B1458</f>
        <v/>
      </c>
      <c r="C1458">
        <f>Sources!D1458</f>
        <v/>
      </c>
      <c r="D1458">
        <f>Sources!E1458</f>
        <v/>
      </c>
      <c r="E1458">
        <f>Sources!F1458</f>
        <v/>
      </c>
      <c r="F1458">
        <f>Sources!H1458</f>
        <v/>
      </c>
      <c r="G1458">
        <f>IF(ABS(F1458-ROUND(F1458,0))&lt;0.001,1,0)</f>
        <v/>
      </c>
      <c r="H1458">
        <f>IF(G1458=1,F1458,CEILING(F1458,1))</f>
        <v/>
      </c>
      <c r="I1458">
        <f>IF(G1458=1,0,(H1458-F1458)*E1458)</f>
        <v/>
      </c>
      <c r="J1458">
        <f>E1458*F1458</f>
        <v/>
      </c>
    </row>
    <row r="1459">
      <c r="A1459">
        <f>Sources!A1459</f>
        <v/>
      </c>
      <c r="B1459">
        <f>Sources!B1459</f>
        <v/>
      </c>
      <c r="C1459">
        <f>Sources!D1459</f>
        <v/>
      </c>
      <c r="D1459">
        <f>Sources!E1459</f>
        <v/>
      </c>
      <c r="E1459">
        <f>Sources!F1459</f>
        <v/>
      </c>
      <c r="F1459">
        <f>Sources!H1459</f>
        <v/>
      </c>
      <c r="G1459">
        <f>IF(ABS(F1459-ROUND(F1459,0))&lt;0.001,1,0)</f>
        <v/>
      </c>
      <c r="H1459">
        <f>IF(G1459=1,F1459,CEILING(F1459,1))</f>
        <v/>
      </c>
      <c r="I1459">
        <f>IF(G1459=1,0,(H1459-F1459)*E1459)</f>
        <v/>
      </c>
      <c r="J1459">
        <f>E1459*F1459</f>
        <v/>
      </c>
    </row>
    <row r="1460">
      <c r="A1460">
        <f>Sources!A1460</f>
        <v/>
      </c>
      <c r="B1460">
        <f>Sources!B1460</f>
        <v/>
      </c>
      <c r="C1460">
        <f>Sources!D1460</f>
        <v/>
      </c>
      <c r="D1460">
        <f>Sources!E1460</f>
        <v/>
      </c>
      <c r="E1460">
        <f>Sources!F1460</f>
        <v/>
      </c>
      <c r="F1460">
        <f>Sources!H1460</f>
        <v/>
      </c>
      <c r="G1460">
        <f>IF(ABS(F1460-ROUND(F1460,0))&lt;0.001,1,0)</f>
        <v/>
      </c>
      <c r="H1460">
        <f>IF(G1460=1,F1460,CEILING(F1460,1))</f>
        <v/>
      </c>
      <c r="I1460">
        <f>IF(G1460=1,0,(H1460-F1460)*E1460)</f>
        <v/>
      </c>
      <c r="J1460">
        <f>E1460*F1460</f>
        <v/>
      </c>
    </row>
    <row r="1461">
      <c r="A1461">
        <f>Sources!A1461</f>
        <v/>
      </c>
      <c r="B1461">
        <f>Sources!B1461</f>
        <v/>
      </c>
      <c r="C1461">
        <f>Sources!D1461</f>
        <v/>
      </c>
      <c r="D1461">
        <f>Sources!E1461</f>
        <v/>
      </c>
      <c r="E1461">
        <f>Sources!F1461</f>
        <v/>
      </c>
      <c r="F1461">
        <f>Sources!H1461</f>
        <v/>
      </c>
      <c r="G1461">
        <f>IF(ABS(F1461-ROUND(F1461,0))&lt;0.001,1,0)</f>
        <v/>
      </c>
      <c r="H1461">
        <f>IF(G1461=1,F1461,CEILING(F1461,1))</f>
        <v/>
      </c>
      <c r="I1461">
        <f>IF(G1461=1,0,(H1461-F1461)*E1461)</f>
        <v/>
      </c>
      <c r="J1461">
        <f>E1461*F1461</f>
        <v/>
      </c>
    </row>
    <row r="1462">
      <c r="A1462">
        <f>Sources!A1462</f>
        <v/>
      </c>
      <c r="B1462">
        <f>Sources!B1462</f>
        <v/>
      </c>
      <c r="C1462">
        <f>Sources!D1462</f>
        <v/>
      </c>
      <c r="D1462">
        <f>Sources!E1462</f>
        <v/>
      </c>
      <c r="E1462">
        <f>Sources!F1462</f>
        <v/>
      </c>
      <c r="F1462">
        <f>Sources!H1462</f>
        <v/>
      </c>
      <c r="G1462">
        <f>IF(ABS(F1462-ROUND(F1462,0))&lt;0.001,1,0)</f>
        <v/>
      </c>
      <c r="H1462">
        <f>IF(G1462=1,F1462,CEILING(F1462,1))</f>
        <v/>
      </c>
      <c r="I1462">
        <f>IF(G1462=1,0,(H1462-F1462)*E1462)</f>
        <v/>
      </c>
      <c r="J1462">
        <f>E1462*F1462</f>
        <v/>
      </c>
    </row>
    <row r="1463">
      <c r="A1463">
        <f>Sources!A1463</f>
        <v/>
      </c>
      <c r="B1463">
        <f>Sources!B1463</f>
        <v/>
      </c>
      <c r="C1463">
        <f>Sources!D1463</f>
        <v/>
      </c>
      <c r="D1463">
        <f>Sources!E1463</f>
        <v/>
      </c>
      <c r="E1463">
        <f>Sources!F1463</f>
        <v/>
      </c>
      <c r="F1463">
        <f>Sources!H1463</f>
        <v/>
      </c>
      <c r="G1463">
        <f>IF(ABS(F1463-ROUND(F1463,0))&lt;0.001,1,0)</f>
        <v/>
      </c>
      <c r="H1463">
        <f>IF(G1463=1,F1463,CEILING(F1463,1))</f>
        <v/>
      </c>
      <c r="I1463">
        <f>IF(G1463=1,0,(H1463-F1463)*E1463)</f>
        <v/>
      </c>
      <c r="J1463">
        <f>E1463*F1463</f>
        <v/>
      </c>
    </row>
    <row r="1464">
      <c r="A1464">
        <f>Sources!A1464</f>
        <v/>
      </c>
      <c r="B1464">
        <f>Sources!B1464</f>
        <v/>
      </c>
      <c r="C1464">
        <f>Sources!D1464</f>
        <v/>
      </c>
      <c r="D1464">
        <f>Sources!E1464</f>
        <v/>
      </c>
      <c r="E1464">
        <f>Sources!F1464</f>
        <v/>
      </c>
      <c r="F1464">
        <f>Sources!H1464</f>
        <v/>
      </c>
      <c r="G1464">
        <f>IF(ABS(F1464-ROUND(F1464,0))&lt;0.001,1,0)</f>
        <v/>
      </c>
      <c r="H1464">
        <f>IF(G1464=1,F1464,CEILING(F1464,1))</f>
        <v/>
      </c>
      <c r="I1464">
        <f>IF(G1464=1,0,(H1464-F1464)*E1464)</f>
        <v/>
      </c>
      <c r="J1464">
        <f>E1464*F1464</f>
        <v/>
      </c>
    </row>
    <row r="1465">
      <c r="A1465">
        <f>Sources!A1465</f>
        <v/>
      </c>
      <c r="B1465">
        <f>Sources!B1465</f>
        <v/>
      </c>
      <c r="C1465">
        <f>Sources!D1465</f>
        <v/>
      </c>
      <c r="D1465">
        <f>Sources!E1465</f>
        <v/>
      </c>
      <c r="E1465">
        <f>Sources!F1465</f>
        <v/>
      </c>
      <c r="F1465">
        <f>Sources!H1465</f>
        <v/>
      </c>
      <c r="G1465">
        <f>IF(ABS(F1465-ROUND(F1465,0))&lt;0.001,1,0)</f>
        <v/>
      </c>
      <c r="H1465">
        <f>IF(G1465=1,F1465,CEILING(F1465,1))</f>
        <v/>
      </c>
      <c r="I1465">
        <f>IF(G1465=1,0,(H1465-F1465)*E1465)</f>
        <v/>
      </c>
      <c r="J1465">
        <f>E1465*F1465</f>
        <v/>
      </c>
    </row>
    <row r="1466">
      <c r="A1466">
        <f>Sources!A1466</f>
        <v/>
      </c>
      <c r="B1466">
        <f>Sources!B1466</f>
        <v/>
      </c>
      <c r="C1466">
        <f>Sources!D1466</f>
        <v/>
      </c>
      <c r="D1466">
        <f>Sources!E1466</f>
        <v/>
      </c>
      <c r="E1466">
        <f>Sources!F1466</f>
        <v/>
      </c>
      <c r="F1466">
        <f>Sources!H1466</f>
        <v/>
      </c>
      <c r="G1466">
        <f>IF(ABS(F1466-ROUND(F1466,0))&lt;0.001,1,0)</f>
        <v/>
      </c>
      <c r="H1466">
        <f>IF(G1466=1,F1466,CEILING(F1466,1))</f>
        <v/>
      </c>
      <c r="I1466">
        <f>IF(G1466=1,0,(H1466-F1466)*E1466)</f>
        <v/>
      </c>
      <c r="J1466">
        <f>E1466*F1466</f>
        <v/>
      </c>
    </row>
    <row r="1467">
      <c r="A1467">
        <f>Sources!A1467</f>
        <v/>
      </c>
      <c r="B1467">
        <f>Sources!B1467</f>
        <v/>
      </c>
      <c r="C1467">
        <f>Sources!D1467</f>
        <v/>
      </c>
      <c r="D1467">
        <f>Sources!E1467</f>
        <v/>
      </c>
      <c r="E1467">
        <f>Sources!F1467</f>
        <v/>
      </c>
      <c r="F1467">
        <f>Sources!H1467</f>
        <v/>
      </c>
      <c r="G1467">
        <f>IF(ABS(F1467-ROUND(F1467,0))&lt;0.001,1,0)</f>
        <v/>
      </c>
      <c r="H1467">
        <f>IF(G1467=1,F1467,CEILING(F1467,1))</f>
        <v/>
      </c>
      <c r="I1467">
        <f>IF(G1467=1,0,(H1467-F1467)*E1467)</f>
        <v/>
      </c>
      <c r="J1467">
        <f>E1467*F1467</f>
        <v/>
      </c>
    </row>
    <row r="1468">
      <c r="A1468">
        <f>Sources!A1468</f>
        <v/>
      </c>
      <c r="B1468">
        <f>Sources!B1468</f>
        <v/>
      </c>
      <c r="C1468">
        <f>Sources!D1468</f>
        <v/>
      </c>
      <c r="D1468">
        <f>Sources!E1468</f>
        <v/>
      </c>
      <c r="E1468">
        <f>Sources!F1468</f>
        <v/>
      </c>
      <c r="F1468">
        <f>Sources!H1468</f>
        <v/>
      </c>
      <c r="G1468">
        <f>IF(ABS(F1468-ROUND(F1468,0))&lt;0.001,1,0)</f>
        <v/>
      </c>
      <c r="H1468">
        <f>IF(G1468=1,F1468,CEILING(F1468,1))</f>
        <v/>
      </c>
      <c r="I1468">
        <f>IF(G1468=1,0,(H1468-F1468)*E1468)</f>
        <v/>
      </c>
      <c r="J1468">
        <f>E1468*F1468</f>
        <v/>
      </c>
    </row>
    <row r="1469">
      <c r="A1469">
        <f>Sources!A1469</f>
        <v/>
      </c>
      <c r="B1469">
        <f>Sources!B1469</f>
        <v/>
      </c>
      <c r="C1469">
        <f>Sources!D1469</f>
        <v/>
      </c>
      <c r="D1469">
        <f>Sources!E1469</f>
        <v/>
      </c>
      <c r="E1469">
        <f>Sources!F1469</f>
        <v/>
      </c>
      <c r="F1469">
        <f>Sources!H1469</f>
        <v/>
      </c>
      <c r="G1469">
        <f>IF(ABS(F1469-ROUND(F1469,0))&lt;0.001,1,0)</f>
        <v/>
      </c>
      <c r="H1469">
        <f>IF(G1469=1,F1469,CEILING(F1469,1))</f>
        <v/>
      </c>
      <c r="I1469">
        <f>IF(G1469=1,0,(H1469-F1469)*E1469)</f>
        <v/>
      </c>
      <c r="J1469">
        <f>E1469*F1469</f>
        <v/>
      </c>
    </row>
    <row r="1470">
      <c r="A1470">
        <f>Sources!A1470</f>
        <v/>
      </c>
      <c r="B1470">
        <f>Sources!B1470</f>
        <v/>
      </c>
      <c r="C1470">
        <f>Sources!D1470</f>
        <v/>
      </c>
      <c r="D1470">
        <f>Sources!E1470</f>
        <v/>
      </c>
      <c r="E1470">
        <f>Sources!F1470</f>
        <v/>
      </c>
      <c r="F1470">
        <f>Sources!H1470</f>
        <v/>
      </c>
      <c r="G1470">
        <f>IF(ABS(F1470-ROUND(F1470,0))&lt;0.001,1,0)</f>
        <v/>
      </c>
      <c r="H1470">
        <f>IF(G1470=1,F1470,CEILING(F1470,1))</f>
        <v/>
      </c>
      <c r="I1470">
        <f>IF(G1470=1,0,(H1470-F1470)*E1470)</f>
        <v/>
      </c>
      <c r="J1470">
        <f>E1470*F1470</f>
        <v/>
      </c>
    </row>
    <row r="1471">
      <c r="A1471">
        <f>Sources!A1471</f>
        <v/>
      </c>
      <c r="B1471">
        <f>Sources!B1471</f>
        <v/>
      </c>
      <c r="C1471">
        <f>Sources!D1471</f>
        <v/>
      </c>
      <c r="D1471">
        <f>Sources!E1471</f>
        <v/>
      </c>
      <c r="E1471">
        <f>Sources!F1471</f>
        <v/>
      </c>
      <c r="F1471">
        <f>Sources!H1471</f>
        <v/>
      </c>
      <c r="G1471">
        <f>IF(ABS(F1471-ROUND(F1471,0))&lt;0.001,1,0)</f>
        <v/>
      </c>
      <c r="H1471">
        <f>IF(G1471=1,F1471,CEILING(F1471,1))</f>
        <v/>
      </c>
      <c r="I1471">
        <f>IF(G1471=1,0,(H1471-F1471)*E1471)</f>
        <v/>
      </c>
      <c r="J1471">
        <f>E1471*F1471</f>
        <v/>
      </c>
    </row>
    <row r="1472">
      <c r="A1472">
        <f>Sources!A1472</f>
        <v/>
      </c>
      <c r="B1472">
        <f>Sources!B1472</f>
        <v/>
      </c>
      <c r="C1472">
        <f>Sources!D1472</f>
        <v/>
      </c>
      <c r="D1472">
        <f>Sources!E1472</f>
        <v/>
      </c>
      <c r="E1472">
        <f>Sources!F1472</f>
        <v/>
      </c>
      <c r="F1472">
        <f>Sources!H1472</f>
        <v/>
      </c>
      <c r="G1472">
        <f>IF(ABS(F1472-ROUND(F1472,0))&lt;0.001,1,0)</f>
        <v/>
      </c>
      <c r="H1472">
        <f>IF(G1472=1,F1472,CEILING(F1472,1))</f>
        <v/>
      </c>
      <c r="I1472">
        <f>IF(G1472=1,0,(H1472-F1472)*E1472)</f>
        <v/>
      </c>
      <c r="J1472">
        <f>E1472*F1472</f>
        <v/>
      </c>
    </row>
    <row r="1473">
      <c r="A1473">
        <f>Sources!A1473</f>
        <v/>
      </c>
      <c r="B1473">
        <f>Sources!B1473</f>
        <v/>
      </c>
      <c r="C1473">
        <f>Sources!D1473</f>
        <v/>
      </c>
      <c r="D1473">
        <f>Sources!E1473</f>
        <v/>
      </c>
      <c r="E1473">
        <f>Sources!F1473</f>
        <v/>
      </c>
      <c r="F1473">
        <f>Sources!H1473</f>
        <v/>
      </c>
      <c r="G1473">
        <f>IF(ABS(F1473-ROUND(F1473,0))&lt;0.001,1,0)</f>
        <v/>
      </c>
      <c r="H1473">
        <f>IF(G1473=1,F1473,CEILING(F1473,1))</f>
        <v/>
      </c>
      <c r="I1473">
        <f>IF(G1473=1,0,(H1473-F1473)*E1473)</f>
        <v/>
      </c>
      <c r="J1473">
        <f>E1473*F1473</f>
        <v/>
      </c>
    </row>
    <row r="1474">
      <c r="A1474">
        <f>Sources!A1474</f>
        <v/>
      </c>
      <c r="B1474">
        <f>Sources!B1474</f>
        <v/>
      </c>
      <c r="C1474">
        <f>Sources!D1474</f>
        <v/>
      </c>
      <c r="D1474">
        <f>Sources!E1474</f>
        <v/>
      </c>
      <c r="E1474">
        <f>Sources!F1474</f>
        <v/>
      </c>
      <c r="F1474">
        <f>Sources!H1474</f>
        <v/>
      </c>
      <c r="G1474">
        <f>IF(ABS(F1474-ROUND(F1474,0))&lt;0.001,1,0)</f>
        <v/>
      </c>
      <c r="H1474">
        <f>IF(G1474=1,F1474,CEILING(F1474,1))</f>
        <v/>
      </c>
      <c r="I1474">
        <f>IF(G1474=1,0,(H1474-F1474)*E1474)</f>
        <v/>
      </c>
      <c r="J1474">
        <f>E1474*F1474</f>
        <v/>
      </c>
    </row>
    <row r="1475">
      <c r="A1475">
        <f>Sources!A1475</f>
        <v/>
      </c>
      <c r="B1475">
        <f>Sources!B1475</f>
        <v/>
      </c>
      <c r="C1475">
        <f>Sources!D1475</f>
        <v/>
      </c>
      <c r="D1475">
        <f>Sources!E1475</f>
        <v/>
      </c>
      <c r="E1475">
        <f>Sources!F1475</f>
        <v/>
      </c>
      <c r="F1475">
        <f>Sources!H1475</f>
        <v/>
      </c>
      <c r="G1475">
        <f>IF(ABS(F1475-ROUND(F1475,0))&lt;0.001,1,0)</f>
        <v/>
      </c>
      <c r="H1475">
        <f>IF(G1475=1,F1475,CEILING(F1475,1))</f>
        <v/>
      </c>
      <c r="I1475">
        <f>IF(G1475=1,0,(H1475-F1475)*E1475)</f>
        <v/>
      </c>
      <c r="J1475">
        <f>E1475*F1475</f>
        <v/>
      </c>
    </row>
    <row r="1476">
      <c r="A1476">
        <f>Sources!A1476</f>
        <v/>
      </c>
      <c r="B1476">
        <f>Sources!B1476</f>
        <v/>
      </c>
      <c r="C1476">
        <f>Sources!D1476</f>
        <v/>
      </c>
      <c r="D1476">
        <f>Sources!E1476</f>
        <v/>
      </c>
      <c r="E1476">
        <f>Sources!F1476</f>
        <v/>
      </c>
      <c r="F1476">
        <f>Sources!H1476</f>
        <v/>
      </c>
      <c r="G1476">
        <f>IF(ABS(F1476-ROUND(F1476,0))&lt;0.001,1,0)</f>
        <v/>
      </c>
      <c r="H1476">
        <f>IF(G1476=1,F1476,CEILING(F1476,1))</f>
        <v/>
      </c>
      <c r="I1476">
        <f>IF(G1476=1,0,(H1476-F1476)*E1476)</f>
        <v/>
      </c>
      <c r="J1476">
        <f>E1476*F1476</f>
        <v/>
      </c>
    </row>
    <row r="1477">
      <c r="A1477">
        <f>Sources!A1477</f>
        <v/>
      </c>
      <c r="B1477">
        <f>Sources!B1477</f>
        <v/>
      </c>
      <c r="C1477">
        <f>Sources!D1477</f>
        <v/>
      </c>
      <c r="D1477">
        <f>Sources!E1477</f>
        <v/>
      </c>
      <c r="E1477">
        <f>Sources!F1477</f>
        <v/>
      </c>
      <c r="F1477">
        <f>Sources!H1477</f>
        <v/>
      </c>
      <c r="G1477">
        <f>IF(ABS(F1477-ROUND(F1477,0))&lt;0.001,1,0)</f>
        <v/>
      </c>
      <c r="H1477">
        <f>IF(G1477=1,F1477,CEILING(F1477,1))</f>
        <v/>
      </c>
      <c r="I1477">
        <f>IF(G1477=1,0,(H1477-F1477)*E1477)</f>
        <v/>
      </c>
      <c r="J1477">
        <f>E1477*F1477</f>
        <v/>
      </c>
    </row>
    <row r="1478">
      <c r="A1478">
        <f>Sources!A1478</f>
        <v/>
      </c>
      <c r="B1478">
        <f>Sources!B1478</f>
        <v/>
      </c>
      <c r="C1478">
        <f>Sources!D1478</f>
        <v/>
      </c>
      <c r="D1478">
        <f>Sources!E1478</f>
        <v/>
      </c>
      <c r="E1478">
        <f>Sources!F1478</f>
        <v/>
      </c>
      <c r="F1478">
        <f>Sources!H1478</f>
        <v/>
      </c>
      <c r="G1478">
        <f>IF(ABS(F1478-ROUND(F1478,0))&lt;0.001,1,0)</f>
        <v/>
      </c>
      <c r="H1478">
        <f>IF(G1478=1,F1478,CEILING(F1478,1))</f>
        <v/>
      </c>
      <c r="I1478">
        <f>IF(G1478=1,0,(H1478-F1478)*E1478)</f>
        <v/>
      </c>
      <c r="J1478">
        <f>E1478*F1478</f>
        <v/>
      </c>
    </row>
    <row r="1479">
      <c r="A1479">
        <f>Sources!A1479</f>
        <v/>
      </c>
      <c r="B1479">
        <f>Sources!B1479</f>
        <v/>
      </c>
      <c r="C1479">
        <f>Sources!D1479</f>
        <v/>
      </c>
      <c r="D1479">
        <f>Sources!E1479</f>
        <v/>
      </c>
      <c r="E1479">
        <f>Sources!F1479</f>
        <v/>
      </c>
      <c r="F1479">
        <f>Sources!H1479</f>
        <v/>
      </c>
      <c r="G1479">
        <f>IF(ABS(F1479-ROUND(F1479,0))&lt;0.001,1,0)</f>
        <v/>
      </c>
      <c r="H1479">
        <f>IF(G1479=1,F1479,CEILING(F1479,1))</f>
        <v/>
      </c>
      <c r="I1479">
        <f>IF(G1479=1,0,(H1479-F1479)*E1479)</f>
        <v/>
      </c>
      <c r="J1479">
        <f>E1479*F1479</f>
        <v/>
      </c>
    </row>
    <row r="1480">
      <c r="A1480">
        <f>Sources!A1480</f>
        <v/>
      </c>
      <c r="B1480">
        <f>Sources!B1480</f>
        <v/>
      </c>
      <c r="C1480">
        <f>Sources!D1480</f>
        <v/>
      </c>
      <c r="D1480">
        <f>Sources!E1480</f>
        <v/>
      </c>
      <c r="E1480">
        <f>Sources!F1480</f>
        <v/>
      </c>
      <c r="F1480">
        <f>Sources!H1480</f>
        <v/>
      </c>
      <c r="G1480">
        <f>IF(ABS(F1480-ROUND(F1480,0))&lt;0.001,1,0)</f>
        <v/>
      </c>
      <c r="H1480">
        <f>IF(G1480=1,F1480,CEILING(F1480,1))</f>
        <v/>
      </c>
      <c r="I1480">
        <f>IF(G1480=1,0,(H1480-F1480)*E1480)</f>
        <v/>
      </c>
      <c r="J1480">
        <f>E1480*F1480</f>
        <v/>
      </c>
    </row>
    <row r="1481">
      <c r="A1481">
        <f>Sources!A1481</f>
        <v/>
      </c>
      <c r="B1481">
        <f>Sources!B1481</f>
        <v/>
      </c>
      <c r="C1481">
        <f>Sources!D1481</f>
        <v/>
      </c>
      <c r="D1481">
        <f>Sources!E1481</f>
        <v/>
      </c>
      <c r="E1481">
        <f>Sources!F1481</f>
        <v/>
      </c>
      <c r="F1481">
        <f>Sources!H1481</f>
        <v/>
      </c>
      <c r="G1481">
        <f>IF(ABS(F1481-ROUND(F1481,0))&lt;0.001,1,0)</f>
        <v/>
      </c>
      <c r="H1481">
        <f>IF(G1481=1,F1481,CEILING(F1481,1))</f>
        <v/>
      </c>
      <c r="I1481">
        <f>IF(G1481=1,0,(H1481-F1481)*E1481)</f>
        <v/>
      </c>
      <c r="J1481">
        <f>E1481*F1481</f>
        <v/>
      </c>
    </row>
    <row r="1482">
      <c r="A1482">
        <f>Sources!A1482</f>
        <v/>
      </c>
      <c r="B1482">
        <f>Sources!B1482</f>
        <v/>
      </c>
      <c r="C1482">
        <f>Sources!D1482</f>
        <v/>
      </c>
      <c r="D1482">
        <f>Sources!E1482</f>
        <v/>
      </c>
      <c r="E1482">
        <f>Sources!F1482</f>
        <v/>
      </c>
      <c r="F1482">
        <f>Sources!H1482</f>
        <v/>
      </c>
      <c r="G1482">
        <f>IF(ABS(F1482-ROUND(F1482,0))&lt;0.001,1,0)</f>
        <v/>
      </c>
      <c r="H1482">
        <f>IF(G1482=1,F1482,CEILING(F1482,1))</f>
        <v/>
      </c>
      <c r="I1482">
        <f>IF(G1482=1,0,(H1482-F1482)*E1482)</f>
        <v/>
      </c>
      <c r="J1482">
        <f>E1482*F1482</f>
        <v/>
      </c>
    </row>
    <row r="1483">
      <c r="A1483">
        <f>Sources!A1483</f>
        <v/>
      </c>
      <c r="B1483">
        <f>Sources!B1483</f>
        <v/>
      </c>
      <c r="C1483">
        <f>Sources!D1483</f>
        <v/>
      </c>
      <c r="D1483">
        <f>Sources!E1483</f>
        <v/>
      </c>
      <c r="E1483">
        <f>Sources!F1483</f>
        <v/>
      </c>
      <c r="F1483">
        <f>Sources!H1483</f>
        <v/>
      </c>
      <c r="G1483">
        <f>IF(ABS(F1483-ROUND(F1483,0))&lt;0.001,1,0)</f>
        <v/>
      </c>
      <c r="H1483">
        <f>IF(G1483=1,F1483,CEILING(F1483,1))</f>
        <v/>
      </c>
      <c r="I1483">
        <f>IF(G1483=1,0,(H1483-F1483)*E1483)</f>
        <v/>
      </c>
      <c r="J1483">
        <f>E1483*F1483</f>
        <v/>
      </c>
    </row>
    <row r="1484">
      <c r="A1484">
        <f>Sources!A1484</f>
        <v/>
      </c>
      <c r="B1484">
        <f>Sources!B1484</f>
        <v/>
      </c>
      <c r="C1484">
        <f>Sources!D1484</f>
        <v/>
      </c>
      <c r="D1484">
        <f>Sources!E1484</f>
        <v/>
      </c>
      <c r="E1484">
        <f>Sources!F1484</f>
        <v/>
      </c>
      <c r="F1484">
        <f>Sources!H1484</f>
        <v/>
      </c>
      <c r="G1484">
        <f>IF(ABS(F1484-ROUND(F1484,0))&lt;0.001,1,0)</f>
        <v/>
      </c>
      <c r="H1484">
        <f>IF(G1484=1,F1484,CEILING(F1484,1))</f>
        <v/>
      </c>
      <c r="I1484">
        <f>IF(G1484=1,0,(H1484-F1484)*E1484)</f>
        <v/>
      </c>
      <c r="J1484">
        <f>E1484*F1484</f>
        <v/>
      </c>
    </row>
    <row r="1485">
      <c r="A1485">
        <f>Sources!A1485</f>
        <v/>
      </c>
      <c r="B1485">
        <f>Sources!B1485</f>
        <v/>
      </c>
      <c r="C1485">
        <f>Sources!D1485</f>
        <v/>
      </c>
      <c r="D1485">
        <f>Sources!E1485</f>
        <v/>
      </c>
      <c r="E1485">
        <f>Sources!F1485</f>
        <v/>
      </c>
      <c r="F1485">
        <f>Sources!H1485</f>
        <v/>
      </c>
      <c r="G1485">
        <f>IF(ABS(F1485-ROUND(F1485,0))&lt;0.001,1,0)</f>
        <v/>
      </c>
      <c r="H1485">
        <f>IF(G1485=1,F1485,CEILING(F1485,1))</f>
        <v/>
      </c>
      <c r="I1485">
        <f>IF(G1485=1,0,(H1485-F1485)*E1485)</f>
        <v/>
      </c>
      <c r="J1485">
        <f>E1485*F1485</f>
        <v/>
      </c>
    </row>
    <row r="1486">
      <c r="A1486">
        <f>Sources!A1486</f>
        <v/>
      </c>
      <c r="B1486">
        <f>Sources!B1486</f>
        <v/>
      </c>
      <c r="C1486">
        <f>Sources!D1486</f>
        <v/>
      </c>
      <c r="D1486">
        <f>Sources!E1486</f>
        <v/>
      </c>
      <c r="E1486">
        <f>Sources!F1486</f>
        <v/>
      </c>
      <c r="F1486">
        <f>Sources!H1486</f>
        <v/>
      </c>
      <c r="G1486">
        <f>IF(ABS(F1486-ROUND(F1486,0))&lt;0.001,1,0)</f>
        <v/>
      </c>
      <c r="H1486">
        <f>IF(G1486=1,F1486,CEILING(F1486,1))</f>
        <v/>
      </c>
      <c r="I1486">
        <f>IF(G1486=1,0,(H1486-F1486)*E1486)</f>
        <v/>
      </c>
      <c r="J1486">
        <f>E1486*F1486</f>
        <v/>
      </c>
    </row>
    <row r="1487">
      <c r="A1487">
        <f>Sources!A1487</f>
        <v/>
      </c>
      <c r="B1487">
        <f>Sources!B1487</f>
        <v/>
      </c>
      <c r="C1487">
        <f>Sources!D1487</f>
        <v/>
      </c>
      <c r="D1487">
        <f>Sources!E1487</f>
        <v/>
      </c>
      <c r="E1487">
        <f>Sources!F1487</f>
        <v/>
      </c>
      <c r="F1487">
        <f>Sources!H1487</f>
        <v/>
      </c>
      <c r="G1487">
        <f>IF(ABS(F1487-ROUND(F1487,0))&lt;0.001,1,0)</f>
        <v/>
      </c>
      <c r="H1487">
        <f>IF(G1487=1,F1487,CEILING(F1487,1))</f>
        <v/>
      </c>
      <c r="I1487">
        <f>IF(G1487=1,0,(H1487-F1487)*E1487)</f>
        <v/>
      </c>
      <c r="J1487">
        <f>E1487*F1487</f>
        <v/>
      </c>
    </row>
    <row r="1488">
      <c r="A1488">
        <f>Sources!A1488</f>
        <v/>
      </c>
      <c r="B1488">
        <f>Sources!B1488</f>
        <v/>
      </c>
      <c r="C1488">
        <f>Sources!D1488</f>
        <v/>
      </c>
      <c r="D1488">
        <f>Sources!E1488</f>
        <v/>
      </c>
      <c r="E1488">
        <f>Sources!F1488</f>
        <v/>
      </c>
      <c r="F1488">
        <f>Sources!H1488</f>
        <v/>
      </c>
      <c r="G1488">
        <f>IF(ABS(F1488-ROUND(F1488,0))&lt;0.001,1,0)</f>
        <v/>
      </c>
      <c r="H1488">
        <f>IF(G1488=1,F1488,CEILING(F1488,1))</f>
        <v/>
      </c>
      <c r="I1488">
        <f>IF(G1488=1,0,(H1488-F1488)*E1488)</f>
        <v/>
      </c>
      <c r="J1488">
        <f>E1488*F1488</f>
        <v/>
      </c>
    </row>
    <row r="1489">
      <c r="A1489">
        <f>Sources!A1489</f>
        <v/>
      </c>
      <c r="B1489">
        <f>Sources!B1489</f>
        <v/>
      </c>
      <c r="C1489">
        <f>Sources!D1489</f>
        <v/>
      </c>
      <c r="D1489">
        <f>Sources!E1489</f>
        <v/>
      </c>
      <c r="E1489">
        <f>Sources!F1489</f>
        <v/>
      </c>
      <c r="F1489">
        <f>Sources!H1489</f>
        <v/>
      </c>
      <c r="G1489">
        <f>IF(ABS(F1489-ROUND(F1489,0))&lt;0.001,1,0)</f>
        <v/>
      </c>
      <c r="H1489">
        <f>IF(G1489=1,F1489,CEILING(F1489,1))</f>
        <v/>
      </c>
      <c r="I1489">
        <f>IF(G1489=1,0,(H1489-F1489)*E1489)</f>
        <v/>
      </c>
      <c r="J1489">
        <f>E1489*F1489</f>
        <v/>
      </c>
    </row>
    <row r="1490">
      <c r="A1490">
        <f>Sources!A1490</f>
        <v/>
      </c>
      <c r="B1490">
        <f>Sources!B1490</f>
        <v/>
      </c>
      <c r="C1490">
        <f>Sources!D1490</f>
        <v/>
      </c>
      <c r="D1490">
        <f>Sources!E1490</f>
        <v/>
      </c>
      <c r="E1490">
        <f>Sources!F1490</f>
        <v/>
      </c>
      <c r="F1490">
        <f>Sources!H1490</f>
        <v/>
      </c>
      <c r="G1490">
        <f>IF(ABS(F1490-ROUND(F1490,0))&lt;0.001,1,0)</f>
        <v/>
      </c>
      <c r="H1490">
        <f>IF(G1490=1,F1490,CEILING(F1490,1))</f>
        <v/>
      </c>
      <c r="I1490">
        <f>IF(G1490=1,0,(H1490-F1490)*E1490)</f>
        <v/>
      </c>
      <c r="J1490">
        <f>E1490*F1490</f>
        <v/>
      </c>
    </row>
    <row r="1491">
      <c r="A1491">
        <f>Sources!A1491</f>
        <v/>
      </c>
      <c r="B1491">
        <f>Sources!B1491</f>
        <v/>
      </c>
      <c r="C1491">
        <f>Sources!D1491</f>
        <v/>
      </c>
      <c r="D1491">
        <f>Sources!E1491</f>
        <v/>
      </c>
      <c r="E1491">
        <f>Sources!F1491</f>
        <v/>
      </c>
      <c r="F1491">
        <f>Sources!H1491</f>
        <v/>
      </c>
      <c r="G1491">
        <f>IF(ABS(F1491-ROUND(F1491,0))&lt;0.001,1,0)</f>
        <v/>
      </c>
      <c r="H1491">
        <f>IF(G1491=1,F1491,CEILING(F1491,1))</f>
        <v/>
      </c>
      <c r="I1491">
        <f>IF(G1491=1,0,(H1491-F1491)*E1491)</f>
        <v/>
      </c>
      <c r="J1491">
        <f>E1491*F1491</f>
        <v/>
      </c>
    </row>
    <row r="1492">
      <c r="A1492">
        <f>Sources!A1492</f>
        <v/>
      </c>
      <c r="B1492">
        <f>Sources!B1492</f>
        <v/>
      </c>
      <c r="C1492">
        <f>Sources!D1492</f>
        <v/>
      </c>
      <c r="D1492">
        <f>Sources!E1492</f>
        <v/>
      </c>
      <c r="E1492">
        <f>Sources!F1492</f>
        <v/>
      </c>
      <c r="F1492">
        <f>Sources!H1492</f>
        <v/>
      </c>
      <c r="G1492">
        <f>IF(ABS(F1492-ROUND(F1492,0))&lt;0.001,1,0)</f>
        <v/>
      </c>
      <c r="H1492">
        <f>IF(G1492=1,F1492,CEILING(F1492,1))</f>
        <v/>
      </c>
      <c r="I1492">
        <f>IF(G1492=1,0,(H1492-F1492)*E1492)</f>
        <v/>
      </c>
      <c r="J1492">
        <f>E1492*F1492</f>
        <v/>
      </c>
    </row>
    <row r="1493">
      <c r="A1493">
        <f>Sources!A1493</f>
        <v/>
      </c>
      <c r="B1493">
        <f>Sources!B1493</f>
        <v/>
      </c>
      <c r="C1493">
        <f>Sources!D1493</f>
        <v/>
      </c>
      <c r="D1493">
        <f>Sources!E1493</f>
        <v/>
      </c>
      <c r="E1493">
        <f>Sources!F1493</f>
        <v/>
      </c>
      <c r="F1493">
        <f>Sources!H1493</f>
        <v/>
      </c>
      <c r="G1493">
        <f>IF(ABS(F1493-ROUND(F1493,0))&lt;0.001,1,0)</f>
        <v/>
      </c>
      <c r="H1493">
        <f>IF(G1493=1,F1493,CEILING(F1493,1))</f>
        <v/>
      </c>
      <c r="I1493">
        <f>IF(G1493=1,0,(H1493-F1493)*E1493)</f>
        <v/>
      </c>
      <c r="J1493">
        <f>E1493*F1493</f>
        <v/>
      </c>
    </row>
    <row r="1494">
      <c r="A1494">
        <f>Sources!A1494</f>
        <v/>
      </c>
      <c r="B1494">
        <f>Sources!B1494</f>
        <v/>
      </c>
      <c r="C1494">
        <f>Sources!D1494</f>
        <v/>
      </c>
      <c r="D1494">
        <f>Sources!E1494</f>
        <v/>
      </c>
      <c r="E1494">
        <f>Sources!F1494</f>
        <v/>
      </c>
      <c r="F1494">
        <f>Sources!H1494</f>
        <v/>
      </c>
      <c r="G1494">
        <f>IF(ABS(F1494-ROUND(F1494,0))&lt;0.001,1,0)</f>
        <v/>
      </c>
      <c r="H1494">
        <f>IF(G1494=1,F1494,CEILING(F1494,1))</f>
        <v/>
      </c>
      <c r="I1494">
        <f>IF(G1494=1,0,(H1494-F1494)*E1494)</f>
        <v/>
      </c>
      <c r="J1494">
        <f>E1494*F1494</f>
        <v/>
      </c>
    </row>
    <row r="1495">
      <c r="A1495">
        <f>Sources!A1495</f>
        <v/>
      </c>
      <c r="B1495">
        <f>Sources!B1495</f>
        <v/>
      </c>
      <c r="C1495">
        <f>Sources!D1495</f>
        <v/>
      </c>
      <c r="D1495">
        <f>Sources!E1495</f>
        <v/>
      </c>
      <c r="E1495">
        <f>Sources!F1495</f>
        <v/>
      </c>
      <c r="F1495">
        <f>Sources!H1495</f>
        <v/>
      </c>
      <c r="G1495">
        <f>IF(ABS(F1495-ROUND(F1495,0))&lt;0.001,1,0)</f>
        <v/>
      </c>
      <c r="H1495">
        <f>IF(G1495=1,F1495,CEILING(F1495,1))</f>
        <v/>
      </c>
      <c r="I1495">
        <f>IF(G1495=1,0,(H1495-F1495)*E1495)</f>
        <v/>
      </c>
      <c r="J1495">
        <f>E1495*F1495</f>
        <v/>
      </c>
    </row>
    <row r="1496">
      <c r="A1496">
        <f>Sources!A1496</f>
        <v/>
      </c>
      <c r="B1496">
        <f>Sources!B1496</f>
        <v/>
      </c>
      <c r="C1496">
        <f>Sources!D1496</f>
        <v/>
      </c>
      <c r="D1496">
        <f>Sources!E1496</f>
        <v/>
      </c>
      <c r="E1496">
        <f>Sources!F1496</f>
        <v/>
      </c>
      <c r="F1496">
        <f>Sources!H1496</f>
        <v/>
      </c>
      <c r="G1496">
        <f>IF(ABS(F1496-ROUND(F1496,0))&lt;0.001,1,0)</f>
        <v/>
      </c>
      <c r="H1496">
        <f>IF(G1496=1,F1496,CEILING(F1496,1))</f>
        <v/>
      </c>
      <c r="I1496">
        <f>IF(G1496=1,0,(H1496-F1496)*E1496)</f>
        <v/>
      </c>
      <c r="J1496">
        <f>E1496*F1496</f>
        <v/>
      </c>
    </row>
    <row r="1497">
      <c r="A1497">
        <f>Sources!A1497</f>
        <v/>
      </c>
      <c r="B1497">
        <f>Sources!B1497</f>
        <v/>
      </c>
      <c r="C1497">
        <f>Sources!D1497</f>
        <v/>
      </c>
      <c r="D1497">
        <f>Sources!E1497</f>
        <v/>
      </c>
      <c r="E1497">
        <f>Sources!F1497</f>
        <v/>
      </c>
      <c r="F1497">
        <f>Sources!H1497</f>
        <v/>
      </c>
      <c r="G1497">
        <f>IF(ABS(F1497-ROUND(F1497,0))&lt;0.001,1,0)</f>
        <v/>
      </c>
      <c r="H1497">
        <f>IF(G1497=1,F1497,CEILING(F1497,1))</f>
        <v/>
      </c>
      <c r="I1497">
        <f>IF(G1497=1,0,(H1497-F1497)*E1497)</f>
        <v/>
      </c>
      <c r="J1497">
        <f>E1497*F1497</f>
        <v/>
      </c>
    </row>
    <row r="1498">
      <c r="A1498">
        <f>Sources!A1498</f>
        <v/>
      </c>
      <c r="B1498">
        <f>Sources!B1498</f>
        <v/>
      </c>
      <c r="C1498">
        <f>Sources!D1498</f>
        <v/>
      </c>
      <c r="D1498">
        <f>Sources!E1498</f>
        <v/>
      </c>
      <c r="E1498">
        <f>Sources!F1498</f>
        <v/>
      </c>
      <c r="F1498">
        <f>Sources!H1498</f>
        <v/>
      </c>
      <c r="G1498">
        <f>IF(ABS(F1498-ROUND(F1498,0))&lt;0.001,1,0)</f>
        <v/>
      </c>
      <c r="H1498">
        <f>IF(G1498=1,F1498,CEILING(F1498,1))</f>
        <v/>
      </c>
      <c r="I1498">
        <f>IF(G1498=1,0,(H1498-F1498)*E1498)</f>
        <v/>
      </c>
      <c r="J1498">
        <f>E1498*F1498</f>
        <v/>
      </c>
    </row>
    <row r="1499">
      <c r="A1499">
        <f>Sources!A1499</f>
        <v/>
      </c>
      <c r="B1499">
        <f>Sources!B1499</f>
        <v/>
      </c>
      <c r="C1499">
        <f>Sources!D1499</f>
        <v/>
      </c>
      <c r="D1499">
        <f>Sources!E1499</f>
        <v/>
      </c>
      <c r="E1499">
        <f>Sources!F1499</f>
        <v/>
      </c>
      <c r="F1499">
        <f>Sources!H1499</f>
        <v/>
      </c>
      <c r="G1499">
        <f>IF(ABS(F1499-ROUND(F1499,0))&lt;0.001,1,0)</f>
        <v/>
      </c>
      <c r="H1499">
        <f>IF(G1499=1,F1499,CEILING(F1499,1))</f>
        <v/>
      </c>
      <c r="I1499">
        <f>IF(G1499=1,0,(H1499-F1499)*E1499)</f>
        <v/>
      </c>
      <c r="J1499">
        <f>E1499*F1499</f>
        <v/>
      </c>
    </row>
    <row r="1500">
      <c r="A1500">
        <f>Sources!A1500</f>
        <v/>
      </c>
      <c r="B1500">
        <f>Sources!B1500</f>
        <v/>
      </c>
      <c r="C1500">
        <f>Sources!D1500</f>
        <v/>
      </c>
      <c r="D1500">
        <f>Sources!E1500</f>
        <v/>
      </c>
      <c r="E1500">
        <f>Sources!F1500</f>
        <v/>
      </c>
      <c r="F1500">
        <f>Sources!H1500</f>
        <v/>
      </c>
      <c r="G1500">
        <f>IF(ABS(F1500-ROUND(F1500,0))&lt;0.001,1,0)</f>
        <v/>
      </c>
      <c r="H1500">
        <f>IF(G1500=1,F1500,CEILING(F1500,1))</f>
        <v/>
      </c>
      <c r="I1500">
        <f>IF(G1500=1,0,(H1500-F1500)*E1500)</f>
        <v/>
      </c>
      <c r="J1500">
        <f>E1500*F1500</f>
        <v/>
      </c>
    </row>
    <row r="1501">
      <c r="A1501">
        <f>Sources!A1501</f>
        <v/>
      </c>
      <c r="B1501">
        <f>Sources!B1501</f>
        <v/>
      </c>
      <c r="C1501">
        <f>Sources!D1501</f>
        <v/>
      </c>
      <c r="D1501">
        <f>Sources!E1501</f>
        <v/>
      </c>
      <c r="E1501">
        <f>Sources!F1501</f>
        <v/>
      </c>
      <c r="F1501">
        <f>Sources!H1501</f>
        <v/>
      </c>
      <c r="G1501">
        <f>IF(ABS(F1501-ROUND(F1501,0))&lt;0.001,1,0)</f>
        <v/>
      </c>
      <c r="H1501">
        <f>IF(G1501=1,F1501,CEILING(F1501,1))</f>
        <v/>
      </c>
      <c r="I1501">
        <f>IF(G1501=1,0,(H1501-F1501)*E1501)</f>
        <v/>
      </c>
      <c r="J1501">
        <f>E1501*F1501</f>
        <v/>
      </c>
    </row>
    <row r="1502">
      <c r="A1502">
        <f>Sources!A1502</f>
        <v/>
      </c>
      <c r="B1502">
        <f>Sources!B1502</f>
        <v/>
      </c>
      <c r="C1502">
        <f>Sources!D1502</f>
        <v/>
      </c>
      <c r="D1502">
        <f>Sources!E1502</f>
        <v/>
      </c>
      <c r="E1502">
        <f>Sources!F1502</f>
        <v/>
      </c>
      <c r="F1502">
        <f>Sources!H1502</f>
        <v/>
      </c>
      <c r="G1502">
        <f>IF(ABS(F1502-ROUND(F1502,0))&lt;0.001,1,0)</f>
        <v/>
      </c>
      <c r="H1502">
        <f>IF(G1502=1,F1502,CEILING(F1502,1))</f>
        <v/>
      </c>
      <c r="I1502">
        <f>IF(G1502=1,0,(H1502-F1502)*E1502)</f>
        <v/>
      </c>
      <c r="J1502">
        <f>E1502*F1502</f>
        <v/>
      </c>
    </row>
    <row r="1503">
      <c r="A1503">
        <f>Sources!A1503</f>
        <v/>
      </c>
      <c r="B1503">
        <f>Sources!B1503</f>
        <v/>
      </c>
      <c r="C1503">
        <f>Sources!D1503</f>
        <v/>
      </c>
      <c r="D1503">
        <f>Sources!E1503</f>
        <v/>
      </c>
      <c r="E1503">
        <f>Sources!F1503</f>
        <v/>
      </c>
      <c r="F1503">
        <f>Sources!H1503</f>
        <v/>
      </c>
      <c r="G1503">
        <f>IF(ABS(F1503-ROUND(F1503,0))&lt;0.001,1,0)</f>
        <v/>
      </c>
      <c r="H1503">
        <f>IF(G1503=1,F1503,CEILING(F1503,1))</f>
        <v/>
      </c>
      <c r="I1503">
        <f>IF(G1503=1,0,(H1503-F1503)*E1503)</f>
        <v/>
      </c>
      <c r="J1503">
        <f>E1503*F1503</f>
        <v/>
      </c>
    </row>
    <row r="1504">
      <c r="A1504">
        <f>Sources!A1504</f>
        <v/>
      </c>
      <c r="B1504">
        <f>Sources!B1504</f>
        <v/>
      </c>
      <c r="C1504">
        <f>Sources!D1504</f>
        <v/>
      </c>
      <c r="D1504">
        <f>Sources!E1504</f>
        <v/>
      </c>
      <c r="E1504">
        <f>Sources!F1504</f>
        <v/>
      </c>
      <c r="F1504">
        <f>Sources!H1504</f>
        <v/>
      </c>
      <c r="G1504">
        <f>IF(ABS(F1504-ROUND(F1504,0))&lt;0.001,1,0)</f>
        <v/>
      </c>
      <c r="H1504">
        <f>IF(G1504=1,F1504,CEILING(F1504,1))</f>
        <v/>
      </c>
      <c r="I1504">
        <f>IF(G1504=1,0,(H1504-F1504)*E1504)</f>
        <v/>
      </c>
      <c r="J1504">
        <f>E1504*F1504</f>
        <v/>
      </c>
    </row>
    <row r="1505">
      <c r="A1505">
        <f>Sources!A1505</f>
        <v/>
      </c>
      <c r="B1505">
        <f>Sources!B1505</f>
        <v/>
      </c>
      <c r="C1505">
        <f>Sources!D1505</f>
        <v/>
      </c>
      <c r="D1505">
        <f>Sources!E1505</f>
        <v/>
      </c>
      <c r="E1505">
        <f>Sources!F1505</f>
        <v/>
      </c>
      <c r="F1505">
        <f>Sources!H1505</f>
        <v/>
      </c>
      <c r="G1505">
        <f>IF(ABS(F1505-ROUND(F1505,0))&lt;0.001,1,0)</f>
        <v/>
      </c>
      <c r="H1505">
        <f>IF(G1505=1,F1505,CEILING(F1505,1))</f>
        <v/>
      </c>
      <c r="I1505">
        <f>IF(G1505=1,0,(H1505-F1505)*E1505)</f>
        <v/>
      </c>
      <c r="J1505">
        <f>E1505*F1505</f>
        <v/>
      </c>
    </row>
    <row r="1506">
      <c r="A1506">
        <f>Sources!A1506</f>
        <v/>
      </c>
      <c r="B1506">
        <f>Sources!B1506</f>
        <v/>
      </c>
      <c r="C1506">
        <f>Sources!D1506</f>
        <v/>
      </c>
      <c r="D1506">
        <f>Sources!E1506</f>
        <v/>
      </c>
      <c r="E1506">
        <f>Sources!F1506</f>
        <v/>
      </c>
      <c r="F1506">
        <f>Sources!H1506</f>
        <v/>
      </c>
      <c r="G1506">
        <f>IF(ABS(F1506-ROUND(F1506,0))&lt;0.001,1,0)</f>
        <v/>
      </c>
      <c r="H1506">
        <f>IF(G1506=1,F1506,CEILING(F1506,1))</f>
        <v/>
      </c>
      <c r="I1506">
        <f>IF(G1506=1,0,(H1506-F1506)*E1506)</f>
        <v/>
      </c>
      <c r="J1506">
        <f>E1506*F1506</f>
        <v/>
      </c>
    </row>
    <row r="1507">
      <c r="A1507">
        <f>Sources!A1507</f>
        <v/>
      </c>
      <c r="B1507">
        <f>Sources!B1507</f>
        <v/>
      </c>
      <c r="C1507">
        <f>Sources!D1507</f>
        <v/>
      </c>
      <c r="D1507">
        <f>Sources!E1507</f>
        <v/>
      </c>
      <c r="E1507">
        <f>Sources!F1507</f>
        <v/>
      </c>
      <c r="F1507">
        <f>Sources!H1507</f>
        <v/>
      </c>
      <c r="G1507">
        <f>IF(ABS(F1507-ROUND(F1507,0))&lt;0.001,1,0)</f>
        <v/>
      </c>
      <c r="H1507">
        <f>IF(G1507=1,F1507,CEILING(F1507,1))</f>
        <v/>
      </c>
      <c r="I1507">
        <f>IF(G1507=1,0,(H1507-F1507)*E1507)</f>
        <v/>
      </c>
      <c r="J1507">
        <f>E1507*F1507</f>
        <v/>
      </c>
    </row>
    <row r="1508">
      <c r="A1508">
        <f>Sources!A1508</f>
        <v/>
      </c>
      <c r="B1508">
        <f>Sources!B1508</f>
        <v/>
      </c>
      <c r="C1508">
        <f>Sources!D1508</f>
        <v/>
      </c>
      <c r="D1508">
        <f>Sources!E1508</f>
        <v/>
      </c>
      <c r="E1508">
        <f>Sources!F1508</f>
        <v/>
      </c>
      <c r="F1508">
        <f>Sources!H1508</f>
        <v/>
      </c>
      <c r="G1508">
        <f>IF(ABS(F1508-ROUND(F1508,0))&lt;0.001,1,0)</f>
        <v/>
      </c>
      <c r="H1508">
        <f>IF(G1508=1,F1508,CEILING(F1508,1))</f>
        <v/>
      </c>
      <c r="I1508">
        <f>IF(G1508=1,0,(H1508-F1508)*E1508)</f>
        <v/>
      </c>
      <c r="J1508">
        <f>E1508*F1508</f>
        <v/>
      </c>
    </row>
    <row r="1509">
      <c r="A1509">
        <f>Sources!A1509</f>
        <v/>
      </c>
      <c r="B1509">
        <f>Sources!B1509</f>
        <v/>
      </c>
      <c r="C1509">
        <f>Sources!D1509</f>
        <v/>
      </c>
      <c r="D1509">
        <f>Sources!E1509</f>
        <v/>
      </c>
      <c r="E1509">
        <f>Sources!F1509</f>
        <v/>
      </c>
      <c r="F1509">
        <f>Sources!H1509</f>
        <v/>
      </c>
      <c r="G1509">
        <f>IF(ABS(F1509-ROUND(F1509,0))&lt;0.001,1,0)</f>
        <v/>
      </c>
      <c r="H1509">
        <f>IF(G1509=1,F1509,CEILING(F1509,1))</f>
        <v/>
      </c>
      <c r="I1509">
        <f>IF(G1509=1,0,(H1509-F1509)*E1509)</f>
        <v/>
      </c>
      <c r="J1509">
        <f>E1509*F1509</f>
        <v/>
      </c>
    </row>
    <row r="1510">
      <c r="A1510">
        <f>Sources!A1510</f>
        <v/>
      </c>
      <c r="B1510">
        <f>Sources!B1510</f>
        <v/>
      </c>
      <c r="C1510">
        <f>Sources!D1510</f>
        <v/>
      </c>
      <c r="D1510">
        <f>Sources!E1510</f>
        <v/>
      </c>
      <c r="E1510">
        <f>Sources!F1510</f>
        <v/>
      </c>
      <c r="F1510">
        <f>Sources!H1510</f>
        <v/>
      </c>
      <c r="G1510">
        <f>IF(ABS(F1510-ROUND(F1510,0))&lt;0.001,1,0)</f>
        <v/>
      </c>
      <c r="H1510">
        <f>IF(G1510=1,F1510,CEILING(F1510,1))</f>
        <v/>
      </c>
      <c r="I1510">
        <f>IF(G1510=1,0,(H1510-F1510)*E1510)</f>
        <v/>
      </c>
      <c r="J1510">
        <f>E1510*F1510</f>
        <v/>
      </c>
    </row>
    <row r="1511">
      <c r="A1511">
        <f>Sources!A1511</f>
        <v/>
      </c>
      <c r="B1511">
        <f>Sources!B1511</f>
        <v/>
      </c>
      <c r="C1511">
        <f>Sources!D1511</f>
        <v/>
      </c>
      <c r="D1511">
        <f>Sources!E1511</f>
        <v/>
      </c>
      <c r="E1511">
        <f>Sources!F1511</f>
        <v/>
      </c>
      <c r="F1511">
        <f>Sources!H1511</f>
        <v/>
      </c>
      <c r="G1511">
        <f>IF(ABS(F1511-ROUND(F1511,0))&lt;0.001,1,0)</f>
        <v/>
      </c>
      <c r="H1511">
        <f>IF(G1511=1,F1511,CEILING(F1511,1))</f>
        <v/>
      </c>
      <c r="I1511">
        <f>IF(G1511=1,0,(H1511-F1511)*E1511)</f>
        <v/>
      </c>
      <c r="J1511">
        <f>E1511*F1511</f>
        <v/>
      </c>
    </row>
    <row r="1512">
      <c r="A1512">
        <f>Sources!A1512</f>
        <v/>
      </c>
      <c r="B1512">
        <f>Sources!B1512</f>
        <v/>
      </c>
      <c r="C1512">
        <f>Sources!D1512</f>
        <v/>
      </c>
      <c r="D1512">
        <f>Sources!E1512</f>
        <v/>
      </c>
      <c r="E1512">
        <f>Sources!F1512</f>
        <v/>
      </c>
      <c r="F1512">
        <f>Sources!H1512</f>
        <v/>
      </c>
      <c r="G1512">
        <f>IF(ABS(F1512-ROUND(F1512,0))&lt;0.001,1,0)</f>
        <v/>
      </c>
      <c r="H1512">
        <f>IF(G1512=1,F1512,CEILING(F1512,1))</f>
        <v/>
      </c>
      <c r="I1512">
        <f>IF(G1512=1,0,(H1512-F1512)*E1512)</f>
        <v/>
      </c>
      <c r="J1512">
        <f>E1512*F1512</f>
        <v/>
      </c>
    </row>
    <row r="1513">
      <c r="A1513">
        <f>Sources!A1513</f>
        <v/>
      </c>
      <c r="B1513">
        <f>Sources!B1513</f>
        <v/>
      </c>
      <c r="C1513">
        <f>Sources!D1513</f>
        <v/>
      </c>
      <c r="D1513">
        <f>Sources!E1513</f>
        <v/>
      </c>
      <c r="E1513">
        <f>Sources!F1513</f>
        <v/>
      </c>
      <c r="F1513">
        <f>Sources!H1513</f>
        <v/>
      </c>
      <c r="G1513">
        <f>IF(ABS(F1513-ROUND(F1513,0))&lt;0.001,1,0)</f>
        <v/>
      </c>
      <c r="H1513">
        <f>IF(G1513=1,F1513,CEILING(F1513,1))</f>
        <v/>
      </c>
      <c r="I1513">
        <f>IF(G1513=1,0,(H1513-F1513)*E1513)</f>
        <v/>
      </c>
      <c r="J1513">
        <f>E1513*F1513</f>
        <v/>
      </c>
    </row>
    <row r="1514">
      <c r="A1514">
        <f>Sources!A1514</f>
        <v/>
      </c>
      <c r="B1514">
        <f>Sources!B1514</f>
        <v/>
      </c>
      <c r="C1514">
        <f>Sources!D1514</f>
        <v/>
      </c>
      <c r="D1514">
        <f>Sources!E1514</f>
        <v/>
      </c>
      <c r="E1514">
        <f>Sources!F1514</f>
        <v/>
      </c>
      <c r="F1514">
        <f>Sources!H1514</f>
        <v/>
      </c>
      <c r="G1514">
        <f>IF(ABS(F1514-ROUND(F1514,0))&lt;0.001,1,0)</f>
        <v/>
      </c>
      <c r="H1514">
        <f>IF(G1514=1,F1514,CEILING(F1514,1))</f>
        <v/>
      </c>
      <c r="I1514">
        <f>IF(G1514=1,0,(H1514-F1514)*E1514)</f>
        <v/>
      </c>
      <c r="J1514">
        <f>E1514*F1514</f>
        <v/>
      </c>
    </row>
    <row r="1515">
      <c r="A1515">
        <f>Sources!A1515</f>
        <v/>
      </c>
      <c r="B1515">
        <f>Sources!B1515</f>
        <v/>
      </c>
      <c r="C1515">
        <f>Sources!D1515</f>
        <v/>
      </c>
      <c r="D1515">
        <f>Sources!E1515</f>
        <v/>
      </c>
      <c r="E1515">
        <f>Sources!F1515</f>
        <v/>
      </c>
      <c r="F1515">
        <f>Sources!H1515</f>
        <v/>
      </c>
      <c r="G1515">
        <f>IF(ABS(F1515-ROUND(F1515,0))&lt;0.001,1,0)</f>
        <v/>
      </c>
      <c r="H1515">
        <f>IF(G1515=1,F1515,CEILING(F1515,1))</f>
        <v/>
      </c>
      <c r="I1515">
        <f>IF(G1515=1,0,(H1515-F1515)*E1515)</f>
        <v/>
      </c>
      <c r="J1515">
        <f>E1515*F1515</f>
        <v/>
      </c>
    </row>
    <row r="1516">
      <c r="A1516">
        <f>Sources!A1516</f>
        <v/>
      </c>
      <c r="B1516">
        <f>Sources!B1516</f>
        <v/>
      </c>
      <c r="C1516">
        <f>Sources!D1516</f>
        <v/>
      </c>
      <c r="D1516">
        <f>Sources!E1516</f>
        <v/>
      </c>
      <c r="E1516">
        <f>Sources!F1516</f>
        <v/>
      </c>
      <c r="F1516">
        <f>Sources!H1516</f>
        <v/>
      </c>
      <c r="G1516">
        <f>IF(ABS(F1516-ROUND(F1516,0))&lt;0.001,1,0)</f>
        <v/>
      </c>
      <c r="H1516">
        <f>IF(G1516=1,F1516,CEILING(F1516,1))</f>
        <v/>
      </c>
      <c r="I1516">
        <f>IF(G1516=1,0,(H1516-F1516)*E1516)</f>
        <v/>
      </c>
      <c r="J1516">
        <f>E1516*F1516</f>
        <v/>
      </c>
    </row>
    <row r="1517">
      <c r="A1517">
        <f>Sources!A1517</f>
        <v/>
      </c>
      <c r="B1517">
        <f>Sources!B1517</f>
        <v/>
      </c>
      <c r="C1517">
        <f>Sources!D1517</f>
        <v/>
      </c>
      <c r="D1517">
        <f>Sources!E1517</f>
        <v/>
      </c>
      <c r="E1517">
        <f>Sources!F1517</f>
        <v/>
      </c>
      <c r="F1517">
        <f>Sources!H1517</f>
        <v/>
      </c>
      <c r="G1517">
        <f>IF(ABS(F1517-ROUND(F1517,0))&lt;0.001,1,0)</f>
        <v/>
      </c>
      <c r="H1517">
        <f>IF(G1517=1,F1517,CEILING(F1517,1))</f>
        <v/>
      </c>
      <c r="I1517">
        <f>IF(G1517=1,0,(H1517-F1517)*E1517)</f>
        <v/>
      </c>
      <c r="J1517">
        <f>E1517*F1517</f>
        <v/>
      </c>
    </row>
    <row r="1518">
      <c r="A1518">
        <f>Sources!A1518</f>
        <v/>
      </c>
      <c r="B1518">
        <f>Sources!B1518</f>
        <v/>
      </c>
      <c r="C1518">
        <f>Sources!D1518</f>
        <v/>
      </c>
      <c r="D1518">
        <f>Sources!E1518</f>
        <v/>
      </c>
      <c r="E1518">
        <f>Sources!F1518</f>
        <v/>
      </c>
      <c r="F1518">
        <f>Sources!H1518</f>
        <v/>
      </c>
      <c r="G1518">
        <f>IF(ABS(F1518-ROUND(F1518,0))&lt;0.001,1,0)</f>
        <v/>
      </c>
      <c r="H1518">
        <f>IF(G1518=1,F1518,CEILING(F1518,1))</f>
        <v/>
      </c>
      <c r="I1518">
        <f>IF(G1518=1,0,(H1518-F1518)*E1518)</f>
        <v/>
      </c>
      <c r="J1518">
        <f>E1518*F1518</f>
        <v/>
      </c>
    </row>
    <row r="1519">
      <c r="A1519">
        <f>Sources!A1519</f>
        <v/>
      </c>
      <c r="B1519">
        <f>Sources!B1519</f>
        <v/>
      </c>
      <c r="C1519">
        <f>Sources!D1519</f>
        <v/>
      </c>
      <c r="D1519">
        <f>Sources!E1519</f>
        <v/>
      </c>
      <c r="E1519">
        <f>Sources!F1519</f>
        <v/>
      </c>
      <c r="F1519">
        <f>Sources!H1519</f>
        <v/>
      </c>
      <c r="G1519">
        <f>IF(ABS(F1519-ROUND(F1519,0))&lt;0.001,1,0)</f>
        <v/>
      </c>
      <c r="H1519">
        <f>IF(G1519=1,F1519,CEILING(F1519,1))</f>
        <v/>
      </c>
      <c r="I1519">
        <f>IF(G1519=1,0,(H1519-F1519)*E1519)</f>
        <v/>
      </c>
      <c r="J1519">
        <f>E1519*F1519</f>
        <v/>
      </c>
    </row>
    <row r="1520">
      <c r="A1520">
        <f>Sources!A1520</f>
        <v/>
      </c>
      <c r="B1520">
        <f>Sources!B1520</f>
        <v/>
      </c>
      <c r="C1520">
        <f>Sources!D1520</f>
        <v/>
      </c>
      <c r="D1520">
        <f>Sources!E1520</f>
        <v/>
      </c>
      <c r="E1520">
        <f>Sources!F1520</f>
        <v/>
      </c>
      <c r="F1520">
        <f>Sources!H1520</f>
        <v/>
      </c>
      <c r="G1520">
        <f>IF(ABS(F1520-ROUND(F1520,0))&lt;0.001,1,0)</f>
        <v/>
      </c>
      <c r="H1520">
        <f>IF(G1520=1,F1520,CEILING(F1520,1))</f>
        <v/>
      </c>
      <c r="I1520">
        <f>IF(G1520=1,0,(H1520-F1520)*E1520)</f>
        <v/>
      </c>
      <c r="J1520">
        <f>E1520*F1520</f>
        <v/>
      </c>
    </row>
    <row r="1521">
      <c r="A1521">
        <f>Sources!A1521</f>
        <v/>
      </c>
      <c r="B1521">
        <f>Sources!B1521</f>
        <v/>
      </c>
      <c r="C1521">
        <f>Sources!D1521</f>
        <v/>
      </c>
      <c r="D1521">
        <f>Sources!E1521</f>
        <v/>
      </c>
      <c r="E1521">
        <f>Sources!F1521</f>
        <v/>
      </c>
      <c r="F1521">
        <f>Sources!H1521</f>
        <v/>
      </c>
      <c r="G1521">
        <f>IF(ABS(F1521-ROUND(F1521,0))&lt;0.001,1,0)</f>
        <v/>
      </c>
      <c r="H1521">
        <f>IF(G1521=1,F1521,CEILING(F1521,1))</f>
        <v/>
      </c>
      <c r="I1521">
        <f>IF(G1521=1,0,(H1521-F1521)*E1521)</f>
        <v/>
      </c>
      <c r="J1521">
        <f>E1521*F1521</f>
        <v/>
      </c>
    </row>
    <row r="1522">
      <c r="A1522">
        <f>Sources!A1522</f>
        <v/>
      </c>
      <c r="B1522">
        <f>Sources!B1522</f>
        <v/>
      </c>
      <c r="C1522">
        <f>Sources!D1522</f>
        <v/>
      </c>
      <c r="D1522">
        <f>Sources!E1522</f>
        <v/>
      </c>
      <c r="E1522">
        <f>Sources!F1522</f>
        <v/>
      </c>
      <c r="F1522">
        <f>Sources!H1522</f>
        <v/>
      </c>
      <c r="G1522">
        <f>IF(ABS(F1522-ROUND(F1522,0))&lt;0.001,1,0)</f>
        <v/>
      </c>
      <c r="H1522">
        <f>IF(G1522=1,F1522,CEILING(F1522,1))</f>
        <v/>
      </c>
      <c r="I1522">
        <f>IF(G1522=1,0,(H1522-F1522)*E1522)</f>
        <v/>
      </c>
      <c r="J1522">
        <f>E1522*F1522</f>
        <v/>
      </c>
    </row>
    <row r="1523">
      <c r="A1523">
        <f>Sources!A1523</f>
        <v/>
      </c>
      <c r="B1523">
        <f>Sources!B1523</f>
        <v/>
      </c>
      <c r="C1523">
        <f>Sources!D1523</f>
        <v/>
      </c>
      <c r="D1523">
        <f>Sources!E1523</f>
        <v/>
      </c>
      <c r="E1523">
        <f>Sources!F1523</f>
        <v/>
      </c>
      <c r="F1523">
        <f>Sources!H1523</f>
        <v/>
      </c>
      <c r="G1523">
        <f>IF(ABS(F1523-ROUND(F1523,0))&lt;0.001,1,0)</f>
        <v/>
      </c>
      <c r="H1523">
        <f>IF(G1523=1,F1523,CEILING(F1523,1))</f>
        <v/>
      </c>
      <c r="I1523">
        <f>IF(G1523=1,0,(H1523-F1523)*E1523)</f>
        <v/>
      </c>
      <c r="J1523">
        <f>E1523*F1523</f>
        <v/>
      </c>
    </row>
    <row r="1524">
      <c r="A1524">
        <f>Sources!A1524</f>
        <v/>
      </c>
      <c r="B1524">
        <f>Sources!B1524</f>
        <v/>
      </c>
      <c r="C1524">
        <f>Sources!D1524</f>
        <v/>
      </c>
      <c r="D1524">
        <f>Sources!E1524</f>
        <v/>
      </c>
      <c r="E1524">
        <f>Sources!F1524</f>
        <v/>
      </c>
      <c r="F1524">
        <f>Sources!H1524</f>
        <v/>
      </c>
      <c r="G1524">
        <f>IF(ABS(F1524-ROUND(F1524,0))&lt;0.001,1,0)</f>
        <v/>
      </c>
      <c r="H1524">
        <f>IF(G1524=1,F1524,CEILING(F1524,1))</f>
        <v/>
      </c>
      <c r="I1524">
        <f>IF(G1524=1,0,(H1524-F1524)*E1524)</f>
        <v/>
      </c>
      <c r="J1524">
        <f>E1524*F1524</f>
        <v/>
      </c>
    </row>
    <row r="1525">
      <c r="A1525">
        <f>Sources!A1525</f>
        <v/>
      </c>
      <c r="B1525">
        <f>Sources!B1525</f>
        <v/>
      </c>
      <c r="C1525">
        <f>Sources!D1525</f>
        <v/>
      </c>
      <c r="D1525">
        <f>Sources!E1525</f>
        <v/>
      </c>
      <c r="E1525">
        <f>Sources!F1525</f>
        <v/>
      </c>
      <c r="F1525">
        <f>Sources!H1525</f>
        <v/>
      </c>
      <c r="G1525">
        <f>IF(ABS(F1525-ROUND(F1525,0))&lt;0.001,1,0)</f>
        <v/>
      </c>
      <c r="H1525">
        <f>IF(G1525=1,F1525,CEILING(F1525,1))</f>
        <v/>
      </c>
      <c r="I1525">
        <f>IF(G1525=1,0,(H1525-F1525)*E1525)</f>
        <v/>
      </c>
      <c r="J1525">
        <f>E1525*F1525</f>
        <v/>
      </c>
    </row>
    <row r="1526">
      <c r="A1526">
        <f>Sources!A1526</f>
        <v/>
      </c>
      <c r="B1526">
        <f>Sources!B1526</f>
        <v/>
      </c>
      <c r="C1526">
        <f>Sources!D1526</f>
        <v/>
      </c>
      <c r="D1526">
        <f>Sources!E1526</f>
        <v/>
      </c>
      <c r="E1526">
        <f>Sources!F1526</f>
        <v/>
      </c>
      <c r="F1526">
        <f>Sources!H1526</f>
        <v/>
      </c>
      <c r="G1526">
        <f>IF(ABS(F1526-ROUND(F1526,0))&lt;0.001,1,0)</f>
        <v/>
      </c>
      <c r="H1526">
        <f>IF(G1526=1,F1526,CEILING(F1526,1))</f>
        <v/>
      </c>
      <c r="I1526">
        <f>IF(G1526=1,0,(H1526-F1526)*E1526)</f>
        <v/>
      </c>
      <c r="J1526">
        <f>E1526*F1526</f>
        <v/>
      </c>
    </row>
    <row r="1527">
      <c r="A1527">
        <f>Sources!A1527</f>
        <v/>
      </c>
      <c r="B1527">
        <f>Sources!B1527</f>
        <v/>
      </c>
      <c r="C1527">
        <f>Sources!D1527</f>
        <v/>
      </c>
      <c r="D1527">
        <f>Sources!E1527</f>
        <v/>
      </c>
      <c r="E1527">
        <f>Sources!F1527</f>
        <v/>
      </c>
      <c r="F1527">
        <f>Sources!H1527</f>
        <v/>
      </c>
      <c r="G1527">
        <f>IF(ABS(F1527-ROUND(F1527,0))&lt;0.001,1,0)</f>
        <v/>
      </c>
      <c r="H1527">
        <f>IF(G1527=1,F1527,CEILING(F1527,1))</f>
        <v/>
      </c>
      <c r="I1527">
        <f>IF(G1527=1,0,(H1527-F1527)*E1527)</f>
        <v/>
      </c>
      <c r="J1527">
        <f>E1527*F1527</f>
        <v/>
      </c>
    </row>
    <row r="1528">
      <c r="A1528">
        <f>Sources!A1528</f>
        <v/>
      </c>
      <c r="B1528">
        <f>Sources!B1528</f>
        <v/>
      </c>
      <c r="C1528">
        <f>Sources!D1528</f>
        <v/>
      </c>
      <c r="D1528">
        <f>Sources!E1528</f>
        <v/>
      </c>
      <c r="E1528">
        <f>Sources!F1528</f>
        <v/>
      </c>
      <c r="F1528">
        <f>Sources!H1528</f>
        <v/>
      </c>
      <c r="G1528">
        <f>IF(ABS(F1528-ROUND(F1528,0))&lt;0.001,1,0)</f>
        <v/>
      </c>
      <c r="H1528">
        <f>IF(G1528=1,F1528,CEILING(F1528,1))</f>
        <v/>
      </c>
      <c r="I1528">
        <f>IF(G1528=1,0,(H1528-F1528)*E1528)</f>
        <v/>
      </c>
      <c r="J1528">
        <f>E1528*F1528</f>
        <v/>
      </c>
    </row>
    <row r="1529">
      <c r="A1529">
        <f>Sources!A1529</f>
        <v/>
      </c>
      <c r="B1529">
        <f>Sources!B1529</f>
        <v/>
      </c>
      <c r="C1529">
        <f>Sources!D1529</f>
        <v/>
      </c>
      <c r="D1529">
        <f>Sources!E1529</f>
        <v/>
      </c>
      <c r="E1529">
        <f>Sources!F1529</f>
        <v/>
      </c>
      <c r="F1529">
        <f>Sources!H1529</f>
        <v/>
      </c>
      <c r="G1529">
        <f>IF(ABS(F1529-ROUND(F1529,0))&lt;0.001,1,0)</f>
        <v/>
      </c>
      <c r="H1529">
        <f>IF(G1529=1,F1529,CEILING(F1529,1))</f>
        <v/>
      </c>
      <c r="I1529">
        <f>IF(G1529=1,0,(H1529-F1529)*E1529)</f>
        <v/>
      </c>
      <c r="J1529">
        <f>E1529*F1529</f>
        <v/>
      </c>
    </row>
    <row r="1530">
      <c r="A1530">
        <f>Sources!A1530</f>
        <v/>
      </c>
      <c r="B1530">
        <f>Sources!B1530</f>
        <v/>
      </c>
      <c r="C1530">
        <f>Sources!D1530</f>
        <v/>
      </c>
      <c r="D1530">
        <f>Sources!E1530</f>
        <v/>
      </c>
      <c r="E1530">
        <f>Sources!F1530</f>
        <v/>
      </c>
      <c r="F1530">
        <f>Sources!H1530</f>
        <v/>
      </c>
      <c r="G1530">
        <f>IF(ABS(F1530-ROUND(F1530,0))&lt;0.001,1,0)</f>
        <v/>
      </c>
      <c r="H1530">
        <f>IF(G1530=1,F1530,CEILING(F1530,1))</f>
        <v/>
      </c>
      <c r="I1530">
        <f>IF(G1530=1,0,(H1530-F1530)*E1530)</f>
        <v/>
      </c>
      <c r="J1530">
        <f>E1530*F1530</f>
        <v/>
      </c>
    </row>
    <row r="1531">
      <c r="A1531">
        <f>Sources!A1531</f>
        <v/>
      </c>
      <c r="B1531">
        <f>Sources!B1531</f>
        <v/>
      </c>
      <c r="C1531">
        <f>Sources!D1531</f>
        <v/>
      </c>
      <c r="D1531">
        <f>Sources!E1531</f>
        <v/>
      </c>
      <c r="E1531">
        <f>Sources!F1531</f>
        <v/>
      </c>
      <c r="F1531">
        <f>Sources!H1531</f>
        <v/>
      </c>
      <c r="G1531">
        <f>IF(ABS(F1531-ROUND(F1531,0))&lt;0.001,1,0)</f>
        <v/>
      </c>
      <c r="H1531">
        <f>IF(G1531=1,F1531,CEILING(F1531,1))</f>
        <v/>
      </c>
      <c r="I1531">
        <f>IF(G1531=1,0,(H1531-F1531)*E1531)</f>
        <v/>
      </c>
      <c r="J1531">
        <f>E1531*F1531</f>
        <v/>
      </c>
    </row>
    <row r="1532">
      <c r="A1532">
        <f>Sources!A1532</f>
        <v/>
      </c>
      <c r="B1532">
        <f>Sources!B1532</f>
        <v/>
      </c>
      <c r="C1532">
        <f>Sources!D1532</f>
        <v/>
      </c>
      <c r="D1532">
        <f>Sources!E1532</f>
        <v/>
      </c>
      <c r="E1532">
        <f>Sources!F1532</f>
        <v/>
      </c>
      <c r="F1532">
        <f>Sources!H1532</f>
        <v/>
      </c>
      <c r="G1532">
        <f>IF(ABS(F1532-ROUND(F1532,0))&lt;0.001,1,0)</f>
        <v/>
      </c>
      <c r="H1532">
        <f>IF(G1532=1,F1532,CEILING(F1532,1))</f>
        <v/>
      </c>
      <c r="I1532">
        <f>IF(G1532=1,0,(H1532-F1532)*E1532)</f>
        <v/>
      </c>
      <c r="J1532">
        <f>E1532*F1532</f>
        <v/>
      </c>
    </row>
    <row r="1533">
      <c r="A1533">
        <f>Sources!A1533</f>
        <v/>
      </c>
      <c r="B1533">
        <f>Sources!B1533</f>
        <v/>
      </c>
      <c r="C1533">
        <f>Sources!D1533</f>
        <v/>
      </c>
      <c r="D1533">
        <f>Sources!E1533</f>
        <v/>
      </c>
      <c r="E1533">
        <f>Sources!F1533</f>
        <v/>
      </c>
      <c r="F1533">
        <f>Sources!H1533</f>
        <v/>
      </c>
      <c r="G1533">
        <f>IF(ABS(F1533-ROUND(F1533,0))&lt;0.001,1,0)</f>
        <v/>
      </c>
      <c r="H1533">
        <f>IF(G1533=1,F1533,CEILING(F1533,1))</f>
        <v/>
      </c>
      <c r="I1533">
        <f>IF(G1533=1,0,(H1533-F1533)*E1533)</f>
        <v/>
      </c>
      <c r="J1533">
        <f>E1533*F1533</f>
        <v/>
      </c>
    </row>
    <row r="1534">
      <c r="A1534">
        <f>Sources!A1534</f>
        <v/>
      </c>
      <c r="B1534">
        <f>Sources!B1534</f>
        <v/>
      </c>
      <c r="C1534">
        <f>Sources!D1534</f>
        <v/>
      </c>
      <c r="D1534">
        <f>Sources!E1534</f>
        <v/>
      </c>
      <c r="E1534">
        <f>Sources!F1534</f>
        <v/>
      </c>
      <c r="F1534">
        <f>Sources!H1534</f>
        <v/>
      </c>
      <c r="G1534">
        <f>IF(ABS(F1534-ROUND(F1534,0))&lt;0.001,1,0)</f>
        <v/>
      </c>
      <c r="H1534">
        <f>IF(G1534=1,F1534,CEILING(F1534,1))</f>
        <v/>
      </c>
      <c r="I1534">
        <f>IF(G1534=1,0,(H1534-F1534)*E1534)</f>
        <v/>
      </c>
      <c r="J1534">
        <f>E1534*F1534</f>
        <v/>
      </c>
    </row>
    <row r="1535">
      <c r="A1535">
        <f>Sources!A1535</f>
        <v/>
      </c>
      <c r="B1535">
        <f>Sources!B1535</f>
        <v/>
      </c>
      <c r="C1535">
        <f>Sources!D1535</f>
        <v/>
      </c>
      <c r="D1535">
        <f>Sources!E1535</f>
        <v/>
      </c>
      <c r="E1535">
        <f>Sources!F1535</f>
        <v/>
      </c>
      <c r="F1535">
        <f>Sources!H1535</f>
        <v/>
      </c>
      <c r="G1535">
        <f>IF(ABS(F1535-ROUND(F1535,0))&lt;0.001,1,0)</f>
        <v/>
      </c>
      <c r="H1535">
        <f>IF(G1535=1,F1535,CEILING(F1535,1))</f>
        <v/>
      </c>
      <c r="I1535">
        <f>IF(G1535=1,0,(H1535-F1535)*E1535)</f>
        <v/>
      </c>
      <c r="J1535">
        <f>E1535*F1535</f>
        <v/>
      </c>
    </row>
    <row r="1536">
      <c r="A1536">
        <f>Sources!A1536</f>
        <v/>
      </c>
      <c r="B1536">
        <f>Sources!B1536</f>
        <v/>
      </c>
      <c r="C1536">
        <f>Sources!D1536</f>
        <v/>
      </c>
      <c r="D1536">
        <f>Sources!E1536</f>
        <v/>
      </c>
      <c r="E1536">
        <f>Sources!F1536</f>
        <v/>
      </c>
      <c r="F1536">
        <f>Sources!H1536</f>
        <v/>
      </c>
      <c r="G1536">
        <f>IF(ABS(F1536-ROUND(F1536,0))&lt;0.001,1,0)</f>
        <v/>
      </c>
      <c r="H1536">
        <f>IF(G1536=1,F1536,CEILING(F1536,1))</f>
        <v/>
      </c>
      <c r="I1536">
        <f>IF(G1536=1,0,(H1536-F1536)*E1536)</f>
        <v/>
      </c>
      <c r="J1536">
        <f>E1536*F1536</f>
        <v/>
      </c>
    </row>
    <row r="1537">
      <c r="A1537">
        <f>Sources!A1537</f>
        <v/>
      </c>
      <c r="B1537">
        <f>Sources!B1537</f>
        <v/>
      </c>
      <c r="C1537">
        <f>Sources!D1537</f>
        <v/>
      </c>
      <c r="D1537">
        <f>Sources!E1537</f>
        <v/>
      </c>
      <c r="E1537">
        <f>Sources!F1537</f>
        <v/>
      </c>
      <c r="F1537">
        <f>Sources!H1537</f>
        <v/>
      </c>
      <c r="G1537">
        <f>IF(ABS(F1537-ROUND(F1537,0))&lt;0.001,1,0)</f>
        <v/>
      </c>
      <c r="H1537">
        <f>IF(G1537=1,F1537,CEILING(F1537,1))</f>
        <v/>
      </c>
      <c r="I1537">
        <f>IF(G1537=1,0,(H1537-F1537)*E1537)</f>
        <v/>
      </c>
      <c r="J1537">
        <f>E1537*F1537</f>
        <v/>
      </c>
    </row>
    <row r="1538">
      <c r="A1538">
        <f>Sources!A1538</f>
        <v/>
      </c>
      <c r="B1538">
        <f>Sources!B1538</f>
        <v/>
      </c>
      <c r="C1538">
        <f>Sources!D1538</f>
        <v/>
      </c>
      <c r="D1538">
        <f>Sources!E1538</f>
        <v/>
      </c>
      <c r="E1538">
        <f>Sources!F1538</f>
        <v/>
      </c>
      <c r="F1538">
        <f>Sources!H1538</f>
        <v/>
      </c>
      <c r="G1538">
        <f>IF(ABS(F1538-ROUND(F1538,0))&lt;0.001,1,0)</f>
        <v/>
      </c>
      <c r="H1538">
        <f>IF(G1538=1,F1538,CEILING(F1538,1))</f>
        <v/>
      </c>
      <c r="I1538">
        <f>IF(G1538=1,0,(H1538-F1538)*E1538)</f>
        <v/>
      </c>
      <c r="J1538">
        <f>E1538*F1538</f>
        <v/>
      </c>
    </row>
    <row r="1539">
      <c r="A1539">
        <f>Sources!A1539</f>
        <v/>
      </c>
      <c r="B1539">
        <f>Sources!B1539</f>
        <v/>
      </c>
      <c r="C1539">
        <f>Sources!D1539</f>
        <v/>
      </c>
      <c r="D1539">
        <f>Sources!E1539</f>
        <v/>
      </c>
      <c r="E1539">
        <f>Sources!F1539</f>
        <v/>
      </c>
      <c r="F1539">
        <f>Sources!H1539</f>
        <v/>
      </c>
      <c r="G1539">
        <f>IF(ABS(F1539-ROUND(F1539,0))&lt;0.001,1,0)</f>
        <v/>
      </c>
      <c r="H1539">
        <f>IF(G1539=1,F1539,CEILING(F1539,1))</f>
        <v/>
      </c>
      <c r="I1539">
        <f>IF(G1539=1,0,(H1539-F1539)*E1539)</f>
        <v/>
      </c>
      <c r="J1539">
        <f>E1539*F1539</f>
        <v/>
      </c>
    </row>
    <row r="1540">
      <c r="A1540">
        <f>Sources!A1540</f>
        <v/>
      </c>
      <c r="B1540">
        <f>Sources!B1540</f>
        <v/>
      </c>
      <c r="C1540">
        <f>Sources!D1540</f>
        <v/>
      </c>
      <c r="D1540">
        <f>Sources!E1540</f>
        <v/>
      </c>
      <c r="E1540">
        <f>Sources!F1540</f>
        <v/>
      </c>
      <c r="F1540">
        <f>Sources!H1540</f>
        <v/>
      </c>
      <c r="G1540">
        <f>IF(ABS(F1540-ROUND(F1540,0))&lt;0.001,1,0)</f>
        <v/>
      </c>
      <c r="H1540">
        <f>IF(G1540=1,F1540,CEILING(F1540,1))</f>
        <v/>
      </c>
      <c r="I1540">
        <f>IF(G1540=1,0,(H1540-F1540)*E1540)</f>
        <v/>
      </c>
      <c r="J1540">
        <f>E1540*F1540</f>
        <v/>
      </c>
    </row>
    <row r="1541">
      <c r="A1541">
        <f>Sources!A1541</f>
        <v/>
      </c>
      <c r="B1541">
        <f>Sources!B1541</f>
        <v/>
      </c>
      <c r="C1541">
        <f>Sources!D1541</f>
        <v/>
      </c>
      <c r="D1541">
        <f>Sources!E1541</f>
        <v/>
      </c>
      <c r="E1541">
        <f>Sources!F1541</f>
        <v/>
      </c>
      <c r="F1541">
        <f>Sources!H1541</f>
        <v/>
      </c>
      <c r="G1541">
        <f>IF(ABS(F1541-ROUND(F1541,0))&lt;0.001,1,0)</f>
        <v/>
      </c>
      <c r="H1541">
        <f>IF(G1541=1,F1541,CEILING(F1541,1))</f>
        <v/>
      </c>
      <c r="I1541">
        <f>IF(G1541=1,0,(H1541-F1541)*E1541)</f>
        <v/>
      </c>
      <c r="J1541">
        <f>E1541*F1541</f>
        <v/>
      </c>
    </row>
    <row r="1542">
      <c r="A1542">
        <f>Sources!A1542</f>
        <v/>
      </c>
      <c r="B1542">
        <f>Sources!B1542</f>
        <v/>
      </c>
      <c r="C1542">
        <f>Sources!D1542</f>
        <v/>
      </c>
      <c r="D1542">
        <f>Sources!E1542</f>
        <v/>
      </c>
      <c r="E1542">
        <f>Sources!F1542</f>
        <v/>
      </c>
      <c r="F1542">
        <f>Sources!H1542</f>
        <v/>
      </c>
      <c r="G1542">
        <f>IF(ABS(F1542-ROUND(F1542,0))&lt;0.001,1,0)</f>
        <v/>
      </c>
      <c r="H1542">
        <f>IF(G1542=1,F1542,CEILING(F1542,1))</f>
        <v/>
      </c>
      <c r="I1542">
        <f>IF(G1542=1,0,(H1542-F1542)*E1542)</f>
        <v/>
      </c>
      <c r="J1542">
        <f>E1542*F1542</f>
        <v/>
      </c>
    </row>
    <row r="1543">
      <c r="A1543">
        <f>Sources!A1543</f>
        <v/>
      </c>
      <c r="B1543">
        <f>Sources!B1543</f>
        <v/>
      </c>
      <c r="C1543">
        <f>Sources!D1543</f>
        <v/>
      </c>
      <c r="D1543">
        <f>Sources!E1543</f>
        <v/>
      </c>
      <c r="E1543">
        <f>Sources!F1543</f>
        <v/>
      </c>
      <c r="F1543">
        <f>Sources!H1543</f>
        <v/>
      </c>
      <c r="G1543">
        <f>IF(ABS(F1543-ROUND(F1543,0))&lt;0.001,1,0)</f>
        <v/>
      </c>
      <c r="H1543">
        <f>IF(G1543=1,F1543,CEILING(F1543,1))</f>
        <v/>
      </c>
      <c r="I1543">
        <f>IF(G1543=1,0,(H1543-F1543)*E1543)</f>
        <v/>
      </c>
      <c r="J1543">
        <f>E1543*F1543</f>
        <v/>
      </c>
    </row>
    <row r="1544">
      <c r="A1544">
        <f>Sources!A1544</f>
        <v/>
      </c>
      <c r="B1544">
        <f>Sources!B1544</f>
        <v/>
      </c>
      <c r="C1544">
        <f>Sources!D1544</f>
        <v/>
      </c>
      <c r="D1544">
        <f>Sources!E1544</f>
        <v/>
      </c>
      <c r="E1544">
        <f>Sources!F1544</f>
        <v/>
      </c>
      <c r="F1544">
        <f>Sources!H1544</f>
        <v/>
      </c>
      <c r="G1544">
        <f>IF(ABS(F1544-ROUND(F1544,0))&lt;0.001,1,0)</f>
        <v/>
      </c>
      <c r="H1544">
        <f>IF(G1544=1,F1544,CEILING(F1544,1))</f>
        <v/>
      </c>
      <c r="I1544">
        <f>IF(G1544=1,0,(H1544-F1544)*E1544)</f>
        <v/>
      </c>
      <c r="J1544">
        <f>E1544*F1544</f>
        <v/>
      </c>
    </row>
    <row r="1545">
      <c r="A1545">
        <f>Sources!A1545</f>
        <v/>
      </c>
      <c r="B1545">
        <f>Sources!B1545</f>
        <v/>
      </c>
      <c r="C1545">
        <f>Sources!D1545</f>
        <v/>
      </c>
      <c r="D1545">
        <f>Sources!E1545</f>
        <v/>
      </c>
      <c r="E1545">
        <f>Sources!F1545</f>
        <v/>
      </c>
      <c r="F1545">
        <f>Sources!H1545</f>
        <v/>
      </c>
      <c r="G1545">
        <f>IF(ABS(F1545-ROUND(F1545,0))&lt;0.001,1,0)</f>
        <v/>
      </c>
      <c r="H1545">
        <f>IF(G1545=1,F1545,CEILING(F1545,1))</f>
        <v/>
      </c>
      <c r="I1545">
        <f>IF(G1545=1,0,(H1545-F1545)*E1545)</f>
        <v/>
      </c>
      <c r="J1545">
        <f>E1545*F1545</f>
        <v/>
      </c>
    </row>
    <row r="1546">
      <c r="A1546">
        <f>Sources!A1546</f>
        <v/>
      </c>
      <c r="B1546">
        <f>Sources!B1546</f>
        <v/>
      </c>
      <c r="C1546">
        <f>Sources!D1546</f>
        <v/>
      </c>
      <c r="D1546">
        <f>Sources!E1546</f>
        <v/>
      </c>
      <c r="E1546">
        <f>Sources!F1546</f>
        <v/>
      </c>
      <c r="F1546">
        <f>Sources!H1546</f>
        <v/>
      </c>
      <c r="G1546">
        <f>IF(ABS(F1546-ROUND(F1546,0))&lt;0.001,1,0)</f>
        <v/>
      </c>
      <c r="H1546">
        <f>IF(G1546=1,F1546,CEILING(F1546,1))</f>
        <v/>
      </c>
      <c r="I1546">
        <f>IF(G1546=1,0,(H1546-F1546)*E1546)</f>
        <v/>
      </c>
      <c r="J1546">
        <f>E1546*F1546</f>
        <v/>
      </c>
    </row>
    <row r="1547">
      <c r="A1547">
        <f>Sources!A1547</f>
        <v/>
      </c>
      <c r="B1547">
        <f>Sources!B1547</f>
        <v/>
      </c>
      <c r="C1547">
        <f>Sources!D1547</f>
        <v/>
      </c>
      <c r="D1547">
        <f>Sources!E1547</f>
        <v/>
      </c>
      <c r="E1547">
        <f>Sources!F1547</f>
        <v/>
      </c>
      <c r="F1547">
        <f>Sources!H1547</f>
        <v/>
      </c>
      <c r="G1547">
        <f>IF(ABS(F1547-ROUND(F1547,0))&lt;0.001,1,0)</f>
        <v/>
      </c>
      <c r="H1547">
        <f>IF(G1547=1,F1547,CEILING(F1547,1))</f>
        <v/>
      </c>
      <c r="I1547">
        <f>IF(G1547=1,0,(H1547-F1547)*E1547)</f>
        <v/>
      </c>
      <c r="J1547">
        <f>E1547*F1547</f>
        <v/>
      </c>
    </row>
    <row r="1548">
      <c r="A1548">
        <f>Sources!A1548</f>
        <v/>
      </c>
      <c r="B1548">
        <f>Sources!B1548</f>
        <v/>
      </c>
      <c r="C1548">
        <f>Sources!D1548</f>
        <v/>
      </c>
      <c r="D1548">
        <f>Sources!E1548</f>
        <v/>
      </c>
      <c r="E1548">
        <f>Sources!F1548</f>
        <v/>
      </c>
      <c r="F1548">
        <f>Sources!H1548</f>
        <v/>
      </c>
      <c r="G1548">
        <f>IF(ABS(F1548-ROUND(F1548,0))&lt;0.001,1,0)</f>
        <v/>
      </c>
      <c r="H1548">
        <f>IF(G1548=1,F1548,CEILING(F1548,1))</f>
        <v/>
      </c>
      <c r="I1548">
        <f>IF(G1548=1,0,(H1548-F1548)*E1548)</f>
        <v/>
      </c>
      <c r="J1548">
        <f>E1548*F1548</f>
        <v/>
      </c>
    </row>
    <row r="1549">
      <c r="A1549">
        <f>Sources!A1549</f>
        <v/>
      </c>
      <c r="B1549">
        <f>Sources!B1549</f>
        <v/>
      </c>
      <c r="C1549">
        <f>Sources!D1549</f>
        <v/>
      </c>
      <c r="D1549">
        <f>Sources!E1549</f>
        <v/>
      </c>
      <c r="E1549">
        <f>Sources!F1549</f>
        <v/>
      </c>
      <c r="F1549">
        <f>Sources!H1549</f>
        <v/>
      </c>
      <c r="G1549">
        <f>IF(ABS(F1549-ROUND(F1549,0))&lt;0.001,1,0)</f>
        <v/>
      </c>
      <c r="H1549">
        <f>IF(G1549=1,F1549,CEILING(F1549,1))</f>
        <v/>
      </c>
      <c r="I1549">
        <f>IF(G1549=1,0,(H1549-F1549)*E1549)</f>
        <v/>
      </c>
      <c r="J1549">
        <f>E1549*F1549</f>
        <v/>
      </c>
    </row>
    <row r="1550">
      <c r="A1550">
        <f>Sources!A1550</f>
        <v/>
      </c>
      <c r="B1550">
        <f>Sources!B1550</f>
        <v/>
      </c>
      <c r="C1550">
        <f>Sources!D1550</f>
        <v/>
      </c>
      <c r="D1550">
        <f>Sources!E1550</f>
        <v/>
      </c>
      <c r="E1550">
        <f>Sources!F1550</f>
        <v/>
      </c>
      <c r="F1550">
        <f>Sources!H1550</f>
        <v/>
      </c>
      <c r="G1550">
        <f>IF(ABS(F1550-ROUND(F1550,0))&lt;0.001,1,0)</f>
        <v/>
      </c>
      <c r="H1550">
        <f>IF(G1550=1,F1550,CEILING(F1550,1))</f>
        <v/>
      </c>
      <c r="I1550">
        <f>IF(G1550=1,0,(H1550-F1550)*E1550)</f>
        <v/>
      </c>
      <c r="J1550">
        <f>E1550*F1550</f>
        <v/>
      </c>
    </row>
    <row r="1551">
      <c r="A1551">
        <f>Sources!A1551</f>
        <v/>
      </c>
      <c r="B1551">
        <f>Sources!B1551</f>
        <v/>
      </c>
      <c r="C1551">
        <f>Sources!D1551</f>
        <v/>
      </c>
      <c r="D1551">
        <f>Sources!E1551</f>
        <v/>
      </c>
      <c r="E1551">
        <f>Sources!F1551</f>
        <v/>
      </c>
      <c r="F1551">
        <f>Sources!H1551</f>
        <v/>
      </c>
      <c r="G1551">
        <f>IF(ABS(F1551-ROUND(F1551,0))&lt;0.001,1,0)</f>
        <v/>
      </c>
      <c r="H1551">
        <f>IF(G1551=1,F1551,CEILING(F1551,1))</f>
        <v/>
      </c>
      <c r="I1551">
        <f>IF(G1551=1,0,(H1551-F1551)*E1551)</f>
        <v/>
      </c>
      <c r="J1551">
        <f>E1551*F1551</f>
        <v/>
      </c>
    </row>
    <row r="1552">
      <c r="A1552">
        <f>Sources!A1552</f>
        <v/>
      </c>
      <c r="B1552">
        <f>Sources!B1552</f>
        <v/>
      </c>
      <c r="C1552">
        <f>Sources!D1552</f>
        <v/>
      </c>
      <c r="D1552">
        <f>Sources!E1552</f>
        <v/>
      </c>
      <c r="E1552">
        <f>Sources!F1552</f>
        <v/>
      </c>
      <c r="F1552">
        <f>Sources!H1552</f>
        <v/>
      </c>
      <c r="G1552">
        <f>IF(ABS(F1552-ROUND(F1552,0))&lt;0.001,1,0)</f>
        <v/>
      </c>
      <c r="H1552">
        <f>IF(G1552=1,F1552,CEILING(F1552,1))</f>
        <v/>
      </c>
      <c r="I1552">
        <f>IF(G1552=1,0,(H1552-F1552)*E1552)</f>
        <v/>
      </c>
      <c r="J1552">
        <f>E1552*F1552</f>
        <v/>
      </c>
    </row>
    <row r="1553">
      <c r="A1553">
        <f>Sources!A1553</f>
        <v/>
      </c>
      <c r="B1553">
        <f>Sources!B1553</f>
        <v/>
      </c>
      <c r="C1553">
        <f>Sources!D1553</f>
        <v/>
      </c>
      <c r="D1553">
        <f>Sources!E1553</f>
        <v/>
      </c>
      <c r="E1553">
        <f>Sources!F1553</f>
        <v/>
      </c>
      <c r="F1553">
        <f>Sources!H1553</f>
        <v/>
      </c>
      <c r="G1553">
        <f>IF(ABS(F1553-ROUND(F1553,0))&lt;0.001,1,0)</f>
        <v/>
      </c>
      <c r="H1553">
        <f>IF(G1553=1,F1553,CEILING(F1553,1))</f>
        <v/>
      </c>
      <c r="I1553">
        <f>IF(G1553=1,0,(H1553-F1553)*E1553)</f>
        <v/>
      </c>
      <c r="J1553">
        <f>E1553*F1553</f>
        <v/>
      </c>
    </row>
    <row r="1554">
      <c r="A1554">
        <f>Sources!A1554</f>
        <v/>
      </c>
      <c r="B1554">
        <f>Sources!B1554</f>
        <v/>
      </c>
      <c r="C1554">
        <f>Sources!D1554</f>
        <v/>
      </c>
      <c r="D1554">
        <f>Sources!E1554</f>
        <v/>
      </c>
      <c r="E1554">
        <f>Sources!F1554</f>
        <v/>
      </c>
      <c r="F1554">
        <f>Sources!H1554</f>
        <v/>
      </c>
      <c r="G1554">
        <f>IF(ABS(F1554-ROUND(F1554,0))&lt;0.001,1,0)</f>
        <v/>
      </c>
      <c r="H1554">
        <f>IF(G1554=1,F1554,CEILING(F1554,1))</f>
        <v/>
      </c>
      <c r="I1554">
        <f>IF(G1554=1,0,(H1554-F1554)*E1554)</f>
        <v/>
      </c>
      <c r="J1554">
        <f>E1554*F1554</f>
        <v/>
      </c>
    </row>
    <row r="1555">
      <c r="A1555">
        <f>Sources!A1555</f>
        <v/>
      </c>
      <c r="B1555">
        <f>Sources!B1555</f>
        <v/>
      </c>
      <c r="C1555">
        <f>Sources!D1555</f>
        <v/>
      </c>
      <c r="D1555">
        <f>Sources!E1555</f>
        <v/>
      </c>
      <c r="E1555">
        <f>Sources!F1555</f>
        <v/>
      </c>
      <c r="F1555">
        <f>Sources!H1555</f>
        <v/>
      </c>
      <c r="G1555">
        <f>IF(ABS(F1555-ROUND(F1555,0))&lt;0.001,1,0)</f>
        <v/>
      </c>
      <c r="H1555">
        <f>IF(G1555=1,F1555,CEILING(F1555,1))</f>
        <v/>
      </c>
      <c r="I1555">
        <f>IF(G1555=1,0,(H1555-F1555)*E1555)</f>
        <v/>
      </c>
      <c r="J1555">
        <f>E1555*F1555</f>
        <v/>
      </c>
    </row>
    <row r="1556">
      <c r="A1556">
        <f>Sources!A1556</f>
        <v/>
      </c>
      <c r="B1556">
        <f>Sources!B1556</f>
        <v/>
      </c>
      <c r="C1556">
        <f>Sources!D1556</f>
        <v/>
      </c>
      <c r="D1556">
        <f>Sources!E1556</f>
        <v/>
      </c>
      <c r="E1556">
        <f>Sources!F1556</f>
        <v/>
      </c>
      <c r="F1556">
        <f>Sources!H1556</f>
        <v/>
      </c>
      <c r="G1556">
        <f>IF(ABS(F1556-ROUND(F1556,0))&lt;0.001,1,0)</f>
        <v/>
      </c>
      <c r="H1556">
        <f>IF(G1556=1,F1556,CEILING(F1556,1))</f>
        <v/>
      </c>
      <c r="I1556">
        <f>IF(G1556=1,0,(H1556-F1556)*E1556)</f>
        <v/>
      </c>
      <c r="J1556">
        <f>E1556*F1556</f>
        <v/>
      </c>
    </row>
    <row r="1557">
      <c r="A1557">
        <f>Sources!A1557</f>
        <v/>
      </c>
      <c r="B1557">
        <f>Sources!B1557</f>
        <v/>
      </c>
      <c r="C1557">
        <f>Sources!D1557</f>
        <v/>
      </c>
      <c r="D1557">
        <f>Sources!E1557</f>
        <v/>
      </c>
      <c r="E1557">
        <f>Sources!F1557</f>
        <v/>
      </c>
      <c r="F1557">
        <f>Sources!H1557</f>
        <v/>
      </c>
      <c r="G1557">
        <f>IF(ABS(F1557-ROUND(F1557,0))&lt;0.001,1,0)</f>
        <v/>
      </c>
      <c r="H1557">
        <f>IF(G1557=1,F1557,CEILING(F1557,1))</f>
        <v/>
      </c>
      <c r="I1557">
        <f>IF(G1557=1,0,(H1557-F1557)*E1557)</f>
        <v/>
      </c>
      <c r="J1557">
        <f>E1557*F1557</f>
        <v/>
      </c>
    </row>
    <row r="1558">
      <c r="A1558">
        <f>Sources!A1558</f>
        <v/>
      </c>
      <c r="B1558">
        <f>Sources!B1558</f>
        <v/>
      </c>
      <c r="C1558">
        <f>Sources!D1558</f>
        <v/>
      </c>
      <c r="D1558">
        <f>Sources!E1558</f>
        <v/>
      </c>
      <c r="E1558">
        <f>Sources!F1558</f>
        <v/>
      </c>
      <c r="F1558">
        <f>Sources!H1558</f>
        <v/>
      </c>
      <c r="G1558">
        <f>IF(ABS(F1558-ROUND(F1558,0))&lt;0.001,1,0)</f>
        <v/>
      </c>
      <c r="H1558">
        <f>IF(G1558=1,F1558,CEILING(F1558,1))</f>
        <v/>
      </c>
      <c r="I1558">
        <f>IF(G1558=1,0,(H1558-F1558)*E1558)</f>
        <v/>
      </c>
      <c r="J1558">
        <f>E1558*F1558</f>
        <v/>
      </c>
    </row>
    <row r="1559">
      <c r="A1559">
        <f>Sources!A1559</f>
        <v/>
      </c>
      <c r="B1559">
        <f>Sources!B1559</f>
        <v/>
      </c>
      <c r="C1559">
        <f>Sources!D1559</f>
        <v/>
      </c>
      <c r="D1559">
        <f>Sources!E1559</f>
        <v/>
      </c>
      <c r="E1559">
        <f>Sources!F1559</f>
        <v/>
      </c>
      <c r="F1559">
        <f>Sources!H1559</f>
        <v/>
      </c>
      <c r="G1559">
        <f>IF(ABS(F1559-ROUND(F1559,0))&lt;0.001,1,0)</f>
        <v/>
      </c>
      <c r="H1559">
        <f>IF(G1559=1,F1559,CEILING(F1559,1))</f>
        <v/>
      </c>
      <c r="I1559">
        <f>IF(G1559=1,0,(H1559-F1559)*E1559)</f>
        <v/>
      </c>
      <c r="J1559">
        <f>E1559*F1559</f>
        <v/>
      </c>
    </row>
    <row r="1560">
      <c r="A1560">
        <f>Sources!A1560</f>
        <v/>
      </c>
      <c r="B1560">
        <f>Sources!B1560</f>
        <v/>
      </c>
      <c r="C1560">
        <f>Sources!D1560</f>
        <v/>
      </c>
      <c r="D1560">
        <f>Sources!E1560</f>
        <v/>
      </c>
      <c r="E1560">
        <f>Sources!F1560</f>
        <v/>
      </c>
      <c r="F1560">
        <f>Sources!H1560</f>
        <v/>
      </c>
      <c r="G1560">
        <f>IF(ABS(F1560-ROUND(F1560,0))&lt;0.001,1,0)</f>
        <v/>
      </c>
      <c r="H1560">
        <f>IF(G1560=1,F1560,CEILING(F1560,1))</f>
        <v/>
      </c>
      <c r="I1560">
        <f>IF(G1560=1,0,(H1560-F1560)*E1560)</f>
        <v/>
      </c>
      <c r="J1560">
        <f>E1560*F1560</f>
        <v/>
      </c>
    </row>
    <row r="1561">
      <c r="A1561">
        <f>Sources!A1561</f>
        <v/>
      </c>
      <c r="B1561">
        <f>Sources!B1561</f>
        <v/>
      </c>
      <c r="C1561">
        <f>Sources!D1561</f>
        <v/>
      </c>
      <c r="D1561">
        <f>Sources!E1561</f>
        <v/>
      </c>
      <c r="E1561">
        <f>Sources!F1561</f>
        <v/>
      </c>
      <c r="F1561">
        <f>Sources!H1561</f>
        <v/>
      </c>
      <c r="G1561">
        <f>IF(ABS(F1561-ROUND(F1561,0))&lt;0.001,1,0)</f>
        <v/>
      </c>
      <c r="H1561">
        <f>IF(G1561=1,F1561,CEILING(F1561,1))</f>
        <v/>
      </c>
      <c r="I1561">
        <f>IF(G1561=1,0,(H1561-F1561)*E1561)</f>
        <v/>
      </c>
      <c r="J1561">
        <f>E1561*F1561</f>
        <v/>
      </c>
    </row>
    <row r="1562">
      <c r="A1562">
        <f>Sources!A1562</f>
        <v/>
      </c>
      <c r="B1562">
        <f>Sources!B1562</f>
        <v/>
      </c>
      <c r="C1562">
        <f>Sources!D1562</f>
        <v/>
      </c>
      <c r="D1562">
        <f>Sources!E1562</f>
        <v/>
      </c>
      <c r="E1562">
        <f>Sources!F1562</f>
        <v/>
      </c>
      <c r="F1562">
        <f>Sources!H1562</f>
        <v/>
      </c>
      <c r="G1562">
        <f>IF(ABS(F1562-ROUND(F1562,0))&lt;0.001,1,0)</f>
        <v/>
      </c>
      <c r="H1562">
        <f>IF(G1562=1,F1562,CEILING(F1562,1))</f>
        <v/>
      </c>
      <c r="I1562">
        <f>IF(G1562=1,0,(H1562-F1562)*E1562)</f>
        <v/>
      </c>
      <c r="J1562">
        <f>E1562*F1562</f>
        <v/>
      </c>
    </row>
    <row r="1563">
      <c r="A1563">
        <f>Sources!A1563</f>
        <v/>
      </c>
      <c r="B1563">
        <f>Sources!B1563</f>
        <v/>
      </c>
      <c r="C1563">
        <f>Sources!D1563</f>
        <v/>
      </c>
      <c r="D1563">
        <f>Sources!E1563</f>
        <v/>
      </c>
      <c r="E1563">
        <f>Sources!F1563</f>
        <v/>
      </c>
      <c r="F1563">
        <f>Sources!H1563</f>
        <v/>
      </c>
      <c r="G1563">
        <f>IF(ABS(F1563-ROUND(F1563,0))&lt;0.001,1,0)</f>
        <v/>
      </c>
      <c r="H1563">
        <f>IF(G1563=1,F1563,CEILING(F1563,1))</f>
        <v/>
      </c>
      <c r="I1563">
        <f>IF(G1563=1,0,(H1563-F1563)*E1563)</f>
        <v/>
      </c>
      <c r="J1563">
        <f>E1563*F1563</f>
        <v/>
      </c>
    </row>
    <row r="1564">
      <c r="A1564">
        <f>Sources!A1564</f>
        <v/>
      </c>
      <c r="B1564">
        <f>Sources!B1564</f>
        <v/>
      </c>
      <c r="C1564">
        <f>Sources!D1564</f>
        <v/>
      </c>
      <c r="D1564">
        <f>Sources!E1564</f>
        <v/>
      </c>
      <c r="E1564">
        <f>Sources!F1564</f>
        <v/>
      </c>
      <c r="F1564">
        <f>Sources!H1564</f>
        <v/>
      </c>
      <c r="G1564">
        <f>IF(ABS(F1564-ROUND(F1564,0))&lt;0.001,1,0)</f>
        <v/>
      </c>
      <c r="H1564">
        <f>IF(G1564=1,F1564,CEILING(F1564,1))</f>
        <v/>
      </c>
      <c r="I1564">
        <f>IF(G1564=1,0,(H1564-F1564)*E1564)</f>
        <v/>
      </c>
      <c r="J1564">
        <f>E1564*F1564</f>
        <v/>
      </c>
    </row>
    <row r="1565">
      <c r="A1565">
        <f>Sources!A1565</f>
        <v/>
      </c>
      <c r="B1565">
        <f>Sources!B1565</f>
        <v/>
      </c>
      <c r="C1565">
        <f>Sources!D1565</f>
        <v/>
      </c>
      <c r="D1565">
        <f>Sources!E1565</f>
        <v/>
      </c>
      <c r="E1565">
        <f>Sources!F1565</f>
        <v/>
      </c>
      <c r="F1565">
        <f>Sources!H1565</f>
        <v/>
      </c>
      <c r="G1565">
        <f>IF(ABS(F1565-ROUND(F1565,0))&lt;0.001,1,0)</f>
        <v/>
      </c>
      <c r="H1565">
        <f>IF(G1565=1,F1565,CEILING(F1565,1))</f>
        <v/>
      </c>
      <c r="I1565">
        <f>IF(G1565=1,0,(H1565-F1565)*E1565)</f>
        <v/>
      </c>
      <c r="J1565">
        <f>E1565*F1565</f>
        <v/>
      </c>
    </row>
    <row r="1566">
      <c r="A1566">
        <f>Sources!A1566</f>
        <v/>
      </c>
      <c r="B1566">
        <f>Sources!B1566</f>
        <v/>
      </c>
      <c r="C1566">
        <f>Sources!D1566</f>
        <v/>
      </c>
      <c r="D1566">
        <f>Sources!E1566</f>
        <v/>
      </c>
      <c r="E1566">
        <f>Sources!F1566</f>
        <v/>
      </c>
      <c r="F1566">
        <f>Sources!H1566</f>
        <v/>
      </c>
      <c r="G1566">
        <f>IF(ABS(F1566-ROUND(F1566,0))&lt;0.001,1,0)</f>
        <v/>
      </c>
      <c r="H1566">
        <f>IF(G1566=1,F1566,CEILING(F1566,1))</f>
        <v/>
      </c>
      <c r="I1566">
        <f>IF(G1566=1,0,(H1566-F1566)*E1566)</f>
        <v/>
      </c>
      <c r="J1566">
        <f>E1566*F1566</f>
        <v/>
      </c>
    </row>
    <row r="1567">
      <c r="A1567">
        <f>Sources!A1567</f>
        <v/>
      </c>
      <c r="B1567">
        <f>Sources!B1567</f>
        <v/>
      </c>
      <c r="C1567">
        <f>Sources!D1567</f>
        <v/>
      </c>
      <c r="D1567">
        <f>Sources!E1567</f>
        <v/>
      </c>
      <c r="E1567">
        <f>Sources!F1567</f>
        <v/>
      </c>
      <c r="F1567">
        <f>Sources!H1567</f>
        <v/>
      </c>
      <c r="G1567">
        <f>IF(ABS(F1567-ROUND(F1567,0))&lt;0.001,1,0)</f>
        <v/>
      </c>
      <c r="H1567">
        <f>IF(G1567=1,F1567,CEILING(F1567,1))</f>
        <v/>
      </c>
      <c r="I1567">
        <f>IF(G1567=1,0,(H1567-F1567)*E1567)</f>
        <v/>
      </c>
      <c r="J1567">
        <f>E1567*F1567</f>
        <v/>
      </c>
    </row>
    <row r="1568">
      <c r="A1568">
        <f>Sources!A1568</f>
        <v/>
      </c>
      <c r="B1568">
        <f>Sources!B1568</f>
        <v/>
      </c>
      <c r="C1568">
        <f>Sources!D1568</f>
        <v/>
      </c>
      <c r="D1568">
        <f>Sources!E1568</f>
        <v/>
      </c>
      <c r="E1568">
        <f>Sources!F1568</f>
        <v/>
      </c>
      <c r="F1568">
        <f>Sources!H1568</f>
        <v/>
      </c>
      <c r="G1568">
        <f>IF(ABS(F1568-ROUND(F1568,0))&lt;0.001,1,0)</f>
        <v/>
      </c>
      <c r="H1568">
        <f>IF(G1568=1,F1568,CEILING(F1568,1))</f>
        <v/>
      </c>
      <c r="I1568">
        <f>IF(G1568=1,0,(H1568-F1568)*E1568)</f>
        <v/>
      </c>
      <c r="J1568">
        <f>E1568*F1568</f>
        <v/>
      </c>
    </row>
    <row r="1569">
      <c r="A1569">
        <f>Sources!A1569</f>
        <v/>
      </c>
      <c r="B1569">
        <f>Sources!B1569</f>
        <v/>
      </c>
      <c r="C1569">
        <f>Sources!D1569</f>
        <v/>
      </c>
      <c r="D1569">
        <f>Sources!E1569</f>
        <v/>
      </c>
      <c r="E1569">
        <f>Sources!F1569</f>
        <v/>
      </c>
      <c r="F1569">
        <f>Sources!H1569</f>
        <v/>
      </c>
      <c r="G1569">
        <f>IF(ABS(F1569-ROUND(F1569,0))&lt;0.001,1,0)</f>
        <v/>
      </c>
      <c r="H1569">
        <f>IF(G1569=1,F1569,CEILING(F1569,1))</f>
        <v/>
      </c>
      <c r="I1569">
        <f>IF(G1569=1,0,(H1569-F1569)*E1569)</f>
        <v/>
      </c>
      <c r="J1569">
        <f>E1569*F1569</f>
        <v/>
      </c>
    </row>
    <row r="1570">
      <c r="A1570">
        <f>Sources!A1570</f>
        <v/>
      </c>
      <c r="B1570">
        <f>Sources!B1570</f>
        <v/>
      </c>
      <c r="C1570">
        <f>Sources!D1570</f>
        <v/>
      </c>
      <c r="D1570">
        <f>Sources!E1570</f>
        <v/>
      </c>
      <c r="E1570">
        <f>Sources!F1570</f>
        <v/>
      </c>
      <c r="F1570">
        <f>Sources!H1570</f>
        <v/>
      </c>
      <c r="G1570">
        <f>IF(ABS(F1570-ROUND(F1570,0))&lt;0.001,1,0)</f>
        <v/>
      </c>
      <c r="H1570">
        <f>IF(G1570=1,F1570,CEILING(F1570,1))</f>
        <v/>
      </c>
      <c r="I1570">
        <f>IF(G1570=1,0,(H1570-F1570)*E1570)</f>
        <v/>
      </c>
      <c r="J1570">
        <f>E1570*F1570</f>
        <v/>
      </c>
    </row>
    <row r="1571">
      <c r="A1571">
        <f>Sources!A1571</f>
        <v/>
      </c>
      <c r="B1571">
        <f>Sources!B1571</f>
        <v/>
      </c>
      <c r="C1571">
        <f>Sources!D1571</f>
        <v/>
      </c>
      <c r="D1571">
        <f>Sources!E1571</f>
        <v/>
      </c>
      <c r="E1571">
        <f>Sources!F1571</f>
        <v/>
      </c>
      <c r="F1571">
        <f>Sources!H1571</f>
        <v/>
      </c>
      <c r="G1571">
        <f>IF(ABS(F1571-ROUND(F1571,0))&lt;0.001,1,0)</f>
        <v/>
      </c>
      <c r="H1571">
        <f>IF(G1571=1,F1571,CEILING(F1571,1))</f>
        <v/>
      </c>
      <c r="I1571">
        <f>IF(G1571=1,0,(H1571-F1571)*E1571)</f>
        <v/>
      </c>
      <c r="J1571">
        <f>E1571*F1571</f>
        <v/>
      </c>
    </row>
    <row r="1572">
      <c r="A1572">
        <f>Sources!A1572</f>
        <v/>
      </c>
      <c r="B1572">
        <f>Sources!B1572</f>
        <v/>
      </c>
      <c r="C1572">
        <f>Sources!D1572</f>
        <v/>
      </c>
      <c r="D1572">
        <f>Sources!E1572</f>
        <v/>
      </c>
      <c r="E1572">
        <f>Sources!F1572</f>
        <v/>
      </c>
      <c r="F1572">
        <f>Sources!H1572</f>
        <v/>
      </c>
      <c r="G1572">
        <f>IF(ABS(F1572-ROUND(F1572,0))&lt;0.001,1,0)</f>
        <v/>
      </c>
      <c r="H1572">
        <f>IF(G1572=1,F1572,CEILING(F1572,1))</f>
        <v/>
      </c>
      <c r="I1572">
        <f>IF(G1572=1,0,(H1572-F1572)*E1572)</f>
        <v/>
      </c>
      <c r="J1572">
        <f>E1572*F1572</f>
        <v/>
      </c>
    </row>
    <row r="1573">
      <c r="A1573">
        <f>Sources!A1573</f>
        <v/>
      </c>
      <c r="B1573">
        <f>Sources!B1573</f>
        <v/>
      </c>
      <c r="C1573">
        <f>Sources!D1573</f>
        <v/>
      </c>
      <c r="D1573">
        <f>Sources!E1573</f>
        <v/>
      </c>
      <c r="E1573">
        <f>Sources!F1573</f>
        <v/>
      </c>
      <c r="F1573">
        <f>Sources!H1573</f>
        <v/>
      </c>
      <c r="G1573">
        <f>IF(ABS(F1573-ROUND(F1573,0))&lt;0.001,1,0)</f>
        <v/>
      </c>
      <c r="H1573">
        <f>IF(G1573=1,F1573,CEILING(F1573,1))</f>
        <v/>
      </c>
      <c r="I1573">
        <f>IF(G1573=1,0,(H1573-F1573)*E1573)</f>
        <v/>
      </c>
      <c r="J1573">
        <f>E1573*F1573</f>
        <v/>
      </c>
    </row>
    <row r="1574">
      <c r="A1574">
        <f>Sources!A1574</f>
        <v/>
      </c>
      <c r="B1574">
        <f>Sources!B1574</f>
        <v/>
      </c>
      <c r="C1574">
        <f>Sources!D1574</f>
        <v/>
      </c>
      <c r="D1574">
        <f>Sources!E1574</f>
        <v/>
      </c>
      <c r="E1574">
        <f>Sources!F1574</f>
        <v/>
      </c>
      <c r="F1574">
        <f>Sources!H1574</f>
        <v/>
      </c>
      <c r="G1574">
        <f>IF(ABS(F1574-ROUND(F1574,0))&lt;0.001,1,0)</f>
        <v/>
      </c>
      <c r="H1574">
        <f>IF(G1574=1,F1574,CEILING(F1574,1))</f>
        <v/>
      </c>
      <c r="I1574">
        <f>IF(G1574=1,0,(H1574-F1574)*E1574)</f>
        <v/>
      </c>
      <c r="J1574">
        <f>E1574*F1574</f>
        <v/>
      </c>
    </row>
    <row r="1575">
      <c r="A1575">
        <f>Sources!A1575</f>
        <v/>
      </c>
      <c r="B1575">
        <f>Sources!B1575</f>
        <v/>
      </c>
      <c r="C1575">
        <f>Sources!D1575</f>
        <v/>
      </c>
      <c r="D1575">
        <f>Sources!E1575</f>
        <v/>
      </c>
      <c r="E1575">
        <f>Sources!F1575</f>
        <v/>
      </c>
      <c r="F1575">
        <f>Sources!H1575</f>
        <v/>
      </c>
      <c r="G1575">
        <f>IF(ABS(F1575-ROUND(F1575,0))&lt;0.001,1,0)</f>
        <v/>
      </c>
      <c r="H1575">
        <f>IF(G1575=1,F1575,CEILING(F1575,1))</f>
        <v/>
      </c>
      <c r="I1575">
        <f>IF(G1575=1,0,(H1575-F1575)*E1575)</f>
        <v/>
      </c>
      <c r="J1575">
        <f>E1575*F1575</f>
        <v/>
      </c>
    </row>
    <row r="1576">
      <c r="A1576">
        <f>Sources!A1576</f>
        <v/>
      </c>
      <c r="B1576">
        <f>Sources!B1576</f>
        <v/>
      </c>
      <c r="C1576">
        <f>Sources!D1576</f>
        <v/>
      </c>
      <c r="D1576">
        <f>Sources!E1576</f>
        <v/>
      </c>
      <c r="E1576">
        <f>Sources!F1576</f>
        <v/>
      </c>
      <c r="F1576">
        <f>Sources!H1576</f>
        <v/>
      </c>
      <c r="G1576">
        <f>IF(ABS(F1576-ROUND(F1576,0))&lt;0.001,1,0)</f>
        <v/>
      </c>
      <c r="H1576">
        <f>IF(G1576=1,F1576,CEILING(F1576,1))</f>
        <v/>
      </c>
      <c r="I1576">
        <f>IF(G1576=1,0,(H1576-F1576)*E1576)</f>
        <v/>
      </c>
      <c r="J1576">
        <f>E1576*F1576</f>
        <v/>
      </c>
    </row>
    <row r="1577">
      <c r="A1577">
        <f>Sources!A1577</f>
        <v/>
      </c>
      <c r="B1577">
        <f>Sources!B1577</f>
        <v/>
      </c>
      <c r="C1577">
        <f>Sources!D1577</f>
        <v/>
      </c>
      <c r="D1577">
        <f>Sources!E1577</f>
        <v/>
      </c>
      <c r="E1577">
        <f>Sources!F1577</f>
        <v/>
      </c>
      <c r="F1577">
        <f>Sources!H1577</f>
        <v/>
      </c>
      <c r="G1577">
        <f>IF(ABS(F1577-ROUND(F1577,0))&lt;0.001,1,0)</f>
        <v/>
      </c>
      <c r="H1577">
        <f>IF(G1577=1,F1577,CEILING(F1577,1))</f>
        <v/>
      </c>
      <c r="I1577">
        <f>IF(G1577=1,0,(H1577-F1577)*E1577)</f>
        <v/>
      </c>
      <c r="J1577">
        <f>E1577*F1577</f>
        <v/>
      </c>
    </row>
    <row r="1578">
      <c r="A1578">
        <f>Sources!A1578</f>
        <v/>
      </c>
      <c r="B1578">
        <f>Sources!B1578</f>
        <v/>
      </c>
      <c r="C1578">
        <f>Sources!D1578</f>
        <v/>
      </c>
      <c r="D1578">
        <f>Sources!E1578</f>
        <v/>
      </c>
      <c r="E1578">
        <f>Sources!F1578</f>
        <v/>
      </c>
      <c r="F1578">
        <f>Sources!H1578</f>
        <v/>
      </c>
      <c r="G1578">
        <f>IF(ABS(F1578-ROUND(F1578,0))&lt;0.001,1,0)</f>
        <v/>
      </c>
      <c r="H1578">
        <f>IF(G1578=1,F1578,CEILING(F1578,1))</f>
        <v/>
      </c>
      <c r="I1578">
        <f>IF(G1578=1,0,(H1578-F1578)*E1578)</f>
        <v/>
      </c>
      <c r="J1578">
        <f>E1578*F1578</f>
        <v/>
      </c>
    </row>
    <row r="1579">
      <c r="A1579">
        <f>Sources!A1579</f>
        <v/>
      </c>
      <c r="B1579">
        <f>Sources!B1579</f>
        <v/>
      </c>
      <c r="C1579">
        <f>Sources!D1579</f>
        <v/>
      </c>
      <c r="D1579">
        <f>Sources!E1579</f>
        <v/>
      </c>
      <c r="E1579">
        <f>Sources!F1579</f>
        <v/>
      </c>
      <c r="F1579">
        <f>Sources!H1579</f>
        <v/>
      </c>
      <c r="G1579">
        <f>IF(ABS(F1579-ROUND(F1579,0))&lt;0.001,1,0)</f>
        <v/>
      </c>
      <c r="H1579">
        <f>IF(G1579=1,F1579,CEILING(F1579,1))</f>
        <v/>
      </c>
      <c r="I1579">
        <f>IF(G1579=1,0,(H1579-F1579)*E1579)</f>
        <v/>
      </c>
      <c r="J1579">
        <f>E1579*F1579</f>
        <v/>
      </c>
    </row>
    <row r="1580">
      <c r="A1580">
        <f>Sources!A1580</f>
        <v/>
      </c>
      <c r="B1580">
        <f>Sources!B1580</f>
        <v/>
      </c>
      <c r="C1580">
        <f>Sources!D1580</f>
        <v/>
      </c>
      <c r="D1580">
        <f>Sources!E1580</f>
        <v/>
      </c>
      <c r="E1580">
        <f>Sources!F1580</f>
        <v/>
      </c>
      <c r="F1580">
        <f>Sources!H1580</f>
        <v/>
      </c>
      <c r="G1580">
        <f>IF(ABS(F1580-ROUND(F1580,0))&lt;0.001,1,0)</f>
        <v/>
      </c>
      <c r="H1580">
        <f>IF(G1580=1,F1580,CEILING(F1580,1))</f>
        <v/>
      </c>
      <c r="I1580">
        <f>IF(G1580=1,0,(H1580-F1580)*E1580)</f>
        <v/>
      </c>
      <c r="J1580">
        <f>E1580*F1580</f>
        <v/>
      </c>
    </row>
    <row r="1581">
      <c r="A1581">
        <f>Sources!A1581</f>
        <v/>
      </c>
      <c r="B1581">
        <f>Sources!B1581</f>
        <v/>
      </c>
      <c r="C1581">
        <f>Sources!D1581</f>
        <v/>
      </c>
      <c r="D1581">
        <f>Sources!E1581</f>
        <v/>
      </c>
      <c r="E1581">
        <f>Sources!F1581</f>
        <v/>
      </c>
      <c r="F1581">
        <f>Sources!H1581</f>
        <v/>
      </c>
      <c r="G1581">
        <f>IF(ABS(F1581-ROUND(F1581,0))&lt;0.001,1,0)</f>
        <v/>
      </c>
      <c r="H1581">
        <f>IF(G1581=1,F1581,CEILING(F1581,1))</f>
        <v/>
      </c>
      <c r="I1581">
        <f>IF(G1581=1,0,(H1581-F1581)*E1581)</f>
        <v/>
      </c>
      <c r="J1581">
        <f>E1581*F1581</f>
        <v/>
      </c>
    </row>
    <row r="1582">
      <c r="A1582">
        <f>Sources!A1582</f>
        <v/>
      </c>
      <c r="B1582">
        <f>Sources!B1582</f>
        <v/>
      </c>
      <c r="C1582">
        <f>Sources!D1582</f>
        <v/>
      </c>
      <c r="D1582">
        <f>Sources!E1582</f>
        <v/>
      </c>
      <c r="E1582">
        <f>Sources!F1582</f>
        <v/>
      </c>
      <c r="F1582">
        <f>Sources!H1582</f>
        <v/>
      </c>
      <c r="G1582">
        <f>IF(ABS(F1582-ROUND(F1582,0))&lt;0.001,1,0)</f>
        <v/>
      </c>
      <c r="H1582">
        <f>IF(G1582=1,F1582,CEILING(F1582,1))</f>
        <v/>
      </c>
      <c r="I1582">
        <f>IF(G1582=1,0,(H1582-F1582)*E1582)</f>
        <v/>
      </c>
      <c r="J1582">
        <f>E1582*F1582</f>
        <v/>
      </c>
    </row>
    <row r="1583">
      <c r="A1583">
        <f>Sources!A1583</f>
        <v/>
      </c>
      <c r="B1583">
        <f>Sources!B1583</f>
        <v/>
      </c>
      <c r="C1583">
        <f>Sources!D1583</f>
        <v/>
      </c>
      <c r="D1583">
        <f>Sources!E1583</f>
        <v/>
      </c>
      <c r="E1583">
        <f>Sources!F1583</f>
        <v/>
      </c>
      <c r="F1583">
        <f>Sources!H1583</f>
        <v/>
      </c>
      <c r="G1583">
        <f>IF(ABS(F1583-ROUND(F1583,0))&lt;0.001,1,0)</f>
        <v/>
      </c>
      <c r="H1583">
        <f>IF(G1583=1,F1583,CEILING(F1583,1))</f>
        <v/>
      </c>
      <c r="I1583">
        <f>IF(G1583=1,0,(H1583-F1583)*E1583)</f>
        <v/>
      </c>
      <c r="J1583">
        <f>E1583*F1583</f>
        <v/>
      </c>
    </row>
    <row r="1584">
      <c r="A1584">
        <f>Sources!A1584</f>
        <v/>
      </c>
      <c r="B1584">
        <f>Sources!B1584</f>
        <v/>
      </c>
      <c r="C1584">
        <f>Sources!D1584</f>
        <v/>
      </c>
      <c r="D1584">
        <f>Sources!E1584</f>
        <v/>
      </c>
      <c r="E1584">
        <f>Sources!F1584</f>
        <v/>
      </c>
      <c r="F1584">
        <f>Sources!H1584</f>
        <v/>
      </c>
      <c r="G1584">
        <f>IF(ABS(F1584-ROUND(F1584,0))&lt;0.001,1,0)</f>
        <v/>
      </c>
      <c r="H1584">
        <f>IF(G1584=1,F1584,CEILING(F1584,1))</f>
        <v/>
      </c>
      <c r="I1584">
        <f>IF(G1584=1,0,(H1584-F1584)*E1584)</f>
        <v/>
      </c>
      <c r="J1584">
        <f>E1584*F1584</f>
        <v/>
      </c>
    </row>
    <row r="1585">
      <c r="A1585">
        <f>Sources!A1585</f>
        <v/>
      </c>
      <c r="B1585">
        <f>Sources!B1585</f>
        <v/>
      </c>
      <c r="C1585">
        <f>Sources!D1585</f>
        <v/>
      </c>
      <c r="D1585">
        <f>Sources!E1585</f>
        <v/>
      </c>
      <c r="E1585">
        <f>Sources!F1585</f>
        <v/>
      </c>
      <c r="F1585">
        <f>Sources!H1585</f>
        <v/>
      </c>
      <c r="G1585">
        <f>IF(ABS(F1585-ROUND(F1585,0))&lt;0.001,1,0)</f>
        <v/>
      </c>
      <c r="H1585">
        <f>IF(G1585=1,F1585,CEILING(F1585,1))</f>
        <v/>
      </c>
      <c r="I1585">
        <f>IF(G1585=1,0,(H1585-F1585)*E1585)</f>
        <v/>
      </c>
      <c r="J1585">
        <f>E1585*F1585</f>
        <v/>
      </c>
    </row>
    <row r="1586">
      <c r="A1586">
        <f>Sources!A1586</f>
        <v/>
      </c>
      <c r="B1586">
        <f>Sources!B1586</f>
        <v/>
      </c>
      <c r="C1586">
        <f>Sources!D1586</f>
        <v/>
      </c>
      <c r="D1586">
        <f>Sources!E1586</f>
        <v/>
      </c>
      <c r="E1586">
        <f>Sources!F1586</f>
        <v/>
      </c>
      <c r="F1586">
        <f>Sources!H1586</f>
        <v/>
      </c>
      <c r="G1586">
        <f>IF(ABS(F1586-ROUND(F1586,0))&lt;0.001,1,0)</f>
        <v/>
      </c>
      <c r="H1586">
        <f>IF(G1586=1,F1586,CEILING(F1586,1))</f>
        <v/>
      </c>
      <c r="I1586">
        <f>IF(G1586=1,0,(H1586-F1586)*E1586)</f>
        <v/>
      </c>
      <c r="J1586">
        <f>E1586*F1586</f>
        <v/>
      </c>
    </row>
    <row r="1587">
      <c r="A1587">
        <f>Sources!A1587</f>
        <v/>
      </c>
      <c r="B1587">
        <f>Sources!B1587</f>
        <v/>
      </c>
      <c r="C1587">
        <f>Sources!D1587</f>
        <v/>
      </c>
      <c r="D1587">
        <f>Sources!E1587</f>
        <v/>
      </c>
      <c r="E1587">
        <f>Sources!F1587</f>
        <v/>
      </c>
      <c r="F1587">
        <f>Sources!H1587</f>
        <v/>
      </c>
      <c r="G1587">
        <f>IF(ABS(F1587-ROUND(F1587,0))&lt;0.001,1,0)</f>
        <v/>
      </c>
      <c r="H1587">
        <f>IF(G1587=1,F1587,CEILING(F1587,1))</f>
        <v/>
      </c>
      <c r="I1587">
        <f>IF(G1587=1,0,(H1587-F1587)*E1587)</f>
        <v/>
      </c>
      <c r="J1587">
        <f>E1587*F1587</f>
        <v/>
      </c>
    </row>
    <row r="1588">
      <c r="A1588">
        <f>Sources!A1588</f>
        <v/>
      </c>
      <c r="B1588">
        <f>Sources!B1588</f>
        <v/>
      </c>
      <c r="C1588">
        <f>Sources!D1588</f>
        <v/>
      </c>
      <c r="D1588">
        <f>Sources!E1588</f>
        <v/>
      </c>
      <c r="E1588">
        <f>Sources!F1588</f>
        <v/>
      </c>
      <c r="F1588">
        <f>Sources!H1588</f>
        <v/>
      </c>
      <c r="G1588">
        <f>IF(ABS(F1588-ROUND(F1588,0))&lt;0.001,1,0)</f>
        <v/>
      </c>
      <c r="H1588">
        <f>IF(G1588=1,F1588,CEILING(F1588,1))</f>
        <v/>
      </c>
      <c r="I1588">
        <f>IF(G1588=1,0,(H1588-F1588)*E1588)</f>
        <v/>
      </c>
      <c r="J1588">
        <f>E1588*F1588</f>
        <v/>
      </c>
    </row>
    <row r="1589">
      <c r="A1589">
        <f>Sources!A1589</f>
        <v/>
      </c>
      <c r="B1589">
        <f>Sources!B1589</f>
        <v/>
      </c>
      <c r="C1589">
        <f>Sources!D1589</f>
        <v/>
      </c>
      <c r="D1589">
        <f>Sources!E1589</f>
        <v/>
      </c>
      <c r="E1589">
        <f>Sources!F1589</f>
        <v/>
      </c>
      <c r="F1589">
        <f>Sources!H1589</f>
        <v/>
      </c>
      <c r="G1589">
        <f>IF(ABS(F1589-ROUND(F1589,0))&lt;0.001,1,0)</f>
        <v/>
      </c>
      <c r="H1589">
        <f>IF(G1589=1,F1589,CEILING(F1589,1))</f>
        <v/>
      </c>
      <c r="I1589">
        <f>IF(G1589=1,0,(H1589-F1589)*E1589)</f>
        <v/>
      </c>
      <c r="J1589">
        <f>E1589*F1589</f>
        <v/>
      </c>
    </row>
    <row r="1590">
      <c r="A1590">
        <f>Sources!A1590</f>
        <v/>
      </c>
      <c r="B1590">
        <f>Sources!B1590</f>
        <v/>
      </c>
      <c r="C1590">
        <f>Sources!D1590</f>
        <v/>
      </c>
      <c r="D1590">
        <f>Sources!E1590</f>
        <v/>
      </c>
      <c r="E1590">
        <f>Sources!F1590</f>
        <v/>
      </c>
      <c r="F1590">
        <f>Sources!H1590</f>
        <v/>
      </c>
      <c r="G1590">
        <f>IF(ABS(F1590-ROUND(F1590,0))&lt;0.001,1,0)</f>
        <v/>
      </c>
      <c r="H1590">
        <f>IF(G1590=1,F1590,CEILING(F1590,1))</f>
        <v/>
      </c>
      <c r="I1590">
        <f>IF(G1590=1,0,(H1590-F1590)*E1590)</f>
        <v/>
      </c>
      <c r="J1590">
        <f>E1590*F1590</f>
        <v/>
      </c>
    </row>
    <row r="1591">
      <c r="A1591">
        <f>Sources!A1591</f>
        <v/>
      </c>
      <c r="B1591">
        <f>Sources!B1591</f>
        <v/>
      </c>
      <c r="C1591">
        <f>Sources!D1591</f>
        <v/>
      </c>
      <c r="D1591">
        <f>Sources!E1591</f>
        <v/>
      </c>
      <c r="E1591">
        <f>Sources!F1591</f>
        <v/>
      </c>
      <c r="F1591">
        <f>Sources!H1591</f>
        <v/>
      </c>
      <c r="G1591">
        <f>IF(ABS(F1591-ROUND(F1591,0))&lt;0.001,1,0)</f>
        <v/>
      </c>
      <c r="H1591">
        <f>IF(G1591=1,F1591,CEILING(F1591,1))</f>
        <v/>
      </c>
      <c r="I1591">
        <f>IF(G1591=1,0,(H1591-F1591)*E1591)</f>
        <v/>
      </c>
      <c r="J1591">
        <f>E1591*F1591</f>
        <v/>
      </c>
    </row>
    <row r="1592">
      <c r="A1592">
        <f>Sources!A1592</f>
        <v/>
      </c>
      <c r="B1592">
        <f>Sources!B1592</f>
        <v/>
      </c>
      <c r="C1592">
        <f>Sources!D1592</f>
        <v/>
      </c>
      <c r="D1592">
        <f>Sources!E1592</f>
        <v/>
      </c>
      <c r="E1592">
        <f>Sources!F1592</f>
        <v/>
      </c>
      <c r="F1592">
        <f>Sources!H1592</f>
        <v/>
      </c>
      <c r="G1592">
        <f>IF(ABS(F1592-ROUND(F1592,0))&lt;0.001,1,0)</f>
        <v/>
      </c>
      <c r="H1592">
        <f>IF(G1592=1,F1592,CEILING(F1592,1))</f>
        <v/>
      </c>
      <c r="I1592">
        <f>IF(G1592=1,0,(H1592-F1592)*E1592)</f>
        <v/>
      </c>
      <c r="J1592">
        <f>E1592*F1592</f>
        <v/>
      </c>
    </row>
    <row r="1593">
      <c r="A1593">
        <f>Sources!A1593</f>
        <v/>
      </c>
      <c r="B1593">
        <f>Sources!B1593</f>
        <v/>
      </c>
      <c r="C1593">
        <f>Sources!D1593</f>
        <v/>
      </c>
      <c r="D1593">
        <f>Sources!E1593</f>
        <v/>
      </c>
      <c r="E1593">
        <f>Sources!F1593</f>
        <v/>
      </c>
      <c r="F1593">
        <f>Sources!H1593</f>
        <v/>
      </c>
      <c r="G1593">
        <f>IF(ABS(F1593-ROUND(F1593,0))&lt;0.001,1,0)</f>
        <v/>
      </c>
      <c r="H1593">
        <f>IF(G1593=1,F1593,CEILING(F1593,1))</f>
        <v/>
      </c>
      <c r="I1593">
        <f>IF(G1593=1,0,(H1593-F1593)*E1593)</f>
        <v/>
      </c>
      <c r="J1593">
        <f>E1593*F1593</f>
        <v/>
      </c>
    </row>
    <row r="1594">
      <c r="A1594">
        <f>Sources!A1594</f>
        <v/>
      </c>
      <c r="B1594">
        <f>Sources!B1594</f>
        <v/>
      </c>
      <c r="C1594">
        <f>Sources!D1594</f>
        <v/>
      </c>
      <c r="D1594">
        <f>Sources!E1594</f>
        <v/>
      </c>
      <c r="E1594">
        <f>Sources!F1594</f>
        <v/>
      </c>
      <c r="F1594">
        <f>Sources!H1594</f>
        <v/>
      </c>
      <c r="G1594">
        <f>IF(ABS(F1594-ROUND(F1594,0))&lt;0.001,1,0)</f>
        <v/>
      </c>
      <c r="H1594">
        <f>IF(G1594=1,F1594,CEILING(F1594,1))</f>
        <v/>
      </c>
      <c r="I1594">
        <f>IF(G1594=1,0,(H1594-F1594)*E1594)</f>
        <v/>
      </c>
      <c r="J1594">
        <f>E1594*F1594</f>
        <v/>
      </c>
    </row>
    <row r="1595">
      <c r="A1595">
        <f>Sources!A1595</f>
        <v/>
      </c>
      <c r="B1595">
        <f>Sources!B1595</f>
        <v/>
      </c>
      <c r="C1595">
        <f>Sources!D1595</f>
        <v/>
      </c>
      <c r="D1595">
        <f>Sources!E1595</f>
        <v/>
      </c>
      <c r="E1595">
        <f>Sources!F1595</f>
        <v/>
      </c>
      <c r="F1595">
        <f>Sources!H1595</f>
        <v/>
      </c>
      <c r="G1595">
        <f>IF(ABS(F1595-ROUND(F1595,0))&lt;0.001,1,0)</f>
        <v/>
      </c>
      <c r="H1595">
        <f>IF(G1595=1,F1595,CEILING(F1595,1))</f>
        <v/>
      </c>
      <c r="I1595">
        <f>IF(G1595=1,0,(H1595-F1595)*E1595)</f>
        <v/>
      </c>
      <c r="J1595">
        <f>E1595*F1595</f>
        <v/>
      </c>
    </row>
    <row r="1596">
      <c r="A1596">
        <f>Sources!A1596</f>
        <v/>
      </c>
      <c r="B1596">
        <f>Sources!B1596</f>
        <v/>
      </c>
      <c r="C1596">
        <f>Sources!D1596</f>
        <v/>
      </c>
      <c r="D1596">
        <f>Sources!E1596</f>
        <v/>
      </c>
      <c r="E1596">
        <f>Sources!F1596</f>
        <v/>
      </c>
      <c r="F1596">
        <f>Sources!H1596</f>
        <v/>
      </c>
      <c r="G1596">
        <f>IF(ABS(F1596-ROUND(F1596,0))&lt;0.001,1,0)</f>
        <v/>
      </c>
      <c r="H1596">
        <f>IF(G1596=1,F1596,CEILING(F1596,1))</f>
        <v/>
      </c>
      <c r="I1596">
        <f>IF(G1596=1,0,(H1596-F1596)*E1596)</f>
        <v/>
      </c>
      <c r="J1596">
        <f>E1596*F1596</f>
        <v/>
      </c>
    </row>
    <row r="1597">
      <c r="A1597">
        <f>Sources!A1597</f>
        <v/>
      </c>
      <c r="B1597">
        <f>Sources!B1597</f>
        <v/>
      </c>
      <c r="C1597">
        <f>Sources!D1597</f>
        <v/>
      </c>
      <c r="D1597">
        <f>Sources!E1597</f>
        <v/>
      </c>
      <c r="E1597">
        <f>Sources!F1597</f>
        <v/>
      </c>
      <c r="F1597">
        <f>Sources!H1597</f>
        <v/>
      </c>
      <c r="G1597">
        <f>IF(ABS(F1597-ROUND(F1597,0))&lt;0.001,1,0)</f>
        <v/>
      </c>
      <c r="H1597">
        <f>IF(G1597=1,F1597,CEILING(F1597,1))</f>
        <v/>
      </c>
      <c r="I1597">
        <f>IF(G1597=1,0,(H1597-F1597)*E1597)</f>
        <v/>
      </c>
      <c r="J1597">
        <f>E1597*F1597</f>
        <v/>
      </c>
    </row>
    <row r="1598">
      <c r="A1598">
        <f>Sources!A1598</f>
        <v/>
      </c>
      <c r="B1598">
        <f>Sources!B1598</f>
        <v/>
      </c>
      <c r="C1598">
        <f>Sources!D1598</f>
        <v/>
      </c>
      <c r="D1598">
        <f>Sources!E1598</f>
        <v/>
      </c>
      <c r="E1598">
        <f>Sources!F1598</f>
        <v/>
      </c>
      <c r="F1598">
        <f>Sources!H1598</f>
        <v/>
      </c>
      <c r="G1598">
        <f>IF(ABS(F1598-ROUND(F1598,0))&lt;0.001,1,0)</f>
        <v/>
      </c>
      <c r="H1598">
        <f>IF(G1598=1,F1598,CEILING(F1598,1))</f>
        <v/>
      </c>
      <c r="I1598">
        <f>IF(G1598=1,0,(H1598-F1598)*E1598)</f>
        <v/>
      </c>
      <c r="J1598">
        <f>E1598*F1598</f>
        <v/>
      </c>
    </row>
    <row r="1599">
      <c r="A1599">
        <f>Sources!A1599</f>
        <v/>
      </c>
      <c r="B1599">
        <f>Sources!B1599</f>
        <v/>
      </c>
      <c r="C1599">
        <f>Sources!D1599</f>
        <v/>
      </c>
      <c r="D1599">
        <f>Sources!E1599</f>
        <v/>
      </c>
      <c r="E1599">
        <f>Sources!F1599</f>
        <v/>
      </c>
      <c r="F1599">
        <f>Sources!H1599</f>
        <v/>
      </c>
      <c r="G1599">
        <f>IF(ABS(F1599-ROUND(F1599,0))&lt;0.001,1,0)</f>
        <v/>
      </c>
      <c r="H1599">
        <f>IF(G1599=1,F1599,CEILING(F1599,1))</f>
        <v/>
      </c>
      <c r="I1599">
        <f>IF(G1599=1,0,(H1599-F1599)*E1599)</f>
        <v/>
      </c>
      <c r="J1599">
        <f>E1599*F1599</f>
        <v/>
      </c>
    </row>
    <row r="1600">
      <c r="A1600">
        <f>Sources!A1600</f>
        <v/>
      </c>
      <c r="B1600">
        <f>Sources!B1600</f>
        <v/>
      </c>
      <c r="C1600">
        <f>Sources!D1600</f>
        <v/>
      </c>
      <c r="D1600">
        <f>Sources!E1600</f>
        <v/>
      </c>
      <c r="E1600">
        <f>Sources!F1600</f>
        <v/>
      </c>
      <c r="F1600">
        <f>Sources!H1600</f>
        <v/>
      </c>
      <c r="G1600">
        <f>IF(ABS(F1600-ROUND(F1600,0))&lt;0.001,1,0)</f>
        <v/>
      </c>
      <c r="H1600">
        <f>IF(G1600=1,F1600,CEILING(F1600,1))</f>
        <v/>
      </c>
      <c r="I1600">
        <f>IF(G1600=1,0,(H1600-F1600)*E1600)</f>
        <v/>
      </c>
      <c r="J1600">
        <f>E1600*F1600</f>
        <v/>
      </c>
    </row>
    <row r="1601">
      <c r="A1601">
        <f>Sources!A1601</f>
        <v/>
      </c>
      <c r="B1601">
        <f>Sources!B1601</f>
        <v/>
      </c>
      <c r="C1601">
        <f>Sources!D1601</f>
        <v/>
      </c>
      <c r="D1601">
        <f>Sources!E1601</f>
        <v/>
      </c>
      <c r="E1601">
        <f>Sources!F1601</f>
        <v/>
      </c>
      <c r="F1601">
        <f>Sources!H1601</f>
        <v/>
      </c>
      <c r="G1601">
        <f>IF(ABS(F1601-ROUND(F1601,0))&lt;0.001,1,0)</f>
        <v/>
      </c>
      <c r="H1601">
        <f>IF(G1601=1,F1601,CEILING(F1601,1))</f>
        <v/>
      </c>
      <c r="I1601">
        <f>IF(G1601=1,0,(H1601-F1601)*E1601)</f>
        <v/>
      </c>
      <c r="J1601">
        <f>E1601*F1601</f>
        <v/>
      </c>
    </row>
    <row r="1602">
      <c r="A1602">
        <f>Sources!A1602</f>
        <v/>
      </c>
      <c r="B1602">
        <f>Sources!B1602</f>
        <v/>
      </c>
      <c r="C1602">
        <f>Sources!D1602</f>
        <v/>
      </c>
      <c r="D1602">
        <f>Sources!E1602</f>
        <v/>
      </c>
      <c r="E1602">
        <f>Sources!F1602</f>
        <v/>
      </c>
      <c r="F1602">
        <f>Sources!H1602</f>
        <v/>
      </c>
      <c r="G1602">
        <f>IF(ABS(F1602-ROUND(F1602,0))&lt;0.001,1,0)</f>
        <v/>
      </c>
      <c r="H1602">
        <f>IF(G1602=1,F1602,CEILING(F1602,1))</f>
        <v/>
      </c>
      <c r="I1602">
        <f>IF(G1602=1,0,(H1602-F1602)*E1602)</f>
        <v/>
      </c>
      <c r="J1602">
        <f>E1602*F1602</f>
        <v/>
      </c>
    </row>
    <row r="1603">
      <c r="A1603">
        <f>Sources!A1603</f>
        <v/>
      </c>
      <c r="B1603">
        <f>Sources!B1603</f>
        <v/>
      </c>
      <c r="C1603">
        <f>Sources!D1603</f>
        <v/>
      </c>
      <c r="D1603">
        <f>Sources!E1603</f>
        <v/>
      </c>
      <c r="E1603">
        <f>Sources!F1603</f>
        <v/>
      </c>
      <c r="F1603">
        <f>Sources!H1603</f>
        <v/>
      </c>
      <c r="G1603">
        <f>IF(ABS(F1603-ROUND(F1603,0))&lt;0.001,1,0)</f>
        <v/>
      </c>
      <c r="H1603">
        <f>IF(G1603=1,F1603,CEILING(F1603,1))</f>
        <v/>
      </c>
      <c r="I1603">
        <f>IF(G1603=1,0,(H1603-F1603)*E1603)</f>
        <v/>
      </c>
      <c r="J1603">
        <f>E1603*F1603</f>
        <v/>
      </c>
    </row>
    <row r="1604">
      <c r="A1604">
        <f>Sources!A1604</f>
        <v/>
      </c>
      <c r="B1604">
        <f>Sources!B1604</f>
        <v/>
      </c>
      <c r="C1604">
        <f>Sources!D1604</f>
        <v/>
      </c>
      <c r="D1604">
        <f>Sources!E1604</f>
        <v/>
      </c>
      <c r="E1604">
        <f>Sources!F1604</f>
        <v/>
      </c>
      <c r="F1604">
        <f>Sources!H1604</f>
        <v/>
      </c>
      <c r="G1604">
        <f>IF(ABS(F1604-ROUND(F1604,0))&lt;0.001,1,0)</f>
        <v/>
      </c>
      <c r="H1604">
        <f>IF(G1604=1,F1604,CEILING(F1604,1))</f>
        <v/>
      </c>
      <c r="I1604">
        <f>IF(G1604=1,0,(H1604-F1604)*E1604)</f>
        <v/>
      </c>
      <c r="J1604">
        <f>E1604*F1604</f>
        <v/>
      </c>
    </row>
    <row r="1605">
      <c r="A1605">
        <f>Sources!A1605</f>
        <v/>
      </c>
      <c r="B1605">
        <f>Sources!B1605</f>
        <v/>
      </c>
      <c r="C1605">
        <f>Sources!D1605</f>
        <v/>
      </c>
      <c r="D1605">
        <f>Sources!E1605</f>
        <v/>
      </c>
      <c r="E1605">
        <f>Sources!F1605</f>
        <v/>
      </c>
      <c r="F1605">
        <f>Sources!H1605</f>
        <v/>
      </c>
      <c r="G1605">
        <f>IF(ABS(F1605-ROUND(F1605,0))&lt;0.001,1,0)</f>
        <v/>
      </c>
      <c r="H1605">
        <f>IF(G1605=1,F1605,CEILING(F1605,1))</f>
        <v/>
      </c>
      <c r="I1605">
        <f>IF(G1605=1,0,(H1605-F1605)*E1605)</f>
        <v/>
      </c>
      <c r="J1605">
        <f>E1605*F1605</f>
        <v/>
      </c>
    </row>
    <row r="1606">
      <c r="A1606">
        <f>Sources!A1606</f>
        <v/>
      </c>
      <c r="B1606">
        <f>Sources!B1606</f>
        <v/>
      </c>
      <c r="C1606">
        <f>Sources!D1606</f>
        <v/>
      </c>
      <c r="D1606">
        <f>Sources!E1606</f>
        <v/>
      </c>
      <c r="E1606">
        <f>Sources!F1606</f>
        <v/>
      </c>
      <c r="F1606">
        <f>Sources!H1606</f>
        <v/>
      </c>
      <c r="G1606">
        <f>IF(ABS(F1606-ROUND(F1606,0))&lt;0.001,1,0)</f>
        <v/>
      </c>
      <c r="H1606">
        <f>IF(G1606=1,F1606,CEILING(F1606,1))</f>
        <v/>
      </c>
      <c r="I1606">
        <f>IF(G1606=1,0,(H1606-F1606)*E1606)</f>
        <v/>
      </c>
      <c r="J1606">
        <f>E1606*F1606</f>
        <v/>
      </c>
    </row>
    <row r="1607">
      <c r="A1607">
        <f>Sources!A1607</f>
        <v/>
      </c>
      <c r="B1607">
        <f>Sources!B1607</f>
        <v/>
      </c>
      <c r="C1607">
        <f>Sources!D1607</f>
        <v/>
      </c>
      <c r="D1607">
        <f>Sources!E1607</f>
        <v/>
      </c>
      <c r="E1607">
        <f>Sources!F1607</f>
        <v/>
      </c>
      <c r="F1607">
        <f>Sources!H1607</f>
        <v/>
      </c>
      <c r="G1607">
        <f>IF(ABS(F1607-ROUND(F1607,0))&lt;0.001,1,0)</f>
        <v/>
      </c>
      <c r="H1607">
        <f>IF(G1607=1,F1607,CEILING(F1607,1))</f>
        <v/>
      </c>
      <c r="I1607">
        <f>IF(G1607=1,0,(H1607-F1607)*E1607)</f>
        <v/>
      </c>
      <c r="J1607">
        <f>E1607*F1607</f>
        <v/>
      </c>
    </row>
    <row r="1608">
      <c r="A1608">
        <f>Sources!A1608</f>
        <v/>
      </c>
      <c r="B1608">
        <f>Sources!B1608</f>
        <v/>
      </c>
      <c r="C1608">
        <f>Sources!D1608</f>
        <v/>
      </c>
      <c r="D1608">
        <f>Sources!E1608</f>
        <v/>
      </c>
      <c r="E1608">
        <f>Sources!F1608</f>
        <v/>
      </c>
      <c r="F1608">
        <f>Sources!H1608</f>
        <v/>
      </c>
      <c r="G1608">
        <f>IF(ABS(F1608-ROUND(F1608,0))&lt;0.001,1,0)</f>
        <v/>
      </c>
      <c r="H1608">
        <f>IF(G1608=1,F1608,CEILING(F1608,1))</f>
        <v/>
      </c>
      <c r="I1608">
        <f>IF(G1608=1,0,(H1608-F1608)*E1608)</f>
        <v/>
      </c>
      <c r="J1608">
        <f>E1608*F1608</f>
        <v/>
      </c>
    </row>
    <row r="1609">
      <c r="A1609">
        <f>Sources!A1609</f>
        <v/>
      </c>
      <c r="B1609">
        <f>Sources!B1609</f>
        <v/>
      </c>
      <c r="C1609">
        <f>Sources!D1609</f>
        <v/>
      </c>
      <c r="D1609">
        <f>Sources!E1609</f>
        <v/>
      </c>
      <c r="E1609">
        <f>Sources!F1609</f>
        <v/>
      </c>
      <c r="F1609">
        <f>Sources!H1609</f>
        <v/>
      </c>
      <c r="G1609">
        <f>IF(ABS(F1609-ROUND(F1609,0))&lt;0.001,1,0)</f>
        <v/>
      </c>
      <c r="H1609">
        <f>IF(G1609=1,F1609,CEILING(F1609,1))</f>
        <v/>
      </c>
      <c r="I1609">
        <f>IF(G1609=1,0,(H1609-F1609)*E1609)</f>
        <v/>
      </c>
      <c r="J1609">
        <f>E1609*F1609</f>
        <v/>
      </c>
    </row>
    <row r="1610">
      <c r="A1610">
        <f>Sources!A1610</f>
        <v/>
      </c>
      <c r="B1610">
        <f>Sources!B1610</f>
        <v/>
      </c>
      <c r="C1610">
        <f>Sources!D1610</f>
        <v/>
      </c>
      <c r="D1610">
        <f>Sources!E1610</f>
        <v/>
      </c>
      <c r="E1610">
        <f>Sources!F1610</f>
        <v/>
      </c>
      <c r="F1610">
        <f>Sources!H1610</f>
        <v/>
      </c>
      <c r="G1610">
        <f>IF(ABS(F1610-ROUND(F1610,0))&lt;0.001,1,0)</f>
        <v/>
      </c>
      <c r="H1610">
        <f>IF(G1610=1,F1610,CEILING(F1610,1))</f>
        <v/>
      </c>
      <c r="I1610">
        <f>IF(G1610=1,0,(H1610-F1610)*E1610)</f>
        <v/>
      </c>
      <c r="J1610">
        <f>E1610*F1610</f>
        <v/>
      </c>
    </row>
    <row r="1611">
      <c r="A1611">
        <f>Sources!A1611</f>
        <v/>
      </c>
      <c r="B1611">
        <f>Sources!B1611</f>
        <v/>
      </c>
      <c r="C1611">
        <f>Sources!D1611</f>
        <v/>
      </c>
      <c r="D1611">
        <f>Sources!E1611</f>
        <v/>
      </c>
      <c r="E1611">
        <f>Sources!F1611</f>
        <v/>
      </c>
      <c r="F1611">
        <f>Sources!H1611</f>
        <v/>
      </c>
      <c r="G1611">
        <f>IF(ABS(F1611-ROUND(F1611,0))&lt;0.001,1,0)</f>
        <v/>
      </c>
      <c r="H1611">
        <f>IF(G1611=1,F1611,CEILING(F1611,1))</f>
        <v/>
      </c>
      <c r="I1611">
        <f>IF(G1611=1,0,(H1611-F1611)*E1611)</f>
        <v/>
      </c>
      <c r="J1611">
        <f>E1611*F1611</f>
        <v/>
      </c>
    </row>
    <row r="1612">
      <c r="A1612">
        <f>Sources!A1612</f>
        <v/>
      </c>
      <c r="B1612">
        <f>Sources!B1612</f>
        <v/>
      </c>
      <c r="C1612">
        <f>Sources!D1612</f>
        <v/>
      </c>
      <c r="D1612">
        <f>Sources!E1612</f>
        <v/>
      </c>
      <c r="E1612">
        <f>Sources!F1612</f>
        <v/>
      </c>
      <c r="F1612">
        <f>Sources!H1612</f>
        <v/>
      </c>
      <c r="G1612">
        <f>IF(ABS(F1612-ROUND(F1612,0))&lt;0.001,1,0)</f>
        <v/>
      </c>
      <c r="H1612">
        <f>IF(G1612=1,F1612,CEILING(F1612,1))</f>
        <v/>
      </c>
      <c r="I1612">
        <f>IF(G1612=1,0,(H1612-F1612)*E1612)</f>
        <v/>
      </c>
      <c r="J1612">
        <f>E1612*F1612</f>
        <v/>
      </c>
    </row>
    <row r="1613">
      <c r="A1613">
        <f>Sources!A1613</f>
        <v/>
      </c>
      <c r="B1613">
        <f>Sources!B1613</f>
        <v/>
      </c>
      <c r="C1613">
        <f>Sources!D1613</f>
        <v/>
      </c>
      <c r="D1613">
        <f>Sources!E1613</f>
        <v/>
      </c>
      <c r="E1613">
        <f>Sources!F1613</f>
        <v/>
      </c>
      <c r="F1613">
        <f>Sources!H1613</f>
        <v/>
      </c>
      <c r="G1613">
        <f>IF(ABS(F1613-ROUND(F1613,0))&lt;0.001,1,0)</f>
        <v/>
      </c>
      <c r="H1613">
        <f>IF(G1613=1,F1613,CEILING(F1613,1))</f>
        <v/>
      </c>
      <c r="I1613">
        <f>IF(G1613=1,0,(H1613-F1613)*E1613)</f>
        <v/>
      </c>
      <c r="J1613">
        <f>E1613*F1613</f>
        <v/>
      </c>
    </row>
    <row r="1614">
      <c r="A1614">
        <f>Sources!A1614</f>
        <v/>
      </c>
      <c r="B1614">
        <f>Sources!B1614</f>
        <v/>
      </c>
      <c r="C1614">
        <f>Sources!D1614</f>
        <v/>
      </c>
      <c r="D1614">
        <f>Sources!E1614</f>
        <v/>
      </c>
      <c r="E1614">
        <f>Sources!F1614</f>
        <v/>
      </c>
      <c r="F1614">
        <f>Sources!H1614</f>
        <v/>
      </c>
      <c r="G1614">
        <f>IF(ABS(F1614-ROUND(F1614,0))&lt;0.001,1,0)</f>
        <v/>
      </c>
      <c r="H1614">
        <f>IF(G1614=1,F1614,CEILING(F1614,1))</f>
        <v/>
      </c>
      <c r="I1614">
        <f>IF(G1614=1,0,(H1614-F1614)*E1614)</f>
        <v/>
      </c>
      <c r="J1614">
        <f>E1614*F1614</f>
        <v/>
      </c>
    </row>
    <row r="1615">
      <c r="A1615">
        <f>Sources!A1615</f>
        <v/>
      </c>
      <c r="B1615">
        <f>Sources!B1615</f>
        <v/>
      </c>
      <c r="C1615">
        <f>Sources!D1615</f>
        <v/>
      </c>
      <c r="D1615">
        <f>Sources!E1615</f>
        <v/>
      </c>
      <c r="E1615">
        <f>Sources!F1615</f>
        <v/>
      </c>
      <c r="F1615">
        <f>Sources!H1615</f>
        <v/>
      </c>
      <c r="G1615">
        <f>IF(ABS(F1615-ROUND(F1615,0))&lt;0.001,1,0)</f>
        <v/>
      </c>
      <c r="H1615">
        <f>IF(G1615=1,F1615,CEILING(F1615,1))</f>
        <v/>
      </c>
      <c r="I1615">
        <f>IF(G1615=1,0,(H1615-F1615)*E1615)</f>
        <v/>
      </c>
      <c r="J1615">
        <f>E1615*F1615</f>
        <v/>
      </c>
    </row>
    <row r="1616">
      <c r="A1616">
        <f>Sources!A1616</f>
        <v/>
      </c>
      <c r="B1616">
        <f>Sources!B1616</f>
        <v/>
      </c>
      <c r="C1616">
        <f>Sources!D1616</f>
        <v/>
      </c>
      <c r="D1616">
        <f>Sources!E1616</f>
        <v/>
      </c>
      <c r="E1616">
        <f>Sources!F1616</f>
        <v/>
      </c>
      <c r="F1616">
        <f>Sources!H1616</f>
        <v/>
      </c>
      <c r="G1616">
        <f>IF(ABS(F1616-ROUND(F1616,0))&lt;0.001,1,0)</f>
        <v/>
      </c>
      <c r="H1616">
        <f>IF(G1616=1,F1616,CEILING(F1616,1))</f>
        <v/>
      </c>
      <c r="I1616">
        <f>IF(G1616=1,0,(H1616-F1616)*E1616)</f>
        <v/>
      </c>
      <c r="J1616">
        <f>E1616*F1616</f>
        <v/>
      </c>
    </row>
    <row r="1617">
      <c r="A1617">
        <f>Sources!A1617</f>
        <v/>
      </c>
      <c r="B1617">
        <f>Sources!B1617</f>
        <v/>
      </c>
      <c r="C1617">
        <f>Sources!D1617</f>
        <v/>
      </c>
      <c r="D1617">
        <f>Sources!E1617</f>
        <v/>
      </c>
      <c r="E1617">
        <f>Sources!F1617</f>
        <v/>
      </c>
      <c r="F1617">
        <f>Sources!H1617</f>
        <v/>
      </c>
      <c r="G1617">
        <f>IF(ABS(F1617-ROUND(F1617,0))&lt;0.001,1,0)</f>
        <v/>
      </c>
      <c r="H1617">
        <f>IF(G1617=1,F1617,CEILING(F1617,1))</f>
        <v/>
      </c>
      <c r="I1617">
        <f>IF(G1617=1,0,(H1617-F1617)*E1617)</f>
        <v/>
      </c>
      <c r="J1617">
        <f>E1617*F1617</f>
        <v/>
      </c>
    </row>
    <row r="1618">
      <c r="A1618">
        <f>Sources!A1618</f>
        <v/>
      </c>
      <c r="B1618">
        <f>Sources!B1618</f>
        <v/>
      </c>
      <c r="C1618">
        <f>Sources!D1618</f>
        <v/>
      </c>
      <c r="D1618">
        <f>Sources!E1618</f>
        <v/>
      </c>
      <c r="E1618">
        <f>Sources!F1618</f>
        <v/>
      </c>
      <c r="F1618">
        <f>Sources!H1618</f>
        <v/>
      </c>
      <c r="G1618">
        <f>IF(ABS(F1618-ROUND(F1618,0))&lt;0.001,1,0)</f>
        <v/>
      </c>
      <c r="H1618">
        <f>IF(G1618=1,F1618,CEILING(F1618,1))</f>
        <v/>
      </c>
      <c r="I1618">
        <f>IF(G1618=1,0,(H1618-F1618)*E1618)</f>
        <v/>
      </c>
      <c r="J1618">
        <f>E1618*F1618</f>
        <v/>
      </c>
    </row>
    <row r="1619">
      <c r="A1619">
        <f>Sources!A1619</f>
        <v/>
      </c>
      <c r="B1619">
        <f>Sources!B1619</f>
        <v/>
      </c>
      <c r="C1619">
        <f>Sources!D1619</f>
        <v/>
      </c>
      <c r="D1619">
        <f>Sources!E1619</f>
        <v/>
      </c>
      <c r="E1619">
        <f>Sources!F1619</f>
        <v/>
      </c>
      <c r="F1619">
        <f>Sources!H1619</f>
        <v/>
      </c>
      <c r="G1619">
        <f>IF(ABS(F1619-ROUND(F1619,0))&lt;0.001,1,0)</f>
        <v/>
      </c>
      <c r="H1619">
        <f>IF(G1619=1,F1619,CEILING(F1619,1))</f>
        <v/>
      </c>
      <c r="I1619">
        <f>IF(G1619=1,0,(H1619-F1619)*E1619)</f>
        <v/>
      </c>
      <c r="J1619">
        <f>E1619*F1619</f>
        <v/>
      </c>
    </row>
    <row r="1620">
      <c r="A1620">
        <f>Sources!A1620</f>
        <v/>
      </c>
      <c r="B1620">
        <f>Sources!B1620</f>
        <v/>
      </c>
      <c r="C1620">
        <f>Sources!D1620</f>
        <v/>
      </c>
      <c r="D1620">
        <f>Sources!E1620</f>
        <v/>
      </c>
      <c r="E1620">
        <f>Sources!F1620</f>
        <v/>
      </c>
      <c r="F1620">
        <f>Sources!H1620</f>
        <v/>
      </c>
      <c r="G1620">
        <f>IF(ABS(F1620-ROUND(F1620,0))&lt;0.001,1,0)</f>
        <v/>
      </c>
      <c r="H1620">
        <f>IF(G1620=1,F1620,CEILING(F1620,1))</f>
        <v/>
      </c>
      <c r="I1620">
        <f>IF(G1620=1,0,(H1620-F1620)*E1620)</f>
        <v/>
      </c>
      <c r="J1620">
        <f>E1620*F1620</f>
        <v/>
      </c>
    </row>
    <row r="1621">
      <c r="A1621">
        <f>Sources!A1621</f>
        <v/>
      </c>
      <c r="B1621">
        <f>Sources!B1621</f>
        <v/>
      </c>
      <c r="C1621">
        <f>Sources!D1621</f>
        <v/>
      </c>
      <c r="D1621">
        <f>Sources!E1621</f>
        <v/>
      </c>
      <c r="E1621">
        <f>Sources!F1621</f>
        <v/>
      </c>
      <c r="F1621">
        <f>Sources!H1621</f>
        <v/>
      </c>
      <c r="G1621">
        <f>IF(ABS(F1621-ROUND(F1621,0))&lt;0.001,1,0)</f>
        <v/>
      </c>
      <c r="H1621">
        <f>IF(G1621=1,F1621,CEILING(F1621,1))</f>
        <v/>
      </c>
      <c r="I1621">
        <f>IF(G1621=1,0,(H1621-F1621)*E1621)</f>
        <v/>
      </c>
      <c r="J1621">
        <f>E1621*F1621</f>
        <v/>
      </c>
    </row>
    <row r="1622">
      <c r="A1622">
        <f>Sources!A1622</f>
        <v/>
      </c>
      <c r="B1622">
        <f>Sources!B1622</f>
        <v/>
      </c>
      <c r="C1622">
        <f>Sources!D1622</f>
        <v/>
      </c>
      <c r="D1622">
        <f>Sources!E1622</f>
        <v/>
      </c>
      <c r="E1622">
        <f>Sources!F1622</f>
        <v/>
      </c>
      <c r="F1622">
        <f>Sources!H1622</f>
        <v/>
      </c>
      <c r="G1622">
        <f>IF(ABS(F1622-ROUND(F1622,0))&lt;0.001,1,0)</f>
        <v/>
      </c>
      <c r="H1622">
        <f>IF(G1622=1,F1622,CEILING(F1622,1))</f>
        <v/>
      </c>
      <c r="I1622">
        <f>IF(G1622=1,0,(H1622-F1622)*E1622)</f>
        <v/>
      </c>
      <c r="J1622">
        <f>E1622*F1622</f>
        <v/>
      </c>
    </row>
    <row r="1623">
      <c r="A1623">
        <f>Sources!A1623</f>
        <v/>
      </c>
      <c r="B1623">
        <f>Sources!B1623</f>
        <v/>
      </c>
      <c r="C1623">
        <f>Sources!D1623</f>
        <v/>
      </c>
      <c r="D1623">
        <f>Sources!E1623</f>
        <v/>
      </c>
      <c r="E1623">
        <f>Sources!F1623</f>
        <v/>
      </c>
      <c r="F1623">
        <f>Sources!H1623</f>
        <v/>
      </c>
      <c r="G1623">
        <f>IF(ABS(F1623-ROUND(F1623,0))&lt;0.001,1,0)</f>
        <v/>
      </c>
      <c r="H1623">
        <f>IF(G1623=1,F1623,CEILING(F1623,1))</f>
        <v/>
      </c>
      <c r="I1623">
        <f>IF(G1623=1,0,(H1623-F1623)*E1623)</f>
        <v/>
      </c>
      <c r="J1623">
        <f>E1623*F1623</f>
        <v/>
      </c>
    </row>
    <row r="1624">
      <c r="A1624">
        <f>Sources!A1624</f>
        <v/>
      </c>
      <c r="B1624">
        <f>Sources!B1624</f>
        <v/>
      </c>
      <c r="C1624">
        <f>Sources!D1624</f>
        <v/>
      </c>
      <c r="D1624">
        <f>Sources!E1624</f>
        <v/>
      </c>
      <c r="E1624">
        <f>Sources!F1624</f>
        <v/>
      </c>
      <c r="F1624">
        <f>Sources!H1624</f>
        <v/>
      </c>
      <c r="G1624">
        <f>IF(ABS(F1624-ROUND(F1624,0))&lt;0.001,1,0)</f>
        <v/>
      </c>
      <c r="H1624">
        <f>IF(G1624=1,F1624,CEILING(F1624,1))</f>
        <v/>
      </c>
      <c r="I1624">
        <f>IF(G1624=1,0,(H1624-F1624)*E1624)</f>
        <v/>
      </c>
      <c r="J1624">
        <f>E1624*F1624</f>
        <v/>
      </c>
    </row>
    <row r="1625">
      <c r="A1625">
        <f>Sources!A1625</f>
        <v/>
      </c>
      <c r="B1625">
        <f>Sources!B1625</f>
        <v/>
      </c>
      <c r="C1625">
        <f>Sources!D1625</f>
        <v/>
      </c>
      <c r="D1625">
        <f>Sources!E1625</f>
        <v/>
      </c>
      <c r="E1625">
        <f>Sources!F1625</f>
        <v/>
      </c>
      <c r="F1625">
        <f>Sources!H1625</f>
        <v/>
      </c>
      <c r="G1625">
        <f>IF(ABS(F1625-ROUND(F1625,0))&lt;0.001,1,0)</f>
        <v/>
      </c>
      <c r="H1625">
        <f>IF(G1625=1,F1625,CEILING(F1625,1))</f>
        <v/>
      </c>
      <c r="I1625">
        <f>IF(G1625=1,0,(H1625-F1625)*E1625)</f>
        <v/>
      </c>
      <c r="J1625">
        <f>E1625*F1625</f>
        <v/>
      </c>
    </row>
    <row r="1626">
      <c r="A1626">
        <f>Sources!A1626</f>
        <v/>
      </c>
      <c r="B1626">
        <f>Sources!B1626</f>
        <v/>
      </c>
      <c r="C1626">
        <f>Sources!D1626</f>
        <v/>
      </c>
      <c r="D1626">
        <f>Sources!E1626</f>
        <v/>
      </c>
      <c r="E1626">
        <f>Sources!F1626</f>
        <v/>
      </c>
      <c r="F1626">
        <f>Sources!H1626</f>
        <v/>
      </c>
      <c r="G1626">
        <f>IF(ABS(F1626-ROUND(F1626,0))&lt;0.001,1,0)</f>
        <v/>
      </c>
      <c r="H1626">
        <f>IF(G1626=1,F1626,CEILING(F1626,1))</f>
        <v/>
      </c>
      <c r="I1626">
        <f>IF(G1626=1,0,(H1626-F1626)*E1626)</f>
        <v/>
      </c>
      <c r="J1626">
        <f>E1626*F1626</f>
        <v/>
      </c>
    </row>
    <row r="1627">
      <c r="A1627">
        <f>Sources!A1627</f>
        <v/>
      </c>
      <c r="B1627">
        <f>Sources!B1627</f>
        <v/>
      </c>
      <c r="C1627">
        <f>Sources!D1627</f>
        <v/>
      </c>
      <c r="D1627">
        <f>Sources!E1627</f>
        <v/>
      </c>
      <c r="E1627">
        <f>Sources!F1627</f>
        <v/>
      </c>
      <c r="F1627">
        <f>Sources!H1627</f>
        <v/>
      </c>
      <c r="G1627">
        <f>IF(ABS(F1627-ROUND(F1627,0))&lt;0.001,1,0)</f>
        <v/>
      </c>
      <c r="H1627">
        <f>IF(G1627=1,F1627,CEILING(F1627,1))</f>
        <v/>
      </c>
      <c r="I1627">
        <f>IF(G1627=1,0,(H1627-F1627)*E1627)</f>
        <v/>
      </c>
      <c r="J1627">
        <f>E1627*F1627</f>
        <v/>
      </c>
    </row>
    <row r="1628">
      <c r="A1628">
        <f>Sources!A1628</f>
        <v/>
      </c>
      <c r="B1628">
        <f>Sources!B1628</f>
        <v/>
      </c>
      <c r="C1628">
        <f>Sources!D1628</f>
        <v/>
      </c>
      <c r="D1628">
        <f>Sources!E1628</f>
        <v/>
      </c>
      <c r="E1628">
        <f>Sources!F1628</f>
        <v/>
      </c>
      <c r="F1628">
        <f>Sources!H1628</f>
        <v/>
      </c>
      <c r="G1628">
        <f>IF(ABS(F1628-ROUND(F1628,0))&lt;0.001,1,0)</f>
        <v/>
      </c>
      <c r="H1628">
        <f>IF(G1628=1,F1628,CEILING(F1628,1))</f>
        <v/>
      </c>
      <c r="I1628">
        <f>IF(G1628=1,0,(H1628-F1628)*E1628)</f>
        <v/>
      </c>
      <c r="J1628">
        <f>E1628*F1628</f>
        <v/>
      </c>
    </row>
    <row r="1629">
      <c r="A1629">
        <f>Sources!A1629</f>
        <v/>
      </c>
      <c r="B1629">
        <f>Sources!B1629</f>
        <v/>
      </c>
      <c r="C1629">
        <f>Sources!D1629</f>
        <v/>
      </c>
      <c r="D1629">
        <f>Sources!E1629</f>
        <v/>
      </c>
      <c r="E1629">
        <f>Sources!F1629</f>
        <v/>
      </c>
      <c r="F1629">
        <f>Sources!H1629</f>
        <v/>
      </c>
      <c r="G1629">
        <f>IF(ABS(F1629-ROUND(F1629,0))&lt;0.001,1,0)</f>
        <v/>
      </c>
      <c r="H1629">
        <f>IF(G1629=1,F1629,CEILING(F1629,1))</f>
        <v/>
      </c>
      <c r="I1629">
        <f>IF(G1629=1,0,(H1629-F1629)*E1629)</f>
        <v/>
      </c>
      <c r="J1629">
        <f>E1629*F1629</f>
        <v/>
      </c>
    </row>
    <row r="1630">
      <c r="A1630">
        <f>Sources!A1630</f>
        <v/>
      </c>
      <c r="B1630">
        <f>Sources!B1630</f>
        <v/>
      </c>
      <c r="C1630">
        <f>Sources!D1630</f>
        <v/>
      </c>
      <c r="D1630">
        <f>Sources!E1630</f>
        <v/>
      </c>
      <c r="E1630">
        <f>Sources!F1630</f>
        <v/>
      </c>
      <c r="F1630">
        <f>Sources!H1630</f>
        <v/>
      </c>
      <c r="G1630">
        <f>IF(ABS(F1630-ROUND(F1630,0))&lt;0.001,1,0)</f>
        <v/>
      </c>
      <c r="H1630">
        <f>IF(G1630=1,F1630,CEILING(F1630,1))</f>
        <v/>
      </c>
      <c r="I1630">
        <f>IF(G1630=1,0,(H1630-F1630)*E1630)</f>
        <v/>
      </c>
      <c r="J1630">
        <f>E1630*F1630</f>
        <v/>
      </c>
    </row>
    <row r="1631">
      <c r="A1631">
        <f>Sources!A1631</f>
        <v/>
      </c>
      <c r="B1631">
        <f>Sources!B1631</f>
        <v/>
      </c>
      <c r="C1631">
        <f>Sources!D1631</f>
        <v/>
      </c>
      <c r="D1631">
        <f>Sources!E1631</f>
        <v/>
      </c>
      <c r="E1631">
        <f>Sources!F1631</f>
        <v/>
      </c>
      <c r="F1631">
        <f>Sources!H1631</f>
        <v/>
      </c>
      <c r="G1631">
        <f>IF(ABS(F1631-ROUND(F1631,0))&lt;0.001,1,0)</f>
        <v/>
      </c>
      <c r="H1631">
        <f>IF(G1631=1,F1631,CEILING(F1631,1))</f>
        <v/>
      </c>
      <c r="I1631">
        <f>IF(G1631=1,0,(H1631-F1631)*E1631)</f>
        <v/>
      </c>
      <c r="J1631">
        <f>E1631*F1631</f>
        <v/>
      </c>
    </row>
    <row r="1632">
      <c r="A1632">
        <f>Sources!A1632</f>
        <v/>
      </c>
      <c r="B1632">
        <f>Sources!B1632</f>
        <v/>
      </c>
      <c r="C1632">
        <f>Sources!D1632</f>
        <v/>
      </c>
      <c r="D1632">
        <f>Sources!E1632</f>
        <v/>
      </c>
      <c r="E1632">
        <f>Sources!F1632</f>
        <v/>
      </c>
      <c r="F1632">
        <f>Sources!H1632</f>
        <v/>
      </c>
      <c r="G1632">
        <f>IF(ABS(F1632-ROUND(F1632,0))&lt;0.001,1,0)</f>
        <v/>
      </c>
      <c r="H1632">
        <f>IF(G1632=1,F1632,CEILING(F1632,1))</f>
        <v/>
      </c>
      <c r="I1632">
        <f>IF(G1632=1,0,(H1632-F1632)*E1632)</f>
        <v/>
      </c>
      <c r="J1632">
        <f>E1632*F1632</f>
        <v/>
      </c>
    </row>
    <row r="1633">
      <c r="A1633">
        <f>Sources!A1633</f>
        <v/>
      </c>
      <c r="B1633">
        <f>Sources!B1633</f>
        <v/>
      </c>
      <c r="C1633">
        <f>Sources!D1633</f>
        <v/>
      </c>
      <c r="D1633">
        <f>Sources!E1633</f>
        <v/>
      </c>
      <c r="E1633">
        <f>Sources!F1633</f>
        <v/>
      </c>
      <c r="F1633">
        <f>Sources!H1633</f>
        <v/>
      </c>
      <c r="G1633">
        <f>IF(ABS(F1633-ROUND(F1633,0))&lt;0.001,1,0)</f>
        <v/>
      </c>
      <c r="H1633">
        <f>IF(G1633=1,F1633,CEILING(F1633,1))</f>
        <v/>
      </c>
      <c r="I1633">
        <f>IF(G1633=1,0,(H1633-F1633)*E1633)</f>
        <v/>
      </c>
      <c r="J1633">
        <f>E1633*F1633</f>
        <v/>
      </c>
    </row>
    <row r="1634">
      <c r="A1634">
        <f>Sources!A1634</f>
        <v/>
      </c>
      <c r="B1634">
        <f>Sources!B1634</f>
        <v/>
      </c>
      <c r="C1634">
        <f>Sources!D1634</f>
        <v/>
      </c>
      <c r="D1634">
        <f>Sources!E1634</f>
        <v/>
      </c>
      <c r="E1634">
        <f>Sources!F1634</f>
        <v/>
      </c>
      <c r="F1634">
        <f>Sources!H1634</f>
        <v/>
      </c>
      <c r="G1634">
        <f>IF(ABS(F1634-ROUND(F1634,0))&lt;0.001,1,0)</f>
        <v/>
      </c>
      <c r="H1634">
        <f>IF(G1634=1,F1634,CEILING(F1634,1))</f>
        <v/>
      </c>
      <c r="I1634">
        <f>IF(G1634=1,0,(H1634-F1634)*E1634)</f>
        <v/>
      </c>
      <c r="J1634">
        <f>E1634*F1634</f>
        <v/>
      </c>
    </row>
    <row r="1635">
      <c r="A1635">
        <f>Sources!A1635</f>
        <v/>
      </c>
      <c r="B1635">
        <f>Sources!B1635</f>
        <v/>
      </c>
      <c r="C1635">
        <f>Sources!D1635</f>
        <v/>
      </c>
      <c r="D1635">
        <f>Sources!E1635</f>
        <v/>
      </c>
      <c r="E1635">
        <f>Sources!F1635</f>
        <v/>
      </c>
      <c r="F1635">
        <f>Sources!H1635</f>
        <v/>
      </c>
      <c r="G1635">
        <f>IF(ABS(F1635-ROUND(F1635,0))&lt;0.001,1,0)</f>
        <v/>
      </c>
      <c r="H1635">
        <f>IF(G1635=1,F1635,CEILING(F1635,1))</f>
        <v/>
      </c>
      <c r="I1635">
        <f>IF(G1635=1,0,(H1635-F1635)*E1635)</f>
        <v/>
      </c>
      <c r="J1635">
        <f>E1635*F1635</f>
        <v/>
      </c>
    </row>
    <row r="1636">
      <c r="A1636">
        <f>Sources!A1636</f>
        <v/>
      </c>
      <c r="B1636">
        <f>Sources!B1636</f>
        <v/>
      </c>
      <c r="C1636">
        <f>Sources!D1636</f>
        <v/>
      </c>
      <c r="D1636">
        <f>Sources!E1636</f>
        <v/>
      </c>
      <c r="E1636">
        <f>Sources!F1636</f>
        <v/>
      </c>
      <c r="F1636">
        <f>Sources!H1636</f>
        <v/>
      </c>
      <c r="G1636">
        <f>IF(ABS(F1636-ROUND(F1636,0))&lt;0.001,1,0)</f>
        <v/>
      </c>
      <c r="H1636">
        <f>IF(G1636=1,F1636,CEILING(F1636,1))</f>
        <v/>
      </c>
      <c r="I1636">
        <f>IF(G1636=1,0,(H1636-F1636)*E1636)</f>
        <v/>
      </c>
      <c r="J1636">
        <f>E1636*F1636</f>
        <v/>
      </c>
    </row>
    <row r="1637">
      <c r="A1637">
        <f>Sources!A1637</f>
        <v/>
      </c>
      <c r="B1637">
        <f>Sources!B1637</f>
        <v/>
      </c>
      <c r="C1637">
        <f>Sources!D1637</f>
        <v/>
      </c>
      <c r="D1637">
        <f>Sources!E1637</f>
        <v/>
      </c>
      <c r="E1637">
        <f>Sources!F1637</f>
        <v/>
      </c>
      <c r="F1637">
        <f>Sources!H1637</f>
        <v/>
      </c>
      <c r="G1637">
        <f>IF(ABS(F1637-ROUND(F1637,0))&lt;0.001,1,0)</f>
        <v/>
      </c>
      <c r="H1637">
        <f>IF(G1637=1,F1637,CEILING(F1637,1))</f>
        <v/>
      </c>
      <c r="I1637">
        <f>IF(G1637=1,0,(H1637-F1637)*E1637)</f>
        <v/>
      </c>
      <c r="J1637">
        <f>E1637*F1637</f>
        <v/>
      </c>
    </row>
    <row r="1638">
      <c r="A1638">
        <f>Sources!A1638</f>
        <v/>
      </c>
      <c r="B1638">
        <f>Sources!B1638</f>
        <v/>
      </c>
      <c r="C1638">
        <f>Sources!D1638</f>
        <v/>
      </c>
      <c r="D1638">
        <f>Sources!E1638</f>
        <v/>
      </c>
      <c r="E1638">
        <f>Sources!F1638</f>
        <v/>
      </c>
      <c r="F1638">
        <f>Sources!H1638</f>
        <v/>
      </c>
      <c r="G1638">
        <f>IF(ABS(F1638-ROUND(F1638,0))&lt;0.001,1,0)</f>
        <v/>
      </c>
      <c r="H1638">
        <f>IF(G1638=1,F1638,CEILING(F1638,1))</f>
        <v/>
      </c>
      <c r="I1638">
        <f>IF(G1638=1,0,(H1638-F1638)*E1638)</f>
        <v/>
      </c>
      <c r="J1638">
        <f>E1638*F1638</f>
        <v/>
      </c>
    </row>
    <row r="1639">
      <c r="A1639">
        <f>Sources!A1639</f>
        <v/>
      </c>
      <c r="B1639">
        <f>Sources!B1639</f>
        <v/>
      </c>
      <c r="C1639">
        <f>Sources!D1639</f>
        <v/>
      </c>
      <c r="D1639">
        <f>Sources!E1639</f>
        <v/>
      </c>
      <c r="E1639">
        <f>Sources!F1639</f>
        <v/>
      </c>
      <c r="F1639">
        <f>Sources!H1639</f>
        <v/>
      </c>
      <c r="G1639">
        <f>IF(ABS(F1639-ROUND(F1639,0))&lt;0.001,1,0)</f>
        <v/>
      </c>
      <c r="H1639">
        <f>IF(G1639=1,F1639,CEILING(F1639,1))</f>
        <v/>
      </c>
      <c r="I1639">
        <f>IF(G1639=1,0,(H1639-F1639)*E1639)</f>
        <v/>
      </c>
      <c r="J1639">
        <f>E1639*F1639</f>
        <v/>
      </c>
    </row>
    <row r="1640">
      <c r="A1640">
        <f>Sources!A1640</f>
        <v/>
      </c>
      <c r="B1640">
        <f>Sources!B1640</f>
        <v/>
      </c>
      <c r="C1640">
        <f>Sources!D1640</f>
        <v/>
      </c>
      <c r="D1640">
        <f>Sources!E1640</f>
        <v/>
      </c>
      <c r="E1640">
        <f>Sources!F1640</f>
        <v/>
      </c>
      <c r="F1640">
        <f>Sources!H1640</f>
        <v/>
      </c>
      <c r="G1640">
        <f>IF(ABS(F1640-ROUND(F1640,0))&lt;0.001,1,0)</f>
        <v/>
      </c>
      <c r="H1640">
        <f>IF(G1640=1,F1640,CEILING(F1640,1))</f>
        <v/>
      </c>
      <c r="I1640">
        <f>IF(G1640=1,0,(H1640-F1640)*E1640)</f>
        <v/>
      </c>
      <c r="J1640">
        <f>E1640*F1640</f>
        <v/>
      </c>
    </row>
    <row r="1641">
      <c r="A1641">
        <f>Sources!A1641</f>
        <v/>
      </c>
      <c r="B1641">
        <f>Sources!B1641</f>
        <v/>
      </c>
      <c r="C1641">
        <f>Sources!D1641</f>
        <v/>
      </c>
      <c r="D1641">
        <f>Sources!E1641</f>
        <v/>
      </c>
      <c r="E1641">
        <f>Sources!F1641</f>
        <v/>
      </c>
      <c r="F1641">
        <f>Sources!H1641</f>
        <v/>
      </c>
      <c r="G1641">
        <f>IF(ABS(F1641-ROUND(F1641,0))&lt;0.001,1,0)</f>
        <v/>
      </c>
      <c r="H1641">
        <f>IF(G1641=1,F1641,CEILING(F1641,1))</f>
        <v/>
      </c>
      <c r="I1641">
        <f>IF(G1641=1,0,(H1641-F1641)*E1641)</f>
        <v/>
      </c>
      <c r="J1641">
        <f>E1641*F1641</f>
        <v/>
      </c>
    </row>
    <row r="1642">
      <c r="A1642">
        <f>Sources!A1642</f>
        <v/>
      </c>
      <c r="B1642">
        <f>Sources!B1642</f>
        <v/>
      </c>
      <c r="C1642">
        <f>Sources!D1642</f>
        <v/>
      </c>
      <c r="D1642">
        <f>Sources!E1642</f>
        <v/>
      </c>
      <c r="E1642">
        <f>Sources!F1642</f>
        <v/>
      </c>
      <c r="F1642">
        <f>Sources!H1642</f>
        <v/>
      </c>
      <c r="G1642">
        <f>IF(ABS(F1642-ROUND(F1642,0))&lt;0.001,1,0)</f>
        <v/>
      </c>
      <c r="H1642">
        <f>IF(G1642=1,F1642,CEILING(F1642,1))</f>
        <v/>
      </c>
      <c r="I1642">
        <f>IF(G1642=1,0,(H1642-F1642)*E1642)</f>
        <v/>
      </c>
      <c r="J1642">
        <f>E1642*F1642</f>
        <v/>
      </c>
    </row>
    <row r="1643">
      <c r="A1643">
        <f>Sources!A1643</f>
        <v/>
      </c>
      <c r="B1643">
        <f>Sources!B1643</f>
        <v/>
      </c>
      <c r="C1643">
        <f>Sources!D1643</f>
        <v/>
      </c>
      <c r="D1643">
        <f>Sources!E1643</f>
        <v/>
      </c>
      <c r="E1643">
        <f>Sources!F1643</f>
        <v/>
      </c>
      <c r="F1643">
        <f>Sources!H1643</f>
        <v/>
      </c>
      <c r="G1643">
        <f>IF(ABS(F1643-ROUND(F1643,0))&lt;0.001,1,0)</f>
        <v/>
      </c>
      <c r="H1643">
        <f>IF(G1643=1,F1643,CEILING(F1643,1))</f>
        <v/>
      </c>
      <c r="I1643">
        <f>IF(G1643=1,0,(H1643-F1643)*E1643)</f>
        <v/>
      </c>
      <c r="J1643">
        <f>E1643*F1643</f>
        <v/>
      </c>
    </row>
    <row r="1644">
      <c r="A1644">
        <f>Sources!A1644</f>
        <v/>
      </c>
      <c r="B1644">
        <f>Sources!B1644</f>
        <v/>
      </c>
      <c r="C1644">
        <f>Sources!D1644</f>
        <v/>
      </c>
      <c r="D1644">
        <f>Sources!E1644</f>
        <v/>
      </c>
      <c r="E1644">
        <f>Sources!F1644</f>
        <v/>
      </c>
      <c r="F1644">
        <f>Sources!H1644</f>
        <v/>
      </c>
      <c r="G1644">
        <f>IF(ABS(F1644-ROUND(F1644,0))&lt;0.001,1,0)</f>
        <v/>
      </c>
      <c r="H1644">
        <f>IF(G1644=1,F1644,CEILING(F1644,1))</f>
        <v/>
      </c>
      <c r="I1644">
        <f>IF(G1644=1,0,(H1644-F1644)*E1644)</f>
        <v/>
      </c>
      <c r="J1644">
        <f>E1644*F1644</f>
        <v/>
      </c>
    </row>
    <row r="1645">
      <c r="A1645">
        <f>Sources!A1645</f>
        <v/>
      </c>
      <c r="B1645">
        <f>Sources!B1645</f>
        <v/>
      </c>
      <c r="C1645">
        <f>Sources!D1645</f>
        <v/>
      </c>
      <c r="D1645">
        <f>Sources!E1645</f>
        <v/>
      </c>
      <c r="E1645">
        <f>Sources!F1645</f>
        <v/>
      </c>
      <c r="F1645">
        <f>Sources!H1645</f>
        <v/>
      </c>
      <c r="G1645">
        <f>IF(ABS(F1645-ROUND(F1645,0))&lt;0.001,1,0)</f>
        <v/>
      </c>
      <c r="H1645">
        <f>IF(G1645=1,F1645,CEILING(F1645,1))</f>
        <v/>
      </c>
      <c r="I1645">
        <f>IF(G1645=1,0,(H1645-F1645)*E1645)</f>
        <v/>
      </c>
      <c r="J1645">
        <f>E1645*F1645</f>
        <v/>
      </c>
    </row>
    <row r="1646">
      <c r="A1646">
        <f>Sources!A1646</f>
        <v/>
      </c>
      <c r="B1646">
        <f>Sources!B1646</f>
        <v/>
      </c>
      <c r="C1646">
        <f>Sources!D1646</f>
        <v/>
      </c>
      <c r="D1646">
        <f>Sources!E1646</f>
        <v/>
      </c>
      <c r="E1646">
        <f>Sources!F1646</f>
        <v/>
      </c>
      <c r="F1646">
        <f>Sources!H1646</f>
        <v/>
      </c>
      <c r="G1646">
        <f>IF(ABS(F1646-ROUND(F1646,0))&lt;0.001,1,0)</f>
        <v/>
      </c>
      <c r="H1646">
        <f>IF(G1646=1,F1646,CEILING(F1646,1))</f>
        <v/>
      </c>
      <c r="I1646">
        <f>IF(G1646=1,0,(H1646-F1646)*E1646)</f>
        <v/>
      </c>
      <c r="J1646">
        <f>E1646*F1646</f>
        <v/>
      </c>
    </row>
    <row r="1647">
      <c r="A1647">
        <f>Sources!A1647</f>
        <v/>
      </c>
      <c r="B1647">
        <f>Sources!B1647</f>
        <v/>
      </c>
      <c r="C1647">
        <f>Sources!D1647</f>
        <v/>
      </c>
      <c r="D1647">
        <f>Sources!E1647</f>
        <v/>
      </c>
      <c r="E1647">
        <f>Sources!F1647</f>
        <v/>
      </c>
      <c r="F1647">
        <f>Sources!H1647</f>
        <v/>
      </c>
      <c r="G1647">
        <f>IF(ABS(F1647-ROUND(F1647,0))&lt;0.001,1,0)</f>
        <v/>
      </c>
      <c r="H1647">
        <f>IF(G1647=1,F1647,CEILING(F1647,1))</f>
        <v/>
      </c>
      <c r="I1647">
        <f>IF(G1647=1,0,(H1647-F1647)*E1647)</f>
        <v/>
      </c>
      <c r="J1647">
        <f>E1647*F1647</f>
        <v/>
      </c>
    </row>
    <row r="1648">
      <c r="A1648">
        <f>Sources!A1648</f>
        <v/>
      </c>
      <c r="B1648">
        <f>Sources!B1648</f>
        <v/>
      </c>
      <c r="C1648">
        <f>Sources!D1648</f>
        <v/>
      </c>
      <c r="D1648">
        <f>Sources!E1648</f>
        <v/>
      </c>
      <c r="E1648">
        <f>Sources!F1648</f>
        <v/>
      </c>
      <c r="F1648">
        <f>Sources!H1648</f>
        <v/>
      </c>
      <c r="G1648">
        <f>IF(ABS(F1648-ROUND(F1648,0))&lt;0.001,1,0)</f>
        <v/>
      </c>
      <c r="H1648">
        <f>IF(G1648=1,F1648,CEILING(F1648,1))</f>
        <v/>
      </c>
      <c r="I1648">
        <f>IF(G1648=1,0,(H1648-F1648)*E1648)</f>
        <v/>
      </c>
      <c r="J1648">
        <f>E1648*F1648</f>
        <v/>
      </c>
    </row>
    <row r="1649">
      <c r="A1649">
        <f>Sources!A1649</f>
        <v/>
      </c>
      <c r="B1649">
        <f>Sources!B1649</f>
        <v/>
      </c>
      <c r="C1649">
        <f>Sources!D1649</f>
        <v/>
      </c>
      <c r="D1649">
        <f>Sources!E1649</f>
        <v/>
      </c>
      <c r="E1649">
        <f>Sources!F1649</f>
        <v/>
      </c>
      <c r="F1649">
        <f>Sources!H1649</f>
        <v/>
      </c>
      <c r="G1649">
        <f>IF(ABS(F1649-ROUND(F1649,0))&lt;0.001,1,0)</f>
        <v/>
      </c>
      <c r="H1649">
        <f>IF(G1649=1,F1649,CEILING(F1649,1))</f>
        <v/>
      </c>
      <c r="I1649">
        <f>IF(G1649=1,0,(H1649-F1649)*E1649)</f>
        <v/>
      </c>
      <c r="J1649">
        <f>E1649*F1649</f>
        <v/>
      </c>
    </row>
    <row r="1650">
      <c r="A1650">
        <f>Sources!A1650</f>
        <v/>
      </c>
      <c r="B1650">
        <f>Sources!B1650</f>
        <v/>
      </c>
      <c r="C1650">
        <f>Sources!D1650</f>
        <v/>
      </c>
      <c r="D1650">
        <f>Sources!E1650</f>
        <v/>
      </c>
      <c r="E1650">
        <f>Sources!F1650</f>
        <v/>
      </c>
      <c r="F1650">
        <f>Sources!H1650</f>
        <v/>
      </c>
      <c r="G1650">
        <f>IF(ABS(F1650-ROUND(F1650,0))&lt;0.001,1,0)</f>
        <v/>
      </c>
      <c r="H1650">
        <f>IF(G1650=1,F1650,CEILING(F1650,1))</f>
        <v/>
      </c>
      <c r="I1650">
        <f>IF(G1650=1,0,(H1650-F1650)*E1650)</f>
        <v/>
      </c>
      <c r="J1650">
        <f>E1650*F1650</f>
        <v/>
      </c>
    </row>
    <row r="1651">
      <c r="A1651">
        <f>Sources!A1651</f>
        <v/>
      </c>
      <c r="B1651">
        <f>Sources!B1651</f>
        <v/>
      </c>
      <c r="C1651">
        <f>Sources!D1651</f>
        <v/>
      </c>
      <c r="D1651">
        <f>Sources!E1651</f>
        <v/>
      </c>
      <c r="E1651">
        <f>Sources!F1651</f>
        <v/>
      </c>
      <c r="F1651">
        <f>Sources!H1651</f>
        <v/>
      </c>
      <c r="G1651">
        <f>IF(ABS(F1651-ROUND(F1651,0))&lt;0.001,1,0)</f>
        <v/>
      </c>
      <c r="H1651">
        <f>IF(G1651=1,F1651,CEILING(F1651,1))</f>
        <v/>
      </c>
      <c r="I1651">
        <f>IF(G1651=1,0,(H1651-F1651)*E1651)</f>
        <v/>
      </c>
      <c r="J1651">
        <f>E1651*F1651</f>
        <v/>
      </c>
    </row>
    <row r="1652">
      <c r="A1652">
        <f>Sources!A1652</f>
        <v/>
      </c>
      <c r="B1652">
        <f>Sources!B1652</f>
        <v/>
      </c>
      <c r="C1652">
        <f>Sources!D1652</f>
        <v/>
      </c>
      <c r="D1652">
        <f>Sources!E1652</f>
        <v/>
      </c>
      <c r="E1652">
        <f>Sources!F1652</f>
        <v/>
      </c>
      <c r="F1652">
        <f>Sources!H1652</f>
        <v/>
      </c>
      <c r="G1652">
        <f>IF(ABS(F1652-ROUND(F1652,0))&lt;0.001,1,0)</f>
        <v/>
      </c>
      <c r="H1652">
        <f>IF(G1652=1,F1652,CEILING(F1652,1))</f>
        <v/>
      </c>
      <c r="I1652">
        <f>IF(G1652=1,0,(H1652-F1652)*E1652)</f>
        <v/>
      </c>
      <c r="J1652">
        <f>E1652*F1652</f>
        <v/>
      </c>
    </row>
    <row r="1653">
      <c r="A1653">
        <f>Sources!A1653</f>
        <v/>
      </c>
      <c r="B1653">
        <f>Sources!B1653</f>
        <v/>
      </c>
      <c r="C1653">
        <f>Sources!D1653</f>
        <v/>
      </c>
      <c r="D1653">
        <f>Sources!E1653</f>
        <v/>
      </c>
      <c r="E1653">
        <f>Sources!F1653</f>
        <v/>
      </c>
      <c r="F1653">
        <f>Sources!H1653</f>
        <v/>
      </c>
      <c r="G1653">
        <f>IF(ABS(F1653-ROUND(F1653,0))&lt;0.001,1,0)</f>
        <v/>
      </c>
      <c r="H1653">
        <f>IF(G1653=1,F1653,CEILING(F1653,1))</f>
        <v/>
      </c>
      <c r="I1653">
        <f>IF(G1653=1,0,(H1653-F1653)*E1653)</f>
        <v/>
      </c>
      <c r="J1653">
        <f>E1653*F1653</f>
        <v/>
      </c>
    </row>
    <row r="1654">
      <c r="A1654">
        <f>Sources!A1654</f>
        <v/>
      </c>
      <c r="B1654">
        <f>Sources!B1654</f>
        <v/>
      </c>
      <c r="C1654">
        <f>Sources!D1654</f>
        <v/>
      </c>
      <c r="D1654">
        <f>Sources!E1654</f>
        <v/>
      </c>
      <c r="E1654">
        <f>Sources!F1654</f>
        <v/>
      </c>
      <c r="F1654">
        <f>Sources!H1654</f>
        <v/>
      </c>
      <c r="G1654">
        <f>IF(ABS(F1654-ROUND(F1654,0))&lt;0.001,1,0)</f>
        <v/>
      </c>
      <c r="H1654">
        <f>IF(G1654=1,F1654,CEILING(F1654,1))</f>
        <v/>
      </c>
      <c r="I1654">
        <f>IF(G1654=1,0,(H1654-F1654)*E1654)</f>
        <v/>
      </c>
      <c r="J1654">
        <f>E1654*F1654</f>
        <v/>
      </c>
    </row>
    <row r="1655">
      <c r="A1655">
        <f>Sources!A1655</f>
        <v/>
      </c>
      <c r="B1655">
        <f>Sources!B1655</f>
        <v/>
      </c>
      <c r="C1655">
        <f>Sources!D1655</f>
        <v/>
      </c>
      <c r="D1655">
        <f>Sources!E1655</f>
        <v/>
      </c>
      <c r="E1655">
        <f>Sources!F1655</f>
        <v/>
      </c>
      <c r="F1655">
        <f>Sources!H1655</f>
        <v/>
      </c>
      <c r="G1655">
        <f>IF(ABS(F1655-ROUND(F1655,0))&lt;0.001,1,0)</f>
        <v/>
      </c>
      <c r="H1655">
        <f>IF(G1655=1,F1655,CEILING(F1655,1))</f>
        <v/>
      </c>
      <c r="I1655">
        <f>IF(G1655=1,0,(H1655-F1655)*E1655)</f>
        <v/>
      </c>
      <c r="J1655">
        <f>E1655*F1655</f>
        <v/>
      </c>
    </row>
    <row r="1656">
      <c r="A1656">
        <f>Sources!A1656</f>
        <v/>
      </c>
      <c r="B1656">
        <f>Sources!B1656</f>
        <v/>
      </c>
      <c r="C1656">
        <f>Sources!D1656</f>
        <v/>
      </c>
      <c r="D1656">
        <f>Sources!E1656</f>
        <v/>
      </c>
      <c r="E1656">
        <f>Sources!F1656</f>
        <v/>
      </c>
      <c r="F1656">
        <f>Sources!H1656</f>
        <v/>
      </c>
      <c r="G1656">
        <f>IF(ABS(F1656-ROUND(F1656,0))&lt;0.001,1,0)</f>
        <v/>
      </c>
      <c r="H1656">
        <f>IF(G1656=1,F1656,CEILING(F1656,1))</f>
        <v/>
      </c>
      <c r="I1656">
        <f>IF(G1656=1,0,(H1656-F1656)*E1656)</f>
        <v/>
      </c>
      <c r="J1656">
        <f>E1656*F1656</f>
        <v/>
      </c>
    </row>
    <row r="1657">
      <c r="A1657">
        <f>Sources!A1657</f>
        <v/>
      </c>
      <c r="B1657">
        <f>Sources!B1657</f>
        <v/>
      </c>
      <c r="C1657">
        <f>Sources!D1657</f>
        <v/>
      </c>
      <c r="D1657">
        <f>Sources!E1657</f>
        <v/>
      </c>
      <c r="E1657">
        <f>Sources!F1657</f>
        <v/>
      </c>
      <c r="F1657">
        <f>Sources!H1657</f>
        <v/>
      </c>
      <c r="G1657">
        <f>IF(ABS(F1657-ROUND(F1657,0))&lt;0.001,1,0)</f>
        <v/>
      </c>
      <c r="H1657">
        <f>IF(G1657=1,F1657,CEILING(F1657,1))</f>
        <v/>
      </c>
      <c r="I1657">
        <f>IF(G1657=1,0,(H1657-F1657)*E1657)</f>
        <v/>
      </c>
      <c r="J1657">
        <f>E1657*F1657</f>
        <v/>
      </c>
    </row>
    <row r="1658">
      <c r="A1658">
        <f>Sources!A1658</f>
        <v/>
      </c>
      <c r="B1658">
        <f>Sources!B1658</f>
        <v/>
      </c>
      <c r="C1658">
        <f>Sources!D1658</f>
        <v/>
      </c>
      <c r="D1658">
        <f>Sources!E1658</f>
        <v/>
      </c>
      <c r="E1658">
        <f>Sources!F1658</f>
        <v/>
      </c>
      <c r="F1658">
        <f>Sources!H1658</f>
        <v/>
      </c>
      <c r="G1658">
        <f>IF(ABS(F1658-ROUND(F1658,0))&lt;0.001,1,0)</f>
        <v/>
      </c>
      <c r="H1658">
        <f>IF(G1658=1,F1658,CEILING(F1658,1))</f>
        <v/>
      </c>
      <c r="I1658">
        <f>IF(G1658=1,0,(H1658-F1658)*E1658)</f>
        <v/>
      </c>
      <c r="J1658">
        <f>E1658*F1658</f>
        <v/>
      </c>
    </row>
    <row r="1659">
      <c r="A1659">
        <f>Sources!A1659</f>
        <v/>
      </c>
      <c r="B1659">
        <f>Sources!B1659</f>
        <v/>
      </c>
      <c r="C1659">
        <f>Sources!D1659</f>
        <v/>
      </c>
      <c r="D1659">
        <f>Sources!E1659</f>
        <v/>
      </c>
      <c r="E1659">
        <f>Sources!F1659</f>
        <v/>
      </c>
      <c r="F1659">
        <f>Sources!H1659</f>
        <v/>
      </c>
      <c r="G1659">
        <f>IF(ABS(F1659-ROUND(F1659,0))&lt;0.001,1,0)</f>
        <v/>
      </c>
      <c r="H1659">
        <f>IF(G1659=1,F1659,CEILING(F1659,1))</f>
        <v/>
      </c>
      <c r="I1659">
        <f>IF(G1659=1,0,(H1659-F1659)*E1659)</f>
        <v/>
      </c>
      <c r="J1659">
        <f>E1659*F1659</f>
        <v/>
      </c>
    </row>
    <row r="1660">
      <c r="A1660">
        <f>Sources!A1660</f>
        <v/>
      </c>
      <c r="B1660">
        <f>Sources!B1660</f>
        <v/>
      </c>
      <c r="C1660">
        <f>Sources!D1660</f>
        <v/>
      </c>
      <c r="D1660">
        <f>Sources!E1660</f>
        <v/>
      </c>
      <c r="E1660">
        <f>Sources!F1660</f>
        <v/>
      </c>
      <c r="F1660">
        <f>Sources!H1660</f>
        <v/>
      </c>
      <c r="G1660">
        <f>IF(ABS(F1660-ROUND(F1660,0))&lt;0.001,1,0)</f>
        <v/>
      </c>
      <c r="H1660">
        <f>IF(G1660=1,F1660,CEILING(F1660,1))</f>
        <v/>
      </c>
      <c r="I1660">
        <f>IF(G1660=1,0,(H1660-F1660)*E1660)</f>
        <v/>
      </c>
      <c r="J1660">
        <f>E1660*F1660</f>
        <v/>
      </c>
    </row>
    <row r="1661">
      <c r="A1661">
        <f>Sources!A1661</f>
        <v/>
      </c>
      <c r="B1661">
        <f>Sources!B1661</f>
        <v/>
      </c>
      <c r="C1661">
        <f>Sources!D1661</f>
        <v/>
      </c>
      <c r="D1661">
        <f>Sources!E1661</f>
        <v/>
      </c>
      <c r="E1661">
        <f>Sources!F1661</f>
        <v/>
      </c>
      <c r="F1661">
        <f>Sources!H1661</f>
        <v/>
      </c>
      <c r="G1661">
        <f>IF(ABS(F1661-ROUND(F1661,0))&lt;0.001,1,0)</f>
        <v/>
      </c>
      <c r="H1661">
        <f>IF(G1661=1,F1661,CEILING(F1661,1))</f>
        <v/>
      </c>
      <c r="I1661">
        <f>IF(G1661=1,0,(H1661-F1661)*E1661)</f>
        <v/>
      </c>
      <c r="J1661">
        <f>E1661*F1661</f>
        <v/>
      </c>
    </row>
    <row r="1662">
      <c r="A1662">
        <f>Sources!A1662</f>
        <v/>
      </c>
      <c r="B1662">
        <f>Sources!B1662</f>
        <v/>
      </c>
      <c r="C1662">
        <f>Sources!D1662</f>
        <v/>
      </c>
      <c r="D1662">
        <f>Sources!E1662</f>
        <v/>
      </c>
      <c r="E1662">
        <f>Sources!F1662</f>
        <v/>
      </c>
      <c r="F1662">
        <f>Sources!H1662</f>
        <v/>
      </c>
      <c r="G1662">
        <f>IF(ABS(F1662-ROUND(F1662,0))&lt;0.001,1,0)</f>
        <v/>
      </c>
      <c r="H1662">
        <f>IF(G1662=1,F1662,CEILING(F1662,1))</f>
        <v/>
      </c>
      <c r="I1662">
        <f>IF(G1662=1,0,(H1662-F1662)*E1662)</f>
        <v/>
      </c>
      <c r="J1662">
        <f>E1662*F1662</f>
        <v/>
      </c>
    </row>
    <row r="1663">
      <c r="A1663">
        <f>Sources!A1663</f>
        <v/>
      </c>
      <c r="B1663">
        <f>Sources!B1663</f>
        <v/>
      </c>
      <c r="C1663">
        <f>Sources!D1663</f>
        <v/>
      </c>
      <c r="D1663">
        <f>Sources!E1663</f>
        <v/>
      </c>
      <c r="E1663">
        <f>Sources!F1663</f>
        <v/>
      </c>
      <c r="F1663">
        <f>Sources!H1663</f>
        <v/>
      </c>
      <c r="G1663">
        <f>IF(ABS(F1663-ROUND(F1663,0))&lt;0.001,1,0)</f>
        <v/>
      </c>
      <c r="H1663">
        <f>IF(G1663=1,F1663,CEILING(F1663,1))</f>
        <v/>
      </c>
      <c r="I1663">
        <f>IF(G1663=1,0,(H1663-F1663)*E1663)</f>
        <v/>
      </c>
      <c r="J1663">
        <f>E1663*F1663</f>
        <v/>
      </c>
    </row>
    <row r="1664">
      <c r="A1664">
        <f>Sources!A1664</f>
        <v/>
      </c>
      <c r="B1664">
        <f>Sources!B1664</f>
        <v/>
      </c>
      <c r="C1664">
        <f>Sources!D1664</f>
        <v/>
      </c>
      <c r="D1664">
        <f>Sources!E1664</f>
        <v/>
      </c>
      <c r="E1664">
        <f>Sources!F1664</f>
        <v/>
      </c>
      <c r="F1664">
        <f>Sources!H1664</f>
        <v/>
      </c>
      <c r="G1664">
        <f>IF(ABS(F1664-ROUND(F1664,0))&lt;0.001,1,0)</f>
        <v/>
      </c>
      <c r="H1664">
        <f>IF(G1664=1,F1664,CEILING(F1664,1))</f>
        <v/>
      </c>
      <c r="I1664">
        <f>IF(G1664=1,0,(H1664-F1664)*E1664)</f>
        <v/>
      </c>
      <c r="J1664">
        <f>E1664*F1664</f>
        <v/>
      </c>
    </row>
    <row r="1665">
      <c r="A1665">
        <f>Sources!A1665</f>
        <v/>
      </c>
      <c r="B1665">
        <f>Sources!B1665</f>
        <v/>
      </c>
      <c r="C1665">
        <f>Sources!D1665</f>
        <v/>
      </c>
      <c r="D1665">
        <f>Sources!E1665</f>
        <v/>
      </c>
      <c r="E1665">
        <f>Sources!F1665</f>
        <v/>
      </c>
      <c r="F1665">
        <f>Sources!H1665</f>
        <v/>
      </c>
      <c r="G1665">
        <f>IF(ABS(F1665-ROUND(F1665,0))&lt;0.001,1,0)</f>
        <v/>
      </c>
      <c r="H1665">
        <f>IF(G1665=1,F1665,CEILING(F1665,1))</f>
        <v/>
      </c>
      <c r="I1665">
        <f>IF(G1665=1,0,(H1665-F1665)*E1665)</f>
        <v/>
      </c>
      <c r="J1665">
        <f>E1665*F1665</f>
        <v/>
      </c>
    </row>
    <row r="1666">
      <c r="A1666">
        <f>Sources!A1666</f>
        <v/>
      </c>
      <c r="B1666">
        <f>Sources!B1666</f>
        <v/>
      </c>
      <c r="C1666">
        <f>Sources!D1666</f>
        <v/>
      </c>
      <c r="D1666">
        <f>Sources!E1666</f>
        <v/>
      </c>
      <c r="E1666">
        <f>Sources!F1666</f>
        <v/>
      </c>
      <c r="F1666">
        <f>Sources!H1666</f>
        <v/>
      </c>
      <c r="G1666">
        <f>IF(ABS(F1666-ROUND(F1666,0))&lt;0.001,1,0)</f>
        <v/>
      </c>
      <c r="H1666">
        <f>IF(G1666=1,F1666,CEILING(F1666,1))</f>
        <v/>
      </c>
      <c r="I1666">
        <f>IF(G1666=1,0,(H1666-F1666)*E1666)</f>
        <v/>
      </c>
      <c r="J1666">
        <f>E1666*F1666</f>
        <v/>
      </c>
    </row>
    <row r="1667">
      <c r="A1667">
        <f>Sources!A1667</f>
        <v/>
      </c>
      <c r="B1667">
        <f>Sources!B1667</f>
        <v/>
      </c>
      <c r="C1667">
        <f>Sources!D1667</f>
        <v/>
      </c>
      <c r="D1667">
        <f>Sources!E1667</f>
        <v/>
      </c>
      <c r="E1667">
        <f>Sources!F1667</f>
        <v/>
      </c>
      <c r="F1667">
        <f>Sources!H1667</f>
        <v/>
      </c>
      <c r="G1667">
        <f>IF(ABS(F1667-ROUND(F1667,0))&lt;0.001,1,0)</f>
        <v/>
      </c>
      <c r="H1667">
        <f>IF(G1667=1,F1667,CEILING(F1667,1))</f>
        <v/>
      </c>
      <c r="I1667">
        <f>IF(G1667=1,0,(H1667-F1667)*E1667)</f>
        <v/>
      </c>
      <c r="J1667">
        <f>E1667*F1667</f>
        <v/>
      </c>
    </row>
    <row r="1668">
      <c r="A1668">
        <f>Sources!A1668</f>
        <v/>
      </c>
      <c r="B1668">
        <f>Sources!B1668</f>
        <v/>
      </c>
      <c r="C1668">
        <f>Sources!D1668</f>
        <v/>
      </c>
      <c r="D1668">
        <f>Sources!E1668</f>
        <v/>
      </c>
      <c r="E1668">
        <f>Sources!F1668</f>
        <v/>
      </c>
      <c r="F1668">
        <f>Sources!H1668</f>
        <v/>
      </c>
      <c r="G1668">
        <f>IF(ABS(F1668-ROUND(F1668,0))&lt;0.001,1,0)</f>
        <v/>
      </c>
      <c r="H1668">
        <f>IF(G1668=1,F1668,CEILING(F1668,1))</f>
        <v/>
      </c>
      <c r="I1668">
        <f>IF(G1668=1,0,(H1668-F1668)*E1668)</f>
        <v/>
      </c>
      <c r="J1668">
        <f>E1668*F1668</f>
        <v/>
      </c>
    </row>
    <row r="1669">
      <c r="A1669">
        <f>Sources!A1669</f>
        <v/>
      </c>
      <c r="B1669">
        <f>Sources!B1669</f>
        <v/>
      </c>
      <c r="C1669">
        <f>Sources!D1669</f>
        <v/>
      </c>
      <c r="D1669">
        <f>Sources!E1669</f>
        <v/>
      </c>
      <c r="E1669">
        <f>Sources!F1669</f>
        <v/>
      </c>
      <c r="F1669">
        <f>Sources!H1669</f>
        <v/>
      </c>
      <c r="G1669">
        <f>IF(ABS(F1669-ROUND(F1669,0))&lt;0.001,1,0)</f>
        <v/>
      </c>
      <c r="H1669">
        <f>IF(G1669=1,F1669,CEILING(F1669,1))</f>
        <v/>
      </c>
      <c r="I1669">
        <f>IF(G1669=1,0,(H1669-F1669)*E1669)</f>
        <v/>
      </c>
      <c r="J1669">
        <f>E1669*F1669</f>
        <v/>
      </c>
    </row>
    <row r="1670">
      <c r="A1670">
        <f>Sources!A1670</f>
        <v/>
      </c>
      <c r="B1670">
        <f>Sources!B1670</f>
        <v/>
      </c>
      <c r="C1670">
        <f>Sources!D1670</f>
        <v/>
      </c>
      <c r="D1670">
        <f>Sources!E1670</f>
        <v/>
      </c>
      <c r="E1670">
        <f>Sources!F1670</f>
        <v/>
      </c>
      <c r="F1670">
        <f>Sources!H1670</f>
        <v/>
      </c>
      <c r="G1670">
        <f>IF(ABS(F1670-ROUND(F1670,0))&lt;0.001,1,0)</f>
        <v/>
      </c>
      <c r="H1670">
        <f>IF(G1670=1,F1670,CEILING(F1670,1))</f>
        <v/>
      </c>
      <c r="I1670">
        <f>IF(G1670=1,0,(H1670-F1670)*E1670)</f>
        <v/>
      </c>
      <c r="J1670">
        <f>E1670*F1670</f>
        <v/>
      </c>
    </row>
    <row r="1671">
      <c r="A1671">
        <f>Sources!A1671</f>
        <v/>
      </c>
      <c r="B1671">
        <f>Sources!B1671</f>
        <v/>
      </c>
      <c r="C1671">
        <f>Sources!D1671</f>
        <v/>
      </c>
      <c r="D1671">
        <f>Sources!E1671</f>
        <v/>
      </c>
      <c r="E1671">
        <f>Sources!F1671</f>
        <v/>
      </c>
      <c r="F1671">
        <f>Sources!H1671</f>
        <v/>
      </c>
      <c r="G1671">
        <f>IF(ABS(F1671-ROUND(F1671,0))&lt;0.001,1,0)</f>
        <v/>
      </c>
      <c r="H1671">
        <f>IF(G1671=1,F1671,CEILING(F1671,1))</f>
        <v/>
      </c>
      <c r="I1671">
        <f>IF(G1671=1,0,(H1671-F1671)*E1671)</f>
        <v/>
      </c>
      <c r="J1671">
        <f>E1671*F1671</f>
        <v/>
      </c>
    </row>
    <row r="1672">
      <c r="A1672">
        <f>Sources!A1672</f>
        <v/>
      </c>
      <c r="B1672">
        <f>Sources!B1672</f>
        <v/>
      </c>
      <c r="C1672">
        <f>Sources!D1672</f>
        <v/>
      </c>
      <c r="D1672">
        <f>Sources!E1672</f>
        <v/>
      </c>
      <c r="E1672">
        <f>Sources!F1672</f>
        <v/>
      </c>
      <c r="F1672">
        <f>Sources!H1672</f>
        <v/>
      </c>
      <c r="G1672">
        <f>IF(ABS(F1672-ROUND(F1672,0))&lt;0.001,1,0)</f>
        <v/>
      </c>
      <c r="H1672">
        <f>IF(G1672=1,F1672,CEILING(F1672,1))</f>
        <v/>
      </c>
      <c r="I1672">
        <f>IF(G1672=1,0,(H1672-F1672)*E1672)</f>
        <v/>
      </c>
      <c r="J1672">
        <f>E1672*F1672</f>
        <v/>
      </c>
    </row>
    <row r="1673">
      <c r="A1673">
        <f>Sources!A1673</f>
        <v/>
      </c>
      <c r="B1673">
        <f>Sources!B1673</f>
        <v/>
      </c>
      <c r="C1673">
        <f>Sources!D1673</f>
        <v/>
      </c>
      <c r="D1673">
        <f>Sources!E1673</f>
        <v/>
      </c>
      <c r="E1673">
        <f>Sources!F1673</f>
        <v/>
      </c>
      <c r="F1673">
        <f>Sources!H1673</f>
        <v/>
      </c>
      <c r="G1673">
        <f>IF(ABS(F1673-ROUND(F1673,0))&lt;0.001,1,0)</f>
        <v/>
      </c>
      <c r="H1673">
        <f>IF(G1673=1,F1673,CEILING(F1673,1))</f>
        <v/>
      </c>
      <c r="I1673">
        <f>IF(G1673=1,0,(H1673-F1673)*E1673)</f>
        <v/>
      </c>
      <c r="J1673">
        <f>E1673*F1673</f>
        <v/>
      </c>
    </row>
    <row r="1674">
      <c r="A1674">
        <f>Sources!A1674</f>
        <v/>
      </c>
      <c r="B1674">
        <f>Sources!B1674</f>
        <v/>
      </c>
      <c r="C1674">
        <f>Sources!D1674</f>
        <v/>
      </c>
      <c r="D1674">
        <f>Sources!E1674</f>
        <v/>
      </c>
      <c r="E1674">
        <f>Sources!F1674</f>
        <v/>
      </c>
      <c r="F1674">
        <f>Sources!H1674</f>
        <v/>
      </c>
      <c r="G1674">
        <f>IF(ABS(F1674-ROUND(F1674,0))&lt;0.001,1,0)</f>
        <v/>
      </c>
      <c r="H1674">
        <f>IF(G1674=1,F1674,CEILING(F1674,1))</f>
        <v/>
      </c>
      <c r="I1674">
        <f>IF(G1674=1,0,(H1674-F1674)*E1674)</f>
        <v/>
      </c>
      <c r="J1674">
        <f>E1674*F1674</f>
        <v/>
      </c>
    </row>
    <row r="1675">
      <c r="A1675">
        <f>Sources!A1675</f>
        <v/>
      </c>
      <c r="B1675">
        <f>Sources!B1675</f>
        <v/>
      </c>
      <c r="C1675">
        <f>Sources!D1675</f>
        <v/>
      </c>
      <c r="D1675">
        <f>Sources!E1675</f>
        <v/>
      </c>
      <c r="E1675">
        <f>Sources!F1675</f>
        <v/>
      </c>
      <c r="F1675">
        <f>Sources!H1675</f>
        <v/>
      </c>
      <c r="G1675">
        <f>IF(ABS(F1675-ROUND(F1675,0))&lt;0.001,1,0)</f>
        <v/>
      </c>
      <c r="H1675">
        <f>IF(G1675=1,F1675,CEILING(F1675,1))</f>
        <v/>
      </c>
      <c r="I1675">
        <f>IF(G1675=1,0,(H1675-F1675)*E1675)</f>
        <v/>
      </c>
      <c r="J1675">
        <f>E1675*F1675</f>
        <v/>
      </c>
    </row>
    <row r="1676">
      <c r="A1676">
        <f>Sources!A1676</f>
        <v/>
      </c>
      <c r="B1676">
        <f>Sources!B1676</f>
        <v/>
      </c>
      <c r="C1676">
        <f>Sources!D1676</f>
        <v/>
      </c>
      <c r="D1676">
        <f>Sources!E1676</f>
        <v/>
      </c>
      <c r="E1676">
        <f>Sources!F1676</f>
        <v/>
      </c>
      <c r="F1676">
        <f>Sources!H1676</f>
        <v/>
      </c>
      <c r="G1676">
        <f>IF(ABS(F1676-ROUND(F1676,0))&lt;0.001,1,0)</f>
        <v/>
      </c>
      <c r="H1676">
        <f>IF(G1676=1,F1676,CEILING(F1676,1))</f>
        <v/>
      </c>
      <c r="I1676">
        <f>IF(G1676=1,0,(H1676-F1676)*E1676)</f>
        <v/>
      </c>
      <c r="J1676">
        <f>E1676*F1676</f>
        <v/>
      </c>
    </row>
    <row r="1677">
      <c r="A1677">
        <f>Sources!A1677</f>
        <v/>
      </c>
      <c r="B1677">
        <f>Sources!B1677</f>
        <v/>
      </c>
      <c r="C1677">
        <f>Sources!D1677</f>
        <v/>
      </c>
      <c r="D1677">
        <f>Sources!E1677</f>
        <v/>
      </c>
      <c r="E1677">
        <f>Sources!F1677</f>
        <v/>
      </c>
      <c r="F1677">
        <f>Sources!H1677</f>
        <v/>
      </c>
      <c r="G1677">
        <f>IF(ABS(F1677-ROUND(F1677,0))&lt;0.001,1,0)</f>
        <v/>
      </c>
      <c r="H1677">
        <f>IF(G1677=1,F1677,CEILING(F1677,1))</f>
        <v/>
      </c>
      <c r="I1677">
        <f>IF(G1677=1,0,(H1677-F1677)*E1677)</f>
        <v/>
      </c>
      <c r="J1677">
        <f>E1677*F1677</f>
        <v/>
      </c>
    </row>
    <row r="1678">
      <c r="A1678">
        <f>Sources!A1678</f>
        <v/>
      </c>
      <c r="B1678">
        <f>Sources!B1678</f>
        <v/>
      </c>
      <c r="C1678">
        <f>Sources!D1678</f>
        <v/>
      </c>
      <c r="D1678">
        <f>Sources!E1678</f>
        <v/>
      </c>
      <c r="E1678">
        <f>Sources!F1678</f>
        <v/>
      </c>
      <c r="F1678">
        <f>Sources!H1678</f>
        <v/>
      </c>
      <c r="G1678">
        <f>IF(ABS(F1678-ROUND(F1678,0))&lt;0.001,1,0)</f>
        <v/>
      </c>
      <c r="H1678">
        <f>IF(G1678=1,F1678,CEILING(F1678,1))</f>
        <v/>
      </c>
      <c r="I1678">
        <f>IF(G1678=1,0,(H1678-F1678)*E1678)</f>
        <v/>
      </c>
      <c r="J1678">
        <f>E1678*F1678</f>
        <v/>
      </c>
    </row>
    <row r="1679">
      <c r="A1679">
        <f>Sources!A1679</f>
        <v/>
      </c>
      <c r="B1679">
        <f>Sources!B1679</f>
        <v/>
      </c>
      <c r="C1679">
        <f>Sources!D1679</f>
        <v/>
      </c>
      <c r="D1679">
        <f>Sources!E1679</f>
        <v/>
      </c>
      <c r="E1679">
        <f>Sources!F1679</f>
        <v/>
      </c>
      <c r="F1679">
        <f>Sources!H1679</f>
        <v/>
      </c>
      <c r="G1679">
        <f>IF(ABS(F1679-ROUND(F1679,0))&lt;0.001,1,0)</f>
        <v/>
      </c>
      <c r="H1679">
        <f>IF(G1679=1,F1679,CEILING(F1679,1))</f>
        <v/>
      </c>
      <c r="I1679">
        <f>IF(G1679=1,0,(H1679-F1679)*E1679)</f>
        <v/>
      </c>
      <c r="J1679">
        <f>E1679*F1679</f>
        <v/>
      </c>
    </row>
    <row r="1680">
      <c r="A1680">
        <f>Sources!A1680</f>
        <v/>
      </c>
      <c r="B1680">
        <f>Sources!B1680</f>
        <v/>
      </c>
      <c r="C1680">
        <f>Sources!D1680</f>
        <v/>
      </c>
      <c r="D1680">
        <f>Sources!E1680</f>
        <v/>
      </c>
      <c r="E1680">
        <f>Sources!F1680</f>
        <v/>
      </c>
      <c r="F1680">
        <f>Sources!H1680</f>
        <v/>
      </c>
      <c r="G1680">
        <f>IF(ABS(F1680-ROUND(F1680,0))&lt;0.001,1,0)</f>
        <v/>
      </c>
      <c r="H1680">
        <f>IF(G1680=1,F1680,CEILING(F1680,1))</f>
        <v/>
      </c>
      <c r="I1680">
        <f>IF(G1680=1,0,(H1680-F1680)*E1680)</f>
        <v/>
      </c>
      <c r="J1680">
        <f>E1680*F1680</f>
        <v/>
      </c>
    </row>
    <row r="1681">
      <c r="A1681">
        <f>Sources!A1681</f>
        <v/>
      </c>
      <c r="B1681">
        <f>Sources!B1681</f>
        <v/>
      </c>
      <c r="C1681">
        <f>Sources!D1681</f>
        <v/>
      </c>
      <c r="D1681">
        <f>Sources!E1681</f>
        <v/>
      </c>
      <c r="E1681">
        <f>Sources!F1681</f>
        <v/>
      </c>
      <c r="F1681">
        <f>Sources!H1681</f>
        <v/>
      </c>
      <c r="G1681">
        <f>IF(ABS(F1681-ROUND(F1681,0))&lt;0.001,1,0)</f>
        <v/>
      </c>
      <c r="H1681">
        <f>IF(G1681=1,F1681,CEILING(F1681,1))</f>
        <v/>
      </c>
      <c r="I1681">
        <f>IF(G1681=1,0,(H1681-F1681)*E1681)</f>
        <v/>
      </c>
      <c r="J1681">
        <f>E1681*F1681</f>
        <v/>
      </c>
    </row>
    <row r="1682">
      <c r="A1682">
        <f>Sources!A1682</f>
        <v/>
      </c>
      <c r="B1682">
        <f>Sources!B1682</f>
        <v/>
      </c>
      <c r="C1682">
        <f>Sources!D1682</f>
        <v/>
      </c>
      <c r="D1682">
        <f>Sources!E1682</f>
        <v/>
      </c>
      <c r="E1682">
        <f>Sources!F1682</f>
        <v/>
      </c>
      <c r="F1682">
        <f>Sources!H1682</f>
        <v/>
      </c>
      <c r="G1682">
        <f>IF(ABS(F1682-ROUND(F1682,0))&lt;0.001,1,0)</f>
        <v/>
      </c>
      <c r="H1682">
        <f>IF(G1682=1,F1682,CEILING(F1682,1))</f>
        <v/>
      </c>
      <c r="I1682">
        <f>IF(G1682=1,0,(H1682-F1682)*E1682)</f>
        <v/>
      </c>
      <c r="J1682">
        <f>E1682*F1682</f>
        <v/>
      </c>
    </row>
    <row r="1683">
      <c r="A1683">
        <f>Sources!A1683</f>
        <v/>
      </c>
      <c r="B1683">
        <f>Sources!B1683</f>
        <v/>
      </c>
      <c r="C1683">
        <f>Sources!D1683</f>
        <v/>
      </c>
      <c r="D1683">
        <f>Sources!E1683</f>
        <v/>
      </c>
      <c r="E1683">
        <f>Sources!F1683</f>
        <v/>
      </c>
      <c r="F1683">
        <f>Sources!H1683</f>
        <v/>
      </c>
      <c r="G1683">
        <f>IF(ABS(F1683-ROUND(F1683,0))&lt;0.001,1,0)</f>
        <v/>
      </c>
      <c r="H1683">
        <f>IF(G1683=1,F1683,CEILING(F1683,1))</f>
        <v/>
      </c>
      <c r="I1683">
        <f>IF(G1683=1,0,(H1683-F1683)*E1683)</f>
        <v/>
      </c>
      <c r="J1683">
        <f>E1683*F1683</f>
        <v/>
      </c>
    </row>
    <row r="1684">
      <c r="A1684">
        <f>Sources!A1684</f>
        <v/>
      </c>
      <c r="B1684">
        <f>Sources!B1684</f>
        <v/>
      </c>
      <c r="C1684">
        <f>Sources!D1684</f>
        <v/>
      </c>
      <c r="D1684">
        <f>Sources!E1684</f>
        <v/>
      </c>
      <c r="E1684">
        <f>Sources!F1684</f>
        <v/>
      </c>
      <c r="F1684">
        <f>Sources!H1684</f>
        <v/>
      </c>
      <c r="G1684">
        <f>IF(ABS(F1684-ROUND(F1684,0))&lt;0.001,1,0)</f>
        <v/>
      </c>
      <c r="H1684">
        <f>IF(G1684=1,F1684,CEILING(F1684,1))</f>
        <v/>
      </c>
      <c r="I1684">
        <f>IF(G1684=1,0,(H1684-F1684)*E1684)</f>
        <v/>
      </c>
      <c r="J1684">
        <f>E1684*F1684</f>
        <v/>
      </c>
    </row>
    <row r="1685">
      <c r="A1685">
        <f>Sources!A1685</f>
        <v/>
      </c>
      <c r="B1685">
        <f>Sources!B1685</f>
        <v/>
      </c>
      <c r="C1685">
        <f>Sources!D1685</f>
        <v/>
      </c>
      <c r="D1685">
        <f>Sources!E1685</f>
        <v/>
      </c>
      <c r="E1685">
        <f>Sources!F1685</f>
        <v/>
      </c>
      <c r="F1685">
        <f>Sources!H1685</f>
        <v/>
      </c>
      <c r="G1685">
        <f>IF(ABS(F1685-ROUND(F1685,0))&lt;0.001,1,0)</f>
        <v/>
      </c>
      <c r="H1685">
        <f>IF(G1685=1,F1685,CEILING(F1685,1))</f>
        <v/>
      </c>
      <c r="I1685">
        <f>IF(G1685=1,0,(H1685-F1685)*E1685)</f>
        <v/>
      </c>
      <c r="J1685">
        <f>E1685*F1685</f>
        <v/>
      </c>
    </row>
    <row r="1686">
      <c r="A1686">
        <f>Sources!A1686</f>
        <v/>
      </c>
      <c r="B1686">
        <f>Sources!B1686</f>
        <v/>
      </c>
      <c r="C1686">
        <f>Sources!D1686</f>
        <v/>
      </c>
      <c r="D1686">
        <f>Sources!E1686</f>
        <v/>
      </c>
      <c r="E1686">
        <f>Sources!F1686</f>
        <v/>
      </c>
      <c r="F1686">
        <f>Sources!H1686</f>
        <v/>
      </c>
      <c r="G1686">
        <f>IF(ABS(F1686-ROUND(F1686,0))&lt;0.001,1,0)</f>
        <v/>
      </c>
      <c r="H1686">
        <f>IF(G1686=1,F1686,CEILING(F1686,1))</f>
        <v/>
      </c>
      <c r="I1686">
        <f>IF(G1686=1,0,(H1686-F1686)*E1686)</f>
        <v/>
      </c>
      <c r="J1686">
        <f>E1686*F1686</f>
        <v/>
      </c>
    </row>
    <row r="1687">
      <c r="A1687">
        <f>Sources!A1687</f>
        <v/>
      </c>
      <c r="B1687">
        <f>Sources!B1687</f>
        <v/>
      </c>
      <c r="C1687">
        <f>Sources!D1687</f>
        <v/>
      </c>
      <c r="D1687">
        <f>Sources!E1687</f>
        <v/>
      </c>
      <c r="E1687">
        <f>Sources!F1687</f>
        <v/>
      </c>
      <c r="F1687">
        <f>Sources!H1687</f>
        <v/>
      </c>
      <c r="G1687">
        <f>IF(ABS(F1687-ROUND(F1687,0))&lt;0.001,1,0)</f>
        <v/>
      </c>
      <c r="H1687">
        <f>IF(G1687=1,F1687,CEILING(F1687,1))</f>
        <v/>
      </c>
      <c r="I1687">
        <f>IF(G1687=1,0,(H1687-F1687)*E1687)</f>
        <v/>
      </c>
      <c r="J1687">
        <f>E1687*F1687</f>
        <v/>
      </c>
    </row>
    <row r="1688">
      <c r="A1688">
        <f>Sources!A1688</f>
        <v/>
      </c>
      <c r="B1688">
        <f>Sources!B1688</f>
        <v/>
      </c>
      <c r="C1688">
        <f>Sources!D1688</f>
        <v/>
      </c>
      <c r="D1688">
        <f>Sources!E1688</f>
        <v/>
      </c>
      <c r="E1688">
        <f>Sources!F1688</f>
        <v/>
      </c>
      <c r="F1688">
        <f>Sources!H1688</f>
        <v/>
      </c>
      <c r="G1688">
        <f>IF(ABS(F1688-ROUND(F1688,0))&lt;0.001,1,0)</f>
        <v/>
      </c>
      <c r="H1688">
        <f>IF(G1688=1,F1688,CEILING(F1688,1))</f>
        <v/>
      </c>
      <c r="I1688">
        <f>IF(G1688=1,0,(H1688-F1688)*E1688)</f>
        <v/>
      </c>
      <c r="J1688">
        <f>E1688*F1688</f>
        <v/>
      </c>
    </row>
    <row r="1689">
      <c r="A1689">
        <f>Sources!A1689</f>
        <v/>
      </c>
      <c r="B1689">
        <f>Sources!B1689</f>
        <v/>
      </c>
      <c r="C1689">
        <f>Sources!D1689</f>
        <v/>
      </c>
      <c r="D1689">
        <f>Sources!E1689</f>
        <v/>
      </c>
      <c r="E1689">
        <f>Sources!F1689</f>
        <v/>
      </c>
      <c r="F1689">
        <f>Sources!H1689</f>
        <v/>
      </c>
      <c r="G1689">
        <f>IF(ABS(F1689-ROUND(F1689,0))&lt;0.001,1,0)</f>
        <v/>
      </c>
      <c r="H1689">
        <f>IF(G1689=1,F1689,CEILING(F1689,1))</f>
        <v/>
      </c>
      <c r="I1689">
        <f>IF(G1689=1,0,(H1689-F1689)*E1689)</f>
        <v/>
      </c>
      <c r="J1689">
        <f>E1689*F1689</f>
        <v/>
      </c>
    </row>
    <row r="1690">
      <c r="A1690">
        <f>Sources!A1690</f>
        <v/>
      </c>
      <c r="B1690">
        <f>Sources!B1690</f>
        <v/>
      </c>
      <c r="C1690">
        <f>Sources!D1690</f>
        <v/>
      </c>
      <c r="D1690">
        <f>Sources!E1690</f>
        <v/>
      </c>
      <c r="E1690">
        <f>Sources!F1690</f>
        <v/>
      </c>
      <c r="F1690">
        <f>Sources!H1690</f>
        <v/>
      </c>
      <c r="G1690">
        <f>IF(ABS(F1690-ROUND(F1690,0))&lt;0.001,1,0)</f>
        <v/>
      </c>
      <c r="H1690">
        <f>IF(G1690=1,F1690,CEILING(F1690,1))</f>
        <v/>
      </c>
      <c r="I1690">
        <f>IF(G1690=1,0,(H1690-F1690)*E1690)</f>
        <v/>
      </c>
      <c r="J1690">
        <f>E1690*F1690</f>
        <v/>
      </c>
    </row>
    <row r="1691">
      <c r="A1691">
        <f>Sources!A1691</f>
        <v/>
      </c>
      <c r="B1691">
        <f>Sources!B1691</f>
        <v/>
      </c>
      <c r="C1691">
        <f>Sources!D1691</f>
        <v/>
      </c>
      <c r="D1691">
        <f>Sources!E1691</f>
        <v/>
      </c>
      <c r="E1691">
        <f>Sources!F1691</f>
        <v/>
      </c>
      <c r="F1691">
        <f>Sources!H1691</f>
        <v/>
      </c>
      <c r="G1691">
        <f>IF(ABS(F1691-ROUND(F1691,0))&lt;0.001,1,0)</f>
        <v/>
      </c>
      <c r="H1691">
        <f>IF(G1691=1,F1691,CEILING(F1691,1))</f>
        <v/>
      </c>
      <c r="I1691">
        <f>IF(G1691=1,0,(H1691-F1691)*E1691)</f>
        <v/>
      </c>
      <c r="J1691">
        <f>E1691*F1691</f>
        <v/>
      </c>
    </row>
    <row r="1692">
      <c r="A1692">
        <f>Sources!A1692</f>
        <v/>
      </c>
      <c r="B1692">
        <f>Sources!B1692</f>
        <v/>
      </c>
      <c r="C1692">
        <f>Sources!D1692</f>
        <v/>
      </c>
      <c r="D1692">
        <f>Sources!E1692</f>
        <v/>
      </c>
      <c r="E1692">
        <f>Sources!F1692</f>
        <v/>
      </c>
      <c r="F1692">
        <f>Sources!H1692</f>
        <v/>
      </c>
      <c r="G1692">
        <f>IF(ABS(F1692-ROUND(F1692,0))&lt;0.001,1,0)</f>
        <v/>
      </c>
      <c r="H1692">
        <f>IF(G1692=1,F1692,CEILING(F1692,1))</f>
        <v/>
      </c>
      <c r="I1692">
        <f>IF(G1692=1,0,(H1692-F1692)*E1692)</f>
        <v/>
      </c>
      <c r="J1692">
        <f>E1692*F1692</f>
        <v/>
      </c>
    </row>
    <row r="1693">
      <c r="A1693">
        <f>Sources!A1693</f>
        <v/>
      </c>
      <c r="B1693">
        <f>Sources!B1693</f>
        <v/>
      </c>
      <c r="C1693">
        <f>Sources!D1693</f>
        <v/>
      </c>
      <c r="D1693">
        <f>Sources!E1693</f>
        <v/>
      </c>
      <c r="E1693">
        <f>Sources!F1693</f>
        <v/>
      </c>
      <c r="F1693">
        <f>Sources!H1693</f>
        <v/>
      </c>
      <c r="G1693">
        <f>IF(ABS(F1693-ROUND(F1693,0))&lt;0.001,1,0)</f>
        <v/>
      </c>
      <c r="H1693">
        <f>IF(G1693=1,F1693,CEILING(F1693,1))</f>
        <v/>
      </c>
      <c r="I1693">
        <f>IF(G1693=1,0,(H1693-F1693)*E1693)</f>
        <v/>
      </c>
      <c r="J1693">
        <f>E1693*F1693</f>
        <v/>
      </c>
    </row>
    <row r="1694">
      <c r="A1694">
        <f>Sources!A1694</f>
        <v/>
      </c>
      <c r="B1694">
        <f>Sources!B1694</f>
        <v/>
      </c>
      <c r="C1694">
        <f>Sources!D1694</f>
        <v/>
      </c>
      <c r="D1694">
        <f>Sources!E1694</f>
        <v/>
      </c>
      <c r="E1694">
        <f>Sources!F1694</f>
        <v/>
      </c>
      <c r="F1694">
        <f>Sources!H1694</f>
        <v/>
      </c>
      <c r="G1694">
        <f>IF(ABS(F1694-ROUND(F1694,0))&lt;0.001,1,0)</f>
        <v/>
      </c>
      <c r="H1694">
        <f>IF(G1694=1,F1694,CEILING(F1694,1))</f>
        <v/>
      </c>
      <c r="I1694">
        <f>IF(G1694=1,0,(H1694-F1694)*E1694)</f>
        <v/>
      </c>
      <c r="J1694">
        <f>E1694*F1694</f>
        <v/>
      </c>
    </row>
    <row r="1695">
      <c r="A1695">
        <f>Sources!A1695</f>
        <v/>
      </c>
      <c r="B1695">
        <f>Sources!B1695</f>
        <v/>
      </c>
      <c r="C1695">
        <f>Sources!D1695</f>
        <v/>
      </c>
      <c r="D1695">
        <f>Sources!E1695</f>
        <v/>
      </c>
      <c r="E1695">
        <f>Sources!F1695</f>
        <v/>
      </c>
      <c r="F1695">
        <f>Sources!H1695</f>
        <v/>
      </c>
      <c r="G1695">
        <f>IF(ABS(F1695-ROUND(F1695,0))&lt;0.001,1,0)</f>
        <v/>
      </c>
      <c r="H1695">
        <f>IF(G1695=1,F1695,CEILING(F1695,1))</f>
        <v/>
      </c>
      <c r="I1695">
        <f>IF(G1695=1,0,(H1695-F1695)*E1695)</f>
        <v/>
      </c>
      <c r="J1695">
        <f>E1695*F1695</f>
        <v/>
      </c>
    </row>
    <row r="1696">
      <c r="A1696">
        <f>Sources!A1696</f>
        <v/>
      </c>
      <c r="B1696">
        <f>Sources!B1696</f>
        <v/>
      </c>
      <c r="C1696">
        <f>Sources!D1696</f>
        <v/>
      </c>
      <c r="D1696">
        <f>Sources!E1696</f>
        <v/>
      </c>
      <c r="E1696">
        <f>Sources!F1696</f>
        <v/>
      </c>
      <c r="F1696">
        <f>Sources!H1696</f>
        <v/>
      </c>
      <c r="G1696">
        <f>IF(ABS(F1696-ROUND(F1696,0))&lt;0.001,1,0)</f>
        <v/>
      </c>
      <c r="H1696">
        <f>IF(G1696=1,F1696,CEILING(F1696,1))</f>
        <v/>
      </c>
      <c r="I1696">
        <f>IF(G1696=1,0,(H1696-F1696)*E1696)</f>
        <v/>
      </c>
      <c r="J1696">
        <f>E1696*F1696</f>
        <v/>
      </c>
    </row>
    <row r="1697">
      <c r="A1697">
        <f>Sources!A1697</f>
        <v/>
      </c>
      <c r="B1697">
        <f>Sources!B1697</f>
        <v/>
      </c>
      <c r="C1697">
        <f>Sources!D1697</f>
        <v/>
      </c>
      <c r="D1697">
        <f>Sources!E1697</f>
        <v/>
      </c>
      <c r="E1697">
        <f>Sources!F1697</f>
        <v/>
      </c>
      <c r="F1697">
        <f>Sources!H1697</f>
        <v/>
      </c>
      <c r="G1697">
        <f>IF(ABS(F1697-ROUND(F1697,0))&lt;0.001,1,0)</f>
        <v/>
      </c>
      <c r="H1697">
        <f>IF(G1697=1,F1697,CEILING(F1697,1))</f>
        <v/>
      </c>
      <c r="I1697">
        <f>IF(G1697=1,0,(H1697-F1697)*E1697)</f>
        <v/>
      </c>
      <c r="J1697">
        <f>E1697*F1697</f>
        <v/>
      </c>
    </row>
    <row r="1698">
      <c r="A1698">
        <f>Sources!A1698</f>
        <v/>
      </c>
      <c r="B1698">
        <f>Sources!B1698</f>
        <v/>
      </c>
      <c r="C1698">
        <f>Sources!D1698</f>
        <v/>
      </c>
      <c r="D1698">
        <f>Sources!E1698</f>
        <v/>
      </c>
      <c r="E1698">
        <f>Sources!F1698</f>
        <v/>
      </c>
      <c r="F1698">
        <f>Sources!H1698</f>
        <v/>
      </c>
      <c r="G1698">
        <f>IF(ABS(F1698-ROUND(F1698,0))&lt;0.001,1,0)</f>
        <v/>
      </c>
      <c r="H1698">
        <f>IF(G1698=1,F1698,CEILING(F1698,1))</f>
        <v/>
      </c>
      <c r="I1698">
        <f>IF(G1698=1,0,(H1698-F1698)*E1698)</f>
        <v/>
      </c>
      <c r="J1698">
        <f>E1698*F1698</f>
        <v/>
      </c>
    </row>
    <row r="1699">
      <c r="A1699">
        <f>Sources!A1699</f>
        <v/>
      </c>
      <c r="B1699">
        <f>Sources!B1699</f>
        <v/>
      </c>
      <c r="C1699">
        <f>Sources!D1699</f>
        <v/>
      </c>
      <c r="D1699">
        <f>Sources!E1699</f>
        <v/>
      </c>
      <c r="E1699">
        <f>Sources!F1699</f>
        <v/>
      </c>
      <c r="F1699">
        <f>Sources!H1699</f>
        <v/>
      </c>
      <c r="G1699">
        <f>IF(ABS(F1699-ROUND(F1699,0))&lt;0.001,1,0)</f>
        <v/>
      </c>
      <c r="H1699">
        <f>IF(G1699=1,F1699,CEILING(F1699,1))</f>
        <v/>
      </c>
      <c r="I1699">
        <f>IF(G1699=1,0,(H1699-F1699)*E1699)</f>
        <v/>
      </c>
      <c r="J1699">
        <f>E1699*F1699</f>
        <v/>
      </c>
    </row>
    <row r="1700">
      <c r="A1700">
        <f>Sources!A1700</f>
        <v/>
      </c>
      <c r="B1700">
        <f>Sources!B1700</f>
        <v/>
      </c>
      <c r="C1700">
        <f>Sources!D1700</f>
        <v/>
      </c>
      <c r="D1700">
        <f>Sources!E1700</f>
        <v/>
      </c>
      <c r="E1700">
        <f>Sources!F1700</f>
        <v/>
      </c>
      <c r="F1700">
        <f>Sources!H1700</f>
        <v/>
      </c>
      <c r="G1700">
        <f>IF(ABS(F1700-ROUND(F1700,0))&lt;0.001,1,0)</f>
        <v/>
      </c>
      <c r="H1700">
        <f>IF(G1700=1,F1700,CEILING(F1700,1))</f>
        <v/>
      </c>
      <c r="I1700">
        <f>IF(G1700=1,0,(H1700-F1700)*E1700)</f>
        <v/>
      </c>
      <c r="J1700">
        <f>E1700*F1700</f>
        <v/>
      </c>
    </row>
    <row r="1701">
      <c r="A1701">
        <f>Sources!A1701</f>
        <v/>
      </c>
      <c r="B1701">
        <f>Sources!B1701</f>
        <v/>
      </c>
      <c r="C1701">
        <f>Sources!D1701</f>
        <v/>
      </c>
      <c r="D1701">
        <f>Sources!E1701</f>
        <v/>
      </c>
      <c r="E1701">
        <f>Sources!F1701</f>
        <v/>
      </c>
      <c r="F1701">
        <f>Sources!H1701</f>
        <v/>
      </c>
      <c r="G1701">
        <f>IF(ABS(F1701-ROUND(F1701,0))&lt;0.001,1,0)</f>
        <v/>
      </c>
      <c r="H1701">
        <f>IF(G1701=1,F1701,CEILING(F1701,1))</f>
        <v/>
      </c>
      <c r="I1701">
        <f>IF(G1701=1,0,(H1701-F1701)*E1701)</f>
        <v/>
      </c>
      <c r="J1701">
        <f>E1701*F1701</f>
        <v/>
      </c>
    </row>
    <row r="1702">
      <c r="A1702">
        <f>Sources!A1702</f>
        <v/>
      </c>
      <c r="B1702">
        <f>Sources!B1702</f>
        <v/>
      </c>
      <c r="C1702">
        <f>Sources!D1702</f>
        <v/>
      </c>
      <c r="D1702">
        <f>Sources!E1702</f>
        <v/>
      </c>
      <c r="E1702">
        <f>Sources!F1702</f>
        <v/>
      </c>
      <c r="F1702">
        <f>Sources!H1702</f>
        <v/>
      </c>
      <c r="G1702">
        <f>IF(ABS(F1702-ROUND(F1702,0))&lt;0.001,1,0)</f>
        <v/>
      </c>
      <c r="H1702">
        <f>IF(G1702=1,F1702,CEILING(F1702,1))</f>
        <v/>
      </c>
      <c r="I1702">
        <f>IF(G1702=1,0,(H1702-F1702)*E1702)</f>
        <v/>
      </c>
      <c r="J1702">
        <f>E1702*F1702</f>
        <v/>
      </c>
    </row>
    <row r="1703">
      <c r="A1703">
        <f>Sources!A1703</f>
        <v/>
      </c>
      <c r="B1703">
        <f>Sources!B1703</f>
        <v/>
      </c>
      <c r="C1703">
        <f>Sources!D1703</f>
        <v/>
      </c>
      <c r="D1703">
        <f>Sources!E1703</f>
        <v/>
      </c>
      <c r="E1703">
        <f>Sources!F1703</f>
        <v/>
      </c>
      <c r="F1703">
        <f>Sources!H1703</f>
        <v/>
      </c>
      <c r="G1703">
        <f>IF(ABS(F1703-ROUND(F1703,0))&lt;0.001,1,0)</f>
        <v/>
      </c>
      <c r="H1703">
        <f>IF(G1703=1,F1703,CEILING(F1703,1))</f>
        <v/>
      </c>
      <c r="I1703">
        <f>IF(G1703=1,0,(H1703-F1703)*E1703)</f>
        <v/>
      </c>
      <c r="J1703">
        <f>E1703*F1703</f>
        <v/>
      </c>
    </row>
    <row r="1704">
      <c r="A1704">
        <f>Sources!A1704</f>
        <v/>
      </c>
      <c r="B1704">
        <f>Sources!B1704</f>
        <v/>
      </c>
      <c r="C1704">
        <f>Sources!D1704</f>
        <v/>
      </c>
      <c r="D1704">
        <f>Sources!E1704</f>
        <v/>
      </c>
      <c r="E1704">
        <f>Sources!F1704</f>
        <v/>
      </c>
      <c r="F1704">
        <f>Sources!H1704</f>
        <v/>
      </c>
      <c r="G1704">
        <f>IF(ABS(F1704-ROUND(F1704,0))&lt;0.001,1,0)</f>
        <v/>
      </c>
      <c r="H1704">
        <f>IF(G1704=1,F1704,CEILING(F1704,1))</f>
        <v/>
      </c>
      <c r="I1704">
        <f>IF(G1704=1,0,(H1704-F1704)*E1704)</f>
        <v/>
      </c>
      <c r="J1704">
        <f>E1704*F1704</f>
        <v/>
      </c>
    </row>
    <row r="1705">
      <c r="A1705">
        <f>Sources!A1705</f>
        <v/>
      </c>
      <c r="B1705">
        <f>Sources!B1705</f>
        <v/>
      </c>
      <c r="C1705">
        <f>Sources!D1705</f>
        <v/>
      </c>
      <c r="D1705">
        <f>Sources!E1705</f>
        <v/>
      </c>
      <c r="E1705">
        <f>Sources!F1705</f>
        <v/>
      </c>
      <c r="F1705">
        <f>Sources!H1705</f>
        <v/>
      </c>
      <c r="G1705">
        <f>IF(ABS(F1705-ROUND(F1705,0))&lt;0.001,1,0)</f>
        <v/>
      </c>
      <c r="H1705">
        <f>IF(G1705=1,F1705,CEILING(F1705,1))</f>
        <v/>
      </c>
      <c r="I1705">
        <f>IF(G1705=1,0,(H1705-F1705)*E1705)</f>
        <v/>
      </c>
      <c r="J1705">
        <f>E1705*F1705</f>
        <v/>
      </c>
    </row>
    <row r="1706">
      <c r="A1706">
        <f>Sources!A1706</f>
        <v/>
      </c>
      <c r="B1706">
        <f>Sources!B1706</f>
        <v/>
      </c>
      <c r="C1706">
        <f>Sources!D1706</f>
        <v/>
      </c>
      <c r="D1706">
        <f>Sources!E1706</f>
        <v/>
      </c>
      <c r="E1706">
        <f>Sources!F1706</f>
        <v/>
      </c>
      <c r="F1706">
        <f>Sources!H1706</f>
        <v/>
      </c>
      <c r="G1706">
        <f>IF(ABS(F1706-ROUND(F1706,0))&lt;0.001,1,0)</f>
        <v/>
      </c>
      <c r="H1706">
        <f>IF(G1706=1,F1706,CEILING(F1706,1))</f>
        <v/>
      </c>
      <c r="I1706">
        <f>IF(G1706=1,0,(H1706-F1706)*E1706)</f>
        <v/>
      </c>
      <c r="J1706">
        <f>E1706*F1706</f>
        <v/>
      </c>
    </row>
    <row r="1707">
      <c r="A1707">
        <f>Sources!A1707</f>
        <v/>
      </c>
      <c r="B1707">
        <f>Sources!B1707</f>
        <v/>
      </c>
      <c r="C1707">
        <f>Sources!D1707</f>
        <v/>
      </c>
      <c r="D1707">
        <f>Sources!E1707</f>
        <v/>
      </c>
      <c r="E1707">
        <f>Sources!F1707</f>
        <v/>
      </c>
      <c r="F1707">
        <f>Sources!H1707</f>
        <v/>
      </c>
      <c r="G1707">
        <f>IF(ABS(F1707-ROUND(F1707,0))&lt;0.001,1,0)</f>
        <v/>
      </c>
      <c r="H1707">
        <f>IF(G1707=1,F1707,CEILING(F1707,1))</f>
        <v/>
      </c>
      <c r="I1707">
        <f>IF(G1707=1,0,(H1707-F1707)*E1707)</f>
        <v/>
      </c>
      <c r="J1707">
        <f>E1707*F1707</f>
        <v/>
      </c>
    </row>
    <row r="1708">
      <c r="A1708">
        <f>Sources!A1708</f>
        <v/>
      </c>
      <c r="B1708">
        <f>Sources!B1708</f>
        <v/>
      </c>
      <c r="C1708">
        <f>Sources!D1708</f>
        <v/>
      </c>
      <c r="D1708">
        <f>Sources!E1708</f>
        <v/>
      </c>
      <c r="E1708">
        <f>Sources!F1708</f>
        <v/>
      </c>
      <c r="F1708">
        <f>Sources!H1708</f>
        <v/>
      </c>
      <c r="G1708">
        <f>IF(ABS(F1708-ROUND(F1708,0))&lt;0.001,1,0)</f>
        <v/>
      </c>
      <c r="H1708">
        <f>IF(G1708=1,F1708,CEILING(F1708,1))</f>
        <v/>
      </c>
      <c r="I1708">
        <f>IF(G1708=1,0,(H1708-F1708)*E1708)</f>
        <v/>
      </c>
      <c r="J1708">
        <f>E1708*F1708</f>
        <v/>
      </c>
    </row>
    <row r="1709">
      <c r="A1709">
        <f>Sources!A1709</f>
        <v/>
      </c>
      <c r="B1709">
        <f>Sources!B1709</f>
        <v/>
      </c>
      <c r="C1709">
        <f>Sources!D1709</f>
        <v/>
      </c>
      <c r="D1709">
        <f>Sources!E1709</f>
        <v/>
      </c>
      <c r="E1709">
        <f>Sources!F1709</f>
        <v/>
      </c>
      <c r="F1709">
        <f>Sources!H1709</f>
        <v/>
      </c>
      <c r="G1709">
        <f>IF(ABS(F1709-ROUND(F1709,0))&lt;0.001,1,0)</f>
        <v/>
      </c>
      <c r="H1709">
        <f>IF(G1709=1,F1709,CEILING(F1709,1))</f>
        <v/>
      </c>
      <c r="I1709">
        <f>IF(G1709=1,0,(H1709-F1709)*E1709)</f>
        <v/>
      </c>
      <c r="J1709">
        <f>E1709*F1709</f>
        <v/>
      </c>
    </row>
    <row r="1710">
      <c r="A1710">
        <f>Sources!A1710</f>
        <v/>
      </c>
      <c r="B1710">
        <f>Sources!B1710</f>
        <v/>
      </c>
      <c r="C1710">
        <f>Sources!D1710</f>
        <v/>
      </c>
      <c r="D1710">
        <f>Sources!E1710</f>
        <v/>
      </c>
      <c r="E1710">
        <f>Sources!F1710</f>
        <v/>
      </c>
      <c r="F1710">
        <f>Sources!H1710</f>
        <v/>
      </c>
      <c r="G1710">
        <f>IF(ABS(F1710-ROUND(F1710,0))&lt;0.001,1,0)</f>
        <v/>
      </c>
      <c r="H1710">
        <f>IF(G1710=1,F1710,CEILING(F1710,1))</f>
        <v/>
      </c>
      <c r="I1710">
        <f>IF(G1710=1,0,(H1710-F1710)*E1710)</f>
        <v/>
      </c>
      <c r="J1710">
        <f>E1710*F1710</f>
        <v/>
      </c>
    </row>
    <row r="1711">
      <c r="A1711">
        <f>Sources!A1711</f>
        <v/>
      </c>
      <c r="B1711">
        <f>Sources!B1711</f>
        <v/>
      </c>
      <c r="C1711">
        <f>Sources!D1711</f>
        <v/>
      </c>
      <c r="D1711">
        <f>Sources!E1711</f>
        <v/>
      </c>
      <c r="E1711">
        <f>Sources!F1711</f>
        <v/>
      </c>
      <c r="F1711">
        <f>Sources!H1711</f>
        <v/>
      </c>
      <c r="G1711">
        <f>IF(ABS(F1711-ROUND(F1711,0))&lt;0.001,1,0)</f>
        <v/>
      </c>
      <c r="H1711">
        <f>IF(G1711=1,F1711,CEILING(F1711,1))</f>
        <v/>
      </c>
      <c r="I1711">
        <f>IF(G1711=1,0,(H1711-F1711)*E1711)</f>
        <v/>
      </c>
      <c r="J1711">
        <f>E1711*F1711</f>
        <v/>
      </c>
    </row>
    <row r="1712">
      <c r="A1712">
        <f>Sources!A1712</f>
        <v/>
      </c>
      <c r="B1712">
        <f>Sources!B1712</f>
        <v/>
      </c>
      <c r="C1712">
        <f>Sources!D1712</f>
        <v/>
      </c>
      <c r="D1712">
        <f>Sources!E1712</f>
        <v/>
      </c>
      <c r="E1712">
        <f>Sources!F1712</f>
        <v/>
      </c>
      <c r="F1712">
        <f>Sources!H1712</f>
        <v/>
      </c>
      <c r="G1712">
        <f>IF(ABS(F1712-ROUND(F1712,0))&lt;0.001,1,0)</f>
        <v/>
      </c>
      <c r="H1712">
        <f>IF(G1712=1,F1712,CEILING(F1712,1))</f>
        <v/>
      </c>
      <c r="I1712">
        <f>IF(G1712=1,0,(H1712-F1712)*E1712)</f>
        <v/>
      </c>
      <c r="J1712">
        <f>E1712*F1712</f>
        <v/>
      </c>
    </row>
    <row r="1713">
      <c r="A1713">
        <f>Sources!A1713</f>
        <v/>
      </c>
      <c r="B1713">
        <f>Sources!B1713</f>
        <v/>
      </c>
      <c r="C1713">
        <f>Sources!D1713</f>
        <v/>
      </c>
      <c r="D1713">
        <f>Sources!E1713</f>
        <v/>
      </c>
      <c r="E1713">
        <f>Sources!F1713</f>
        <v/>
      </c>
      <c r="F1713">
        <f>Sources!H1713</f>
        <v/>
      </c>
      <c r="G1713">
        <f>IF(ABS(F1713-ROUND(F1713,0))&lt;0.001,1,0)</f>
        <v/>
      </c>
      <c r="H1713">
        <f>IF(G1713=1,F1713,CEILING(F1713,1))</f>
        <v/>
      </c>
      <c r="I1713">
        <f>IF(G1713=1,0,(H1713-F1713)*E1713)</f>
        <v/>
      </c>
      <c r="J1713">
        <f>E1713*F1713</f>
        <v/>
      </c>
    </row>
    <row r="1714">
      <c r="A1714">
        <f>Sources!A1714</f>
        <v/>
      </c>
      <c r="B1714">
        <f>Sources!B1714</f>
        <v/>
      </c>
      <c r="C1714">
        <f>Sources!D1714</f>
        <v/>
      </c>
      <c r="D1714">
        <f>Sources!E1714</f>
        <v/>
      </c>
      <c r="E1714">
        <f>Sources!F1714</f>
        <v/>
      </c>
      <c r="F1714">
        <f>Sources!H1714</f>
        <v/>
      </c>
      <c r="G1714">
        <f>IF(ABS(F1714-ROUND(F1714,0))&lt;0.001,1,0)</f>
        <v/>
      </c>
      <c r="H1714">
        <f>IF(G1714=1,F1714,CEILING(F1714,1))</f>
        <v/>
      </c>
      <c r="I1714">
        <f>IF(G1714=1,0,(H1714-F1714)*E1714)</f>
        <v/>
      </c>
      <c r="J1714">
        <f>E1714*F1714</f>
        <v/>
      </c>
    </row>
    <row r="1715">
      <c r="A1715">
        <f>Sources!A1715</f>
        <v/>
      </c>
      <c r="B1715">
        <f>Sources!B1715</f>
        <v/>
      </c>
      <c r="C1715">
        <f>Sources!D1715</f>
        <v/>
      </c>
      <c r="D1715">
        <f>Sources!E1715</f>
        <v/>
      </c>
      <c r="E1715">
        <f>Sources!F1715</f>
        <v/>
      </c>
      <c r="F1715">
        <f>Sources!H1715</f>
        <v/>
      </c>
      <c r="G1715">
        <f>IF(ABS(F1715-ROUND(F1715,0))&lt;0.001,1,0)</f>
        <v/>
      </c>
      <c r="H1715">
        <f>IF(G1715=1,F1715,CEILING(F1715,1))</f>
        <v/>
      </c>
      <c r="I1715">
        <f>IF(G1715=1,0,(H1715-F1715)*E1715)</f>
        <v/>
      </c>
      <c r="J1715">
        <f>E1715*F1715</f>
        <v/>
      </c>
    </row>
    <row r="1716">
      <c r="A1716">
        <f>Sources!A1716</f>
        <v/>
      </c>
      <c r="B1716">
        <f>Sources!B1716</f>
        <v/>
      </c>
      <c r="C1716">
        <f>Sources!D1716</f>
        <v/>
      </c>
      <c r="D1716">
        <f>Sources!E1716</f>
        <v/>
      </c>
      <c r="E1716">
        <f>Sources!F1716</f>
        <v/>
      </c>
      <c r="F1716">
        <f>Sources!H1716</f>
        <v/>
      </c>
      <c r="G1716">
        <f>IF(ABS(F1716-ROUND(F1716,0))&lt;0.001,1,0)</f>
        <v/>
      </c>
      <c r="H1716">
        <f>IF(G1716=1,F1716,CEILING(F1716,1))</f>
        <v/>
      </c>
      <c r="I1716">
        <f>IF(G1716=1,0,(H1716-F1716)*E1716)</f>
        <v/>
      </c>
      <c r="J1716">
        <f>E1716*F1716</f>
        <v/>
      </c>
    </row>
    <row r="1717">
      <c r="A1717">
        <f>Sources!A1717</f>
        <v/>
      </c>
      <c r="B1717">
        <f>Sources!B1717</f>
        <v/>
      </c>
      <c r="C1717">
        <f>Sources!D1717</f>
        <v/>
      </c>
      <c r="D1717">
        <f>Sources!E1717</f>
        <v/>
      </c>
      <c r="E1717">
        <f>Sources!F1717</f>
        <v/>
      </c>
      <c r="F1717">
        <f>Sources!H1717</f>
        <v/>
      </c>
      <c r="G1717">
        <f>IF(ABS(F1717-ROUND(F1717,0))&lt;0.001,1,0)</f>
        <v/>
      </c>
      <c r="H1717">
        <f>IF(G1717=1,F1717,CEILING(F1717,1))</f>
        <v/>
      </c>
      <c r="I1717">
        <f>IF(G1717=1,0,(H1717-F1717)*E1717)</f>
        <v/>
      </c>
      <c r="J1717">
        <f>E1717*F1717</f>
        <v/>
      </c>
    </row>
    <row r="1718">
      <c r="A1718">
        <f>Sources!A1718</f>
        <v/>
      </c>
      <c r="B1718">
        <f>Sources!B1718</f>
        <v/>
      </c>
      <c r="C1718">
        <f>Sources!D1718</f>
        <v/>
      </c>
      <c r="D1718">
        <f>Sources!E1718</f>
        <v/>
      </c>
      <c r="E1718">
        <f>Sources!F1718</f>
        <v/>
      </c>
      <c r="F1718">
        <f>Sources!H1718</f>
        <v/>
      </c>
      <c r="G1718">
        <f>IF(ABS(F1718-ROUND(F1718,0))&lt;0.001,1,0)</f>
        <v/>
      </c>
      <c r="H1718">
        <f>IF(G1718=1,F1718,CEILING(F1718,1))</f>
        <v/>
      </c>
      <c r="I1718">
        <f>IF(G1718=1,0,(H1718-F1718)*E1718)</f>
        <v/>
      </c>
      <c r="J1718">
        <f>E1718*F1718</f>
        <v/>
      </c>
    </row>
    <row r="1719">
      <c r="A1719">
        <f>Sources!A1719</f>
        <v/>
      </c>
      <c r="B1719">
        <f>Sources!B1719</f>
        <v/>
      </c>
      <c r="C1719">
        <f>Sources!D1719</f>
        <v/>
      </c>
      <c r="D1719">
        <f>Sources!E1719</f>
        <v/>
      </c>
      <c r="E1719">
        <f>Sources!F1719</f>
        <v/>
      </c>
      <c r="F1719">
        <f>Sources!H1719</f>
        <v/>
      </c>
      <c r="G1719">
        <f>IF(ABS(F1719-ROUND(F1719,0))&lt;0.001,1,0)</f>
        <v/>
      </c>
      <c r="H1719">
        <f>IF(G1719=1,F1719,CEILING(F1719,1))</f>
        <v/>
      </c>
      <c r="I1719">
        <f>IF(G1719=1,0,(H1719-F1719)*E1719)</f>
        <v/>
      </c>
      <c r="J1719">
        <f>E1719*F1719</f>
        <v/>
      </c>
    </row>
    <row r="1720">
      <c r="A1720">
        <f>Sources!A1720</f>
        <v/>
      </c>
      <c r="B1720">
        <f>Sources!B1720</f>
        <v/>
      </c>
      <c r="C1720">
        <f>Sources!D1720</f>
        <v/>
      </c>
      <c r="D1720">
        <f>Sources!E1720</f>
        <v/>
      </c>
      <c r="E1720">
        <f>Sources!F1720</f>
        <v/>
      </c>
      <c r="F1720">
        <f>Sources!H1720</f>
        <v/>
      </c>
      <c r="G1720">
        <f>IF(ABS(F1720-ROUND(F1720,0))&lt;0.001,1,0)</f>
        <v/>
      </c>
      <c r="H1720">
        <f>IF(G1720=1,F1720,CEILING(F1720,1))</f>
        <v/>
      </c>
      <c r="I1720">
        <f>IF(G1720=1,0,(H1720-F1720)*E1720)</f>
        <v/>
      </c>
      <c r="J1720">
        <f>E1720*F1720</f>
        <v/>
      </c>
    </row>
    <row r="1721">
      <c r="A1721">
        <f>Sources!A1721</f>
        <v/>
      </c>
      <c r="B1721">
        <f>Sources!B1721</f>
        <v/>
      </c>
      <c r="C1721">
        <f>Sources!D1721</f>
        <v/>
      </c>
      <c r="D1721">
        <f>Sources!E1721</f>
        <v/>
      </c>
      <c r="E1721">
        <f>Sources!F1721</f>
        <v/>
      </c>
      <c r="F1721">
        <f>Sources!H1721</f>
        <v/>
      </c>
      <c r="G1721">
        <f>IF(ABS(F1721-ROUND(F1721,0))&lt;0.001,1,0)</f>
        <v/>
      </c>
      <c r="H1721">
        <f>IF(G1721=1,F1721,CEILING(F1721,1))</f>
        <v/>
      </c>
      <c r="I1721">
        <f>IF(G1721=1,0,(H1721-F1721)*E1721)</f>
        <v/>
      </c>
      <c r="J1721">
        <f>E1721*F1721</f>
        <v/>
      </c>
    </row>
    <row r="1722">
      <c r="A1722">
        <f>Sources!A1722</f>
        <v/>
      </c>
      <c r="B1722">
        <f>Sources!B1722</f>
        <v/>
      </c>
      <c r="C1722">
        <f>Sources!D1722</f>
        <v/>
      </c>
      <c r="D1722">
        <f>Sources!E1722</f>
        <v/>
      </c>
      <c r="E1722">
        <f>Sources!F1722</f>
        <v/>
      </c>
      <c r="F1722">
        <f>Sources!H1722</f>
        <v/>
      </c>
      <c r="G1722">
        <f>IF(ABS(F1722-ROUND(F1722,0))&lt;0.001,1,0)</f>
        <v/>
      </c>
      <c r="H1722">
        <f>IF(G1722=1,F1722,CEILING(F1722,1))</f>
        <v/>
      </c>
      <c r="I1722">
        <f>IF(G1722=1,0,(H1722-F1722)*E1722)</f>
        <v/>
      </c>
      <c r="J1722">
        <f>E1722*F1722</f>
        <v/>
      </c>
    </row>
    <row r="1723">
      <c r="A1723">
        <f>Sources!A1723</f>
        <v/>
      </c>
      <c r="B1723">
        <f>Sources!B1723</f>
        <v/>
      </c>
      <c r="C1723">
        <f>Sources!D1723</f>
        <v/>
      </c>
      <c r="D1723">
        <f>Sources!E1723</f>
        <v/>
      </c>
      <c r="E1723">
        <f>Sources!F1723</f>
        <v/>
      </c>
      <c r="F1723">
        <f>Sources!H1723</f>
        <v/>
      </c>
      <c r="G1723">
        <f>IF(ABS(F1723-ROUND(F1723,0))&lt;0.001,1,0)</f>
        <v/>
      </c>
      <c r="H1723">
        <f>IF(G1723=1,F1723,CEILING(F1723,1))</f>
        <v/>
      </c>
      <c r="I1723">
        <f>IF(G1723=1,0,(H1723-F1723)*E1723)</f>
        <v/>
      </c>
      <c r="J1723">
        <f>E1723*F1723</f>
        <v/>
      </c>
    </row>
    <row r="1724">
      <c r="A1724">
        <f>Sources!A1724</f>
        <v/>
      </c>
      <c r="B1724">
        <f>Sources!B1724</f>
        <v/>
      </c>
      <c r="C1724">
        <f>Sources!D1724</f>
        <v/>
      </c>
      <c r="D1724">
        <f>Sources!E1724</f>
        <v/>
      </c>
      <c r="E1724">
        <f>Sources!F1724</f>
        <v/>
      </c>
      <c r="F1724">
        <f>Sources!H1724</f>
        <v/>
      </c>
      <c r="G1724">
        <f>IF(ABS(F1724-ROUND(F1724,0))&lt;0.001,1,0)</f>
        <v/>
      </c>
      <c r="H1724">
        <f>IF(G1724=1,F1724,CEILING(F1724,1))</f>
        <v/>
      </c>
      <c r="I1724">
        <f>IF(G1724=1,0,(H1724-F1724)*E1724)</f>
        <v/>
      </c>
      <c r="J1724">
        <f>E1724*F1724</f>
        <v/>
      </c>
    </row>
    <row r="1725">
      <c r="A1725">
        <f>Sources!A1725</f>
        <v/>
      </c>
      <c r="B1725">
        <f>Sources!B1725</f>
        <v/>
      </c>
      <c r="C1725">
        <f>Sources!D1725</f>
        <v/>
      </c>
      <c r="D1725">
        <f>Sources!E1725</f>
        <v/>
      </c>
      <c r="E1725">
        <f>Sources!F1725</f>
        <v/>
      </c>
      <c r="F1725">
        <f>Sources!H1725</f>
        <v/>
      </c>
      <c r="G1725">
        <f>IF(ABS(F1725-ROUND(F1725,0))&lt;0.001,1,0)</f>
        <v/>
      </c>
      <c r="H1725">
        <f>IF(G1725=1,F1725,CEILING(F1725,1))</f>
        <v/>
      </c>
      <c r="I1725">
        <f>IF(G1725=1,0,(H1725-F1725)*E1725)</f>
        <v/>
      </c>
      <c r="J1725">
        <f>E1725*F1725</f>
        <v/>
      </c>
    </row>
    <row r="1726">
      <c r="A1726">
        <f>Sources!A1726</f>
        <v/>
      </c>
      <c r="B1726">
        <f>Sources!B1726</f>
        <v/>
      </c>
      <c r="C1726">
        <f>Sources!D1726</f>
        <v/>
      </c>
      <c r="D1726">
        <f>Sources!E1726</f>
        <v/>
      </c>
      <c r="E1726">
        <f>Sources!F1726</f>
        <v/>
      </c>
      <c r="F1726">
        <f>Sources!H1726</f>
        <v/>
      </c>
      <c r="G1726">
        <f>IF(ABS(F1726-ROUND(F1726,0))&lt;0.001,1,0)</f>
        <v/>
      </c>
      <c r="H1726">
        <f>IF(G1726=1,F1726,CEILING(F1726,1))</f>
        <v/>
      </c>
      <c r="I1726">
        <f>IF(G1726=1,0,(H1726-F1726)*E1726)</f>
        <v/>
      </c>
      <c r="J1726">
        <f>E1726*F1726</f>
        <v/>
      </c>
    </row>
    <row r="1727">
      <c r="A1727">
        <f>Sources!A1727</f>
        <v/>
      </c>
      <c r="B1727">
        <f>Sources!B1727</f>
        <v/>
      </c>
      <c r="C1727">
        <f>Sources!D1727</f>
        <v/>
      </c>
      <c r="D1727">
        <f>Sources!E1727</f>
        <v/>
      </c>
      <c r="E1727">
        <f>Sources!F1727</f>
        <v/>
      </c>
      <c r="F1727">
        <f>Sources!H1727</f>
        <v/>
      </c>
      <c r="G1727">
        <f>IF(ABS(F1727-ROUND(F1727,0))&lt;0.001,1,0)</f>
        <v/>
      </c>
      <c r="H1727">
        <f>IF(G1727=1,F1727,CEILING(F1727,1))</f>
        <v/>
      </c>
      <c r="I1727">
        <f>IF(G1727=1,0,(H1727-F1727)*E1727)</f>
        <v/>
      </c>
      <c r="J1727">
        <f>E1727*F1727</f>
        <v/>
      </c>
    </row>
    <row r="1728">
      <c r="A1728">
        <f>Sources!A1728</f>
        <v/>
      </c>
      <c r="B1728">
        <f>Sources!B1728</f>
        <v/>
      </c>
      <c r="C1728">
        <f>Sources!D1728</f>
        <v/>
      </c>
      <c r="D1728">
        <f>Sources!E1728</f>
        <v/>
      </c>
      <c r="E1728">
        <f>Sources!F1728</f>
        <v/>
      </c>
      <c r="F1728">
        <f>Sources!H1728</f>
        <v/>
      </c>
      <c r="G1728">
        <f>IF(ABS(F1728-ROUND(F1728,0))&lt;0.001,1,0)</f>
        <v/>
      </c>
      <c r="H1728">
        <f>IF(G1728=1,F1728,CEILING(F1728,1))</f>
        <v/>
      </c>
      <c r="I1728">
        <f>IF(G1728=1,0,(H1728-F1728)*E1728)</f>
        <v/>
      </c>
      <c r="J1728">
        <f>E1728*F1728</f>
        <v/>
      </c>
    </row>
    <row r="1729">
      <c r="A1729">
        <f>Sources!A1729</f>
        <v/>
      </c>
      <c r="B1729">
        <f>Sources!B1729</f>
        <v/>
      </c>
      <c r="C1729">
        <f>Sources!D1729</f>
        <v/>
      </c>
      <c r="D1729">
        <f>Sources!E1729</f>
        <v/>
      </c>
      <c r="E1729">
        <f>Sources!F1729</f>
        <v/>
      </c>
      <c r="F1729">
        <f>Sources!H1729</f>
        <v/>
      </c>
      <c r="G1729">
        <f>IF(ABS(F1729-ROUND(F1729,0))&lt;0.001,1,0)</f>
        <v/>
      </c>
      <c r="H1729">
        <f>IF(G1729=1,F1729,CEILING(F1729,1))</f>
        <v/>
      </c>
      <c r="I1729">
        <f>IF(G1729=1,0,(H1729-F1729)*E1729)</f>
        <v/>
      </c>
      <c r="J1729">
        <f>E1729*F1729</f>
        <v/>
      </c>
    </row>
    <row r="1730">
      <c r="A1730">
        <f>Sources!A1730</f>
        <v/>
      </c>
      <c r="B1730">
        <f>Sources!B1730</f>
        <v/>
      </c>
      <c r="C1730">
        <f>Sources!D1730</f>
        <v/>
      </c>
      <c r="D1730">
        <f>Sources!E1730</f>
        <v/>
      </c>
      <c r="E1730">
        <f>Sources!F1730</f>
        <v/>
      </c>
      <c r="F1730">
        <f>Sources!H1730</f>
        <v/>
      </c>
      <c r="G1730">
        <f>IF(ABS(F1730-ROUND(F1730,0))&lt;0.001,1,0)</f>
        <v/>
      </c>
      <c r="H1730">
        <f>IF(G1730=1,F1730,CEILING(F1730,1))</f>
        <v/>
      </c>
      <c r="I1730">
        <f>IF(G1730=1,0,(H1730-F1730)*E1730)</f>
        <v/>
      </c>
      <c r="J1730">
        <f>E1730*F1730</f>
        <v/>
      </c>
    </row>
    <row r="1731">
      <c r="A1731">
        <f>Sources!A1731</f>
        <v/>
      </c>
      <c r="B1731">
        <f>Sources!B1731</f>
        <v/>
      </c>
      <c r="C1731">
        <f>Sources!D1731</f>
        <v/>
      </c>
      <c r="D1731">
        <f>Sources!E1731</f>
        <v/>
      </c>
      <c r="E1731">
        <f>Sources!F1731</f>
        <v/>
      </c>
      <c r="F1731">
        <f>Sources!H1731</f>
        <v/>
      </c>
      <c r="G1731">
        <f>IF(ABS(F1731-ROUND(F1731,0))&lt;0.001,1,0)</f>
        <v/>
      </c>
      <c r="H1731">
        <f>IF(G1731=1,F1731,CEILING(F1731,1))</f>
        <v/>
      </c>
      <c r="I1731">
        <f>IF(G1731=1,0,(H1731-F1731)*E1731)</f>
        <v/>
      </c>
      <c r="J1731">
        <f>E1731*F1731</f>
        <v/>
      </c>
    </row>
    <row r="1732">
      <c r="A1732">
        <f>Sources!A1732</f>
        <v/>
      </c>
      <c r="B1732">
        <f>Sources!B1732</f>
        <v/>
      </c>
      <c r="C1732">
        <f>Sources!D1732</f>
        <v/>
      </c>
      <c r="D1732">
        <f>Sources!E1732</f>
        <v/>
      </c>
      <c r="E1732">
        <f>Sources!F1732</f>
        <v/>
      </c>
      <c r="F1732">
        <f>Sources!H1732</f>
        <v/>
      </c>
      <c r="G1732">
        <f>IF(ABS(F1732-ROUND(F1732,0))&lt;0.001,1,0)</f>
        <v/>
      </c>
      <c r="H1732">
        <f>IF(G1732=1,F1732,CEILING(F1732,1))</f>
        <v/>
      </c>
      <c r="I1732">
        <f>IF(G1732=1,0,(H1732-F1732)*E1732)</f>
        <v/>
      </c>
      <c r="J1732">
        <f>E1732*F1732</f>
        <v/>
      </c>
    </row>
    <row r="1733">
      <c r="A1733">
        <f>Sources!A1733</f>
        <v/>
      </c>
      <c r="B1733">
        <f>Sources!B1733</f>
        <v/>
      </c>
      <c r="C1733">
        <f>Sources!D1733</f>
        <v/>
      </c>
      <c r="D1733">
        <f>Sources!E1733</f>
        <v/>
      </c>
      <c r="E1733">
        <f>Sources!F1733</f>
        <v/>
      </c>
      <c r="F1733">
        <f>Sources!H1733</f>
        <v/>
      </c>
      <c r="G1733">
        <f>IF(ABS(F1733-ROUND(F1733,0))&lt;0.001,1,0)</f>
        <v/>
      </c>
      <c r="H1733">
        <f>IF(G1733=1,F1733,CEILING(F1733,1))</f>
        <v/>
      </c>
      <c r="I1733">
        <f>IF(G1733=1,0,(H1733-F1733)*E1733)</f>
        <v/>
      </c>
      <c r="J1733">
        <f>E1733*F1733</f>
        <v/>
      </c>
    </row>
    <row r="1734">
      <c r="A1734">
        <f>Sources!A1734</f>
        <v/>
      </c>
      <c r="B1734">
        <f>Sources!B1734</f>
        <v/>
      </c>
      <c r="C1734">
        <f>Sources!D1734</f>
        <v/>
      </c>
      <c r="D1734">
        <f>Sources!E1734</f>
        <v/>
      </c>
      <c r="E1734">
        <f>Sources!F1734</f>
        <v/>
      </c>
      <c r="F1734">
        <f>Sources!H1734</f>
        <v/>
      </c>
      <c r="G1734">
        <f>IF(ABS(F1734-ROUND(F1734,0))&lt;0.001,1,0)</f>
        <v/>
      </c>
      <c r="H1734">
        <f>IF(G1734=1,F1734,CEILING(F1734,1))</f>
        <v/>
      </c>
      <c r="I1734">
        <f>IF(G1734=1,0,(H1734-F1734)*E1734)</f>
        <v/>
      </c>
      <c r="J1734">
        <f>E1734*F1734</f>
        <v/>
      </c>
    </row>
    <row r="1735">
      <c r="A1735">
        <f>Sources!A1735</f>
        <v/>
      </c>
      <c r="B1735">
        <f>Sources!B1735</f>
        <v/>
      </c>
      <c r="C1735">
        <f>Sources!D1735</f>
        <v/>
      </c>
      <c r="D1735">
        <f>Sources!E1735</f>
        <v/>
      </c>
      <c r="E1735">
        <f>Sources!F1735</f>
        <v/>
      </c>
      <c r="F1735">
        <f>Sources!H1735</f>
        <v/>
      </c>
      <c r="G1735">
        <f>IF(ABS(F1735-ROUND(F1735,0))&lt;0.001,1,0)</f>
        <v/>
      </c>
      <c r="H1735">
        <f>IF(G1735=1,F1735,CEILING(F1735,1))</f>
        <v/>
      </c>
      <c r="I1735">
        <f>IF(G1735=1,0,(H1735-F1735)*E1735)</f>
        <v/>
      </c>
      <c r="J1735">
        <f>E1735*F1735</f>
        <v/>
      </c>
    </row>
    <row r="1736">
      <c r="A1736">
        <f>Sources!A1736</f>
        <v/>
      </c>
      <c r="B1736">
        <f>Sources!B1736</f>
        <v/>
      </c>
      <c r="C1736">
        <f>Sources!D1736</f>
        <v/>
      </c>
      <c r="D1736">
        <f>Sources!E1736</f>
        <v/>
      </c>
      <c r="E1736">
        <f>Sources!F1736</f>
        <v/>
      </c>
      <c r="F1736">
        <f>Sources!H1736</f>
        <v/>
      </c>
      <c r="G1736">
        <f>IF(ABS(F1736-ROUND(F1736,0))&lt;0.001,1,0)</f>
        <v/>
      </c>
      <c r="H1736">
        <f>IF(G1736=1,F1736,CEILING(F1736,1))</f>
        <v/>
      </c>
      <c r="I1736">
        <f>IF(G1736=1,0,(H1736-F1736)*E1736)</f>
        <v/>
      </c>
      <c r="J1736">
        <f>E1736*F1736</f>
        <v/>
      </c>
    </row>
    <row r="1737">
      <c r="A1737">
        <f>Sources!A1737</f>
        <v/>
      </c>
      <c r="B1737">
        <f>Sources!B1737</f>
        <v/>
      </c>
      <c r="C1737">
        <f>Sources!D1737</f>
        <v/>
      </c>
      <c r="D1737">
        <f>Sources!E1737</f>
        <v/>
      </c>
      <c r="E1737">
        <f>Sources!F1737</f>
        <v/>
      </c>
      <c r="F1737">
        <f>Sources!H1737</f>
        <v/>
      </c>
      <c r="G1737">
        <f>IF(ABS(F1737-ROUND(F1737,0))&lt;0.001,1,0)</f>
        <v/>
      </c>
      <c r="H1737">
        <f>IF(G1737=1,F1737,CEILING(F1737,1))</f>
        <v/>
      </c>
      <c r="I1737">
        <f>IF(G1737=1,0,(H1737-F1737)*E1737)</f>
        <v/>
      </c>
      <c r="J1737">
        <f>E1737*F1737</f>
        <v/>
      </c>
    </row>
    <row r="1738">
      <c r="A1738">
        <f>Sources!A1738</f>
        <v/>
      </c>
      <c r="B1738">
        <f>Sources!B1738</f>
        <v/>
      </c>
      <c r="C1738">
        <f>Sources!D1738</f>
        <v/>
      </c>
      <c r="D1738">
        <f>Sources!E1738</f>
        <v/>
      </c>
      <c r="E1738">
        <f>Sources!F1738</f>
        <v/>
      </c>
      <c r="F1738">
        <f>Sources!H1738</f>
        <v/>
      </c>
      <c r="G1738">
        <f>IF(ABS(F1738-ROUND(F1738,0))&lt;0.001,1,0)</f>
        <v/>
      </c>
      <c r="H1738">
        <f>IF(G1738=1,F1738,CEILING(F1738,1))</f>
        <v/>
      </c>
      <c r="I1738">
        <f>IF(G1738=1,0,(H1738-F1738)*E1738)</f>
        <v/>
      </c>
      <c r="J1738">
        <f>E1738*F1738</f>
        <v/>
      </c>
    </row>
    <row r="1739">
      <c r="A1739">
        <f>Sources!A1739</f>
        <v/>
      </c>
      <c r="B1739">
        <f>Sources!B1739</f>
        <v/>
      </c>
      <c r="C1739">
        <f>Sources!D1739</f>
        <v/>
      </c>
      <c r="D1739">
        <f>Sources!E1739</f>
        <v/>
      </c>
      <c r="E1739">
        <f>Sources!F1739</f>
        <v/>
      </c>
      <c r="F1739">
        <f>Sources!H1739</f>
        <v/>
      </c>
      <c r="G1739">
        <f>IF(ABS(F1739-ROUND(F1739,0))&lt;0.001,1,0)</f>
        <v/>
      </c>
      <c r="H1739">
        <f>IF(G1739=1,F1739,CEILING(F1739,1))</f>
        <v/>
      </c>
      <c r="I1739">
        <f>IF(G1739=1,0,(H1739-F1739)*E1739)</f>
        <v/>
      </c>
      <c r="J1739">
        <f>E1739*F1739</f>
        <v/>
      </c>
    </row>
    <row r="1740">
      <c r="A1740">
        <f>Sources!A1740</f>
        <v/>
      </c>
      <c r="B1740">
        <f>Sources!B1740</f>
        <v/>
      </c>
      <c r="C1740">
        <f>Sources!D1740</f>
        <v/>
      </c>
      <c r="D1740">
        <f>Sources!E1740</f>
        <v/>
      </c>
      <c r="E1740">
        <f>Sources!F1740</f>
        <v/>
      </c>
      <c r="F1740">
        <f>Sources!H1740</f>
        <v/>
      </c>
      <c r="G1740">
        <f>IF(ABS(F1740-ROUND(F1740,0))&lt;0.001,1,0)</f>
        <v/>
      </c>
      <c r="H1740">
        <f>IF(G1740=1,F1740,CEILING(F1740,1))</f>
        <v/>
      </c>
      <c r="I1740">
        <f>IF(G1740=1,0,(H1740-F1740)*E1740)</f>
        <v/>
      </c>
      <c r="J1740">
        <f>E1740*F1740</f>
        <v/>
      </c>
    </row>
    <row r="1741">
      <c r="A1741">
        <f>Sources!A1741</f>
        <v/>
      </c>
      <c r="B1741">
        <f>Sources!B1741</f>
        <v/>
      </c>
      <c r="C1741">
        <f>Sources!D1741</f>
        <v/>
      </c>
      <c r="D1741">
        <f>Sources!E1741</f>
        <v/>
      </c>
      <c r="E1741">
        <f>Sources!F1741</f>
        <v/>
      </c>
      <c r="F1741">
        <f>Sources!H1741</f>
        <v/>
      </c>
      <c r="G1741">
        <f>IF(ABS(F1741-ROUND(F1741,0))&lt;0.001,1,0)</f>
        <v/>
      </c>
      <c r="H1741">
        <f>IF(G1741=1,F1741,CEILING(F1741,1))</f>
        <v/>
      </c>
      <c r="I1741">
        <f>IF(G1741=1,0,(H1741-F1741)*E1741)</f>
        <v/>
      </c>
      <c r="J1741">
        <f>E1741*F1741</f>
        <v/>
      </c>
    </row>
    <row r="1742">
      <c r="A1742">
        <f>Sources!A1742</f>
        <v/>
      </c>
      <c r="B1742">
        <f>Sources!B1742</f>
        <v/>
      </c>
      <c r="C1742">
        <f>Sources!D1742</f>
        <v/>
      </c>
      <c r="D1742">
        <f>Sources!E1742</f>
        <v/>
      </c>
      <c r="E1742">
        <f>Sources!F1742</f>
        <v/>
      </c>
      <c r="F1742">
        <f>Sources!H1742</f>
        <v/>
      </c>
      <c r="G1742">
        <f>IF(ABS(F1742-ROUND(F1742,0))&lt;0.001,1,0)</f>
        <v/>
      </c>
      <c r="H1742">
        <f>IF(G1742=1,F1742,CEILING(F1742,1))</f>
        <v/>
      </c>
      <c r="I1742">
        <f>IF(G1742=1,0,(H1742-F1742)*E1742)</f>
        <v/>
      </c>
      <c r="J1742">
        <f>E1742*F1742</f>
        <v/>
      </c>
    </row>
    <row r="1743">
      <c r="A1743">
        <f>Sources!A1743</f>
        <v/>
      </c>
      <c r="B1743">
        <f>Sources!B1743</f>
        <v/>
      </c>
      <c r="C1743">
        <f>Sources!D1743</f>
        <v/>
      </c>
      <c r="D1743">
        <f>Sources!E1743</f>
        <v/>
      </c>
      <c r="E1743">
        <f>Sources!F1743</f>
        <v/>
      </c>
      <c r="F1743">
        <f>Sources!H1743</f>
        <v/>
      </c>
      <c r="G1743">
        <f>IF(ABS(F1743-ROUND(F1743,0))&lt;0.001,1,0)</f>
        <v/>
      </c>
      <c r="H1743">
        <f>IF(G1743=1,F1743,CEILING(F1743,1))</f>
        <v/>
      </c>
      <c r="I1743">
        <f>IF(G1743=1,0,(H1743-F1743)*E1743)</f>
        <v/>
      </c>
      <c r="J1743">
        <f>E1743*F1743</f>
        <v/>
      </c>
    </row>
    <row r="1744">
      <c r="A1744">
        <f>Sources!A1744</f>
        <v/>
      </c>
      <c r="B1744">
        <f>Sources!B1744</f>
        <v/>
      </c>
      <c r="C1744">
        <f>Sources!D1744</f>
        <v/>
      </c>
      <c r="D1744">
        <f>Sources!E1744</f>
        <v/>
      </c>
      <c r="E1744">
        <f>Sources!F1744</f>
        <v/>
      </c>
      <c r="F1744">
        <f>Sources!H1744</f>
        <v/>
      </c>
      <c r="G1744">
        <f>IF(ABS(F1744-ROUND(F1744,0))&lt;0.001,1,0)</f>
        <v/>
      </c>
      <c r="H1744">
        <f>IF(G1744=1,F1744,CEILING(F1744,1))</f>
        <v/>
      </c>
      <c r="I1744">
        <f>IF(G1744=1,0,(H1744-F1744)*E1744)</f>
        <v/>
      </c>
      <c r="J1744">
        <f>E1744*F1744</f>
        <v/>
      </c>
    </row>
    <row r="1745">
      <c r="A1745">
        <f>Sources!A1745</f>
        <v/>
      </c>
      <c r="B1745">
        <f>Sources!B1745</f>
        <v/>
      </c>
      <c r="C1745">
        <f>Sources!D1745</f>
        <v/>
      </c>
      <c r="D1745">
        <f>Sources!E1745</f>
        <v/>
      </c>
      <c r="E1745">
        <f>Sources!F1745</f>
        <v/>
      </c>
      <c r="F1745">
        <f>Sources!H1745</f>
        <v/>
      </c>
      <c r="G1745">
        <f>IF(ABS(F1745-ROUND(F1745,0))&lt;0.001,1,0)</f>
        <v/>
      </c>
      <c r="H1745">
        <f>IF(G1745=1,F1745,CEILING(F1745,1))</f>
        <v/>
      </c>
      <c r="I1745">
        <f>IF(G1745=1,0,(H1745-F1745)*E1745)</f>
        <v/>
      </c>
      <c r="J1745">
        <f>E1745*F1745</f>
        <v/>
      </c>
    </row>
    <row r="1746">
      <c r="A1746">
        <f>Sources!A1746</f>
        <v/>
      </c>
      <c r="B1746">
        <f>Sources!B1746</f>
        <v/>
      </c>
      <c r="C1746">
        <f>Sources!D1746</f>
        <v/>
      </c>
      <c r="D1746">
        <f>Sources!E1746</f>
        <v/>
      </c>
      <c r="E1746">
        <f>Sources!F1746</f>
        <v/>
      </c>
      <c r="F1746">
        <f>Sources!H1746</f>
        <v/>
      </c>
      <c r="G1746">
        <f>IF(ABS(F1746-ROUND(F1746,0))&lt;0.001,1,0)</f>
        <v/>
      </c>
      <c r="H1746">
        <f>IF(G1746=1,F1746,CEILING(F1746,1))</f>
        <v/>
      </c>
      <c r="I1746">
        <f>IF(G1746=1,0,(H1746-F1746)*E1746)</f>
        <v/>
      </c>
      <c r="J1746">
        <f>E1746*F1746</f>
        <v/>
      </c>
    </row>
    <row r="1747">
      <c r="A1747">
        <f>Sources!A1747</f>
        <v/>
      </c>
      <c r="B1747">
        <f>Sources!B1747</f>
        <v/>
      </c>
      <c r="C1747">
        <f>Sources!D1747</f>
        <v/>
      </c>
      <c r="D1747">
        <f>Sources!E1747</f>
        <v/>
      </c>
      <c r="E1747">
        <f>Sources!F1747</f>
        <v/>
      </c>
      <c r="F1747">
        <f>Sources!H1747</f>
        <v/>
      </c>
      <c r="G1747">
        <f>IF(ABS(F1747-ROUND(F1747,0))&lt;0.001,1,0)</f>
        <v/>
      </c>
      <c r="H1747">
        <f>IF(G1747=1,F1747,CEILING(F1747,1))</f>
        <v/>
      </c>
      <c r="I1747">
        <f>IF(G1747=1,0,(H1747-F1747)*E1747)</f>
        <v/>
      </c>
      <c r="J1747">
        <f>E1747*F1747</f>
        <v/>
      </c>
    </row>
    <row r="1748">
      <c r="A1748">
        <f>Sources!A1748</f>
        <v/>
      </c>
      <c r="B1748">
        <f>Sources!B1748</f>
        <v/>
      </c>
      <c r="C1748">
        <f>Sources!D1748</f>
        <v/>
      </c>
      <c r="D1748">
        <f>Sources!E1748</f>
        <v/>
      </c>
      <c r="E1748">
        <f>Sources!F1748</f>
        <v/>
      </c>
      <c r="F1748">
        <f>Sources!H1748</f>
        <v/>
      </c>
      <c r="G1748">
        <f>IF(ABS(F1748-ROUND(F1748,0))&lt;0.001,1,0)</f>
        <v/>
      </c>
      <c r="H1748">
        <f>IF(G1748=1,F1748,CEILING(F1748,1))</f>
        <v/>
      </c>
      <c r="I1748">
        <f>IF(G1748=1,0,(H1748-F1748)*E1748)</f>
        <v/>
      </c>
      <c r="J1748">
        <f>E1748*F1748</f>
        <v/>
      </c>
    </row>
    <row r="1749">
      <c r="A1749">
        <f>Sources!A1749</f>
        <v/>
      </c>
      <c r="B1749">
        <f>Sources!B1749</f>
        <v/>
      </c>
      <c r="C1749">
        <f>Sources!D1749</f>
        <v/>
      </c>
      <c r="D1749">
        <f>Sources!E1749</f>
        <v/>
      </c>
      <c r="E1749">
        <f>Sources!F1749</f>
        <v/>
      </c>
      <c r="F1749">
        <f>Sources!H1749</f>
        <v/>
      </c>
      <c r="G1749">
        <f>IF(ABS(F1749-ROUND(F1749,0))&lt;0.001,1,0)</f>
        <v/>
      </c>
      <c r="H1749">
        <f>IF(G1749=1,F1749,CEILING(F1749,1))</f>
        <v/>
      </c>
      <c r="I1749">
        <f>IF(G1749=1,0,(H1749-F1749)*E1749)</f>
        <v/>
      </c>
      <c r="J1749">
        <f>E1749*F1749</f>
        <v/>
      </c>
    </row>
    <row r="1750">
      <c r="A1750">
        <f>Sources!A1750</f>
        <v/>
      </c>
      <c r="B1750">
        <f>Sources!B1750</f>
        <v/>
      </c>
      <c r="C1750">
        <f>Sources!D1750</f>
        <v/>
      </c>
      <c r="D1750">
        <f>Sources!E1750</f>
        <v/>
      </c>
      <c r="E1750">
        <f>Sources!F1750</f>
        <v/>
      </c>
      <c r="F1750">
        <f>Sources!H1750</f>
        <v/>
      </c>
      <c r="G1750">
        <f>IF(ABS(F1750-ROUND(F1750,0))&lt;0.001,1,0)</f>
        <v/>
      </c>
      <c r="H1750">
        <f>IF(G1750=1,F1750,CEILING(F1750,1))</f>
        <v/>
      </c>
      <c r="I1750">
        <f>IF(G1750=1,0,(H1750-F1750)*E1750)</f>
        <v/>
      </c>
      <c r="J1750">
        <f>E1750*F1750</f>
        <v/>
      </c>
    </row>
    <row r="1751">
      <c r="A1751">
        <f>Sources!A1751</f>
        <v/>
      </c>
      <c r="B1751">
        <f>Sources!B1751</f>
        <v/>
      </c>
      <c r="C1751">
        <f>Sources!D1751</f>
        <v/>
      </c>
      <c r="D1751">
        <f>Sources!E1751</f>
        <v/>
      </c>
      <c r="E1751">
        <f>Sources!F1751</f>
        <v/>
      </c>
      <c r="F1751">
        <f>Sources!H1751</f>
        <v/>
      </c>
      <c r="G1751">
        <f>IF(ABS(F1751-ROUND(F1751,0))&lt;0.001,1,0)</f>
        <v/>
      </c>
      <c r="H1751">
        <f>IF(G1751=1,F1751,CEILING(F1751,1))</f>
        <v/>
      </c>
      <c r="I1751">
        <f>IF(G1751=1,0,(H1751-F1751)*E1751)</f>
        <v/>
      </c>
      <c r="J1751">
        <f>E1751*F1751</f>
        <v/>
      </c>
    </row>
    <row r="1752">
      <c r="A1752">
        <f>Sources!A1752</f>
        <v/>
      </c>
      <c r="B1752">
        <f>Sources!B1752</f>
        <v/>
      </c>
      <c r="C1752">
        <f>Sources!D1752</f>
        <v/>
      </c>
      <c r="D1752">
        <f>Sources!E1752</f>
        <v/>
      </c>
      <c r="E1752">
        <f>Sources!F1752</f>
        <v/>
      </c>
      <c r="F1752">
        <f>Sources!H1752</f>
        <v/>
      </c>
      <c r="G1752">
        <f>IF(ABS(F1752-ROUND(F1752,0))&lt;0.001,1,0)</f>
        <v/>
      </c>
      <c r="H1752">
        <f>IF(G1752=1,F1752,CEILING(F1752,1))</f>
        <v/>
      </c>
      <c r="I1752">
        <f>IF(G1752=1,0,(H1752-F1752)*E1752)</f>
        <v/>
      </c>
      <c r="J1752">
        <f>E1752*F1752</f>
        <v/>
      </c>
    </row>
    <row r="1753">
      <c r="A1753">
        <f>Sources!A1753</f>
        <v/>
      </c>
      <c r="B1753">
        <f>Sources!B1753</f>
        <v/>
      </c>
      <c r="C1753">
        <f>Sources!D1753</f>
        <v/>
      </c>
      <c r="D1753">
        <f>Sources!E1753</f>
        <v/>
      </c>
      <c r="E1753">
        <f>Sources!F1753</f>
        <v/>
      </c>
      <c r="F1753">
        <f>Sources!H1753</f>
        <v/>
      </c>
      <c r="G1753">
        <f>IF(ABS(F1753-ROUND(F1753,0))&lt;0.001,1,0)</f>
        <v/>
      </c>
      <c r="H1753">
        <f>IF(G1753=1,F1753,CEILING(F1753,1))</f>
        <v/>
      </c>
      <c r="I1753">
        <f>IF(G1753=1,0,(H1753-F1753)*E1753)</f>
        <v/>
      </c>
      <c r="J1753">
        <f>E1753*F1753</f>
        <v/>
      </c>
    </row>
    <row r="1754">
      <c r="A1754">
        <f>Sources!A1754</f>
        <v/>
      </c>
      <c r="B1754">
        <f>Sources!B1754</f>
        <v/>
      </c>
      <c r="C1754">
        <f>Sources!D1754</f>
        <v/>
      </c>
      <c r="D1754">
        <f>Sources!E1754</f>
        <v/>
      </c>
      <c r="E1754">
        <f>Sources!F1754</f>
        <v/>
      </c>
      <c r="F1754">
        <f>Sources!H1754</f>
        <v/>
      </c>
      <c r="G1754">
        <f>IF(ABS(F1754-ROUND(F1754,0))&lt;0.001,1,0)</f>
        <v/>
      </c>
      <c r="H1754">
        <f>IF(G1754=1,F1754,CEILING(F1754,1))</f>
        <v/>
      </c>
      <c r="I1754">
        <f>IF(G1754=1,0,(H1754-F1754)*E1754)</f>
        <v/>
      </c>
      <c r="J1754">
        <f>E1754*F1754</f>
        <v/>
      </c>
    </row>
    <row r="1755">
      <c r="A1755">
        <f>Sources!A1755</f>
        <v/>
      </c>
      <c r="B1755">
        <f>Sources!B1755</f>
        <v/>
      </c>
      <c r="C1755">
        <f>Sources!D1755</f>
        <v/>
      </c>
      <c r="D1755">
        <f>Sources!E1755</f>
        <v/>
      </c>
      <c r="E1755">
        <f>Sources!F1755</f>
        <v/>
      </c>
      <c r="F1755">
        <f>Sources!H1755</f>
        <v/>
      </c>
      <c r="G1755">
        <f>IF(ABS(F1755-ROUND(F1755,0))&lt;0.001,1,0)</f>
        <v/>
      </c>
      <c r="H1755">
        <f>IF(G1755=1,F1755,CEILING(F1755,1))</f>
        <v/>
      </c>
      <c r="I1755">
        <f>IF(G1755=1,0,(H1755-F1755)*E1755)</f>
        <v/>
      </c>
      <c r="J1755">
        <f>E1755*F1755</f>
        <v/>
      </c>
    </row>
    <row r="1756">
      <c r="A1756">
        <f>Sources!A1756</f>
        <v/>
      </c>
      <c r="B1756">
        <f>Sources!B1756</f>
        <v/>
      </c>
      <c r="C1756">
        <f>Sources!D1756</f>
        <v/>
      </c>
      <c r="D1756">
        <f>Sources!E1756</f>
        <v/>
      </c>
      <c r="E1756">
        <f>Sources!F1756</f>
        <v/>
      </c>
      <c r="F1756">
        <f>Sources!H1756</f>
        <v/>
      </c>
      <c r="G1756">
        <f>IF(ABS(F1756-ROUND(F1756,0))&lt;0.001,1,0)</f>
        <v/>
      </c>
      <c r="H1756">
        <f>IF(G1756=1,F1756,CEILING(F1756,1))</f>
        <v/>
      </c>
      <c r="I1756">
        <f>IF(G1756=1,0,(H1756-F1756)*E1756)</f>
        <v/>
      </c>
      <c r="J1756">
        <f>E1756*F1756</f>
        <v/>
      </c>
    </row>
    <row r="1757">
      <c r="A1757">
        <f>Sources!A1757</f>
        <v/>
      </c>
      <c r="B1757">
        <f>Sources!B1757</f>
        <v/>
      </c>
      <c r="C1757">
        <f>Sources!D1757</f>
        <v/>
      </c>
      <c r="D1757">
        <f>Sources!E1757</f>
        <v/>
      </c>
      <c r="E1757">
        <f>Sources!F1757</f>
        <v/>
      </c>
      <c r="F1757">
        <f>Sources!H1757</f>
        <v/>
      </c>
      <c r="G1757">
        <f>IF(ABS(F1757-ROUND(F1757,0))&lt;0.001,1,0)</f>
        <v/>
      </c>
      <c r="H1757">
        <f>IF(G1757=1,F1757,CEILING(F1757,1))</f>
        <v/>
      </c>
      <c r="I1757">
        <f>IF(G1757=1,0,(H1757-F1757)*E1757)</f>
        <v/>
      </c>
      <c r="J1757">
        <f>E1757*F1757</f>
        <v/>
      </c>
    </row>
    <row r="1758">
      <c r="A1758">
        <f>Sources!A1758</f>
        <v/>
      </c>
      <c r="B1758">
        <f>Sources!B1758</f>
        <v/>
      </c>
      <c r="C1758">
        <f>Sources!D1758</f>
        <v/>
      </c>
      <c r="D1758">
        <f>Sources!E1758</f>
        <v/>
      </c>
      <c r="E1758">
        <f>Sources!F1758</f>
        <v/>
      </c>
      <c r="F1758">
        <f>Sources!H1758</f>
        <v/>
      </c>
      <c r="G1758">
        <f>IF(ABS(F1758-ROUND(F1758,0))&lt;0.001,1,0)</f>
        <v/>
      </c>
      <c r="H1758">
        <f>IF(G1758=1,F1758,CEILING(F1758,1))</f>
        <v/>
      </c>
      <c r="I1758">
        <f>IF(G1758=1,0,(H1758-F1758)*E1758)</f>
        <v/>
      </c>
      <c r="J1758">
        <f>E1758*F1758</f>
        <v/>
      </c>
    </row>
    <row r="1759">
      <c r="A1759">
        <f>Sources!A1759</f>
        <v/>
      </c>
      <c r="B1759">
        <f>Sources!B1759</f>
        <v/>
      </c>
      <c r="C1759">
        <f>Sources!D1759</f>
        <v/>
      </c>
      <c r="D1759">
        <f>Sources!E1759</f>
        <v/>
      </c>
      <c r="E1759">
        <f>Sources!F1759</f>
        <v/>
      </c>
      <c r="F1759">
        <f>Sources!H1759</f>
        <v/>
      </c>
      <c r="G1759">
        <f>IF(ABS(F1759-ROUND(F1759,0))&lt;0.001,1,0)</f>
        <v/>
      </c>
      <c r="H1759">
        <f>IF(G1759=1,F1759,CEILING(F1759,1))</f>
        <v/>
      </c>
      <c r="I1759">
        <f>IF(G1759=1,0,(H1759-F1759)*E1759)</f>
        <v/>
      </c>
      <c r="J1759">
        <f>E1759*F1759</f>
        <v/>
      </c>
    </row>
    <row r="1760">
      <c r="A1760">
        <f>Sources!A1760</f>
        <v/>
      </c>
      <c r="B1760">
        <f>Sources!B1760</f>
        <v/>
      </c>
      <c r="C1760">
        <f>Sources!D1760</f>
        <v/>
      </c>
      <c r="D1760">
        <f>Sources!E1760</f>
        <v/>
      </c>
      <c r="E1760">
        <f>Sources!F1760</f>
        <v/>
      </c>
      <c r="F1760">
        <f>Sources!H1760</f>
        <v/>
      </c>
      <c r="G1760">
        <f>IF(ABS(F1760-ROUND(F1760,0))&lt;0.001,1,0)</f>
        <v/>
      </c>
      <c r="H1760">
        <f>IF(G1760=1,F1760,CEILING(F1760,1))</f>
        <v/>
      </c>
      <c r="I1760">
        <f>IF(G1760=1,0,(H1760-F1760)*E1760)</f>
        <v/>
      </c>
      <c r="J1760">
        <f>E1760*F1760</f>
        <v/>
      </c>
    </row>
    <row r="1761">
      <c r="A1761">
        <f>Sources!A1761</f>
        <v/>
      </c>
      <c r="B1761">
        <f>Sources!B1761</f>
        <v/>
      </c>
      <c r="C1761">
        <f>Sources!D1761</f>
        <v/>
      </c>
      <c r="D1761">
        <f>Sources!E1761</f>
        <v/>
      </c>
      <c r="E1761">
        <f>Sources!F1761</f>
        <v/>
      </c>
      <c r="F1761">
        <f>Sources!H1761</f>
        <v/>
      </c>
      <c r="G1761">
        <f>IF(ABS(F1761-ROUND(F1761,0))&lt;0.001,1,0)</f>
        <v/>
      </c>
      <c r="H1761">
        <f>IF(G1761=1,F1761,CEILING(F1761,1))</f>
        <v/>
      </c>
      <c r="I1761">
        <f>IF(G1761=1,0,(H1761-F1761)*E1761)</f>
        <v/>
      </c>
      <c r="J1761">
        <f>E1761*F1761</f>
        <v/>
      </c>
    </row>
    <row r="1762">
      <c r="A1762">
        <f>Sources!A1762</f>
        <v/>
      </c>
      <c r="B1762">
        <f>Sources!B1762</f>
        <v/>
      </c>
      <c r="C1762">
        <f>Sources!D1762</f>
        <v/>
      </c>
      <c r="D1762">
        <f>Sources!E1762</f>
        <v/>
      </c>
      <c r="E1762">
        <f>Sources!F1762</f>
        <v/>
      </c>
      <c r="F1762">
        <f>Sources!H1762</f>
        <v/>
      </c>
      <c r="G1762">
        <f>IF(ABS(F1762-ROUND(F1762,0))&lt;0.001,1,0)</f>
        <v/>
      </c>
      <c r="H1762">
        <f>IF(G1762=1,F1762,CEILING(F1762,1))</f>
        <v/>
      </c>
      <c r="I1762">
        <f>IF(G1762=1,0,(H1762-F1762)*E1762)</f>
        <v/>
      </c>
      <c r="J1762">
        <f>E1762*F1762</f>
        <v/>
      </c>
    </row>
    <row r="1763">
      <c r="A1763">
        <f>Sources!A1763</f>
        <v/>
      </c>
      <c r="B1763">
        <f>Sources!B1763</f>
        <v/>
      </c>
      <c r="C1763">
        <f>Sources!D1763</f>
        <v/>
      </c>
      <c r="D1763">
        <f>Sources!E1763</f>
        <v/>
      </c>
      <c r="E1763">
        <f>Sources!F1763</f>
        <v/>
      </c>
      <c r="F1763">
        <f>Sources!H1763</f>
        <v/>
      </c>
      <c r="G1763">
        <f>IF(ABS(F1763-ROUND(F1763,0))&lt;0.001,1,0)</f>
        <v/>
      </c>
      <c r="H1763">
        <f>IF(G1763=1,F1763,CEILING(F1763,1))</f>
        <v/>
      </c>
      <c r="I1763">
        <f>IF(G1763=1,0,(H1763-F1763)*E1763)</f>
        <v/>
      </c>
      <c r="J1763">
        <f>E1763*F1763</f>
        <v/>
      </c>
    </row>
    <row r="1764">
      <c r="A1764">
        <f>Sources!A1764</f>
        <v/>
      </c>
      <c r="B1764">
        <f>Sources!B1764</f>
        <v/>
      </c>
      <c r="C1764">
        <f>Sources!D1764</f>
        <v/>
      </c>
      <c r="D1764">
        <f>Sources!E1764</f>
        <v/>
      </c>
      <c r="E1764">
        <f>Sources!F1764</f>
        <v/>
      </c>
      <c r="F1764">
        <f>Sources!H1764</f>
        <v/>
      </c>
      <c r="G1764">
        <f>IF(ABS(F1764-ROUND(F1764,0))&lt;0.001,1,0)</f>
        <v/>
      </c>
      <c r="H1764">
        <f>IF(G1764=1,F1764,CEILING(F1764,1))</f>
        <v/>
      </c>
      <c r="I1764">
        <f>IF(G1764=1,0,(H1764-F1764)*E1764)</f>
        <v/>
      </c>
      <c r="J1764">
        <f>E1764*F1764</f>
        <v/>
      </c>
    </row>
    <row r="1765">
      <c r="A1765">
        <f>Sources!A1765</f>
        <v/>
      </c>
      <c r="B1765">
        <f>Sources!B1765</f>
        <v/>
      </c>
      <c r="C1765">
        <f>Sources!D1765</f>
        <v/>
      </c>
      <c r="D1765">
        <f>Sources!E1765</f>
        <v/>
      </c>
      <c r="E1765">
        <f>Sources!F1765</f>
        <v/>
      </c>
      <c r="F1765">
        <f>Sources!H1765</f>
        <v/>
      </c>
      <c r="G1765">
        <f>IF(ABS(F1765-ROUND(F1765,0))&lt;0.001,1,0)</f>
        <v/>
      </c>
      <c r="H1765">
        <f>IF(G1765=1,F1765,CEILING(F1765,1))</f>
        <v/>
      </c>
      <c r="I1765">
        <f>IF(G1765=1,0,(H1765-F1765)*E1765)</f>
        <v/>
      </c>
      <c r="J1765">
        <f>E1765*F1765</f>
        <v/>
      </c>
    </row>
    <row r="1766">
      <c r="A1766">
        <f>Sources!A1766</f>
        <v/>
      </c>
      <c r="B1766">
        <f>Sources!B1766</f>
        <v/>
      </c>
      <c r="C1766">
        <f>Sources!D1766</f>
        <v/>
      </c>
      <c r="D1766">
        <f>Sources!E1766</f>
        <v/>
      </c>
      <c r="E1766">
        <f>Sources!F1766</f>
        <v/>
      </c>
      <c r="F1766">
        <f>Sources!H1766</f>
        <v/>
      </c>
      <c r="G1766">
        <f>IF(ABS(F1766-ROUND(F1766,0))&lt;0.001,1,0)</f>
        <v/>
      </c>
      <c r="H1766">
        <f>IF(G1766=1,F1766,CEILING(F1766,1))</f>
        <v/>
      </c>
      <c r="I1766">
        <f>IF(G1766=1,0,(H1766-F1766)*E1766)</f>
        <v/>
      </c>
      <c r="J1766">
        <f>E1766*F1766</f>
        <v/>
      </c>
    </row>
    <row r="1767">
      <c r="A1767">
        <f>Sources!A1767</f>
        <v/>
      </c>
      <c r="B1767">
        <f>Sources!B1767</f>
        <v/>
      </c>
      <c r="C1767">
        <f>Sources!D1767</f>
        <v/>
      </c>
      <c r="D1767">
        <f>Sources!E1767</f>
        <v/>
      </c>
      <c r="E1767">
        <f>Sources!F1767</f>
        <v/>
      </c>
      <c r="F1767">
        <f>Sources!H1767</f>
        <v/>
      </c>
      <c r="G1767">
        <f>IF(ABS(F1767-ROUND(F1767,0))&lt;0.001,1,0)</f>
        <v/>
      </c>
      <c r="H1767">
        <f>IF(G1767=1,F1767,CEILING(F1767,1))</f>
        <v/>
      </c>
      <c r="I1767">
        <f>IF(G1767=1,0,(H1767-F1767)*E1767)</f>
        <v/>
      </c>
      <c r="J1767">
        <f>E1767*F1767</f>
        <v/>
      </c>
    </row>
    <row r="1768">
      <c r="A1768">
        <f>Sources!A1768</f>
        <v/>
      </c>
      <c r="B1768">
        <f>Sources!B1768</f>
        <v/>
      </c>
      <c r="C1768">
        <f>Sources!D1768</f>
        <v/>
      </c>
      <c r="D1768">
        <f>Sources!E1768</f>
        <v/>
      </c>
      <c r="E1768">
        <f>Sources!F1768</f>
        <v/>
      </c>
      <c r="F1768">
        <f>Sources!H1768</f>
        <v/>
      </c>
      <c r="G1768">
        <f>IF(ABS(F1768-ROUND(F1768,0))&lt;0.001,1,0)</f>
        <v/>
      </c>
      <c r="H1768">
        <f>IF(G1768=1,F1768,CEILING(F1768,1))</f>
        <v/>
      </c>
      <c r="I1768">
        <f>IF(G1768=1,0,(H1768-F1768)*E1768)</f>
        <v/>
      </c>
      <c r="J1768">
        <f>E1768*F1768</f>
        <v/>
      </c>
    </row>
    <row r="1769">
      <c r="A1769">
        <f>Sources!A1769</f>
        <v/>
      </c>
      <c r="B1769">
        <f>Sources!B1769</f>
        <v/>
      </c>
      <c r="C1769">
        <f>Sources!D1769</f>
        <v/>
      </c>
      <c r="D1769">
        <f>Sources!E1769</f>
        <v/>
      </c>
      <c r="E1769">
        <f>Sources!F1769</f>
        <v/>
      </c>
      <c r="F1769">
        <f>Sources!H1769</f>
        <v/>
      </c>
      <c r="G1769">
        <f>IF(ABS(F1769-ROUND(F1769,0))&lt;0.001,1,0)</f>
        <v/>
      </c>
      <c r="H1769">
        <f>IF(G1769=1,F1769,CEILING(F1769,1))</f>
        <v/>
      </c>
      <c r="I1769">
        <f>IF(G1769=1,0,(H1769-F1769)*E1769)</f>
        <v/>
      </c>
      <c r="J1769">
        <f>E1769*F1769</f>
        <v/>
      </c>
    </row>
    <row r="1770">
      <c r="A1770">
        <f>Sources!A1770</f>
        <v/>
      </c>
      <c r="B1770">
        <f>Sources!B1770</f>
        <v/>
      </c>
      <c r="C1770">
        <f>Sources!D1770</f>
        <v/>
      </c>
      <c r="D1770">
        <f>Sources!E1770</f>
        <v/>
      </c>
      <c r="E1770">
        <f>Sources!F1770</f>
        <v/>
      </c>
      <c r="F1770">
        <f>Sources!H1770</f>
        <v/>
      </c>
      <c r="G1770">
        <f>IF(ABS(F1770-ROUND(F1770,0))&lt;0.001,1,0)</f>
        <v/>
      </c>
      <c r="H1770">
        <f>IF(G1770=1,F1770,CEILING(F1770,1))</f>
        <v/>
      </c>
      <c r="I1770">
        <f>IF(G1770=1,0,(H1770-F1770)*E1770)</f>
        <v/>
      </c>
      <c r="J1770">
        <f>E1770*F1770</f>
        <v/>
      </c>
    </row>
    <row r="1771">
      <c r="A1771">
        <f>Sources!A1771</f>
        <v/>
      </c>
      <c r="B1771">
        <f>Sources!B1771</f>
        <v/>
      </c>
      <c r="C1771">
        <f>Sources!D1771</f>
        <v/>
      </c>
      <c r="D1771">
        <f>Sources!E1771</f>
        <v/>
      </c>
      <c r="E1771">
        <f>Sources!F1771</f>
        <v/>
      </c>
      <c r="F1771">
        <f>Sources!H1771</f>
        <v/>
      </c>
      <c r="G1771">
        <f>IF(ABS(F1771-ROUND(F1771,0))&lt;0.001,1,0)</f>
        <v/>
      </c>
      <c r="H1771">
        <f>IF(G1771=1,F1771,CEILING(F1771,1))</f>
        <v/>
      </c>
      <c r="I1771">
        <f>IF(G1771=1,0,(H1771-F1771)*E1771)</f>
        <v/>
      </c>
      <c r="J1771">
        <f>E1771*F1771</f>
        <v/>
      </c>
    </row>
    <row r="1772">
      <c r="A1772">
        <f>Sources!A1772</f>
        <v/>
      </c>
      <c r="B1772">
        <f>Sources!B1772</f>
        <v/>
      </c>
      <c r="C1772">
        <f>Sources!D1772</f>
        <v/>
      </c>
      <c r="D1772">
        <f>Sources!E1772</f>
        <v/>
      </c>
      <c r="E1772">
        <f>Sources!F1772</f>
        <v/>
      </c>
      <c r="F1772">
        <f>Sources!H1772</f>
        <v/>
      </c>
      <c r="G1772">
        <f>IF(ABS(F1772-ROUND(F1772,0))&lt;0.001,1,0)</f>
        <v/>
      </c>
      <c r="H1772">
        <f>IF(G1772=1,F1772,CEILING(F1772,1))</f>
        <v/>
      </c>
      <c r="I1772">
        <f>IF(G1772=1,0,(H1772-F1772)*E1772)</f>
        <v/>
      </c>
      <c r="J1772">
        <f>E1772*F1772</f>
        <v/>
      </c>
    </row>
    <row r="1773">
      <c r="A1773">
        <f>Sources!A1773</f>
        <v/>
      </c>
      <c r="B1773">
        <f>Sources!B1773</f>
        <v/>
      </c>
      <c r="C1773">
        <f>Sources!D1773</f>
        <v/>
      </c>
      <c r="D1773">
        <f>Sources!E1773</f>
        <v/>
      </c>
      <c r="E1773">
        <f>Sources!F1773</f>
        <v/>
      </c>
      <c r="F1773">
        <f>Sources!H1773</f>
        <v/>
      </c>
      <c r="G1773">
        <f>IF(ABS(F1773-ROUND(F1773,0))&lt;0.001,1,0)</f>
        <v/>
      </c>
      <c r="H1773">
        <f>IF(G1773=1,F1773,CEILING(F1773,1))</f>
        <v/>
      </c>
      <c r="I1773">
        <f>IF(G1773=1,0,(H1773-F1773)*E1773)</f>
        <v/>
      </c>
      <c r="J1773">
        <f>E1773*F1773</f>
        <v/>
      </c>
    </row>
    <row r="1774">
      <c r="A1774">
        <f>Sources!A1774</f>
        <v/>
      </c>
      <c r="B1774">
        <f>Sources!B1774</f>
        <v/>
      </c>
      <c r="C1774">
        <f>Sources!D1774</f>
        <v/>
      </c>
      <c r="D1774">
        <f>Sources!E1774</f>
        <v/>
      </c>
      <c r="E1774">
        <f>Sources!F1774</f>
        <v/>
      </c>
      <c r="F1774">
        <f>Sources!H1774</f>
        <v/>
      </c>
      <c r="G1774">
        <f>IF(ABS(F1774-ROUND(F1774,0))&lt;0.001,1,0)</f>
        <v/>
      </c>
      <c r="H1774">
        <f>IF(G1774=1,F1774,CEILING(F1774,1))</f>
        <v/>
      </c>
      <c r="I1774">
        <f>IF(G1774=1,0,(H1774-F1774)*E1774)</f>
        <v/>
      </c>
      <c r="J1774">
        <f>E1774*F1774</f>
        <v/>
      </c>
    </row>
    <row r="1775">
      <c r="A1775">
        <f>Sources!A1775</f>
        <v/>
      </c>
      <c r="B1775">
        <f>Sources!B1775</f>
        <v/>
      </c>
      <c r="C1775">
        <f>Sources!D1775</f>
        <v/>
      </c>
      <c r="D1775">
        <f>Sources!E1775</f>
        <v/>
      </c>
      <c r="E1775">
        <f>Sources!F1775</f>
        <v/>
      </c>
      <c r="F1775">
        <f>Sources!H1775</f>
        <v/>
      </c>
      <c r="G1775">
        <f>IF(ABS(F1775-ROUND(F1775,0))&lt;0.001,1,0)</f>
        <v/>
      </c>
      <c r="H1775">
        <f>IF(G1775=1,F1775,CEILING(F1775,1))</f>
        <v/>
      </c>
      <c r="I1775">
        <f>IF(G1775=1,0,(H1775-F1775)*E1775)</f>
        <v/>
      </c>
      <c r="J1775">
        <f>E1775*F1775</f>
        <v/>
      </c>
    </row>
    <row r="1776">
      <c r="A1776">
        <f>Sources!A1776</f>
        <v/>
      </c>
      <c r="B1776">
        <f>Sources!B1776</f>
        <v/>
      </c>
      <c r="C1776">
        <f>Sources!D1776</f>
        <v/>
      </c>
      <c r="D1776">
        <f>Sources!E1776</f>
        <v/>
      </c>
      <c r="E1776">
        <f>Sources!F1776</f>
        <v/>
      </c>
      <c r="F1776">
        <f>Sources!H1776</f>
        <v/>
      </c>
      <c r="G1776">
        <f>IF(ABS(F1776-ROUND(F1776,0))&lt;0.001,1,0)</f>
        <v/>
      </c>
      <c r="H1776">
        <f>IF(G1776=1,F1776,CEILING(F1776,1))</f>
        <v/>
      </c>
      <c r="I1776">
        <f>IF(G1776=1,0,(H1776-F1776)*E1776)</f>
        <v/>
      </c>
      <c r="J1776">
        <f>E1776*F1776</f>
        <v/>
      </c>
    </row>
    <row r="1777">
      <c r="A1777">
        <f>Sources!A1777</f>
        <v/>
      </c>
      <c r="B1777">
        <f>Sources!B1777</f>
        <v/>
      </c>
      <c r="C1777">
        <f>Sources!D1777</f>
        <v/>
      </c>
      <c r="D1777">
        <f>Sources!E1777</f>
        <v/>
      </c>
      <c r="E1777">
        <f>Sources!F1777</f>
        <v/>
      </c>
      <c r="F1777">
        <f>Sources!H1777</f>
        <v/>
      </c>
      <c r="G1777">
        <f>IF(ABS(F1777-ROUND(F1777,0))&lt;0.001,1,0)</f>
        <v/>
      </c>
      <c r="H1777">
        <f>IF(G1777=1,F1777,CEILING(F1777,1))</f>
        <v/>
      </c>
      <c r="I1777">
        <f>IF(G1777=1,0,(H1777-F1777)*E1777)</f>
        <v/>
      </c>
      <c r="J1777">
        <f>E1777*F1777</f>
        <v/>
      </c>
    </row>
    <row r="1778">
      <c r="A1778">
        <f>Sources!A1778</f>
        <v/>
      </c>
      <c r="B1778">
        <f>Sources!B1778</f>
        <v/>
      </c>
      <c r="C1778">
        <f>Sources!D1778</f>
        <v/>
      </c>
      <c r="D1778">
        <f>Sources!E1778</f>
        <v/>
      </c>
      <c r="E1778">
        <f>Sources!F1778</f>
        <v/>
      </c>
      <c r="F1778">
        <f>Sources!H1778</f>
        <v/>
      </c>
      <c r="G1778">
        <f>IF(ABS(F1778-ROUND(F1778,0))&lt;0.001,1,0)</f>
        <v/>
      </c>
      <c r="H1778">
        <f>IF(G1778=1,F1778,CEILING(F1778,1))</f>
        <v/>
      </c>
      <c r="I1778">
        <f>IF(G1778=1,0,(H1778-F1778)*E1778)</f>
        <v/>
      </c>
      <c r="J1778">
        <f>E1778*F1778</f>
        <v/>
      </c>
    </row>
    <row r="1779">
      <c r="A1779">
        <f>Sources!A1779</f>
        <v/>
      </c>
      <c r="B1779">
        <f>Sources!B1779</f>
        <v/>
      </c>
      <c r="C1779">
        <f>Sources!D1779</f>
        <v/>
      </c>
      <c r="D1779">
        <f>Sources!E1779</f>
        <v/>
      </c>
      <c r="E1779">
        <f>Sources!F1779</f>
        <v/>
      </c>
      <c r="F1779">
        <f>Sources!H1779</f>
        <v/>
      </c>
      <c r="G1779">
        <f>IF(ABS(F1779-ROUND(F1779,0))&lt;0.001,1,0)</f>
        <v/>
      </c>
      <c r="H1779">
        <f>IF(G1779=1,F1779,CEILING(F1779,1))</f>
        <v/>
      </c>
      <c r="I1779">
        <f>IF(G1779=1,0,(H1779-F1779)*E1779)</f>
        <v/>
      </c>
      <c r="J1779">
        <f>E1779*F1779</f>
        <v/>
      </c>
    </row>
    <row r="1780">
      <c r="A1780">
        <f>Sources!A1780</f>
        <v/>
      </c>
      <c r="B1780">
        <f>Sources!B1780</f>
        <v/>
      </c>
      <c r="C1780">
        <f>Sources!D1780</f>
        <v/>
      </c>
      <c r="D1780">
        <f>Sources!E1780</f>
        <v/>
      </c>
      <c r="E1780">
        <f>Sources!F1780</f>
        <v/>
      </c>
      <c r="F1780">
        <f>Sources!H1780</f>
        <v/>
      </c>
      <c r="G1780">
        <f>IF(ABS(F1780-ROUND(F1780,0))&lt;0.001,1,0)</f>
        <v/>
      </c>
      <c r="H1780">
        <f>IF(G1780=1,F1780,CEILING(F1780,1))</f>
        <v/>
      </c>
      <c r="I1780">
        <f>IF(G1780=1,0,(H1780-F1780)*E1780)</f>
        <v/>
      </c>
      <c r="J1780">
        <f>E1780*F1780</f>
        <v/>
      </c>
    </row>
    <row r="1781">
      <c r="A1781">
        <f>Sources!A1781</f>
        <v/>
      </c>
      <c r="B1781">
        <f>Sources!B1781</f>
        <v/>
      </c>
      <c r="C1781">
        <f>Sources!D1781</f>
        <v/>
      </c>
      <c r="D1781">
        <f>Sources!E1781</f>
        <v/>
      </c>
      <c r="E1781">
        <f>Sources!F1781</f>
        <v/>
      </c>
      <c r="F1781">
        <f>Sources!H1781</f>
        <v/>
      </c>
      <c r="G1781">
        <f>IF(ABS(F1781-ROUND(F1781,0))&lt;0.001,1,0)</f>
        <v/>
      </c>
      <c r="H1781">
        <f>IF(G1781=1,F1781,CEILING(F1781,1))</f>
        <v/>
      </c>
      <c r="I1781">
        <f>IF(G1781=1,0,(H1781-F1781)*E1781)</f>
        <v/>
      </c>
      <c r="J1781">
        <f>E1781*F1781</f>
        <v/>
      </c>
    </row>
    <row r="1782">
      <c r="A1782">
        <f>Sources!A1782</f>
        <v/>
      </c>
      <c r="B1782">
        <f>Sources!B1782</f>
        <v/>
      </c>
      <c r="C1782">
        <f>Sources!D1782</f>
        <v/>
      </c>
      <c r="D1782">
        <f>Sources!E1782</f>
        <v/>
      </c>
      <c r="E1782">
        <f>Sources!F1782</f>
        <v/>
      </c>
      <c r="F1782">
        <f>Sources!H1782</f>
        <v/>
      </c>
      <c r="G1782">
        <f>IF(ABS(F1782-ROUND(F1782,0))&lt;0.001,1,0)</f>
        <v/>
      </c>
      <c r="H1782">
        <f>IF(G1782=1,F1782,CEILING(F1782,1))</f>
        <v/>
      </c>
      <c r="I1782">
        <f>IF(G1782=1,0,(H1782-F1782)*E1782)</f>
        <v/>
      </c>
      <c r="J1782">
        <f>E1782*F1782</f>
        <v/>
      </c>
    </row>
    <row r="1783">
      <c r="A1783">
        <f>Sources!A1783</f>
        <v/>
      </c>
      <c r="B1783">
        <f>Sources!B1783</f>
        <v/>
      </c>
      <c r="C1783">
        <f>Sources!D1783</f>
        <v/>
      </c>
      <c r="D1783">
        <f>Sources!E1783</f>
        <v/>
      </c>
      <c r="E1783">
        <f>Sources!F1783</f>
        <v/>
      </c>
      <c r="F1783">
        <f>Sources!H1783</f>
        <v/>
      </c>
      <c r="G1783">
        <f>IF(ABS(F1783-ROUND(F1783,0))&lt;0.001,1,0)</f>
        <v/>
      </c>
      <c r="H1783">
        <f>IF(G1783=1,F1783,CEILING(F1783,1))</f>
        <v/>
      </c>
      <c r="I1783">
        <f>IF(G1783=1,0,(H1783-F1783)*E1783)</f>
        <v/>
      </c>
      <c r="J1783">
        <f>E1783*F1783</f>
        <v/>
      </c>
    </row>
    <row r="1784">
      <c r="A1784">
        <f>Sources!A1784</f>
        <v/>
      </c>
      <c r="B1784">
        <f>Sources!B1784</f>
        <v/>
      </c>
      <c r="C1784">
        <f>Sources!D1784</f>
        <v/>
      </c>
      <c r="D1784">
        <f>Sources!E1784</f>
        <v/>
      </c>
      <c r="E1784">
        <f>Sources!F1784</f>
        <v/>
      </c>
      <c r="F1784">
        <f>Sources!H1784</f>
        <v/>
      </c>
      <c r="G1784">
        <f>IF(ABS(F1784-ROUND(F1784,0))&lt;0.001,1,0)</f>
        <v/>
      </c>
      <c r="H1784">
        <f>IF(G1784=1,F1784,CEILING(F1784,1))</f>
        <v/>
      </c>
      <c r="I1784">
        <f>IF(G1784=1,0,(H1784-F1784)*E1784)</f>
        <v/>
      </c>
      <c r="J1784">
        <f>E1784*F1784</f>
        <v/>
      </c>
    </row>
    <row r="1785">
      <c r="A1785">
        <f>Sources!A1785</f>
        <v/>
      </c>
      <c r="B1785">
        <f>Sources!B1785</f>
        <v/>
      </c>
      <c r="C1785">
        <f>Sources!D1785</f>
        <v/>
      </c>
      <c r="D1785">
        <f>Sources!E1785</f>
        <v/>
      </c>
      <c r="E1785">
        <f>Sources!F1785</f>
        <v/>
      </c>
      <c r="F1785">
        <f>Sources!H1785</f>
        <v/>
      </c>
      <c r="G1785">
        <f>IF(ABS(F1785-ROUND(F1785,0))&lt;0.001,1,0)</f>
        <v/>
      </c>
      <c r="H1785">
        <f>IF(G1785=1,F1785,CEILING(F1785,1))</f>
        <v/>
      </c>
      <c r="I1785">
        <f>IF(G1785=1,0,(H1785-F1785)*E1785)</f>
        <v/>
      </c>
      <c r="J1785">
        <f>E1785*F1785</f>
        <v/>
      </c>
    </row>
    <row r="1786">
      <c r="A1786">
        <f>Sources!A1786</f>
        <v/>
      </c>
      <c r="B1786">
        <f>Sources!B1786</f>
        <v/>
      </c>
      <c r="C1786">
        <f>Sources!D1786</f>
        <v/>
      </c>
      <c r="D1786">
        <f>Sources!E1786</f>
        <v/>
      </c>
      <c r="E1786">
        <f>Sources!F1786</f>
        <v/>
      </c>
      <c r="F1786">
        <f>Sources!H1786</f>
        <v/>
      </c>
      <c r="G1786">
        <f>IF(ABS(F1786-ROUND(F1786,0))&lt;0.001,1,0)</f>
        <v/>
      </c>
      <c r="H1786">
        <f>IF(G1786=1,F1786,CEILING(F1786,1))</f>
        <v/>
      </c>
      <c r="I1786">
        <f>IF(G1786=1,0,(H1786-F1786)*E1786)</f>
        <v/>
      </c>
      <c r="J1786">
        <f>E1786*F1786</f>
        <v/>
      </c>
    </row>
    <row r="1787">
      <c r="A1787">
        <f>Sources!A1787</f>
        <v/>
      </c>
      <c r="B1787">
        <f>Sources!B1787</f>
        <v/>
      </c>
      <c r="C1787">
        <f>Sources!D1787</f>
        <v/>
      </c>
      <c r="D1787">
        <f>Sources!E1787</f>
        <v/>
      </c>
      <c r="E1787">
        <f>Sources!F1787</f>
        <v/>
      </c>
      <c r="F1787">
        <f>Sources!H1787</f>
        <v/>
      </c>
      <c r="G1787">
        <f>IF(ABS(F1787-ROUND(F1787,0))&lt;0.001,1,0)</f>
        <v/>
      </c>
      <c r="H1787">
        <f>IF(G1787=1,F1787,CEILING(F1787,1))</f>
        <v/>
      </c>
      <c r="I1787">
        <f>IF(G1787=1,0,(H1787-F1787)*E1787)</f>
        <v/>
      </c>
      <c r="J1787">
        <f>E1787*F1787</f>
        <v/>
      </c>
    </row>
    <row r="1788">
      <c r="A1788">
        <f>Sources!A1788</f>
        <v/>
      </c>
      <c r="B1788">
        <f>Sources!B1788</f>
        <v/>
      </c>
      <c r="C1788">
        <f>Sources!D1788</f>
        <v/>
      </c>
      <c r="D1788">
        <f>Sources!E1788</f>
        <v/>
      </c>
      <c r="E1788">
        <f>Sources!F1788</f>
        <v/>
      </c>
      <c r="F1788">
        <f>Sources!H1788</f>
        <v/>
      </c>
      <c r="G1788">
        <f>IF(ABS(F1788-ROUND(F1788,0))&lt;0.001,1,0)</f>
        <v/>
      </c>
      <c r="H1788">
        <f>IF(G1788=1,F1788,CEILING(F1788,1))</f>
        <v/>
      </c>
      <c r="I1788">
        <f>IF(G1788=1,0,(H1788-F1788)*E1788)</f>
        <v/>
      </c>
      <c r="J1788">
        <f>E1788*F1788</f>
        <v/>
      </c>
    </row>
    <row r="1789">
      <c r="A1789">
        <f>Sources!A1789</f>
        <v/>
      </c>
      <c r="B1789">
        <f>Sources!B1789</f>
        <v/>
      </c>
      <c r="C1789">
        <f>Sources!D1789</f>
        <v/>
      </c>
      <c r="D1789">
        <f>Sources!E1789</f>
        <v/>
      </c>
      <c r="E1789">
        <f>Sources!F1789</f>
        <v/>
      </c>
      <c r="F1789">
        <f>Sources!H1789</f>
        <v/>
      </c>
      <c r="G1789">
        <f>IF(ABS(F1789-ROUND(F1789,0))&lt;0.001,1,0)</f>
        <v/>
      </c>
      <c r="H1789">
        <f>IF(G1789=1,F1789,CEILING(F1789,1))</f>
        <v/>
      </c>
      <c r="I1789">
        <f>IF(G1789=1,0,(H1789-F1789)*E1789)</f>
        <v/>
      </c>
      <c r="J1789">
        <f>E1789*F1789</f>
        <v/>
      </c>
    </row>
    <row r="1790">
      <c r="A1790">
        <f>Sources!A1790</f>
        <v/>
      </c>
      <c r="B1790">
        <f>Sources!B1790</f>
        <v/>
      </c>
      <c r="C1790">
        <f>Sources!D1790</f>
        <v/>
      </c>
      <c r="D1790">
        <f>Sources!E1790</f>
        <v/>
      </c>
      <c r="E1790">
        <f>Sources!F1790</f>
        <v/>
      </c>
      <c r="F1790">
        <f>Sources!H1790</f>
        <v/>
      </c>
      <c r="G1790">
        <f>IF(ABS(F1790-ROUND(F1790,0))&lt;0.001,1,0)</f>
        <v/>
      </c>
      <c r="H1790">
        <f>IF(G1790=1,F1790,CEILING(F1790,1))</f>
        <v/>
      </c>
      <c r="I1790">
        <f>IF(G1790=1,0,(H1790-F1790)*E1790)</f>
        <v/>
      </c>
      <c r="J1790">
        <f>E1790*F1790</f>
        <v/>
      </c>
    </row>
    <row r="1791">
      <c r="A1791">
        <f>Sources!A1791</f>
        <v/>
      </c>
      <c r="B1791">
        <f>Sources!B1791</f>
        <v/>
      </c>
      <c r="C1791">
        <f>Sources!D1791</f>
        <v/>
      </c>
      <c r="D1791">
        <f>Sources!E1791</f>
        <v/>
      </c>
      <c r="E1791">
        <f>Sources!F1791</f>
        <v/>
      </c>
      <c r="F1791">
        <f>Sources!H1791</f>
        <v/>
      </c>
      <c r="G1791">
        <f>IF(ABS(F1791-ROUND(F1791,0))&lt;0.001,1,0)</f>
        <v/>
      </c>
      <c r="H1791">
        <f>IF(G1791=1,F1791,CEILING(F1791,1))</f>
        <v/>
      </c>
      <c r="I1791">
        <f>IF(G1791=1,0,(H1791-F1791)*E1791)</f>
        <v/>
      </c>
      <c r="J1791">
        <f>E1791*F1791</f>
        <v/>
      </c>
    </row>
    <row r="1792">
      <c r="A1792">
        <f>Sources!A1792</f>
        <v/>
      </c>
      <c r="B1792">
        <f>Sources!B1792</f>
        <v/>
      </c>
      <c r="C1792">
        <f>Sources!D1792</f>
        <v/>
      </c>
      <c r="D1792">
        <f>Sources!E1792</f>
        <v/>
      </c>
      <c r="E1792">
        <f>Sources!F1792</f>
        <v/>
      </c>
      <c r="F1792">
        <f>Sources!H1792</f>
        <v/>
      </c>
      <c r="G1792">
        <f>IF(ABS(F1792-ROUND(F1792,0))&lt;0.001,1,0)</f>
        <v/>
      </c>
      <c r="H1792">
        <f>IF(G1792=1,F1792,CEILING(F1792,1))</f>
        <v/>
      </c>
      <c r="I1792">
        <f>IF(G1792=1,0,(H1792-F1792)*E1792)</f>
        <v/>
      </c>
      <c r="J1792">
        <f>E1792*F1792</f>
        <v/>
      </c>
    </row>
    <row r="1793">
      <c r="A1793">
        <f>Sources!A1793</f>
        <v/>
      </c>
      <c r="B1793">
        <f>Sources!B1793</f>
        <v/>
      </c>
      <c r="C1793">
        <f>Sources!D1793</f>
        <v/>
      </c>
      <c r="D1793">
        <f>Sources!E1793</f>
        <v/>
      </c>
      <c r="E1793">
        <f>Sources!F1793</f>
        <v/>
      </c>
      <c r="F1793">
        <f>Sources!H1793</f>
        <v/>
      </c>
      <c r="G1793">
        <f>IF(ABS(F1793-ROUND(F1793,0))&lt;0.001,1,0)</f>
        <v/>
      </c>
      <c r="H1793">
        <f>IF(G1793=1,F1793,CEILING(F1793,1))</f>
        <v/>
      </c>
      <c r="I1793">
        <f>IF(G1793=1,0,(H1793-F1793)*E1793)</f>
        <v/>
      </c>
      <c r="J1793">
        <f>E1793*F1793</f>
        <v/>
      </c>
    </row>
    <row r="1794">
      <c r="A1794">
        <f>Sources!A1794</f>
        <v/>
      </c>
      <c r="B1794">
        <f>Sources!B1794</f>
        <v/>
      </c>
      <c r="C1794">
        <f>Sources!D1794</f>
        <v/>
      </c>
      <c r="D1794">
        <f>Sources!E1794</f>
        <v/>
      </c>
      <c r="E1794">
        <f>Sources!F1794</f>
        <v/>
      </c>
      <c r="F1794">
        <f>Sources!H1794</f>
        <v/>
      </c>
      <c r="G1794">
        <f>IF(ABS(F1794-ROUND(F1794,0))&lt;0.001,1,0)</f>
        <v/>
      </c>
      <c r="H1794">
        <f>IF(G1794=1,F1794,CEILING(F1794,1))</f>
        <v/>
      </c>
      <c r="I1794">
        <f>IF(G1794=1,0,(H1794-F1794)*E1794)</f>
        <v/>
      </c>
      <c r="J1794">
        <f>E1794*F1794</f>
        <v/>
      </c>
    </row>
    <row r="1795">
      <c r="A1795">
        <f>Sources!A1795</f>
        <v/>
      </c>
      <c r="B1795">
        <f>Sources!B1795</f>
        <v/>
      </c>
      <c r="C1795">
        <f>Sources!D1795</f>
        <v/>
      </c>
      <c r="D1795">
        <f>Sources!E1795</f>
        <v/>
      </c>
      <c r="E1795">
        <f>Sources!F1795</f>
        <v/>
      </c>
      <c r="F1795">
        <f>Sources!H1795</f>
        <v/>
      </c>
      <c r="G1795">
        <f>IF(ABS(F1795-ROUND(F1795,0))&lt;0.001,1,0)</f>
        <v/>
      </c>
      <c r="H1795">
        <f>IF(G1795=1,F1795,CEILING(F1795,1))</f>
        <v/>
      </c>
      <c r="I1795">
        <f>IF(G1795=1,0,(H1795-F1795)*E1795)</f>
        <v/>
      </c>
      <c r="J1795">
        <f>E1795*F1795</f>
        <v/>
      </c>
    </row>
    <row r="1796">
      <c r="A1796">
        <f>Sources!A1796</f>
        <v/>
      </c>
      <c r="B1796">
        <f>Sources!B1796</f>
        <v/>
      </c>
      <c r="C1796">
        <f>Sources!D1796</f>
        <v/>
      </c>
      <c r="D1796">
        <f>Sources!E1796</f>
        <v/>
      </c>
      <c r="E1796">
        <f>Sources!F1796</f>
        <v/>
      </c>
      <c r="F1796">
        <f>Sources!H1796</f>
        <v/>
      </c>
      <c r="G1796">
        <f>IF(ABS(F1796-ROUND(F1796,0))&lt;0.001,1,0)</f>
        <v/>
      </c>
      <c r="H1796">
        <f>IF(G1796=1,F1796,CEILING(F1796,1))</f>
        <v/>
      </c>
      <c r="I1796">
        <f>IF(G1796=1,0,(H1796-F1796)*E1796)</f>
        <v/>
      </c>
      <c r="J1796">
        <f>E1796*F1796</f>
        <v/>
      </c>
    </row>
    <row r="1797">
      <c r="A1797">
        <f>Sources!A1797</f>
        <v/>
      </c>
      <c r="B1797">
        <f>Sources!B1797</f>
        <v/>
      </c>
      <c r="C1797">
        <f>Sources!D1797</f>
        <v/>
      </c>
      <c r="D1797">
        <f>Sources!E1797</f>
        <v/>
      </c>
      <c r="E1797">
        <f>Sources!F1797</f>
        <v/>
      </c>
      <c r="F1797">
        <f>Sources!H1797</f>
        <v/>
      </c>
      <c r="G1797">
        <f>IF(ABS(F1797-ROUND(F1797,0))&lt;0.001,1,0)</f>
        <v/>
      </c>
      <c r="H1797">
        <f>IF(G1797=1,F1797,CEILING(F1797,1))</f>
        <v/>
      </c>
      <c r="I1797">
        <f>IF(G1797=1,0,(H1797-F1797)*E1797)</f>
        <v/>
      </c>
      <c r="J1797">
        <f>E1797*F1797</f>
        <v/>
      </c>
    </row>
    <row r="1798">
      <c r="A1798">
        <f>Sources!A1798</f>
        <v/>
      </c>
      <c r="B1798">
        <f>Sources!B1798</f>
        <v/>
      </c>
      <c r="C1798">
        <f>Sources!D1798</f>
        <v/>
      </c>
      <c r="D1798">
        <f>Sources!E1798</f>
        <v/>
      </c>
      <c r="E1798">
        <f>Sources!F1798</f>
        <v/>
      </c>
      <c r="F1798">
        <f>Sources!H1798</f>
        <v/>
      </c>
      <c r="G1798">
        <f>IF(ABS(F1798-ROUND(F1798,0))&lt;0.001,1,0)</f>
        <v/>
      </c>
      <c r="H1798">
        <f>IF(G1798=1,F1798,CEILING(F1798,1))</f>
        <v/>
      </c>
      <c r="I1798">
        <f>IF(G1798=1,0,(H1798-F1798)*E1798)</f>
        <v/>
      </c>
      <c r="J1798">
        <f>E1798*F1798</f>
        <v/>
      </c>
    </row>
    <row r="1799">
      <c r="A1799">
        <f>Sources!A1799</f>
        <v/>
      </c>
      <c r="B1799">
        <f>Sources!B1799</f>
        <v/>
      </c>
      <c r="C1799">
        <f>Sources!D1799</f>
        <v/>
      </c>
      <c r="D1799">
        <f>Sources!E1799</f>
        <v/>
      </c>
      <c r="E1799">
        <f>Sources!F1799</f>
        <v/>
      </c>
      <c r="F1799">
        <f>Sources!H1799</f>
        <v/>
      </c>
      <c r="G1799">
        <f>IF(ABS(F1799-ROUND(F1799,0))&lt;0.001,1,0)</f>
        <v/>
      </c>
      <c r="H1799">
        <f>IF(G1799=1,F1799,CEILING(F1799,1))</f>
        <v/>
      </c>
      <c r="I1799">
        <f>IF(G1799=1,0,(H1799-F1799)*E1799)</f>
        <v/>
      </c>
      <c r="J1799">
        <f>E1799*F1799</f>
        <v/>
      </c>
    </row>
    <row r="1800">
      <c r="A1800">
        <f>Sources!A1800</f>
        <v/>
      </c>
      <c r="B1800">
        <f>Sources!B1800</f>
        <v/>
      </c>
      <c r="C1800">
        <f>Sources!D1800</f>
        <v/>
      </c>
      <c r="D1800">
        <f>Sources!E1800</f>
        <v/>
      </c>
      <c r="E1800">
        <f>Sources!F1800</f>
        <v/>
      </c>
      <c r="F1800">
        <f>Sources!H1800</f>
        <v/>
      </c>
      <c r="G1800">
        <f>IF(ABS(F1800-ROUND(F1800,0))&lt;0.001,1,0)</f>
        <v/>
      </c>
      <c r="H1800">
        <f>IF(G1800=1,F1800,CEILING(F1800,1))</f>
        <v/>
      </c>
      <c r="I1800">
        <f>IF(G1800=1,0,(H1800-F1800)*E1800)</f>
        <v/>
      </c>
      <c r="J1800">
        <f>E1800*F1800</f>
        <v/>
      </c>
    </row>
    <row r="1801">
      <c r="A1801">
        <f>Sources!A1801</f>
        <v/>
      </c>
      <c r="B1801">
        <f>Sources!B1801</f>
        <v/>
      </c>
      <c r="C1801">
        <f>Sources!D1801</f>
        <v/>
      </c>
      <c r="D1801">
        <f>Sources!E1801</f>
        <v/>
      </c>
      <c r="E1801">
        <f>Sources!F1801</f>
        <v/>
      </c>
      <c r="F1801">
        <f>Sources!H1801</f>
        <v/>
      </c>
      <c r="G1801">
        <f>IF(ABS(F1801-ROUND(F1801,0))&lt;0.001,1,0)</f>
        <v/>
      </c>
      <c r="H1801">
        <f>IF(G1801=1,F1801,CEILING(F1801,1))</f>
        <v/>
      </c>
      <c r="I1801">
        <f>IF(G1801=1,0,(H1801-F1801)*E1801)</f>
        <v/>
      </c>
      <c r="J1801">
        <f>E1801*F1801</f>
        <v/>
      </c>
    </row>
    <row r="1802">
      <c r="A1802">
        <f>Sources!A1802</f>
        <v/>
      </c>
      <c r="B1802">
        <f>Sources!B1802</f>
        <v/>
      </c>
      <c r="C1802">
        <f>Sources!D1802</f>
        <v/>
      </c>
      <c r="D1802">
        <f>Sources!E1802</f>
        <v/>
      </c>
      <c r="E1802">
        <f>Sources!F1802</f>
        <v/>
      </c>
      <c r="F1802">
        <f>Sources!H1802</f>
        <v/>
      </c>
      <c r="G1802">
        <f>IF(ABS(F1802-ROUND(F1802,0))&lt;0.001,1,0)</f>
        <v/>
      </c>
      <c r="H1802">
        <f>IF(G1802=1,F1802,CEILING(F1802,1))</f>
        <v/>
      </c>
      <c r="I1802">
        <f>IF(G1802=1,0,(H1802-F1802)*E1802)</f>
        <v/>
      </c>
      <c r="J1802">
        <f>E1802*F1802</f>
        <v/>
      </c>
    </row>
    <row r="1803">
      <c r="A1803">
        <f>Sources!A1803</f>
        <v/>
      </c>
      <c r="B1803">
        <f>Sources!B1803</f>
        <v/>
      </c>
      <c r="C1803">
        <f>Sources!D1803</f>
        <v/>
      </c>
      <c r="D1803">
        <f>Sources!E1803</f>
        <v/>
      </c>
      <c r="E1803">
        <f>Sources!F1803</f>
        <v/>
      </c>
      <c r="F1803">
        <f>Sources!H1803</f>
        <v/>
      </c>
      <c r="G1803">
        <f>IF(ABS(F1803-ROUND(F1803,0))&lt;0.001,1,0)</f>
        <v/>
      </c>
      <c r="H1803">
        <f>IF(G1803=1,F1803,CEILING(F1803,1))</f>
        <v/>
      </c>
      <c r="I1803">
        <f>IF(G1803=1,0,(H1803-F1803)*E1803)</f>
        <v/>
      </c>
      <c r="J1803">
        <f>E1803*F1803</f>
        <v/>
      </c>
    </row>
    <row r="1804">
      <c r="A1804">
        <f>Sources!A1804</f>
        <v/>
      </c>
      <c r="B1804">
        <f>Sources!B1804</f>
        <v/>
      </c>
      <c r="C1804">
        <f>Sources!D1804</f>
        <v/>
      </c>
      <c r="D1804">
        <f>Sources!E1804</f>
        <v/>
      </c>
      <c r="E1804">
        <f>Sources!F1804</f>
        <v/>
      </c>
      <c r="F1804">
        <f>Sources!H1804</f>
        <v/>
      </c>
      <c r="G1804">
        <f>IF(ABS(F1804-ROUND(F1804,0))&lt;0.001,1,0)</f>
        <v/>
      </c>
      <c r="H1804">
        <f>IF(G1804=1,F1804,CEILING(F1804,1))</f>
        <v/>
      </c>
      <c r="I1804">
        <f>IF(G1804=1,0,(H1804-F1804)*E1804)</f>
        <v/>
      </c>
      <c r="J1804">
        <f>E1804*F1804</f>
        <v/>
      </c>
    </row>
    <row r="1805">
      <c r="A1805">
        <f>Sources!A1805</f>
        <v/>
      </c>
      <c r="B1805">
        <f>Sources!B1805</f>
        <v/>
      </c>
      <c r="C1805">
        <f>Sources!D1805</f>
        <v/>
      </c>
      <c r="D1805">
        <f>Sources!E1805</f>
        <v/>
      </c>
      <c r="E1805">
        <f>Sources!F1805</f>
        <v/>
      </c>
      <c r="F1805">
        <f>Sources!H1805</f>
        <v/>
      </c>
      <c r="G1805">
        <f>IF(ABS(F1805-ROUND(F1805,0))&lt;0.001,1,0)</f>
        <v/>
      </c>
      <c r="H1805">
        <f>IF(G1805=1,F1805,CEILING(F1805,1))</f>
        <v/>
      </c>
      <c r="I1805">
        <f>IF(G1805=1,0,(H1805-F1805)*E1805)</f>
        <v/>
      </c>
      <c r="J1805">
        <f>E1805*F1805</f>
        <v/>
      </c>
    </row>
    <row r="1806">
      <c r="A1806">
        <f>Sources!A1806</f>
        <v/>
      </c>
      <c r="B1806">
        <f>Sources!B1806</f>
        <v/>
      </c>
      <c r="C1806">
        <f>Sources!D1806</f>
        <v/>
      </c>
      <c r="D1806">
        <f>Sources!E1806</f>
        <v/>
      </c>
      <c r="E1806">
        <f>Sources!F1806</f>
        <v/>
      </c>
      <c r="F1806">
        <f>Sources!H1806</f>
        <v/>
      </c>
      <c r="G1806">
        <f>IF(ABS(F1806-ROUND(F1806,0))&lt;0.001,1,0)</f>
        <v/>
      </c>
      <c r="H1806">
        <f>IF(G1806=1,F1806,CEILING(F1806,1))</f>
        <v/>
      </c>
      <c r="I1806">
        <f>IF(G1806=1,0,(H1806-F1806)*E1806)</f>
        <v/>
      </c>
      <c r="J1806">
        <f>E1806*F1806</f>
        <v/>
      </c>
    </row>
    <row r="1807">
      <c r="A1807">
        <f>Sources!A1807</f>
        <v/>
      </c>
      <c r="B1807">
        <f>Sources!B1807</f>
        <v/>
      </c>
      <c r="C1807">
        <f>Sources!D1807</f>
        <v/>
      </c>
      <c r="D1807">
        <f>Sources!E1807</f>
        <v/>
      </c>
      <c r="E1807">
        <f>Sources!F1807</f>
        <v/>
      </c>
      <c r="F1807">
        <f>Sources!H1807</f>
        <v/>
      </c>
      <c r="G1807">
        <f>IF(ABS(F1807-ROUND(F1807,0))&lt;0.001,1,0)</f>
        <v/>
      </c>
      <c r="H1807">
        <f>IF(G1807=1,F1807,CEILING(F1807,1))</f>
        <v/>
      </c>
      <c r="I1807">
        <f>IF(G1807=1,0,(H1807-F1807)*E1807)</f>
        <v/>
      </c>
      <c r="J1807">
        <f>E1807*F1807</f>
        <v/>
      </c>
    </row>
    <row r="1808">
      <c r="A1808">
        <f>Sources!A1808</f>
        <v/>
      </c>
      <c r="B1808">
        <f>Sources!B1808</f>
        <v/>
      </c>
      <c r="C1808">
        <f>Sources!D1808</f>
        <v/>
      </c>
      <c r="D1808">
        <f>Sources!E1808</f>
        <v/>
      </c>
      <c r="E1808">
        <f>Sources!F1808</f>
        <v/>
      </c>
      <c r="F1808">
        <f>Sources!H1808</f>
        <v/>
      </c>
      <c r="G1808">
        <f>IF(ABS(F1808-ROUND(F1808,0))&lt;0.001,1,0)</f>
        <v/>
      </c>
      <c r="H1808">
        <f>IF(G1808=1,F1808,CEILING(F1808,1))</f>
        <v/>
      </c>
      <c r="I1808">
        <f>IF(G1808=1,0,(H1808-F1808)*E1808)</f>
        <v/>
      </c>
      <c r="J1808">
        <f>E1808*F1808</f>
        <v/>
      </c>
    </row>
    <row r="1809">
      <c r="A1809">
        <f>Sources!A1809</f>
        <v/>
      </c>
      <c r="B1809">
        <f>Sources!B1809</f>
        <v/>
      </c>
      <c r="C1809">
        <f>Sources!D1809</f>
        <v/>
      </c>
      <c r="D1809">
        <f>Sources!E1809</f>
        <v/>
      </c>
      <c r="E1809">
        <f>Sources!F1809</f>
        <v/>
      </c>
      <c r="F1809">
        <f>Sources!H1809</f>
        <v/>
      </c>
      <c r="G1809">
        <f>IF(ABS(F1809-ROUND(F1809,0))&lt;0.001,1,0)</f>
        <v/>
      </c>
      <c r="H1809">
        <f>IF(G1809=1,F1809,CEILING(F1809,1))</f>
        <v/>
      </c>
      <c r="I1809">
        <f>IF(G1809=1,0,(H1809-F1809)*E1809)</f>
        <v/>
      </c>
      <c r="J1809">
        <f>E1809*F1809</f>
        <v/>
      </c>
    </row>
    <row r="1810">
      <c r="A1810">
        <f>Sources!A1810</f>
        <v/>
      </c>
      <c r="B1810">
        <f>Sources!B1810</f>
        <v/>
      </c>
      <c r="C1810">
        <f>Sources!D1810</f>
        <v/>
      </c>
      <c r="D1810">
        <f>Sources!E1810</f>
        <v/>
      </c>
      <c r="E1810">
        <f>Sources!F1810</f>
        <v/>
      </c>
      <c r="F1810">
        <f>Sources!H1810</f>
        <v/>
      </c>
      <c r="G1810">
        <f>IF(ABS(F1810-ROUND(F1810,0))&lt;0.001,1,0)</f>
        <v/>
      </c>
      <c r="H1810">
        <f>IF(G1810=1,F1810,CEILING(F1810,1))</f>
        <v/>
      </c>
      <c r="I1810">
        <f>IF(G1810=1,0,(H1810-F1810)*E1810)</f>
        <v/>
      </c>
      <c r="J1810">
        <f>E1810*F1810</f>
        <v/>
      </c>
    </row>
    <row r="1811">
      <c r="A1811">
        <f>Sources!A1811</f>
        <v/>
      </c>
      <c r="B1811">
        <f>Sources!B1811</f>
        <v/>
      </c>
      <c r="C1811">
        <f>Sources!D1811</f>
        <v/>
      </c>
      <c r="D1811">
        <f>Sources!E1811</f>
        <v/>
      </c>
      <c r="E1811">
        <f>Sources!F1811</f>
        <v/>
      </c>
      <c r="F1811">
        <f>Sources!H1811</f>
        <v/>
      </c>
      <c r="G1811">
        <f>IF(ABS(F1811-ROUND(F1811,0))&lt;0.001,1,0)</f>
        <v/>
      </c>
      <c r="H1811">
        <f>IF(G1811=1,F1811,CEILING(F1811,1))</f>
        <v/>
      </c>
      <c r="I1811">
        <f>IF(G1811=1,0,(H1811-F1811)*E1811)</f>
        <v/>
      </c>
      <c r="J1811">
        <f>E1811*F1811</f>
        <v/>
      </c>
    </row>
    <row r="1812">
      <c r="A1812">
        <f>Sources!A1812</f>
        <v/>
      </c>
      <c r="B1812">
        <f>Sources!B1812</f>
        <v/>
      </c>
      <c r="C1812">
        <f>Sources!D1812</f>
        <v/>
      </c>
      <c r="D1812">
        <f>Sources!E1812</f>
        <v/>
      </c>
      <c r="E1812">
        <f>Sources!F1812</f>
        <v/>
      </c>
      <c r="F1812">
        <f>Sources!H1812</f>
        <v/>
      </c>
      <c r="G1812">
        <f>IF(ABS(F1812-ROUND(F1812,0))&lt;0.001,1,0)</f>
        <v/>
      </c>
      <c r="H1812">
        <f>IF(G1812=1,F1812,CEILING(F1812,1))</f>
        <v/>
      </c>
      <c r="I1812">
        <f>IF(G1812=1,0,(H1812-F1812)*E1812)</f>
        <v/>
      </c>
      <c r="J1812">
        <f>E1812*F1812</f>
        <v/>
      </c>
    </row>
    <row r="1813">
      <c r="A1813">
        <f>Sources!A1813</f>
        <v/>
      </c>
      <c r="B1813">
        <f>Sources!B1813</f>
        <v/>
      </c>
      <c r="C1813">
        <f>Sources!D1813</f>
        <v/>
      </c>
      <c r="D1813">
        <f>Sources!E1813</f>
        <v/>
      </c>
      <c r="E1813">
        <f>Sources!F1813</f>
        <v/>
      </c>
      <c r="F1813">
        <f>Sources!H1813</f>
        <v/>
      </c>
      <c r="G1813">
        <f>IF(ABS(F1813-ROUND(F1813,0))&lt;0.001,1,0)</f>
        <v/>
      </c>
      <c r="H1813">
        <f>IF(G1813=1,F1813,CEILING(F1813,1))</f>
        <v/>
      </c>
      <c r="I1813">
        <f>IF(G1813=1,0,(H1813-F1813)*E1813)</f>
        <v/>
      </c>
      <c r="J1813">
        <f>E1813*F1813</f>
        <v/>
      </c>
    </row>
    <row r="1814">
      <c r="A1814">
        <f>Sources!A1814</f>
        <v/>
      </c>
      <c r="B1814">
        <f>Sources!B1814</f>
        <v/>
      </c>
      <c r="C1814">
        <f>Sources!D1814</f>
        <v/>
      </c>
      <c r="D1814">
        <f>Sources!E1814</f>
        <v/>
      </c>
      <c r="E1814">
        <f>Sources!F1814</f>
        <v/>
      </c>
      <c r="F1814">
        <f>Sources!H1814</f>
        <v/>
      </c>
      <c r="G1814">
        <f>IF(ABS(F1814-ROUND(F1814,0))&lt;0.001,1,0)</f>
        <v/>
      </c>
      <c r="H1814">
        <f>IF(G1814=1,F1814,CEILING(F1814,1))</f>
        <v/>
      </c>
      <c r="I1814">
        <f>IF(G1814=1,0,(H1814-F1814)*E1814)</f>
        <v/>
      </c>
      <c r="J1814">
        <f>E1814*F1814</f>
        <v/>
      </c>
    </row>
    <row r="1815">
      <c r="A1815">
        <f>Sources!A1815</f>
        <v/>
      </c>
      <c r="B1815">
        <f>Sources!B1815</f>
        <v/>
      </c>
      <c r="C1815">
        <f>Sources!D1815</f>
        <v/>
      </c>
      <c r="D1815">
        <f>Sources!E1815</f>
        <v/>
      </c>
      <c r="E1815">
        <f>Sources!F1815</f>
        <v/>
      </c>
      <c r="F1815">
        <f>Sources!H1815</f>
        <v/>
      </c>
      <c r="G1815">
        <f>IF(ABS(F1815-ROUND(F1815,0))&lt;0.001,1,0)</f>
        <v/>
      </c>
      <c r="H1815">
        <f>IF(G1815=1,F1815,CEILING(F1815,1))</f>
        <v/>
      </c>
      <c r="I1815">
        <f>IF(G1815=1,0,(H1815-F1815)*E1815)</f>
        <v/>
      </c>
      <c r="J1815">
        <f>E1815*F1815</f>
        <v/>
      </c>
    </row>
    <row r="1816">
      <c r="A1816">
        <f>Sources!A1816</f>
        <v/>
      </c>
      <c r="B1816">
        <f>Sources!B1816</f>
        <v/>
      </c>
      <c r="C1816">
        <f>Sources!D1816</f>
        <v/>
      </c>
      <c r="D1816">
        <f>Sources!E1816</f>
        <v/>
      </c>
      <c r="E1816">
        <f>Sources!F1816</f>
        <v/>
      </c>
      <c r="F1816">
        <f>Sources!H1816</f>
        <v/>
      </c>
      <c r="G1816">
        <f>IF(ABS(F1816-ROUND(F1816,0))&lt;0.001,1,0)</f>
        <v/>
      </c>
      <c r="H1816">
        <f>IF(G1816=1,F1816,CEILING(F1816,1))</f>
        <v/>
      </c>
      <c r="I1816">
        <f>IF(G1816=1,0,(H1816-F1816)*E1816)</f>
        <v/>
      </c>
      <c r="J1816">
        <f>E1816*F1816</f>
        <v/>
      </c>
    </row>
    <row r="1817">
      <c r="A1817">
        <f>Sources!A1817</f>
        <v/>
      </c>
      <c r="B1817">
        <f>Sources!B1817</f>
        <v/>
      </c>
      <c r="C1817">
        <f>Sources!D1817</f>
        <v/>
      </c>
      <c r="D1817">
        <f>Sources!E1817</f>
        <v/>
      </c>
      <c r="E1817">
        <f>Sources!F1817</f>
        <v/>
      </c>
      <c r="F1817">
        <f>Sources!H1817</f>
        <v/>
      </c>
      <c r="G1817">
        <f>IF(ABS(F1817-ROUND(F1817,0))&lt;0.001,1,0)</f>
        <v/>
      </c>
      <c r="H1817">
        <f>IF(G1817=1,F1817,CEILING(F1817,1))</f>
        <v/>
      </c>
      <c r="I1817">
        <f>IF(G1817=1,0,(H1817-F1817)*E1817)</f>
        <v/>
      </c>
      <c r="J1817">
        <f>E1817*F1817</f>
        <v/>
      </c>
    </row>
    <row r="1818">
      <c r="A1818">
        <f>Sources!A1818</f>
        <v/>
      </c>
      <c r="B1818">
        <f>Sources!B1818</f>
        <v/>
      </c>
      <c r="C1818">
        <f>Sources!D1818</f>
        <v/>
      </c>
      <c r="D1818">
        <f>Sources!E1818</f>
        <v/>
      </c>
      <c r="E1818">
        <f>Sources!F1818</f>
        <v/>
      </c>
      <c r="F1818">
        <f>Sources!H1818</f>
        <v/>
      </c>
      <c r="G1818">
        <f>IF(ABS(F1818-ROUND(F1818,0))&lt;0.001,1,0)</f>
        <v/>
      </c>
      <c r="H1818">
        <f>IF(G1818=1,F1818,CEILING(F1818,1))</f>
        <v/>
      </c>
      <c r="I1818">
        <f>IF(G1818=1,0,(H1818-F1818)*E1818)</f>
        <v/>
      </c>
      <c r="J1818">
        <f>E1818*F1818</f>
        <v/>
      </c>
    </row>
    <row r="1819">
      <c r="A1819">
        <f>Sources!A1819</f>
        <v/>
      </c>
      <c r="B1819">
        <f>Sources!B1819</f>
        <v/>
      </c>
      <c r="C1819">
        <f>Sources!D1819</f>
        <v/>
      </c>
      <c r="D1819">
        <f>Sources!E1819</f>
        <v/>
      </c>
      <c r="E1819">
        <f>Sources!F1819</f>
        <v/>
      </c>
      <c r="F1819">
        <f>Sources!H1819</f>
        <v/>
      </c>
      <c r="G1819">
        <f>IF(ABS(F1819-ROUND(F1819,0))&lt;0.001,1,0)</f>
        <v/>
      </c>
      <c r="H1819">
        <f>IF(G1819=1,F1819,CEILING(F1819,1))</f>
        <v/>
      </c>
      <c r="I1819">
        <f>IF(G1819=1,0,(H1819-F1819)*E1819)</f>
        <v/>
      </c>
      <c r="J1819">
        <f>E1819*F1819</f>
        <v/>
      </c>
    </row>
    <row r="1820">
      <c r="A1820">
        <f>Sources!A1820</f>
        <v/>
      </c>
      <c r="B1820">
        <f>Sources!B1820</f>
        <v/>
      </c>
      <c r="C1820">
        <f>Sources!D1820</f>
        <v/>
      </c>
      <c r="D1820">
        <f>Sources!E1820</f>
        <v/>
      </c>
      <c r="E1820">
        <f>Sources!F1820</f>
        <v/>
      </c>
      <c r="F1820">
        <f>Sources!H1820</f>
        <v/>
      </c>
      <c r="G1820">
        <f>IF(ABS(F1820-ROUND(F1820,0))&lt;0.001,1,0)</f>
        <v/>
      </c>
      <c r="H1820">
        <f>IF(G1820=1,F1820,CEILING(F1820,1))</f>
        <v/>
      </c>
      <c r="I1820">
        <f>IF(G1820=1,0,(H1820-F1820)*E1820)</f>
        <v/>
      </c>
      <c r="J1820">
        <f>E1820*F1820</f>
        <v/>
      </c>
    </row>
    <row r="1821">
      <c r="A1821">
        <f>Sources!A1821</f>
        <v/>
      </c>
      <c r="B1821">
        <f>Sources!B1821</f>
        <v/>
      </c>
      <c r="C1821">
        <f>Sources!D1821</f>
        <v/>
      </c>
      <c r="D1821">
        <f>Sources!E1821</f>
        <v/>
      </c>
      <c r="E1821">
        <f>Sources!F1821</f>
        <v/>
      </c>
      <c r="F1821">
        <f>Sources!H1821</f>
        <v/>
      </c>
      <c r="G1821">
        <f>IF(ABS(F1821-ROUND(F1821,0))&lt;0.001,1,0)</f>
        <v/>
      </c>
      <c r="H1821">
        <f>IF(G1821=1,F1821,CEILING(F1821,1))</f>
        <v/>
      </c>
      <c r="I1821">
        <f>IF(G1821=1,0,(H1821-F1821)*E1821)</f>
        <v/>
      </c>
      <c r="J1821">
        <f>E1821*F1821</f>
        <v/>
      </c>
    </row>
    <row r="1822">
      <c r="A1822">
        <f>Sources!A1822</f>
        <v/>
      </c>
      <c r="B1822">
        <f>Sources!B1822</f>
        <v/>
      </c>
      <c r="C1822">
        <f>Sources!D1822</f>
        <v/>
      </c>
      <c r="D1822">
        <f>Sources!E1822</f>
        <v/>
      </c>
      <c r="E1822">
        <f>Sources!F1822</f>
        <v/>
      </c>
      <c r="F1822">
        <f>Sources!H1822</f>
        <v/>
      </c>
      <c r="G1822">
        <f>IF(ABS(F1822-ROUND(F1822,0))&lt;0.001,1,0)</f>
        <v/>
      </c>
      <c r="H1822">
        <f>IF(G1822=1,F1822,CEILING(F1822,1))</f>
        <v/>
      </c>
      <c r="I1822">
        <f>IF(G1822=1,0,(H1822-F1822)*E1822)</f>
        <v/>
      </c>
      <c r="J1822">
        <f>E1822*F1822</f>
        <v/>
      </c>
    </row>
    <row r="1823">
      <c r="A1823">
        <f>Sources!A1823</f>
        <v/>
      </c>
      <c r="B1823">
        <f>Sources!B1823</f>
        <v/>
      </c>
      <c r="C1823">
        <f>Sources!D1823</f>
        <v/>
      </c>
      <c r="D1823">
        <f>Sources!E1823</f>
        <v/>
      </c>
      <c r="E1823">
        <f>Sources!F1823</f>
        <v/>
      </c>
      <c r="F1823">
        <f>Sources!H1823</f>
        <v/>
      </c>
      <c r="G1823">
        <f>IF(ABS(F1823-ROUND(F1823,0))&lt;0.001,1,0)</f>
        <v/>
      </c>
      <c r="H1823">
        <f>IF(G1823=1,F1823,CEILING(F1823,1))</f>
        <v/>
      </c>
      <c r="I1823">
        <f>IF(G1823=1,0,(H1823-F1823)*E1823)</f>
        <v/>
      </c>
      <c r="J1823">
        <f>E1823*F1823</f>
        <v/>
      </c>
    </row>
    <row r="1824">
      <c r="A1824">
        <f>Sources!A1824</f>
        <v/>
      </c>
      <c r="B1824">
        <f>Sources!B1824</f>
        <v/>
      </c>
      <c r="C1824">
        <f>Sources!D1824</f>
        <v/>
      </c>
      <c r="D1824">
        <f>Sources!E1824</f>
        <v/>
      </c>
      <c r="E1824">
        <f>Sources!F1824</f>
        <v/>
      </c>
      <c r="F1824">
        <f>Sources!H1824</f>
        <v/>
      </c>
      <c r="G1824">
        <f>IF(ABS(F1824-ROUND(F1824,0))&lt;0.001,1,0)</f>
        <v/>
      </c>
      <c r="H1824">
        <f>IF(G1824=1,F1824,CEILING(F1824,1))</f>
        <v/>
      </c>
      <c r="I1824">
        <f>IF(G1824=1,0,(H1824-F1824)*E1824)</f>
        <v/>
      </c>
      <c r="J1824">
        <f>E1824*F1824</f>
        <v/>
      </c>
    </row>
    <row r="1825">
      <c r="A1825">
        <f>Sources!A1825</f>
        <v/>
      </c>
      <c r="B1825">
        <f>Sources!B1825</f>
        <v/>
      </c>
      <c r="C1825">
        <f>Sources!D1825</f>
        <v/>
      </c>
      <c r="D1825">
        <f>Sources!E1825</f>
        <v/>
      </c>
      <c r="E1825">
        <f>Sources!F1825</f>
        <v/>
      </c>
      <c r="F1825">
        <f>Sources!H1825</f>
        <v/>
      </c>
      <c r="G1825">
        <f>IF(ABS(F1825-ROUND(F1825,0))&lt;0.001,1,0)</f>
        <v/>
      </c>
      <c r="H1825">
        <f>IF(G1825=1,F1825,CEILING(F1825,1))</f>
        <v/>
      </c>
      <c r="I1825">
        <f>IF(G1825=1,0,(H1825-F1825)*E1825)</f>
        <v/>
      </c>
      <c r="J1825">
        <f>E1825*F1825</f>
        <v/>
      </c>
    </row>
    <row r="1826">
      <c r="A1826">
        <f>Sources!A1826</f>
        <v/>
      </c>
      <c r="B1826">
        <f>Sources!B1826</f>
        <v/>
      </c>
      <c r="C1826">
        <f>Sources!D1826</f>
        <v/>
      </c>
      <c r="D1826">
        <f>Sources!E1826</f>
        <v/>
      </c>
      <c r="E1826">
        <f>Sources!F1826</f>
        <v/>
      </c>
      <c r="F1826">
        <f>Sources!H1826</f>
        <v/>
      </c>
      <c r="G1826">
        <f>IF(ABS(F1826-ROUND(F1826,0))&lt;0.001,1,0)</f>
        <v/>
      </c>
      <c r="H1826">
        <f>IF(G1826=1,F1826,CEILING(F1826,1))</f>
        <v/>
      </c>
      <c r="I1826">
        <f>IF(G1826=1,0,(H1826-F1826)*E1826)</f>
        <v/>
      </c>
      <c r="J1826">
        <f>E1826*F1826</f>
        <v/>
      </c>
    </row>
    <row r="1827">
      <c r="A1827">
        <f>Sources!A1827</f>
        <v/>
      </c>
      <c r="B1827">
        <f>Sources!B1827</f>
        <v/>
      </c>
      <c r="C1827">
        <f>Sources!D1827</f>
        <v/>
      </c>
      <c r="D1827">
        <f>Sources!E1827</f>
        <v/>
      </c>
      <c r="E1827">
        <f>Sources!F1827</f>
        <v/>
      </c>
      <c r="F1827">
        <f>Sources!H1827</f>
        <v/>
      </c>
      <c r="G1827">
        <f>IF(ABS(F1827-ROUND(F1827,0))&lt;0.001,1,0)</f>
        <v/>
      </c>
      <c r="H1827">
        <f>IF(G1827=1,F1827,CEILING(F1827,1))</f>
        <v/>
      </c>
      <c r="I1827">
        <f>IF(G1827=1,0,(H1827-F1827)*E1827)</f>
        <v/>
      </c>
      <c r="J1827">
        <f>E1827*F1827</f>
        <v/>
      </c>
    </row>
    <row r="1828">
      <c r="A1828">
        <f>Sources!A1828</f>
        <v/>
      </c>
      <c r="B1828">
        <f>Sources!B1828</f>
        <v/>
      </c>
      <c r="C1828">
        <f>Sources!D1828</f>
        <v/>
      </c>
      <c r="D1828">
        <f>Sources!E1828</f>
        <v/>
      </c>
      <c r="E1828">
        <f>Sources!F1828</f>
        <v/>
      </c>
      <c r="F1828">
        <f>Sources!H1828</f>
        <v/>
      </c>
      <c r="G1828">
        <f>IF(ABS(F1828-ROUND(F1828,0))&lt;0.001,1,0)</f>
        <v/>
      </c>
      <c r="H1828">
        <f>IF(G1828=1,F1828,CEILING(F1828,1))</f>
        <v/>
      </c>
      <c r="I1828">
        <f>IF(G1828=1,0,(H1828-F1828)*E1828)</f>
        <v/>
      </c>
      <c r="J1828">
        <f>E1828*F1828</f>
        <v/>
      </c>
    </row>
    <row r="1829">
      <c r="A1829">
        <f>Sources!A1829</f>
        <v/>
      </c>
      <c r="B1829">
        <f>Sources!B1829</f>
        <v/>
      </c>
      <c r="C1829">
        <f>Sources!D1829</f>
        <v/>
      </c>
      <c r="D1829">
        <f>Sources!E1829</f>
        <v/>
      </c>
      <c r="E1829">
        <f>Sources!F1829</f>
        <v/>
      </c>
      <c r="F1829">
        <f>Sources!H1829</f>
        <v/>
      </c>
      <c r="G1829">
        <f>IF(ABS(F1829-ROUND(F1829,0))&lt;0.001,1,0)</f>
        <v/>
      </c>
      <c r="H1829">
        <f>IF(G1829=1,F1829,CEILING(F1829,1))</f>
        <v/>
      </c>
      <c r="I1829">
        <f>IF(G1829=1,0,(H1829-F1829)*E1829)</f>
        <v/>
      </c>
      <c r="J1829">
        <f>E1829*F1829</f>
        <v/>
      </c>
    </row>
    <row r="1830">
      <c r="A1830">
        <f>Sources!A1830</f>
        <v/>
      </c>
      <c r="B1830">
        <f>Sources!B1830</f>
        <v/>
      </c>
      <c r="C1830">
        <f>Sources!D1830</f>
        <v/>
      </c>
      <c r="D1830">
        <f>Sources!E1830</f>
        <v/>
      </c>
      <c r="E1830">
        <f>Sources!F1830</f>
        <v/>
      </c>
      <c r="F1830">
        <f>Sources!H1830</f>
        <v/>
      </c>
      <c r="G1830">
        <f>IF(ABS(F1830-ROUND(F1830,0))&lt;0.001,1,0)</f>
        <v/>
      </c>
      <c r="H1830">
        <f>IF(G1830=1,F1830,CEILING(F1830,1))</f>
        <v/>
      </c>
      <c r="I1830">
        <f>IF(G1830=1,0,(H1830-F1830)*E1830)</f>
        <v/>
      </c>
      <c r="J1830">
        <f>E1830*F1830</f>
        <v/>
      </c>
    </row>
    <row r="1831">
      <c r="A1831">
        <f>Sources!A1831</f>
        <v/>
      </c>
      <c r="B1831">
        <f>Sources!B1831</f>
        <v/>
      </c>
      <c r="C1831">
        <f>Sources!D1831</f>
        <v/>
      </c>
      <c r="D1831">
        <f>Sources!E1831</f>
        <v/>
      </c>
      <c r="E1831">
        <f>Sources!F1831</f>
        <v/>
      </c>
      <c r="F1831">
        <f>Sources!H1831</f>
        <v/>
      </c>
      <c r="G1831">
        <f>IF(ABS(F1831-ROUND(F1831,0))&lt;0.001,1,0)</f>
        <v/>
      </c>
      <c r="H1831">
        <f>IF(G1831=1,F1831,CEILING(F1831,1))</f>
        <v/>
      </c>
      <c r="I1831">
        <f>IF(G1831=1,0,(H1831-F1831)*E1831)</f>
        <v/>
      </c>
      <c r="J1831">
        <f>E1831*F1831</f>
        <v/>
      </c>
    </row>
    <row r="1832">
      <c r="A1832">
        <f>Sources!A1832</f>
        <v/>
      </c>
      <c r="B1832">
        <f>Sources!B1832</f>
        <v/>
      </c>
      <c r="C1832">
        <f>Sources!D1832</f>
        <v/>
      </c>
      <c r="D1832">
        <f>Sources!E1832</f>
        <v/>
      </c>
      <c r="E1832">
        <f>Sources!F1832</f>
        <v/>
      </c>
      <c r="F1832">
        <f>Sources!H1832</f>
        <v/>
      </c>
      <c r="G1832">
        <f>IF(ABS(F1832-ROUND(F1832,0))&lt;0.001,1,0)</f>
        <v/>
      </c>
      <c r="H1832">
        <f>IF(G1832=1,F1832,CEILING(F1832,1))</f>
        <v/>
      </c>
      <c r="I1832">
        <f>IF(G1832=1,0,(H1832-F1832)*E1832)</f>
        <v/>
      </c>
      <c r="J1832">
        <f>E1832*F1832</f>
        <v/>
      </c>
    </row>
    <row r="1833">
      <c r="A1833">
        <f>Sources!A1833</f>
        <v/>
      </c>
      <c r="B1833">
        <f>Sources!B1833</f>
        <v/>
      </c>
      <c r="C1833">
        <f>Sources!D1833</f>
        <v/>
      </c>
      <c r="D1833">
        <f>Sources!E1833</f>
        <v/>
      </c>
      <c r="E1833">
        <f>Sources!F1833</f>
        <v/>
      </c>
      <c r="F1833">
        <f>Sources!H1833</f>
        <v/>
      </c>
      <c r="G1833">
        <f>IF(ABS(F1833-ROUND(F1833,0))&lt;0.001,1,0)</f>
        <v/>
      </c>
      <c r="H1833">
        <f>IF(G1833=1,F1833,CEILING(F1833,1))</f>
        <v/>
      </c>
      <c r="I1833">
        <f>IF(G1833=1,0,(H1833-F1833)*E1833)</f>
        <v/>
      </c>
      <c r="J1833">
        <f>E1833*F1833</f>
        <v/>
      </c>
    </row>
    <row r="1834">
      <c r="A1834">
        <f>Sources!A1834</f>
        <v/>
      </c>
      <c r="B1834">
        <f>Sources!B1834</f>
        <v/>
      </c>
      <c r="C1834">
        <f>Sources!D1834</f>
        <v/>
      </c>
      <c r="D1834">
        <f>Sources!E1834</f>
        <v/>
      </c>
      <c r="E1834">
        <f>Sources!F1834</f>
        <v/>
      </c>
      <c r="F1834">
        <f>Sources!H1834</f>
        <v/>
      </c>
      <c r="G1834">
        <f>IF(ABS(F1834-ROUND(F1834,0))&lt;0.001,1,0)</f>
        <v/>
      </c>
      <c r="H1834">
        <f>IF(G1834=1,F1834,CEILING(F1834,1))</f>
        <v/>
      </c>
      <c r="I1834">
        <f>IF(G1834=1,0,(H1834-F1834)*E1834)</f>
        <v/>
      </c>
      <c r="J1834">
        <f>E1834*F1834</f>
        <v/>
      </c>
    </row>
    <row r="1835">
      <c r="A1835">
        <f>Sources!A1835</f>
        <v/>
      </c>
      <c r="B1835">
        <f>Sources!B1835</f>
        <v/>
      </c>
      <c r="C1835">
        <f>Sources!D1835</f>
        <v/>
      </c>
      <c r="D1835">
        <f>Sources!E1835</f>
        <v/>
      </c>
      <c r="E1835">
        <f>Sources!F1835</f>
        <v/>
      </c>
      <c r="F1835">
        <f>Sources!H1835</f>
        <v/>
      </c>
      <c r="G1835">
        <f>IF(ABS(F1835-ROUND(F1835,0))&lt;0.001,1,0)</f>
        <v/>
      </c>
      <c r="H1835">
        <f>IF(G1835=1,F1835,CEILING(F1835,1))</f>
        <v/>
      </c>
      <c r="I1835">
        <f>IF(G1835=1,0,(H1835-F1835)*E1835)</f>
        <v/>
      </c>
      <c r="J1835">
        <f>E1835*F1835</f>
        <v/>
      </c>
    </row>
    <row r="1836">
      <c r="A1836">
        <f>Sources!A1836</f>
        <v/>
      </c>
      <c r="B1836">
        <f>Sources!B1836</f>
        <v/>
      </c>
      <c r="C1836">
        <f>Sources!D1836</f>
        <v/>
      </c>
      <c r="D1836">
        <f>Sources!E1836</f>
        <v/>
      </c>
      <c r="E1836">
        <f>Sources!F1836</f>
        <v/>
      </c>
      <c r="F1836">
        <f>Sources!H1836</f>
        <v/>
      </c>
      <c r="G1836">
        <f>IF(ABS(F1836-ROUND(F1836,0))&lt;0.001,1,0)</f>
        <v/>
      </c>
      <c r="H1836">
        <f>IF(G1836=1,F1836,CEILING(F1836,1))</f>
        <v/>
      </c>
      <c r="I1836">
        <f>IF(G1836=1,0,(H1836-F1836)*E1836)</f>
        <v/>
      </c>
      <c r="J1836">
        <f>E1836*F1836</f>
        <v/>
      </c>
    </row>
    <row r="1837">
      <c r="A1837">
        <f>Sources!A1837</f>
        <v/>
      </c>
      <c r="B1837">
        <f>Sources!B1837</f>
        <v/>
      </c>
      <c r="C1837">
        <f>Sources!D1837</f>
        <v/>
      </c>
      <c r="D1837">
        <f>Sources!E1837</f>
        <v/>
      </c>
      <c r="E1837">
        <f>Sources!F1837</f>
        <v/>
      </c>
      <c r="F1837">
        <f>Sources!H1837</f>
        <v/>
      </c>
      <c r="G1837">
        <f>IF(ABS(F1837-ROUND(F1837,0))&lt;0.001,1,0)</f>
        <v/>
      </c>
      <c r="H1837">
        <f>IF(G1837=1,F1837,CEILING(F1837,1))</f>
        <v/>
      </c>
      <c r="I1837">
        <f>IF(G1837=1,0,(H1837-F1837)*E1837)</f>
        <v/>
      </c>
      <c r="J1837">
        <f>E1837*F1837</f>
        <v/>
      </c>
    </row>
    <row r="1838">
      <c r="A1838">
        <f>Sources!A1838</f>
        <v/>
      </c>
      <c r="B1838">
        <f>Sources!B1838</f>
        <v/>
      </c>
      <c r="C1838">
        <f>Sources!D1838</f>
        <v/>
      </c>
      <c r="D1838">
        <f>Sources!E1838</f>
        <v/>
      </c>
      <c r="E1838">
        <f>Sources!F1838</f>
        <v/>
      </c>
      <c r="F1838">
        <f>Sources!H1838</f>
        <v/>
      </c>
      <c r="G1838">
        <f>IF(ABS(F1838-ROUND(F1838,0))&lt;0.001,1,0)</f>
        <v/>
      </c>
      <c r="H1838">
        <f>IF(G1838=1,F1838,CEILING(F1838,1))</f>
        <v/>
      </c>
      <c r="I1838">
        <f>IF(G1838=1,0,(H1838-F1838)*E1838)</f>
        <v/>
      </c>
      <c r="J1838">
        <f>E1838*F1838</f>
        <v/>
      </c>
    </row>
    <row r="1839">
      <c r="A1839">
        <f>Sources!A1839</f>
        <v/>
      </c>
      <c r="B1839">
        <f>Sources!B1839</f>
        <v/>
      </c>
      <c r="C1839">
        <f>Sources!D1839</f>
        <v/>
      </c>
      <c r="D1839">
        <f>Sources!E1839</f>
        <v/>
      </c>
      <c r="E1839">
        <f>Sources!F1839</f>
        <v/>
      </c>
      <c r="F1839">
        <f>Sources!H1839</f>
        <v/>
      </c>
      <c r="G1839">
        <f>IF(ABS(F1839-ROUND(F1839,0))&lt;0.001,1,0)</f>
        <v/>
      </c>
      <c r="H1839">
        <f>IF(G1839=1,F1839,CEILING(F1839,1))</f>
        <v/>
      </c>
      <c r="I1839">
        <f>IF(G1839=1,0,(H1839-F1839)*E1839)</f>
        <v/>
      </c>
      <c r="J1839">
        <f>E1839*F1839</f>
        <v/>
      </c>
    </row>
    <row r="1840">
      <c r="A1840">
        <f>Sources!A1840</f>
        <v/>
      </c>
      <c r="B1840">
        <f>Sources!B1840</f>
        <v/>
      </c>
      <c r="C1840">
        <f>Sources!D1840</f>
        <v/>
      </c>
      <c r="D1840">
        <f>Sources!E1840</f>
        <v/>
      </c>
      <c r="E1840">
        <f>Sources!F1840</f>
        <v/>
      </c>
      <c r="F1840">
        <f>Sources!H1840</f>
        <v/>
      </c>
      <c r="G1840">
        <f>IF(ABS(F1840-ROUND(F1840,0))&lt;0.001,1,0)</f>
        <v/>
      </c>
      <c r="H1840">
        <f>IF(G1840=1,F1840,CEILING(F1840,1))</f>
        <v/>
      </c>
      <c r="I1840">
        <f>IF(G1840=1,0,(H1840-F1840)*E1840)</f>
        <v/>
      </c>
      <c r="J1840">
        <f>E1840*F1840</f>
        <v/>
      </c>
    </row>
    <row r="1841">
      <c r="A1841">
        <f>Sources!A1841</f>
        <v/>
      </c>
      <c r="B1841">
        <f>Sources!B1841</f>
        <v/>
      </c>
      <c r="C1841">
        <f>Sources!D1841</f>
        <v/>
      </c>
      <c r="D1841">
        <f>Sources!E1841</f>
        <v/>
      </c>
      <c r="E1841">
        <f>Sources!F1841</f>
        <v/>
      </c>
      <c r="F1841">
        <f>Sources!H1841</f>
        <v/>
      </c>
      <c r="G1841">
        <f>IF(ABS(F1841-ROUND(F1841,0))&lt;0.001,1,0)</f>
        <v/>
      </c>
      <c r="H1841">
        <f>IF(G1841=1,F1841,CEILING(F1841,1))</f>
        <v/>
      </c>
      <c r="I1841">
        <f>IF(G1841=1,0,(H1841-F1841)*E1841)</f>
        <v/>
      </c>
      <c r="J1841">
        <f>E1841*F1841</f>
        <v/>
      </c>
    </row>
    <row r="1842">
      <c r="A1842">
        <f>Sources!A1842</f>
        <v/>
      </c>
      <c r="B1842">
        <f>Sources!B1842</f>
        <v/>
      </c>
      <c r="C1842">
        <f>Sources!D1842</f>
        <v/>
      </c>
      <c r="D1842">
        <f>Sources!E1842</f>
        <v/>
      </c>
      <c r="E1842">
        <f>Sources!F1842</f>
        <v/>
      </c>
      <c r="F1842">
        <f>Sources!H1842</f>
        <v/>
      </c>
      <c r="G1842">
        <f>IF(ABS(F1842-ROUND(F1842,0))&lt;0.001,1,0)</f>
        <v/>
      </c>
      <c r="H1842">
        <f>IF(G1842=1,F1842,CEILING(F1842,1))</f>
        <v/>
      </c>
      <c r="I1842">
        <f>IF(G1842=1,0,(H1842-F1842)*E1842)</f>
        <v/>
      </c>
      <c r="J1842">
        <f>E1842*F1842</f>
        <v/>
      </c>
    </row>
    <row r="1843">
      <c r="A1843">
        <f>Sources!A1843</f>
        <v/>
      </c>
      <c r="B1843">
        <f>Sources!B1843</f>
        <v/>
      </c>
      <c r="C1843">
        <f>Sources!D1843</f>
        <v/>
      </c>
      <c r="D1843">
        <f>Sources!E1843</f>
        <v/>
      </c>
      <c r="E1843">
        <f>Sources!F1843</f>
        <v/>
      </c>
      <c r="F1843">
        <f>Sources!H1843</f>
        <v/>
      </c>
      <c r="G1843">
        <f>IF(ABS(F1843-ROUND(F1843,0))&lt;0.001,1,0)</f>
        <v/>
      </c>
      <c r="H1843">
        <f>IF(G1843=1,F1843,CEILING(F1843,1))</f>
        <v/>
      </c>
      <c r="I1843">
        <f>IF(G1843=1,0,(H1843-F1843)*E1843)</f>
        <v/>
      </c>
      <c r="J1843">
        <f>E1843*F1843</f>
        <v/>
      </c>
    </row>
    <row r="1844">
      <c r="A1844">
        <f>Sources!A1844</f>
        <v/>
      </c>
      <c r="B1844">
        <f>Sources!B1844</f>
        <v/>
      </c>
      <c r="C1844">
        <f>Sources!D1844</f>
        <v/>
      </c>
      <c r="D1844">
        <f>Sources!E1844</f>
        <v/>
      </c>
      <c r="E1844">
        <f>Sources!F1844</f>
        <v/>
      </c>
      <c r="F1844">
        <f>Sources!H1844</f>
        <v/>
      </c>
      <c r="G1844">
        <f>IF(ABS(F1844-ROUND(F1844,0))&lt;0.001,1,0)</f>
        <v/>
      </c>
      <c r="H1844">
        <f>IF(G1844=1,F1844,CEILING(F1844,1))</f>
        <v/>
      </c>
      <c r="I1844">
        <f>IF(G1844=1,0,(H1844-F1844)*E1844)</f>
        <v/>
      </c>
      <c r="J1844">
        <f>E1844*F1844</f>
        <v/>
      </c>
    </row>
    <row r="1845">
      <c r="A1845">
        <f>Sources!A1845</f>
        <v/>
      </c>
      <c r="B1845">
        <f>Sources!B1845</f>
        <v/>
      </c>
      <c r="C1845">
        <f>Sources!D1845</f>
        <v/>
      </c>
      <c r="D1845">
        <f>Sources!E1845</f>
        <v/>
      </c>
      <c r="E1845">
        <f>Sources!F1845</f>
        <v/>
      </c>
      <c r="F1845">
        <f>Sources!H1845</f>
        <v/>
      </c>
      <c r="G1845">
        <f>IF(ABS(F1845-ROUND(F1845,0))&lt;0.001,1,0)</f>
        <v/>
      </c>
      <c r="H1845">
        <f>IF(G1845=1,F1845,CEILING(F1845,1))</f>
        <v/>
      </c>
      <c r="I1845">
        <f>IF(G1845=1,0,(H1845-F1845)*E1845)</f>
        <v/>
      </c>
      <c r="J1845">
        <f>E1845*F1845</f>
        <v/>
      </c>
    </row>
    <row r="1846">
      <c r="A1846">
        <f>Sources!A1846</f>
        <v/>
      </c>
      <c r="B1846">
        <f>Sources!B1846</f>
        <v/>
      </c>
      <c r="C1846">
        <f>Sources!D1846</f>
        <v/>
      </c>
      <c r="D1846">
        <f>Sources!E1846</f>
        <v/>
      </c>
      <c r="E1846">
        <f>Sources!F1846</f>
        <v/>
      </c>
      <c r="F1846">
        <f>Sources!H1846</f>
        <v/>
      </c>
      <c r="G1846">
        <f>IF(ABS(F1846-ROUND(F1846,0))&lt;0.001,1,0)</f>
        <v/>
      </c>
      <c r="H1846">
        <f>IF(G1846=1,F1846,CEILING(F1846,1))</f>
        <v/>
      </c>
      <c r="I1846">
        <f>IF(G1846=1,0,(H1846-F1846)*E1846)</f>
        <v/>
      </c>
      <c r="J1846">
        <f>E1846*F1846</f>
        <v/>
      </c>
    </row>
    <row r="1847">
      <c r="A1847">
        <f>Sources!A1847</f>
        <v/>
      </c>
      <c r="B1847">
        <f>Sources!B1847</f>
        <v/>
      </c>
      <c r="C1847">
        <f>Sources!D1847</f>
        <v/>
      </c>
      <c r="D1847">
        <f>Sources!E1847</f>
        <v/>
      </c>
      <c r="E1847">
        <f>Sources!F1847</f>
        <v/>
      </c>
      <c r="F1847">
        <f>Sources!H1847</f>
        <v/>
      </c>
      <c r="G1847">
        <f>IF(ABS(F1847-ROUND(F1847,0))&lt;0.001,1,0)</f>
        <v/>
      </c>
      <c r="H1847">
        <f>IF(G1847=1,F1847,CEILING(F1847,1))</f>
        <v/>
      </c>
      <c r="I1847">
        <f>IF(G1847=1,0,(H1847-F1847)*E1847)</f>
        <v/>
      </c>
      <c r="J1847">
        <f>E1847*F1847</f>
        <v/>
      </c>
    </row>
    <row r="1848">
      <c r="A1848">
        <f>Sources!A1848</f>
        <v/>
      </c>
      <c r="B1848">
        <f>Sources!B1848</f>
        <v/>
      </c>
      <c r="C1848">
        <f>Sources!D1848</f>
        <v/>
      </c>
      <c r="D1848">
        <f>Sources!E1848</f>
        <v/>
      </c>
      <c r="E1848">
        <f>Sources!F1848</f>
        <v/>
      </c>
      <c r="F1848">
        <f>Sources!H1848</f>
        <v/>
      </c>
      <c r="G1848">
        <f>IF(ABS(F1848-ROUND(F1848,0))&lt;0.001,1,0)</f>
        <v/>
      </c>
      <c r="H1848">
        <f>IF(G1848=1,F1848,CEILING(F1848,1))</f>
        <v/>
      </c>
      <c r="I1848">
        <f>IF(G1848=1,0,(H1848-F1848)*E1848)</f>
        <v/>
      </c>
      <c r="J1848">
        <f>E1848*F1848</f>
        <v/>
      </c>
    </row>
    <row r="1849">
      <c r="A1849">
        <f>Sources!A1849</f>
        <v/>
      </c>
      <c r="B1849">
        <f>Sources!B1849</f>
        <v/>
      </c>
      <c r="C1849">
        <f>Sources!D1849</f>
        <v/>
      </c>
      <c r="D1849">
        <f>Sources!E1849</f>
        <v/>
      </c>
      <c r="E1849">
        <f>Sources!F1849</f>
        <v/>
      </c>
      <c r="F1849">
        <f>Sources!H1849</f>
        <v/>
      </c>
      <c r="G1849">
        <f>IF(ABS(F1849-ROUND(F1849,0))&lt;0.001,1,0)</f>
        <v/>
      </c>
      <c r="H1849">
        <f>IF(G1849=1,F1849,CEILING(F1849,1))</f>
        <v/>
      </c>
      <c r="I1849">
        <f>IF(G1849=1,0,(H1849-F1849)*E1849)</f>
        <v/>
      </c>
      <c r="J1849">
        <f>E1849*F1849</f>
        <v/>
      </c>
    </row>
    <row r="1850">
      <c r="A1850">
        <f>Sources!A1850</f>
        <v/>
      </c>
      <c r="B1850">
        <f>Sources!B1850</f>
        <v/>
      </c>
      <c r="C1850">
        <f>Sources!D1850</f>
        <v/>
      </c>
      <c r="D1850">
        <f>Sources!E1850</f>
        <v/>
      </c>
      <c r="E1850">
        <f>Sources!F1850</f>
        <v/>
      </c>
      <c r="F1850">
        <f>Sources!H1850</f>
        <v/>
      </c>
      <c r="G1850">
        <f>IF(ABS(F1850-ROUND(F1850,0))&lt;0.001,1,0)</f>
        <v/>
      </c>
      <c r="H1850">
        <f>IF(G1850=1,F1850,CEILING(F1850,1))</f>
        <v/>
      </c>
      <c r="I1850">
        <f>IF(G1850=1,0,(H1850-F1850)*E1850)</f>
        <v/>
      </c>
      <c r="J1850">
        <f>E1850*F1850</f>
        <v/>
      </c>
    </row>
    <row r="1851">
      <c r="A1851">
        <f>Sources!A1851</f>
        <v/>
      </c>
      <c r="B1851">
        <f>Sources!B1851</f>
        <v/>
      </c>
      <c r="C1851">
        <f>Sources!D1851</f>
        <v/>
      </c>
      <c r="D1851">
        <f>Sources!E1851</f>
        <v/>
      </c>
      <c r="E1851">
        <f>Sources!F1851</f>
        <v/>
      </c>
      <c r="F1851">
        <f>Sources!H1851</f>
        <v/>
      </c>
      <c r="G1851">
        <f>IF(ABS(F1851-ROUND(F1851,0))&lt;0.001,1,0)</f>
        <v/>
      </c>
      <c r="H1851">
        <f>IF(G1851=1,F1851,CEILING(F1851,1))</f>
        <v/>
      </c>
      <c r="I1851">
        <f>IF(G1851=1,0,(H1851-F1851)*E1851)</f>
        <v/>
      </c>
      <c r="J1851">
        <f>E1851*F1851</f>
        <v/>
      </c>
    </row>
    <row r="1852">
      <c r="A1852">
        <f>Sources!A1852</f>
        <v/>
      </c>
      <c r="B1852">
        <f>Sources!B1852</f>
        <v/>
      </c>
      <c r="C1852">
        <f>Sources!D1852</f>
        <v/>
      </c>
      <c r="D1852">
        <f>Sources!E1852</f>
        <v/>
      </c>
      <c r="E1852">
        <f>Sources!F1852</f>
        <v/>
      </c>
      <c r="F1852">
        <f>Sources!H1852</f>
        <v/>
      </c>
      <c r="G1852">
        <f>IF(ABS(F1852-ROUND(F1852,0))&lt;0.001,1,0)</f>
        <v/>
      </c>
      <c r="H1852">
        <f>IF(G1852=1,F1852,CEILING(F1852,1))</f>
        <v/>
      </c>
      <c r="I1852">
        <f>IF(G1852=1,0,(H1852-F1852)*E1852)</f>
        <v/>
      </c>
      <c r="J1852">
        <f>E1852*F1852</f>
        <v/>
      </c>
    </row>
    <row r="1853">
      <c r="A1853">
        <f>Sources!A1853</f>
        <v/>
      </c>
      <c r="B1853">
        <f>Sources!B1853</f>
        <v/>
      </c>
      <c r="C1853">
        <f>Sources!D1853</f>
        <v/>
      </c>
      <c r="D1853">
        <f>Sources!E1853</f>
        <v/>
      </c>
      <c r="E1853">
        <f>Sources!F1853</f>
        <v/>
      </c>
      <c r="F1853">
        <f>Sources!H1853</f>
        <v/>
      </c>
      <c r="G1853">
        <f>IF(ABS(F1853-ROUND(F1853,0))&lt;0.001,1,0)</f>
        <v/>
      </c>
      <c r="H1853">
        <f>IF(G1853=1,F1853,CEILING(F1853,1))</f>
        <v/>
      </c>
      <c r="I1853">
        <f>IF(G1853=1,0,(H1853-F1853)*E1853)</f>
        <v/>
      </c>
      <c r="J1853">
        <f>E1853*F1853</f>
        <v/>
      </c>
    </row>
    <row r="1854">
      <c r="A1854">
        <f>Sources!A1854</f>
        <v/>
      </c>
      <c r="B1854">
        <f>Sources!B1854</f>
        <v/>
      </c>
      <c r="C1854">
        <f>Sources!D1854</f>
        <v/>
      </c>
      <c r="D1854">
        <f>Sources!E1854</f>
        <v/>
      </c>
      <c r="E1854">
        <f>Sources!F1854</f>
        <v/>
      </c>
      <c r="F1854">
        <f>Sources!H1854</f>
        <v/>
      </c>
      <c r="G1854">
        <f>IF(ABS(F1854-ROUND(F1854,0))&lt;0.001,1,0)</f>
        <v/>
      </c>
      <c r="H1854">
        <f>IF(G1854=1,F1854,CEILING(F1854,1))</f>
        <v/>
      </c>
      <c r="I1854">
        <f>IF(G1854=1,0,(H1854-F1854)*E1854)</f>
        <v/>
      </c>
      <c r="J1854">
        <f>E1854*F1854</f>
        <v/>
      </c>
    </row>
    <row r="1855">
      <c r="A1855">
        <f>Sources!A1855</f>
        <v/>
      </c>
      <c r="B1855">
        <f>Sources!B1855</f>
        <v/>
      </c>
      <c r="C1855">
        <f>Sources!D1855</f>
        <v/>
      </c>
      <c r="D1855">
        <f>Sources!E1855</f>
        <v/>
      </c>
      <c r="E1855">
        <f>Sources!F1855</f>
        <v/>
      </c>
      <c r="F1855">
        <f>Sources!H1855</f>
        <v/>
      </c>
      <c r="G1855">
        <f>IF(ABS(F1855-ROUND(F1855,0))&lt;0.001,1,0)</f>
        <v/>
      </c>
      <c r="H1855">
        <f>IF(G1855=1,F1855,CEILING(F1855,1))</f>
        <v/>
      </c>
      <c r="I1855">
        <f>IF(G1855=1,0,(H1855-F1855)*E1855)</f>
        <v/>
      </c>
      <c r="J1855">
        <f>E1855*F1855</f>
        <v/>
      </c>
    </row>
    <row r="1856">
      <c r="A1856">
        <f>Sources!A1856</f>
        <v/>
      </c>
      <c r="B1856">
        <f>Sources!B1856</f>
        <v/>
      </c>
      <c r="C1856">
        <f>Sources!D1856</f>
        <v/>
      </c>
      <c r="D1856">
        <f>Sources!E1856</f>
        <v/>
      </c>
      <c r="E1856">
        <f>Sources!F1856</f>
        <v/>
      </c>
      <c r="F1856">
        <f>Sources!H1856</f>
        <v/>
      </c>
      <c r="G1856">
        <f>IF(ABS(F1856-ROUND(F1856,0))&lt;0.001,1,0)</f>
        <v/>
      </c>
      <c r="H1856">
        <f>IF(G1856=1,F1856,CEILING(F1856,1))</f>
        <v/>
      </c>
      <c r="I1856">
        <f>IF(G1856=1,0,(H1856-F1856)*E1856)</f>
        <v/>
      </c>
      <c r="J1856">
        <f>E1856*F1856</f>
        <v/>
      </c>
    </row>
    <row r="1857">
      <c r="A1857">
        <f>Sources!A1857</f>
        <v/>
      </c>
      <c r="B1857">
        <f>Sources!B1857</f>
        <v/>
      </c>
      <c r="C1857">
        <f>Sources!D1857</f>
        <v/>
      </c>
      <c r="D1857">
        <f>Sources!E1857</f>
        <v/>
      </c>
      <c r="E1857">
        <f>Sources!F1857</f>
        <v/>
      </c>
      <c r="F1857">
        <f>Sources!H1857</f>
        <v/>
      </c>
      <c r="G1857">
        <f>IF(ABS(F1857-ROUND(F1857,0))&lt;0.001,1,0)</f>
        <v/>
      </c>
      <c r="H1857">
        <f>IF(G1857=1,F1857,CEILING(F1857,1))</f>
        <v/>
      </c>
      <c r="I1857">
        <f>IF(G1857=1,0,(H1857-F1857)*E1857)</f>
        <v/>
      </c>
      <c r="J1857">
        <f>E1857*F1857</f>
        <v/>
      </c>
    </row>
    <row r="1858">
      <c r="A1858">
        <f>Sources!A1858</f>
        <v/>
      </c>
      <c r="B1858">
        <f>Sources!B1858</f>
        <v/>
      </c>
      <c r="C1858">
        <f>Sources!D1858</f>
        <v/>
      </c>
      <c r="D1858">
        <f>Sources!E1858</f>
        <v/>
      </c>
      <c r="E1858">
        <f>Sources!F1858</f>
        <v/>
      </c>
      <c r="F1858">
        <f>Sources!H1858</f>
        <v/>
      </c>
      <c r="G1858">
        <f>IF(ABS(F1858-ROUND(F1858,0))&lt;0.001,1,0)</f>
        <v/>
      </c>
      <c r="H1858">
        <f>IF(G1858=1,F1858,CEILING(F1858,1))</f>
        <v/>
      </c>
      <c r="I1858">
        <f>IF(G1858=1,0,(H1858-F1858)*E1858)</f>
        <v/>
      </c>
      <c r="J1858">
        <f>E1858*F1858</f>
        <v/>
      </c>
    </row>
    <row r="1859">
      <c r="A1859">
        <f>Sources!A1859</f>
        <v/>
      </c>
      <c r="B1859">
        <f>Sources!B1859</f>
        <v/>
      </c>
      <c r="C1859">
        <f>Sources!D1859</f>
        <v/>
      </c>
      <c r="D1859">
        <f>Sources!E1859</f>
        <v/>
      </c>
      <c r="E1859">
        <f>Sources!F1859</f>
        <v/>
      </c>
      <c r="F1859">
        <f>Sources!H1859</f>
        <v/>
      </c>
      <c r="G1859">
        <f>IF(ABS(F1859-ROUND(F1859,0))&lt;0.001,1,0)</f>
        <v/>
      </c>
      <c r="H1859">
        <f>IF(G1859=1,F1859,CEILING(F1859,1))</f>
        <v/>
      </c>
      <c r="I1859">
        <f>IF(G1859=1,0,(H1859-F1859)*E1859)</f>
        <v/>
      </c>
      <c r="J1859">
        <f>E1859*F1859</f>
        <v/>
      </c>
    </row>
    <row r="1860">
      <c r="A1860">
        <f>Sources!A1860</f>
        <v/>
      </c>
      <c r="B1860">
        <f>Sources!B1860</f>
        <v/>
      </c>
      <c r="C1860">
        <f>Sources!D1860</f>
        <v/>
      </c>
      <c r="D1860">
        <f>Sources!E1860</f>
        <v/>
      </c>
      <c r="E1860">
        <f>Sources!F1860</f>
        <v/>
      </c>
      <c r="F1860">
        <f>Sources!H1860</f>
        <v/>
      </c>
      <c r="G1860">
        <f>IF(ABS(F1860-ROUND(F1860,0))&lt;0.001,1,0)</f>
        <v/>
      </c>
      <c r="H1860">
        <f>IF(G1860=1,F1860,CEILING(F1860,1))</f>
        <v/>
      </c>
      <c r="I1860">
        <f>IF(G1860=1,0,(H1860-F1860)*E1860)</f>
        <v/>
      </c>
      <c r="J1860">
        <f>E1860*F1860</f>
        <v/>
      </c>
    </row>
    <row r="1861">
      <c r="A1861">
        <f>Sources!A1861</f>
        <v/>
      </c>
      <c r="B1861">
        <f>Sources!B1861</f>
        <v/>
      </c>
      <c r="C1861">
        <f>Sources!D1861</f>
        <v/>
      </c>
      <c r="D1861">
        <f>Sources!E1861</f>
        <v/>
      </c>
      <c r="E1861">
        <f>Sources!F1861</f>
        <v/>
      </c>
      <c r="F1861">
        <f>Sources!H1861</f>
        <v/>
      </c>
      <c r="G1861">
        <f>IF(ABS(F1861-ROUND(F1861,0))&lt;0.001,1,0)</f>
        <v/>
      </c>
      <c r="H1861">
        <f>IF(G1861=1,F1861,CEILING(F1861,1))</f>
        <v/>
      </c>
      <c r="I1861">
        <f>IF(G1861=1,0,(H1861-F1861)*E1861)</f>
        <v/>
      </c>
      <c r="J1861">
        <f>E1861*F1861</f>
        <v/>
      </c>
    </row>
    <row r="1862">
      <c r="A1862">
        <f>Sources!A1862</f>
        <v/>
      </c>
      <c r="B1862">
        <f>Sources!B1862</f>
        <v/>
      </c>
      <c r="C1862">
        <f>Sources!D1862</f>
        <v/>
      </c>
      <c r="D1862">
        <f>Sources!E1862</f>
        <v/>
      </c>
      <c r="E1862">
        <f>Sources!F1862</f>
        <v/>
      </c>
      <c r="F1862">
        <f>Sources!H1862</f>
        <v/>
      </c>
      <c r="G1862">
        <f>IF(ABS(F1862-ROUND(F1862,0))&lt;0.001,1,0)</f>
        <v/>
      </c>
      <c r="H1862">
        <f>IF(G1862=1,F1862,CEILING(F1862,1))</f>
        <v/>
      </c>
      <c r="I1862">
        <f>IF(G1862=1,0,(H1862-F1862)*E1862)</f>
        <v/>
      </c>
      <c r="J1862">
        <f>E1862*F1862</f>
        <v/>
      </c>
    </row>
    <row r="1863">
      <c r="A1863">
        <f>Sources!A1863</f>
        <v/>
      </c>
      <c r="B1863">
        <f>Sources!B1863</f>
        <v/>
      </c>
      <c r="C1863">
        <f>Sources!D1863</f>
        <v/>
      </c>
      <c r="D1863">
        <f>Sources!E1863</f>
        <v/>
      </c>
      <c r="E1863">
        <f>Sources!F1863</f>
        <v/>
      </c>
      <c r="F1863">
        <f>Sources!H1863</f>
        <v/>
      </c>
      <c r="G1863">
        <f>IF(ABS(F1863-ROUND(F1863,0))&lt;0.001,1,0)</f>
        <v/>
      </c>
      <c r="H1863">
        <f>IF(G1863=1,F1863,CEILING(F1863,1))</f>
        <v/>
      </c>
      <c r="I1863">
        <f>IF(G1863=1,0,(H1863-F1863)*E1863)</f>
        <v/>
      </c>
      <c r="J1863">
        <f>E1863*F1863</f>
        <v/>
      </c>
    </row>
    <row r="1864">
      <c r="A1864">
        <f>Sources!A1864</f>
        <v/>
      </c>
      <c r="B1864">
        <f>Sources!B1864</f>
        <v/>
      </c>
      <c r="C1864">
        <f>Sources!D1864</f>
        <v/>
      </c>
      <c r="D1864">
        <f>Sources!E1864</f>
        <v/>
      </c>
      <c r="E1864">
        <f>Sources!F1864</f>
        <v/>
      </c>
      <c r="F1864">
        <f>Sources!H1864</f>
        <v/>
      </c>
      <c r="G1864">
        <f>IF(ABS(F1864-ROUND(F1864,0))&lt;0.001,1,0)</f>
        <v/>
      </c>
      <c r="H1864">
        <f>IF(G1864=1,F1864,CEILING(F1864,1))</f>
        <v/>
      </c>
      <c r="I1864">
        <f>IF(G1864=1,0,(H1864-F1864)*E1864)</f>
        <v/>
      </c>
      <c r="J1864">
        <f>E1864*F1864</f>
        <v/>
      </c>
    </row>
    <row r="1865">
      <c r="A1865">
        <f>Sources!A1865</f>
        <v/>
      </c>
      <c r="B1865">
        <f>Sources!B1865</f>
        <v/>
      </c>
      <c r="C1865">
        <f>Sources!D1865</f>
        <v/>
      </c>
      <c r="D1865">
        <f>Sources!E1865</f>
        <v/>
      </c>
      <c r="E1865">
        <f>Sources!F1865</f>
        <v/>
      </c>
      <c r="F1865">
        <f>Sources!H1865</f>
        <v/>
      </c>
      <c r="G1865">
        <f>IF(ABS(F1865-ROUND(F1865,0))&lt;0.001,1,0)</f>
        <v/>
      </c>
      <c r="H1865">
        <f>IF(G1865=1,F1865,CEILING(F1865,1))</f>
        <v/>
      </c>
      <c r="I1865">
        <f>IF(G1865=1,0,(H1865-F1865)*E1865)</f>
        <v/>
      </c>
      <c r="J1865">
        <f>E1865*F1865</f>
        <v/>
      </c>
    </row>
    <row r="1866">
      <c r="A1866">
        <f>Sources!A1866</f>
        <v/>
      </c>
      <c r="B1866">
        <f>Sources!B1866</f>
        <v/>
      </c>
      <c r="C1866">
        <f>Sources!D1866</f>
        <v/>
      </c>
      <c r="D1866">
        <f>Sources!E1866</f>
        <v/>
      </c>
      <c r="E1866">
        <f>Sources!F1866</f>
        <v/>
      </c>
      <c r="F1866">
        <f>Sources!H1866</f>
        <v/>
      </c>
      <c r="G1866">
        <f>IF(ABS(F1866-ROUND(F1866,0))&lt;0.001,1,0)</f>
        <v/>
      </c>
      <c r="H1866">
        <f>IF(G1866=1,F1866,CEILING(F1866,1))</f>
        <v/>
      </c>
      <c r="I1866">
        <f>IF(G1866=1,0,(H1866-F1866)*E1866)</f>
        <v/>
      </c>
      <c r="J1866">
        <f>E1866*F1866</f>
        <v/>
      </c>
    </row>
    <row r="1867">
      <c r="A1867">
        <f>Sources!A1867</f>
        <v/>
      </c>
      <c r="B1867">
        <f>Sources!B1867</f>
        <v/>
      </c>
      <c r="C1867">
        <f>Sources!D1867</f>
        <v/>
      </c>
      <c r="D1867">
        <f>Sources!E1867</f>
        <v/>
      </c>
      <c r="E1867">
        <f>Sources!F1867</f>
        <v/>
      </c>
      <c r="F1867">
        <f>Sources!H1867</f>
        <v/>
      </c>
      <c r="G1867">
        <f>IF(ABS(F1867-ROUND(F1867,0))&lt;0.001,1,0)</f>
        <v/>
      </c>
      <c r="H1867">
        <f>IF(G1867=1,F1867,CEILING(F1867,1))</f>
        <v/>
      </c>
      <c r="I1867">
        <f>IF(G1867=1,0,(H1867-F1867)*E1867)</f>
        <v/>
      </c>
      <c r="J1867">
        <f>E1867*F1867</f>
        <v/>
      </c>
    </row>
    <row r="1868">
      <c r="A1868">
        <f>Sources!A1868</f>
        <v/>
      </c>
      <c r="B1868">
        <f>Sources!B1868</f>
        <v/>
      </c>
      <c r="C1868">
        <f>Sources!D1868</f>
        <v/>
      </c>
      <c r="D1868">
        <f>Sources!E1868</f>
        <v/>
      </c>
      <c r="E1868">
        <f>Sources!F1868</f>
        <v/>
      </c>
      <c r="F1868">
        <f>Sources!H1868</f>
        <v/>
      </c>
      <c r="G1868">
        <f>IF(ABS(F1868-ROUND(F1868,0))&lt;0.001,1,0)</f>
        <v/>
      </c>
      <c r="H1868">
        <f>IF(G1868=1,F1868,CEILING(F1868,1))</f>
        <v/>
      </c>
      <c r="I1868">
        <f>IF(G1868=1,0,(H1868-F1868)*E1868)</f>
        <v/>
      </c>
      <c r="J1868">
        <f>E1868*F1868</f>
        <v/>
      </c>
    </row>
    <row r="1869">
      <c r="A1869">
        <f>Sources!A1869</f>
        <v/>
      </c>
      <c r="B1869">
        <f>Sources!B1869</f>
        <v/>
      </c>
      <c r="C1869">
        <f>Sources!D1869</f>
        <v/>
      </c>
      <c r="D1869">
        <f>Sources!E1869</f>
        <v/>
      </c>
      <c r="E1869">
        <f>Sources!F1869</f>
        <v/>
      </c>
      <c r="F1869">
        <f>Sources!H1869</f>
        <v/>
      </c>
      <c r="G1869">
        <f>IF(ABS(F1869-ROUND(F1869,0))&lt;0.001,1,0)</f>
        <v/>
      </c>
      <c r="H1869">
        <f>IF(G1869=1,F1869,CEILING(F1869,1))</f>
        <v/>
      </c>
      <c r="I1869">
        <f>IF(G1869=1,0,(H1869-F1869)*E1869)</f>
        <v/>
      </c>
      <c r="J1869">
        <f>E1869*F1869</f>
        <v/>
      </c>
    </row>
    <row r="1870">
      <c r="A1870">
        <f>Sources!A1870</f>
        <v/>
      </c>
      <c r="B1870">
        <f>Sources!B1870</f>
        <v/>
      </c>
      <c r="C1870">
        <f>Sources!D1870</f>
        <v/>
      </c>
      <c r="D1870">
        <f>Sources!E1870</f>
        <v/>
      </c>
      <c r="E1870">
        <f>Sources!F1870</f>
        <v/>
      </c>
      <c r="F1870">
        <f>Sources!H1870</f>
        <v/>
      </c>
      <c r="G1870">
        <f>IF(ABS(F1870-ROUND(F1870,0))&lt;0.001,1,0)</f>
        <v/>
      </c>
      <c r="H1870">
        <f>IF(G1870=1,F1870,CEILING(F1870,1))</f>
        <v/>
      </c>
      <c r="I1870">
        <f>IF(G1870=1,0,(H1870-F1870)*E1870)</f>
        <v/>
      </c>
      <c r="J1870">
        <f>E1870*F1870</f>
        <v/>
      </c>
    </row>
    <row r="1871">
      <c r="A1871">
        <f>Sources!A1871</f>
        <v/>
      </c>
      <c r="B1871">
        <f>Sources!B1871</f>
        <v/>
      </c>
      <c r="C1871">
        <f>Sources!D1871</f>
        <v/>
      </c>
      <c r="D1871">
        <f>Sources!E1871</f>
        <v/>
      </c>
      <c r="E1871">
        <f>Sources!F1871</f>
        <v/>
      </c>
      <c r="F1871">
        <f>Sources!H1871</f>
        <v/>
      </c>
      <c r="G1871">
        <f>IF(ABS(F1871-ROUND(F1871,0))&lt;0.001,1,0)</f>
        <v/>
      </c>
      <c r="H1871">
        <f>IF(G1871=1,F1871,CEILING(F1871,1))</f>
        <v/>
      </c>
      <c r="I1871">
        <f>IF(G1871=1,0,(H1871-F1871)*E1871)</f>
        <v/>
      </c>
      <c r="J1871">
        <f>E1871*F1871</f>
        <v/>
      </c>
    </row>
    <row r="1872">
      <c r="A1872">
        <f>Sources!A1872</f>
        <v/>
      </c>
      <c r="B1872">
        <f>Sources!B1872</f>
        <v/>
      </c>
      <c r="C1872">
        <f>Sources!D1872</f>
        <v/>
      </c>
      <c r="D1872">
        <f>Sources!E1872</f>
        <v/>
      </c>
      <c r="E1872">
        <f>Sources!F1872</f>
        <v/>
      </c>
      <c r="F1872">
        <f>Sources!H1872</f>
        <v/>
      </c>
      <c r="G1872">
        <f>IF(ABS(F1872-ROUND(F1872,0))&lt;0.001,1,0)</f>
        <v/>
      </c>
      <c r="H1872">
        <f>IF(G1872=1,F1872,CEILING(F1872,1))</f>
        <v/>
      </c>
      <c r="I1872">
        <f>IF(G1872=1,0,(H1872-F1872)*E1872)</f>
        <v/>
      </c>
      <c r="J1872">
        <f>E1872*F1872</f>
        <v/>
      </c>
    </row>
    <row r="1873">
      <c r="A1873">
        <f>Sources!A1873</f>
        <v/>
      </c>
      <c r="B1873">
        <f>Sources!B1873</f>
        <v/>
      </c>
      <c r="C1873">
        <f>Sources!D1873</f>
        <v/>
      </c>
      <c r="D1873">
        <f>Sources!E1873</f>
        <v/>
      </c>
      <c r="E1873">
        <f>Sources!F1873</f>
        <v/>
      </c>
      <c r="F1873">
        <f>Sources!H1873</f>
        <v/>
      </c>
      <c r="G1873">
        <f>IF(ABS(F1873-ROUND(F1873,0))&lt;0.001,1,0)</f>
        <v/>
      </c>
      <c r="H1873">
        <f>IF(G1873=1,F1873,CEILING(F1873,1))</f>
        <v/>
      </c>
      <c r="I1873">
        <f>IF(G1873=1,0,(H1873-F1873)*E1873)</f>
        <v/>
      </c>
      <c r="J1873">
        <f>E1873*F1873</f>
        <v/>
      </c>
    </row>
    <row r="1874">
      <c r="A1874">
        <f>Sources!A1874</f>
        <v/>
      </c>
      <c r="B1874">
        <f>Sources!B1874</f>
        <v/>
      </c>
      <c r="C1874">
        <f>Sources!D1874</f>
        <v/>
      </c>
      <c r="D1874">
        <f>Sources!E1874</f>
        <v/>
      </c>
      <c r="E1874">
        <f>Sources!F1874</f>
        <v/>
      </c>
      <c r="F1874">
        <f>Sources!H1874</f>
        <v/>
      </c>
      <c r="G1874">
        <f>IF(ABS(F1874-ROUND(F1874,0))&lt;0.001,1,0)</f>
        <v/>
      </c>
      <c r="H1874">
        <f>IF(G1874=1,F1874,CEILING(F1874,1))</f>
        <v/>
      </c>
      <c r="I1874">
        <f>IF(G1874=1,0,(H1874-F1874)*E1874)</f>
        <v/>
      </c>
      <c r="J1874">
        <f>E1874*F1874</f>
        <v/>
      </c>
    </row>
    <row r="1875">
      <c r="A1875">
        <f>Sources!A1875</f>
        <v/>
      </c>
      <c r="B1875">
        <f>Sources!B1875</f>
        <v/>
      </c>
      <c r="C1875">
        <f>Sources!D1875</f>
        <v/>
      </c>
      <c r="D1875">
        <f>Sources!E1875</f>
        <v/>
      </c>
      <c r="E1875">
        <f>Sources!F1875</f>
        <v/>
      </c>
      <c r="F1875">
        <f>Sources!H1875</f>
        <v/>
      </c>
      <c r="G1875">
        <f>IF(ABS(F1875-ROUND(F1875,0))&lt;0.001,1,0)</f>
        <v/>
      </c>
      <c r="H1875">
        <f>IF(G1875=1,F1875,CEILING(F1875,1))</f>
        <v/>
      </c>
      <c r="I1875">
        <f>IF(G1875=1,0,(H1875-F1875)*E1875)</f>
        <v/>
      </c>
      <c r="J1875">
        <f>E1875*F1875</f>
        <v/>
      </c>
    </row>
    <row r="1876">
      <c r="A1876">
        <f>Sources!A1876</f>
        <v/>
      </c>
      <c r="B1876">
        <f>Sources!B1876</f>
        <v/>
      </c>
      <c r="C1876">
        <f>Sources!D1876</f>
        <v/>
      </c>
      <c r="D1876">
        <f>Sources!E1876</f>
        <v/>
      </c>
      <c r="E1876">
        <f>Sources!F1876</f>
        <v/>
      </c>
      <c r="F1876">
        <f>Sources!H1876</f>
        <v/>
      </c>
      <c r="G1876">
        <f>IF(ABS(F1876-ROUND(F1876,0))&lt;0.001,1,0)</f>
        <v/>
      </c>
      <c r="H1876">
        <f>IF(G1876=1,F1876,CEILING(F1876,1))</f>
        <v/>
      </c>
      <c r="I1876">
        <f>IF(G1876=1,0,(H1876-F1876)*E1876)</f>
        <v/>
      </c>
      <c r="J1876">
        <f>E1876*F1876</f>
        <v/>
      </c>
    </row>
    <row r="1877">
      <c r="A1877">
        <f>Sources!A1877</f>
        <v/>
      </c>
      <c r="B1877">
        <f>Sources!B1877</f>
        <v/>
      </c>
      <c r="C1877">
        <f>Sources!D1877</f>
        <v/>
      </c>
      <c r="D1877">
        <f>Sources!E1877</f>
        <v/>
      </c>
      <c r="E1877">
        <f>Sources!F1877</f>
        <v/>
      </c>
      <c r="F1877">
        <f>Sources!H1877</f>
        <v/>
      </c>
      <c r="G1877">
        <f>IF(ABS(F1877-ROUND(F1877,0))&lt;0.001,1,0)</f>
        <v/>
      </c>
      <c r="H1877">
        <f>IF(G1877=1,F1877,CEILING(F1877,1))</f>
        <v/>
      </c>
      <c r="I1877">
        <f>IF(G1877=1,0,(H1877-F1877)*E1877)</f>
        <v/>
      </c>
      <c r="J1877">
        <f>E1877*F1877</f>
        <v/>
      </c>
    </row>
    <row r="1878">
      <c r="A1878">
        <f>Sources!A1878</f>
        <v/>
      </c>
      <c r="B1878">
        <f>Sources!B1878</f>
        <v/>
      </c>
      <c r="C1878">
        <f>Sources!D1878</f>
        <v/>
      </c>
      <c r="D1878">
        <f>Sources!E1878</f>
        <v/>
      </c>
      <c r="E1878">
        <f>Sources!F1878</f>
        <v/>
      </c>
      <c r="F1878">
        <f>Sources!H1878</f>
        <v/>
      </c>
      <c r="G1878">
        <f>IF(ABS(F1878-ROUND(F1878,0))&lt;0.001,1,0)</f>
        <v/>
      </c>
      <c r="H1878">
        <f>IF(G1878=1,F1878,CEILING(F1878,1))</f>
        <v/>
      </c>
      <c r="I1878">
        <f>IF(G1878=1,0,(H1878-F1878)*E1878)</f>
        <v/>
      </c>
      <c r="J1878">
        <f>E1878*F1878</f>
        <v/>
      </c>
    </row>
    <row r="1879">
      <c r="A1879">
        <f>Sources!A1879</f>
        <v/>
      </c>
      <c r="B1879">
        <f>Sources!B1879</f>
        <v/>
      </c>
      <c r="C1879">
        <f>Sources!D1879</f>
        <v/>
      </c>
      <c r="D1879">
        <f>Sources!E1879</f>
        <v/>
      </c>
      <c r="E1879">
        <f>Sources!F1879</f>
        <v/>
      </c>
      <c r="F1879">
        <f>Sources!H1879</f>
        <v/>
      </c>
      <c r="G1879">
        <f>IF(ABS(F1879-ROUND(F1879,0))&lt;0.001,1,0)</f>
        <v/>
      </c>
      <c r="H1879">
        <f>IF(G1879=1,F1879,CEILING(F1879,1))</f>
        <v/>
      </c>
      <c r="I1879">
        <f>IF(G1879=1,0,(H1879-F1879)*E1879)</f>
        <v/>
      </c>
      <c r="J1879">
        <f>E1879*F1879</f>
        <v/>
      </c>
    </row>
    <row r="1880">
      <c r="A1880">
        <f>Sources!A1880</f>
        <v/>
      </c>
      <c r="B1880">
        <f>Sources!B1880</f>
        <v/>
      </c>
      <c r="C1880">
        <f>Sources!D1880</f>
        <v/>
      </c>
      <c r="D1880">
        <f>Sources!E1880</f>
        <v/>
      </c>
      <c r="E1880">
        <f>Sources!F1880</f>
        <v/>
      </c>
      <c r="F1880">
        <f>Sources!H1880</f>
        <v/>
      </c>
      <c r="G1880">
        <f>IF(ABS(F1880-ROUND(F1880,0))&lt;0.001,1,0)</f>
        <v/>
      </c>
      <c r="H1880">
        <f>IF(G1880=1,F1880,CEILING(F1880,1))</f>
        <v/>
      </c>
      <c r="I1880">
        <f>IF(G1880=1,0,(H1880-F1880)*E1880)</f>
        <v/>
      </c>
      <c r="J1880">
        <f>E1880*F1880</f>
        <v/>
      </c>
    </row>
    <row r="1881">
      <c r="A1881">
        <f>Sources!A1881</f>
        <v/>
      </c>
      <c r="B1881">
        <f>Sources!B1881</f>
        <v/>
      </c>
      <c r="C1881">
        <f>Sources!D1881</f>
        <v/>
      </c>
      <c r="D1881">
        <f>Sources!E1881</f>
        <v/>
      </c>
      <c r="E1881">
        <f>Sources!F1881</f>
        <v/>
      </c>
      <c r="F1881">
        <f>Sources!H1881</f>
        <v/>
      </c>
      <c r="G1881">
        <f>IF(ABS(F1881-ROUND(F1881,0))&lt;0.001,1,0)</f>
        <v/>
      </c>
      <c r="H1881">
        <f>IF(G1881=1,F1881,CEILING(F1881,1))</f>
        <v/>
      </c>
      <c r="I1881">
        <f>IF(G1881=1,0,(H1881-F1881)*E1881)</f>
        <v/>
      </c>
      <c r="J1881">
        <f>E1881*F1881</f>
        <v/>
      </c>
    </row>
    <row r="1882">
      <c r="A1882">
        <f>Sources!A1882</f>
        <v/>
      </c>
      <c r="B1882">
        <f>Sources!B1882</f>
        <v/>
      </c>
      <c r="C1882">
        <f>Sources!D1882</f>
        <v/>
      </c>
      <c r="D1882">
        <f>Sources!E1882</f>
        <v/>
      </c>
      <c r="E1882">
        <f>Sources!F1882</f>
        <v/>
      </c>
      <c r="F1882">
        <f>Sources!H1882</f>
        <v/>
      </c>
      <c r="G1882">
        <f>IF(ABS(F1882-ROUND(F1882,0))&lt;0.001,1,0)</f>
        <v/>
      </c>
      <c r="H1882">
        <f>IF(G1882=1,F1882,CEILING(F1882,1))</f>
        <v/>
      </c>
      <c r="I1882">
        <f>IF(G1882=1,0,(H1882-F1882)*E1882)</f>
        <v/>
      </c>
      <c r="J1882">
        <f>E1882*F1882</f>
        <v/>
      </c>
    </row>
    <row r="1883">
      <c r="A1883">
        <f>Sources!A1883</f>
        <v/>
      </c>
      <c r="B1883">
        <f>Sources!B1883</f>
        <v/>
      </c>
      <c r="C1883">
        <f>Sources!D1883</f>
        <v/>
      </c>
      <c r="D1883">
        <f>Sources!E1883</f>
        <v/>
      </c>
      <c r="E1883">
        <f>Sources!F1883</f>
        <v/>
      </c>
      <c r="F1883">
        <f>Sources!H1883</f>
        <v/>
      </c>
      <c r="G1883">
        <f>IF(ABS(F1883-ROUND(F1883,0))&lt;0.001,1,0)</f>
        <v/>
      </c>
      <c r="H1883">
        <f>IF(G1883=1,F1883,CEILING(F1883,1))</f>
        <v/>
      </c>
      <c r="I1883">
        <f>IF(G1883=1,0,(H1883-F1883)*E1883)</f>
        <v/>
      </c>
      <c r="J1883">
        <f>E1883*F1883</f>
        <v/>
      </c>
    </row>
    <row r="1884">
      <c r="A1884">
        <f>Sources!A1884</f>
        <v/>
      </c>
      <c r="B1884">
        <f>Sources!B1884</f>
        <v/>
      </c>
      <c r="C1884">
        <f>Sources!D1884</f>
        <v/>
      </c>
      <c r="D1884">
        <f>Sources!E1884</f>
        <v/>
      </c>
      <c r="E1884">
        <f>Sources!F1884</f>
        <v/>
      </c>
      <c r="F1884">
        <f>Sources!H1884</f>
        <v/>
      </c>
      <c r="G1884">
        <f>IF(ABS(F1884-ROUND(F1884,0))&lt;0.001,1,0)</f>
        <v/>
      </c>
      <c r="H1884">
        <f>IF(G1884=1,F1884,CEILING(F1884,1))</f>
        <v/>
      </c>
      <c r="I1884">
        <f>IF(G1884=1,0,(H1884-F1884)*E1884)</f>
        <v/>
      </c>
      <c r="J1884">
        <f>E1884*F1884</f>
        <v/>
      </c>
    </row>
    <row r="1885">
      <c r="A1885">
        <f>Sources!A1885</f>
        <v/>
      </c>
      <c r="B1885">
        <f>Sources!B1885</f>
        <v/>
      </c>
      <c r="C1885">
        <f>Sources!D1885</f>
        <v/>
      </c>
      <c r="D1885">
        <f>Sources!E1885</f>
        <v/>
      </c>
      <c r="E1885">
        <f>Sources!F1885</f>
        <v/>
      </c>
      <c r="F1885">
        <f>Sources!H1885</f>
        <v/>
      </c>
      <c r="G1885">
        <f>IF(ABS(F1885-ROUND(F1885,0))&lt;0.001,1,0)</f>
        <v/>
      </c>
      <c r="H1885">
        <f>IF(G1885=1,F1885,CEILING(F1885,1))</f>
        <v/>
      </c>
      <c r="I1885">
        <f>IF(G1885=1,0,(H1885-F1885)*E1885)</f>
        <v/>
      </c>
      <c r="J1885">
        <f>E1885*F1885</f>
        <v/>
      </c>
    </row>
    <row r="1886">
      <c r="A1886">
        <f>Sources!A1886</f>
        <v/>
      </c>
      <c r="B1886">
        <f>Sources!B1886</f>
        <v/>
      </c>
      <c r="C1886">
        <f>Sources!D1886</f>
        <v/>
      </c>
      <c r="D1886">
        <f>Sources!E1886</f>
        <v/>
      </c>
      <c r="E1886">
        <f>Sources!F1886</f>
        <v/>
      </c>
      <c r="F1886">
        <f>Sources!H1886</f>
        <v/>
      </c>
      <c r="G1886">
        <f>IF(ABS(F1886-ROUND(F1886,0))&lt;0.001,1,0)</f>
        <v/>
      </c>
      <c r="H1886">
        <f>IF(G1886=1,F1886,CEILING(F1886,1))</f>
        <v/>
      </c>
      <c r="I1886">
        <f>IF(G1886=1,0,(H1886-F1886)*E1886)</f>
        <v/>
      </c>
      <c r="J1886">
        <f>E1886*F1886</f>
        <v/>
      </c>
    </row>
    <row r="1887">
      <c r="A1887">
        <f>Sources!A1887</f>
        <v/>
      </c>
      <c r="B1887">
        <f>Sources!B1887</f>
        <v/>
      </c>
      <c r="C1887">
        <f>Sources!D1887</f>
        <v/>
      </c>
      <c r="D1887">
        <f>Sources!E1887</f>
        <v/>
      </c>
      <c r="E1887">
        <f>Sources!F1887</f>
        <v/>
      </c>
      <c r="F1887">
        <f>Sources!H1887</f>
        <v/>
      </c>
      <c r="G1887">
        <f>IF(ABS(F1887-ROUND(F1887,0))&lt;0.001,1,0)</f>
        <v/>
      </c>
      <c r="H1887">
        <f>IF(G1887=1,F1887,CEILING(F1887,1))</f>
        <v/>
      </c>
      <c r="I1887">
        <f>IF(G1887=1,0,(H1887-F1887)*E1887)</f>
        <v/>
      </c>
      <c r="J1887">
        <f>E1887*F1887</f>
        <v/>
      </c>
    </row>
    <row r="1888">
      <c r="A1888">
        <f>Sources!A1888</f>
        <v/>
      </c>
      <c r="B1888">
        <f>Sources!B1888</f>
        <v/>
      </c>
      <c r="C1888">
        <f>Sources!D1888</f>
        <v/>
      </c>
      <c r="D1888">
        <f>Sources!E1888</f>
        <v/>
      </c>
      <c r="E1888">
        <f>Sources!F1888</f>
        <v/>
      </c>
      <c r="F1888">
        <f>Sources!H1888</f>
        <v/>
      </c>
      <c r="G1888">
        <f>IF(ABS(F1888-ROUND(F1888,0))&lt;0.001,1,0)</f>
        <v/>
      </c>
      <c r="H1888">
        <f>IF(G1888=1,F1888,CEILING(F1888,1))</f>
        <v/>
      </c>
      <c r="I1888">
        <f>IF(G1888=1,0,(H1888-F1888)*E1888)</f>
        <v/>
      </c>
      <c r="J1888">
        <f>E1888*F1888</f>
        <v/>
      </c>
    </row>
    <row r="1889">
      <c r="A1889">
        <f>Sources!A1889</f>
        <v/>
      </c>
      <c r="B1889">
        <f>Sources!B1889</f>
        <v/>
      </c>
      <c r="C1889">
        <f>Sources!D1889</f>
        <v/>
      </c>
      <c r="D1889">
        <f>Sources!E1889</f>
        <v/>
      </c>
      <c r="E1889">
        <f>Sources!F1889</f>
        <v/>
      </c>
      <c r="F1889">
        <f>Sources!H1889</f>
        <v/>
      </c>
      <c r="G1889">
        <f>IF(ABS(F1889-ROUND(F1889,0))&lt;0.001,1,0)</f>
        <v/>
      </c>
      <c r="H1889">
        <f>IF(G1889=1,F1889,CEILING(F1889,1))</f>
        <v/>
      </c>
      <c r="I1889">
        <f>IF(G1889=1,0,(H1889-F1889)*E1889)</f>
        <v/>
      </c>
      <c r="J1889">
        <f>E1889*F1889</f>
        <v/>
      </c>
    </row>
    <row r="1890">
      <c r="A1890">
        <f>Sources!A1890</f>
        <v/>
      </c>
      <c r="B1890">
        <f>Sources!B1890</f>
        <v/>
      </c>
      <c r="C1890">
        <f>Sources!D1890</f>
        <v/>
      </c>
      <c r="D1890">
        <f>Sources!E1890</f>
        <v/>
      </c>
      <c r="E1890">
        <f>Sources!F1890</f>
        <v/>
      </c>
      <c r="F1890">
        <f>Sources!H1890</f>
        <v/>
      </c>
      <c r="G1890">
        <f>IF(ABS(F1890-ROUND(F1890,0))&lt;0.001,1,0)</f>
        <v/>
      </c>
      <c r="H1890">
        <f>IF(G1890=1,F1890,CEILING(F1890,1))</f>
        <v/>
      </c>
      <c r="I1890">
        <f>IF(G1890=1,0,(H1890-F1890)*E1890)</f>
        <v/>
      </c>
      <c r="J1890">
        <f>E1890*F1890</f>
        <v/>
      </c>
    </row>
    <row r="1891">
      <c r="A1891">
        <f>Sources!A1891</f>
        <v/>
      </c>
      <c r="B1891">
        <f>Sources!B1891</f>
        <v/>
      </c>
      <c r="C1891">
        <f>Sources!D1891</f>
        <v/>
      </c>
      <c r="D1891">
        <f>Sources!E1891</f>
        <v/>
      </c>
      <c r="E1891">
        <f>Sources!F1891</f>
        <v/>
      </c>
      <c r="F1891">
        <f>Sources!H1891</f>
        <v/>
      </c>
      <c r="G1891">
        <f>IF(ABS(F1891-ROUND(F1891,0))&lt;0.001,1,0)</f>
        <v/>
      </c>
      <c r="H1891">
        <f>IF(G1891=1,F1891,CEILING(F1891,1))</f>
        <v/>
      </c>
      <c r="I1891">
        <f>IF(G1891=1,0,(H1891-F1891)*E1891)</f>
        <v/>
      </c>
      <c r="J1891">
        <f>E1891*F1891</f>
        <v/>
      </c>
    </row>
    <row r="1892">
      <c r="A1892">
        <f>Sources!A1892</f>
        <v/>
      </c>
      <c r="B1892">
        <f>Sources!B1892</f>
        <v/>
      </c>
      <c r="C1892">
        <f>Sources!D1892</f>
        <v/>
      </c>
      <c r="D1892">
        <f>Sources!E1892</f>
        <v/>
      </c>
      <c r="E1892">
        <f>Sources!F1892</f>
        <v/>
      </c>
      <c r="F1892">
        <f>Sources!H1892</f>
        <v/>
      </c>
      <c r="G1892">
        <f>IF(ABS(F1892-ROUND(F1892,0))&lt;0.001,1,0)</f>
        <v/>
      </c>
      <c r="H1892">
        <f>IF(G1892=1,F1892,CEILING(F1892,1))</f>
        <v/>
      </c>
      <c r="I1892">
        <f>IF(G1892=1,0,(H1892-F1892)*E1892)</f>
        <v/>
      </c>
      <c r="J1892">
        <f>E1892*F1892</f>
        <v/>
      </c>
    </row>
    <row r="1893">
      <c r="A1893">
        <f>Sources!A1893</f>
        <v/>
      </c>
      <c r="B1893">
        <f>Sources!B1893</f>
        <v/>
      </c>
      <c r="C1893">
        <f>Sources!D1893</f>
        <v/>
      </c>
      <c r="D1893">
        <f>Sources!E1893</f>
        <v/>
      </c>
      <c r="E1893">
        <f>Sources!F1893</f>
        <v/>
      </c>
      <c r="F1893">
        <f>Sources!H1893</f>
        <v/>
      </c>
      <c r="G1893">
        <f>IF(ABS(F1893-ROUND(F1893,0))&lt;0.001,1,0)</f>
        <v/>
      </c>
      <c r="H1893">
        <f>IF(G1893=1,F1893,CEILING(F1893,1))</f>
        <v/>
      </c>
      <c r="I1893">
        <f>IF(G1893=1,0,(H1893-F1893)*E1893)</f>
        <v/>
      </c>
      <c r="J1893">
        <f>E1893*F1893</f>
        <v/>
      </c>
    </row>
    <row r="1894">
      <c r="A1894">
        <f>Sources!A1894</f>
        <v/>
      </c>
      <c r="B1894">
        <f>Sources!B1894</f>
        <v/>
      </c>
      <c r="C1894">
        <f>Sources!D1894</f>
        <v/>
      </c>
      <c r="D1894">
        <f>Sources!E1894</f>
        <v/>
      </c>
      <c r="E1894">
        <f>Sources!F1894</f>
        <v/>
      </c>
      <c r="F1894">
        <f>Sources!H1894</f>
        <v/>
      </c>
      <c r="G1894">
        <f>IF(ABS(F1894-ROUND(F1894,0))&lt;0.001,1,0)</f>
        <v/>
      </c>
      <c r="H1894">
        <f>IF(G1894=1,F1894,CEILING(F1894,1))</f>
        <v/>
      </c>
      <c r="I1894">
        <f>IF(G1894=1,0,(H1894-F1894)*E1894)</f>
        <v/>
      </c>
      <c r="J1894">
        <f>E1894*F1894</f>
        <v/>
      </c>
    </row>
    <row r="1895">
      <c r="A1895">
        <f>Sources!A1895</f>
        <v/>
      </c>
      <c r="B1895">
        <f>Sources!B1895</f>
        <v/>
      </c>
      <c r="C1895">
        <f>Sources!D1895</f>
        <v/>
      </c>
      <c r="D1895">
        <f>Sources!E1895</f>
        <v/>
      </c>
      <c r="E1895">
        <f>Sources!F1895</f>
        <v/>
      </c>
      <c r="F1895">
        <f>Sources!H1895</f>
        <v/>
      </c>
      <c r="G1895">
        <f>IF(ABS(F1895-ROUND(F1895,0))&lt;0.001,1,0)</f>
        <v/>
      </c>
      <c r="H1895">
        <f>IF(G1895=1,F1895,CEILING(F1895,1))</f>
        <v/>
      </c>
      <c r="I1895">
        <f>IF(G1895=1,0,(H1895-F1895)*E1895)</f>
        <v/>
      </c>
      <c r="J1895">
        <f>E1895*F1895</f>
        <v/>
      </c>
    </row>
    <row r="1896">
      <c r="A1896">
        <f>Sources!A1896</f>
        <v/>
      </c>
      <c r="B1896">
        <f>Sources!B1896</f>
        <v/>
      </c>
      <c r="C1896">
        <f>Sources!D1896</f>
        <v/>
      </c>
      <c r="D1896">
        <f>Sources!E1896</f>
        <v/>
      </c>
      <c r="E1896">
        <f>Sources!F1896</f>
        <v/>
      </c>
      <c r="F1896">
        <f>Sources!H1896</f>
        <v/>
      </c>
      <c r="G1896">
        <f>IF(ABS(F1896-ROUND(F1896,0))&lt;0.001,1,0)</f>
        <v/>
      </c>
      <c r="H1896">
        <f>IF(G1896=1,F1896,CEILING(F1896,1))</f>
        <v/>
      </c>
      <c r="I1896">
        <f>IF(G1896=1,0,(H1896-F1896)*E1896)</f>
        <v/>
      </c>
      <c r="J1896">
        <f>E1896*F1896</f>
        <v/>
      </c>
    </row>
    <row r="1897">
      <c r="A1897">
        <f>Sources!A1897</f>
        <v/>
      </c>
      <c r="B1897">
        <f>Sources!B1897</f>
        <v/>
      </c>
      <c r="C1897">
        <f>Sources!D1897</f>
        <v/>
      </c>
      <c r="D1897">
        <f>Sources!E1897</f>
        <v/>
      </c>
      <c r="E1897">
        <f>Sources!F1897</f>
        <v/>
      </c>
      <c r="F1897">
        <f>Sources!H1897</f>
        <v/>
      </c>
      <c r="G1897">
        <f>IF(ABS(F1897-ROUND(F1897,0))&lt;0.001,1,0)</f>
        <v/>
      </c>
      <c r="H1897">
        <f>IF(G1897=1,F1897,CEILING(F1897,1))</f>
        <v/>
      </c>
      <c r="I1897">
        <f>IF(G1897=1,0,(H1897-F1897)*E1897)</f>
        <v/>
      </c>
      <c r="J1897">
        <f>E1897*F1897</f>
        <v/>
      </c>
    </row>
    <row r="1898">
      <c r="A1898">
        <f>Sources!A1898</f>
        <v/>
      </c>
      <c r="B1898">
        <f>Sources!B1898</f>
        <v/>
      </c>
      <c r="C1898">
        <f>Sources!D1898</f>
        <v/>
      </c>
      <c r="D1898">
        <f>Sources!E1898</f>
        <v/>
      </c>
      <c r="E1898">
        <f>Sources!F1898</f>
        <v/>
      </c>
      <c r="F1898">
        <f>Sources!H1898</f>
        <v/>
      </c>
      <c r="G1898">
        <f>IF(ABS(F1898-ROUND(F1898,0))&lt;0.001,1,0)</f>
        <v/>
      </c>
      <c r="H1898">
        <f>IF(G1898=1,F1898,CEILING(F1898,1))</f>
        <v/>
      </c>
      <c r="I1898">
        <f>IF(G1898=1,0,(H1898-F1898)*E1898)</f>
        <v/>
      </c>
      <c r="J1898">
        <f>E1898*F1898</f>
        <v/>
      </c>
    </row>
    <row r="1899">
      <c r="A1899">
        <f>Sources!A1899</f>
        <v/>
      </c>
      <c r="B1899">
        <f>Sources!B1899</f>
        <v/>
      </c>
      <c r="C1899">
        <f>Sources!D1899</f>
        <v/>
      </c>
      <c r="D1899">
        <f>Sources!E1899</f>
        <v/>
      </c>
      <c r="E1899">
        <f>Sources!F1899</f>
        <v/>
      </c>
      <c r="F1899">
        <f>Sources!H1899</f>
        <v/>
      </c>
      <c r="G1899">
        <f>IF(ABS(F1899-ROUND(F1899,0))&lt;0.001,1,0)</f>
        <v/>
      </c>
      <c r="H1899">
        <f>IF(G1899=1,F1899,CEILING(F1899,1))</f>
        <v/>
      </c>
      <c r="I1899">
        <f>IF(G1899=1,0,(H1899-F1899)*E1899)</f>
        <v/>
      </c>
      <c r="J1899">
        <f>E1899*F1899</f>
        <v/>
      </c>
    </row>
    <row r="1900">
      <c r="A1900">
        <f>Sources!A1900</f>
        <v/>
      </c>
      <c r="B1900">
        <f>Sources!B1900</f>
        <v/>
      </c>
      <c r="C1900">
        <f>Sources!D1900</f>
        <v/>
      </c>
      <c r="D1900">
        <f>Sources!E1900</f>
        <v/>
      </c>
      <c r="E1900">
        <f>Sources!F1900</f>
        <v/>
      </c>
      <c r="F1900">
        <f>Sources!H1900</f>
        <v/>
      </c>
      <c r="G1900">
        <f>IF(ABS(F1900-ROUND(F1900,0))&lt;0.001,1,0)</f>
        <v/>
      </c>
      <c r="H1900">
        <f>IF(G1900=1,F1900,CEILING(F1900,1))</f>
        <v/>
      </c>
      <c r="I1900">
        <f>IF(G1900=1,0,(H1900-F1900)*E1900)</f>
        <v/>
      </c>
      <c r="J1900">
        <f>E1900*F1900</f>
        <v/>
      </c>
    </row>
    <row r="1901">
      <c r="A1901">
        <f>Sources!A1901</f>
        <v/>
      </c>
      <c r="B1901">
        <f>Sources!B1901</f>
        <v/>
      </c>
      <c r="C1901">
        <f>Sources!D1901</f>
        <v/>
      </c>
      <c r="D1901">
        <f>Sources!E1901</f>
        <v/>
      </c>
      <c r="E1901">
        <f>Sources!F1901</f>
        <v/>
      </c>
      <c r="F1901">
        <f>Sources!H1901</f>
        <v/>
      </c>
      <c r="G1901">
        <f>IF(ABS(F1901-ROUND(F1901,0))&lt;0.001,1,0)</f>
        <v/>
      </c>
      <c r="H1901">
        <f>IF(G1901=1,F1901,CEILING(F1901,1))</f>
        <v/>
      </c>
      <c r="I1901">
        <f>IF(G1901=1,0,(H1901-F1901)*E1901)</f>
        <v/>
      </c>
      <c r="J1901">
        <f>E1901*F1901</f>
        <v/>
      </c>
    </row>
    <row r="1902">
      <c r="A1902">
        <f>Sources!A1902</f>
        <v/>
      </c>
      <c r="B1902">
        <f>Sources!B1902</f>
        <v/>
      </c>
      <c r="C1902">
        <f>Sources!D1902</f>
        <v/>
      </c>
      <c r="D1902">
        <f>Sources!E1902</f>
        <v/>
      </c>
      <c r="E1902">
        <f>Sources!F1902</f>
        <v/>
      </c>
      <c r="F1902">
        <f>Sources!H1902</f>
        <v/>
      </c>
      <c r="G1902">
        <f>IF(ABS(F1902-ROUND(F1902,0))&lt;0.001,1,0)</f>
        <v/>
      </c>
      <c r="H1902">
        <f>IF(G1902=1,F1902,CEILING(F1902,1))</f>
        <v/>
      </c>
      <c r="I1902">
        <f>IF(G1902=1,0,(H1902-F1902)*E1902)</f>
        <v/>
      </c>
      <c r="J1902">
        <f>E1902*F1902</f>
        <v/>
      </c>
    </row>
    <row r="1903">
      <c r="A1903">
        <f>Sources!A1903</f>
        <v/>
      </c>
      <c r="B1903">
        <f>Sources!B1903</f>
        <v/>
      </c>
      <c r="C1903">
        <f>Sources!D1903</f>
        <v/>
      </c>
      <c r="D1903">
        <f>Sources!E1903</f>
        <v/>
      </c>
      <c r="E1903">
        <f>Sources!F1903</f>
        <v/>
      </c>
      <c r="F1903">
        <f>Sources!H1903</f>
        <v/>
      </c>
      <c r="G1903">
        <f>IF(ABS(F1903-ROUND(F1903,0))&lt;0.001,1,0)</f>
        <v/>
      </c>
      <c r="H1903">
        <f>IF(G1903=1,F1903,CEILING(F1903,1))</f>
        <v/>
      </c>
      <c r="I1903">
        <f>IF(G1903=1,0,(H1903-F1903)*E1903)</f>
        <v/>
      </c>
      <c r="J1903">
        <f>E1903*F1903</f>
        <v/>
      </c>
    </row>
    <row r="1904">
      <c r="A1904">
        <f>Sources!A1904</f>
        <v/>
      </c>
      <c r="B1904">
        <f>Sources!B1904</f>
        <v/>
      </c>
      <c r="C1904">
        <f>Sources!D1904</f>
        <v/>
      </c>
      <c r="D1904">
        <f>Sources!E1904</f>
        <v/>
      </c>
      <c r="E1904">
        <f>Sources!F1904</f>
        <v/>
      </c>
      <c r="F1904">
        <f>Sources!H1904</f>
        <v/>
      </c>
      <c r="G1904">
        <f>IF(ABS(F1904-ROUND(F1904,0))&lt;0.001,1,0)</f>
        <v/>
      </c>
      <c r="H1904">
        <f>IF(G1904=1,F1904,CEILING(F1904,1))</f>
        <v/>
      </c>
      <c r="I1904">
        <f>IF(G1904=1,0,(H1904-F1904)*E1904)</f>
        <v/>
      </c>
      <c r="J1904">
        <f>E1904*F1904</f>
        <v/>
      </c>
    </row>
    <row r="1905">
      <c r="A1905">
        <f>Sources!A1905</f>
        <v/>
      </c>
      <c r="B1905">
        <f>Sources!B1905</f>
        <v/>
      </c>
      <c r="C1905">
        <f>Sources!D1905</f>
        <v/>
      </c>
      <c r="D1905">
        <f>Sources!E1905</f>
        <v/>
      </c>
      <c r="E1905">
        <f>Sources!F1905</f>
        <v/>
      </c>
      <c r="F1905">
        <f>Sources!H1905</f>
        <v/>
      </c>
      <c r="G1905">
        <f>IF(ABS(F1905-ROUND(F1905,0))&lt;0.001,1,0)</f>
        <v/>
      </c>
      <c r="H1905">
        <f>IF(G1905=1,F1905,CEILING(F1905,1))</f>
        <v/>
      </c>
      <c r="I1905">
        <f>IF(G1905=1,0,(H1905-F1905)*E1905)</f>
        <v/>
      </c>
      <c r="J1905">
        <f>E1905*F1905</f>
        <v/>
      </c>
    </row>
    <row r="1906">
      <c r="A1906">
        <f>Sources!A1906</f>
        <v/>
      </c>
      <c r="B1906">
        <f>Sources!B1906</f>
        <v/>
      </c>
      <c r="C1906">
        <f>Sources!D1906</f>
        <v/>
      </c>
      <c r="D1906">
        <f>Sources!E1906</f>
        <v/>
      </c>
      <c r="E1906">
        <f>Sources!F1906</f>
        <v/>
      </c>
      <c r="F1906">
        <f>Sources!H1906</f>
        <v/>
      </c>
      <c r="G1906">
        <f>IF(ABS(F1906-ROUND(F1906,0))&lt;0.001,1,0)</f>
        <v/>
      </c>
      <c r="H1906">
        <f>IF(G1906=1,F1906,CEILING(F1906,1))</f>
        <v/>
      </c>
      <c r="I1906">
        <f>IF(G1906=1,0,(H1906-F1906)*E1906)</f>
        <v/>
      </c>
      <c r="J1906">
        <f>E1906*F1906</f>
        <v/>
      </c>
    </row>
    <row r="1907">
      <c r="A1907">
        <f>Sources!A1907</f>
        <v/>
      </c>
      <c r="B1907">
        <f>Sources!B1907</f>
        <v/>
      </c>
      <c r="C1907">
        <f>Sources!D1907</f>
        <v/>
      </c>
      <c r="D1907">
        <f>Sources!E1907</f>
        <v/>
      </c>
      <c r="E1907">
        <f>Sources!F1907</f>
        <v/>
      </c>
      <c r="F1907">
        <f>Sources!H1907</f>
        <v/>
      </c>
      <c r="G1907">
        <f>IF(ABS(F1907-ROUND(F1907,0))&lt;0.001,1,0)</f>
        <v/>
      </c>
      <c r="H1907">
        <f>IF(G1907=1,F1907,CEILING(F1907,1))</f>
        <v/>
      </c>
      <c r="I1907">
        <f>IF(G1907=1,0,(H1907-F1907)*E1907)</f>
        <v/>
      </c>
      <c r="J1907">
        <f>E1907*F1907</f>
        <v/>
      </c>
    </row>
    <row r="1908">
      <c r="A1908">
        <f>Sources!A1908</f>
        <v/>
      </c>
      <c r="B1908">
        <f>Sources!B1908</f>
        <v/>
      </c>
      <c r="C1908">
        <f>Sources!D1908</f>
        <v/>
      </c>
      <c r="D1908">
        <f>Sources!E1908</f>
        <v/>
      </c>
      <c r="E1908">
        <f>Sources!F1908</f>
        <v/>
      </c>
      <c r="F1908">
        <f>Sources!H1908</f>
        <v/>
      </c>
      <c r="G1908">
        <f>IF(ABS(F1908-ROUND(F1908,0))&lt;0.001,1,0)</f>
        <v/>
      </c>
      <c r="H1908">
        <f>IF(G1908=1,F1908,CEILING(F1908,1))</f>
        <v/>
      </c>
      <c r="I1908">
        <f>IF(G1908=1,0,(H1908-F1908)*E1908)</f>
        <v/>
      </c>
      <c r="J1908">
        <f>E1908*F1908</f>
        <v/>
      </c>
    </row>
    <row r="1909">
      <c r="A1909">
        <f>Sources!A1909</f>
        <v/>
      </c>
      <c r="B1909">
        <f>Sources!B1909</f>
        <v/>
      </c>
      <c r="C1909">
        <f>Sources!D1909</f>
        <v/>
      </c>
      <c r="D1909">
        <f>Sources!E1909</f>
        <v/>
      </c>
      <c r="E1909">
        <f>Sources!F1909</f>
        <v/>
      </c>
      <c r="F1909">
        <f>Sources!H1909</f>
        <v/>
      </c>
      <c r="G1909">
        <f>IF(ABS(F1909-ROUND(F1909,0))&lt;0.001,1,0)</f>
        <v/>
      </c>
      <c r="H1909">
        <f>IF(G1909=1,F1909,CEILING(F1909,1))</f>
        <v/>
      </c>
      <c r="I1909">
        <f>IF(G1909=1,0,(H1909-F1909)*E1909)</f>
        <v/>
      </c>
      <c r="J1909">
        <f>E1909*F1909</f>
        <v/>
      </c>
    </row>
    <row r="1910">
      <c r="A1910">
        <f>Sources!A1910</f>
        <v/>
      </c>
      <c r="B1910">
        <f>Sources!B1910</f>
        <v/>
      </c>
      <c r="C1910">
        <f>Sources!D1910</f>
        <v/>
      </c>
      <c r="D1910">
        <f>Sources!E1910</f>
        <v/>
      </c>
      <c r="E1910">
        <f>Sources!F1910</f>
        <v/>
      </c>
      <c r="F1910">
        <f>Sources!H1910</f>
        <v/>
      </c>
      <c r="G1910">
        <f>IF(ABS(F1910-ROUND(F1910,0))&lt;0.001,1,0)</f>
        <v/>
      </c>
      <c r="H1910">
        <f>IF(G1910=1,F1910,CEILING(F1910,1))</f>
        <v/>
      </c>
      <c r="I1910">
        <f>IF(G1910=1,0,(H1910-F1910)*E1910)</f>
        <v/>
      </c>
      <c r="J1910">
        <f>E1910*F1910</f>
        <v/>
      </c>
    </row>
    <row r="1911">
      <c r="A1911">
        <f>Sources!A1911</f>
        <v/>
      </c>
      <c r="B1911">
        <f>Sources!B1911</f>
        <v/>
      </c>
      <c r="C1911">
        <f>Sources!D1911</f>
        <v/>
      </c>
      <c r="D1911">
        <f>Sources!E1911</f>
        <v/>
      </c>
      <c r="E1911">
        <f>Sources!F1911</f>
        <v/>
      </c>
      <c r="F1911">
        <f>Sources!H1911</f>
        <v/>
      </c>
      <c r="G1911">
        <f>IF(ABS(F1911-ROUND(F1911,0))&lt;0.001,1,0)</f>
        <v/>
      </c>
      <c r="H1911">
        <f>IF(G1911=1,F1911,CEILING(F1911,1))</f>
        <v/>
      </c>
      <c r="I1911">
        <f>IF(G1911=1,0,(H1911-F1911)*E1911)</f>
        <v/>
      </c>
      <c r="J1911">
        <f>E1911*F1911</f>
        <v/>
      </c>
    </row>
    <row r="1912">
      <c r="A1912">
        <f>Sources!A1912</f>
        <v/>
      </c>
      <c r="B1912">
        <f>Sources!B1912</f>
        <v/>
      </c>
      <c r="C1912">
        <f>Sources!D1912</f>
        <v/>
      </c>
      <c r="D1912">
        <f>Sources!E1912</f>
        <v/>
      </c>
      <c r="E1912">
        <f>Sources!F1912</f>
        <v/>
      </c>
      <c r="F1912">
        <f>Sources!H1912</f>
        <v/>
      </c>
      <c r="G1912">
        <f>IF(ABS(F1912-ROUND(F1912,0))&lt;0.001,1,0)</f>
        <v/>
      </c>
      <c r="H1912">
        <f>IF(G1912=1,F1912,CEILING(F1912,1))</f>
        <v/>
      </c>
      <c r="I1912">
        <f>IF(G1912=1,0,(H1912-F1912)*E1912)</f>
        <v/>
      </c>
      <c r="J1912">
        <f>E1912*F1912</f>
        <v/>
      </c>
    </row>
    <row r="1913">
      <c r="A1913">
        <f>Sources!A1913</f>
        <v/>
      </c>
      <c r="B1913">
        <f>Sources!B1913</f>
        <v/>
      </c>
      <c r="C1913">
        <f>Sources!D1913</f>
        <v/>
      </c>
      <c r="D1913">
        <f>Sources!E1913</f>
        <v/>
      </c>
      <c r="E1913">
        <f>Sources!F1913</f>
        <v/>
      </c>
      <c r="F1913">
        <f>Sources!H1913</f>
        <v/>
      </c>
      <c r="G1913">
        <f>IF(ABS(F1913-ROUND(F1913,0))&lt;0.001,1,0)</f>
        <v/>
      </c>
      <c r="H1913">
        <f>IF(G1913=1,F1913,CEILING(F1913,1))</f>
        <v/>
      </c>
      <c r="I1913">
        <f>IF(G1913=1,0,(H1913-F1913)*E1913)</f>
        <v/>
      </c>
      <c r="J1913">
        <f>E1913*F1913</f>
        <v/>
      </c>
    </row>
    <row r="1914">
      <c r="A1914">
        <f>Sources!A1914</f>
        <v/>
      </c>
      <c r="B1914">
        <f>Sources!B1914</f>
        <v/>
      </c>
      <c r="C1914">
        <f>Sources!D1914</f>
        <v/>
      </c>
      <c r="D1914">
        <f>Sources!E1914</f>
        <v/>
      </c>
      <c r="E1914">
        <f>Sources!F1914</f>
        <v/>
      </c>
      <c r="F1914">
        <f>Sources!H1914</f>
        <v/>
      </c>
      <c r="G1914">
        <f>IF(ABS(F1914-ROUND(F1914,0))&lt;0.001,1,0)</f>
        <v/>
      </c>
      <c r="H1914">
        <f>IF(G1914=1,F1914,CEILING(F1914,1))</f>
        <v/>
      </c>
      <c r="I1914">
        <f>IF(G1914=1,0,(H1914-F1914)*E1914)</f>
        <v/>
      </c>
      <c r="J1914">
        <f>E1914*F1914</f>
        <v/>
      </c>
    </row>
    <row r="1915">
      <c r="A1915">
        <f>Sources!A1915</f>
        <v/>
      </c>
      <c r="B1915">
        <f>Sources!B1915</f>
        <v/>
      </c>
      <c r="C1915">
        <f>Sources!D1915</f>
        <v/>
      </c>
      <c r="D1915">
        <f>Sources!E1915</f>
        <v/>
      </c>
      <c r="E1915">
        <f>Sources!F1915</f>
        <v/>
      </c>
      <c r="F1915">
        <f>Sources!H1915</f>
        <v/>
      </c>
      <c r="G1915">
        <f>IF(ABS(F1915-ROUND(F1915,0))&lt;0.001,1,0)</f>
        <v/>
      </c>
      <c r="H1915">
        <f>IF(G1915=1,F1915,CEILING(F1915,1))</f>
        <v/>
      </c>
      <c r="I1915">
        <f>IF(G1915=1,0,(H1915-F1915)*E1915)</f>
        <v/>
      </c>
      <c r="J1915">
        <f>E1915*F1915</f>
        <v/>
      </c>
    </row>
    <row r="1916">
      <c r="A1916">
        <f>Sources!A1916</f>
        <v/>
      </c>
      <c r="B1916">
        <f>Sources!B1916</f>
        <v/>
      </c>
      <c r="C1916">
        <f>Sources!D1916</f>
        <v/>
      </c>
      <c r="D1916">
        <f>Sources!E1916</f>
        <v/>
      </c>
      <c r="E1916">
        <f>Sources!F1916</f>
        <v/>
      </c>
      <c r="F1916">
        <f>Sources!H1916</f>
        <v/>
      </c>
      <c r="G1916">
        <f>IF(ABS(F1916-ROUND(F1916,0))&lt;0.001,1,0)</f>
        <v/>
      </c>
      <c r="H1916">
        <f>IF(G1916=1,F1916,CEILING(F1916,1))</f>
        <v/>
      </c>
      <c r="I1916">
        <f>IF(G1916=1,0,(H1916-F1916)*E1916)</f>
        <v/>
      </c>
      <c r="J1916">
        <f>E1916*F1916</f>
        <v/>
      </c>
    </row>
    <row r="1917">
      <c r="A1917">
        <f>Sources!A1917</f>
        <v/>
      </c>
      <c r="B1917">
        <f>Sources!B1917</f>
        <v/>
      </c>
      <c r="C1917">
        <f>Sources!D1917</f>
        <v/>
      </c>
      <c r="D1917">
        <f>Sources!E1917</f>
        <v/>
      </c>
      <c r="E1917">
        <f>Sources!F1917</f>
        <v/>
      </c>
      <c r="F1917">
        <f>Sources!H1917</f>
        <v/>
      </c>
      <c r="G1917">
        <f>IF(ABS(F1917-ROUND(F1917,0))&lt;0.001,1,0)</f>
        <v/>
      </c>
      <c r="H1917">
        <f>IF(G1917=1,F1917,CEILING(F1917,1))</f>
        <v/>
      </c>
      <c r="I1917">
        <f>IF(G1917=1,0,(H1917-F1917)*E1917)</f>
        <v/>
      </c>
      <c r="J1917">
        <f>E1917*F1917</f>
        <v/>
      </c>
    </row>
    <row r="1918">
      <c r="A1918">
        <f>Sources!A1918</f>
        <v/>
      </c>
      <c r="B1918">
        <f>Sources!B1918</f>
        <v/>
      </c>
      <c r="C1918">
        <f>Sources!D1918</f>
        <v/>
      </c>
      <c r="D1918">
        <f>Sources!E1918</f>
        <v/>
      </c>
      <c r="E1918">
        <f>Sources!F1918</f>
        <v/>
      </c>
      <c r="F1918">
        <f>Sources!H1918</f>
        <v/>
      </c>
      <c r="G1918">
        <f>IF(ABS(F1918-ROUND(F1918,0))&lt;0.001,1,0)</f>
        <v/>
      </c>
      <c r="H1918">
        <f>IF(G1918=1,F1918,CEILING(F1918,1))</f>
        <v/>
      </c>
      <c r="I1918">
        <f>IF(G1918=1,0,(H1918-F1918)*E1918)</f>
        <v/>
      </c>
      <c r="J1918">
        <f>E1918*F1918</f>
        <v/>
      </c>
    </row>
    <row r="1919">
      <c r="A1919">
        <f>Sources!A1919</f>
        <v/>
      </c>
      <c r="B1919">
        <f>Sources!B1919</f>
        <v/>
      </c>
      <c r="C1919">
        <f>Sources!D1919</f>
        <v/>
      </c>
      <c r="D1919">
        <f>Sources!E1919</f>
        <v/>
      </c>
      <c r="E1919">
        <f>Sources!F1919</f>
        <v/>
      </c>
      <c r="F1919">
        <f>Sources!H1919</f>
        <v/>
      </c>
      <c r="G1919">
        <f>IF(ABS(F1919-ROUND(F1919,0))&lt;0.001,1,0)</f>
        <v/>
      </c>
      <c r="H1919">
        <f>IF(G1919=1,F1919,CEILING(F1919,1))</f>
        <v/>
      </c>
      <c r="I1919">
        <f>IF(G1919=1,0,(H1919-F1919)*E1919)</f>
        <v/>
      </c>
      <c r="J1919">
        <f>E1919*F1919</f>
        <v/>
      </c>
    </row>
    <row r="1920">
      <c r="A1920">
        <f>Sources!A1920</f>
        <v/>
      </c>
      <c r="B1920">
        <f>Sources!B1920</f>
        <v/>
      </c>
      <c r="C1920">
        <f>Sources!D1920</f>
        <v/>
      </c>
      <c r="D1920">
        <f>Sources!E1920</f>
        <v/>
      </c>
      <c r="E1920">
        <f>Sources!F1920</f>
        <v/>
      </c>
      <c r="F1920">
        <f>Sources!H1920</f>
        <v/>
      </c>
      <c r="G1920">
        <f>IF(ABS(F1920-ROUND(F1920,0))&lt;0.001,1,0)</f>
        <v/>
      </c>
      <c r="H1920">
        <f>IF(G1920=1,F1920,CEILING(F1920,1))</f>
        <v/>
      </c>
      <c r="I1920">
        <f>IF(G1920=1,0,(H1920-F1920)*E1920)</f>
        <v/>
      </c>
      <c r="J1920">
        <f>E1920*F1920</f>
        <v/>
      </c>
    </row>
    <row r="1921">
      <c r="A1921">
        <f>Sources!A1921</f>
        <v/>
      </c>
      <c r="B1921">
        <f>Sources!B1921</f>
        <v/>
      </c>
      <c r="C1921">
        <f>Sources!D1921</f>
        <v/>
      </c>
      <c r="D1921">
        <f>Sources!E1921</f>
        <v/>
      </c>
      <c r="E1921">
        <f>Sources!F1921</f>
        <v/>
      </c>
      <c r="F1921">
        <f>Sources!H1921</f>
        <v/>
      </c>
      <c r="G1921">
        <f>IF(ABS(F1921-ROUND(F1921,0))&lt;0.001,1,0)</f>
        <v/>
      </c>
      <c r="H1921">
        <f>IF(G1921=1,F1921,CEILING(F1921,1))</f>
        <v/>
      </c>
      <c r="I1921">
        <f>IF(G1921=1,0,(H1921-F1921)*E1921)</f>
        <v/>
      </c>
      <c r="J1921">
        <f>E1921*F1921</f>
        <v/>
      </c>
    </row>
    <row r="1922">
      <c r="A1922">
        <f>Sources!A1922</f>
        <v/>
      </c>
      <c r="B1922">
        <f>Sources!B1922</f>
        <v/>
      </c>
      <c r="C1922">
        <f>Sources!D1922</f>
        <v/>
      </c>
      <c r="D1922">
        <f>Sources!E1922</f>
        <v/>
      </c>
      <c r="E1922">
        <f>Sources!F1922</f>
        <v/>
      </c>
      <c r="F1922">
        <f>Sources!H1922</f>
        <v/>
      </c>
      <c r="G1922">
        <f>IF(ABS(F1922-ROUND(F1922,0))&lt;0.001,1,0)</f>
        <v/>
      </c>
      <c r="H1922">
        <f>IF(G1922=1,F1922,CEILING(F1922,1))</f>
        <v/>
      </c>
      <c r="I1922">
        <f>IF(G1922=1,0,(H1922-F1922)*E1922)</f>
        <v/>
      </c>
      <c r="J1922">
        <f>E1922*F1922</f>
        <v/>
      </c>
    </row>
    <row r="1923">
      <c r="A1923">
        <f>Sources!A1923</f>
        <v/>
      </c>
      <c r="B1923">
        <f>Sources!B1923</f>
        <v/>
      </c>
      <c r="C1923">
        <f>Sources!D1923</f>
        <v/>
      </c>
      <c r="D1923">
        <f>Sources!E1923</f>
        <v/>
      </c>
      <c r="E1923">
        <f>Sources!F1923</f>
        <v/>
      </c>
      <c r="F1923">
        <f>Sources!H1923</f>
        <v/>
      </c>
      <c r="G1923">
        <f>IF(ABS(F1923-ROUND(F1923,0))&lt;0.001,1,0)</f>
        <v/>
      </c>
      <c r="H1923">
        <f>IF(G1923=1,F1923,CEILING(F1923,1))</f>
        <v/>
      </c>
      <c r="I1923">
        <f>IF(G1923=1,0,(H1923-F1923)*E1923)</f>
        <v/>
      </c>
      <c r="J1923">
        <f>E1923*F1923</f>
        <v/>
      </c>
    </row>
    <row r="1924">
      <c r="A1924">
        <f>Sources!A1924</f>
        <v/>
      </c>
      <c r="B1924">
        <f>Sources!B1924</f>
        <v/>
      </c>
      <c r="C1924">
        <f>Sources!D1924</f>
        <v/>
      </c>
      <c r="D1924">
        <f>Sources!E1924</f>
        <v/>
      </c>
      <c r="E1924">
        <f>Sources!F1924</f>
        <v/>
      </c>
      <c r="F1924">
        <f>Sources!H1924</f>
        <v/>
      </c>
      <c r="G1924">
        <f>IF(ABS(F1924-ROUND(F1924,0))&lt;0.001,1,0)</f>
        <v/>
      </c>
      <c r="H1924">
        <f>IF(G1924=1,F1924,CEILING(F1924,1))</f>
        <v/>
      </c>
      <c r="I1924">
        <f>IF(G1924=1,0,(H1924-F1924)*E1924)</f>
        <v/>
      </c>
      <c r="J1924">
        <f>E1924*F1924</f>
        <v/>
      </c>
    </row>
    <row r="1925">
      <c r="A1925">
        <f>Sources!A1925</f>
        <v/>
      </c>
      <c r="B1925">
        <f>Sources!B1925</f>
        <v/>
      </c>
      <c r="C1925">
        <f>Sources!D1925</f>
        <v/>
      </c>
      <c r="D1925">
        <f>Sources!E1925</f>
        <v/>
      </c>
      <c r="E1925">
        <f>Sources!F1925</f>
        <v/>
      </c>
      <c r="F1925">
        <f>Sources!H1925</f>
        <v/>
      </c>
      <c r="G1925">
        <f>IF(ABS(F1925-ROUND(F1925,0))&lt;0.001,1,0)</f>
        <v/>
      </c>
      <c r="H1925">
        <f>IF(G1925=1,F1925,CEILING(F1925,1))</f>
        <v/>
      </c>
      <c r="I1925">
        <f>IF(G1925=1,0,(H1925-F1925)*E1925)</f>
        <v/>
      </c>
      <c r="J1925">
        <f>E1925*F1925</f>
        <v/>
      </c>
    </row>
    <row r="1926">
      <c r="A1926">
        <f>Sources!A1926</f>
        <v/>
      </c>
      <c r="B1926">
        <f>Sources!B1926</f>
        <v/>
      </c>
      <c r="C1926">
        <f>Sources!D1926</f>
        <v/>
      </c>
      <c r="D1926">
        <f>Sources!E1926</f>
        <v/>
      </c>
      <c r="E1926">
        <f>Sources!F1926</f>
        <v/>
      </c>
      <c r="F1926">
        <f>Sources!H1926</f>
        <v/>
      </c>
      <c r="G1926">
        <f>IF(ABS(F1926-ROUND(F1926,0))&lt;0.001,1,0)</f>
        <v/>
      </c>
      <c r="H1926">
        <f>IF(G1926=1,F1926,CEILING(F1926,1))</f>
        <v/>
      </c>
      <c r="I1926">
        <f>IF(G1926=1,0,(H1926-F1926)*E1926)</f>
        <v/>
      </c>
      <c r="J1926">
        <f>E1926*F1926</f>
        <v/>
      </c>
    </row>
    <row r="1927">
      <c r="A1927">
        <f>Sources!A1927</f>
        <v/>
      </c>
      <c r="B1927">
        <f>Sources!B1927</f>
        <v/>
      </c>
      <c r="C1927">
        <f>Sources!D1927</f>
        <v/>
      </c>
      <c r="D1927">
        <f>Sources!E1927</f>
        <v/>
      </c>
      <c r="E1927">
        <f>Sources!F1927</f>
        <v/>
      </c>
      <c r="F1927">
        <f>Sources!H1927</f>
        <v/>
      </c>
      <c r="G1927">
        <f>IF(ABS(F1927-ROUND(F1927,0))&lt;0.001,1,0)</f>
        <v/>
      </c>
      <c r="H1927">
        <f>IF(G1927=1,F1927,CEILING(F1927,1))</f>
        <v/>
      </c>
      <c r="I1927">
        <f>IF(G1927=1,0,(H1927-F1927)*E1927)</f>
        <v/>
      </c>
      <c r="J1927">
        <f>E1927*F1927</f>
        <v/>
      </c>
    </row>
    <row r="1928">
      <c r="A1928">
        <f>Sources!A1928</f>
        <v/>
      </c>
      <c r="B1928">
        <f>Sources!B1928</f>
        <v/>
      </c>
      <c r="C1928">
        <f>Sources!D1928</f>
        <v/>
      </c>
      <c r="D1928">
        <f>Sources!E1928</f>
        <v/>
      </c>
      <c r="E1928">
        <f>Sources!F1928</f>
        <v/>
      </c>
      <c r="F1928">
        <f>Sources!H1928</f>
        <v/>
      </c>
      <c r="G1928">
        <f>IF(ABS(F1928-ROUND(F1928,0))&lt;0.001,1,0)</f>
        <v/>
      </c>
      <c r="H1928">
        <f>IF(G1928=1,F1928,CEILING(F1928,1))</f>
        <v/>
      </c>
      <c r="I1928">
        <f>IF(G1928=1,0,(H1928-F1928)*E1928)</f>
        <v/>
      </c>
      <c r="J1928">
        <f>E1928*F1928</f>
        <v/>
      </c>
    </row>
    <row r="1929">
      <c r="A1929">
        <f>Sources!A1929</f>
        <v/>
      </c>
      <c r="B1929">
        <f>Sources!B1929</f>
        <v/>
      </c>
      <c r="C1929">
        <f>Sources!D1929</f>
        <v/>
      </c>
      <c r="D1929">
        <f>Sources!E1929</f>
        <v/>
      </c>
      <c r="E1929">
        <f>Sources!F1929</f>
        <v/>
      </c>
      <c r="F1929">
        <f>Sources!H1929</f>
        <v/>
      </c>
      <c r="G1929">
        <f>IF(ABS(F1929-ROUND(F1929,0))&lt;0.001,1,0)</f>
        <v/>
      </c>
      <c r="H1929">
        <f>IF(G1929=1,F1929,CEILING(F1929,1))</f>
        <v/>
      </c>
      <c r="I1929">
        <f>IF(G1929=1,0,(H1929-F1929)*E1929)</f>
        <v/>
      </c>
      <c r="J1929">
        <f>E1929*F1929</f>
        <v/>
      </c>
    </row>
    <row r="1930">
      <c r="A1930">
        <f>Sources!A1930</f>
        <v/>
      </c>
      <c r="B1930">
        <f>Sources!B1930</f>
        <v/>
      </c>
      <c r="C1930">
        <f>Sources!D1930</f>
        <v/>
      </c>
      <c r="D1930">
        <f>Sources!E1930</f>
        <v/>
      </c>
      <c r="E1930">
        <f>Sources!F1930</f>
        <v/>
      </c>
      <c r="F1930">
        <f>Sources!H1930</f>
        <v/>
      </c>
      <c r="G1930">
        <f>IF(ABS(F1930-ROUND(F1930,0))&lt;0.001,1,0)</f>
        <v/>
      </c>
      <c r="H1930">
        <f>IF(G1930=1,F1930,CEILING(F1930,1))</f>
        <v/>
      </c>
      <c r="I1930">
        <f>IF(G1930=1,0,(H1930-F1930)*E1930)</f>
        <v/>
      </c>
      <c r="J1930">
        <f>E1930*F1930</f>
        <v/>
      </c>
    </row>
    <row r="1931">
      <c r="A1931">
        <f>Sources!A1931</f>
        <v/>
      </c>
      <c r="B1931">
        <f>Sources!B1931</f>
        <v/>
      </c>
      <c r="C1931">
        <f>Sources!D1931</f>
        <v/>
      </c>
      <c r="D1931">
        <f>Sources!E1931</f>
        <v/>
      </c>
      <c r="E1931">
        <f>Sources!F1931</f>
        <v/>
      </c>
      <c r="F1931">
        <f>Sources!H1931</f>
        <v/>
      </c>
      <c r="G1931">
        <f>IF(ABS(F1931-ROUND(F1931,0))&lt;0.001,1,0)</f>
        <v/>
      </c>
      <c r="H1931">
        <f>IF(G1931=1,F1931,CEILING(F1931,1))</f>
        <v/>
      </c>
      <c r="I1931">
        <f>IF(G1931=1,0,(H1931-F1931)*E1931)</f>
        <v/>
      </c>
      <c r="J1931">
        <f>E1931*F1931</f>
        <v/>
      </c>
    </row>
    <row r="1932">
      <c r="A1932">
        <f>Sources!A1932</f>
        <v/>
      </c>
      <c r="B1932">
        <f>Sources!B1932</f>
        <v/>
      </c>
      <c r="C1932">
        <f>Sources!D1932</f>
        <v/>
      </c>
      <c r="D1932">
        <f>Sources!E1932</f>
        <v/>
      </c>
      <c r="E1932">
        <f>Sources!F1932</f>
        <v/>
      </c>
      <c r="F1932">
        <f>Sources!H1932</f>
        <v/>
      </c>
      <c r="G1932">
        <f>IF(ABS(F1932-ROUND(F1932,0))&lt;0.001,1,0)</f>
        <v/>
      </c>
      <c r="H1932">
        <f>IF(G1932=1,F1932,CEILING(F1932,1))</f>
        <v/>
      </c>
      <c r="I1932">
        <f>IF(G1932=1,0,(H1932-F1932)*E1932)</f>
        <v/>
      </c>
      <c r="J1932">
        <f>E1932*F1932</f>
        <v/>
      </c>
    </row>
    <row r="1933">
      <c r="A1933">
        <f>Sources!A1933</f>
        <v/>
      </c>
      <c r="B1933">
        <f>Sources!B1933</f>
        <v/>
      </c>
      <c r="C1933">
        <f>Sources!D1933</f>
        <v/>
      </c>
      <c r="D1933">
        <f>Sources!E1933</f>
        <v/>
      </c>
      <c r="E1933">
        <f>Sources!F1933</f>
        <v/>
      </c>
      <c r="F1933">
        <f>Sources!H1933</f>
        <v/>
      </c>
      <c r="G1933">
        <f>IF(ABS(F1933-ROUND(F1933,0))&lt;0.001,1,0)</f>
        <v/>
      </c>
      <c r="H1933">
        <f>IF(G1933=1,F1933,CEILING(F1933,1))</f>
        <v/>
      </c>
      <c r="I1933">
        <f>IF(G1933=1,0,(H1933-F1933)*E1933)</f>
        <v/>
      </c>
      <c r="J1933">
        <f>E1933*F1933</f>
        <v/>
      </c>
    </row>
    <row r="1934">
      <c r="A1934">
        <f>Sources!A1934</f>
        <v/>
      </c>
      <c r="B1934">
        <f>Sources!B1934</f>
        <v/>
      </c>
      <c r="C1934">
        <f>Sources!D1934</f>
        <v/>
      </c>
      <c r="D1934">
        <f>Sources!E1934</f>
        <v/>
      </c>
      <c r="E1934">
        <f>Sources!F1934</f>
        <v/>
      </c>
      <c r="F1934">
        <f>Sources!H1934</f>
        <v/>
      </c>
      <c r="G1934">
        <f>IF(ABS(F1934-ROUND(F1934,0))&lt;0.001,1,0)</f>
        <v/>
      </c>
      <c r="H1934">
        <f>IF(G1934=1,F1934,CEILING(F1934,1))</f>
        <v/>
      </c>
      <c r="I1934">
        <f>IF(G1934=1,0,(H1934-F1934)*E1934)</f>
        <v/>
      </c>
      <c r="J1934">
        <f>E1934*F1934</f>
        <v/>
      </c>
    </row>
    <row r="1935">
      <c r="A1935">
        <f>Sources!A1935</f>
        <v/>
      </c>
      <c r="B1935">
        <f>Sources!B1935</f>
        <v/>
      </c>
      <c r="C1935">
        <f>Sources!D1935</f>
        <v/>
      </c>
      <c r="D1935">
        <f>Sources!E1935</f>
        <v/>
      </c>
      <c r="E1935">
        <f>Sources!F1935</f>
        <v/>
      </c>
      <c r="F1935">
        <f>Sources!H1935</f>
        <v/>
      </c>
      <c r="G1935">
        <f>IF(ABS(F1935-ROUND(F1935,0))&lt;0.001,1,0)</f>
        <v/>
      </c>
      <c r="H1935">
        <f>IF(G1935=1,F1935,CEILING(F1935,1))</f>
        <v/>
      </c>
      <c r="I1935">
        <f>IF(G1935=1,0,(H1935-F1935)*E1935)</f>
        <v/>
      </c>
      <c r="J1935">
        <f>E1935*F1935</f>
        <v/>
      </c>
    </row>
    <row r="1936">
      <c r="A1936">
        <f>Sources!A1936</f>
        <v/>
      </c>
      <c r="B1936">
        <f>Sources!B1936</f>
        <v/>
      </c>
      <c r="C1936">
        <f>Sources!D1936</f>
        <v/>
      </c>
      <c r="D1936">
        <f>Sources!E1936</f>
        <v/>
      </c>
      <c r="E1936">
        <f>Sources!F1936</f>
        <v/>
      </c>
      <c r="F1936">
        <f>Sources!H1936</f>
        <v/>
      </c>
      <c r="G1936">
        <f>IF(ABS(F1936-ROUND(F1936,0))&lt;0.001,1,0)</f>
        <v/>
      </c>
      <c r="H1936">
        <f>IF(G1936=1,F1936,CEILING(F1936,1))</f>
        <v/>
      </c>
      <c r="I1936">
        <f>IF(G1936=1,0,(H1936-F1936)*E1936)</f>
        <v/>
      </c>
      <c r="J1936">
        <f>E1936*F1936</f>
        <v/>
      </c>
    </row>
    <row r="1937">
      <c r="A1937">
        <f>Sources!A1937</f>
        <v/>
      </c>
      <c r="B1937">
        <f>Sources!B1937</f>
        <v/>
      </c>
      <c r="C1937">
        <f>Sources!D1937</f>
        <v/>
      </c>
      <c r="D1937">
        <f>Sources!E1937</f>
        <v/>
      </c>
      <c r="E1937">
        <f>Sources!F1937</f>
        <v/>
      </c>
      <c r="F1937">
        <f>Sources!H1937</f>
        <v/>
      </c>
      <c r="G1937">
        <f>IF(ABS(F1937-ROUND(F1937,0))&lt;0.001,1,0)</f>
        <v/>
      </c>
      <c r="H1937">
        <f>IF(G1937=1,F1937,CEILING(F1937,1))</f>
        <v/>
      </c>
      <c r="I1937">
        <f>IF(G1937=1,0,(H1937-F1937)*E1937)</f>
        <v/>
      </c>
      <c r="J1937">
        <f>E1937*F1937</f>
        <v/>
      </c>
    </row>
    <row r="1938">
      <c r="A1938">
        <f>Sources!A1938</f>
        <v/>
      </c>
      <c r="B1938">
        <f>Sources!B1938</f>
        <v/>
      </c>
      <c r="C1938">
        <f>Sources!D1938</f>
        <v/>
      </c>
      <c r="D1938">
        <f>Sources!E1938</f>
        <v/>
      </c>
      <c r="E1938">
        <f>Sources!F1938</f>
        <v/>
      </c>
      <c r="F1938">
        <f>Sources!H1938</f>
        <v/>
      </c>
      <c r="G1938">
        <f>IF(ABS(F1938-ROUND(F1938,0))&lt;0.001,1,0)</f>
        <v/>
      </c>
      <c r="H1938">
        <f>IF(G1938=1,F1938,CEILING(F1938,1))</f>
        <v/>
      </c>
      <c r="I1938">
        <f>IF(G1938=1,0,(H1938-F1938)*E1938)</f>
        <v/>
      </c>
      <c r="J1938">
        <f>E1938*F1938</f>
        <v/>
      </c>
    </row>
    <row r="1939">
      <c r="A1939">
        <f>Sources!A1939</f>
        <v/>
      </c>
      <c r="B1939">
        <f>Sources!B1939</f>
        <v/>
      </c>
      <c r="C1939">
        <f>Sources!D1939</f>
        <v/>
      </c>
      <c r="D1939">
        <f>Sources!E1939</f>
        <v/>
      </c>
      <c r="E1939">
        <f>Sources!F1939</f>
        <v/>
      </c>
      <c r="F1939">
        <f>Sources!H1939</f>
        <v/>
      </c>
      <c r="G1939">
        <f>IF(ABS(F1939-ROUND(F1939,0))&lt;0.001,1,0)</f>
        <v/>
      </c>
      <c r="H1939">
        <f>IF(G1939=1,F1939,CEILING(F1939,1))</f>
        <v/>
      </c>
      <c r="I1939">
        <f>IF(G1939=1,0,(H1939-F1939)*E1939)</f>
        <v/>
      </c>
      <c r="J1939">
        <f>E1939*F1939</f>
        <v/>
      </c>
    </row>
    <row r="1940">
      <c r="A1940">
        <f>Sources!A1940</f>
        <v/>
      </c>
      <c r="B1940">
        <f>Sources!B1940</f>
        <v/>
      </c>
      <c r="C1940">
        <f>Sources!D1940</f>
        <v/>
      </c>
      <c r="D1940">
        <f>Sources!E1940</f>
        <v/>
      </c>
      <c r="E1940">
        <f>Sources!F1940</f>
        <v/>
      </c>
      <c r="F1940">
        <f>Sources!H1940</f>
        <v/>
      </c>
      <c r="G1940">
        <f>IF(ABS(F1940-ROUND(F1940,0))&lt;0.001,1,0)</f>
        <v/>
      </c>
      <c r="H1940">
        <f>IF(G1940=1,F1940,CEILING(F1940,1))</f>
        <v/>
      </c>
      <c r="I1940">
        <f>IF(G1940=1,0,(H1940-F1940)*E1940)</f>
        <v/>
      </c>
      <c r="J1940">
        <f>E1940*F1940</f>
        <v/>
      </c>
    </row>
    <row r="1941">
      <c r="A1941">
        <f>Sources!A1941</f>
        <v/>
      </c>
      <c r="B1941">
        <f>Sources!B1941</f>
        <v/>
      </c>
      <c r="C1941">
        <f>Sources!D1941</f>
        <v/>
      </c>
      <c r="D1941">
        <f>Sources!E1941</f>
        <v/>
      </c>
      <c r="E1941">
        <f>Sources!F1941</f>
        <v/>
      </c>
      <c r="F1941">
        <f>Sources!H1941</f>
        <v/>
      </c>
      <c r="G1941">
        <f>IF(ABS(F1941-ROUND(F1941,0))&lt;0.001,1,0)</f>
        <v/>
      </c>
      <c r="H1941">
        <f>IF(G1941=1,F1941,CEILING(F1941,1))</f>
        <v/>
      </c>
      <c r="I1941">
        <f>IF(G1941=1,0,(H1941-F1941)*E1941)</f>
        <v/>
      </c>
      <c r="J1941">
        <f>E1941*F1941</f>
        <v/>
      </c>
    </row>
    <row r="1942">
      <c r="A1942">
        <f>Sources!A1942</f>
        <v/>
      </c>
      <c r="B1942">
        <f>Sources!B1942</f>
        <v/>
      </c>
      <c r="C1942">
        <f>Sources!D1942</f>
        <v/>
      </c>
      <c r="D1942">
        <f>Sources!E1942</f>
        <v/>
      </c>
      <c r="E1942">
        <f>Sources!F1942</f>
        <v/>
      </c>
      <c r="F1942">
        <f>Sources!H1942</f>
        <v/>
      </c>
      <c r="G1942">
        <f>IF(ABS(F1942-ROUND(F1942,0))&lt;0.001,1,0)</f>
        <v/>
      </c>
      <c r="H1942">
        <f>IF(G1942=1,F1942,CEILING(F1942,1))</f>
        <v/>
      </c>
      <c r="I1942">
        <f>IF(G1942=1,0,(H1942-F1942)*E1942)</f>
        <v/>
      </c>
      <c r="J1942">
        <f>E1942*F1942</f>
        <v/>
      </c>
    </row>
    <row r="1943">
      <c r="A1943">
        <f>Sources!A1943</f>
        <v/>
      </c>
      <c r="B1943">
        <f>Sources!B1943</f>
        <v/>
      </c>
      <c r="C1943">
        <f>Sources!D1943</f>
        <v/>
      </c>
      <c r="D1943">
        <f>Sources!E1943</f>
        <v/>
      </c>
      <c r="E1943">
        <f>Sources!F1943</f>
        <v/>
      </c>
      <c r="F1943">
        <f>Sources!H1943</f>
        <v/>
      </c>
      <c r="G1943">
        <f>IF(ABS(F1943-ROUND(F1943,0))&lt;0.001,1,0)</f>
        <v/>
      </c>
      <c r="H1943">
        <f>IF(G1943=1,F1943,CEILING(F1943,1))</f>
        <v/>
      </c>
      <c r="I1943">
        <f>IF(G1943=1,0,(H1943-F1943)*E1943)</f>
        <v/>
      </c>
      <c r="J1943">
        <f>E1943*F1943</f>
        <v/>
      </c>
    </row>
    <row r="1944">
      <c r="A1944">
        <f>Sources!A1944</f>
        <v/>
      </c>
      <c r="B1944">
        <f>Sources!B1944</f>
        <v/>
      </c>
      <c r="C1944">
        <f>Sources!D1944</f>
        <v/>
      </c>
      <c r="D1944">
        <f>Sources!E1944</f>
        <v/>
      </c>
      <c r="E1944">
        <f>Sources!F1944</f>
        <v/>
      </c>
      <c r="F1944">
        <f>Sources!H1944</f>
        <v/>
      </c>
      <c r="G1944">
        <f>IF(ABS(F1944-ROUND(F1944,0))&lt;0.001,1,0)</f>
        <v/>
      </c>
      <c r="H1944">
        <f>IF(G1944=1,F1944,CEILING(F1944,1))</f>
        <v/>
      </c>
      <c r="I1944">
        <f>IF(G1944=1,0,(H1944-F1944)*E1944)</f>
        <v/>
      </c>
      <c r="J1944">
        <f>E1944*F1944</f>
        <v/>
      </c>
    </row>
    <row r="1945">
      <c r="A1945">
        <f>Sources!A1945</f>
        <v/>
      </c>
      <c r="B1945">
        <f>Sources!B1945</f>
        <v/>
      </c>
      <c r="C1945">
        <f>Sources!D1945</f>
        <v/>
      </c>
      <c r="D1945">
        <f>Sources!E1945</f>
        <v/>
      </c>
      <c r="E1945">
        <f>Sources!F1945</f>
        <v/>
      </c>
      <c r="F1945">
        <f>Sources!H1945</f>
        <v/>
      </c>
      <c r="G1945">
        <f>IF(ABS(F1945-ROUND(F1945,0))&lt;0.001,1,0)</f>
        <v/>
      </c>
      <c r="H1945">
        <f>IF(G1945=1,F1945,CEILING(F1945,1))</f>
        <v/>
      </c>
      <c r="I1945">
        <f>IF(G1945=1,0,(H1945-F1945)*E1945)</f>
        <v/>
      </c>
      <c r="J1945">
        <f>E1945*F1945</f>
        <v/>
      </c>
    </row>
    <row r="1946">
      <c r="A1946">
        <f>Sources!A1946</f>
        <v/>
      </c>
      <c r="B1946">
        <f>Sources!B1946</f>
        <v/>
      </c>
      <c r="C1946">
        <f>Sources!D1946</f>
        <v/>
      </c>
      <c r="D1946">
        <f>Sources!E1946</f>
        <v/>
      </c>
      <c r="E1946">
        <f>Sources!F1946</f>
        <v/>
      </c>
      <c r="F1946">
        <f>Sources!H1946</f>
        <v/>
      </c>
      <c r="G1946">
        <f>IF(ABS(F1946-ROUND(F1946,0))&lt;0.001,1,0)</f>
        <v/>
      </c>
      <c r="H1946">
        <f>IF(G1946=1,F1946,CEILING(F1946,1))</f>
        <v/>
      </c>
      <c r="I1946">
        <f>IF(G1946=1,0,(H1946-F1946)*E1946)</f>
        <v/>
      </c>
      <c r="J1946">
        <f>E1946*F1946</f>
        <v/>
      </c>
    </row>
    <row r="1947">
      <c r="A1947">
        <f>Sources!A1947</f>
        <v/>
      </c>
      <c r="B1947">
        <f>Sources!B1947</f>
        <v/>
      </c>
      <c r="C1947">
        <f>Sources!D1947</f>
        <v/>
      </c>
      <c r="D1947">
        <f>Sources!E1947</f>
        <v/>
      </c>
      <c r="E1947">
        <f>Sources!F1947</f>
        <v/>
      </c>
      <c r="F1947">
        <f>Sources!H1947</f>
        <v/>
      </c>
      <c r="G1947">
        <f>IF(ABS(F1947-ROUND(F1947,0))&lt;0.001,1,0)</f>
        <v/>
      </c>
      <c r="H1947">
        <f>IF(G1947=1,F1947,CEILING(F1947,1))</f>
        <v/>
      </c>
      <c r="I1947">
        <f>IF(G1947=1,0,(H1947-F1947)*E1947)</f>
        <v/>
      </c>
      <c r="J1947">
        <f>E1947*F1947</f>
        <v/>
      </c>
    </row>
    <row r="1948">
      <c r="A1948">
        <f>Sources!A1948</f>
        <v/>
      </c>
      <c r="B1948">
        <f>Sources!B1948</f>
        <v/>
      </c>
      <c r="C1948">
        <f>Sources!D1948</f>
        <v/>
      </c>
      <c r="D1948">
        <f>Sources!E1948</f>
        <v/>
      </c>
      <c r="E1948">
        <f>Sources!F1948</f>
        <v/>
      </c>
      <c r="F1948">
        <f>Sources!H1948</f>
        <v/>
      </c>
      <c r="G1948">
        <f>IF(ABS(F1948-ROUND(F1948,0))&lt;0.001,1,0)</f>
        <v/>
      </c>
      <c r="H1948">
        <f>IF(G1948=1,F1948,CEILING(F1948,1))</f>
        <v/>
      </c>
      <c r="I1948">
        <f>IF(G1948=1,0,(H1948-F1948)*E1948)</f>
        <v/>
      </c>
      <c r="J1948">
        <f>E1948*F1948</f>
        <v/>
      </c>
    </row>
    <row r="1949">
      <c r="A1949">
        <f>Sources!A1949</f>
        <v/>
      </c>
      <c r="B1949">
        <f>Sources!B1949</f>
        <v/>
      </c>
      <c r="C1949">
        <f>Sources!D1949</f>
        <v/>
      </c>
      <c r="D1949">
        <f>Sources!E1949</f>
        <v/>
      </c>
      <c r="E1949">
        <f>Sources!F1949</f>
        <v/>
      </c>
      <c r="F1949">
        <f>Sources!H1949</f>
        <v/>
      </c>
      <c r="G1949">
        <f>IF(ABS(F1949-ROUND(F1949,0))&lt;0.001,1,0)</f>
        <v/>
      </c>
      <c r="H1949">
        <f>IF(G1949=1,F1949,CEILING(F1949,1))</f>
        <v/>
      </c>
      <c r="I1949">
        <f>IF(G1949=1,0,(H1949-F1949)*E1949)</f>
        <v/>
      </c>
      <c r="J1949">
        <f>E1949*F1949</f>
        <v/>
      </c>
    </row>
    <row r="1950">
      <c r="A1950">
        <f>Sources!A1950</f>
        <v/>
      </c>
      <c r="B1950">
        <f>Sources!B1950</f>
        <v/>
      </c>
      <c r="C1950">
        <f>Sources!D1950</f>
        <v/>
      </c>
      <c r="D1950">
        <f>Sources!E1950</f>
        <v/>
      </c>
      <c r="E1950">
        <f>Sources!F1950</f>
        <v/>
      </c>
      <c r="F1950">
        <f>Sources!H1950</f>
        <v/>
      </c>
      <c r="G1950">
        <f>IF(ABS(F1950-ROUND(F1950,0))&lt;0.001,1,0)</f>
        <v/>
      </c>
      <c r="H1950">
        <f>IF(G1950=1,F1950,CEILING(F1950,1))</f>
        <v/>
      </c>
      <c r="I1950">
        <f>IF(G1950=1,0,(H1950-F1950)*E1950)</f>
        <v/>
      </c>
      <c r="J1950">
        <f>E1950*F1950</f>
        <v/>
      </c>
    </row>
    <row r="1951">
      <c r="A1951">
        <f>Sources!A1951</f>
        <v/>
      </c>
      <c r="B1951">
        <f>Sources!B1951</f>
        <v/>
      </c>
      <c r="C1951">
        <f>Sources!D1951</f>
        <v/>
      </c>
      <c r="D1951">
        <f>Sources!E1951</f>
        <v/>
      </c>
      <c r="E1951">
        <f>Sources!F1951</f>
        <v/>
      </c>
      <c r="F1951">
        <f>Sources!H1951</f>
        <v/>
      </c>
      <c r="G1951">
        <f>IF(ABS(F1951-ROUND(F1951,0))&lt;0.001,1,0)</f>
        <v/>
      </c>
      <c r="H1951">
        <f>IF(G1951=1,F1951,CEILING(F1951,1))</f>
        <v/>
      </c>
      <c r="I1951">
        <f>IF(G1951=1,0,(H1951-F1951)*E1951)</f>
        <v/>
      </c>
      <c r="J1951">
        <f>E1951*F1951</f>
        <v/>
      </c>
    </row>
    <row r="1952">
      <c r="A1952">
        <f>Sources!A1952</f>
        <v/>
      </c>
      <c r="B1952">
        <f>Sources!B1952</f>
        <v/>
      </c>
      <c r="C1952">
        <f>Sources!D1952</f>
        <v/>
      </c>
      <c r="D1952">
        <f>Sources!E1952</f>
        <v/>
      </c>
      <c r="E1952">
        <f>Sources!F1952</f>
        <v/>
      </c>
      <c r="F1952">
        <f>Sources!H1952</f>
        <v/>
      </c>
      <c r="G1952">
        <f>IF(ABS(F1952-ROUND(F1952,0))&lt;0.001,1,0)</f>
        <v/>
      </c>
      <c r="H1952">
        <f>IF(G1952=1,F1952,CEILING(F1952,1))</f>
        <v/>
      </c>
      <c r="I1952">
        <f>IF(G1952=1,0,(H1952-F1952)*E1952)</f>
        <v/>
      </c>
      <c r="J1952">
        <f>E1952*F1952</f>
        <v/>
      </c>
    </row>
    <row r="1953">
      <c r="A1953">
        <f>Sources!A1953</f>
        <v/>
      </c>
      <c r="B1953">
        <f>Sources!B1953</f>
        <v/>
      </c>
      <c r="C1953">
        <f>Sources!D1953</f>
        <v/>
      </c>
      <c r="D1953">
        <f>Sources!E1953</f>
        <v/>
      </c>
      <c r="E1953">
        <f>Sources!F1953</f>
        <v/>
      </c>
      <c r="F1953">
        <f>Sources!H1953</f>
        <v/>
      </c>
      <c r="G1953">
        <f>IF(ABS(F1953-ROUND(F1953,0))&lt;0.001,1,0)</f>
        <v/>
      </c>
      <c r="H1953">
        <f>IF(G1953=1,F1953,CEILING(F1953,1))</f>
        <v/>
      </c>
      <c r="I1953">
        <f>IF(G1953=1,0,(H1953-F1953)*E1953)</f>
        <v/>
      </c>
      <c r="J1953">
        <f>E1953*F1953</f>
        <v/>
      </c>
    </row>
    <row r="1954">
      <c r="A1954">
        <f>Sources!A1954</f>
        <v/>
      </c>
      <c r="B1954">
        <f>Sources!B1954</f>
        <v/>
      </c>
      <c r="C1954">
        <f>Sources!D1954</f>
        <v/>
      </c>
      <c r="D1954">
        <f>Sources!E1954</f>
        <v/>
      </c>
      <c r="E1954">
        <f>Sources!F1954</f>
        <v/>
      </c>
      <c r="F1954">
        <f>Sources!H1954</f>
        <v/>
      </c>
      <c r="G1954">
        <f>IF(ABS(F1954-ROUND(F1954,0))&lt;0.001,1,0)</f>
        <v/>
      </c>
      <c r="H1954">
        <f>IF(G1954=1,F1954,CEILING(F1954,1))</f>
        <v/>
      </c>
      <c r="I1954">
        <f>IF(G1954=1,0,(H1954-F1954)*E1954)</f>
        <v/>
      </c>
      <c r="J1954">
        <f>E1954*F1954</f>
        <v/>
      </c>
    </row>
    <row r="1955">
      <c r="A1955">
        <f>Sources!A1955</f>
        <v/>
      </c>
      <c r="B1955">
        <f>Sources!B1955</f>
        <v/>
      </c>
      <c r="C1955">
        <f>Sources!D1955</f>
        <v/>
      </c>
      <c r="D1955">
        <f>Sources!E1955</f>
        <v/>
      </c>
      <c r="E1955">
        <f>Sources!F1955</f>
        <v/>
      </c>
      <c r="F1955">
        <f>Sources!H1955</f>
        <v/>
      </c>
      <c r="G1955">
        <f>IF(ABS(F1955-ROUND(F1955,0))&lt;0.001,1,0)</f>
        <v/>
      </c>
      <c r="H1955">
        <f>IF(G1955=1,F1955,CEILING(F1955,1))</f>
        <v/>
      </c>
      <c r="I1955">
        <f>IF(G1955=1,0,(H1955-F1955)*E1955)</f>
        <v/>
      </c>
      <c r="J1955">
        <f>E1955*F1955</f>
        <v/>
      </c>
    </row>
    <row r="1956">
      <c r="A1956">
        <f>Sources!A1956</f>
        <v/>
      </c>
      <c r="B1956">
        <f>Sources!B1956</f>
        <v/>
      </c>
      <c r="C1956">
        <f>Sources!D1956</f>
        <v/>
      </c>
      <c r="D1956">
        <f>Sources!E1956</f>
        <v/>
      </c>
      <c r="E1956">
        <f>Sources!F1956</f>
        <v/>
      </c>
      <c r="F1956">
        <f>Sources!H1956</f>
        <v/>
      </c>
      <c r="G1956">
        <f>IF(ABS(F1956-ROUND(F1956,0))&lt;0.001,1,0)</f>
        <v/>
      </c>
      <c r="H1956">
        <f>IF(G1956=1,F1956,CEILING(F1956,1))</f>
        <v/>
      </c>
      <c r="I1956">
        <f>IF(G1956=1,0,(H1956-F1956)*E1956)</f>
        <v/>
      </c>
      <c r="J1956">
        <f>E1956*F1956</f>
        <v/>
      </c>
    </row>
    <row r="1957">
      <c r="A1957">
        <f>Sources!A1957</f>
        <v/>
      </c>
      <c r="B1957">
        <f>Sources!B1957</f>
        <v/>
      </c>
      <c r="C1957">
        <f>Sources!D1957</f>
        <v/>
      </c>
      <c r="D1957">
        <f>Sources!E1957</f>
        <v/>
      </c>
      <c r="E1957">
        <f>Sources!F1957</f>
        <v/>
      </c>
      <c r="F1957">
        <f>Sources!H1957</f>
        <v/>
      </c>
      <c r="G1957">
        <f>IF(ABS(F1957-ROUND(F1957,0))&lt;0.001,1,0)</f>
        <v/>
      </c>
      <c r="H1957">
        <f>IF(G1957=1,F1957,CEILING(F1957,1))</f>
        <v/>
      </c>
      <c r="I1957">
        <f>IF(G1957=1,0,(H1957-F1957)*E1957)</f>
        <v/>
      </c>
      <c r="J1957">
        <f>E1957*F1957</f>
        <v/>
      </c>
    </row>
    <row r="1958">
      <c r="A1958">
        <f>Sources!A1958</f>
        <v/>
      </c>
      <c r="B1958">
        <f>Sources!B1958</f>
        <v/>
      </c>
      <c r="C1958">
        <f>Sources!D1958</f>
        <v/>
      </c>
      <c r="D1958">
        <f>Sources!E1958</f>
        <v/>
      </c>
      <c r="E1958">
        <f>Sources!F1958</f>
        <v/>
      </c>
      <c r="F1958">
        <f>Sources!H1958</f>
        <v/>
      </c>
      <c r="G1958">
        <f>IF(ABS(F1958-ROUND(F1958,0))&lt;0.001,1,0)</f>
        <v/>
      </c>
      <c r="H1958">
        <f>IF(G1958=1,F1958,CEILING(F1958,1))</f>
        <v/>
      </c>
      <c r="I1958">
        <f>IF(G1958=1,0,(H1958-F1958)*E1958)</f>
        <v/>
      </c>
      <c r="J1958">
        <f>E1958*F1958</f>
        <v/>
      </c>
    </row>
    <row r="1959">
      <c r="A1959">
        <f>Sources!A1959</f>
        <v/>
      </c>
      <c r="B1959">
        <f>Sources!B1959</f>
        <v/>
      </c>
      <c r="C1959">
        <f>Sources!D1959</f>
        <v/>
      </c>
      <c r="D1959">
        <f>Sources!E1959</f>
        <v/>
      </c>
      <c r="E1959">
        <f>Sources!F1959</f>
        <v/>
      </c>
      <c r="F1959">
        <f>Sources!H1959</f>
        <v/>
      </c>
      <c r="G1959">
        <f>IF(ABS(F1959-ROUND(F1959,0))&lt;0.001,1,0)</f>
        <v/>
      </c>
      <c r="H1959">
        <f>IF(G1959=1,F1959,CEILING(F1959,1))</f>
        <v/>
      </c>
      <c r="I1959">
        <f>IF(G1959=1,0,(H1959-F1959)*E1959)</f>
        <v/>
      </c>
      <c r="J1959">
        <f>E1959*F1959</f>
        <v/>
      </c>
    </row>
    <row r="1960">
      <c r="A1960">
        <f>Sources!A1960</f>
        <v/>
      </c>
      <c r="B1960">
        <f>Sources!B1960</f>
        <v/>
      </c>
      <c r="C1960">
        <f>Sources!D1960</f>
        <v/>
      </c>
      <c r="D1960">
        <f>Sources!E1960</f>
        <v/>
      </c>
      <c r="E1960">
        <f>Sources!F1960</f>
        <v/>
      </c>
      <c r="F1960">
        <f>Sources!H1960</f>
        <v/>
      </c>
      <c r="G1960">
        <f>IF(ABS(F1960-ROUND(F1960,0))&lt;0.001,1,0)</f>
        <v/>
      </c>
      <c r="H1960">
        <f>IF(G1960=1,F1960,CEILING(F1960,1))</f>
        <v/>
      </c>
      <c r="I1960">
        <f>IF(G1960=1,0,(H1960-F1960)*E1960)</f>
        <v/>
      </c>
      <c r="J1960">
        <f>E1960*F1960</f>
        <v/>
      </c>
    </row>
    <row r="1961">
      <c r="A1961">
        <f>Sources!A1961</f>
        <v/>
      </c>
      <c r="B1961">
        <f>Sources!B1961</f>
        <v/>
      </c>
      <c r="C1961">
        <f>Sources!D1961</f>
        <v/>
      </c>
      <c r="D1961">
        <f>Sources!E1961</f>
        <v/>
      </c>
      <c r="E1961">
        <f>Sources!F1961</f>
        <v/>
      </c>
      <c r="F1961">
        <f>Sources!H1961</f>
        <v/>
      </c>
      <c r="G1961">
        <f>IF(ABS(F1961-ROUND(F1961,0))&lt;0.001,1,0)</f>
        <v/>
      </c>
      <c r="H1961">
        <f>IF(G1961=1,F1961,CEILING(F1961,1))</f>
        <v/>
      </c>
      <c r="I1961">
        <f>IF(G1961=1,0,(H1961-F1961)*E1961)</f>
        <v/>
      </c>
      <c r="J1961">
        <f>E1961*F1961</f>
        <v/>
      </c>
    </row>
    <row r="1962">
      <c r="A1962">
        <f>Sources!A1962</f>
        <v/>
      </c>
      <c r="B1962">
        <f>Sources!B1962</f>
        <v/>
      </c>
      <c r="C1962">
        <f>Sources!D1962</f>
        <v/>
      </c>
      <c r="D1962">
        <f>Sources!E1962</f>
        <v/>
      </c>
      <c r="E1962">
        <f>Sources!F1962</f>
        <v/>
      </c>
      <c r="F1962">
        <f>Sources!H1962</f>
        <v/>
      </c>
      <c r="G1962">
        <f>IF(ABS(F1962-ROUND(F1962,0))&lt;0.001,1,0)</f>
        <v/>
      </c>
      <c r="H1962">
        <f>IF(G1962=1,F1962,CEILING(F1962,1))</f>
        <v/>
      </c>
      <c r="I1962">
        <f>IF(G1962=1,0,(H1962-F1962)*E1962)</f>
        <v/>
      </c>
      <c r="J1962">
        <f>E1962*F1962</f>
        <v/>
      </c>
    </row>
    <row r="1963">
      <c r="A1963">
        <f>Sources!A1963</f>
        <v/>
      </c>
      <c r="B1963">
        <f>Sources!B1963</f>
        <v/>
      </c>
      <c r="C1963">
        <f>Sources!D1963</f>
        <v/>
      </c>
      <c r="D1963">
        <f>Sources!E1963</f>
        <v/>
      </c>
      <c r="E1963">
        <f>Sources!F1963</f>
        <v/>
      </c>
      <c r="F1963">
        <f>Sources!H1963</f>
        <v/>
      </c>
      <c r="G1963">
        <f>IF(ABS(F1963-ROUND(F1963,0))&lt;0.001,1,0)</f>
        <v/>
      </c>
      <c r="H1963">
        <f>IF(G1963=1,F1963,CEILING(F1963,1))</f>
        <v/>
      </c>
      <c r="I1963">
        <f>IF(G1963=1,0,(H1963-F1963)*E1963)</f>
        <v/>
      </c>
      <c r="J1963">
        <f>E1963*F1963</f>
        <v/>
      </c>
    </row>
    <row r="1964">
      <c r="A1964">
        <f>Sources!A1964</f>
        <v/>
      </c>
      <c r="B1964">
        <f>Sources!B1964</f>
        <v/>
      </c>
      <c r="C1964">
        <f>Sources!D1964</f>
        <v/>
      </c>
      <c r="D1964">
        <f>Sources!E1964</f>
        <v/>
      </c>
      <c r="E1964">
        <f>Sources!F1964</f>
        <v/>
      </c>
      <c r="F1964">
        <f>Sources!H1964</f>
        <v/>
      </c>
      <c r="G1964">
        <f>IF(ABS(F1964-ROUND(F1964,0))&lt;0.001,1,0)</f>
        <v/>
      </c>
      <c r="H1964">
        <f>IF(G1964=1,F1964,CEILING(F1964,1))</f>
        <v/>
      </c>
      <c r="I1964">
        <f>IF(G1964=1,0,(H1964-F1964)*E1964)</f>
        <v/>
      </c>
      <c r="J1964">
        <f>E1964*F1964</f>
        <v/>
      </c>
    </row>
    <row r="1965">
      <c r="A1965">
        <f>Sources!A1965</f>
        <v/>
      </c>
      <c r="B1965">
        <f>Sources!B1965</f>
        <v/>
      </c>
      <c r="C1965">
        <f>Sources!D1965</f>
        <v/>
      </c>
      <c r="D1965">
        <f>Sources!E1965</f>
        <v/>
      </c>
      <c r="E1965">
        <f>Sources!F1965</f>
        <v/>
      </c>
      <c r="F1965">
        <f>Sources!H1965</f>
        <v/>
      </c>
      <c r="G1965">
        <f>IF(ABS(F1965-ROUND(F1965,0))&lt;0.001,1,0)</f>
        <v/>
      </c>
      <c r="H1965">
        <f>IF(G1965=1,F1965,CEILING(F1965,1))</f>
        <v/>
      </c>
      <c r="I1965">
        <f>IF(G1965=1,0,(H1965-F1965)*E1965)</f>
        <v/>
      </c>
      <c r="J1965">
        <f>E1965*F1965</f>
        <v/>
      </c>
    </row>
    <row r="1966">
      <c r="A1966">
        <f>Sources!A1966</f>
        <v/>
      </c>
      <c r="B1966">
        <f>Sources!B1966</f>
        <v/>
      </c>
      <c r="C1966">
        <f>Sources!D1966</f>
        <v/>
      </c>
      <c r="D1966">
        <f>Sources!E1966</f>
        <v/>
      </c>
      <c r="E1966">
        <f>Sources!F1966</f>
        <v/>
      </c>
      <c r="F1966">
        <f>Sources!H1966</f>
        <v/>
      </c>
      <c r="G1966">
        <f>IF(ABS(F1966-ROUND(F1966,0))&lt;0.001,1,0)</f>
        <v/>
      </c>
      <c r="H1966">
        <f>IF(G1966=1,F1966,CEILING(F1966,1))</f>
        <v/>
      </c>
      <c r="I1966">
        <f>IF(G1966=1,0,(H1966-F1966)*E1966)</f>
        <v/>
      </c>
      <c r="J1966">
        <f>E1966*F1966</f>
        <v/>
      </c>
    </row>
    <row r="1967">
      <c r="A1967">
        <f>Sources!A1967</f>
        <v/>
      </c>
      <c r="B1967">
        <f>Sources!B1967</f>
        <v/>
      </c>
      <c r="C1967">
        <f>Sources!D1967</f>
        <v/>
      </c>
      <c r="D1967">
        <f>Sources!E1967</f>
        <v/>
      </c>
      <c r="E1967">
        <f>Sources!F1967</f>
        <v/>
      </c>
      <c r="F1967">
        <f>Sources!H1967</f>
        <v/>
      </c>
      <c r="G1967">
        <f>IF(ABS(F1967-ROUND(F1967,0))&lt;0.001,1,0)</f>
        <v/>
      </c>
      <c r="H1967">
        <f>IF(G1967=1,F1967,CEILING(F1967,1))</f>
        <v/>
      </c>
      <c r="I1967">
        <f>IF(G1967=1,0,(H1967-F1967)*E1967)</f>
        <v/>
      </c>
      <c r="J1967">
        <f>E1967*F1967</f>
        <v/>
      </c>
    </row>
    <row r="1968">
      <c r="A1968">
        <f>Sources!A1968</f>
        <v/>
      </c>
      <c r="B1968">
        <f>Sources!B1968</f>
        <v/>
      </c>
      <c r="C1968">
        <f>Sources!D1968</f>
        <v/>
      </c>
      <c r="D1968">
        <f>Sources!E1968</f>
        <v/>
      </c>
      <c r="E1968">
        <f>Sources!F1968</f>
        <v/>
      </c>
      <c r="F1968">
        <f>Sources!H1968</f>
        <v/>
      </c>
      <c r="G1968">
        <f>IF(ABS(F1968-ROUND(F1968,0))&lt;0.001,1,0)</f>
        <v/>
      </c>
      <c r="H1968">
        <f>IF(G1968=1,F1968,CEILING(F1968,1))</f>
        <v/>
      </c>
      <c r="I1968">
        <f>IF(G1968=1,0,(H1968-F1968)*E1968)</f>
        <v/>
      </c>
      <c r="J1968">
        <f>E1968*F1968</f>
        <v/>
      </c>
    </row>
    <row r="1969">
      <c r="A1969">
        <f>Sources!A1969</f>
        <v/>
      </c>
      <c r="B1969">
        <f>Sources!B1969</f>
        <v/>
      </c>
      <c r="C1969">
        <f>Sources!D1969</f>
        <v/>
      </c>
      <c r="D1969">
        <f>Sources!E1969</f>
        <v/>
      </c>
      <c r="E1969">
        <f>Sources!F1969</f>
        <v/>
      </c>
      <c r="F1969">
        <f>Sources!H1969</f>
        <v/>
      </c>
      <c r="G1969">
        <f>IF(ABS(F1969-ROUND(F1969,0))&lt;0.001,1,0)</f>
        <v/>
      </c>
      <c r="H1969">
        <f>IF(G1969=1,F1969,CEILING(F1969,1))</f>
        <v/>
      </c>
      <c r="I1969">
        <f>IF(G1969=1,0,(H1969-F1969)*E1969)</f>
        <v/>
      </c>
      <c r="J1969">
        <f>E1969*F1969</f>
        <v/>
      </c>
    </row>
    <row r="1970">
      <c r="A1970">
        <f>Sources!A1970</f>
        <v/>
      </c>
      <c r="B1970">
        <f>Sources!B1970</f>
        <v/>
      </c>
      <c r="C1970">
        <f>Sources!D1970</f>
        <v/>
      </c>
      <c r="D1970">
        <f>Sources!E1970</f>
        <v/>
      </c>
      <c r="E1970">
        <f>Sources!F1970</f>
        <v/>
      </c>
      <c r="F1970">
        <f>Sources!H1970</f>
        <v/>
      </c>
      <c r="G1970">
        <f>IF(ABS(F1970-ROUND(F1970,0))&lt;0.001,1,0)</f>
        <v/>
      </c>
      <c r="H1970">
        <f>IF(G1970=1,F1970,CEILING(F1970,1))</f>
        <v/>
      </c>
      <c r="I1970">
        <f>IF(G1970=1,0,(H1970-F1970)*E1970)</f>
        <v/>
      </c>
      <c r="J1970">
        <f>E1970*F1970</f>
        <v/>
      </c>
    </row>
    <row r="1971">
      <c r="A1971">
        <f>Sources!A1971</f>
        <v/>
      </c>
      <c r="B1971">
        <f>Sources!B1971</f>
        <v/>
      </c>
      <c r="C1971">
        <f>Sources!D1971</f>
        <v/>
      </c>
      <c r="D1971">
        <f>Sources!E1971</f>
        <v/>
      </c>
      <c r="E1971">
        <f>Sources!F1971</f>
        <v/>
      </c>
      <c r="F1971">
        <f>Sources!H1971</f>
        <v/>
      </c>
      <c r="G1971">
        <f>IF(ABS(F1971-ROUND(F1971,0))&lt;0.001,1,0)</f>
        <v/>
      </c>
      <c r="H1971">
        <f>IF(G1971=1,F1971,CEILING(F1971,1))</f>
        <v/>
      </c>
      <c r="I1971">
        <f>IF(G1971=1,0,(H1971-F1971)*E1971)</f>
        <v/>
      </c>
      <c r="J1971">
        <f>E1971*F1971</f>
        <v/>
      </c>
    </row>
    <row r="1972">
      <c r="A1972">
        <f>Sources!A1972</f>
        <v/>
      </c>
      <c r="B1972">
        <f>Sources!B1972</f>
        <v/>
      </c>
      <c r="C1972">
        <f>Sources!D1972</f>
        <v/>
      </c>
      <c r="D1972">
        <f>Sources!E1972</f>
        <v/>
      </c>
      <c r="E1972">
        <f>Sources!F1972</f>
        <v/>
      </c>
      <c r="F1972">
        <f>Sources!H1972</f>
        <v/>
      </c>
      <c r="G1972">
        <f>IF(ABS(F1972-ROUND(F1972,0))&lt;0.001,1,0)</f>
        <v/>
      </c>
      <c r="H1972">
        <f>IF(G1972=1,F1972,CEILING(F1972,1))</f>
        <v/>
      </c>
      <c r="I1972">
        <f>IF(G1972=1,0,(H1972-F1972)*E1972)</f>
        <v/>
      </c>
      <c r="J1972">
        <f>E1972*F1972</f>
        <v/>
      </c>
    </row>
    <row r="1973">
      <c r="A1973">
        <f>Sources!A1973</f>
        <v/>
      </c>
      <c r="B1973">
        <f>Sources!B1973</f>
        <v/>
      </c>
      <c r="C1973">
        <f>Sources!D1973</f>
        <v/>
      </c>
      <c r="D1973">
        <f>Sources!E1973</f>
        <v/>
      </c>
      <c r="E1973">
        <f>Sources!F1973</f>
        <v/>
      </c>
      <c r="F1973">
        <f>Sources!H1973</f>
        <v/>
      </c>
      <c r="G1973">
        <f>IF(ABS(F1973-ROUND(F1973,0))&lt;0.001,1,0)</f>
        <v/>
      </c>
      <c r="H1973">
        <f>IF(G1973=1,F1973,CEILING(F1973,1))</f>
        <v/>
      </c>
      <c r="I1973">
        <f>IF(G1973=1,0,(H1973-F1973)*E1973)</f>
        <v/>
      </c>
      <c r="J1973">
        <f>E1973*F1973</f>
        <v/>
      </c>
    </row>
    <row r="1974">
      <c r="A1974">
        <f>Sources!A1974</f>
        <v/>
      </c>
      <c r="B1974">
        <f>Sources!B1974</f>
        <v/>
      </c>
      <c r="C1974">
        <f>Sources!D1974</f>
        <v/>
      </c>
      <c r="D1974">
        <f>Sources!E1974</f>
        <v/>
      </c>
      <c r="E1974">
        <f>Sources!F1974</f>
        <v/>
      </c>
      <c r="F1974">
        <f>Sources!H1974</f>
        <v/>
      </c>
      <c r="G1974">
        <f>IF(ABS(F1974-ROUND(F1974,0))&lt;0.001,1,0)</f>
        <v/>
      </c>
      <c r="H1974">
        <f>IF(G1974=1,F1974,CEILING(F1974,1))</f>
        <v/>
      </c>
      <c r="I1974">
        <f>IF(G1974=1,0,(H1974-F1974)*E1974)</f>
        <v/>
      </c>
      <c r="J1974">
        <f>E1974*F1974</f>
        <v/>
      </c>
    </row>
    <row r="1975">
      <c r="A1975">
        <f>Sources!A1975</f>
        <v/>
      </c>
      <c r="B1975">
        <f>Sources!B1975</f>
        <v/>
      </c>
      <c r="C1975">
        <f>Sources!D1975</f>
        <v/>
      </c>
      <c r="D1975">
        <f>Sources!E1975</f>
        <v/>
      </c>
      <c r="E1975">
        <f>Sources!F1975</f>
        <v/>
      </c>
      <c r="F1975">
        <f>Sources!H1975</f>
        <v/>
      </c>
      <c r="G1975">
        <f>IF(ABS(F1975-ROUND(F1975,0))&lt;0.001,1,0)</f>
        <v/>
      </c>
      <c r="H1975">
        <f>IF(G1975=1,F1975,CEILING(F1975,1))</f>
        <v/>
      </c>
      <c r="I1975">
        <f>IF(G1975=1,0,(H1975-F1975)*E1975)</f>
        <v/>
      </c>
      <c r="J1975">
        <f>E1975*F1975</f>
        <v/>
      </c>
    </row>
    <row r="1976">
      <c r="A1976">
        <f>Sources!A1976</f>
        <v/>
      </c>
      <c r="B1976">
        <f>Sources!B1976</f>
        <v/>
      </c>
      <c r="C1976">
        <f>Sources!D1976</f>
        <v/>
      </c>
      <c r="D1976">
        <f>Sources!E1976</f>
        <v/>
      </c>
      <c r="E1976">
        <f>Sources!F1976</f>
        <v/>
      </c>
      <c r="F1976">
        <f>Sources!H1976</f>
        <v/>
      </c>
      <c r="G1976">
        <f>IF(ABS(F1976-ROUND(F1976,0))&lt;0.001,1,0)</f>
        <v/>
      </c>
      <c r="H1976">
        <f>IF(G1976=1,F1976,CEILING(F1976,1))</f>
        <v/>
      </c>
      <c r="I1976">
        <f>IF(G1976=1,0,(H1976-F1976)*E1976)</f>
        <v/>
      </c>
      <c r="J1976">
        <f>E1976*F1976</f>
        <v/>
      </c>
    </row>
    <row r="1977">
      <c r="A1977">
        <f>Sources!A1977</f>
        <v/>
      </c>
      <c r="B1977">
        <f>Sources!B1977</f>
        <v/>
      </c>
      <c r="C1977">
        <f>Sources!D1977</f>
        <v/>
      </c>
      <c r="D1977">
        <f>Sources!E1977</f>
        <v/>
      </c>
      <c r="E1977">
        <f>Sources!F1977</f>
        <v/>
      </c>
      <c r="F1977">
        <f>Sources!H1977</f>
        <v/>
      </c>
      <c r="G1977">
        <f>IF(ABS(F1977-ROUND(F1977,0))&lt;0.001,1,0)</f>
        <v/>
      </c>
      <c r="H1977">
        <f>IF(G1977=1,F1977,CEILING(F1977,1))</f>
        <v/>
      </c>
      <c r="I1977">
        <f>IF(G1977=1,0,(H1977-F1977)*E1977)</f>
        <v/>
      </c>
      <c r="J1977">
        <f>E1977*F1977</f>
        <v/>
      </c>
    </row>
    <row r="1978">
      <c r="A1978">
        <f>Sources!A1978</f>
        <v/>
      </c>
      <c r="B1978">
        <f>Sources!B1978</f>
        <v/>
      </c>
      <c r="C1978">
        <f>Sources!D1978</f>
        <v/>
      </c>
      <c r="D1978">
        <f>Sources!E1978</f>
        <v/>
      </c>
      <c r="E1978">
        <f>Sources!F1978</f>
        <v/>
      </c>
      <c r="F1978">
        <f>Sources!H1978</f>
        <v/>
      </c>
      <c r="G1978">
        <f>IF(ABS(F1978-ROUND(F1978,0))&lt;0.001,1,0)</f>
        <v/>
      </c>
      <c r="H1978">
        <f>IF(G1978=1,F1978,CEILING(F1978,1))</f>
        <v/>
      </c>
      <c r="I1978">
        <f>IF(G1978=1,0,(H1978-F1978)*E1978)</f>
        <v/>
      </c>
      <c r="J1978">
        <f>E1978*F1978</f>
        <v/>
      </c>
    </row>
    <row r="1979">
      <c r="A1979">
        <f>Sources!A1979</f>
        <v/>
      </c>
      <c r="B1979">
        <f>Sources!B1979</f>
        <v/>
      </c>
      <c r="C1979">
        <f>Sources!D1979</f>
        <v/>
      </c>
      <c r="D1979">
        <f>Sources!E1979</f>
        <v/>
      </c>
      <c r="E1979">
        <f>Sources!F1979</f>
        <v/>
      </c>
      <c r="F1979">
        <f>Sources!H1979</f>
        <v/>
      </c>
      <c r="G1979">
        <f>IF(ABS(F1979-ROUND(F1979,0))&lt;0.001,1,0)</f>
        <v/>
      </c>
      <c r="H1979">
        <f>IF(G1979=1,F1979,CEILING(F1979,1))</f>
        <v/>
      </c>
      <c r="I1979">
        <f>IF(G1979=1,0,(H1979-F1979)*E1979)</f>
        <v/>
      </c>
      <c r="J1979">
        <f>E1979*F1979</f>
        <v/>
      </c>
    </row>
    <row r="1980">
      <c r="A1980">
        <f>Sources!A1980</f>
        <v/>
      </c>
      <c r="B1980">
        <f>Sources!B1980</f>
        <v/>
      </c>
      <c r="C1980">
        <f>Sources!D1980</f>
        <v/>
      </c>
      <c r="D1980">
        <f>Sources!E1980</f>
        <v/>
      </c>
      <c r="E1980">
        <f>Sources!F1980</f>
        <v/>
      </c>
      <c r="F1980">
        <f>Sources!H1980</f>
        <v/>
      </c>
      <c r="G1980">
        <f>IF(ABS(F1980-ROUND(F1980,0))&lt;0.001,1,0)</f>
        <v/>
      </c>
      <c r="H1980">
        <f>IF(G1980=1,F1980,CEILING(F1980,1))</f>
        <v/>
      </c>
      <c r="I1980">
        <f>IF(G1980=1,0,(H1980-F1980)*E1980)</f>
        <v/>
      </c>
      <c r="J1980">
        <f>E1980*F1980</f>
        <v/>
      </c>
    </row>
    <row r="1981">
      <c r="A1981">
        <f>Sources!A1981</f>
        <v/>
      </c>
      <c r="B1981">
        <f>Sources!B1981</f>
        <v/>
      </c>
      <c r="C1981">
        <f>Sources!D1981</f>
        <v/>
      </c>
      <c r="D1981">
        <f>Sources!E1981</f>
        <v/>
      </c>
      <c r="E1981">
        <f>Sources!F1981</f>
        <v/>
      </c>
      <c r="F1981">
        <f>Sources!H1981</f>
        <v/>
      </c>
      <c r="G1981">
        <f>IF(ABS(F1981-ROUND(F1981,0))&lt;0.001,1,0)</f>
        <v/>
      </c>
      <c r="H1981">
        <f>IF(G1981=1,F1981,CEILING(F1981,1))</f>
        <v/>
      </c>
      <c r="I1981">
        <f>IF(G1981=1,0,(H1981-F1981)*E1981)</f>
        <v/>
      </c>
      <c r="J1981">
        <f>E1981*F1981</f>
        <v/>
      </c>
    </row>
    <row r="1982">
      <c r="A1982">
        <f>Sources!A1982</f>
        <v/>
      </c>
      <c r="B1982">
        <f>Sources!B1982</f>
        <v/>
      </c>
      <c r="C1982">
        <f>Sources!D1982</f>
        <v/>
      </c>
      <c r="D1982">
        <f>Sources!E1982</f>
        <v/>
      </c>
      <c r="E1982">
        <f>Sources!F1982</f>
        <v/>
      </c>
      <c r="F1982">
        <f>Sources!H1982</f>
        <v/>
      </c>
      <c r="G1982">
        <f>IF(ABS(F1982-ROUND(F1982,0))&lt;0.001,1,0)</f>
        <v/>
      </c>
      <c r="H1982">
        <f>IF(G1982=1,F1982,CEILING(F1982,1))</f>
        <v/>
      </c>
      <c r="I1982">
        <f>IF(G1982=1,0,(H1982-F1982)*E1982)</f>
        <v/>
      </c>
      <c r="J1982">
        <f>E1982*F1982</f>
        <v/>
      </c>
    </row>
    <row r="1983">
      <c r="A1983">
        <f>Sources!A1983</f>
        <v/>
      </c>
      <c r="B1983">
        <f>Sources!B1983</f>
        <v/>
      </c>
      <c r="C1983">
        <f>Sources!D1983</f>
        <v/>
      </c>
      <c r="D1983">
        <f>Sources!E1983</f>
        <v/>
      </c>
      <c r="E1983">
        <f>Sources!F1983</f>
        <v/>
      </c>
      <c r="F1983">
        <f>Sources!H1983</f>
        <v/>
      </c>
      <c r="G1983">
        <f>IF(ABS(F1983-ROUND(F1983,0))&lt;0.001,1,0)</f>
        <v/>
      </c>
      <c r="H1983">
        <f>IF(G1983=1,F1983,CEILING(F1983,1))</f>
        <v/>
      </c>
      <c r="I1983">
        <f>IF(G1983=1,0,(H1983-F1983)*E1983)</f>
        <v/>
      </c>
      <c r="J1983">
        <f>E1983*F1983</f>
        <v/>
      </c>
    </row>
    <row r="1984">
      <c r="A1984">
        <f>Sources!A1984</f>
        <v/>
      </c>
      <c r="B1984">
        <f>Sources!B1984</f>
        <v/>
      </c>
      <c r="C1984">
        <f>Sources!D1984</f>
        <v/>
      </c>
      <c r="D1984">
        <f>Sources!E1984</f>
        <v/>
      </c>
      <c r="E1984">
        <f>Sources!F1984</f>
        <v/>
      </c>
      <c r="F1984">
        <f>Sources!H1984</f>
        <v/>
      </c>
      <c r="G1984">
        <f>IF(ABS(F1984-ROUND(F1984,0))&lt;0.001,1,0)</f>
        <v/>
      </c>
      <c r="H1984">
        <f>IF(G1984=1,F1984,CEILING(F1984,1))</f>
        <v/>
      </c>
      <c r="I1984">
        <f>IF(G1984=1,0,(H1984-F1984)*E1984)</f>
        <v/>
      </c>
      <c r="J1984">
        <f>E1984*F1984</f>
        <v/>
      </c>
    </row>
    <row r="1985">
      <c r="A1985">
        <f>Sources!A1985</f>
        <v/>
      </c>
      <c r="B1985">
        <f>Sources!B1985</f>
        <v/>
      </c>
      <c r="C1985">
        <f>Sources!D1985</f>
        <v/>
      </c>
      <c r="D1985">
        <f>Sources!E1985</f>
        <v/>
      </c>
      <c r="E1985">
        <f>Sources!F1985</f>
        <v/>
      </c>
      <c r="F1985">
        <f>Sources!H1985</f>
        <v/>
      </c>
      <c r="G1985">
        <f>IF(ABS(F1985-ROUND(F1985,0))&lt;0.001,1,0)</f>
        <v/>
      </c>
      <c r="H1985">
        <f>IF(G1985=1,F1985,CEILING(F1985,1))</f>
        <v/>
      </c>
      <c r="I1985">
        <f>IF(G1985=1,0,(H1985-F1985)*E1985)</f>
        <v/>
      </c>
      <c r="J1985">
        <f>E1985*F1985</f>
        <v/>
      </c>
    </row>
    <row r="1986">
      <c r="A1986">
        <f>Sources!A1986</f>
        <v/>
      </c>
      <c r="B1986">
        <f>Sources!B1986</f>
        <v/>
      </c>
      <c r="C1986">
        <f>Sources!D1986</f>
        <v/>
      </c>
      <c r="D1986">
        <f>Sources!E1986</f>
        <v/>
      </c>
      <c r="E1986">
        <f>Sources!F1986</f>
        <v/>
      </c>
      <c r="F1986">
        <f>Sources!H1986</f>
        <v/>
      </c>
      <c r="G1986">
        <f>IF(ABS(F1986-ROUND(F1986,0))&lt;0.001,1,0)</f>
        <v/>
      </c>
      <c r="H1986">
        <f>IF(G1986=1,F1986,CEILING(F1986,1))</f>
        <v/>
      </c>
      <c r="I1986">
        <f>IF(G1986=1,0,(H1986-F1986)*E1986)</f>
        <v/>
      </c>
      <c r="J1986">
        <f>E1986*F1986</f>
        <v/>
      </c>
    </row>
    <row r="1987">
      <c r="A1987">
        <f>Sources!A1987</f>
        <v/>
      </c>
      <c r="B1987">
        <f>Sources!B1987</f>
        <v/>
      </c>
      <c r="C1987">
        <f>Sources!D1987</f>
        <v/>
      </c>
      <c r="D1987">
        <f>Sources!E1987</f>
        <v/>
      </c>
      <c r="E1987">
        <f>Sources!F1987</f>
        <v/>
      </c>
      <c r="F1987">
        <f>Sources!H1987</f>
        <v/>
      </c>
      <c r="G1987">
        <f>IF(ABS(F1987-ROUND(F1987,0))&lt;0.001,1,0)</f>
        <v/>
      </c>
      <c r="H1987">
        <f>IF(G1987=1,F1987,CEILING(F1987,1))</f>
        <v/>
      </c>
      <c r="I1987">
        <f>IF(G1987=1,0,(H1987-F1987)*E1987)</f>
        <v/>
      </c>
      <c r="J1987">
        <f>E1987*F1987</f>
        <v/>
      </c>
    </row>
    <row r="1988">
      <c r="A1988">
        <f>Sources!A1988</f>
        <v/>
      </c>
      <c r="B1988">
        <f>Sources!B1988</f>
        <v/>
      </c>
      <c r="C1988">
        <f>Sources!D1988</f>
        <v/>
      </c>
      <c r="D1988">
        <f>Sources!E1988</f>
        <v/>
      </c>
      <c r="E1988">
        <f>Sources!F1988</f>
        <v/>
      </c>
      <c r="F1988">
        <f>Sources!H1988</f>
        <v/>
      </c>
      <c r="G1988">
        <f>IF(ABS(F1988-ROUND(F1988,0))&lt;0.001,1,0)</f>
        <v/>
      </c>
      <c r="H1988">
        <f>IF(G1988=1,F1988,CEILING(F1988,1))</f>
        <v/>
      </c>
      <c r="I1988">
        <f>IF(G1988=1,0,(H1988-F1988)*E1988)</f>
        <v/>
      </c>
      <c r="J1988">
        <f>E1988*F1988</f>
        <v/>
      </c>
    </row>
    <row r="1989">
      <c r="A1989">
        <f>Sources!A1989</f>
        <v/>
      </c>
      <c r="B1989">
        <f>Sources!B1989</f>
        <v/>
      </c>
      <c r="C1989">
        <f>Sources!D1989</f>
        <v/>
      </c>
      <c r="D1989">
        <f>Sources!E1989</f>
        <v/>
      </c>
      <c r="E1989">
        <f>Sources!F1989</f>
        <v/>
      </c>
      <c r="F1989">
        <f>Sources!H1989</f>
        <v/>
      </c>
      <c r="G1989">
        <f>IF(ABS(F1989-ROUND(F1989,0))&lt;0.001,1,0)</f>
        <v/>
      </c>
      <c r="H1989">
        <f>IF(G1989=1,F1989,CEILING(F1989,1))</f>
        <v/>
      </c>
      <c r="I1989">
        <f>IF(G1989=1,0,(H1989-F1989)*E1989)</f>
        <v/>
      </c>
      <c r="J1989">
        <f>E1989*F1989</f>
        <v/>
      </c>
    </row>
    <row r="1990">
      <c r="A1990">
        <f>Sources!A1990</f>
        <v/>
      </c>
      <c r="B1990">
        <f>Sources!B1990</f>
        <v/>
      </c>
      <c r="C1990">
        <f>Sources!D1990</f>
        <v/>
      </c>
      <c r="D1990">
        <f>Sources!E1990</f>
        <v/>
      </c>
      <c r="E1990">
        <f>Sources!F1990</f>
        <v/>
      </c>
      <c r="F1990">
        <f>Sources!H1990</f>
        <v/>
      </c>
      <c r="G1990">
        <f>IF(ABS(F1990-ROUND(F1990,0))&lt;0.001,1,0)</f>
        <v/>
      </c>
      <c r="H1990">
        <f>IF(G1990=1,F1990,CEILING(F1990,1))</f>
        <v/>
      </c>
      <c r="I1990">
        <f>IF(G1990=1,0,(H1990-F1990)*E1990)</f>
        <v/>
      </c>
      <c r="J1990">
        <f>E1990*F1990</f>
        <v/>
      </c>
    </row>
    <row r="1991">
      <c r="A1991">
        <f>Sources!A1991</f>
        <v/>
      </c>
      <c r="B1991">
        <f>Sources!B1991</f>
        <v/>
      </c>
      <c r="C1991">
        <f>Sources!D1991</f>
        <v/>
      </c>
      <c r="D1991">
        <f>Sources!E1991</f>
        <v/>
      </c>
      <c r="E1991">
        <f>Sources!F1991</f>
        <v/>
      </c>
      <c r="F1991">
        <f>Sources!H1991</f>
        <v/>
      </c>
      <c r="G1991">
        <f>IF(ABS(F1991-ROUND(F1991,0))&lt;0.001,1,0)</f>
        <v/>
      </c>
      <c r="H1991">
        <f>IF(G1991=1,F1991,CEILING(F1991,1))</f>
        <v/>
      </c>
      <c r="I1991">
        <f>IF(G1991=1,0,(H1991-F1991)*E1991)</f>
        <v/>
      </c>
      <c r="J1991">
        <f>E1991*F1991</f>
        <v/>
      </c>
    </row>
    <row r="1992">
      <c r="A1992">
        <f>Sources!A1992</f>
        <v/>
      </c>
      <c r="B1992">
        <f>Sources!B1992</f>
        <v/>
      </c>
      <c r="C1992">
        <f>Sources!D1992</f>
        <v/>
      </c>
      <c r="D1992">
        <f>Sources!E1992</f>
        <v/>
      </c>
      <c r="E1992">
        <f>Sources!F1992</f>
        <v/>
      </c>
      <c r="F1992">
        <f>Sources!H1992</f>
        <v/>
      </c>
      <c r="G1992">
        <f>IF(ABS(F1992-ROUND(F1992,0))&lt;0.001,1,0)</f>
        <v/>
      </c>
      <c r="H1992">
        <f>IF(G1992=1,F1992,CEILING(F1992,1))</f>
        <v/>
      </c>
      <c r="I1992">
        <f>IF(G1992=1,0,(H1992-F1992)*E1992)</f>
        <v/>
      </c>
      <c r="J1992">
        <f>E1992*F1992</f>
        <v/>
      </c>
    </row>
    <row r="1993">
      <c r="A1993">
        <f>Sources!A1993</f>
        <v/>
      </c>
      <c r="B1993">
        <f>Sources!B1993</f>
        <v/>
      </c>
      <c r="C1993">
        <f>Sources!D1993</f>
        <v/>
      </c>
      <c r="D1993">
        <f>Sources!E1993</f>
        <v/>
      </c>
      <c r="E1993">
        <f>Sources!F1993</f>
        <v/>
      </c>
      <c r="F1993">
        <f>Sources!H1993</f>
        <v/>
      </c>
      <c r="G1993">
        <f>IF(ABS(F1993-ROUND(F1993,0))&lt;0.001,1,0)</f>
        <v/>
      </c>
      <c r="H1993">
        <f>IF(G1993=1,F1993,CEILING(F1993,1))</f>
        <v/>
      </c>
      <c r="I1993">
        <f>IF(G1993=1,0,(H1993-F1993)*E1993)</f>
        <v/>
      </c>
      <c r="J1993">
        <f>E1993*F1993</f>
        <v/>
      </c>
    </row>
    <row r="1994">
      <c r="A1994">
        <f>Sources!A1994</f>
        <v/>
      </c>
      <c r="B1994">
        <f>Sources!B1994</f>
        <v/>
      </c>
      <c r="C1994">
        <f>Sources!D1994</f>
        <v/>
      </c>
      <c r="D1994">
        <f>Sources!E1994</f>
        <v/>
      </c>
      <c r="E1994">
        <f>Sources!F1994</f>
        <v/>
      </c>
      <c r="F1994">
        <f>Sources!H1994</f>
        <v/>
      </c>
      <c r="G1994">
        <f>IF(ABS(F1994-ROUND(F1994,0))&lt;0.001,1,0)</f>
        <v/>
      </c>
      <c r="H1994">
        <f>IF(G1994=1,F1994,CEILING(F1994,1))</f>
        <v/>
      </c>
      <c r="I1994">
        <f>IF(G1994=1,0,(H1994-F1994)*E1994)</f>
        <v/>
      </c>
      <c r="J1994">
        <f>E1994*F1994</f>
        <v/>
      </c>
    </row>
    <row r="1995">
      <c r="A1995">
        <f>Sources!A1995</f>
        <v/>
      </c>
      <c r="B1995">
        <f>Sources!B1995</f>
        <v/>
      </c>
      <c r="C1995">
        <f>Sources!D1995</f>
        <v/>
      </c>
      <c r="D1995">
        <f>Sources!E1995</f>
        <v/>
      </c>
      <c r="E1995">
        <f>Sources!F1995</f>
        <v/>
      </c>
      <c r="F1995">
        <f>Sources!H1995</f>
        <v/>
      </c>
      <c r="G1995">
        <f>IF(ABS(F1995-ROUND(F1995,0))&lt;0.001,1,0)</f>
        <v/>
      </c>
      <c r="H1995">
        <f>IF(G1995=1,F1995,CEILING(F1995,1))</f>
        <v/>
      </c>
      <c r="I1995">
        <f>IF(G1995=1,0,(H1995-F1995)*E1995)</f>
        <v/>
      </c>
      <c r="J1995">
        <f>E1995*F1995</f>
        <v/>
      </c>
    </row>
    <row r="1996">
      <c r="A1996">
        <f>Sources!A1996</f>
        <v/>
      </c>
      <c r="B1996">
        <f>Sources!B1996</f>
        <v/>
      </c>
      <c r="C1996">
        <f>Sources!D1996</f>
        <v/>
      </c>
      <c r="D1996">
        <f>Sources!E1996</f>
        <v/>
      </c>
      <c r="E1996">
        <f>Sources!F1996</f>
        <v/>
      </c>
      <c r="F1996">
        <f>Sources!H1996</f>
        <v/>
      </c>
      <c r="G1996">
        <f>IF(ABS(F1996-ROUND(F1996,0))&lt;0.001,1,0)</f>
        <v/>
      </c>
      <c r="H1996">
        <f>IF(G1996=1,F1996,CEILING(F1996,1))</f>
        <v/>
      </c>
      <c r="I1996">
        <f>IF(G1996=1,0,(H1996-F1996)*E1996)</f>
        <v/>
      </c>
      <c r="J1996">
        <f>E1996*F1996</f>
        <v/>
      </c>
    </row>
    <row r="1997">
      <c r="A1997">
        <f>Sources!A1997</f>
        <v/>
      </c>
      <c r="B1997">
        <f>Sources!B1997</f>
        <v/>
      </c>
      <c r="C1997">
        <f>Sources!D1997</f>
        <v/>
      </c>
      <c r="D1997">
        <f>Sources!E1997</f>
        <v/>
      </c>
      <c r="E1997">
        <f>Sources!F1997</f>
        <v/>
      </c>
      <c r="F1997">
        <f>Sources!H1997</f>
        <v/>
      </c>
      <c r="G1997">
        <f>IF(ABS(F1997-ROUND(F1997,0))&lt;0.001,1,0)</f>
        <v/>
      </c>
      <c r="H1997">
        <f>IF(G1997=1,F1997,CEILING(F1997,1))</f>
        <v/>
      </c>
      <c r="I1997">
        <f>IF(G1997=1,0,(H1997-F1997)*E1997)</f>
        <v/>
      </c>
      <c r="J1997">
        <f>E1997*F1997</f>
        <v/>
      </c>
    </row>
    <row r="1998">
      <c r="A1998">
        <f>Sources!A1998</f>
        <v/>
      </c>
      <c r="B1998">
        <f>Sources!B1998</f>
        <v/>
      </c>
      <c r="C1998">
        <f>Sources!D1998</f>
        <v/>
      </c>
      <c r="D1998">
        <f>Sources!E1998</f>
        <v/>
      </c>
      <c r="E1998">
        <f>Sources!F1998</f>
        <v/>
      </c>
      <c r="F1998">
        <f>Sources!H1998</f>
        <v/>
      </c>
      <c r="G1998">
        <f>IF(ABS(F1998-ROUND(F1998,0))&lt;0.001,1,0)</f>
        <v/>
      </c>
      <c r="H1998">
        <f>IF(G1998=1,F1998,CEILING(F1998,1))</f>
        <v/>
      </c>
      <c r="I1998">
        <f>IF(G1998=1,0,(H1998-F1998)*E1998)</f>
        <v/>
      </c>
      <c r="J1998">
        <f>E1998*F1998</f>
        <v/>
      </c>
    </row>
    <row r="1999">
      <c r="A1999">
        <f>Sources!A1999</f>
        <v/>
      </c>
      <c r="B1999">
        <f>Sources!B1999</f>
        <v/>
      </c>
      <c r="C1999">
        <f>Sources!D1999</f>
        <v/>
      </c>
      <c r="D1999">
        <f>Sources!E1999</f>
        <v/>
      </c>
      <c r="E1999">
        <f>Sources!F1999</f>
        <v/>
      </c>
      <c r="F1999">
        <f>Sources!H1999</f>
        <v/>
      </c>
      <c r="G1999">
        <f>IF(ABS(F1999-ROUND(F1999,0))&lt;0.001,1,0)</f>
        <v/>
      </c>
      <c r="H1999">
        <f>IF(G1999=1,F1999,CEILING(F1999,1))</f>
        <v/>
      </c>
      <c r="I1999">
        <f>IF(G1999=1,0,(H1999-F1999)*E1999)</f>
        <v/>
      </c>
      <c r="J1999">
        <f>E1999*F1999</f>
        <v/>
      </c>
    </row>
    <row r="2000">
      <c r="A2000">
        <f>Sources!A2000</f>
        <v/>
      </c>
      <c r="B2000">
        <f>Sources!B2000</f>
        <v/>
      </c>
      <c r="C2000">
        <f>Sources!D2000</f>
        <v/>
      </c>
      <c r="D2000">
        <f>Sources!E2000</f>
        <v/>
      </c>
      <c r="E2000">
        <f>Sources!F2000</f>
        <v/>
      </c>
      <c r="F2000">
        <f>Sources!H2000</f>
        <v/>
      </c>
      <c r="G2000">
        <f>IF(ABS(F2000-ROUND(F2000,0))&lt;0.001,1,0)</f>
        <v/>
      </c>
      <c r="H2000">
        <f>IF(G2000=1,F2000,CEILING(F2000,1))</f>
        <v/>
      </c>
      <c r="I2000">
        <f>IF(G2000=1,0,(H2000-F2000)*E2000)</f>
        <v/>
      </c>
      <c r="J2000">
        <f>E2000*F2000</f>
        <v/>
      </c>
    </row>
    <row r="2001">
      <c r="A2001">
        <f>Sources!A2001</f>
        <v/>
      </c>
      <c r="B2001">
        <f>Sources!B2001</f>
        <v/>
      </c>
      <c r="C2001">
        <f>Sources!D2001</f>
        <v/>
      </c>
      <c r="D2001">
        <f>Sources!E2001</f>
        <v/>
      </c>
      <c r="E2001">
        <f>Sources!F2001</f>
        <v/>
      </c>
      <c r="F2001">
        <f>Sources!H2001</f>
        <v/>
      </c>
      <c r="G2001">
        <f>IF(ABS(F2001-ROUND(F2001,0))&lt;0.001,1,0)</f>
        <v/>
      </c>
      <c r="H2001">
        <f>IF(G2001=1,F2001,CEILING(F2001,1))</f>
        <v/>
      </c>
      <c r="I2001">
        <f>IF(G2001=1,0,(H2001-F2001)*E2001)</f>
        <v/>
      </c>
      <c r="J2001">
        <f>E2001*F2001</f>
        <v/>
      </c>
    </row>
    <row r="2002">
      <c r="A2002">
        <f>Sources!A2002</f>
        <v/>
      </c>
      <c r="B2002">
        <f>Sources!B2002</f>
        <v/>
      </c>
      <c r="C2002">
        <f>Sources!D2002</f>
        <v/>
      </c>
      <c r="D2002">
        <f>Sources!E2002</f>
        <v/>
      </c>
      <c r="E2002">
        <f>Sources!F2002</f>
        <v/>
      </c>
      <c r="F2002">
        <f>Sources!H2002</f>
        <v/>
      </c>
      <c r="G2002">
        <f>IF(ABS(F2002-ROUND(F2002,0))&lt;0.001,1,0)</f>
        <v/>
      </c>
      <c r="H2002">
        <f>IF(G2002=1,F2002,CEILING(F2002,1))</f>
        <v/>
      </c>
      <c r="I2002">
        <f>IF(G2002=1,0,(H2002-F2002)*E2002)</f>
        <v/>
      </c>
      <c r="J2002">
        <f>E2002*F2002</f>
        <v/>
      </c>
    </row>
    <row r="2003">
      <c r="A2003">
        <f>Sources!A2003</f>
        <v/>
      </c>
      <c r="B2003">
        <f>Sources!B2003</f>
        <v/>
      </c>
      <c r="C2003">
        <f>Sources!D2003</f>
        <v/>
      </c>
      <c r="D2003">
        <f>Sources!E2003</f>
        <v/>
      </c>
      <c r="E2003">
        <f>Sources!F2003</f>
        <v/>
      </c>
      <c r="F2003">
        <f>Sources!H2003</f>
        <v/>
      </c>
      <c r="G2003">
        <f>IF(ABS(F2003-ROUND(F2003,0))&lt;0.001,1,0)</f>
        <v/>
      </c>
      <c r="H2003">
        <f>IF(G2003=1,F2003,CEILING(F2003,1))</f>
        <v/>
      </c>
      <c r="I2003">
        <f>IF(G2003=1,0,(H2003-F2003)*E2003)</f>
        <v/>
      </c>
      <c r="J2003">
        <f>E2003*F2003</f>
        <v/>
      </c>
    </row>
    <row r="2004">
      <c r="A2004">
        <f>Sources!A2004</f>
        <v/>
      </c>
      <c r="B2004">
        <f>Sources!B2004</f>
        <v/>
      </c>
      <c r="C2004">
        <f>Sources!D2004</f>
        <v/>
      </c>
      <c r="D2004">
        <f>Sources!E2004</f>
        <v/>
      </c>
      <c r="E2004">
        <f>Sources!F2004</f>
        <v/>
      </c>
      <c r="F2004">
        <f>Sources!H2004</f>
        <v/>
      </c>
      <c r="G2004">
        <f>IF(ABS(F2004-ROUND(F2004,0))&lt;0.001,1,0)</f>
        <v/>
      </c>
      <c r="H2004">
        <f>IF(G2004=1,F2004,CEILING(F2004,1))</f>
        <v/>
      </c>
      <c r="I2004">
        <f>IF(G2004=1,0,(H2004-F2004)*E2004)</f>
        <v/>
      </c>
      <c r="J2004">
        <f>E2004*F2004</f>
        <v/>
      </c>
    </row>
    <row r="2005">
      <c r="A2005">
        <f>Sources!A2005</f>
        <v/>
      </c>
      <c r="B2005">
        <f>Sources!B2005</f>
        <v/>
      </c>
      <c r="C2005">
        <f>Sources!D2005</f>
        <v/>
      </c>
      <c r="D2005">
        <f>Sources!E2005</f>
        <v/>
      </c>
      <c r="E2005">
        <f>Sources!F2005</f>
        <v/>
      </c>
      <c r="F2005">
        <f>Sources!H2005</f>
        <v/>
      </c>
      <c r="G2005">
        <f>IF(ABS(F2005-ROUND(F2005,0))&lt;0.001,1,0)</f>
        <v/>
      </c>
      <c r="H2005">
        <f>IF(G2005=1,F2005,CEILING(F2005,1))</f>
        <v/>
      </c>
      <c r="I2005">
        <f>IF(G2005=1,0,(H2005-F2005)*E2005)</f>
        <v/>
      </c>
      <c r="J2005">
        <f>E2005*F2005</f>
        <v/>
      </c>
    </row>
    <row r="2006">
      <c r="A2006">
        <f>Sources!A2006</f>
        <v/>
      </c>
      <c r="B2006">
        <f>Sources!B2006</f>
        <v/>
      </c>
      <c r="C2006">
        <f>Sources!D2006</f>
        <v/>
      </c>
      <c r="D2006">
        <f>Sources!E2006</f>
        <v/>
      </c>
      <c r="E2006">
        <f>Sources!F2006</f>
        <v/>
      </c>
      <c r="F2006">
        <f>Sources!H2006</f>
        <v/>
      </c>
      <c r="G2006">
        <f>IF(ABS(F2006-ROUND(F2006,0))&lt;0.001,1,0)</f>
        <v/>
      </c>
      <c r="H2006">
        <f>IF(G2006=1,F2006,CEILING(F2006,1))</f>
        <v/>
      </c>
      <c r="I2006">
        <f>IF(G2006=1,0,(H2006-F2006)*E2006)</f>
        <v/>
      </c>
      <c r="J2006">
        <f>E2006*F2006</f>
        <v/>
      </c>
    </row>
    <row r="2007">
      <c r="A2007">
        <f>Sources!A2007</f>
        <v/>
      </c>
      <c r="B2007">
        <f>Sources!B2007</f>
        <v/>
      </c>
      <c r="C2007">
        <f>Sources!D2007</f>
        <v/>
      </c>
      <c r="D2007">
        <f>Sources!E2007</f>
        <v/>
      </c>
      <c r="E2007">
        <f>Sources!F2007</f>
        <v/>
      </c>
      <c r="F2007">
        <f>Sources!H2007</f>
        <v/>
      </c>
      <c r="G2007">
        <f>IF(ABS(F2007-ROUND(F2007,0))&lt;0.001,1,0)</f>
        <v/>
      </c>
      <c r="H2007">
        <f>IF(G2007=1,F2007,CEILING(F2007,1))</f>
        <v/>
      </c>
      <c r="I2007">
        <f>IF(G2007=1,0,(H2007-F2007)*E2007)</f>
        <v/>
      </c>
      <c r="J2007">
        <f>E2007*F2007</f>
        <v/>
      </c>
    </row>
    <row r="2008">
      <c r="A2008">
        <f>Sources!A2008</f>
        <v/>
      </c>
      <c r="B2008">
        <f>Sources!B2008</f>
        <v/>
      </c>
      <c r="C2008">
        <f>Sources!D2008</f>
        <v/>
      </c>
      <c r="D2008">
        <f>Sources!E2008</f>
        <v/>
      </c>
      <c r="E2008">
        <f>Sources!F2008</f>
        <v/>
      </c>
      <c r="F2008">
        <f>Sources!H2008</f>
        <v/>
      </c>
      <c r="G2008">
        <f>IF(ABS(F2008-ROUND(F2008,0))&lt;0.001,1,0)</f>
        <v/>
      </c>
      <c r="H2008">
        <f>IF(G2008=1,F2008,CEILING(F2008,1))</f>
        <v/>
      </c>
      <c r="I2008">
        <f>IF(G2008=1,0,(H2008-F2008)*E2008)</f>
        <v/>
      </c>
      <c r="J2008">
        <f>E2008*F2008</f>
        <v/>
      </c>
    </row>
    <row r="2009">
      <c r="A2009">
        <f>Sources!A2009</f>
        <v/>
      </c>
      <c r="B2009">
        <f>Sources!B2009</f>
        <v/>
      </c>
      <c r="C2009">
        <f>Sources!D2009</f>
        <v/>
      </c>
      <c r="D2009">
        <f>Sources!E2009</f>
        <v/>
      </c>
      <c r="E2009">
        <f>Sources!F2009</f>
        <v/>
      </c>
      <c r="F2009">
        <f>Sources!H2009</f>
        <v/>
      </c>
      <c r="G2009">
        <f>IF(ABS(F2009-ROUND(F2009,0))&lt;0.001,1,0)</f>
        <v/>
      </c>
      <c r="H2009">
        <f>IF(G2009=1,F2009,CEILING(F2009,1))</f>
        <v/>
      </c>
      <c r="I2009">
        <f>IF(G2009=1,0,(H2009-F2009)*E2009)</f>
        <v/>
      </c>
      <c r="J2009">
        <f>E2009*F2009</f>
        <v/>
      </c>
    </row>
    <row r="2010">
      <c r="A2010">
        <f>Sources!A2010</f>
        <v/>
      </c>
      <c r="B2010">
        <f>Sources!B2010</f>
        <v/>
      </c>
      <c r="C2010">
        <f>Sources!D2010</f>
        <v/>
      </c>
      <c r="D2010">
        <f>Sources!E2010</f>
        <v/>
      </c>
      <c r="E2010">
        <f>Sources!F2010</f>
        <v/>
      </c>
      <c r="F2010">
        <f>Sources!H2010</f>
        <v/>
      </c>
      <c r="G2010">
        <f>IF(ABS(F2010-ROUND(F2010,0))&lt;0.001,1,0)</f>
        <v/>
      </c>
      <c r="H2010">
        <f>IF(G2010=1,F2010,CEILING(F2010,1))</f>
        <v/>
      </c>
      <c r="I2010">
        <f>IF(G2010=1,0,(H2010-F2010)*E2010)</f>
        <v/>
      </c>
      <c r="J2010">
        <f>E2010*F2010</f>
        <v/>
      </c>
    </row>
    <row r="2011">
      <c r="A2011">
        <f>Sources!A2011</f>
        <v/>
      </c>
      <c r="B2011">
        <f>Sources!B2011</f>
        <v/>
      </c>
      <c r="C2011">
        <f>Sources!D2011</f>
        <v/>
      </c>
      <c r="D2011">
        <f>Sources!E2011</f>
        <v/>
      </c>
      <c r="E2011">
        <f>Sources!F2011</f>
        <v/>
      </c>
      <c r="F2011">
        <f>Sources!H2011</f>
        <v/>
      </c>
      <c r="G2011">
        <f>IF(ABS(F2011-ROUND(F2011,0))&lt;0.001,1,0)</f>
        <v/>
      </c>
      <c r="H2011">
        <f>IF(G2011=1,F2011,CEILING(F2011,1))</f>
        <v/>
      </c>
      <c r="I2011">
        <f>IF(G2011=1,0,(H2011-F2011)*E2011)</f>
        <v/>
      </c>
      <c r="J2011">
        <f>E2011*F2011</f>
        <v/>
      </c>
    </row>
    <row r="2012">
      <c r="A2012">
        <f>Sources!A2012</f>
        <v/>
      </c>
      <c r="B2012">
        <f>Sources!B2012</f>
        <v/>
      </c>
      <c r="C2012">
        <f>Sources!D2012</f>
        <v/>
      </c>
      <c r="D2012">
        <f>Sources!E2012</f>
        <v/>
      </c>
      <c r="E2012">
        <f>Sources!F2012</f>
        <v/>
      </c>
      <c r="F2012">
        <f>Sources!H2012</f>
        <v/>
      </c>
      <c r="G2012">
        <f>IF(ABS(F2012-ROUND(F2012,0))&lt;0.001,1,0)</f>
        <v/>
      </c>
      <c r="H2012">
        <f>IF(G2012=1,F2012,CEILING(F2012,1))</f>
        <v/>
      </c>
      <c r="I2012">
        <f>IF(G2012=1,0,(H2012-F2012)*E2012)</f>
        <v/>
      </c>
      <c r="J2012">
        <f>E2012*F2012</f>
        <v/>
      </c>
    </row>
    <row r="2013">
      <c r="A2013">
        <f>Sources!A2013</f>
        <v/>
      </c>
      <c r="B2013">
        <f>Sources!B2013</f>
        <v/>
      </c>
      <c r="C2013">
        <f>Sources!D2013</f>
        <v/>
      </c>
      <c r="D2013">
        <f>Sources!E2013</f>
        <v/>
      </c>
      <c r="E2013">
        <f>Sources!F2013</f>
        <v/>
      </c>
      <c r="F2013">
        <f>Sources!H2013</f>
        <v/>
      </c>
      <c r="G2013">
        <f>IF(ABS(F2013-ROUND(F2013,0))&lt;0.001,1,0)</f>
        <v/>
      </c>
      <c r="H2013">
        <f>IF(G2013=1,F2013,CEILING(F2013,1))</f>
        <v/>
      </c>
      <c r="I2013">
        <f>IF(G2013=1,0,(H2013-F2013)*E2013)</f>
        <v/>
      </c>
      <c r="J2013">
        <f>E2013*F2013</f>
        <v/>
      </c>
    </row>
    <row r="2014">
      <c r="A2014">
        <f>Sources!A2014</f>
        <v/>
      </c>
      <c r="B2014">
        <f>Sources!B2014</f>
        <v/>
      </c>
      <c r="C2014">
        <f>Sources!D2014</f>
        <v/>
      </c>
      <c r="D2014">
        <f>Sources!E2014</f>
        <v/>
      </c>
      <c r="E2014">
        <f>Sources!F2014</f>
        <v/>
      </c>
      <c r="F2014">
        <f>Sources!H2014</f>
        <v/>
      </c>
      <c r="G2014">
        <f>IF(ABS(F2014-ROUND(F2014,0))&lt;0.001,1,0)</f>
        <v/>
      </c>
      <c r="H2014">
        <f>IF(G2014=1,F2014,CEILING(F2014,1))</f>
        <v/>
      </c>
      <c r="I2014">
        <f>IF(G2014=1,0,(H2014-F2014)*E2014)</f>
        <v/>
      </c>
      <c r="J2014">
        <f>E2014*F2014</f>
        <v/>
      </c>
    </row>
    <row r="2015">
      <c r="A2015">
        <f>Sources!A2015</f>
        <v/>
      </c>
      <c r="B2015">
        <f>Sources!B2015</f>
        <v/>
      </c>
      <c r="C2015">
        <f>Sources!D2015</f>
        <v/>
      </c>
      <c r="D2015">
        <f>Sources!E2015</f>
        <v/>
      </c>
      <c r="E2015">
        <f>Sources!F2015</f>
        <v/>
      </c>
      <c r="F2015">
        <f>Sources!H2015</f>
        <v/>
      </c>
      <c r="G2015">
        <f>IF(ABS(F2015-ROUND(F2015,0))&lt;0.001,1,0)</f>
        <v/>
      </c>
      <c r="H2015">
        <f>IF(G2015=1,F2015,CEILING(F2015,1))</f>
        <v/>
      </c>
      <c r="I2015">
        <f>IF(G2015=1,0,(H2015-F2015)*E2015)</f>
        <v/>
      </c>
      <c r="J2015">
        <f>E2015*F2015</f>
        <v/>
      </c>
    </row>
    <row r="2016">
      <c r="A2016">
        <f>Sources!A2016</f>
        <v/>
      </c>
      <c r="B2016">
        <f>Sources!B2016</f>
        <v/>
      </c>
      <c r="C2016">
        <f>Sources!D2016</f>
        <v/>
      </c>
      <c r="D2016">
        <f>Sources!E2016</f>
        <v/>
      </c>
      <c r="E2016">
        <f>Sources!F2016</f>
        <v/>
      </c>
      <c r="F2016">
        <f>Sources!H2016</f>
        <v/>
      </c>
      <c r="G2016">
        <f>IF(ABS(F2016-ROUND(F2016,0))&lt;0.001,1,0)</f>
        <v/>
      </c>
      <c r="H2016">
        <f>IF(G2016=1,F2016,CEILING(F2016,1))</f>
        <v/>
      </c>
      <c r="I2016">
        <f>IF(G2016=1,0,(H2016-F2016)*E2016)</f>
        <v/>
      </c>
      <c r="J2016">
        <f>E2016*F2016</f>
        <v/>
      </c>
    </row>
    <row r="2017">
      <c r="A2017">
        <f>Sources!A2017</f>
        <v/>
      </c>
      <c r="B2017">
        <f>Sources!B2017</f>
        <v/>
      </c>
      <c r="C2017">
        <f>Sources!D2017</f>
        <v/>
      </c>
      <c r="D2017">
        <f>Sources!E2017</f>
        <v/>
      </c>
      <c r="E2017">
        <f>Sources!F2017</f>
        <v/>
      </c>
      <c r="F2017">
        <f>Sources!H2017</f>
        <v/>
      </c>
      <c r="G2017">
        <f>IF(ABS(F2017-ROUND(F2017,0))&lt;0.001,1,0)</f>
        <v/>
      </c>
      <c r="H2017">
        <f>IF(G2017=1,F2017,CEILING(F2017,1))</f>
        <v/>
      </c>
      <c r="I2017">
        <f>IF(G2017=1,0,(H2017-F2017)*E2017)</f>
        <v/>
      </c>
      <c r="J2017">
        <f>E2017*F2017</f>
        <v/>
      </c>
    </row>
    <row r="2018">
      <c r="A2018">
        <f>Sources!A2018</f>
        <v/>
      </c>
      <c r="B2018">
        <f>Sources!B2018</f>
        <v/>
      </c>
      <c r="C2018">
        <f>Sources!D2018</f>
        <v/>
      </c>
      <c r="D2018">
        <f>Sources!E2018</f>
        <v/>
      </c>
      <c r="E2018">
        <f>Sources!F2018</f>
        <v/>
      </c>
      <c r="F2018">
        <f>Sources!H2018</f>
        <v/>
      </c>
      <c r="G2018">
        <f>IF(ABS(F2018-ROUND(F2018,0))&lt;0.001,1,0)</f>
        <v/>
      </c>
      <c r="H2018">
        <f>IF(G2018=1,F2018,CEILING(F2018,1))</f>
        <v/>
      </c>
      <c r="I2018">
        <f>IF(G2018=1,0,(H2018-F2018)*E2018)</f>
        <v/>
      </c>
      <c r="J2018">
        <f>E2018*F2018</f>
        <v/>
      </c>
    </row>
    <row r="2019">
      <c r="A2019">
        <f>Sources!A2019</f>
        <v/>
      </c>
      <c r="B2019">
        <f>Sources!B2019</f>
        <v/>
      </c>
      <c r="C2019">
        <f>Sources!D2019</f>
        <v/>
      </c>
      <c r="D2019">
        <f>Sources!E2019</f>
        <v/>
      </c>
      <c r="E2019">
        <f>Sources!F2019</f>
        <v/>
      </c>
      <c r="F2019">
        <f>Sources!H2019</f>
        <v/>
      </c>
      <c r="G2019">
        <f>IF(ABS(F2019-ROUND(F2019,0))&lt;0.001,1,0)</f>
        <v/>
      </c>
      <c r="H2019">
        <f>IF(G2019=1,F2019,CEILING(F2019,1))</f>
        <v/>
      </c>
      <c r="I2019">
        <f>IF(G2019=1,0,(H2019-F2019)*E2019)</f>
        <v/>
      </c>
      <c r="J2019">
        <f>E2019*F2019</f>
        <v/>
      </c>
    </row>
    <row r="2020">
      <c r="A2020">
        <f>Sources!A2020</f>
        <v/>
      </c>
      <c r="B2020">
        <f>Sources!B2020</f>
        <v/>
      </c>
      <c r="C2020">
        <f>Sources!D2020</f>
        <v/>
      </c>
      <c r="D2020">
        <f>Sources!E2020</f>
        <v/>
      </c>
      <c r="E2020">
        <f>Sources!F2020</f>
        <v/>
      </c>
      <c r="F2020">
        <f>Sources!H2020</f>
        <v/>
      </c>
      <c r="G2020">
        <f>IF(ABS(F2020-ROUND(F2020,0))&lt;0.001,1,0)</f>
        <v/>
      </c>
      <c r="H2020">
        <f>IF(G2020=1,F2020,CEILING(F2020,1))</f>
        <v/>
      </c>
      <c r="I2020">
        <f>IF(G2020=1,0,(H2020-F2020)*E2020)</f>
        <v/>
      </c>
      <c r="J2020">
        <f>E2020*F2020</f>
        <v/>
      </c>
    </row>
    <row r="2021">
      <c r="A2021">
        <f>Sources!A2021</f>
        <v/>
      </c>
      <c r="B2021">
        <f>Sources!B2021</f>
        <v/>
      </c>
      <c r="C2021">
        <f>Sources!D2021</f>
        <v/>
      </c>
      <c r="D2021">
        <f>Sources!E2021</f>
        <v/>
      </c>
      <c r="E2021">
        <f>Sources!F2021</f>
        <v/>
      </c>
      <c r="F2021">
        <f>Sources!H2021</f>
        <v/>
      </c>
      <c r="G2021">
        <f>IF(ABS(F2021-ROUND(F2021,0))&lt;0.001,1,0)</f>
        <v/>
      </c>
      <c r="H2021">
        <f>IF(G2021=1,F2021,CEILING(F2021,1))</f>
        <v/>
      </c>
      <c r="I2021">
        <f>IF(G2021=1,0,(H2021-F2021)*E2021)</f>
        <v/>
      </c>
      <c r="J2021">
        <f>E2021*F2021</f>
        <v/>
      </c>
    </row>
    <row r="2022">
      <c r="A2022">
        <f>Sources!A2022</f>
        <v/>
      </c>
      <c r="B2022">
        <f>Sources!B2022</f>
        <v/>
      </c>
      <c r="C2022">
        <f>Sources!D2022</f>
        <v/>
      </c>
      <c r="D2022">
        <f>Sources!E2022</f>
        <v/>
      </c>
      <c r="E2022">
        <f>Sources!F2022</f>
        <v/>
      </c>
      <c r="F2022">
        <f>Sources!H2022</f>
        <v/>
      </c>
      <c r="G2022">
        <f>IF(ABS(F2022-ROUND(F2022,0))&lt;0.001,1,0)</f>
        <v/>
      </c>
      <c r="H2022">
        <f>IF(G2022=1,F2022,CEILING(F2022,1))</f>
        <v/>
      </c>
      <c r="I2022">
        <f>IF(G2022=1,0,(H2022-F2022)*E2022)</f>
        <v/>
      </c>
      <c r="J2022">
        <f>E2022*F2022</f>
        <v/>
      </c>
    </row>
    <row r="2023">
      <c r="A2023">
        <f>Sources!A2023</f>
        <v/>
      </c>
      <c r="B2023">
        <f>Sources!B2023</f>
        <v/>
      </c>
      <c r="C2023">
        <f>Sources!D2023</f>
        <v/>
      </c>
      <c r="D2023">
        <f>Sources!E2023</f>
        <v/>
      </c>
      <c r="E2023">
        <f>Sources!F2023</f>
        <v/>
      </c>
      <c r="F2023">
        <f>Sources!H2023</f>
        <v/>
      </c>
      <c r="G2023">
        <f>IF(ABS(F2023-ROUND(F2023,0))&lt;0.001,1,0)</f>
        <v/>
      </c>
      <c r="H2023">
        <f>IF(G2023=1,F2023,CEILING(F2023,1))</f>
        <v/>
      </c>
      <c r="I2023">
        <f>IF(G2023=1,0,(H2023-F2023)*E2023)</f>
        <v/>
      </c>
      <c r="J2023">
        <f>E2023*F2023</f>
        <v/>
      </c>
    </row>
    <row r="2024">
      <c r="A2024">
        <f>Sources!A2024</f>
        <v/>
      </c>
      <c r="B2024">
        <f>Sources!B2024</f>
        <v/>
      </c>
      <c r="C2024">
        <f>Sources!D2024</f>
        <v/>
      </c>
      <c r="D2024">
        <f>Sources!E2024</f>
        <v/>
      </c>
      <c r="E2024">
        <f>Sources!F2024</f>
        <v/>
      </c>
      <c r="F2024">
        <f>Sources!H2024</f>
        <v/>
      </c>
      <c r="G2024">
        <f>IF(ABS(F2024-ROUND(F2024,0))&lt;0.001,1,0)</f>
        <v/>
      </c>
      <c r="H2024">
        <f>IF(G2024=1,F2024,CEILING(F2024,1))</f>
        <v/>
      </c>
      <c r="I2024">
        <f>IF(G2024=1,0,(H2024-F2024)*E2024)</f>
        <v/>
      </c>
      <c r="J2024">
        <f>E2024*F2024</f>
        <v/>
      </c>
    </row>
    <row r="2025">
      <c r="A2025">
        <f>Sources!A2025</f>
        <v/>
      </c>
      <c r="B2025">
        <f>Sources!B2025</f>
        <v/>
      </c>
      <c r="C2025">
        <f>Sources!D2025</f>
        <v/>
      </c>
      <c r="D2025">
        <f>Sources!E2025</f>
        <v/>
      </c>
      <c r="E2025">
        <f>Sources!F2025</f>
        <v/>
      </c>
      <c r="F2025">
        <f>Sources!H2025</f>
        <v/>
      </c>
      <c r="G2025">
        <f>IF(ABS(F2025-ROUND(F2025,0))&lt;0.001,1,0)</f>
        <v/>
      </c>
      <c r="H2025">
        <f>IF(G2025=1,F2025,CEILING(F2025,1))</f>
        <v/>
      </c>
      <c r="I2025">
        <f>IF(G2025=1,0,(H2025-F2025)*E2025)</f>
        <v/>
      </c>
      <c r="J2025">
        <f>E2025*F2025</f>
        <v/>
      </c>
    </row>
    <row r="2026">
      <c r="A2026">
        <f>Sources!A2026</f>
        <v/>
      </c>
      <c r="B2026">
        <f>Sources!B2026</f>
        <v/>
      </c>
      <c r="C2026">
        <f>Sources!D2026</f>
        <v/>
      </c>
      <c r="D2026">
        <f>Sources!E2026</f>
        <v/>
      </c>
      <c r="E2026">
        <f>Sources!F2026</f>
        <v/>
      </c>
      <c r="F2026">
        <f>Sources!H2026</f>
        <v/>
      </c>
      <c r="G2026">
        <f>IF(ABS(F2026-ROUND(F2026,0))&lt;0.001,1,0)</f>
        <v/>
      </c>
      <c r="H2026">
        <f>IF(G2026=1,F2026,CEILING(F2026,1))</f>
        <v/>
      </c>
      <c r="I2026">
        <f>IF(G2026=1,0,(H2026-F2026)*E2026)</f>
        <v/>
      </c>
      <c r="J2026">
        <f>E2026*F2026</f>
        <v/>
      </c>
    </row>
    <row r="2027">
      <c r="A2027">
        <f>Sources!A2027</f>
        <v/>
      </c>
      <c r="B2027">
        <f>Sources!B2027</f>
        <v/>
      </c>
      <c r="C2027">
        <f>Sources!D2027</f>
        <v/>
      </c>
      <c r="D2027">
        <f>Sources!E2027</f>
        <v/>
      </c>
      <c r="E2027">
        <f>Sources!F2027</f>
        <v/>
      </c>
      <c r="F2027">
        <f>Sources!H2027</f>
        <v/>
      </c>
      <c r="G2027">
        <f>IF(ABS(F2027-ROUND(F2027,0))&lt;0.001,1,0)</f>
        <v/>
      </c>
      <c r="H2027">
        <f>IF(G2027=1,F2027,CEILING(F2027,1))</f>
        <v/>
      </c>
      <c r="I2027">
        <f>IF(G2027=1,0,(H2027-F2027)*E2027)</f>
        <v/>
      </c>
      <c r="J2027">
        <f>E2027*F2027</f>
        <v/>
      </c>
    </row>
    <row r="2028">
      <c r="A2028">
        <f>Sources!A2028</f>
        <v/>
      </c>
      <c r="B2028">
        <f>Sources!B2028</f>
        <v/>
      </c>
      <c r="C2028">
        <f>Sources!D2028</f>
        <v/>
      </c>
      <c r="D2028">
        <f>Sources!E2028</f>
        <v/>
      </c>
      <c r="E2028">
        <f>Sources!F2028</f>
        <v/>
      </c>
      <c r="F2028">
        <f>Sources!H2028</f>
        <v/>
      </c>
      <c r="G2028">
        <f>IF(ABS(F2028-ROUND(F2028,0))&lt;0.001,1,0)</f>
        <v/>
      </c>
      <c r="H2028">
        <f>IF(G2028=1,F2028,CEILING(F2028,1))</f>
        <v/>
      </c>
      <c r="I2028">
        <f>IF(G2028=1,0,(H2028-F2028)*E2028)</f>
        <v/>
      </c>
      <c r="J2028">
        <f>E2028*F2028</f>
        <v/>
      </c>
    </row>
    <row r="2029">
      <c r="A2029">
        <f>Sources!A2029</f>
        <v/>
      </c>
      <c r="B2029">
        <f>Sources!B2029</f>
        <v/>
      </c>
      <c r="C2029">
        <f>Sources!D2029</f>
        <v/>
      </c>
      <c r="D2029">
        <f>Sources!E2029</f>
        <v/>
      </c>
      <c r="E2029">
        <f>Sources!F2029</f>
        <v/>
      </c>
      <c r="F2029">
        <f>Sources!H2029</f>
        <v/>
      </c>
      <c r="G2029">
        <f>IF(ABS(F2029-ROUND(F2029,0))&lt;0.001,1,0)</f>
        <v/>
      </c>
      <c r="H2029">
        <f>IF(G2029=1,F2029,CEILING(F2029,1))</f>
        <v/>
      </c>
      <c r="I2029">
        <f>IF(G2029=1,0,(H2029-F2029)*E2029)</f>
        <v/>
      </c>
      <c r="J2029">
        <f>E2029*F2029</f>
        <v/>
      </c>
    </row>
    <row r="2030">
      <c r="A2030">
        <f>Sources!A2030</f>
        <v/>
      </c>
      <c r="B2030">
        <f>Sources!B2030</f>
        <v/>
      </c>
      <c r="C2030">
        <f>Sources!D2030</f>
        <v/>
      </c>
      <c r="D2030">
        <f>Sources!E2030</f>
        <v/>
      </c>
      <c r="E2030">
        <f>Sources!F2030</f>
        <v/>
      </c>
      <c r="F2030">
        <f>Sources!H2030</f>
        <v/>
      </c>
      <c r="G2030">
        <f>IF(ABS(F2030-ROUND(F2030,0))&lt;0.001,1,0)</f>
        <v/>
      </c>
      <c r="H2030">
        <f>IF(G2030=1,F2030,CEILING(F2030,1))</f>
        <v/>
      </c>
      <c r="I2030">
        <f>IF(G2030=1,0,(H2030-F2030)*E2030)</f>
        <v/>
      </c>
      <c r="J2030">
        <f>E2030*F2030</f>
        <v/>
      </c>
    </row>
    <row r="2031">
      <c r="A2031">
        <f>Sources!A2031</f>
        <v/>
      </c>
      <c r="B2031">
        <f>Sources!B2031</f>
        <v/>
      </c>
      <c r="C2031">
        <f>Sources!D2031</f>
        <v/>
      </c>
      <c r="D2031">
        <f>Sources!E2031</f>
        <v/>
      </c>
      <c r="E2031">
        <f>Sources!F2031</f>
        <v/>
      </c>
      <c r="F2031">
        <f>Sources!H2031</f>
        <v/>
      </c>
      <c r="G2031">
        <f>IF(ABS(F2031-ROUND(F2031,0))&lt;0.001,1,0)</f>
        <v/>
      </c>
      <c r="H2031">
        <f>IF(G2031=1,F2031,CEILING(F2031,1))</f>
        <v/>
      </c>
      <c r="I2031">
        <f>IF(G2031=1,0,(H2031-F2031)*E2031)</f>
        <v/>
      </c>
      <c r="J2031">
        <f>E2031*F2031</f>
        <v/>
      </c>
    </row>
    <row r="2032">
      <c r="A2032">
        <f>Sources!A2032</f>
        <v/>
      </c>
      <c r="B2032">
        <f>Sources!B2032</f>
        <v/>
      </c>
      <c r="C2032">
        <f>Sources!D2032</f>
        <v/>
      </c>
      <c r="D2032">
        <f>Sources!E2032</f>
        <v/>
      </c>
      <c r="E2032">
        <f>Sources!F2032</f>
        <v/>
      </c>
      <c r="F2032">
        <f>Sources!H2032</f>
        <v/>
      </c>
      <c r="G2032">
        <f>IF(ABS(F2032-ROUND(F2032,0))&lt;0.001,1,0)</f>
        <v/>
      </c>
      <c r="H2032">
        <f>IF(G2032=1,F2032,CEILING(F2032,1))</f>
        <v/>
      </c>
      <c r="I2032">
        <f>IF(G2032=1,0,(H2032-F2032)*E2032)</f>
        <v/>
      </c>
      <c r="J2032">
        <f>E2032*F2032</f>
        <v/>
      </c>
    </row>
    <row r="2033">
      <c r="A2033">
        <f>Sources!A2033</f>
        <v/>
      </c>
      <c r="B2033">
        <f>Sources!B2033</f>
        <v/>
      </c>
      <c r="C2033">
        <f>Sources!D2033</f>
        <v/>
      </c>
      <c r="D2033">
        <f>Sources!E2033</f>
        <v/>
      </c>
      <c r="E2033">
        <f>Sources!F2033</f>
        <v/>
      </c>
      <c r="F2033">
        <f>Sources!H2033</f>
        <v/>
      </c>
      <c r="G2033">
        <f>IF(ABS(F2033-ROUND(F2033,0))&lt;0.001,1,0)</f>
        <v/>
      </c>
      <c r="H2033">
        <f>IF(G2033=1,F2033,CEILING(F2033,1))</f>
        <v/>
      </c>
      <c r="I2033">
        <f>IF(G2033=1,0,(H2033-F2033)*E2033)</f>
        <v/>
      </c>
      <c r="J2033">
        <f>E2033*F2033</f>
        <v/>
      </c>
    </row>
    <row r="2034">
      <c r="A2034">
        <f>Sources!A2034</f>
        <v/>
      </c>
      <c r="B2034">
        <f>Sources!B2034</f>
        <v/>
      </c>
      <c r="C2034">
        <f>Sources!D2034</f>
        <v/>
      </c>
      <c r="D2034">
        <f>Sources!E2034</f>
        <v/>
      </c>
      <c r="E2034">
        <f>Sources!F2034</f>
        <v/>
      </c>
      <c r="F2034">
        <f>Sources!H2034</f>
        <v/>
      </c>
      <c r="G2034">
        <f>IF(ABS(F2034-ROUND(F2034,0))&lt;0.001,1,0)</f>
        <v/>
      </c>
      <c r="H2034">
        <f>IF(G2034=1,F2034,CEILING(F2034,1))</f>
        <v/>
      </c>
      <c r="I2034">
        <f>IF(G2034=1,0,(H2034-F2034)*E2034)</f>
        <v/>
      </c>
      <c r="J2034">
        <f>E2034*F2034</f>
        <v/>
      </c>
    </row>
    <row r="2035">
      <c r="A2035">
        <f>Sources!A2035</f>
        <v/>
      </c>
      <c r="B2035">
        <f>Sources!B2035</f>
        <v/>
      </c>
      <c r="C2035">
        <f>Sources!D2035</f>
        <v/>
      </c>
      <c r="D2035">
        <f>Sources!E2035</f>
        <v/>
      </c>
      <c r="E2035">
        <f>Sources!F2035</f>
        <v/>
      </c>
      <c r="F2035">
        <f>Sources!H2035</f>
        <v/>
      </c>
      <c r="G2035">
        <f>IF(ABS(F2035-ROUND(F2035,0))&lt;0.001,1,0)</f>
        <v/>
      </c>
      <c r="H2035">
        <f>IF(G2035=1,F2035,CEILING(F2035,1))</f>
        <v/>
      </c>
      <c r="I2035">
        <f>IF(G2035=1,0,(H2035-F2035)*E2035)</f>
        <v/>
      </c>
      <c r="J2035">
        <f>E2035*F2035</f>
        <v/>
      </c>
    </row>
    <row r="2036">
      <c r="A2036">
        <f>Sources!A2036</f>
        <v/>
      </c>
      <c r="B2036">
        <f>Sources!B2036</f>
        <v/>
      </c>
      <c r="C2036">
        <f>Sources!D2036</f>
        <v/>
      </c>
      <c r="D2036">
        <f>Sources!E2036</f>
        <v/>
      </c>
      <c r="E2036">
        <f>Sources!F2036</f>
        <v/>
      </c>
      <c r="F2036">
        <f>Sources!H2036</f>
        <v/>
      </c>
      <c r="G2036">
        <f>IF(ABS(F2036-ROUND(F2036,0))&lt;0.001,1,0)</f>
        <v/>
      </c>
      <c r="H2036">
        <f>IF(G2036=1,F2036,CEILING(F2036,1))</f>
        <v/>
      </c>
      <c r="I2036">
        <f>IF(G2036=1,0,(H2036-F2036)*E2036)</f>
        <v/>
      </c>
      <c r="J2036">
        <f>E2036*F2036</f>
        <v/>
      </c>
    </row>
    <row r="2037">
      <c r="A2037">
        <f>Sources!A2037</f>
        <v/>
      </c>
      <c r="B2037">
        <f>Sources!B2037</f>
        <v/>
      </c>
      <c r="C2037">
        <f>Sources!D2037</f>
        <v/>
      </c>
      <c r="D2037">
        <f>Sources!E2037</f>
        <v/>
      </c>
      <c r="E2037">
        <f>Sources!F2037</f>
        <v/>
      </c>
      <c r="F2037">
        <f>Sources!H2037</f>
        <v/>
      </c>
      <c r="G2037">
        <f>IF(ABS(F2037-ROUND(F2037,0))&lt;0.001,1,0)</f>
        <v/>
      </c>
      <c r="H2037">
        <f>IF(G2037=1,F2037,CEILING(F2037,1))</f>
        <v/>
      </c>
      <c r="I2037">
        <f>IF(G2037=1,0,(H2037-F2037)*E2037)</f>
        <v/>
      </c>
      <c r="J2037">
        <f>E2037*F2037</f>
        <v/>
      </c>
    </row>
    <row r="2038">
      <c r="A2038">
        <f>Sources!A2038</f>
        <v/>
      </c>
      <c r="B2038">
        <f>Sources!B2038</f>
        <v/>
      </c>
      <c r="C2038">
        <f>Sources!D2038</f>
        <v/>
      </c>
      <c r="D2038">
        <f>Sources!E2038</f>
        <v/>
      </c>
      <c r="E2038">
        <f>Sources!F2038</f>
        <v/>
      </c>
      <c r="F2038">
        <f>Sources!H2038</f>
        <v/>
      </c>
      <c r="G2038">
        <f>IF(ABS(F2038-ROUND(F2038,0))&lt;0.001,1,0)</f>
        <v/>
      </c>
      <c r="H2038">
        <f>IF(G2038=1,F2038,CEILING(F2038,1))</f>
        <v/>
      </c>
      <c r="I2038">
        <f>IF(G2038=1,0,(H2038-F2038)*E2038)</f>
        <v/>
      </c>
      <c r="J2038">
        <f>E2038*F2038</f>
        <v/>
      </c>
    </row>
    <row r="2039">
      <c r="A2039">
        <f>Sources!A2039</f>
        <v/>
      </c>
      <c r="B2039">
        <f>Sources!B2039</f>
        <v/>
      </c>
      <c r="C2039">
        <f>Sources!D2039</f>
        <v/>
      </c>
      <c r="D2039">
        <f>Sources!E2039</f>
        <v/>
      </c>
      <c r="E2039">
        <f>Sources!F2039</f>
        <v/>
      </c>
      <c r="F2039">
        <f>Sources!H2039</f>
        <v/>
      </c>
      <c r="G2039">
        <f>IF(ABS(F2039-ROUND(F2039,0))&lt;0.001,1,0)</f>
        <v/>
      </c>
      <c r="H2039">
        <f>IF(G2039=1,F2039,CEILING(F2039,1))</f>
        <v/>
      </c>
      <c r="I2039">
        <f>IF(G2039=1,0,(H2039-F2039)*E2039)</f>
        <v/>
      </c>
      <c r="J2039">
        <f>E2039*F2039</f>
        <v/>
      </c>
    </row>
    <row r="2040">
      <c r="A2040">
        <f>Sources!A2040</f>
        <v/>
      </c>
      <c r="B2040">
        <f>Sources!B2040</f>
        <v/>
      </c>
      <c r="C2040">
        <f>Sources!D2040</f>
        <v/>
      </c>
      <c r="D2040">
        <f>Sources!E2040</f>
        <v/>
      </c>
      <c r="E2040">
        <f>Sources!F2040</f>
        <v/>
      </c>
      <c r="F2040">
        <f>Sources!H2040</f>
        <v/>
      </c>
      <c r="G2040">
        <f>IF(ABS(F2040-ROUND(F2040,0))&lt;0.001,1,0)</f>
        <v/>
      </c>
      <c r="H2040">
        <f>IF(G2040=1,F2040,CEILING(F2040,1))</f>
        <v/>
      </c>
      <c r="I2040">
        <f>IF(G2040=1,0,(H2040-F2040)*E2040)</f>
        <v/>
      </c>
      <c r="J2040">
        <f>E2040*F2040</f>
        <v/>
      </c>
    </row>
    <row r="2041">
      <c r="A2041">
        <f>Sources!A2041</f>
        <v/>
      </c>
      <c r="B2041">
        <f>Sources!B2041</f>
        <v/>
      </c>
      <c r="C2041">
        <f>Sources!D2041</f>
        <v/>
      </c>
      <c r="D2041">
        <f>Sources!E2041</f>
        <v/>
      </c>
      <c r="E2041">
        <f>Sources!F2041</f>
        <v/>
      </c>
      <c r="F2041">
        <f>Sources!H2041</f>
        <v/>
      </c>
      <c r="G2041">
        <f>IF(ABS(F2041-ROUND(F2041,0))&lt;0.001,1,0)</f>
        <v/>
      </c>
      <c r="H2041">
        <f>IF(G2041=1,F2041,CEILING(F2041,1))</f>
        <v/>
      </c>
      <c r="I2041">
        <f>IF(G2041=1,0,(H2041-F2041)*E2041)</f>
        <v/>
      </c>
      <c r="J2041">
        <f>E2041*F2041</f>
        <v/>
      </c>
    </row>
    <row r="2042">
      <c r="A2042">
        <f>Sources!A2042</f>
        <v/>
      </c>
      <c r="B2042">
        <f>Sources!B2042</f>
        <v/>
      </c>
      <c r="C2042">
        <f>Sources!D2042</f>
        <v/>
      </c>
      <c r="D2042">
        <f>Sources!E2042</f>
        <v/>
      </c>
      <c r="E2042">
        <f>Sources!F2042</f>
        <v/>
      </c>
      <c r="F2042">
        <f>Sources!H2042</f>
        <v/>
      </c>
      <c r="G2042">
        <f>IF(ABS(F2042-ROUND(F2042,0))&lt;0.001,1,0)</f>
        <v/>
      </c>
      <c r="H2042">
        <f>IF(G2042=1,F2042,CEILING(F2042,1))</f>
        <v/>
      </c>
      <c r="I2042">
        <f>IF(G2042=1,0,(H2042-F2042)*E2042)</f>
        <v/>
      </c>
      <c r="J2042">
        <f>E2042*F2042</f>
        <v/>
      </c>
    </row>
    <row r="2043">
      <c r="A2043">
        <f>Sources!A2043</f>
        <v/>
      </c>
      <c r="B2043">
        <f>Sources!B2043</f>
        <v/>
      </c>
      <c r="C2043">
        <f>Sources!D2043</f>
        <v/>
      </c>
      <c r="D2043">
        <f>Sources!E2043</f>
        <v/>
      </c>
      <c r="E2043">
        <f>Sources!F2043</f>
        <v/>
      </c>
      <c r="F2043">
        <f>Sources!H2043</f>
        <v/>
      </c>
      <c r="G2043">
        <f>IF(ABS(F2043-ROUND(F2043,0))&lt;0.001,1,0)</f>
        <v/>
      </c>
      <c r="H2043">
        <f>IF(G2043=1,F2043,CEILING(F2043,1))</f>
        <v/>
      </c>
      <c r="I2043">
        <f>IF(G2043=1,0,(H2043-F2043)*E2043)</f>
        <v/>
      </c>
      <c r="J2043">
        <f>E2043*F2043</f>
        <v/>
      </c>
    </row>
    <row r="2044">
      <c r="A2044">
        <f>Sources!A2044</f>
        <v/>
      </c>
      <c r="B2044">
        <f>Sources!B2044</f>
        <v/>
      </c>
      <c r="C2044">
        <f>Sources!D2044</f>
        <v/>
      </c>
      <c r="D2044">
        <f>Sources!E2044</f>
        <v/>
      </c>
      <c r="E2044">
        <f>Sources!F2044</f>
        <v/>
      </c>
      <c r="F2044">
        <f>Sources!H2044</f>
        <v/>
      </c>
      <c r="G2044">
        <f>IF(ABS(F2044-ROUND(F2044,0))&lt;0.001,1,0)</f>
        <v/>
      </c>
      <c r="H2044">
        <f>IF(G2044=1,F2044,CEILING(F2044,1))</f>
        <v/>
      </c>
      <c r="I2044">
        <f>IF(G2044=1,0,(H2044-F2044)*E2044)</f>
        <v/>
      </c>
      <c r="J2044">
        <f>E2044*F2044</f>
        <v/>
      </c>
    </row>
    <row r="2045">
      <c r="A2045">
        <f>Sources!A2045</f>
        <v/>
      </c>
      <c r="B2045">
        <f>Sources!B2045</f>
        <v/>
      </c>
      <c r="C2045">
        <f>Sources!D2045</f>
        <v/>
      </c>
      <c r="D2045">
        <f>Sources!E2045</f>
        <v/>
      </c>
      <c r="E2045">
        <f>Sources!F2045</f>
        <v/>
      </c>
      <c r="F2045">
        <f>Sources!H2045</f>
        <v/>
      </c>
      <c r="G2045">
        <f>IF(ABS(F2045-ROUND(F2045,0))&lt;0.001,1,0)</f>
        <v/>
      </c>
      <c r="H2045">
        <f>IF(G2045=1,F2045,CEILING(F2045,1))</f>
        <v/>
      </c>
      <c r="I2045">
        <f>IF(G2045=1,0,(H2045-F2045)*E2045)</f>
        <v/>
      </c>
      <c r="J2045">
        <f>E2045*F2045</f>
        <v/>
      </c>
    </row>
    <row r="2046">
      <c r="A2046">
        <f>Sources!A2046</f>
        <v/>
      </c>
      <c r="B2046">
        <f>Sources!B2046</f>
        <v/>
      </c>
      <c r="C2046">
        <f>Sources!D2046</f>
        <v/>
      </c>
      <c r="D2046">
        <f>Sources!E2046</f>
        <v/>
      </c>
      <c r="E2046">
        <f>Sources!F2046</f>
        <v/>
      </c>
      <c r="F2046">
        <f>Sources!H2046</f>
        <v/>
      </c>
      <c r="G2046">
        <f>IF(ABS(F2046-ROUND(F2046,0))&lt;0.001,1,0)</f>
        <v/>
      </c>
      <c r="H2046">
        <f>IF(G2046=1,F2046,CEILING(F2046,1))</f>
        <v/>
      </c>
      <c r="I2046">
        <f>IF(G2046=1,0,(H2046-F2046)*E2046)</f>
        <v/>
      </c>
      <c r="J2046">
        <f>E2046*F2046</f>
        <v/>
      </c>
    </row>
    <row r="2047">
      <c r="A2047">
        <f>Sources!A2047</f>
        <v/>
      </c>
      <c r="B2047">
        <f>Sources!B2047</f>
        <v/>
      </c>
      <c r="C2047">
        <f>Sources!D2047</f>
        <v/>
      </c>
      <c r="D2047">
        <f>Sources!E2047</f>
        <v/>
      </c>
      <c r="E2047">
        <f>Sources!F2047</f>
        <v/>
      </c>
      <c r="F2047">
        <f>Sources!H2047</f>
        <v/>
      </c>
      <c r="G2047">
        <f>IF(ABS(F2047-ROUND(F2047,0))&lt;0.001,1,0)</f>
        <v/>
      </c>
      <c r="H2047">
        <f>IF(G2047=1,F2047,CEILING(F2047,1))</f>
        <v/>
      </c>
      <c r="I2047">
        <f>IF(G2047=1,0,(H2047-F2047)*E2047)</f>
        <v/>
      </c>
      <c r="J2047">
        <f>E2047*F2047</f>
        <v/>
      </c>
    </row>
    <row r="2048">
      <c r="A2048">
        <f>Sources!A2048</f>
        <v/>
      </c>
      <c r="B2048">
        <f>Sources!B2048</f>
        <v/>
      </c>
      <c r="C2048">
        <f>Sources!D2048</f>
        <v/>
      </c>
      <c r="D2048">
        <f>Sources!E2048</f>
        <v/>
      </c>
      <c r="E2048">
        <f>Sources!F2048</f>
        <v/>
      </c>
      <c r="F2048">
        <f>Sources!H2048</f>
        <v/>
      </c>
      <c r="G2048">
        <f>IF(ABS(F2048-ROUND(F2048,0))&lt;0.001,1,0)</f>
        <v/>
      </c>
      <c r="H2048">
        <f>IF(G2048=1,F2048,CEILING(F2048,1))</f>
        <v/>
      </c>
      <c r="I2048">
        <f>IF(G2048=1,0,(H2048-F2048)*E2048)</f>
        <v/>
      </c>
      <c r="J2048">
        <f>E2048*F2048</f>
        <v/>
      </c>
    </row>
    <row r="2049">
      <c r="A2049">
        <f>Sources!A2049</f>
        <v/>
      </c>
      <c r="B2049">
        <f>Sources!B2049</f>
        <v/>
      </c>
      <c r="C2049">
        <f>Sources!D2049</f>
        <v/>
      </c>
      <c r="D2049">
        <f>Sources!E2049</f>
        <v/>
      </c>
      <c r="E2049">
        <f>Sources!F2049</f>
        <v/>
      </c>
      <c r="F2049">
        <f>Sources!H2049</f>
        <v/>
      </c>
      <c r="G2049">
        <f>IF(ABS(F2049-ROUND(F2049,0))&lt;0.001,1,0)</f>
        <v/>
      </c>
      <c r="H2049">
        <f>IF(G2049=1,F2049,CEILING(F2049,1))</f>
        <v/>
      </c>
      <c r="I2049">
        <f>IF(G2049=1,0,(H2049-F2049)*E2049)</f>
        <v/>
      </c>
      <c r="J2049">
        <f>E2049*F2049</f>
        <v/>
      </c>
    </row>
    <row r="2050">
      <c r="A2050">
        <f>Sources!A2050</f>
        <v/>
      </c>
      <c r="B2050">
        <f>Sources!B2050</f>
        <v/>
      </c>
      <c r="C2050">
        <f>Sources!D2050</f>
        <v/>
      </c>
      <c r="D2050">
        <f>Sources!E2050</f>
        <v/>
      </c>
      <c r="E2050">
        <f>Sources!F2050</f>
        <v/>
      </c>
      <c r="F2050">
        <f>Sources!H2050</f>
        <v/>
      </c>
      <c r="G2050">
        <f>IF(ABS(F2050-ROUND(F2050,0))&lt;0.001,1,0)</f>
        <v/>
      </c>
      <c r="H2050">
        <f>IF(G2050=1,F2050,CEILING(F2050,1))</f>
        <v/>
      </c>
      <c r="I2050">
        <f>IF(G2050=1,0,(H2050-F2050)*E2050)</f>
        <v/>
      </c>
      <c r="J2050">
        <f>E2050*F2050</f>
        <v/>
      </c>
    </row>
    <row r="2051">
      <c r="A2051">
        <f>Sources!A2051</f>
        <v/>
      </c>
      <c r="B2051">
        <f>Sources!B2051</f>
        <v/>
      </c>
      <c r="C2051">
        <f>Sources!D2051</f>
        <v/>
      </c>
      <c r="D2051">
        <f>Sources!E2051</f>
        <v/>
      </c>
      <c r="E2051">
        <f>Sources!F2051</f>
        <v/>
      </c>
      <c r="F2051">
        <f>Sources!H2051</f>
        <v/>
      </c>
      <c r="G2051">
        <f>IF(ABS(F2051-ROUND(F2051,0))&lt;0.001,1,0)</f>
        <v/>
      </c>
      <c r="H2051">
        <f>IF(G2051=1,F2051,CEILING(F2051,1))</f>
        <v/>
      </c>
      <c r="I2051">
        <f>IF(G2051=1,0,(H2051-F2051)*E2051)</f>
        <v/>
      </c>
      <c r="J2051">
        <f>E2051*F2051</f>
        <v/>
      </c>
    </row>
    <row r="2052">
      <c r="A2052">
        <f>Sources!A2052</f>
        <v/>
      </c>
      <c r="B2052">
        <f>Sources!B2052</f>
        <v/>
      </c>
      <c r="C2052">
        <f>Sources!D2052</f>
        <v/>
      </c>
      <c r="D2052">
        <f>Sources!E2052</f>
        <v/>
      </c>
      <c r="E2052">
        <f>Sources!F2052</f>
        <v/>
      </c>
      <c r="F2052">
        <f>Sources!H2052</f>
        <v/>
      </c>
      <c r="G2052">
        <f>IF(ABS(F2052-ROUND(F2052,0))&lt;0.001,1,0)</f>
        <v/>
      </c>
      <c r="H2052">
        <f>IF(G2052=1,F2052,CEILING(F2052,1))</f>
        <v/>
      </c>
      <c r="I2052">
        <f>IF(G2052=1,0,(H2052-F2052)*E2052)</f>
        <v/>
      </c>
      <c r="J2052">
        <f>E2052*F2052</f>
        <v/>
      </c>
    </row>
    <row r="2053">
      <c r="A2053">
        <f>Sources!A2053</f>
        <v/>
      </c>
      <c r="B2053">
        <f>Sources!B2053</f>
        <v/>
      </c>
      <c r="C2053">
        <f>Sources!D2053</f>
        <v/>
      </c>
      <c r="D2053">
        <f>Sources!E2053</f>
        <v/>
      </c>
      <c r="E2053">
        <f>Sources!F2053</f>
        <v/>
      </c>
      <c r="F2053">
        <f>Sources!H2053</f>
        <v/>
      </c>
      <c r="G2053">
        <f>IF(ABS(F2053-ROUND(F2053,0))&lt;0.001,1,0)</f>
        <v/>
      </c>
      <c r="H2053">
        <f>IF(G2053=1,F2053,CEILING(F2053,1))</f>
        <v/>
      </c>
      <c r="I2053">
        <f>IF(G2053=1,0,(H2053-F2053)*E2053)</f>
        <v/>
      </c>
      <c r="J2053">
        <f>E2053*F2053</f>
        <v/>
      </c>
    </row>
    <row r="2054">
      <c r="A2054">
        <f>Sources!A2054</f>
        <v/>
      </c>
      <c r="B2054">
        <f>Sources!B2054</f>
        <v/>
      </c>
      <c r="C2054">
        <f>Sources!D2054</f>
        <v/>
      </c>
      <c r="D2054">
        <f>Sources!E2054</f>
        <v/>
      </c>
      <c r="E2054">
        <f>Sources!F2054</f>
        <v/>
      </c>
      <c r="F2054">
        <f>Sources!H2054</f>
        <v/>
      </c>
      <c r="G2054">
        <f>IF(ABS(F2054-ROUND(F2054,0))&lt;0.001,1,0)</f>
        <v/>
      </c>
      <c r="H2054">
        <f>IF(G2054=1,F2054,CEILING(F2054,1))</f>
        <v/>
      </c>
      <c r="I2054">
        <f>IF(G2054=1,0,(H2054-F2054)*E2054)</f>
        <v/>
      </c>
      <c r="J2054">
        <f>E2054*F2054</f>
        <v/>
      </c>
    </row>
    <row r="2055">
      <c r="A2055">
        <f>Sources!A2055</f>
        <v/>
      </c>
      <c r="B2055">
        <f>Sources!B2055</f>
        <v/>
      </c>
      <c r="C2055">
        <f>Sources!D2055</f>
        <v/>
      </c>
      <c r="D2055">
        <f>Sources!E2055</f>
        <v/>
      </c>
      <c r="E2055">
        <f>Sources!F2055</f>
        <v/>
      </c>
      <c r="F2055">
        <f>Sources!H2055</f>
        <v/>
      </c>
      <c r="G2055">
        <f>IF(ABS(F2055-ROUND(F2055,0))&lt;0.001,1,0)</f>
        <v/>
      </c>
      <c r="H2055">
        <f>IF(G2055=1,F2055,CEILING(F2055,1))</f>
        <v/>
      </c>
      <c r="I2055">
        <f>IF(G2055=1,0,(H2055-F2055)*E2055)</f>
        <v/>
      </c>
      <c r="J2055">
        <f>E2055*F2055</f>
        <v/>
      </c>
    </row>
    <row r="2056">
      <c r="A2056">
        <f>Sources!A2056</f>
        <v/>
      </c>
      <c r="B2056">
        <f>Sources!B2056</f>
        <v/>
      </c>
      <c r="C2056">
        <f>Sources!D2056</f>
        <v/>
      </c>
      <c r="D2056">
        <f>Sources!E2056</f>
        <v/>
      </c>
      <c r="E2056">
        <f>Sources!F2056</f>
        <v/>
      </c>
      <c r="F2056">
        <f>Sources!H2056</f>
        <v/>
      </c>
      <c r="G2056">
        <f>IF(ABS(F2056-ROUND(F2056,0))&lt;0.001,1,0)</f>
        <v/>
      </c>
      <c r="H2056">
        <f>IF(G2056=1,F2056,CEILING(F2056,1))</f>
        <v/>
      </c>
      <c r="I2056">
        <f>IF(G2056=1,0,(H2056-F2056)*E2056)</f>
        <v/>
      </c>
      <c r="J2056">
        <f>E2056*F2056</f>
        <v/>
      </c>
    </row>
    <row r="2057">
      <c r="A2057">
        <f>Sources!A2057</f>
        <v/>
      </c>
      <c r="B2057">
        <f>Sources!B2057</f>
        <v/>
      </c>
      <c r="C2057">
        <f>Sources!D2057</f>
        <v/>
      </c>
      <c r="D2057">
        <f>Sources!E2057</f>
        <v/>
      </c>
      <c r="E2057">
        <f>Sources!F2057</f>
        <v/>
      </c>
      <c r="F2057">
        <f>Sources!H2057</f>
        <v/>
      </c>
      <c r="G2057">
        <f>IF(ABS(F2057-ROUND(F2057,0))&lt;0.001,1,0)</f>
        <v/>
      </c>
      <c r="H2057">
        <f>IF(G2057=1,F2057,CEILING(F2057,1))</f>
        <v/>
      </c>
      <c r="I2057">
        <f>IF(G2057=1,0,(H2057-F2057)*E2057)</f>
        <v/>
      </c>
      <c r="J2057">
        <f>E2057*F2057</f>
        <v/>
      </c>
    </row>
    <row r="2058">
      <c r="A2058">
        <f>Sources!A2058</f>
        <v/>
      </c>
      <c r="B2058">
        <f>Sources!B2058</f>
        <v/>
      </c>
      <c r="C2058">
        <f>Sources!D2058</f>
        <v/>
      </c>
      <c r="D2058">
        <f>Sources!E2058</f>
        <v/>
      </c>
      <c r="E2058">
        <f>Sources!F2058</f>
        <v/>
      </c>
      <c r="F2058">
        <f>Sources!H2058</f>
        <v/>
      </c>
      <c r="G2058">
        <f>IF(ABS(F2058-ROUND(F2058,0))&lt;0.001,1,0)</f>
        <v/>
      </c>
      <c r="H2058">
        <f>IF(G2058=1,F2058,CEILING(F2058,1))</f>
        <v/>
      </c>
      <c r="I2058">
        <f>IF(G2058=1,0,(H2058-F2058)*E2058)</f>
        <v/>
      </c>
      <c r="J2058">
        <f>E2058*F2058</f>
        <v/>
      </c>
    </row>
    <row r="2059">
      <c r="A2059">
        <f>Sources!A2059</f>
        <v/>
      </c>
      <c r="B2059">
        <f>Sources!B2059</f>
        <v/>
      </c>
      <c r="C2059">
        <f>Sources!D2059</f>
        <v/>
      </c>
      <c r="D2059">
        <f>Sources!E2059</f>
        <v/>
      </c>
      <c r="E2059">
        <f>Sources!F2059</f>
        <v/>
      </c>
      <c r="F2059">
        <f>Sources!H2059</f>
        <v/>
      </c>
      <c r="G2059">
        <f>IF(ABS(F2059-ROUND(F2059,0))&lt;0.001,1,0)</f>
        <v/>
      </c>
      <c r="H2059">
        <f>IF(G2059=1,F2059,CEILING(F2059,1))</f>
        <v/>
      </c>
      <c r="I2059">
        <f>IF(G2059=1,0,(H2059-F2059)*E2059)</f>
        <v/>
      </c>
      <c r="J2059">
        <f>E2059*F2059</f>
        <v/>
      </c>
    </row>
    <row r="2060">
      <c r="A2060">
        <f>Sources!A2060</f>
        <v/>
      </c>
      <c r="B2060">
        <f>Sources!B2060</f>
        <v/>
      </c>
      <c r="C2060">
        <f>Sources!D2060</f>
        <v/>
      </c>
      <c r="D2060">
        <f>Sources!E2060</f>
        <v/>
      </c>
      <c r="E2060">
        <f>Sources!F2060</f>
        <v/>
      </c>
      <c r="F2060">
        <f>Sources!H2060</f>
        <v/>
      </c>
      <c r="G2060">
        <f>IF(ABS(F2060-ROUND(F2060,0))&lt;0.001,1,0)</f>
        <v/>
      </c>
      <c r="H2060">
        <f>IF(G2060=1,F2060,CEILING(F2060,1))</f>
        <v/>
      </c>
      <c r="I2060">
        <f>IF(G2060=1,0,(H2060-F2060)*E2060)</f>
        <v/>
      </c>
      <c r="J2060">
        <f>E2060*F2060</f>
        <v/>
      </c>
    </row>
    <row r="2061">
      <c r="A2061">
        <f>Sources!A2061</f>
        <v/>
      </c>
      <c r="B2061">
        <f>Sources!B2061</f>
        <v/>
      </c>
      <c r="C2061">
        <f>Sources!D2061</f>
        <v/>
      </c>
      <c r="D2061">
        <f>Sources!E2061</f>
        <v/>
      </c>
      <c r="E2061">
        <f>Sources!F2061</f>
        <v/>
      </c>
      <c r="F2061">
        <f>Sources!H2061</f>
        <v/>
      </c>
      <c r="G2061">
        <f>IF(ABS(F2061-ROUND(F2061,0))&lt;0.001,1,0)</f>
        <v/>
      </c>
      <c r="H2061">
        <f>IF(G2061=1,F2061,CEILING(F2061,1))</f>
        <v/>
      </c>
      <c r="I2061">
        <f>IF(G2061=1,0,(H2061-F2061)*E2061)</f>
        <v/>
      </c>
      <c r="J2061">
        <f>E2061*F2061</f>
        <v/>
      </c>
    </row>
    <row r="2062">
      <c r="A2062">
        <f>Sources!A2062</f>
        <v/>
      </c>
      <c r="B2062">
        <f>Sources!B2062</f>
        <v/>
      </c>
      <c r="C2062">
        <f>Sources!D2062</f>
        <v/>
      </c>
      <c r="D2062">
        <f>Sources!E2062</f>
        <v/>
      </c>
      <c r="E2062">
        <f>Sources!F2062</f>
        <v/>
      </c>
      <c r="F2062">
        <f>Sources!H2062</f>
        <v/>
      </c>
      <c r="G2062">
        <f>IF(ABS(F2062-ROUND(F2062,0))&lt;0.001,1,0)</f>
        <v/>
      </c>
      <c r="H2062">
        <f>IF(G2062=1,F2062,CEILING(F2062,1))</f>
        <v/>
      </c>
      <c r="I2062">
        <f>IF(G2062=1,0,(H2062-F2062)*E2062)</f>
        <v/>
      </c>
      <c r="J2062">
        <f>E2062*F2062</f>
        <v/>
      </c>
    </row>
    <row r="2063">
      <c r="A2063">
        <f>Sources!A2063</f>
        <v/>
      </c>
      <c r="B2063">
        <f>Sources!B2063</f>
        <v/>
      </c>
      <c r="C2063">
        <f>Sources!D2063</f>
        <v/>
      </c>
      <c r="D2063">
        <f>Sources!E2063</f>
        <v/>
      </c>
      <c r="E2063">
        <f>Sources!F2063</f>
        <v/>
      </c>
      <c r="F2063">
        <f>Sources!H2063</f>
        <v/>
      </c>
      <c r="G2063">
        <f>IF(ABS(F2063-ROUND(F2063,0))&lt;0.001,1,0)</f>
        <v/>
      </c>
      <c r="H2063">
        <f>IF(G2063=1,F2063,CEILING(F2063,1))</f>
        <v/>
      </c>
      <c r="I2063">
        <f>IF(G2063=1,0,(H2063-F2063)*E2063)</f>
        <v/>
      </c>
      <c r="J2063">
        <f>E2063*F2063</f>
        <v/>
      </c>
    </row>
    <row r="2064">
      <c r="A2064">
        <f>Sources!A2064</f>
        <v/>
      </c>
      <c r="B2064">
        <f>Sources!B2064</f>
        <v/>
      </c>
      <c r="C2064">
        <f>Sources!D2064</f>
        <v/>
      </c>
      <c r="D2064">
        <f>Sources!E2064</f>
        <v/>
      </c>
      <c r="E2064">
        <f>Sources!F2064</f>
        <v/>
      </c>
      <c r="F2064">
        <f>Sources!H2064</f>
        <v/>
      </c>
      <c r="G2064">
        <f>IF(ABS(F2064-ROUND(F2064,0))&lt;0.001,1,0)</f>
        <v/>
      </c>
      <c r="H2064">
        <f>IF(G2064=1,F2064,CEILING(F2064,1))</f>
        <v/>
      </c>
      <c r="I2064">
        <f>IF(G2064=1,0,(H2064-F2064)*E2064)</f>
        <v/>
      </c>
      <c r="J2064">
        <f>E2064*F2064</f>
        <v/>
      </c>
    </row>
    <row r="2065">
      <c r="A2065">
        <f>Sources!A2065</f>
        <v/>
      </c>
      <c r="B2065">
        <f>Sources!B2065</f>
        <v/>
      </c>
      <c r="C2065">
        <f>Sources!D2065</f>
        <v/>
      </c>
      <c r="D2065">
        <f>Sources!E2065</f>
        <v/>
      </c>
      <c r="E2065">
        <f>Sources!F2065</f>
        <v/>
      </c>
      <c r="F2065">
        <f>Sources!H2065</f>
        <v/>
      </c>
      <c r="G2065">
        <f>IF(ABS(F2065-ROUND(F2065,0))&lt;0.001,1,0)</f>
        <v/>
      </c>
      <c r="H2065">
        <f>IF(G2065=1,F2065,CEILING(F2065,1))</f>
        <v/>
      </c>
      <c r="I2065">
        <f>IF(G2065=1,0,(H2065-F2065)*E2065)</f>
        <v/>
      </c>
      <c r="J2065">
        <f>E2065*F2065</f>
        <v/>
      </c>
    </row>
    <row r="2066">
      <c r="A2066">
        <f>Sources!A2066</f>
        <v/>
      </c>
      <c r="B2066">
        <f>Sources!B2066</f>
        <v/>
      </c>
      <c r="C2066">
        <f>Sources!D2066</f>
        <v/>
      </c>
      <c r="D2066">
        <f>Sources!E2066</f>
        <v/>
      </c>
      <c r="E2066">
        <f>Sources!F2066</f>
        <v/>
      </c>
      <c r="F2066">
        <f>Sources!H2066</f>
        <v/>
      </c>
      <c r="G2066">
        <f>IF(ABS(F2066-ROUND(F2066,0))&lt;0.001,1,0)</f>
        <v/>
      </c>
      <c r="H2066">
        <f>IF(G2066=1,F2066,CEILING(F2066,1))</f>
        <v/>
      </c>
      <c r="I2066">
        <f>IF(G2066=1,0,(H2066-F2066)*E2066)</f>
        <v/>
      </c>
      <c r="J2066">
        <f>E2066*F2066</f>
        <v/>
      </c>
    </row>
    <row r="2067">
      <c r="A2067">
        <f>Sources!A2067</f>
        <v/>
      </c>
      <c r="B2067">
        <f>Sources!B2067</f>
        <v/>
      </c>
      <c r="C2067">
        <f>Sources!D2067</f>
        <v/>
      </c>
      <c r="D2067">
        <f>Sources!E2067</f>
        <v/>
      </c>
      <c r="E2067">
        <f>Sources!F2067</f>
        <v/>
      </c>
      <c r="F2067">
        <f>Sources!H2067</f>
        <v/>
      </c>
      <c r="G2067">
        <f>IF(ABS(F2067-ROUND(F2067,0))&lt;0.001,1,0)</f>
        <v/>
      </c>
      <c r="H2067">
        <f>IF(G2067=1,F2067,CEILING(F2067,1))</f>
        <v/>
      </c>
      <c r="I2067">
        <f>IF(G2067=1,0,(H2067-F2067)*E2067)</f>
        <v/>
      </c>
      <c r="J2067">
        <f>E2067*F2067</f>
        <v/>
      </c>
    </row>
    <row r="2068">
      <c r="A2068">
        <f>Sources!A2068</f>
        <v/>
      </c>
      <c r="B2068">
        <f>Sources!B2068</f>
        <v/>
      </c>
      <c r="C2068">
        <f>Sources!D2068</f>
        <v/>
      </c>
      <c r="D2068">
        <f>Sources!E2068</f>
        <v/>
      </c>
      <c r="E2068">
        <f>Sources!F2068</f>
        <v/>
      </c>
      <c r="F2068">
        <f>Sources!H2068</f>
        <v/>
      </c>
      <c r="G2068">
        <f>IF(ABS(F2068-ROUND(F2068,0))&lt;0.001,1,0)</f>
        <v/>
      </c>
      <c r="H2068">
        <f>IF(G2068=1,F2068,CEILING(F2068,1))</f>
        <v/>
      </c>
      <c r="I2068">
        <f>IF(G2068=1,0,(H2068-F2068)*E2068)</f>
        <v/>
      </c>
      <c r="J2068">
        <f>E2068*F2068</f>
        <v/>
      </c>
    </row>
    <row r="2069">
      <c r="A2069">
        <f>Sources!A2069</f>
        <v/>
      </c>
      <c r="B2069">
        <f>Sources!B2069</f>
        <v/>
      </c>
      <c r="C2069">
        <f>Sources!D2069</f>
        <v/>
      </c>
      <c r="D2069">
        <f>Sources!E2069</f>
        <v/>
      </c>
      <c r="E2069">
        <f>Sources!F2069</f>
        <v/>
      </c>
      <c r="F2069">
        <f>Sources!H2069</f>
        <v/>
      </c>
      <c r="G2069">
        <f>IF(ABS(F2069-ROUND(F2069,0))&lt;0.001,1,0)</f>
        <v/>
      </c>
      <c r="H2069">
        <f>IF(G2069=1,F2069,CEILING(F2069,1))</f>
        <v/>
      </c>
      <c r="I2069">
        <f>IF(G2069=1,0,(H2069-F2069)*E2069)</f>
        <v/>
      </c>
      <c r="J2069">
        <f>E2069*F2069</f>
        <v/>
      </c>
    </row>
    <row r="2070">
      <c r="A2070">
        <f>Sources!A2070</f>
        <v/>
      </c>
      <c r="B2070">
        <f>Sources!B2070</f>
        <v/>
      </c>
      <c r="C2070">
        <f>Sources!D2070</f>
        <v/>
      </c>
      <c r="D2070">
        <f>Sources!E2070</f>
        <v/>
      </c>
      <c r="E2070">
        <f>Sources!F2070</f>
        <v/>
      </c>
      <c r="F2070">
        <f>Sources!H2070</f>
        <v/>
      </c>
      <c r="G2070">
        <f>IF(ABS(F2070-ROUND(F2070,0))&lt;0.001,1,0)</f>
        <v/>
      </c>
      <c r="H2070">
        <f>IF(G2070=1,F2070,CEILING(F2070,1))</f>
        <v/>
      </c>
      <c r="I2070">
        <f>IF(G2070=1,0,(H2070-F2070)*E2070)</f>
        <v/>
      </c>
      <c r="J2070">
        <f>E2070*F2070</f>
        <v/>
      </c>
    </row>
    <row r="2071">
      <c r="A2071">
        <f>Sources!A2071</f>
        <v/>
      </c>
      <c r="B2071">
        <f>Sources!B2071</f>
        <v/>
      </c>
      <c r="C2071">
        <f>Sources!D2071</f>
        <v/>
      </c>
      <c r="D2071">
        <f>Sources!E2071</f>
        <v/>
      </c>
      <c r="E2071">
        <f>Sources!F2071</f>
        <v/>
      </c>
      <c r="F2071">
        <f>Sources!H2071</f>
        <v/>
      </c>
      <c r="G2071">
        <f>IF(ABS(F2071-ROUND(F2071,0))&lt;0.001,1,0)</f>
        <v/>
      </c>
      <c r="H2071">
        <f>IF(G2071=1,F2071,CEILING(F2071,1))</f>
        <v/>
      </c>
      <c r="I2071">
        <f>IF(G2071=1,0,(H2071-F2071)*E2071)</f>
        <v/>
      </c>
      <c r="J2071">
        <f>E2071*F2071</f>
        <v/>
      </c>
    </row>
    <row r="2072">
      <c r="A2072">
        <f>Sources!A2072</f>
        <v/>
      </c>
      <c r="B2072">
        <f>Sources!B2072</f>
        <v/>
      </c>
      <c r="C2072">
        <f>Sources!D2072</f>
        <v/>
      </c>
      <c r="D2072">
        <f>Sources!E2072</f>
        <v/>
      </c>
      <c r="E2072">
        <f>Sources!F2072</f>
        <v/>
      </c>
      <c r="F2072">
        <f>Sources!H2072</f>
        <v/>
      </c>
      <c r="G2072">
        <f>IF(ABS(F2072-ROUND(F2072,0))&lt;0.001,1,0)</f>
        <v/>
      </c>
      <c r="H2072">
        <f>IF(G2072=1,F2072,CEILING(F2072,1))</f>
        <v/>
      </c>
      <c r="I2072">
        <f>IF(G2072=1,0,(H2072-F2072)*E2072)</f>
        <v/>
      </c>
      <c r="J2072">
        <f>E2072*F2072</f>
        <v/>
      </c>
    </row>
    <row r="2073">
      <c r="A2073">
        <f>Sources!A2073</f>
        <v/>
      </c>
      <c r="B2073">
        <f>Sources!B2073</f>
        <v/>
      </c>
      <c r="C2073">
        <f>Sources!D2073</f>
        <v/>
      </c>
      <c r="D2073">
        <f>Sources!E2073</f>
        <v/>
      </c>
      <c r="E2073">
        <f>Sources!F2073</f>
        <v/>
      </c>
      <c r="F2073">
        <f>Sources!H2073</f>
        <v/>
      </c>
      <c r="G2073">
        <f>IF(ABS(F2073-ROUND(F2073,0))&lt;0.001,1,0)</f>
        <v/>
      </c>
      <c r="H2073">
        <f>IF(G2073=1,F2073,CEILING(F2073,1))</f>
        <v/>
      </c>
      <c r="I2073">
        <f>IF(G2073=1,0,(H2073-F2073)*E2073)</f>
        <v/>
      </c>
      <c r="J2073">
        <f>E2073*F2073</f>
        <v/>
      </c>
    </row>
    <row r="2074">
      <c r="A2074">
        <f>Sources!A2074</f>
        <v/>
      </c>
      <c r="B2074">
        <f>Sources!B2074</f>
        <v/>
      </c>
      <c r="C2074">
        <f>Sources!D2074</f>
        <v/>
      </c>
      <c r="D2074">
        <f>Sources!E2074</f>
        <v/>
      </c>
      <c r="E2074">
        <f>Sources!F2074</f>
        <v/>
      </c>
      <c r="F2074">
        <f>Sources!H2074</f>
        <v/>
      </c>
      <c r="G2074">
        <f>IF(ABS(F2074-ROUND(F2074,0))&lt;0.001,1,0)</f>
        <v/>
      </c>
      <c r="H2074">
        <f>IF(G2074=1,F2074,CEILING(F2074,1))</f>
        <v/>
      </c>
      <c r="I2074">
        <f>IF(G2074=1,0,(H2074-F2074)*E2074)</f>
        <v/>
      </c>
      <c r="J2074">
        <f>E2074*F2074</f>
        <v/>
      </c>
    </row>
    <row r="2075">
      <c r="A2075">
        <f>Sources!A2075</f>
        <v/>
      </c>
      <c r="B2075">
        <f>Sources!B2075</f>
        <v/>
      </c>
      <c r="C2075">
        <f>Sources!D2075</f>
        <v/>
      </c>
      <c r="D2075">
        <f>Sources!E2075</f>
        <v/>
      </c>
      <c r="E2075">
        <f>Sources!F2075</f>
        <v/>
      </c>
      <c r="F2075">
        <f>Sources!H2075</f>
        <v/>
      </c>
      <c r="G2075">
        <f>IF(ABS(F2075-ROUND(F2075,0))&lt;0.001,1,0)</f>
        <v/>
      </c>
      <c r="H2075">
        <f>IF(G2075=1,F2075,CEILING(F2075,1))</f>
        <v/>
      </c>
      <c r="I2075">
        <f>IF(G2075=1,0,(H2075-F2075)*E2075)</f>
        <v/>
      </c>
      <c r="J2075">
        <f>E2075*F2075</f>
        <v/>
      </c>
    </row>
    <row r="2076">
      <c r="A2076">
        <f>Sources!A2076</f>
        <v/>
      </c>
      <c r="B2076">
        <f>Sources!B2076</f>
        <v/>
      </c>
      <c r="C2076">
        <f>Sources!D2076</f>
        <v/>
      </c>
      <c r="D2076">
        <f>Sources!E2076</f>
        <v/>
      </c>
      <c r="E2076">
        <f>Sources!F2076</f>
        <v/>
      </c>
      <c r="F2076">
        <f>Sources!H2076</f>
        <v/>
      </c>
      <c r="G2076">
        <f>IF(ABS(F2076-ROUND(F2076,0))&lt;0.001,1,0)</f>
        <v/>
      </c>
      <c r="H2076">
        <f>IF(G2076=1,F2076,CEILING(F2076,1))</f>
        <v/>
      </c>
      <c r="I2076">
        <f>IF(G2076=1,0,(H2076-F2076)*E2076)</f>
        <v/>
      </c>
      <c r="J2076">
        <f>E2076*F2076</f>
        <v/>
      </c>
    </row>
    <row r="2077">
      <c r="A2077">
        <f>Sources!A2077</f>
        <v/>
      </c>
      <c r="B2077">
        <f>Sources!B2077</f>
        <v/>
      </c>
      <c r="C2077">
        <f>Sources!D2077</f>
        <v/>
      </c>
      <c r="D2077">
        <f>Sources!E2077</f>
        <v/>
      </c>
      <c r="E2077">
        <f>Sources!F2077</f>
        <v/>
      </c>
      <c r="F2077">
        <f>Sources!H2077</f>
        <v/>
      </c>
      <c r="G2077">
        <f>IF(ABS(F2077-ROUND(F2077,0))&lt;0.001,1,0)</f>
        <v/>
      </c>
      <c r="H2077">
        <f>IF(G2077=1,F2077,CEILING(F2077,1))</f>
        <v/>
      </c>
      <c r="I2077">
        <f>IF(G2077=1,0,(H2077-F2077)*E2077)</f>
        <v/>
      </c>
      <c r="J2077">
        <f>E2077*F2077</f>
        <v/>
      </c>
    </row>
    <row r="2078">
      <c r="A2078">
        <f>Sources!A2078</f>
        <v/>
      </c>
      <c r="B2078">
        <f>Sources!B2078</f>
        <v/>
      </c>
      <c r="C2078">
        <f>Sources!D2078</f>
        <v/>
      </c>
      <c r="D2078">
        <f>Sources!E2078</f>
        <v/>
      </c>
      <c r="E2078">
        <f>Sources!F2078</f>
        <v/>
      </c>
      <c r="F2078">
        <f>Sources!H2078</f>
        <v/>
      </c>
      <c r="G2078">
        <f>IF(ABS(F2078-ROUND(F2078,0))&lt;0.001,1,0)</f>
        <v/>
      </c>
      <c r="H2078">
        <f>IF(G2078=1,F2078,CEILING(F2078,1))</f>
        <v/>
      </c>
      <c r="I2078">
        <f>IF(G2078=1,0,(H2078-F2078)*E2078)</f>
        <v/>
      </c>
      <c r="J2078">
        <f>E2078*F2078</f>
        <v/>
      </c>
    </row>
    <row r="2079">
      <c r="A2079">
        <f>Sources!A2079</f>
        <v/>
      </c>
      <c r="B2079">
        <f>Sources!B2079</f>
        <v/>
      </c>
      <c r="C2079">
        <f>Sources!D2079</f>
        <v/>
      </c>
      <c r="D2079">
        <f>Sources!E2079</f>
        <v/>
      </c>
      <c r="E2079">
        <f>Sources!F2079</f>
        <v/>
      </c>
      <c r="F2079">
        <f>Sources!H2079</f>
        <v/>
      </c>
      <c r="G2079">
        <f>IF(ABS(F2079-ROUND(F2079,0))&lt;0.001,1,0)</f>
        <v/>
      </c>
      <c r="H2079">
        <f>IF(G2079=1,F2079,CEILING(F2079,1))</f>
        <v/>
      </c>
      <c r="I2079">
        <f>IF(G2079=1,0,(H2079-F2079)*E2079)</f>
        <v/>
      </c>
      <c r="J2079">
        <f>E2079*F2079</f>
        <v/>
      </c>
    </row>
    <row r="2080">
      <c r="A2080">
        <f>Sources!A2080</f>
        <v/>
      </c>
      <c r="B2080">
        <f>Sources!B2080</f>
        <v/>
      </c>
      <c r="C2080">
        <f>Sources!D2080</f>
        <v/>
      </c>
      <c r="D2080">
        <f>Sources!E2080</f>
        <v/>
      </c>
      <c r="E2080">
        <f>Sources!F2080</f>
        <v/>
      </c>
      <c r="F2080">
        <f>Sources!H2080</f>
        <v/>
      </c>
      <c r="G2080">
        <f>IF(ABS(F2080-ROUND(F2080,0))&lt;0.001,1,0)</f>
        <v/>
      </c>
      <c r="H2080">
        <f>IF(G2080=1,F2080,CEILING(F2080,1))</f>
        <v/>
      </c>
      <c r="I2080">
        <f>IF(G2080=1,0,(H2080-F2080)*E2080)</f>
        <v/>
      </c>
      <c r="J2080">
        <f>E2080*F2080</f>
        <v/>
      </c>
    </row>
    <row r="2081">
      <c r="A2081">
        <f>Sources!A2081</f>
        <v/>
      </c>
      <c r="B2081">
        <f>Sources!B2081</f>
        <v/>
      </c>
      <c r="C2081">
        <f>Sources!D2081</f>
        <v/>
      </c>
      <c r="D2081">
        <f>Sources!E2081</f>
        <v/>
      </c>
      <c r="E2081">
        <f>Sources!F2081</f>
        <v/>
      </c>
      <c r="F2081">
        <f>Sources!H2081</f>
        <v/>
      </c>
      <c r="G2081">
        <f>IF(ABS(F2081-ROUND(F2081,0))&lt;0.001,1,0)</f>
        <v/>
      </c>
      <c r="H2081">
        <f>IF(G2081=1,F2081,CEILING(F2081,1))</f>
        <v/>
      </c>
      <c r="I2081">
        <f>IF(G2081=1,0,(H2081-F2081)*E2081)</f>
        <v/>
      </c>
      <c r="J2081">
        <f>E2081*F2081</f>
        <v/>
      </c>
    </row>
    <row r="2082">
      <c r="A2082">
        <f>Sources!A2082</f>
        <v/>
      </c>
      <c r="B2082">
        <f>Sources!B2082</f>
        <v/>
      </c>
      <c r="C2082">
        <f>Sources!D2082</f>
        <v/>
      </c>
      <c r="D2082">
        <f>Sources!E2082</f>
        <v/>
      </c>
      <c r="E2082">
        <f>Sources!F2082</f>
        <v/>
      </c>
      <c r="F2082">
        <f>Sources!H2082</f>
        <v/>
      </c>
      <c r="G2082">
        <f>IF(ABS(F2082-ROUND(F2082,0))&lt;0.001,1,0)</f>
        <v/>
      </c>
      <c r="H2082">
        <f>IF(G2082=1,F2082,CEILING(F2082,1))</f>
        <v/>
      </c>
      <c r="I2082">
        <f>IF(G2082=1,0,(H2082-F2082)*E2082)</f>
        <v/>
      </c>
      <c r="J2082">
        <f>E2082*F2082</f>
        <v/>
      </c>
    </row>
    <row r="2083">
      <c r="A2083">
        <f>Sources!A2083</f>
        <v/>
      </c>
      <c r="B2083">
        <f>Sources!B2083</f>
        <v/>
      </c>
      <c r="C2083">
        <f>Sources!D2083</f>
        <v/>
      </c>
      <c r="D2083">
        <f>Sources!E2083</f>
        <v/>
      </c>
      <c r="E2083">
        <f>Sources!F2083</f>
        <v/>
      </c>
      <c r="F2083">
        <f>Sources!H2083</f>
        <v/>
      </c>
      <c r="G2083">
        <f>IF(ABS(F2083-ROUND(F2083,0))&lt;0.001,1,0)</f>
        <v/>
      </c>
      <c r="H2083">
        <f>IF(G2083=1,F2083,CEILING(F2083,1))</f>
        <v/>
      </c>
      <c r="I2083">
        <f>IF(G2083=1,0,(H2083-F2083)*E2083)</f>
        <v/>
      </c>
      <c r="J2083">
        <f>E2083*F2083</f>
        <v/>
      </c>
    </row>
    <row r="2084">
      <c r="A2084">
        <f>Sources!A2084</f>
        <v/>
      </c>
      <c r="B2084">
        <f>Sources!B2084</f>
        <v/>
      </c>
      <c r="C2084">
        <f>Sources!D2084</f>
        <v/>
      </c>
      <c r="D2084">
        <f>Sources!E2084</f>
        <v/>
      </c>
      <c r="E2084">
        <f>Sources!F2084</f>
        <v/>
      </c>
      <c r="F2084">
        <f>Sources!H2084</f>
        <v/>
      </c>
      <c r="G2084">
        <f>IF(ABS(F2084-ROUND(F2084,0))&lt;0.001,1,0)</f>
        <v/>
      </c>
      <c r="H2084">
        <f>IF(G2084=1,F2084,CEILING(F2084,1))</f>
        <v/>
      </c>
      <c r="I2084">
        <f>IF(G2084=1,0,(H2084-F2084)*E2084)</f>
        <v/>
      </c>
      <c r="J2084">
        <f>E2084*F2084</f>
        <v/>
      </c>
    </row>
    <row r="2085">
      <c r="A2085">
        <f>Sources!A2085</f>
        <v/>
      </c>
      <c r="B2085">
        <f>Sources!B2085</f>
        <v/>
      </c>
      <c r="C2085">
        <f>Sources!D2085</f>
        <v/>
      </c>
      <c r="D2085">
        <f>Sources!E2085</f>
        <v/>
      </c>
      <c r="E2085">
        <f>Sources!F2085</f>
        <v/>
      </c>
      <c r="F2085">
        <f>Sources!H2085</f>
        <v/>
      </c>
      <c r="G2085">
        <f>IF(ABS(F2085-ROUND(F2085,0))&lt;0.001,1,0)</f>
        <v/>
      </c>
      <c r="H2085">
        <f>IF(G2085=1,F2085,CEILING(F2085,1))</f>
        <v/>
      </c>
      <c r="I2085">
        <f>IF(G2085=1,0,(H2085-F2085)*E2085)</f>
        <v/>
      </c>
      <c r="J2085">
        <f>E2085*F2085</f>
        <v/>
      </c>
    </row>
    <row r="2086">
      <c r="A2086">
        <f>Sources!A2086</f>
        <v/>
      </c>
      <c r="B2086">
        <f>Sources!B2086</f>
        <v/>
      </c>
      <c r="C2086">
        <f>Sources!D2086</f>
        <v/>
      </c>
      <c r="D2086">
        <f>Sources!E2086</f>
        <v/>
      </c>
      <c r="E2086">
        <f>Sources!F2086</f>
        <v/>
      </c>
      <c r="F2086">
        <f>Sources!H2086</f>
        <v/>
      </c>
      <c r="G2086">
        <f>IF(ABS(F2086-ROUND(F2086,0))&lt;0.001,1,0)</f>
        <v/>
      </c>
      <c r="H2086">
        <f>IF(G2086=1,F2086,CEILING(F2086,1))</f>
        <v/>
      </c>
      <c r="I2086">
        <f>IF(G2086=1,0,(H2086-F2086)*E2086)</f>
        <v/>
      </c>
      <c r="J2086">
        <f>E2086*F2086</f>
        <v/>
      </c>
    </row>
    <row r="2087">
      <c r="A2087">
        <f>Sources!A2087</f>
        <v/>
      </c>
      <c r="B2087">
        <f>Sources!B2087</f>
        <v/>
      </c>
      <c r="C2087">
        <f>Sources!D2087</f>
        <v/>
      </c>
      <c r="D2087">
        <f>Sources!E2087</f>
        <v/>
      </c>
      <c r="E2087">
        <f>Sources!F2087</f>
        <v/>
      </c>
      <c r="F2087">
        <f>Sources!H2087</f>
        <v/>
      </c>
      <c r="G2087">
        <f>IF(ABS(F2087-ROUND(F2087,0))&lt;0.001,1,0)</f>
        <v/>
      </c>
      <c r="H2087">
        <f>IF(G2087=1,F2087,CEILING(F2087,1))</f>
        <v/>
      </c>
      <c r="I2087">
        <f>IF(G2087=1,0,(H2087-F2087)*E2087)</f>
        <v/>
      </c>
      <c r="J2087">
        <f>E2087*F2087</f>
        <v/>
      </c>
    </row>
    <row r="2088">
      <c r="A2088">
        <f>Sources!A2088</f>
        <v/>
      </c>
      <c r="B2088">
        <f>Sources!B2088</f>
        <v/>
      </c>
      <c r="C2088">
        <f>Sources!D2088</f>
        <v/>
      </c>
      <c r="D2088">
        <f>Sources!E2088</f>
        <v/>
      </c>
      <c r="E2088">
        <f>Sources!F2088</f>
        <v/>
      </c>
      <c r="F2088">
        <f>Sources!H2088</f>
        <v/>
      </c>
      <c r="G2088">
        <f>IF(ABS(F2088-ROUND(F2088,0))&lt;0.001,1,0)</f>
        <v/>
      </c>
      <c r="H2088">
        <f>IF(G2088=1,F2088,CEILING(F2088,1))</f>
        <v/>
      </c>
      <c r="I2088">
        <f>IF(G2088=1,0,(H2088-F2088)*E2088)</f>
        <v/>
      </c>
      <c r="J2088">
        <f>E2088*F2088</f>
        <v/>
      </c>
    </row>
    <row r="2089">
      <c r="A2089">
        <f>Sources!A2089</f>
        <v/>
      </c>
      <c r="B2089">
        <f>Sources!B2089</f>
        <v/>
      </c>
      <c r="C2089">
        <f>Sources!D2089</f>
        <v/>
      </c>
      <c r="D2089">
        <f>Sources!E2089</f>
        <v/>
      </c>
      <c r="E2089">
        <f>Sources!F2089</f>
        <v/>
      </c>
      <c r="F2089">
        <f>Sources!H2089</f>
        <v/>
      </c>
      <c r="G2089">
        <f>IF(ABS(F2089-ROUND(F2089,0))&lt;0.001,1,0)</f>
        <v/>
      </c>
      <c r="H2089">
        <f>IF(G2089=1,F2089,CEILING(F2089,1))</f>
        <v/>
      </c>
      <c r="I2089">
        <f>IF(G2089=1,0,(H2089-F2089)*E2089)</f>
        <v/>
      </c>
      <c r="J2089">
        <f>E2089*F2089</f>
        <v/>
      </c>
    </row>
    <row r="2090">
      <c r="A2090">
        <f>Sources!A2090</f>
        <v/>
      </c>
      <c r="B2090">
        <f>Sources!B2090</f>
        <v/>
      </c>
      <c r="C2090">
        <f>Sources!D2090</f>
        <v/>
      </c>
      <c r="D2090">
        <f>Sources!E2090</f>
        <v/>
      </c>
      <c r="E2090">
        <f>Sources!F2090</f>
        <v/>
      </c>
      <c r="F2090">
        <f>Sources!H2090</f>
        <v/>
      </c>
      <c r="G2090">
        <f>IF(ABS(F2090-ROUND(F2090,0))&lt;0.001,1,0)</f>
        <v/>
      </c>
      <c r="H2090">
        <f>IF(G2090=1,F2090,CEILING(F2090,1))</f>
        <v/>
      </c>
      <c r="I2090">
        <f>IF(G2090=1,0,(H2090-F2090)*E2090)</f>
        <v/>
      </c>
      <c r="J2090">
        <f>E2090*F2090</f>
        <v/>
      </c>
    </row>
    <row r="2091">
      <c r="A2091">
        <f>Sources!A2091</f>
        <v/>
      </c>
      <c r="B2091">
        <f>Sources!B2091</f>
        <v/>
      </c>
      <c r="C2091">
        <f>Sources!D2091</f>
        <v/>
      </c>
      <c r="D2091">
        <f>Sources!E2091</f>
        <v/>
      </c>
      <c r="E2091">
        <f>Sources!F2091</f>
        <v/>
      </c>
      <c r="F2091">
        <f>Sources!H2091</f>
        <v/>
      </c>
      <c r="G2091">
        <f>IF(ABS(F2091-ROUND(F2091,0))&lt;0.001,1,0)</f>
        <v/>
      </c>
      <c r="H2091">
        <f>IF(G2091=1,F2091,CEILING(F2091,1))</f>
        <v/>
      </c>
      <c r="I2091">
        <f>IF(G2091=1,0,(H2091-F2091)*E2091)</f>
        <v/>
      </c>
      <c r="J2091">
        <f>E2091*F2091</f>
        <v/>
      </c>
    </row>
    <row r="2092">
      <c r="A2092">
        <f>Sources!A2092</f>
        <v/>
      </c>
      <c r="B2092">
        <f>Sources!B2092</f>
        <v/>
      </c>
      <c r="C2092">
        <f>Sources!D2092</f>
        <v/>
      </c>
      <c r="D2092">
        <f>Sources!E2092</f>
        <v/>
      </c>
      <c r="E2092">
        <f>Sources!F2092</f>
        <v/>
      </c>
      <c r="F2092">
        <f>Sources!H2092</f>
        <v/>
      </c>
      <c r="G2092">
        <f>IF(ABS(F2092-ROUND(F2092,0))&lt;0.001,1,0)</f>
        <v/>
      </c>
      <c r="H2092">
        <f>IF(G2092=1,F2092,CEILING(F2092,1))</f>
        <v/>
      </c>
      <c r="I2092">
        <f>IF(G2092=1,0,(H2092-F2092)*E2092)</f>
        <v/>
      </c>
      <c r="J2092">
        <f>E2092*F2092</f>
        <v/>
      </c>
    </row>
    <row r="2093">
      <c r="A2093">
        <f>Sources!A2093</f>
        <v/>
      </c>
      <c r="B2093">
        <f>Sources!B2093</f>
        <v/>
      </c>
      <c r="C2093">
        <f>Sources!D2093</f>
        <v/>
      </c>
      <c r="D2093">
        <f>Sources!E2093</f>
        <v/>
      </c>
      <c r="E2093">
        <f>Sources!F2093</f>
        <v/>
      </c>
      <c r="F2093">
        <f>Sources!H2093</f>
        <v/>
      </c>
      <c r="G2093">
        <f>IF(ABS(F2093-ROUND(F2093,0))&lt;0.001,1,0)</f>
        <v/>
      </c>
      <c r="H2093">
        <f>IF(G2093=1,F2093,CEILING(F2093,1))</f>
        <v/>
      </c>
      <c r="I2093">
        <f>IF(G2093=1,0,(H2093-F2093)*E2093)</f>
        <v/>
      </c>
      <c r="J2093">
        <f>E2093*F2093</f>
        <v/>
      </c>
    </row>
    <row r="2094">
      <c r="A2094">
        <f>Sources!A2094</f>
        <v/>
      </c>
      <c r="B2094">
        <f>Sources!B2094</f>
        <v/>
      </c>
      <c r="C2094">
        <f>Sources!D2094</f>
        <v/>
      </c>
      <c r="D2094">
        <f>Sources!E2094</f>
        <v/>
      </c>
      <c r="E2094">
        <f>Sources!F2094</f>
        <v/>
      </c>
      <c r="F2094">
        <f>Sources!H2094</f>
        <v/>
      </c>
      <c r="G2094">
        <f>IF(ABS(F2094-ROUND(F2094,0))&lt;0.001,1,0)</f>
        <v/>
      </c>
      <c r="H2094">
        <f>IF(G2094=1,F2094,CEILING(F2094,1))</f>
        <v/>
      </c>
      <c r="I2094">
        <f>IF(G2094=1,0,(H2094-F2094)*E2094)</f>
        <v/>
      </c>
      <c r="J2094">
        <f>E2094*F2094</f>
        <v/>
      </c>
    </row>
    <row r="2095">
      <c r="A2095">
        <f>Sources!A2095</f>
        <v/>
      </c>
      <c r="B2095">
        <f>Sources!B2095</f>
        <v/>
      </c>
      <c r="C2095">
        <f>Sources!D2095</f>
        <v/>
      </c>
      <c r="D2095">
        <f>Sources!E2095</f>
        <v/>
      </c>
      <c r="E2095">
        <f>Sources!F2095</f>
        <v/>
      </c>
      <c r="F2095">
        <f>Sources!H2095</f>
        <v/>
      </c>
      <c r="G2095">
        <f>IF(ABS(F2095-ROUND(F2095,0))&lt;0.001,1,0)</f>
        <v/>
      </c>
      <c r="H2095">
        <f>IF(G2095=1,F2095,CEILING(F2095,1))</f>
        <v/>
      </c>
      <c r="I2095">
        <f>IF(G2095=1,0,(H2095-F2095)*E2095)</f>
        <v/>
      </c>
      <c r="J2095">
        <f>E2095*F2095</f>
        <v/>
      </c>
    </row>
    <row r="2096">
      <c r="A2096">
        <f>Sources!A2096</f>
        <v/>
      </c>
      <c r="B2096">
        <f>Sources!B2096</f>
        <v/>
      </c>
      <c r="C2096">
        <f>Sources!D2096</f>
        <v/>
      </c>
      <c r="D2096">
        <f>Sources!E2096</f>
        <v/>
      </c>
      <c r="E2096">
        <f>Sources!F2096</f>
        <v/>
      </c>
      <c r="F2096">
        <f>Sources!H2096</f>
        <v/>
      </c>
      <c r="G2096">
        <f>IF(ABS(F2096-ROUND(F2096,0))&lt;0.001,1,0)</f>
        <v/>
      </c>
      <c r="H2096">
        <f>IF(G2096=1,F2096,CEILING(F2096,1))</f>
        <v/>
      </c>
      <c r="I2096">
        <f>IF(G2096=1,0,(H2096-F2096)*E2096)</f>
        <v/>
      </c>
      <c r="J2096">
        <f>E2096*F2096</f>
        <v/>
      </c>
    </row>
    <row r="2097">
      <c r="A2097">
        <f>Sources!A2097</f>
        <v/>
      </c>
      <c r="B2097">
        <f>Sources!B2097</f>
        <v/>
      </c>
      <c r="C2097">
        <f>Sources!D2097</f>
        <v/>
      </c>
      <c r="D2097">
        <f>Sources!E2097</f>
        <v/>
      </c>
      <c r="E2097">
        <f>Sources!F2097</f>
        <v/>
      </c>
      <c r="F2097">
        <f>Sources!H2097</f>
        <v/>
      </c>
      <c r="G2097">
        <f>IF(ABS(F2097-ROUND(F2097,0))&lt;0.001,1,0)</f>
        <v/>
      </c>
      <c r="H2097">
        <f>IF(G2097=1,F2097,CEILING(F2097,1))</f>
        <v/>
      </c>
      <c r="I2097">
        <f>IF(G2097=1,0,(H2097-F2097)*E2097)</f>
        <v/>
      </c>
      <c r="J2097">
        <f>E2097*F2097</f>
        <v/>
      </c>
    </row>
    <row r="2098">
      <c r="A2098">
        <f>Sources!A2098</f>
        <v/>
      </c>
      <c r="B2098">
        <f>Sources!B2098</f>
        <v/>
      </c>
      <c r="C2098">
        <f>Sources!D2098</f>
        <v/>
      </c>
      <c r="D2098">
        <f>Sources!E2098</f>
        <v/>
      </c>
      <c r="E2098">
        <f>Sources!F2098</f>
        <v/>
      </c>
      <c r="F2098">
        <f>Sources!H2098</f>
        <v/>
      </c>
      <c r="G2098">
        <f>IF(ABS(F2098-ROUND(F2098,0))&lt;0.001,1,0)</f>
        <v/>
      </c>
      <c r="H2098">
        <f>IF(G2098=1,F2098,CEILING(F2098,1))</f>
        <v/>
      </c>
      <c r="I2098">
        <f>IF(G2098=1,0,(H2098-F2098)*E2098)</f>
        <v/>
      </c>
      <c r="J2098">
        <f>E2098*F2098</f>
        <v/>
      </c>
    </row>
    <row r="2099">
      <c r="A2099">
        <f>Sources!A2099</f>
        <v/>
      </c>
      <c r="B2099">
        <f>Sources!B2099</f>
        <v/>
      </c>
      <c r="C2099">
        <f>Sources!D2099</f>
        <v/>
      </c>
      <c r="D2099">
        <f>Sources!E2099</f>
        <v/>
      </c>
      <c r="E2099">
        <f>Sources!F2099</f>
        <v/>
      </c>
      <c r="F2099">
        <f>Sources!H2099</f>
        <v/>
      </c>
      <c r="G2099">
        <f>IF(ABS(F2099-ROUND(F2099,0))&lt;0.001,1,0)</f>
        <v/>
      </c>
      <c r="H2099">
        <f>IF(G2099=1,F2099,CEILING(F2099,1))</f>
        <v/>
      </c>
      <c r="I2099">
        <f>IF(G2099=1,0,(H2099-F2099)*E2099)</f>
        <v/>
      </c>
      <c r="J2099">
        <f>E2099*F2099</f>
        <v/>
      </c>
    </row>
    <row r="2100">
      <c r="A2100">
        <f>Sources!A2100</f>
        <v/>
      </c>
      <c r="B2100">
        <f>Sources!B2100</f>
        <v/>
      </c>
      <c r="C2100">
        <f>Sources!D2100</f>
        <v/>
      </c>
      <c r="D2100">
        <f>Sources!E2100</f>
        <v/>
      </c>
      <c r="E2100">
        <f>Sources!F2100</f>
        <v/>
      </c>
      <c r="F2100">
        <f>Sources!H2100</f>
        <v/>
      </c>
      <c r="G2100">
        <f>IF(ABS(F2100-ROUND(F2100,0))&lt;0.001,1,0)</f>
        <v/>
      </c>
      <c r="H2100">
        <f>IF(G2100=1,F2100,CEILING(F2100,1))</f>
        <v/>
      </c>
      <c r="I2100">
        <f>IF(G2100=1,0,(H2100-F2100)*E2100)</f>
        <v/>
      </c>
      <c r="J2100">
        <f>E2100*F2100</f>
        <v/>
      </c>
    </row>
    <row r="2101">
      <c r="A2101">
        <f>Sources!A2101</f>
        <v/>
      </c>
      <c r="B2101">
        <f>Sources!B2101</f>
        <v/>
      </c>
      <c r="C2101">
        <f>Sources!D2101</f>
        <v/>
      </c>
      <c r="D2101">
        <f>Sources!E2101</f>
        <v/>
      </c>
      <c r="E2101">
        <f>Sources!F2101</f>
        <v/>
      </c>
      <c r="F2101">
        <f>Sources!H2101</f>
        <v/>
      </c>
      <c r="G2101">
        <f>IF(ABS(F2101-ROUND(F2101,0))&lt;0.001,1,0)</f>
        <v/>
      </c>
      <c r="H2101">
        <f>IF(G2101=1,F2101,CEILING(F2101,1))</f>
        <v/>
      </c>
      <c r="I2101">
        <f>IF(G2101=1,0,(H2101-F2101)*E2101)</f>
        <v/>
      </c>
      <c r="J2101">
        <f>E2101*F2101</f>
        <v/>
      </c>
    </row>
    <row r="2102">
      <c r="A2102">
        <f>Sources!A2102</f>
        <v/>
      </c>
      <c r="B2102">
        <f>Sources!B2102</f>
        <v/>
      </c>
      <c r="C2102">
        <f>Sources!D2102</f>
        <v/>
      </c>
      <c r="D2102">
        <f>Sources!E2102</f>
        <v/>
      </c>
      <c r="E2102">
        <f>Sources!F2102</f>
        <v/>
      </c>
      <c r="F2102">
        <f>Sources!H2102</f>
        <v/>
      </c>
      <c r="G2102">
        <f>IF(ABS(F2102-ROUND(F2102,0))&lt;0.001,1,0)</f>
        <v/>
      </c>
      <c r="H2102">
        <f>IF(G2102=1,F2102,CEILING(F2102,1))</f>
        <v/>
      </c>
      <c r="I2102">
        <f>IF(G2102=1,0,(H2102-F2102)*E2102)</f>
        <v/>
      </c>
      <c r="J2102">
        <f>E2102*F2102</f>
        <v/>
      </c>
    </row>
    <row r="2103">
      <c r="A2103">
        <f>Sources!A2103</f>
        <v/>
      </c>
      <c r="B2103">
        <f>Sources!B2103</f>
        <v/>
      </c>
      <c r="C2103">
        <f>Sources!D2103</f>
        <v/>
      </c>
      <c r="D2103">
        <f>Sources!E2103</f>
        <v/>
      </c>
      <c r="E2103">
        <f>Sources!F2103</f>
        <v/>
      </c>
      <c r="F2103">
        <f>Sources!H2103</f>
        <v/>
      </c>
      <c r="G2103">
        <f>IF(ABS(F2103-ROUND(F2103,0))&lt;0.001,1,0)</f>
        <v/>
      </c>
      <c r="H2103">
        <f>IF(G2103=1,F2103,CEILING(F2103,1))</f>
        <v/>
      </c>
      <c r="I2103">
        <f>IF(G2103=1,0,(H2103-F2103)*E2103)</f>
        <v/>
      </c>
      <c r="J2103">
        <f>E2103*F2103</f>
        <v/>
      </c>
    </row>
    <row r="2104">
      <c r="A2104">
        <f>Sources!A2104</f>
        <v/>
      </c>
      <c r="B2104">
        <f>Sources!B2104</f>
        <v/>
      </c>
      <c r="C2104">
        <f>Sources!D2104</f>
        <v/>
      </c>
      <c r="D2104">
        <f>Sources!E2104</f>
        <v/>
      </c>
      <c r="E2104">
        <f>Sources!F2104</f>
        <v/>
      </c>
      <c r="F2104">
        <f>Sources!H2104</f>
        <v/>
      </c>
      <c r="G2104">
        <f>IF(ABS(F2104-ROUND(F2104,0))&lt;0.001,1,0)</f>
        <v/>
      </c>
      <c r="H2104">
        <f>IF(G2104=1,F2104,CEILING(F2104,1))</f>
        <v/>
      </c>
      <c r="I2104">
        <f>IF(G2104=1,0,(H2104-F2104)*E2104)</f>
        <v/>
      </c>
      <c r="J2104">
        <f>E2104*F2104</f>
        <v/>
      </c>
    </row>
    <row r="2105">
      <c r="A2105">
        <f>Sources!A2105</f>
        <v/>
      </c>
      <c r="B2105">
        <f>Sources!B2105</f>
        <v/>
      </c>
      <c r="C2105">
        <f>Sources!D2105</f>
        <v/>
      </c>
      <c r="D2105">
        <f>Sources!E2105</f>
        <v/>
      </c>
      <c r="E2105">
        <f>Sources!F2105</f>
        <v/>
      </c>
      <c r="F2105">
        <f>Sources!H2105</f>
        <v/>
      </c>
      <c r="G2105">
        <f>IF(ABS(F2105-ROUND(F2105,0))&lt;0.001,1,0)</f>
        <v/>
      </c>
      <c r="H2105">
        <f>IF(G2105=1,F2105,CEILING(F2105,1))</f>
        <v/>
      </c>
      <c r="I2105">
        <f>IF(G2105=1,0,(H2105-F2105)*E2105)</f>
        <v/>
      </c>
      <c r="J2105">
        <f>E2105*F2105</f>
        <v/>
      </c>
    </row>
    <row r="2106">
      <c r="A2106">
        <f>Sources!A2106</f>
        <v/>
      </c>
      <c r="B2106">
        <f>Sources!B2106</f>
        <v/>
      </c>
      <c r="C2106">
        <f>Sources!D2106</f>
        <v/>
      </c>
      <c r="D2106">
        <f>Sources!E2106</f>
        <v/>
      </c>
      <c r="E2106">
        <f>Sources!F2106</f>
        <v/>
      </c>
      <c r="F2106">
        <f>Sources!H2106</f>
        <v/>
      </c>
      <c r="G2106">
        <f>IF(ABS(F2106-ROUND(F2106,0))&lt;0.001,1,0)</f>
        <v/>
      </c>
      <c r="H2106">
        <f>IF(G2106=1,F2106,CEILING(F2106,1))</f>
        <v/>
      </c>
      <c r="I2106">
        <f>IF(G2106=1,0,(H2106-F2106)*E2106)</f>
        <v/>
      </c>
      <c r="J2106">
        <f>E2106*F2106</f>
        <v/>
      </c>
    </row>
    <row r="2107">
      <c r="A2107">
        <f>Sources!A2107</f>
        <v/>
      </c>
      <c r="B2107">
        <f>Sources!B2107</f>
        <v/>
      </c>
      <c r="C2107">
        <f>Sources!D2107</f>
        <v/>
      </c>
      <c r="D2107">
        <f>Sources!E2107</f>
        <v/>
      </c>
      <c r="E2107">
        <f>Sources!F2107</f>
        <v/>
      </c>
      <c r="F2107">
        <f>Sources!H2107</f>
        <v/>
      </c>
      <c r="G2107">
        <f>IF(ABS(F2107-ROUND(F2107,0))&lt;0.001,1,0)</f>
        <v/>
      </c>
      <c r="H2107">
        <f>IF(G2107=1,F2107,CEILING(F2107,1))</f>
        <v/>
      </c>
      <c r="I2107">
        <f>IF(G2107=1,0,(H2107-F2107)*E2107)</f>
        <v/>
      </c>
      <c r="J2107">
        <f>E2107*F2107</f>
        <v/>
      </c>
    </row>
    <row r="2108">
      <c r="A2108">
        <f>Sources!A2108</f>
        <v/>
      </c>
      <c r="B2108">
        <f>Sources!B2108</f>
        <v/>
      </c>
      <c r="C2108">
        <f>Sources!D2108</f>
        <v/>
      </c>
      <c r="D2108">
        <f>Sources!E2108</f>
        <v/>
      </c>
      <c r="E2108">
        <f>Sources!F2108</f>
        <v/>
      </c>
      <c r="F2108">
        <f>Sources!H2108</f>
        <v/>
      </c>
      <c r="G2108">
        <f>IF(ABS(F2108-ROUND(F2108,0))&lt;0.001,1,0)</f>
        <v/>
      </c>
      <c r="H2108">
        <f>IF(G2108=1,F2108,CEILING(F2108,1))</f>
        <v/>
      </c>
      <c r="I2108">
        <f>IF(G2108=1,0,(H2108-F2108)*E2108)</f>
        <v/>
      </c>
      <c r="J2108">
        <f>E2108*F2108</f>
        <v/>
      </c>
    </row>
    <row r="2109">
      <c r="A2109">
        <f>Sources!A2109</f>
        <v/>
      </c>
      <c r="B2109">
        <f>Sources!B2109</f>
        <v/>
      </c>
      <c r="C2109">
        <f>Sources!D2109</f>
        <v/>
      </c>
      <c r="D2109">
        <f>Sources!E2109</f>
        <v/>
      </c>
      <c r="E2109">
        <f>Sources!F2109</f>
        <v/>
      </c>
      <c r="F2109">
        <f>Sources!H2109</f>
        <v/>
      </c>
      <c r="G2109">
        <f>IF(ABS(F2109-ROUND(F2109,0))&lt;0.001,1,0)</f>
        <v/>
      </c>
      <c r="H2109">
        <f>IF(G2109=1,F2109,CEILING(F2109,1))</f>
        <v/>
      </c>
      <c r="I2109">
        <f>IF(G2109=1,0,(H2109-F2109)*E2109)</f>
        <v/>
      </c>
      <c r="J2109">
        <f>E2109*F2109</f>
        <v/>
      </c>
    </row>
    <row r="2110">
      <c r="A2110">
        <f>Sources!A2110</f>
        <v/>
      </c>
      <c r="B2110">
        <f>Sources!B2110</f>
        <v/>
      </c>
      <c r="C2110">
        <f>Sources!D2110</f>
        <v/>
      </c>
      <c r="D2110">
        <f>Sources!E2110</f>
        <v/>
      </c>
      <c r="E2110">
        <f>Sources!F2110</f>
        <v/>
      </c>
      <c r="F2110">
        <f>Sources!H2110</f>
        <v/>
      </c>
      <c r="G2110">
        <f>IF(ABS(F2110-ROUND(F2110,0))&lt;0.001,1,0)</f>
        <v/>
      </c>
      <c r="H2110">
        <f>IF(G2110=1,F2110,CEILING(F2110,1))</f>
        <v/>
      </c>
      <c r="I2110">
        <f>IF(G2110=1,0,(H2110-F2110)*E2110)</f>
        <v/>
      </c>
      <c r="J2110">
        <f>E2110*F2110</f>
        <v/>
      </c>
    </row>
    <row r="2111">
      <c r="A2111">
        <f>Sources!A2111</f>
        <v/>
      </c>
      <c r="B2111">
        <f>Sources!B2111</f>
        <v/>
      </c>
      <c r="C2111">
        <f>Sources!D2111</f>
        <v/>
      </c>
      <c r="D2111">
        <f>Sources!E2111</f>
        <v/>
      </c>
      <c r="E2111">
        <f>Sources!F2111</f>
        <v/>
      </c>
      <c r="F2111">
        <f>Sources!H2111</f>
        <v/>
      </c>
      <c r="G2111">
        <f>IF(ABS(F2111-ROUND(F2111,0))&lt;0.001,1,0)</f>
        <v/>
      </c>
      <c r="H2111">
        <f>IF(G2111=1,F2111,CEILING(F2111,1))</f>
        <v/>
      </c>
      <c r="I2111">
        <f>IF(G2111=1,0,(H2111-F2111)*E2111)</f>
        <v/>
      </c>
      <c r="J2111">
        <f>E2111*F2111</f>
        <v/>
      </c>
    </row>
    <row r="2112">
      <c r="A2112">
        <f>Sources!A2112</f>
        <v/>
      </c>
      <c r="B2112">
        <f>Sources!B2112</f>
        <v/>
      </c>
      <c r="C2112">
        <f>Sources!D2112</f>
        <v/>
      </c>
      <c r="D2112">
        <f>Sources!E2112</f>
        <v/>
      </c>
      <c r="E2112">
        <f>Sources!F2112</f>
        <v/>
      </c>
      <c r="F2112">
        <f>Sources!H2112</f>
        <v/>
      </c>
      <c r="G2112">
        <f>IF(ABS(F2112-ROUND(F2112,0))&lt;0.001,1,0)</f>
        <v/>
      </c>
      <c r="H2112">
        <f>IF(G2112=1,F2112,CEILING(F2112,1))</f>
        <v/>
      </c>
      <c r="I2112">
        <f>IF(G2112=1,0,(H2112-F2112)*E2112)</f>
        <v/>
      </c>
      <c r="J2112">
        <f>E2112*F2112</f>
        <v/>
      </c>
    </row>
    <row r="2113">
      <c r="A2113">
        <f>Sources!A2113</f>
        <v/>
      </c>
      <c r="B2113">
        <f>Sources!B2113</f>
        <v/>
      </c>
      <c r="C2113">
        <f>Sources!D2113</f>
        <v/>
      </c>
      <c r="D2113">
        <f>Sources!E2113</f>
        <v/>
      </c>
      <c r="E2113">
        <f>Sources!F2113</f>
        <v/>
      </c>
      <c r="F2113">
        <f>Sources!H2113</f>
        <v/>
      </c>
      <c r="G2113">
        <f>IF(ABS(F2113-ROUND(F2113,0))&lt;0.001,1,0)</f>
        <v/>
      </c>
      <c r="H2113">
        <f>IF(G2113=1,F2113,CEILING(F2113,1))</f>
        <v/>
      </c>
      <c r="I2113">
        <f>IF(G2113=1,0,(H2113-F2113)*E2113)</f>
        <v/>
      </c>
      <c r="J2113">
        <f>E2113*F2113</f>
        <v/>
      </c>
    </row>
    <row r="2114">
      <c r="A2114">
        <f>Sources!A2114</f>
        <v/>
      </c>
      <c r="B2114">
        <f>Sources!B2114</f>
        <v/>
      </c>
      <c r="C2114">
        <f>Sources!D2114</f>
        <v/>
      </c>
      <c r="D2114">
        <f>Sources!E2114</f>
        <v/>
      </c>
      <c r="E2114">
        <f>Sources!F2114</f>
        <v/>
      </c>
      <c r="F2114">
        <f>Sources!H2114</f>
        <v/>
      </c>
      <c r="G2114">
        <f>IF(ABS(F2114-ROUND(F2114,0))&lt;0.001,1,0)</f>
        <v/>
      </c>
      <c r="H2114">
        <f>IF(G2114=1,F2114,CEILING(F2114,1))</f>
        <v/>
      </c>
      <c r="I2114">
        <f>IF(G2114=1,0,(H2114-F2114)*E2114)</f>
        <v/>
      </c>
      <c r="J2114">
        <f>E2114*F2114</f>
        <v/>
      </c>
    </row>
    <row r="2115">
      <c r="A2115">
        <f>Sources!A2115</f>
        <v/>
      </c>
      <c r="B2115">
        <f>Sources!B2115</f>
        <v/>
      </c>
      <c r="C2115">
        <f>Sources!D2115</f>
        <v/>
      </c>
      <c r="D2115">
        <f>Sources!E2115</f>
        <v/>
      </c>
      <c r="E2115">
        <f>Sources!F2115</f>
        <v/>
      </c>
      <c r="F2115">
        <f>Sources!H2115</f>
        <v/>
      </c>
      <c r="G2115">
        <f>IF(ABS(F2115-ROUND(F2115,0))&lt;0.001,1,0)</f>
        <v/>
      </c>
      <c r="H2115">
        <f>IF(G2115=1,F2115,CEILING(F2115,1))</f>
        <v/>
      </c>
      <c r="I2115">
        <f>IF(G2115=1,0,(H2115-F2115)*E2115)</f>
        <v/>
      </c>
      <c r="J2115">
        <f>E2115*F2115</f>
        <v/>
      </c>
    </row>
    <row r="2116">
      <c r="A2116">
        <f>Sources!A2116</f>
        <v/>
      </c>
      <c r="B2116">
        <f>Sources!B2116</f>
        <v/>
      </c>
      <c r="C2116">
        <f>Sources!D2116</f>
        <v/>
      </c>
      <c r="D2116">
        <f>Sources!E2116</f>
        <v/>
      </c>
      <c r="E2116">
        <f>Sources!F2116</f>
        <v/>
      </c>
      <c r="F2116">
        <f>Sources!H2116</f>
        <v/>
      </c>
      <c r="G2116">
        <f>IF(ABS(F2116-ROUND(F2116,0))&lt;0.001,1,0)</f>
        <v/>
      </c>
      <c r="H2116">
        <f>IF(G2116=1,F2116,CEILING(F2116,1))</f>
        <v/>
      </c>
      <c r="I2116">
        <f>IF(G2116=1,0,(H2116-F2116)*E2116)</f>
        <v/>
      </c>
      <c r="J2116">
        <f>E2116*F2116</f>
        <v/>
      </c>
    </row>
    <row r="2117">
      <c r="A2117">
        <f>Sources!A2117</f>
        <v/>
      </c>
      <c r="B2117">
        <f>Sources!B2117</f>
        <v/>
      </c>
      <c r="C2117">
        <f>Sources!D2117</f>
        <v/>
      </c>
      <c r="D2117">
        <f>Sources!E2117</f>
        <v/>
      </c>
      <c r="E2117">
        <f>Sources!F2117</f>
        <v/>
      </c>
      <c r="F2117">
        <f>Sources!H2117</f>
        <v/>
      </c>
      <c r="G2117">
        <f>IF(ABS(F2117-ROUND(F2117,0))&lt;0.001,1,0)</f>
        <v/>
      </c>
      <c r="H2117">
        <f>IF(G2117=1,F2117,CEILING(F2117,1))</f>
        <v/>
      </c>
      <c r="I2117">
        <f>IF(G2117=1,0,(H2117-F2117)*E2117)</f>
        <v/>
      </c>
      <c r="J2117">
        <f>E2117*F2117</f>
        <v/>
      </c>
    </row>
    <row r="2118">
      <c r="A2118">
        <f>Sources!A2118</f>
        <v/>
      </c>
      <c r="B2118">
        <f>Sources!B2118</f>
        <v/>
      </c>
      <c r="C2118">
        <f>Sources!D2118</f>
        <v/>
      </c>
      <c r="D2118">
        <f>Sources!E2118</f>
        <v/>
      </c>
      <c r="E2118">
        <f>Sources!F2118</f>
        <v/>
      </c>
      <c r="F2118">
        <f>Sources!H2118</f>
        <v/>
      </c>
      <c r="G2118">
        <f>IF(ABS(F2118-ROUND(F2118,0))&lt;0.001,1,0)</f>
        <v/>
      </c>
      <c r="H2118">
        <f>IF(G2118=1,F2118,CEILING(F2118,1))</f>
        <v/>
      </c>
      <c r="I2118">
        <f>IF(G2118=1,0,(H2118-F2118)*E2118)</f>
        <v/>
      </c>
      <c r="J2118">
        <f>E2118*F2118</f>
        <v/>
      </c>
    </row>
    <row r="2119">
      <c r="A2119">
        <f>Sources!A2119</f>
        <v/>
      </c>
      <c r="B2119">
        <f>Sources!B2119</f>
        <v/>
      </c>
      <c r="C2119">
        <f>Sources!D2119</f>
        <v/>
      </c>
      <c r="D2119">
        <f>Sources!E2119</f>
        <v/>
      </c>
      <c r="E2119">
        <f>Sources!F2119</f>
        <v/>
      </c>
      <c r="F2119">
        <f>Sources!H2119</f>
        <v/>
      </c>
      <c r="G2119">
        <f>IF(ABS(F2119-ROUND(F2119,0))&lt;0.001,1,0)</f>
        <v/>
      </c>
      <c r="H2119">
        <f>IF(G2119=1,F2119,CEILING(F2119,1))</f>
        <v/>
      </c>
      <c r="I2119">
        <f>IF(G2119=1,0,(H2119-F2119)*E2119)</f>
        <v/>
      </c>
      <c r="J2119">
        <f>E2119*F2119</f>
        <v/>
      </c>
    </row>
    <row r="2120">
      <c r="A2120">
        <f>Sources!A2120</f>
        <v/>
      </c>
      <c r="B2120">
        <f>Sources!B2120</f>
        <v/>
      </c>
      <c r="C2120">
        <f>Sources!D2120</f>
        <v/>
      </c>
      <c r="D2120">
        <f>Sources!E2120</f>
        <v/>
      </c>
      <c r="E2120">
        <f>Sources!F2120</f>
        <v/>
      </c>
      <c r="F2120">
        <f>Sources!H2120</f>
        <v/>
      </c>
      <c r="G2120">
        <f>IF(ABS(F2120-ROUND(F2120,0))&lt;0.001,1,0)</f>
        <v/>
      </c>
      <c r="H2120">
        <f>IF(G2120=1,F2120,CEILING(F2120,1))</f>
        <v/>
      </c>
      <c r="I2120">
        <f>IF(G2120=1,0,(H2120-F2120)*E2120)</f>
        <v/>
      </c>
      <c r="J2120">
        <f>E2120*F2120</f>
        <v/>
      </c>
    </row>
    <row r="2121">
      <c r="A2121">
        <f>Sources!A2121</f>
        <v/>
      </c>
      <c r="B2121">
        <f>Sources!B2121</f>
        <v/>
      </c>
      <c r="C2121">
        <f>Sources!D2121</f>
        <v/>
      </c>
      <c r="D2121">
        <f>Sources!E2121</f>
        <v/>
      </c>
      <c r="E2121">
        <f>Sources!F2121</f>
        <v/>
      </c>
      <c r="F2121">
        <f>Sources!H2121</f>
        <v/>
      </c>
      <c r="G2121">
        <f>IF(ABS(F2121-ROUND(F2121,0))&lt;0.001,1,0)</f>
        <v/>
      </c>
      <c r="H2121">
        <f>IF(G2121=1,F2121,CEILING(F2121,1))</f>
        <v/>
      </c>
      <c r="I2121">
        <f>IF(G2121=1,0,(H2121-F2121)*E2121)</f>
        <v/>
      </c>
      <c r="J2121">
        <f>E2121*F2121</f>
        <v/>
      </c>
    </row>
    <row r="2122">
      <c r="A2122">
        <f>Sources!A2122</f>
        <v/>
      </c>
      <c r="B2122">
        <f>Sources!B2122</f>
        <v/>
      </c>
      <c r="C2122">
        <f>Sources!D2122</f>
        <v/>
      </c>
      <c r="D2122">
        <f>Sources!E2122</f>
        <v/>
      </c>
      <c r="E2122">
        <f>Sources!F2122</f>
        <v/>
      </c>
      <c r="F2122">
        <f>Sources!H2122</f>
        <v/>
      </c>
      <c r="G2122">
        <f>IF(ABS(F2122-ROUND(F2122,0))&lt;0.001,1,0)</f>
        <v/>
      </c>
      <c r="H2122">
        <f>IF(G2122=1,F2122,CEILING(F2122,1))</f>
        <v/>
      </c>
      <c r="I2122">
        <f>IF(G2122=1,0,(H2122-F2122)*E2122)</f>
        <v/>
      </c>
      <c r="J2122">
        <f>E2122*F2122</f>
        <v/>
      </c>
    </row>
    <row r="2123">
      <c r="A2123">
        <f>Sources!A2123</f>
        <v/>
      </c>
      <c r="B2123">
        <f>Sources!B2123</f>
        <v/>
      </c>
      <c r="C2123">
        <f>Sources!D2123</f>
        <v/>
      </c>
      <c r="D2123">
        <f>Sources!E2123</f>
        <v/>
      </c>
      <c r="E2123">
        <f>Sources!F2123</f>
        <v/>
      </c>
      <c r="F2123">
        <f>Sources!H2123</f>
        <v/>
      </c>
      <c r="G2123">
        <f>IF(ABS(F2123-ROUND(F2123,0))&lt;0.001,1,0)</f>
        <v/>
      </c>
      <c r="H2123">
        <f>IF(G2123=1,F2123,CEILING(F2123,1))</f>
        <v/>
      </c>
      <c r="I2123">
        <f>IF(G2123=1,0,(H2123-F2123)*E2123)</f>
        <v/>
      </c>
      <c r="J2123">
        <f>E2123*F2123</f>
        <v/>
      </c>
    </row>
    <row r="2124">
      <c r="A2124">
        <f>Sources!A2124</f>
        <v/>
      </c>
      <c r="B2124">
        <f>Sources!B2124</f>
        <v/>
      </c>
      <c r="C2124">
        <f>Sources!D2124</f>
        <v/>
      </c>
      <c r="D2124">
        <f>Sources!E2124</f>
        <v/>
      </c>
      <c r="E2124">
        <f>Sources!F2124</f>
        <v/>
      </c>
      <c r="F2124">
        <f>Sources!H2124</f>
        <v/>
      </c>
      <c r="G2124">
        <f>IF(ABS(F2124-ROUND(F2124,0))&lt;0.001,1,0)</f>
        <v/>
      </c>
      <c r="H2124">
        <f>IF(G2124=1,F2124,CEILING(F2124,1))</f>
        <v/>
      </c>
      <c r="I2124">
        <f>IF(G2124=1,0,(H2124-F2124)*E2124)</f>
        <v/>
      </c>
      <c r="J2124">
        <f>E2124*F2124</f>
        <v/>
      </c>
    </row>
    <row r="2125">
      <c r="A2125">
        <f>Sources!A2125</f>
        <v/>
      </c>
      <c r="B2125">
        <f>Sources!B2125</f>
        <v/>
      </c>
      <c r="C2125">
        <f>Sources!D2125</f>
        <v/>
      </c>
      <c r="D2125">
        <f>Sources!E2125</f>
        <v/>
      </c>
      <c r="E2125">
        <f>Sources!F2125</f>
        <v/>
      </c>
      <c r="F2125">
        <f>Sources!H2125</f>
        <v/>
      </c>
      <c r="G2125">
        <f>IF(ABS(F2125-ROUND(F2125,0))&lt;0.001,1,0)</f>
        <v/>
      </c>
      <c r="H2125">
        <f>IF(G2125=1,F2125,CEILING(F2125,1))</f>
        <v/>
      </c>
      <c r="I2125">
        <f>IF(G2125=1,0,(H2125-F2125)*E2125)</f>
        <v/>
      </c>
      <c r="J2125">
        <f>E2125*F2125</f>
        <v/>
      </c>
    </row>
    <row r="2126">
      <c r="A2126">
        <f>Sources!A2126</f>
        <v/>
      </c>
      <c r="B2126">
        <f>Sources!B2126</f>
        <v/>
      </c>
      <c r="C2126">
        <f>Sources!D2126</f>
        <v/>
      </c>
      <c r="D2126">
        <f>Sources!E2126</f>
        <v/>
      </c>
      <c r="E2126">
        <f>Sources!F2126</f>
        <v/>
      </c>
      <c r="F2126">
        <f>Sources!H2126</f>
        <v/>
      </c>
      <c r="G2126">
        <f>IF(ABS(F2126-ROUND(F2126,0))&lt;0.001,1,0)</f>
        <v/>
      </c>
      <c r="H2126">
        <f>IF(G2126=1,F2126,CEILING(F2126,1))</f>
        <v/>
      </c>
      <c r="I2126">
        <f>IF(G2126=1,0,(H2126-F2126)*E2126)</f>
        <v/>
      </c>
      <c r="J2126">
        <f>E2126*F2126</f>
        <v/>
      </c>
    </row>
    <row r="2127">
      <c r="A2127">
        <f>Sources!A2127</f>
        <v/>
      </c>
      <c r="B2127">
        <f>Sources!B2127</f>
        <v/>
      </c>
      <c r="C2127">
        <f>Sources!D2127</f>
        <v/>
      </c>
      <c r="D2127">
        <f>Sources!E2127</f>
        <v/>
      </c>
      <c r="E2127">
        <f>Sources!F2127</f>
        <v/>
      </c>
      <c r="F2127">
        <f>Sources!H2127</f>
        <v/>
      </c>
      <c r="G2127">
        <f>IF(ABS(F2127-ROUND(F2127,0))&lt;0.001,1,0)</f>
        <v/>
      </c>
      <c r="H2127">
        <f>IF(G2127=1,F2127,CEILING(F2127,1))</f>
        <v/>
      </c>
      <c r="I2127">
        <f>IF(G2127=1,0,(H2127-F2127)*E2127)</f>
        <v/>
      </c>
      <c r="J2127">
        <f>E2127*F2127</f>
        <v/>
      </c>
    </row>
    <row r="2128">
      <c r="A2128">
        <f>Sources!A2128</f>
        <v/>
      </c>
      <c r="B2128">
        <f>Sources!B2128</f>
        <v/>
      </c>
      <c r="C2128">
        <f>Sources!D2128</f>
        <v/>
      </c>
      <c r="D2128">
        <f>Sources!E2128</f>
        <v/>
      </c>
      <c r="E2128">
        <f>Sources!F2128</f>
        <v/>
      </c>
      <c r="F2128">
        <f>Sources!H2128</f>
        <v/>
      </c>
      <c r="G2128">
        <f>IF(ABS(F2128-ROUND(F2128,0))&lt;0.001,1,0)</f>
        <v/>
      </c>
      <c r="H2128">
        <f>IF(G2128=1,F2128,CEILING(F2128,1))</f>
        <v/>
      </c>
      <c r="I2128">
        <f>IF(G2128=1,0,(H2128-F2128)*E2128)</f>
        <v/>
      </c>
      <c r="J2128">
        <f>E2128*F2128</f>
        <v/>
      </c>
    </row>
    <row r="2129">
      <c r="A2129">
        <f>Sources!A2129</f>
        <v/>
      </c>
      <c r="B2129">
        <f>Sources!B2129</f>
        <v/>
      </c>
      <c r="C2129">
        <f>Sources!D2129</f>
        <v/>
      </c>
      <c r="D2129">
        <f>Sources!E2129</f>
        <v/>
      </c>
      <c r="E2129">
        <f>Sources!F2129</f>
        <v/>
      </c>
      <c r="F2129">
        <f>Sources!H2129</f>
        <v/>
      </c>
      <c r="G2129">
        <f>IF(ABS(F2129-ROUND(F2129,0))&lt;0.001,1,0)</f>
        <v/>
      </c>
      <c r="H2129">
        <f>IF(G2129=1,F2129,CEILING(F2129,1))</f>
        <v/>
      </c>
      <c r="I2129">
        <f>IF(G2129=1,0,(H2129-F2129)*E2129)</f>
        <v/>
      </c>
      <c r="J2129">
        <f>E2129*F2129</f>
        <v/>
      </c>
    </row>
    <row r="2130">
      <c r="A2130">
        <f>Sources!A2130</f>
        <v/>
      </c>
      <c r="B2130">
        <f>Sources!B2130</f>
        <v/>
      </c>
      <c r="C2130">
        <f>Sources!D2130</f>
        <v/>
      </c>
      <c r="D2130">
        <f>Sources!E2130</f>
        <v/>
      </c>
      <c r="E2130">
        <f>Sources!F2130</f>
        <v/>
      </c>
      <c r="F2130">
        <f>Sources!H2130</f>
        <v/>
      </c>
      <c r="G2130">
        <f>IF(ABS(F2130-ROUND(F2130,0))&lt;0.001,1,0)</f>
        <v/>
      </c>
      <c r="H2130">
        <f>IF(G2130=1,F2130,CEILING(F2130,1))</f>
        <v/>
      </c>
      <c r="I2130">
        <f>IF(G2130=1,0,(H2130-F2130)*E2130)</f>
        <v/>
      </c>
      <c r="J2130">
        <f>E2130*F2130</f>
        <v/>
      </c>
    </row>
    <row r="2131">
      <c r="A2131">
        <f>Sources!A2131</f>
        <v/>
      </c>
      <c r="B2131">
        <f>Sources!B2131</f>
        <v/>
      </c>
      <c r="C2131">
        <f>Sources!D2131</f>
        <v/>
      </c>
      <c r="D2131">
        <f>Sources!E2131</f>
        <v/>
      </c>
      <c r="E2131">
        <f>Sources!F2131</f>
        <v/>
      </c>
      <c r="F2131">
        <f>Sources!H2131</f>
        <v/>
      </c>
      <c r="G2131">
        <f>IF(ABS(F2131-ROUND(F2131,0))&lt;0.001,1,0)</f>
        <v/>
      </c>
      <c r="H2131">
        <f>IF(G2131=1,F2131,CEILING(F2131,1))</f>
        <v/>
      </c>
      <c r="I2131">
        <f>IF(G2131=1,0,(H2131-F2131)*E2131)</f>
        <v/>
      </c>
      <c r="J2131">
        <f>E2131*F2131</f>
        <v/>
      </c>
    </row>
    <row r="2132">
      <c r="A2132">
        <f>Sources!A2132</f>
        <v/>
      </c>
      <c r="B2132">
        <f>Sources!B2132</f>
        <v/>
      </c>
      <c r="C2132">
        <f>Sources!D2132</f>
        <v/>
      </c>
      <c r="D2132">
        <f>Sources!E2132</f>
        <v/>
      </c>
      <c r="E2132">
        <f>Sources!F2132</f>
        <v/>
      </c>
      <c r="F2132">
        <f>Sources!H2132</f>
        <v/>
      </c>
      <c r="G2132">
        <f>IF(ABS(F2132-ROUND(F2132,0))&lt;0.001,1,0)</f>
        <v/>
      </c>
      <c r="H2132">
        <f>IF(G2132=1,F2132,CEILING(F2132,1))</f>
        <v/>
      </c>
      <c r="I2132">
        <f>IF(G2132=1,0,(H2132-F2132)*E2132)</f>
        <v/>
      </c>
      <c r="J2132">
        <f>E2132*F2132</f>
        <v/>
      </c>
    </row>
    <row r="2133">
      <c r="A2133">
        <f>Sources!A2133</f>
        <v/>
      </c>
      <c r="B2133">
        <f>Sources!B2133</f>
        <v/>
      </c>
      <c r="C2133">
        <f>Sources!D2133</f>
        <v/>
      </c>
      <c r="D2133">
        <f>Sources!E2133</f>
        <v/>
      </c>
      <c r="E2133">
        <f>Sources!F2133</f>
        <v/>
      </c>
      <c r="F2133">
        <f>Sources!H2133</f>
        <v/>
      </c>
      <c r="G2133">
        <f>IF(ABS(F2133-ROUND(F2133,0))&lt;0.001,1,0)</f>
        <v/>
      </c>
      <c r="H2133">
        <f>IF(G2133=1,F2133,CEILING(F2133,1))</f>
        <v/>
      </c>
      <c r="I2133">
        <f>IF(G2133=1,0,(H2133-F2133)*E2133)</f>
        <v/>
      </c>
      <c r="J2133">
        <f>E2133*F2133</f>
        <v/>
      </c>
    </row>
    <row r="2134">
      <c r="A2134">
        <f>Sources!A2134</f>
        <v/>
      </c>
      <c r="B2134">
        <f>Sources!B2134</f>
        <v/>
      </c>
      <c r="C2134">
        <f>Sources!D2134</f>
        <v/>
      </c>
      <c r="D2134">
        <f>Sources!E2134</f>
        <v/>
      </c>
      <c r="E2134">
        <f>Sources!F2134</f>
        <v/>
      </c>
      <c r="F2134">
        <f>Sources!H2134</f>
        <v/>
      </c>
      <c r="G2134">
        <f>IF(ABS(F2134-ROUND(F2134,0))&lt;0.001,1,0)</f>
        <v/>
      </c>
      <c r="H2134">
        <f>IF(G2134=1,F2134,CEILING(F2134,1))</f>
        <v/>
      </c>
      <c r="I2134">
        <f>IF(G2134=1,0,(H2134-F2134)*E2134)</f>
        <v/>
      </c>
      <c r="J2134">
        <f>E2134*F2134</f>
        <v/>
      </c>
    </row>
    <row r="2135">
      <c r="A2135">
        <f>Sources!A2135</f>
        <v/>
      </c>
      <c r="B2135">
        <f>Sources!B2135</f>
        <v/>
      </c>
      <c r="C2135">
        <f>Sources!D2135</f>
        <v/>
      </c>
      <c r="D2135">
        <f>Sources!E2135</f>
        <v/>
      </c>
      <c r="E2135">
        <f>Sources!F2135</f>
        <v/>
      </c>
      <c r="F2135">
        <f>Sources!H2135</f>
        <v/>
      </c>
      <c r="G2135">
        <f>IF(ABS(F2135-ROUND(F2135,0))&lt;0.001,1,0)</f>
        <v/>
      </c>
      <c r="H2135">
        <f>IF(G2135=1,F2135,CEILING(F2135,1))</f>
        <v/>
      </c>
      <c r="I2135">
        <f>IF(G2135=1,0,(H2135-F2135)*E2135)</f>
        <v/>
      </c>
      <c r="J2135">
        <f>E2135*F2135</f>
        <v/>
      </c>
    </row>
    <row r="2136">
      <c r="A2136">
        <f>Sources!A2136</f>
        <v/>
      </c>
      <c r="B2136">
        <f>Sources!B2136</f>
        <v/>
      </c>
      <c r="C2136">
        <f>Sources!D2136</f>
        <v/>
      </c>
      <c r="D2136">
        <f>Sources!E2136</f>
        <v/>
      </c>
      <c r="E2136">
        <f>Sources!F2136</f>
        <v/>
      </c>
      <c r="F2136">
        <f>Sources!H2136</f>
        <v/>
      </c>
      <c r="G2136">
        <f>IF(ABS(F2136-ROUND(F2136,0))&lt;0.001,1,0)</f>
        <v/>
      </c>
      <c r="H2136">
        <f>IF(G2136=1,F2136,CEILING(F2136,1))</f>
        <v/>
      </c>
      <c r="I2136">
        <f>IF(G2136=1,0,(H2136-F2136)*E2136)</f>
        <v/>
      </c>
      <c r="J2136">
        <f>E2136*F2136</f>
        <v/>
      </c>
    </row>
    <row r="2137">
      <c r="A2137">
        <f>Sources!A2137</f>
        <v/>
      </c>
      <c r="B2137">
        <f>Sources!B2137</f>
        <v/>
      </c>
      <c r="C2137">
        <f>Sources!D2137</f>
        <v/>
      </c>
      <c r="D2137">
        <f>Sources!E2137</f>
        <v/>
      </c>
      <c r="E2137">
        <f>Sources!F2137</f>
        <v/>
      </c>
      <c r="F2137">
        <f>Sources!H2137</f>
        <v/>
      </c>
      <c r="G2137">
        <f>IF(ABS(F2137-ROUND(F2137,0))&lt;0.001,1,0)</f>
        <v/>
      </c>
      <c r="H2137">
        <f>IF(G2137=1,F2137,CEILING(F2137,1))</f>
        <v/>
      </c>
      <c r="I2137">
        <f>IF(G2137=1,0,(H2137-F2137)*E2137)</f>
        <v/>
      </c>
      <c r="J2137">
        <f>E2137*F2137</f>
        <v/>
      </c>
    </row>
    <row r="2138">
      <c r="A2138">
        <f>Sources!A2138</f>
        <v/>
      </c>
      <c r="B2138">
        <f>Sources!B2138</f>
        <v/>
      </c>
      <c r="C2138">
        <f>Sources!D2138</f>
        <v/>
      </c>
      <c r="D2138">
        <f>Sources!E2138</f>
        <v/>
      </c>
      <c r="E2138">
        <f>Sources!F2138</f>
        <v/>
      </c>
      <c r="F2138">
        <f>Sources!H2138</f>
        <v/>
      </c>
      <c r="G2138">
        <f>IF(ABS(F2138-ROUND(F2138,0))&lt;0.001,1,0)</f>
        <v/>
      </c>
      <c r="H2138">
        <f>IF(G2138=1,F2138,CEILING(F2138,1))</f>
        <v/>
      </c>
      <c r="I2138">
        <f>IF(G2138=1,0,(H2138-F2138)*E2138)</f>
        <v/>
      </c>
      <c r="J2138">
        <f>E2138*F2138</f>
        <v/>
      </c>
    </row>
    <row r="2139">
      <c r="A2139">
        <f>Sources!A2139</f>
        <v/>
      </c>
      <c r="B2139">
        <f>Sources!B2139</f>
        <v/>
      </c>
      <c r="C2139">
        <f>Sources!D2139</f>
        <v/>
      </c>
      <c r="D2139">
        <f>Sources!E2139</f>
        <v/>
      </c>
      <c r="E2139">
        <f>Sources!F2139</f>
        <v/>
      </c>
      <c r="F2139">
        <f>Sources!H2139</f>
        <v/>
      </c>
      <c r="G2139">
        <f>IF(ABS(F2139-ROUND(F2139,0))&lt;0.001,1,0)</f>
        <v/>
      </c>
      <c r="H2139">
        <f>IF(G2139=1,F2139,CEILING(F2139,1))</f>
        <v/>
      </c>
      <c r="I2139">
        <f>IF(G2139=1,0,(H2139-F2139)*E2139)</f>
        <v/>
      </c>
      <c r="J2139">
        <f>E2139*F2139</f>
        <v/>
      </c>
    </row>
    <row r="2140">
      <c r="A2140">
        <f>Sources!A2140</f>
        <v/>
      </c>
      <c r="B2140">
        <f>Sources!B2140</f>
        <v/>
      </c>
      <c r="C2140">
        <f>Sources!D2140</f>
        <v/>
      </c>
      <c r="D2140">
        <f>Sources!E2140</f>
        <v/>
      </c>
      <c r="E2140">
        <f>Sources!F2140</f>
        <v/>
      </c>
      <c r="F2140">
        <f>Sources!H2140</f>
        <v/>
      </c>
      <c r="G2140">
        <f>IF(ABS(F2140-ROUND(F2140,0))&lt;0.001,1,0)</f>
        <v/>
      </c>
      <c r="H2140">
        <f>IF(G2140=1,F2140,CEILING(F2140,1))</f>
        <v/>
      </c>
      <c r="I2140">
        <f>IF(G2140=1,0,(H2140-F2140)*E2140)</f>
        <v/>
      </c>
      <c r="J2140">
        <f>E2140*F2140</f>
        <v/>
      </c>
    </row>
    <row r="2141">
      <c r="A2141">
        <f>Sources!A2141</f>
        <v/>
      </c>
      <c r="B2141">
        <f>Sources!B2141</f>
        <v/>
      </c>
      <c r="C2141">
        <f>Sources!D2141</f>
        <v/>
      </c>
      <c r="D2141">
        <f>Sources!E2141</f>
        <v/>
      </c>
      <c r="E2141">
        <f>Sources!F2141</f>
        <v/>
      </c>
      <c r="F2141">
        <f>Sources!H2141</f>
        <v/>
      </c>
      <c r="G2141">
        <f>IF(ABS(F2141-ROUND(F2141,0))&lt;0.001,1,0)</f>
        <v/>
      </c>
      <c r="H2141">
        <f>IF(G2141=1,F2141,CEILING(F2141,1))</f>
        <v/>
      </c>
      <c r="I2141">
        <f>IF(G2141=1,0,(H2141-F2141)*E2141)</f>
        <v/>
      </c>
      <c r="J2141">
        <f>E2141*F2141</f>
        <v/>
      </c>
    </row>
    <row r="2142">
      <c r="A2142">
        <f>Sources!A2142</f>
        <v/>
      </c>
      <c r="B2142">
        <f>Sources!B2142</f>
        <v/>
      </c>
      <c r="C2142">
        <f>Sources!D2142</f>
        <v/>
      </c>
      <c r="D2142">
        <f>Sources!E2142</f>
        <v/>
      </c>
      <c r="E2142">
        <f>Sources!F2142</f>
        <v/>
      </c>
      <c r="F2142">
        <f>Sources!H2142</f>
        <v/>
      </c>
      <c r="G2142">
        <f>IF(ABS(F2142-ROUND(F2142,0))&lt;0.001,1,0)</f>
        <v/>
      </c>
      <c r="H2142">
        <f>IF(G2142=1,F2142,CEILING(F2142,1))</f>
        <v/>
      </c>
      <c r="I2142">
        <f>IF(G2142=1,0,(H2142-F2142)*E2142)</f>
        <v/>
      </c>
      <c r="J2142">
        <f>E2142*F2142</f>
        <v/>
      </c>
    </row>
    <row r="2143">
      <c r="A2143">
        <f>Sources!A2143</f>
        <v/>
      </c>
      <c r="B2143">
        <f>Sources!B2143</f>
        <v/>
      </c>
      <c r="C2143">
        <f>Sources!D2143</f>
        <v/>
      </c>
      <c r="D2143">
        <f>Sources!E2143</f>
        <v/>
      </c>
      <c r="E2143">
        <f>Sources!F2143</f>
        <v/>
      </c>
      <c r="F2143">
        <f>Sources!H2143</f>
        <v/>
      </c>
      <c r="G2143">
        <f>IF(ABS(F2143-ROUND(F2143,0))&lt;0.001,1,0)</f>
        <v/>
      </c>
      <c r="H2143">
        <f>IF(G2143=1,F2143,CEILING(F2143,1))</f>
        <v/>
      </c>
      <c r="I2143">
        <f>IF(G2143=1,0,(H2143-F2143)*E2143)</f>
        <v/>
      </c>
      <c r="J2143">
        <f>E2143*F2143</f>
        <v/>
      </c>
    </row>
    <row r="2144">
      <c r="A2144">
        <f>Sources!A2144</f>
        <v/>
      </c>
      <c r="B2144">
        <f>Sources!B2144</f>
        <v/>
      </c>
      <c r="C2144">
        <f>Sources!D2144</f>
        <v/>
      </c>
      <c r="D2144">
        <f>Sources!E2144</f>
        <v/>
      </c>
      <c r="E2144">
        <f>Sources!F2144</f>
        <v/>
      </c>
      <c r="F2144">
        <f>Sources!H2144</f>
        <v/>
      </c>
      <c r="G2144">
        <f>IF(ABS(F2144-ROUND(F2144,0))&lt;0.001,1,0)</f>
        <v/>
      </c>
      <c r="H2144">
        <f>IF(G2144=1,F2144,CEILING(F2144,1))</f>
        <v/>
      </c>
      <c r="I2144">
        <f>IF(G2144=1,0,(H2144-F2144)*E2144)</f>
        <v/>
      </c>
      <c r="J2144">
        <f>E2144*F2144</f>
        <v/>
      </c>
    </row>
    <row r="2145">
      <c r="A2145">
        <f>Sources!A2145</f>
        <v/>
      </c>
      <c r="B2145">
        <f>Sources!B2145</f>
        <v/>
      </c>
      <c r="C2145">
        <f>Sources!D2145</f>
        <v/>
      </c>
      <c r="D2145">
        <f>Sources!E2145</f>
        <v/>
      </c>
      <c r="E2145">
        <f>Sources!F2145</f>
        <v/>
      </c>
      <c r="F2145">
        <f>Sources!H2145</f>
        <v/>
      </c>
      <c r="G2145">
        <f>IF(ABS(F2145-ROUND(F2145,0))&lt;0.001,1,0)</f>
        <v/>
      </c>
      <c r="H2145">
        <f>IF(G2145=1,F2145,CEILING(F2145,1))</f>
        <v/>
      </c>
      <c r="I2145">
        <f>IF(G2145=1,0,(H2145-F2145)*E2145)</f>
        <v/>
      </c>
      <c r="J2145">
        <f>E2145*F2145</f>
        <v/>
      </c>
    </row>
    <row r="2146">
      <c r="A2146">
        <f>Sources!A2146</f>
        <v/>
      </c>
      <c r="B2146">
        <f>Sources!B2146</f>
        <v/>
      </c>
      <c r="C2146">
        <f>Sources!D2146</f>
        <v/>
      </c>
      <c r="D2146">
        <f>Sources!E2146</f>
        <v/>
      </c>
      <c r="E2146">
        <f>Sources!F2146</f>
        <v/>
      </c>
      <c r="F2146">
        <f>Sources!H2146</f>
        <v/>
      </c>
      <c r="G2146">
        <f>IF(ABS(F2146-ROUND(F2146,0))&lt;0.001,1,0)</f>
        <v/>
      </c>
      <c r="H2146">
        <f>IF(G2146=1,F2146,CEILING(F2146,1))</f>
        <v/>
      </c>
      <c r="I2146">
        <f>IF(G2146=1,0,(H2146-F2146)*E2146)</f>
        <v/>
      </c>
      <c r="J2146">
        <f>E2146*F2146</f>
        <v/>
      </c>
    </row>
    <row r="2147">
      <c r="A2147">
        <f>Sources!A2147</f>
        <v/>
      </c>
      <c r="B2147">
        <f>Sources!B2147</f>
        <v/>
      </c>
      <c r="C2147">
        <f>Sources!D2147</f>
        <v/>
      </c>
      <c r="D2147">
        <f>Sources!E2147</f>
        <v/>
      </c>
      <c r="E2147">
        <f>Sources!F2147</f>
        <v/>
      </c>
      <c r="F2147">
        <f>Sources!H2147</f>
        <v/>
      </c>
      <c r="G2147">
        <f>IF(ABS(F2147-ROUND(F2147,0))&lt;0.001,1,0)</f>
        <v/>
      </c>
      <c r="H2147">
        <f>IF(G2147=1,F2147,CEILING(F2147,1))</f>
        <v/>
      </c>
      <c r="I2147">
        <f>IF(G2147=1,0,(H2147-F2147)*E2147)</f>
        <v/>
      </c>
      <c r="J2147">
        <f>E2147*F2147</f>
        <v/>
      </c>
    </row>
    <row r="2148">
      <c r="A2148">
        <f>Sources!A2148</f>
        <v/>
      </c>
      <c r="B2148">
        <f>Sources!B2148</f>
        <v/>
      </c>
      <c r="C2148">
        <f>Sources!D2148</f>
        <v/>
      </c>
      <c r="D2148">
        <f>Sources!E2148</f>
        <v/>
      </c>
      <c r="E2148">
        <f>Sources!F2148</f>
        <v/>
      </c>
      <c r="F2148">
        <f>Sources!H2148</f>
        <v/>
      </c>
      <c r="G2148">
        <f>IF(ABS(F2148-ROUND(F2148,0))&lt;0.001,1,0)</f>
        <v/>
      </c>
      <c r="H2148">
        <f>IF(G2148=1,F2148,CEILING(F2148,1))</f>
        <v/>
      </c>
      <c r="I2148">
        <f>IF(G2148=1,0,(H2148-F2148)*E2148)</f>
        <v/>
      </c>
      <c r="J2148">
        <f>E2148*F2148</f>
        <v/>
      </c>
    </row>
    <row r="2149">
      <c r="A2149">
        <f>Sources!A2149</f>
        <v/>
      </c>
      <c r="B2149">
        <f>Sources!B2149</f>
        <v/>
      </c>
      <c r="C2149">
        <f>Sources!D2149</f>
        <v/>
      </c>
      <c r="D2149">
        <f>Sources!E2149</f>
        <v/>
      </c>
      <c r="E2149">
        <f>Sources!F2149</f>
        <v/>
      </c>
      <c r="F2149">
        <f>Sources!H2149</f>
        <v/>
      </c>
      <c r="G2149">
        <f>IF(ABS(F2149-ROUND(F2149,0))&lt;0.001,1,0)</f>
        <v/>
      </c>
      <c r="H2149">
        <f>IF(G2149=1,F2149,CEILING(F2149,1))</f>
        <v/>
      </c>
      <c r="I2149">
        <f>IF(G2149=1,0,(H2149-F2149)*E2149)</f>
        <v/>
      </c>
      <c r="J2149">
        <f>E2149*F2149</f>
        <v/>
      </c>
    </row>
    <row r="2150">
      <c r="A2150">
        <f>Sources!A2150</f>
        <v/>
      </c>
      <c r="B2150">
        <f>Sources!B2150</f>
        <v/>
      </c>
      <c r="C2150">
        <f>Sources!D2150</f>
        <v/>
      </c>
      <c r="D2150">
        <f>Sources!E2150</f>
        <v/>
      </c>
      <c r="E2150">
        <f>Sources!F2150</f>
        <v/>
      </c>
      <c r="F2150">
        <f>Sources!H2150</f>
        <v/>
      </c>
      <c r="G2150">
        <f>IF(ABS(F2150-ROUND(F2150,0))&lt;0.001,1,0)</f>
        <v/>
      </c>
      <c r="H2150">
        <f>IF(G2150=1,F2150,CEILING(F2150,1))</f>
        <v/>
      </c>
      <c r="I2150">
        <f>IF(G2150=1,0,(H2150-F2150)*E2150)</f>
        <v/>
      </c>
      <c r="J2150">
        <f>E2150*F2150</f>
        <v/>
      </c>
    </row>
    <row r="2151">
      <c r="A2151">
        <f>Sources!A2151</f>
        <v/>
      </c>
      <c r="B2151">
        <f>Sources!B2151</f>
        <v/>
      </c>
      <c r="C2151">
        <f>Sources!D2151</f>
        <v/>
      </c>
      <c r="D2151">
        <f>Sources!E2151</f>
        <v/>
      </c>
      <c r="E2151">
        <f>Sources!F2151</f>
        <v/>
      </c>
      <c r="F2151">
        <f>Sources!H2151</f>
        <v/>
      </c>
      <c r="G2151">
        <f>IF(ABS(F2151-ROUND(F2151,0))&lt;0.001,1,0)</f>
        <v/>
      </c>
      <c r="H2151">
        <f>IF(G2151=1,F2151,CEILING(F2151,1))</f>
        <v/>
      </c>
      <c r="I2151">
        <f>IF(G2151=1,0,(H2151-F2151)*E2151)</f>
        <v/>
      </c>
      <c r="J2151">
        <f>E2151*F2151</f>
        <v/>
      </c>
    </row>
    <row r="2152">
      <c r="A2152">
        <f>Sources!A2152</f>
        <v/>
      </c>
      <c r="B2152">
        <f>Sources!B2152</f>
        <v/>
      </c>
      <c r="C2152">
        <f>Sources!D2152</f>
        <v/>
      </c>
      <c r="D2152">
        <f>Sources!E2152</f>
        <v/>
      </c>
      <c r="E2152">
        <f>Sources!F2152</f>
        <v/>
      </c>
      <c r="F2152">
        <f>Sources!H2152</f>
        <v/>
      </c>
      <c r="G2152">
        <f>IF(ABS(F2152-ROUND(F2152,0))&lt;0.001,1,0)</f>
        <v/>
      </c>
      <c r="H2152">
        <f>IF(G2152=1,F2152,CEILING(F2152,1))</f>
        <v/>
      </c>
      <c r="I2152">
        <f>IF(G2152=1,0,(H2152-F2152)*E2152)</f>
        <v/>
      </c>
      <c r="J2152">
        <f>E2152*F2152</f>
        <v/>
      </c>
    </row>
    <row r="2153">
      <c r="A2153">
        <f>Sources!A2153</f>
        <v/>
      </c>
      <c r="B2153">
        <f>Sources!B2153</f>
        <v/>
      </c>
      <c r="C2153">
        <f>Sources!D2153</f>
        <v/>
      </c>
      <c r="D2153">
        <f>Sources!E2153</f>
        <v/>
      </c>
      <c r="E2153">
        <f>Sources!F2153</f>
        <v/>
      </c>
      <c r="F2153">
        <f>Sources!H2153</f>
        <v/>
      </c>
      <c r="G2153">
        <f>IF(ABS(F2153-ROUND(F2153,0))&lt;0.001,1,0)</f>
        <v/>
      </c>
      <c r="H2153">
        <f>IF(G2153=1,F2153,CEILING(F2153,1))</f>
        <v/>
      </c>
      <c r="I2153">
        <f>IF(G2153=1,0,(H2153-F2153)*E2153)</f>
        <v/>
      </c>
      <c r="J2153">
        <f>E2153*F2153</f>
        <v/>
      </c>
    </row>
    <row r="2154">
      <c r="A2154">
        <f>Sources!A2154</f>
        <v/>
      </c>
      <c r="B2154">
        <f>Sources!B2154</f>
        <v/>
      </c>
      <c r="C2154">
        <f>Sources!D2154</f>
        <v/>
      </c>
      <c r="D2154">
        <f>Sources!E2154</f>
        <v/>
      </c>
      <c r="E2154">
        <f>Sources!F2154</f>
        <v/>
      </c>
      <c r="F2154">
        <f>Sources!H2154</f>
        <v/>
      </c>
      <c r="G2154">
        <f>IF(ABS(F2154-ROUND(F2154,0))&lt;0.001,1,0)</f>
        <v/>
      </c>
      <c r="H2154">
        <f>IF(G2154=1,F2154,CEILING(F2154,1))</f>
        <v/>
      </c>
      <c r="I2154">
        <f>IF(G2154=1,0,(H2154-F2154)*E2154)</f>
        <v/>
      </c>
      <c r="J2154">
        <f>E2154*F2154</f>
        <v/>
      </c>
    </row>
    <row r="2155">
      <c r="A2155">
        <f>Sources!A2155</f>
        <v/>
      </c>
      <c r="B2155">
        <f>Sources!B2155</f>
        <v/>
      </c>
      <c r="C2155">
        <f>Sources!D2155</f>
        <v/>
      </c>
      <c r="D2155">
        <f>Sources!E2155</f>
        <v/>
      </c>
      <c r="E2155">
        <f>Sources!F2155</f>
        <v/>
      </c>
      <c r="F2155">
        <f>Sources!H2155</f>
        <v/>
      </c>
      <c r="G2155">
        <f>IF(ABS(F2155-ROUND(F2155,0))&lt;0.001,1,0)</f>
        <v/>
      </c>
      <c r="H2155">
        <f>IF(G2155=1,F2155,CEILING(F2155,1))</f>
        <v/>
      </c>
      <c r="I2155">
        <f>IF(G2155=1,0,(H2155-F2155)*E2155)</f>
        <v/>
      </c>
      <c r="J2155">
        <f>E2155*F2155</f>
        <v/>
      </c>
    </row>
    <row r="2156">
      <c r="A2156">
        <f>Sources!A2156</f>
        <v/>
      </c>
      <c r="B2156">
        <f>Sources!B2156</f>
        <v/>
      </c>
      <c r="C2156">
        <f>Sources!D2156</f>
        <v/>
      </c>
      <c r="D2156">
        <f>Sources!E2156</f>
        <v/>
      </c>
      <c r="E2156">
        <f>Sources!F2156</f>
        <v/>
      </c>
      <c r="F2156">
        <f>Sources!H2156</f>
        <v/>
      </c>
      <c r="G2156">
        <f>IF(ABS(F2156-ROUND(F2156,0))&lt;0.001,1,0)</f>
        <v/>
      </c>
      <c r="H2156">
        <f>IF(G2156=1,F2156,CEILING(F2156,1))</f>
        <v/>
      </c>
      <c r="I2156">
        <f>IF(G2156=1,0,(H2156-F2156)*E2156)</f>
        <v/>
      </c>
      <c r="J2156">
        <f>E2156*F2156</f>
        <v/>
      </c>
    </row>
    <row r="2157">
      <c r="A2157">
        <f>Sources!A2157</f>
        <v/>
      </c>
      <c r="B2157">
        <f>Sources!B2157</f>
        <v/>
      </c>
      <c r="C2157">
        <f>Sources!D2157</f>
        <v/>
      </c>
      <c r="D2157">
        <f>Sources!E2157</f>
        <v/>
      </c>
      <c r="E2157">
        <f>Sources!F2157</f>
        <v/>
      </c>
      <c r="F2157">
        <f>Sources!H2157</f>
        <v/>
      </c>
      <c r="G2157">
        <f>IF(ABS(F2157-ROUND(F2157,0))&lt;0.001,1,0)</f>
        <v/>
      </c>
      <c r="H2157">
        <f>IF(G2157=1,F2157,CEILING(F2157,1))</f>
        <v/>
      </c>
      <c r="I2157">
        <f>IF(G2157=1,0,(H2157-F2157)*E2157)</f>
        <v/>
      </c>
      <c r="J2157">
        <f>E2157*F2157</f>
        <v/>
      </c>
    </row>
    <row r="2158">
      <c r="A2158">
        <f>Sources!A2158</f>
        <v/>
      </c>
      <c r="B2158">
        <f>Sources!B2158</f>
        <v/>
      </c>
      <c r="C2158">
        <f>Sources!D2158</f>
        <v/>
      </c>
      <c r="D2158">
        <f>Sources!E2158</f>
        <v/>
      </c>
      <c r="E2158">
        <f>Sources!F2158</f>
        <v/>
      </c>
      <c r="F2158">
        <f>Sources!H2158</f>
        <v/>
      </c>
      <c r="G2158">
        <f>IF(ABS(F2158-ROUND(F2158,0))&lt;0.001,1,0)</f>
        <v/>
      </c>
      <c r="H2158">
        <f>IF(G2158=1,F2158,CEILING(F2158,1))</f>
        <v/>
      </c>
      <c r="I2158">
        <f>IF(G2158=1,0,(H2158-F2158)*E2158)</f>
        <v/>
      </c>
      <c r="J2158">
        <f>E2158*F2158</f>
        <v/>
      </c>
    </row>
    <row r="2159">
      <c r="A2159">
        <f>Sources!A2159</f>
        <v/>
      </c>
      <c r="B2159">
        <f>Sources!B2159</f>
        <v/>
      </c>
      <c r="C2159">
        <f>Sources!D2159</f>
        <v/>
      </c>
      <c r="D2159">
        <f>Sources!E2159</f>
        <v/>
      </c>
      <c r="E2159">
        <f>Sources!F2159</f>
        <v/>
      </c>
      <c r="F2159">
        <f>Sources!H2159</f>
        <v/>
      </c>
      <c r="G2159">
        <f>IF(ABS(F2159-ROUND(F2159,0))&lt;0.001,1,0)</f>
        <v/>
      </c>
      <c r="H2159">
        <f>IF(G2159=1,F2159,CEILING(F2159,1))</f>
        <v/>
      </c>
      <c r="I2159">
        <f>IF(G2159=1,0,(H2159-F2159)*E2159)</f>
        <v/>
      </c>
      <c r="J2159">
        <f>E2159*F2159</f>
        <v/>
      </c>
    </row>
    <row r="2160">
      <c r="A2160">
        <f>Sources!A2160</f>
        <v/>
      </c>
      <c r="B2160">
        <f>Sources!B2160</f>
        <v/>
      </c>
      <c r="C2160">
        <f>Sources!D2160</f>
        <v/>
      </c>
      <c r="D2160">
        <f>Sources!E2160</f>
        <v/>
      </c>
      <c r="E2160">
        <f>Sources!F2160</f>
        <v/>
      </c>
      <c r="F2160">
        <f>Sources!H2160</f>
        <v/>
      </c>
      <c r="G2160">
        <f>IF(ABS(F2160-ROUND(F2160,0))&lt;0.001,1,0)</f>
        <v/>
      </c>
      <c r="H2160">
        <f>IF(G2160=1,F2160,CEILING(F2160,1))</f>
        <v/>
      </c>
      <c r="I2160">
        <f>IF(G2160=1,0,(H2160-F2160)*E2160)</f>
        <v/>
      </c>
      <c r="J2160">
        <f>E2160*F2160</f>
        <v/>
      </c>
    </row>
    <row r="2161">
      <c r="A2161">
        <f>Sources!A2161</f>
        <v/>
      </c>
      <c r="B2161">
        <f>Sources!B2161</f>
        <v/>
      </c>
      <c r="C2161">
        <f>Sources!D2161</f>
        <v/>
      </c>
      <c r="D2161">
        <f>Sources!E2161</f>
        <v/>
      </c>
      <c r="E2161">
        <f>Sources!F2161</f>
        <v/>
      </c>
      <c r="F2161">
        <f>Sources!H2161</f>
        <v/>
      </c>
      <c r="G2161">
        <f>IF(ABS(F2161-ROUND(F2161,0))&lt;0.001,1,0)</f>
        <v/>
      </c>
      <c r="H2161">
        <f>IF(G2161=1,F2161,CEILING(F2161,1))</f>
        <v/>
      </c>
      <c r="I2161">
        <f>IF(G2161=1,0,(H2161-F2161)*E2161)</f>
        <v/>
      </c>
      <c r="J2161">
        <f>E2161*F2161</f>
        <v/>
      </c>
    </row>
    <row r="2162">
      <c r="A2162">
        <f>Sources!A2162</f>
        <v/>
      </c>
      <c r="B2162">
        <f>Sources!B2162</f>
        <v/>
      </c>
      <c r="C2162">
        <f>Sources!D2162</f>
        <v/>
      </c>
      <c r="D2162">
        <f>Sources!E2162</f>
        <v/>
      </c>
      <c r="E2162">
        <f>Sources!F2162</f>
        <v/>
      </c>
      <c r="F2162">
        <f>Sources!H2162</f>
        <v/>
      </c>
      <c r="G2162">
        <f>IF(ABS(F2162-ROUND(F2162,0))&lt;0.001,1,0)</f>
        <v/>
      </c>
      <c r="H2162">
        <f>IF(G2162=1,F2162,CEILING(F2162,1))</f>
        <v/>
      </c>
      <c r="I2162">
        <f>IF(G2162=1,0,(H2162-F2162)*E2162)</f>
        <v/>
      </c>
      <c r="J2162">
        <f>E2162*F2162</f>
        <v/>
      </c>
    </row>
    <row r="2163">
      <c r="A2163">
        <f>Sources!A2163</f>
        <v/>
      </c>
      <c r="B2163">
        <f>Sources!B2163</f>
        <v/>
      </c>
      <c r="C2163">
        <f>Sources!D2163</f>
        <v/>
      </c>
      <c r="D2163">
        <f>Sources!E2163</f>
        <v/>
      </c>
      <c r="E2163">
        <f>Sources!F2163</f>
        <v/>
      </c>
      <c r="F2163">
        <f>Sources!H2163</f>
        <v/>
      </c>
      <c r="G2163">
        <f>IF(ABS(F2163-ROUND(F2163,0))&lt;0.001,1,0)</f>
        <v/>
      </c>
      <c r="H2163">
        <f>IF(G2163=1,F2163,CEILING(F2163,1))</f>
        <v/>
      </c>
      <c r="I2163">
        <f>IF(G2163=1,0,(H2163-F2163)*E2163)</f>
        <v/>
      </c>
      <c r="J2163">
        <f>E2163*F2163</f>
        <v/>
      </c>
    </row>
    <row r="2164">
      <c r="A2164">
        <f>Sources!A2164</f>
        <v/>
      </c>
      <c r="B2164">
        <f>Sources!B2164</f>
        <v/>
      </c>
      <c r="C2164">
        <f>Sources!D2164</f>
        <v/>
      </c>
      <c r="D2164">
        <f>Sources!E2164</f>
        <v/>
      </c>
      <c r="E2164">
        <f>Sources!F2164</f>
        <v/>
      </c>
      <c r="F2164">
        <f>Sources!H2164</f>
        <v/>
      </c>
      <c r="G2164">
        <f>IF(ABS(F2164-ROUND(F2164,0))&lt;0.001,1,0)</f>
        <v/>
      </c>
      <c r="H2164">
        <f>IF(G2164=1,F2164,CEILING(F2164,1))</f>
        <v/>
      </c>
      <c r="I2164">
        <f>IF(G2164=1,0,(H2164-F2164)*E2164)</f>
        <v/>
      </c>
      <c r="J2164">
        <f>E2164*F2164</f>
        <v/>
      </c>
    </row>
    <row r="2165">
      <c r="A2165">
        <f>Sources!A2165</f>
        <v/>
      </c>
      <c r="B2165">
        <f>Sources!B2165</f>
        <v/>
      </c>
      <c r="C2165">
        <f>Sources!D2165</f>
        <v/>
      </c>
      <c r="D2165">
        <f>Sources!E2165</f>
        <v/>
      </c>
      <c r="E2165">
        <f>Sources!F2165</f>
        <v/>
      </c>
      <c r="F2165">
        <f>Sources!H2165</f>
        <v/>
      </c>
      <c r="G2165">
        <f>IF(ABS(F2165-ROUND(F2165,0))&lt;0.001,1,0)</f>
        <v/>
      </c>
      <c r="H2165">
        <f>IF(G2165=1,F2165,CEILING(F2165,1))</f>
        <v/>
      </c>
      <c r="I2165">
        <f>IF(G2165=1,0,(H2165-F2165)*E2165)</f>
        <v/>
      </c>
      <c r="J2165">
        <f>E2165*F2165</f>
        <v/>
      </c>
    </row>
    <row r="2166">
      <c r="A2166">
        <f>Sources!A2166</f>
        <v/>
      </c>
      <c r="B2166">
        <f>Sources!B2166</f>
        <v/>
      </c>
      <c r="C2166">
        <f>Sources!D2166</f>
        <v/>
      </c>
      <c r="D2166">
        <f>Sources!E2166</f>
        <v/>
      </c>
      <c r="E2166">
        <f>Sources!F2166</f>
        <v/>
      </c>
      <c r="F2166">
        <f>Sources!H2166</f>
        <v/>
      </c>
      <c r="G2166">
        <f>IF(ABS(F2166-ROUND(F2166,0))&lt;0.001,1,0)</f>
        <v/>
      </c>
      <c r="H2166">
        <f>IF(G2166=1,F2166,CEILING(F2166,1))</f>
        <v/>
      </c>
      <c r="I2166">
        <f>IF(G2166=1,0,(H2166-F2166)*E2166)</f>
        <v/>
      </c>
      <c r="J2166">
        <f>E2166*F2166</f>
        <v/>
      </c>
    </row>
    <row r="2167">
      <c r="A2167">
        <f>Sources!A2167</f>
        <v/>
      </c>
      <c r="B2167">
        <f>Sources!B2167</f>
        <v/>
      </c>
      <c r="C2167">
        <f>Sources!D2167</f>
        <v/>
      </c>
      <c r="D2167">
        <f>Sources!E2167</f>
        <v/>
      </c>
      <c r="E2167">
        <f>Sources!F2167</f>
        <v/>
      </c>
      <c r="F2167">
        <f>Sources!H2167</f>
        <v/>
      </c>
      <c r="G2167">
        <f>IF(ABS(F2167-ROUND(F2167,0))&lt;0.001,1,0)</f>
        <v/>
      </c>
      <c r="H2167">
        <f>IF(G2167=1,F2167,CEILING(F2167,1))</f>
        <v/>
      </c>
      <c r="I2167">
        <f>IF(G2167=1,0,(H2167-F2167)*E2167)</f>
        <v/>
      </c>
      <c r="J2167">
        <f>E2167*F2167</f>
        <v/>
      </c>
    </row>
    <row r="2168">
      <c r="A2168">
        <f>Sources!A2168</f>
        <v/>
      </c>
      <c r="B2168">
        <f>Sources!B2168</f>
        <v/>
      </c>
      <c r="C2168">
        <f>Sources!D2168</f>
        <v/>
      </c>
      <c r="D2168">
        <f>Sources!E2168</f>
        <v/>
      </c>
      <c r="E2168">
        <f>Sources!F2168</f>
        <v/>
      </c>
      <c r="F2168">
        <f>Sources!H2168</f>
        <v/>
      </c>
      <c r="G2168">
        <f>IF(ABS(F2168-ROUND(F2168,0))&lt;0.001,1,0)</f>
        <v/>
      </c>
      <c r="H2168">
        <f>IF(G2168=1,F2168,CEILING(F2168,1))</f>
        <v/>
      </c>
      <c r="I2168">
        <f>IF(G2168=1,0,(H2168-F2168)*E2168)</f>
        <v/>
      </c>
      <c r="J2168">
        <f>E2168*F2168</f>
        <v/>
      </c>
    </row>
    <row r="2169">
      <c r="A2169">
        <f>Sources!A2169</f>
        <v/>
      </c>
      <c r="B2169">
        <f>Sources!B2169</f>
        <v/>
      </c>
      <c r="C2169">
        <f>Sources!D2169</f>
        <v/>
      </c>
      <c r="D2169">
        <f>Sources!E2169</f>
        <v/>
      </c>
      <c r="E2169">
        <f>Sources!F2169</f>
        <v/>
      </c>
      <c r="F2169">
        <f>Sources!H2169</f>
        <v/>
      </c>
      <c r="G2169">
        <f>IF(ABS(F2169-ROUND(F2169,0))&lt;0.001,1,0)</f>
        <v/>
      </c>
      <c r="H2169">
        <f>IF(G2169=1,F2169,CEILING(F2169,1))</f>
        <v/>
      </c>
      <c r="I2169">
        <f>IF(G2169=1,0,(H2169-F2169)*E2169)</f>
        <v/>
      </c>
      <c r="J2169">
        <f>E2169*F2169</f>
        <v/>
      </c>
    </row>
    <row r="2170">
      <c r="A2170">
        <f>Sources!A2170</f>
        <v/>
      </c>
      <c r="B2170">
        <f>Sources!B2170</f>
        <v/>
      </c>
      <c r="C2170">
        <f>Sources!D2170</f>
        <v/>
      </c>
      <c r="D2170">
        <f>Sources!E2170</f>
        <v/>
      </c>
      <c r="E2170">
        <f>Sources!F2170</f>
        <v/>
      </c>
      <c r="F2170">
        <f>Sources!H2170</f>
        <v/>
      </c>
      <c r="G2170">
        <f>IF(ABS(F2170-ROUND(F2170,0))&lt;0.001,1,0)</f>
        <v/>
      </c>
      <c r="H2170">
        <f>IF(G2170=1,F2170,CEILING(F2170,1))</f>
        <v/>
      </c>
      <c r="I2170">
        <f>IF(G2170=1,0,(H2170-F2170)*E2170)</f>
        <v/>
      </c>
      <c r="J2170">
        <f>E2170*F2170</f>
        <v/>
      </c>
    </row>
    <row r="2171">
      <c r="A2171">
        <f>Sources!A2171</f>
        <v/>
      </c>
      <c r="B2171">
        <f>Sources!B2171</f>
        <v/>
      </c>
      <c r="C2171">
        <f>Sources!D2171</f>
        <v/>
      </c>
      <c r="D2171">
        <f>Sources!E2171</f>
        <v/>
      </c>
      <c r="E2171">
        <f>Sources!F2171</f>
        <v/>
      </c>
      <c r="F2171">
        <f>Sources!H2171</f>
        <v/>
      </c>
      <c r="G2171">
        <f>IF(ABS(F2171-ROUND(F2171,0))&lt;0.001,1,0)</f>
        <v/>
      </c>
      <c r="H2171">
        <f>IF(G2171=1,F2171,CEILING(F2171,1))</f>
        <v/>
      </c>
      <c r="I2171">
        <f>IF(G2171=1,0,(H2171-F2171)*E2171)</f>
        <v/>
      </c>
      <c r="J2171">
        <f>E2171*F2171</f>
        <v/>
      </c>
    </row>
    <row r="2172">
      <c r="A2172">
        <f>Sources!A2172</f>
        <v/>
      </c>
      <c r="B2172">
        <f>Sources!B2172</f>
        <v/>
      </c>
      <c r="C2172">
        <f>Sources!D2172</f>
        <v/>
      </c>
      <c r="D2172">
        <f>Sources!E2172</f>
        <v/>
      </c>
      <c r="E2172">
        <f>Sources!F2172</f>
        <v/>
      </c>
      <c r="F2172">
        <f>Sources!H2172</f>
        <v/>
      </c>
      <c r="G2172">
        <f>IF(ABS(F2172-ROUND(F2172,0))&lt;0.001,1,0)</f>
        <v/>
      </c>
      <c r="H2172">
        <f>IF(G2172=1,F2172,CEILING(F2172,1))</f>
        <v/>
      </c>
      <c r="I2172">
        <f>IF(G2172=1,0,(H2172-F2172)*E2172)</f>
        <v/>
      </c>
      <c r="J2172">
        <f>E2172*F2172</f>
        <v/>
      </c>
    </row>
    <row r="2173">
      <c r="A2173">
        <f>Sources!A2173</f>
        <v/>
      </c>
      <c r="B2173">
        <f>Sources!B2173</f>
        <v/>
      </c>
      <c r="C2173">
        <f>Sources!D2173</f>
        <v/>
      </c>
      <c r="D2173">
        <f>Sources!E2173</f>
        <v/>
      </c>
      <c r="E2173">
        <f>Sources!F2173</f>
        <v/>
      </c>
      <c r="F2173">
        <f>Sources!H2173</f>
        <v/>
      </c>
      <c r="G2173">
        <f>IF(ABS(F2173-ROUND(F2173,0))&lt;0.001,1,0)</f>
        <v/>
      </c>
      <c r="H2173">
        <f>IF(G2173=1,F2173,CEILING(F2173,1))</f>
        <v/>
      </c>
      <c r="I2173">
        <f>IF(G2173=1,0,(H2173-F2173)*E2173)</f>
        <v/>
      </c>
      <c r="J2173">
        <f>E2173*F2173</f>
        <v/>
      </c>
    </row>
    <row r="2174">
      <c r="A2174">
        <f>Sources!A2174</f>
        <v/>
      </c>
      <c r="B2174">
        <f>Sources!B2174</f>
        <v/>
      </c>
      <c r="C2174">
        <f>Sources!D2174</f>
        <v/>
      </c>
      <c r="D2174">
        <f>Sources!E2174</f>
        <v/>
      </c>
      <c r="E2174">
        <f>Sources!F2174</f>
        <v/>
      </c>
      <c r="F2174">
        <f>Sources!H2174</f>
        <v/>
      </c>
      <c r="G2174">
        <f>IF(ABS(F2174-ROUND(F2174,0))&lt;0.001,1,0)</f>
        <v/>
      </c>
      <c r="H2174">
        <f>IF(G2174=1,F2174,CEILING(F2174,1))</f>
        <v/>
      </c>
      <c r="I2174">
        <f>IF(G2174=1,0,(H2174-F2174)*E2174)</f>
        <v/>
      </c>
      <c r="J2174">
        <f>E2174*F2174</f>
        <v/>
      </c>
    </row>
    <row r="2175">
      <c r="A2175">
        <f>Sources!A2175</f>
        <v/>
      </c>
      <c r="B2175">
        <f>Sources!B2175</f>
        <v/>
      </c>
      <c r="C2175">
        <f>Sources!D2175</f>
        <v/>
      </c>
      <c r="D2175">
        <f>Sources!E2175</f>
        <v/>
      </c>
      <c r="E2175">
        <f>Sources!F2175</f>
        <v/>
      </c>
      <c r="F2175">
        <f>Sources!H2175</f>
        <v/>
      </c>
      <c r="G2175">
        <f>IF(ABS(F2175-ROUND(F2175,0))&lt;0.001,1,0)</f>
        <v/>
      </c>
      <c r="H2175">
        <f>IF(G2175=1,F2175,CEILING(F2175,1))</f>
        <v/>
      </c>
      <c r="I2175">
        <f>IF(G2175=1,0,(H2175-F2175)*E2175)</f>
        <v/>
      </c>
      <c r="J2175">
        <f>E2175*F2175</f>
        <v/>
      </c>
    </row>
    <row r="2176">
      <c r="A2176">
        <f>Sources!A2176</f>
        <v/>
      </c>
      <c r="B2176">
        <f>Sources!B2176</f>
        <v/>
      </c>
      <c r="C2176">
        <f>Sources!D2176</f>
        <v/>
      </c>
      <c r="D2176">
        <f>Sources!E2176</f>
        <v/>
      </c>
      <c r="E2176">
        <f>Sources!F2176</f>
        <v/>
      </c>
      <c r="F2176">
        <f>Sources!H2176</f>
        <v/>
      </c>
      <c r="G2176">
        <f>IF(ABS(F2176-ROUND(F2176,0))&lt;0.001,1,0)</f>
        <v/>
      </c>
      <c r="H2176">
        <f>IF(G2176=1,F2176,CEILING(F2176,1))</f>
        <v/>
      </c>
      <c r="I2176">
        <f>IF(G2176=1,0,(H2176-F2176)*E2176)</f>
        <v/>
      </c>
      <c r="J2176">
        <f>E2176*F2176</f>
        <v/>
      </c>
    </row>
    <row r="2177">
      <c r="A2177">
        <f>Sources!A2177</f>
        <v/>
      </c>
      <c r="B2177">
        <f>Sources!B2177</f>
        <v/>
      </c>
      <c r="C2177">
        <f>Sources!D2177</f>
        <v/>
      </c>
      <c r="D2177">
        <f>Sources!E2177</f>
        <v/>
      </c>
      <c r="E2177">
        <f>Sources!F2177</f>
        <v/>
      </c>
      <c r="F2177">
        <f>Sources!H2177</f>
        <v/>
      </c>
      <c r="G2177">
        <f>IF(ABS(F2177-ROUND(F2177,0))&lt;0.001,1,0)</f>
        <v/>
      </c>
      <c r="H2177">
        <f>IF(G2177=1,F2177,CEILING(F2177,1))</f>
        <v/>
      </c>
      <c r="I2177">
        <f>IF(G2177=1,0,(H2177-F2177)*E2177)</f>
        <v/>
      </c>
      <c r="J2177">
        <f>E2177*F2177</f>
        <v/>
      </c>
    </row>
    <row r="2178">
      <c r="A2178">
        <f>Sources!A2178</f>
        <v/>
      </c>
      <c r="B2178">
        <f>Sources!B2178</f>
        <v/>
      </c>
      <c r="C2178">
        <f>Sources!D2178</f>
        <v/>
      </c>
      <c r="D2178">
        <f>Sources!E2178</f>
        <v/>
      </c>
      <c r="E2178">
        <f>Sources!F2178</f>
        <v/>
      </c>
      <c r="F2178">
        <f>Sources!H2178</f>
        <v/>
      </c>
      <c r="G2178">
        <f>IF(ABS(F2178-ROUND(F2178,0))&lt;0.001,1,0)</f>
        <v/>
      </c>
      <c r="H2178">
        <f>IF(G2178=1,F2178,CEILING(F2178,1))</f>
        <v/>
      </c>
      <c r="I2178">
        <f>IF(G2178=1,0,(H2178-F2178)*E2178)</f>
        <v/>
      </c>
      <c r="J2178">
        <f>E2178*F2178</f>
        <v/>
      </c>
    </row>
    <row r="2179">
      <c r="A2179">
        <f>Sources!A2179</f>
        <v/>
      </c>
      <c r="B2179">
        <f>Sources!B2179</f>
        <v/>
      </c>
      <c r="C2179">
        <f>Sources!D2179</f>
        <v/>
      </c>
      <c r="D2179">
        <f>Sources!E2179</f>
        <v/>
      </c>
      <c r="E2179">
        <f>Sources!F2179</f>
        <v/>
      </c>
      <c r="F2179">
        <f>Sources!H2179</f>
        <v/>
      </c>
      <c r="G2179">
        <f>IF(ABS(F2179-ROUND(F2179,0))&lt;0.001,1,0)</f>
        <v/>
      </c>
      <c r="H2179">
        <f>IF(G2179=1,F2179,CEILING(F2179,1))</f>
        <v/>
      </c>
      <c r="I2179">
        <f>IF(G2179=1,0,(H2179-F2179)*E2179)</f>
        <v/>
      </c>
      <c r="J2179">
        <f>E2179*F2179</f>
        <v/>
      </c>
    </row>
    <row r="2180">
      <c r="A2180">
        <f>Sources!A2180</f>
        <v/>
      </c>
      <c r="B2180">
        <f>Sources!B2180</f>
        <v/>
      </c>
      <c r="C2180">
        <f>Sources!D2180</f>
        <v/>
      </c>
      <c r="D2180">
        <f>Sources!E2180</f>
        <v/>
      </c>
      <c r="E2180">
        <f>Sources!F2180</f>
        <v/>
      </c>
      <c r="F2180">
        <f>Sources!H2180</f>
        <v/>
      </c>
      <c r="G2180">
        <f>IF(ABS(F2180-ROUND(F2180,0))&lt;0.001,1,0)</f>
        <v/>
      </c>
      <c r="H2180">
        <f>IF(G2180=1,F2180,CEILING(F2180,1))</f>
        <v/>
      </c>
      <c r="I2180">
        <f>IF(G2180=1,0,(H2180-F2180)*E2180)</f>
        <v/>
      </c>
      <c r="J2180">
        <f>E2180*F2180</f>
        <v/>
      </c>
    </row>
    <row r="2181">
      <c r="A2181">
        <f>Sources!A2181</f>
        <v/>
      </c>
      <c r="B2181">
        <f>Sources!B2181</f>
        <v/>
      </c>
      <c r="C2181">
        <f>Sources!D2181</f>
        <v/>
      </c>
      <c r="D2181">
        <f>Sources!E2181</f>
        <v/>
      </c>
      <c r="E2181">
        <f>Sources!F2181</f>
        <v/>
      </c>
      <c r="F2181">
        <f>Sources!H2181</f>
        <v/>
      </c>
      <c r="G2181">
        <f>IF(ABS(F2181-ROUND(F2181,0))&lt;0.001,1,0)</f>
        <v/>
      </c>
      <c r="H2181">
        <f>IF(G2181=1,F2181,CEILING(F2181,1))</f>
        <v/>
      </c>
      <c r="I2181">
        <f>IF(G2181=1,0,(H2181-F2181)*E2181)</f>
        <v/>
      </c>
      <c r="J2181">
        <f>E2181*F2181</f>
        <v/>
      </c>
    </row>
    <row r="2182">
      <c r="A2182">
        <f>Sources!A2182</f>
        <v/>
      </c>
      <c r="B2182">
        <f>Sources!B2182</f>
        <v/>
      </c>
      <c r="C2182">
        <f>Sources!D2182</f>
        <v/>
      </c>
      <c r="D2182">
        <f>Sources!E2182</f>
        <v/>
      </c>
      <c r="E2182">
        <f>Sources!F2182</f>
        <v/>
      </c>
      <c r="F2182">
        <f>Sources!H2182</f>
        <v/>
      </c>
      <c r="G2182">
        <f>IF(ABS(F2182-ROUND(F2182,0))&lt;0.001,1,0)</f>
        <v/>
      </c>
      <c r="H2182">
        <f>IF(G2182=1,F2182,CEILING(F2182,1))</f>
        <v/>
      </c>
      <c r="I2182">
        <f>IF(G2182=1,0,(H2182-F2182)*E2182)</f>
        <v/>
      </c>
      <c r="J2182">
        <f>E2182*F2182</f>
        <v/>
      </c>
    </row>
    <row r="2183">
      <c r="A2183">
        <f>Sources!A2183</f>
        <v/>
      </c>
      <c r="B2183">
        <f>Sources!B2183</f>
        <v/>
      </c>
      <c r="C2183">
        <f>Sources!D2183</f>
        <v/>
      </c>
      <c r="D2183">
        <f>Sources!E2183</f>
        <v/>
      </c>
      <c r="E2183">
        <f>Sources!F2183</f>
        <v/>
      </c>
      <c r="F2183">
        <f>Sources!H2183</f>
        <v/>
      </c>
      <c r="G2183">
        <f>IF(ABS(F2183-ROUND(F2183,0))&lt;0.001,1,0)</f>
        <v/>
      </c>
      <c r="H2183">
        <f>IF(G2183=1,F2183,CEILING(F2183,1))</f>
        <v/>
      </c>
      <c r="I2183">
        <f>IF(G2183=1,0,(H2183-F2183)*E2183)</f>
        <v/>
      </c>
      <c r="J2183">
        <f>E2183*F2183</f>
        <v/>
      </c>
    </row>
    <row r="2184">
      <c r="A2184">
        <f>Sources!A2184</f>
        <v/>
      </c>
      <c r="B2184">
        <f>Sources!B2184</f>
        <v/>
      </c>
      <c r="C2184">
        <f>Sources!D2184</f>
        <v/>
      </c>
      <c r="D2184">
        <f>Sources!E2184</f>
        <v/>
      </c>
      <c r="E2184">
        <f>Sources!F2184</f>
        <v/>
      </c>
      <c r="F2184">
        <f>Sources!H2184</f>
        <v/>
      </c>
      <c r="G2184">
        <f>IF(ABS(F2184-ROUND(F2184,0))&lt;0.001,1,0)</f>
        <v/>
      </c>
      <c r="H2184">
        <f>IF(G2184=1,F2184,CEILING(F2184,1))</f>
        <v/>
      </c>
      <c r="I2184">
        <f>IF(G2184=1,0,(H2184-F2184)*E2184)</f>
        <v/>
      </c>
      <c r="J2184">
        <f>E2184*F2184</f>
        <v/>
      </c>
    </row>
    <row r="2185">
      <c r="A2185">
        <f>Sources!A2185</f>
        <v/>
      </c>
      <c r="B2185">
        <f>Sources!B2185</f>
        <v/>
      </c>
      <c r="C2185">
        <f>Sources!D2185</f>
        <v/>
      </c>
      <c r="D2185">
        <f>Sources!E2185</f>
        <v/>
      </c>
      <c r="E2185">
        <f>Sources!F2185</f>
        <v/>
      </c>
      <c r="F2185">
        <f>Sources!H2185</f>
        <v/>
      </c>
      <c r="G2185">
        <f>IF(ABS(F2185-ROUND(F2185,0))&lt;0.001,1,0)</f>
        <v/>
      </c>
      <c r="H2185">
        <f>IF(G2185=1,F2185,CEILING(F2185,1))</f>
        <v/>
      </c>
      <c r="I2185">
        <f>IF(G2185=1,0,(H2185-F2185)*E2185)</f>
        <v/>
      </c>
      <c r="J2185">
        <f>E2185*F2185</f>
        <v/>
      </c>
    </row>
    <row r="2186">
      <c r="A2186">
        <f>Sources!A2186</f>
        <v/>
      </c>
      <c r="B2186">
        <f>Sources!B2186</f>
        <v/>
      </c>
      <c r="C2186">
        <f>Sources!D2186</f>
        <v/>
      </c>
      <c r="D2186">
        <f>Sources!E2186</f>
        <v/>
      </c>
      <c r="E2186">
        <f>Sources!F2186</f>
        <v/>
      </c>
      <c r="F2186">
        <f>Sources!H2186</f>
        <v/>
      </c>
      <c r="G2186">
        <f>IF(ABS(F2186-ROUND(F2186,0))&lt;0.001,1,0)</f>
        <v/>
      </c>
      <c r="H2186">
        <f>IF(G2186=1,F2186,CEILING(F2186,1))</f>
        <v/>
      </c>
      <c r="I2186">
        <f>IF(G2186=1,0,(H2186-F2186)*E2186)</f>
        <v/>
      </c>
      <c r="J2186">
        <f>E2186*F2186</f>
        <v/>
      </c>
    </row>
    <row r="2187">
      <c r="A2187">
        <f>Sources!A2187</f>
        <v/>
      </c>
      <c r="B2187">
        <f>Sources!B2187</f>
        <v/>
      </c>
      <c r="C2187">
        <f>Sources!D2187</f>
        <v/>
      </c>
      <c r="D2187">
        <f>Sources!E2187</f>
        <v/>
      </c>
      <c r="E2187">
        <f>Sources!F2187</f>
        <v/>
      </c>
      <c r="F2187">
        <f>Sources!H2187</f>
        <v/>
      </c>
      <c r="G2187">
        <f>IF(ABS(F2187-ROUND(F2187,0))&lt;0.001,1,0)</f>
        <v/>
      </c>
      <c r="H2187">
        <f>IF(G2187=1,F2187,CEILING(F2187,1))</f>
        <v/>
      </c>
      <c r="I2187">
        <f>IF(G2187=1,0,(H2187-F2187)*E2187)</f>
        <v/>
      </c>
      <c r="J2187">
        <f>E2187*F2187</f>
        <v/>
      </c>
    </row>
    <row r="2188">
      <c r="A2188">
        <f>Sources!A2188</f>
        <v/>
      </c>
      <c r="B2188">
        <f>Sources!B2188</f>
        <v/>
      </c>
      <c r="C2188">
        <f>Sources!D2188</f>
        <v/>
      </c>
      <c r="D2188">
        <f>Sources!E2188</f>
        <v/>
      </c>
      <c r="E2188">
        <f>Sources!F2188</f>
        <v/>
      </c>
      <c r="F2188">
        <f>Sources!H2188</f>
        <v/>
      </c>
      <c r="G2188">
        <f>IF(ABS(F2188-ROUND(F2188,0))&lt;0.001,1,0)</f>
        <v/>
      </c>
      <c r="H2188">
        <f>IF(G2188=1,F2188,CEILING(F2188,1))</f>
        <v/>
      </c>
      <c r="I2188">
        <f>IF(G2188=1,0,(H2188-F2188)*E2188)</f>
        <v/>
      </c>
      <c r="J2188">
        <f>E2188*F2188</f>
        <v/>
      </c>
    </row>
    <row r="2189">
      <c r="A2189">
        <f>Sources!A2189</f>
        <v/>
      </c>
      <c r="B2189">
        <f>Sources!B2189</f>
        <v/>
      </c>
      <c r="C2189">
        <f>Sources!D2189</f>
        <v/>
      </c>
      <c r="D2189">
        <f>Sources!E2189</f>
        <v/>
      </c>
      <c r="E2189">
        <f>Sources!F2189</f>
        <v/>
      </c>
      <c r="F2189">
        <f>Sources!H2189</f>
        <v/>
      </c>
      <c r="G2189">
        <f>IF(ABS(F2189-ROUND(F2189,0))&lt;0.001,1,0)</f>
        <v/>
      </c>
      <c r="H2189">
        <f>IF(G2189=1,F2189,CEILING(F2189,1))</f>
        <v/>
      </c>
      <c r="I2189">
        <f>IF(G2189=1,0,(H2189-F2189)*E2189)</f>
        <v/>
      </c>
      <c r="J2189">
        <f>E2189*F2189</f>
        <v/>
      </c>
    </row>
    <row r="2190">
      <c r="A2190">
        <f>Sources!A2190</f>
        <v/>
      </c>
      <c r="B2190">
        <f>Sources!B2190</f>
        <v/>
      </c>
      <c r="C2190">
        <f>Sources!D2190</f>
        <v/>
      </c>
      <c r="D2190">
        <f>Sources!E2190</f>
        <v/>
      </c>
      <c r="E2190">
        <f>Sources!F2190</f>
        <v/>
      </c>
      <c r="F2190">
        <f>Sources!H2190</f>
        <v/>
      </c>
      <c r="G2190">
        <f>IF(ABS(F2190-ROUND(F2190,0))&lt;0.001,1,0)</f>
        <v/>
      </c>
      <c r="H2190">
        <f>IF(G2190=1,F2190,CEILING(F2190,1))</f>
        <v/>
      </c>
      <c r="I2190">
        <f>IF(G2190=1,0,(H2190-F2190)*E2190)</f>
        <v/>
      </c>
      <c r="J2190">
        <f>E2190*F2190</f>
        <v/>
      </c>
    </row>
    <row r="2191">
      <c r="A2191">
        <f>Sources!A2191</f>
        <v/>
      </c>
      <c r="B2191">
        <f>Sources!B2191</f>
        <v/>
      </c>
      <c r="C2191">
        <f>Sources!D2191</f>
        <v/>
      </c>
      <c r="D2191">
        <f>Sources!E2191</f>
        <v/>
      </c>
      <c r="E2191">
        <f>Sources!F2191</f>
        <v/>
      </c>
      <c r="F2191">
        <f>Sources!H2191</f>
        <v/>
      </c>
      <c r="G2191">
        <f>IF(ABS(F2191-ROUND(F2191,0))&lt;0.001,1,0)</f>
        <v/>
      </c>
      <c r="H2191">
        <f>IF(G2191=1,F2191,CEILING(F2191,1))</f>
        <v/>
      </c>
      <c r="I2191">
        <f>IF(G2191=1,0,(H2191-F2191)*E2191)</f>
        <v/>
      </c>
      <c r="J2191">
        <f>E2191*F2191</f>
        <v/>
      </c>
    </row>
    <row r="2192">
      <c r="A2192">
        <f>Sources!A2192</f>
        <v/>
      </c>
      <c r="B2192">
        <f>Sources!B2192</f>
        <v/>
      </c>
      <c r="C2192">
        <f>Sources!D2192</f>
        <v/>
      </c>
      <c r="D2192">
        <f>Sources!E2192</f>
        <v/>
      </c>
      <c r="E2192">
        <f>Sources!F2192</f>
        <v/>
      </c>
      <c r="F2192">
        <f>Sources!H2192</f>
        <v/>
      </c>
      <c r="G2192">
        <f>IF(ABS(F2192-ROUND(F2192,0))&lt;0.001,1,0)</f>
        <v/>
      </c>
      <c r="H2192">
        <f>IF(G2192=1,F2192,CEILING(F2192,1))</f>
        <v/>
      </c>
      <c r="I2192">
        <f>IF(G2192=1,0,(H2192-F2192)*E2192)</f>
        <v/>
      </c>
      <c r="J2192">
        <f>E2192*F2192</f>
        <v/>
      </c>
    </row>
    <row r="2193">
      <c r="A2193">
        <f>Sources!A2193</f>
        <v/>
      </c>
      <c r="B2193">
        <f>Sources!B2193</f>
        <v/>
      </c>
      <c r="C2193">
        <f>Sources!D2193</f>
        <v/>
      </c>
      <c r="D2193">
        <f>Sources!E2193</f>
        <v/>
      </c>
      <c r="E2193">
        <f>Sources!F2193</f>
        <v/>
      </c>
      <c r="F2193">
        <f>Sources!H2193</f>
        <v/>
      </c>
      <c r="G2193">
        <f>IF(ABS(F2193-ROUND(F2193,0))&lt;0.001,1,0)</f>
        <v/>
      </c>
      <c r="H2193">
        <f>IF(G2193=1,F2193,CEILING(F2193,1))</f>
        <v/>
      </c>
      <c r="I2193">
        <f>IF(G2193=1,0,(H2193-F2193)*E2193)</f>
        <v/>
      </c>
      <c r="J2193">
        <f>E2193*F2193</f>
        <v/>
      </c>
    </row>
    <row r="2194">
      <c r="A2194">
        <f>Sources!A2194</f>
        <v/>
      </c>
      <c r="B2194">
        <f>Sources!B2194</f>
        <v/>
      </c>
      <c r="C2194">
        <f>Sources!D2194</f>
        <v/>
      </c>
      <c r="D2194">
        <f>Sources!E2194</f>
        <v/>
      </c>
      <c r="E2194">
        <f>Sources!F2194</f>
        <v/>
      </c>
      <c r="F2194">
        <f>Sources!H2194</f>
        <v/>
      </c>
      <c r="G2194">
        <f>IF(ABS(F2194-ROUND(F2194,0))&lt;0.001,1,0)</f>
        <v/>
      </c>
      <c r="H2194">
        <f>IF(G2194=1,F2194,CEILING(F2194,1))</f>
        <v/>
      </c>
      <c r="I2194">
        <f>IF(G2194=1,0,(H2194-F2194)*E2194)</f>
        <v/>
      </c>
      <c r="J2194">
        <f>E2194*F2194</f>
        <v/>
      </c>
    </row>
    <row r="2195">
      <c r="A2195">
        <f>Sources!A2195</f>
        <v/>
      </c>
      <c r="B2195">
        <f>Sources!B2195</f>
        <v/>
      </c>
      <c r="C2195">
        <f>Sources!D2195</f>
        <v/>
      </c>
      <c r="D2195">
        <f>Sources!E2195</f>
        <v/>
      </c>
      <c r="E2195">
        <f>Sources!F2195</f>
        <v/>
      </c>
      <c r="F2195">
        <f>Sources!H2195</f>
        <v/>
      </c>
      <c r="G2195">
        <f>IF(ABS(F2195-ROUND(F2195,0))&lt;0.001,1,0)</f>
        <v/>
      </c>
      <c r="H2195">
        <f>IF(G2195=1,F2195,CEILING(F2195,1))</f>
        <v/>
      </c>
      <c r="I2195">
        <f>IF(G2195=1,0,(H2195-F2195)*E2195)</f>
        <v/>
      </c>
      <c r="J2195">
        <f>E2195*F2195</f>
        <v/>
      </c>
    </row>
    <row r="2196">
      <c r="A2196">
        <f>Sources!A2196</f>
        <v/>
      </c>
      <c r="B2196">
        <f>Sources!B2196</f>
        <v/>
      </c>
      <c r="C2196">
        <f>Sources!D2196</f>
        <v/>
      </c>
      <c r="D2196">
        <f>Sources!E2196</f>
        <v/>
      </c>
      <c r="E2196">
        <f>Sources!F2196</f>
        <v/>
      </c>
      <c r="F2196">
        <f>Sources!H2196</f>
        <v/>
      </c>
      <c r="G2196">
        <f>IF(ABS(F2196-ROUND(F2196,0))&lt;0.001,1,0)</f>
        <v/>
      </c>
      <c r="H2196">
        <f>IF(G2196=1,F2196,CEILING(F2196,1))</f>
        <v/>
      </c>
      <c r="I2196">
        <f>IF(G2196=1,0,(H2196-F2196)*E2196)</f>
        <v/>
      </c>
      <c r="J2196">
        <f>E2196*F2196</f>
        <v/>
      </c>
    </row>
    <row r="2197">
      <c r="A2197">
        <f>Sources!A2197</f>
        <v/>
      </c>
      <c r="B2197">
        <f>Sources!B2197</f>
        <v/>
      </c>
      <c r="C2197">
        <f>Sources!D2197</f>
        <v/>
      </c>
      <c r="D2197">
        <f>Sources!E2197</f>
        <v/>
      </c>
      <c r="E2197">
        <f>Sources!F2197</f>
        <v/>
      </c>
      <c r="F2197">
        <f>Sources!H2197</f>
        <v/>
      </c>
      <c r="G2197">
        <f>IF(ABS(F2197-ROUND(F2197,0))&lt;0.001,1,0)</f>
        <v/>
      </c>
      <c r="H2197">
        <f>IF(G2197=1,F2197,CEILING(F2197,1))</f>
        <v/>
      </c>
      <c r="I2197">
        <f>IF(G2197=1,0,(H2197-F2197)*E2197)</f>
        <v/>
      </c>
      <c r="J2197">
        <f>E2197*F2197</f>
        <v/>
      </c>
    </row>
    <row r="2198">
      <c r="A2198">
        <f>Sources!A2198</f>
        <v/>
      </c>
      <c r="B2198">
        <f>Sources!B2198</f>
        <v/>
      </c>
      <c r="C2198">
        <f>Sources!D2198</f>
        <v/>
      </c>
      <c r="D2198">
        <f>Sources!E2198</f>
        <v/>
      </c>
      <c r="E2198">
        <f>Sources!F2198</f>
        <v/>
      </c>
      <c r="F2198">
        <f>Sources!H2198</f>
        <v/>
      </c>
      <c r="G2198">
        <f>IF(ABS(F2198-ROUND(F2198,0))&lt;0.001,1,0)</f>
        <v/>
      </c>
      <c r="H2198">
        <f>IF(G2198=1,F2198,CEILING(F2198,1))</f>
        <v/>
      </c>
      <c r="I2198">
        <f>IF(G2198=1,0,(H2198-F2198)*E2198)</f>
        <v/>
      </c>
      <c r="J2198">
        <f>E2198*F2198</f>
        <v/>
      </c>
    </row>
    <row r="2199">
      <c r="A2199">
        <f>Sources!A2199</f>
        <v/>
      </c>
      <c r="B2199">
        <f>Sources!B2199</f>
        <v/>
      </c>
      <c r="C2199">
        <f>Sources!D2199</f>
        <v/>
      </c>
      <c r="D2199">
        <f>Sources!E2199</f>
        <v/>
      </c>
      <c r="E2199">
        <f>Sources!F2199</f>
        <v/>
      </c>
      <c r="F2199">
        <f>Sources!H2199</f>
        <v/>
      </c>
      <c r="G2199">
        <f>IF(ABS(F2199-ROUND(F2199,0))&lt;0.001,1,0)</f>
        <v/>
      </c>
      <c r="H2199">
        <f>IF(G2199=1,F2199,CEILING(F2199,1))</f>
        <v/>
      </c>
      <c r="I2199">
        <f>IF(G2199=1,0,(H2199-F2199)*E2199)</f>
        <v/>
      </c>
      <c r="J2199">
        <f>E2199*F2199</f>
        <v/>
      </c>
    </row>
    <row r="2200">
      <c r="A2200">
        <f>Sources!A2200</f>
        <v/>
      </c>
      <c r="B2200">
        <f>Sources!B2200</f>
        <v/>
      </c>
      <c r="C2200">
        <f>Sources!D2200</f>
        <v/>
      </c>
      <c r="D2200">
        <f>Sources!E2200</f>
        <v/>
      </c>
      <c r="E2200">
        <f>Sources!F2200</f>
        <v/>
      </c>
      <c r="F2200">
        <f>Sources!H2200</f>
        <v/>
      </c>
      <c r="G2200">
        <f>IF(ABS(F2200-ROUND(F2200,0))&lt;0.001,1,0)</f>
        <v/>
      </c>
      <c r="H2200">
        <f>IF(G2200=1,F2200,CEILING(F2200,1))</f>
        <v/>
      </c>
      <c r="I2200">
        <f>IF(G2200=1,0,(H2200-F2200)*E2200)</f>
        <v/>
      </c>
      <c r="J2200">
        <f>E2200*F2200</f>
        <v/>
      </c>
    </row>
    <row r="2201">
      <c r="A2201">
        <f>Sources!A2201</f>
        <v/>
      </c>
      <c r="B2201">
        <f>Sources!B2201</f>
        <v/>
      </c>
      <c r="C2201">
        <f>Sources!D2201</f>
        <v/>
      </c>
      <c r="D2201">
        <f>Sources!E2201</f>
        <v/>
      </c>
      <c r="E2201">
        <f>Sources!F2201</f>
        <v/>
      </c>
      <c r="F2201">
        <f>Sources!H2201</f>
        <v/>
      </c>
      <c r="G2201">
        <f>IF(ABS(F2201-ROUND(F2201,0))&lt;0.001,1,0)</f>
        <v/>
      </c>
      <c r="H2201">
        <f>IF(G2201=1,F2201,CEILING(F2201,1))</f>
        <v/>
      </c>
      <c r="I2201">
        <f>IF(G2201=1,0,(H2201-F2201)*E2201)</f>
        <v/>
      </c>
      <c r="J2201">
        <f>E2201*F2201</f>
        <v/>
      </c>
    </row>
    <row r="2202">
      <c r="A2202">
        <f>Sources!A2202</f>
        <v/>
      </c>
      <c r="B2202">
        <f>Sources!B2202</f>
        <v/>
      </c>
      <c r="C2202">
        <f>Sources!D2202</f>
        <v/>
      </c>
      <c r="D2202">
        <f>Sources!E2202</f>
        <v/>
      </c>
      <c r="E2202">
        <f>Sources!F2202</f>
        <v/>
      </c>
      <c r="F2202">
        <f>Sources!H2202</f>
        <v/>
      </c>
      <c r="G2202">
        <f>IF(ABS(F2202-ROUND(F2202,0))&lt;0.001,1,0)</f>
        <v/>
      </c>
      <c r="H2202">
        <f>IF(G2202=1,F2202,CEILING(F2202,1))</f>
        <v/>
      </c>
      <c r="I2202">
        <f>IF(G2202=1,0,(H2202-F2202)*E2202)</f>
        <v/>
      </c>
      <c r="J2202">
        <f>E2202*F2202</f>
        <v/>
      </c>
    </row>
    <row r="2203">
      <c r="A2203">
        <f>Sources!A2203</f>
        <v/>
      </c>
      <c r="B2203">
        <f>Sources!B2203</f>
        <v/>
      </c>
      <c r="C2203">
        <f>Sources!D2203</f>
        <v/>
      </c>
      <c r="D2203">
        <f>Sources!E2203</f>
        <v/>
      </c>
      <c r="E2203">
        <f>Sources!F2203</f>
        <v/>
      </c>
      <c r="F2203">
        <f>Sources!H2203</f>
        <v/>
      </c>
      <c r="G2203">
        <f>IF(ABS(F2203-ROUND(F2203,0))&lt;0.001,1,0)</f>
        <v/>
      </c>
      <c r="H2203">
        <f>IF(G2203=1,F2203,CEILING(F2203,1))</f>
        <v/>
      </c>
      <c r="I2203">
        <f>IF(G2203=1,0,(H2203-F2203)*E2203)</f>
        <v/>
      </c>
      <c r="J2203">
        <f>E2203*F2203</f>
        <v/>
      </c>
    </row>
    <row r="2204">
      <c r="A2204">
        <f>Sources!A2204</f>
        <v/>
      </c>
      <c r="B2204">
        <f>Sources!B2204</f>
        <v/>
      </c>
      <c r="C2204">
        <f>Sources!D2204</f>
        <v/>
      </c>
      <c r="D2204">
        <f>Sources!E2204</f>
        <v/>
      </c>
      <c r="E2204">
        <f>Sources!F2204</f>
        <v/>
      </c>
      <c r="F2204">
        <f>Sources!H2204</f>
        <v/>
      </c>
      <c r="G2204">
        <f>IF(ABS(F2204-ROUND(F2204,0))&lt;0.001,1,0)</f>
        <v/>
      </c>
      <c r="H2204">
        <f>IF(G2204=1,F2204,CEILING(F2204,1))</f>
        <v/>
      </c>
      <c r="I2204">
        <f>IF(G2204=1,0,(H2204-F2204)*E2204)</f>
        <v/>
      </c>
      <c r="J2204">
        <f>E2204*F2204</f>
        <v/>
      </c>
    </row>
    <row r="2205">
      <c r="A2205">
        <f>Sources!A2205</f>
        <v/>
      </c>
      <c r="B2205">
        <f>Sources!B2205</f>
        <v/>
      </c>
      <c r="C2205">
        <f>Sources!D2205</f>
        <v/>
      </c>
      <c r="D2205">
        <f>Sources!E2205</f>
        <v/>
      </c>
      <c r="E2205">
        <f>Sources!F2205</f>
        <v/>
      </c>
      <c r="F2205">
        <f>Sources!H2205</f>
        <v/>
      </c>
      <c r="G2205">
        <f>IF(ABS(F2205-ROUND(F2205,0))&lt;0.001,1,0)</f>
        <v/>
      </c>
      <c r="H2205">
        <f>IF(G2205=1,F2205,CEILING(F2205,1))</f>
        <v/>
      </c>
      <c r="I2205">
        <f>IF(G2205=1,0,(H2205-F2205)*E2205)</f>
        <v/>
      </c>
      <c r="J2205">
        <f>E2205*F2205</f>
        <v/>
      </c>
    </row>
    <row r="2206">
      <c r="A2206">
        <f>Sources!A2206</f>
        <v/>
      </c>
      <c r="B2206">
        <f>Sources!B2206</f>
        <v/>
      </c>
      <c r="C2206">
        <f>Sources!D2206</f>
        <v/>
      </c>
      <c r="D2206">
        <f>Sources!E2206</f>
        <v/>
      </c>
      <c r="E2206">
        <f>Sources!F2206</f>
        <v/>
      </c>
      <c r="F2206">
        <f>Sources!H2206</f>
        <v/>
      </c>
      <c r="G2206">
        <f>IF(ABS(F2206-ROUND(F2206,0))&lt;0.001,1,0)</f>
        <v/>
      </c>
      <c r="H2206">
        <f>IF(G2206=1,F2206,CEILING(F2206,1))</f>
        <v/>
      </c>
      <c r="I2206">
        <f>IF(G2206=1,0,(H2206-F2206)*E2206)</f>
        <v/>
      </c>
      <c r="J2206">
        <f>E2206*F2206</f>
        <v/>
      </c>
    </row>
    <row r="2207">
      <c r="A2207">
        <f>Sources!A2207</f>
        <v/>
      </c>
      <c r="B2207">
        <f>Sources!B2207</f>
        <v/>
      </c>
      <c r="C2207">
        <f>Sources!D2207</f>
        <v/>
      </c>
      <c r="D2207">
        <f>Sources!E2207</f>
        <v/>
      </c>
      <c r="E2207">
        <f>Sources!F2207</f>
        <v/>
      </c>
      <c r="F2207">
        <f>Sources!H2207</f>
        <v/>
      </c>
      <c r="G2207">
        <f>IF(ABS(F2207-ROUND(F2207,0))&lt;0.001,1,0)</f>
        <v/>
      </c>
      <c r="H2207">
        <f>IF(G2207=1,F2207,CEILING(F2207,1))</f>
        <v/>
      </c>
      <c r="I2207">
        <f>IF(G2207=1,0,(H2207-F2207)*E2207)</f>
        <v/>
      </c>
      <c r="J2207">
        <f>E2207*F2207</f>
        <v/>
      </c>
    </row>
    <row r="2208">
      <c r="A2208">
        <f>Sources!A2208</f>
        <v/>
      </c>
      <c r="B2208">
        <f>Sources!B2208</f>
        <v/>
      </c>
      <c r="C2208">
        <f>Sources!D2208</f>
        <v/>
      </c>
      <c r="D2208">
        <f>Sources!E2208</f>
        <v/>
      </c>
      <c r="E2208">
        <f>Sources!F2208</f>
        <v/>
      </c>
      <c r="F2208">
        <f>Sources!H2208</f>
        <v/>
      </c>
      <c r="G2208">
        <f>IF(ABS(F2208-ROUND(F2208,0))&lt;0.001,1,0)</f>
        <v/>
      </c>
      <c r="H2208">
        <f>IF(G2208=1,F2208,CEILING(F2208,1))</f>
        <v/>
      </c>
      <c r="I2208">
        <f>IF(G2208=1,0,(H2208-F2208)*E2208)</f>
        <v/>
      </c>
      <c r="J2208">
        <f>E2208*F2208</f>
        <v/>
      </c>
    </row>
    <row r="2209">
      <c r="A2209">
        <f>Sources!A2209</f>
        <v/>
      </c>
      <c r="B2209">
        <f>Sources!B2209</f>
        <v/>
      </c>
      <c r="C2209">
        <f>Sources!D2209</f>
        <v/>
      </c>
      <c r="D2209">
        <f>Sources!E2209</f>
        <v/>
      </c>
      <c r="E2209">
        <f>Sources!F2209</f>
        <v/>
      </c>
      <c r="F2209">
        <f>Sources!H2209</f>
        <v/>
      </c>
      <c r="G2209">
        <f>IF(ABS(F2209-ROUND(F2209,0))&lt;0.001,1,0)</f>
        <v/>
      </c>
      <c r="H2209">
        <f>IF(G2209=1,F2209,CEILING(F2209,1))</f>
        <v/>
      </c>
      <c r="I2209">
        <f>IF(G2209=1,0,(H2209-F2209)*E2209)</f>
        <v/>
      </c>
      <c r="J2209">
        <f>E2209*F2209</f>
        <v/>
      </c>
    </row>
    <row r="2210">
      <c r="A2210">
        <f>Sources!A2210</f>
        <v/>
      </c>
      <c r="B2210">
        <f>Sources!B2210</f>
        <v/>
      </c>
      <c r="C2210">
        <f>Sources!D2210</f>
        <v/>
      </c>
      <c r="D2210">
        <f>Sources!E2210</f>
        <v/>
      </c>
      <c r="E2210">
        <f>Sources!F2210</f>
        <v/>
      </c>
      <c r="F2210">
        <f>Sources!H2210</f>
        <v/>
      </c>
      <c r="G2210">
        <f>IF(ABS(F2210-ROUND(F2210,0))&lt;0.001,1,0)</f>
        <v/>
      </c>
      <c r="H2210">
        <f>IF(G2210=1,F2210,CEILING(F2210,1))</f>
        <v/>
      </c>
      <c r="I2210">
        <f>IF(G2210=1,0,(H2210-F2210)*E2210)</f>
        <v/>
      </c>
      <c r="J2210">
        <f>E2210*F2210</f>
        <v/>
      </c>
    </row>
    <row r="2211">
      <c r="A2211">
        <f>Sources!A2211</f>
        <v/>
      </c>
      <c r="B2211">
        <f>Sources!B2211</f>
        <v/>
      </c>
      <c r="C2211">
        <f>Sources!D2211</f>
        <v/>
      </c>
      <c r="D2211">
        <f>Sources!E2211</f>
        <v/>
      </c>
      <c r="E2211">
        <f>Sources!F2211</f>
        <v/>
      </c>
      <c r="F2211">
        <f>Sources!H2211</f>
        <v/>
      </c>
      <c r="G2211">
        <f>IF(ABS(F2211-ROUND(F2211,0))&lt;0.001,1,0)</f>
        <v/>
      </c>
      <c r="H2211">
        <f>IF(G2211=1,F2211,CEILING(F2211,1))</f>
        <v/>
      </c>
      <c r="I2211">
        <f>IF(G2211=1,0,(H2211-F2211)*E2211)</f>
        <v/>
      </c>
      <c r="J2211">
        <f>E2211*F2211</f>
        <v/>
      </c>
    </row>
    <row r="2212">
      <c r="A2212">
        <f>Sources!A2212</f>
        <v/>
      </c>
      <c r="B2212">
        <f>Sources!B2212</f>
        <v/>
      </c>
      <c r="C2212">
        <f>Sources!D2212</f>
        <v/>
      </c>
      <c r="D2212">
        <f>Sources!E2212</f>
        <v/>
      </c>
      <c r="E2212">
        <f>Sources!F2212</f>
        <v/>
      </c>
      <c r="F2212">
        <f>Sources!H2212</f>
        <v/>
      </c>
      <c r="G2212">
        <f>IF(ABS(F2212-ROUND(F2212,0))&lt;0.001,1,0)</f>
        <v/>
      </c>
      <c r="H2212">
        <f>IF(G2212=1,F2212,CEILING(F2212,1))</f>
        <v/>
      </c>
      <c r="I2212">
        <f>IF(G2212=1,0,(H2212-F2212)*E2212)</f>
        <v/>
      </c>
      <c r="J2212">
        <f>E2212*F2212</f>
        <v/>
      </c>
    </row>
    <row r="2213">
      <c r="A2213">
        <f>Sources!A2213</f>
        <v/>
      </c>
      <c r="B2213">
        <f>Sources!B2213</f>
        <v/>
      </c>
      <c r="C2213">
        <f>Sources!D2213</f>
        <v/>
      </c>
      <c r="D2213">
        <f>Sources!E2213</f>
        <v/>
      </c>
      <c r="E2213">
        <f>Sources!F2213</f>
        <v/>
      </c>
      <c r="F2213">
        <f>Sources!H2213</f>
        <v/>
      </c>
      <c r="G2213">
        <f>IF(ABS(F2213-ROUND(F2213,0))&lt;0.001,1,0)</f>
        <v/>
      </c>
      <c r="H2213">
        <f>IF(G2213=1,F2213,CEILING(F2213,1))</f>
        <v/>
      </c>
      <c r="I2213">
        <f>IF(G2213=1,0,(H2213-F2213)*E2213)</f>
        <v/>
      </c>
      <c r="J2213">
        <f>E2213*F2213</f>
        <v/>
      </c>
    </row>
    <row r="2214">
      <c r="A2214">
        <f>Sources!A2214</f>
        <v/>
      </c>
      <c r="B2214">
        <f>Sources!B2214</f>
        <v/>
      </c>
      <c r="C2214">
        <f>Sources!D2214</f>
        <v/>
      </c>
      <c r="D2214">
        <f>Sources!E2214</f>
        <v/>
      </c>
      <c r="E2214">
        <f>Sources!F2214</f>
        <v/>
      </c>
      <c r="F2214">
        <f>Sources!H2214</f>
        <v/>
      </c>
      <c r="G2214">
        <f>IF(ABS(F2214-ROUND(F2214,0))&lt;0.001,1,0)</f>
        <v/>
      </c>
      <c r="H2214">
        <f>IF(G2214=1,F2214,CEILING(F2214,1))</f>
        <v/>
      </c>
      <c r="I2214">
        <f>IF(G2214=1,0,(H2214-F2214)*E2214)</f>
        <v/>
      </c>
      <c r="J2214">
        <f>E2214*F2214</f>
        <v/>
      </c>
    </row>
    <row r="2215">
      <c r="A2215">
        <f>Sources!A2215</f>
        <v/>
      </c>
      <c r="B2215">
        <f>Sources!B2215</f>
        <v/>
      </c>
      <c r="C2215">
        <f>Sources!D2215</f>
        <v/>
      </c>
      <c r="D2215">
        <f>Sources!E2215</f>
        <v/>
      </c>
      <c r="E2215">
        <f>Sources!F2215</f>
        <v/>
      </c>
      <c r="F2215">
        <f>Sources!H2215</f>
        <v/>
      </c>
      <c r="G2215">
        <f>IF(ABS(F2215-ROUND(F2215,0))&lt;0.001,1,0)</f>
        <v/>
      </c>
      <c r="H2215">
        <f>IF(G2215=1,F2215,CEILING(F2215,1))</f>
        <v/>
      </c>
      <c r="I2215">
        <f>IF(G2215=1,0,(H2215-F2215)*E2215)</f>
        <v/>
      </c>
      <c r="J2215">
        <f>E2215*F2215</f>
        <v/>
      </c>
    </row>
    <row r="2216">
      <c r="A2216">
        <f>Sources!A2216</f>
        <v/>
      </c>
      <c r="B2216">
        <f>Sources!B2216</f>
        <v/>
      </c>
      <c r="C2216">
        <f>Sources!D2216</f>
        <v/>
      </c>
      <c r="D2216">
        <f>Sources!E2216</f>
        <v/>
      </c>
      <c r="E2216">
        <f>Sources!F2216</f>
        <v/>
      </c>
      <c r="F2216">
        <f>Sources!H2216</f>
        <v/>
      </c>
      <c r="G2216">
        <f>IF(ABS(F2216-ROUND(F2216,0))&lt;0.001,1,0)</f>
        <v/>
      </c>
      <c r="H2216">
        <f>IF(G2216=1,F2216,CEILING(F2216,1))</f>
        <v/>
      </c>
      <c r="I2216">
        <f>IF(G2216=1,0,(H2216-F2216)*E2216)</f>
        <v/>
      </c>
      <c r="J2216">
        <f>E2216*F2216</f>
        <v/>
      </c>
    </row>
    <row r="2217">
      <c r="A2217">
        <f>Sources!A2217</f>
        <v/>
      </c>
      <c r="B2217">
        <f>Sources!B2217</f>
        <v/>
      </c>
      <c r="C2217">
        <f>Sources!D2217</f>
        <v/>
      </c>
      <c r="D2217">
        <f>Sources!E2217</f>
        <v/>
      </c>
      <c r="E2217">
        <f>Sources!F2217</f>
        <v/>
      </c>
      <c r="F2217">
        <f>Sources!H2217</f>
        <v/>
      </c>
      <c r="G2217">
        <f>IF(ABS(F2217-ROUND(F2217,0))&lt;0.001,1,0)</f>
        <v/>
      </c>
      <c r="H2217">
        <f>IF(G2217=1,F2217,CEILING(F2217,1))</f>
        <v/>
      </c>
      <c r="I2217">
        <f>IF(G2217=1,0,(H2217-F2217)*E2217)</f>
        <v/>
      </c>
      <c r="J2217">
        <f>E2217*F2217</f>
        <v/>
      </c>
    </row>
    <row r="2218">
      <c r="A2218">
        <f>Sources!A2218</f>
        <v/>
      </c>
      <c r="B2218">
        <f>Sources!B2218</f>
        <v/>
      </c>
      <c r="C2218">
        <f>Sources!D2218</f>
        <v/>
      </c>
      <c r="D2218">
        <f>Sources!E2218</f>
        <v/>
      </c>
      <c r="E2218">
        <f>Sources!F2218</f>
        <v/>
      </c>
      <c r="F2218">
        <f>Sources!H2218</f>
        <v/>
      </c>
      <c r="G2218">
        <f>IF(ABS(F2218-ROUND(F2218,0))&lt;0.001,1,0)</f>
        <v/>
      </c>
      <c r="H2218">
        <f>IF(G2218=1,F2218,CEILING(F2218,1))</f>
        <v/>
      </c>
      <c r="I2218">
        <f>IF(G2218=1,0,(H2218-F2218)*E2218)</f>
        <v/>
      </c>
      <c r="J2218">
        <f>E2218*F2218</f>
        <v/>
      </c>
    </row>
    <row r="2219">
      <c r="A2219">
        <f>Sources!A2219</f>
        <v/>
      </c>
      <c r="B2219">
        <f>Sources!B2219</f>
        <v/>
      </c>
      <c r="C2219">
        <f>Sources!D2219</f>
        <v/>
      </c>
      <c r="D2219">
        <f>Sources!E2219</f>
        <v/>
      </c>
      <c r="E2219">
        <f>Sources!F2219</f>
        <v/>
      </c>
      <c r="F2219">
        <f>Sources!H2219</f>
        <v/>
      </c>
      <c r="G2219">
        <f>IF(ABS(F2219-ROUND(F2219,0))&lt;0.001,1,0)</f>
        <v/>
      </c>
      <c r="H2219">
        <f>IF(G2219=1,F2219,CEILING(F2219,1))</f>
        <v/>
      </c>
      <c r="I2219">
        <f>IF(G2219=1,0,(H2219-F2219)*E2219)</f>
        <v/>
      </c>
      <c r="J2219">
        <f>E2219*F2219</f>
        <v/>
      </c>
    </row>
    <row r="2220">
      <c r="A2220">
        <f>Sources!A2220</f>
        <v/>
      </c>
      <c r="B2220">
        <f>Sources!B2220</f>
        <v/>
      </c>
      <c r="C2220">
        <f>Sources!D2220</f>
        <v/>
      </c>
      <c r="D2220">
        <f>Sources!E2220</f>
        <v/>
      </c>
      <c r="E2220">
        <f>Sources!F2220</f>
        <v/>
      </c>
      <c r="F2220">
        <f>Sources!H2220</f>
        <v/>
      </c>
      <c r="G2220">
        <f>IF(ABS(F2220-ROUND(F2220,0))&lt;0.001,1,0)</f>
        <v/>
      </c>
      <c r="H2220">
        <f>IF(G2220=1,F2220,CEILING(F2220,1))</f>
        <v/>
      </c>
      <c r="I2220">
        <f>IF(G2220=1,0,(H2220-F2220)*E2220)</f>
        <v/>
      </c>
      <c r="J2220">
        <f>E2220*F2220</f>
        <v/>
      </c>
    </row>
    <row r="2221">
      <c r="A2221">
        <f>Sources!A2221</f>
        <v/>
      </c>
      <c r="B2221">
        <f>Sources!B2221</f>
        <v/>
      </c>
      <c r="C2221">
        <f>Sources!D2221</f>
        <v/>
      </c>
      <c r="D2221">
        <f>Sources!E2221</f>
        <v/>
      </c>
      <c r="E2221">
        <f>Sources!F2221</f>
        <v/>
      </c>
      <c r="F2221">
        <f>Sources!H2221</f>
        <v/>
      </c>
      <c r="G2221">
        <f>IF(ABS(F2221-ROUND(F2221,0))&lt;0.001,1,0)</f>
        <v/>
      </c>
      <c r="H2221">
        <f>IF(G2221=1,F2221,CEILING(F2221,1))</f>
        <v/>
      </c>
      <c r="I2221">
        <f>IF(G2221=1,0,(H2221-F2221)*E2221)</f>
        <v/>
      </c>
      <c r="J2221">
        <f>E2221*F2221</f>
        <v/>
      </c>
    </row>
    <row r="2222">
      <c r="A2222">
        <f>Sources!A2222</f>
        <v/>
      </c>
      <c r="B2222">
        <f>Sources!B2222</f>
        <v/>
      </c>
      <c r="C2222">
        <f>Sources!D2222</f>
        <v/>
      </c>
      <c r="D2222">
        <f>Sources!E2222</f>
        <v/>
      </c>
      <c r="E2222">
        <f>Sources!F2222</f>
        <v/>
      </c>
      <c r="F2222">
        <f>Sources!H2222</f>
        <v/>
      </c>
      <c r="G2222">
        <f>IF(ABS(F2222-ROUND(F2222,0))&lt;0.001,1,0)</f>
        <v/>
      </c>
      <c r="H2222">
        <f>IF(G2222=1,F2222,CEILING(F2222,1))</f>
        <v/>
      </c>
      <c r="I2222">
        <f>IF(G2222=1,0,(H2222-F2222)*E2222)</f>
        <v/>
      </c>
      <c r="J2222">
        <f>E2222*F2222</f>
        <v/>
      </c>
    </row>
    <row r="2223">
      <c r="A2223">
        <f>Sources!A2223</f>
        <v/>
      </c>
      <c r="B2223">
        <f>Sources!B2223</f>
        <v/>
      </c>
      <c r="C2223">
        <f>Sources!D2223</f>
        <v/>
      </c>
      <c r="D2223">
        <f>Sources!E2223</f>
        <v/>
      </c>
      <c r="E2223">
        <f>Sources!F2223</f>
        <v/>
      </c>
      <c r="F2223">
        <f>Sources!H2223</f>
        <v/>
      </c>
      <c r="G2223">
        <f>IF(ABS(F2223-ROUND(F2223,0))&lt;0.001,1,0)</f>
        <v/>
      </c>
      <c r="H2223">
        <f>IF(G2223=1,F2223,CEILING(F2223,1))</f>
        <v/>
      </c>
      <c r="I2223">
        <f>IF(G2223=1,0,(H2223-F2223)*E2223)</f>
        <v/>
      </c>
      <c r="J2223">
        <f>E2223*F2223</f>
        <v/>
      </c>
    </row>
    <row r="2224">
      <c r="A2224">
        <f>Sources!A2224</f>
        <v/>
      </c>
      <c r="B2224">
        <f>Sources!B2224</f>
        <v/>
      </c>
      <c r="C2224">
        <f>Sources!D2224</f>
        <v/>
      </c>
      <c r="D2224">
        <f>Sources!E2224</f>
        <v/>
      </c>
      <c r="E2224">
        <f>Sources!F2224</f>
        <v/>
      </c>
      <c r="F2224">
        <f>Sources!H2224</f>
        <v/>
      </c>
      <c r="G2224">
        <f>IF(ABS(F2224-ROUND(F2224,0))&lt;0.001,1,0)</f>
        <v/>
      </c>
      <c r="H2224">
        <f>IF(G2224=1,F2224,CEILING(F2224,1))</f>
        <v/>
      </c>
      <c r="I2224">
        <f>IF(G2224=1,0,(H2224-F2224)*E2224)</f>
        <v/>
      </c>
      <c r="J2224">
        <f>E2224*F2224</f>
        <v/>
      </c>
    </row>
    <row r="2225">
      <c r="A2225">
        <f>Sources!A2225</f>
        <v/>
      </c>
      <c r="B2225">
        <f>Sources!B2225</f>
        <v/>
      </c>
      <c r="C2225">
        <f>Sources!D2225</f>
        <v/>
      </c>
      <c r="D2225">
        <f>Sources!E2225</f>
        <v/>
      </c>
      <c r="E2225">
        <f>Sources!F2225</f>
        <v/>
      </c>
      <c r="F2225">
        <f>Sources!H2225</f>
        <v/>
      </c>
      <c r="G2225">
        <f>IF(ABS(F2225-ROUND(F2225,0))&lt;0.001,1,0)</f>
        <v/>
      </c>
      <c r="H2225">
        <f>IF(G2225=1,F2225,CEILING(F2225,1))</f>
        <v/>
      </c>
      <c r="I2225">
        <f>IF(G2225=1,0,(H2225-F2225)*E2225)</f>
        <v/>
      </c>
      <c r="J2225">
        <f>E2225*F2225</f>
        <v/>
      </c>
    </row>
    <row r="2226">
      <c r="A2226">
        <f>Sources!A2226</f>
        <v/>
      </c>
      <c r="B2226">
        <f>Sources!B2226</f>
        <v/>
      </c>
      <c r="C2226">
        <f>Sources!D2226</f>
        <v/>
      </c>
      <c r="D2226">
        <f>Sources!E2226</f>
        <v/>
      </c>
      <c r="E2226">
        <f>Sources!F2226</f>
        <v/>
      </c>
      <c r="F2226">
        <f>Sources!H2226</f>
        <v/>
      </c>
      <c r="G2226">
        <f>IF(ABS(F2226-ROUND(F2226,0))&lt;0.001,1,0)</f>
        <v/>
      </c>
      <c r="H2226">
        <f>IF(G2226=1,F2226,CEILING(F2226,1))</f>
        <v/>
      </c>
      <c r="I2226">
        <f>IF(G2226=1,0,(H2226-F2226)*E2226)</f>
        <v/>
      </c>
      <c r="J2226">
        <f>E2226*F2226</f>
        <v/>
      </c>
    </row>
    <row r="2227">
      <c r="A2227">
        <f>Sources!A2227</f>
        <v/>
      </c>
      <c r="B2227">
        <f>Sources!B2227</f>
        <v/>
      </c>
      <c r="C2227">
        <f>Sources!D2227</f>
        <v/>
      </c>
      <c r="D2227">
        <f>Sources!E2227</f>
        <v/>
      </c>
      <c r="E2227">
        <f>Sources!F2227</f>
        <v/>
      </c>
      <c r="F2227">
        <f>Sources!H2227</f>
        <v/>
      </c>
      <c r="G2227">
        <f>IF(ABS(F2227-ROUND(F2227,0))&lt;0.001,1,0)</f>
        <v/>
      </c>
      <c r="H2227">
        <f>IF(G2227=1,F2227,CEILING(F2227,1))</f>
        <v/>
      </c>
      <c r="I2227">
        <f>IF(G2227=1,0,(H2227-F2227)*E2227)</f>
        <v/>
      </c>
      <c r="J2227">
        <f>E2227*F2227</f>
        <v/>
      </c>
    </row>
    <row r="2228">
      <c r="A2228">
        <f>Sources!A2228</f>
        <v/>
      </c>
      <c r="B2228">
        <f>Sources!B2228</f>
        <v/>
      </c>
      <c r="C2228">
        <f>Sources!D2228</f>
        <v/>
      </c>
      <c r="D2228">
        <f>Sources!E2228</f>
        <v/>
      </c>
      <c r="E2228">
        <f>Sources!F2228</f>
        <v/>
      </c>
      <c r="F2228">
        <f>Sources!H2228</f>
        <v/>
      </c>
      <c r="G2228">
        <f>IF(ABS(F2228-ROUND(F2228,0))&lt;0.001,1,0)</f>
        <v/>
      </c>
      <c r="H2228">
        <f>IF(G2228=1,F2228,CEILING(F2228,1))</f>
        <v/>
      </c>
      <c r="I2228">
        <f>IF(G2228=1,0,(H2228-F2228)*E2228)</f>
        <v/>
      </c>
      <c r="J2228">
        <f>E2228*F2228</f>
        <v/>
      </c>
    </row>
    <row r="2229">
      <c r="A2229">
        <f>Sources!A2229</f>
        <v/>
      </c>
      <c r="B2229">
        <f>Sources!B2229</f>
        <v/>
      </c>
      <c r="C2229">
        <f>Sources!D2229</f>
        <v/>
      </c>
      <c r="D2229">
        <f>Sources!E2229</f>
        <v/>
      </c>
      <c r="E2229">
        <f>Sources!F2229</f>
        <v/>
      </c>
      <c r="F2229">
        <f>Sources!H2229</f>
        <v/>
      </c>
      <c r="G2229">
        <f>IF(ABS(F2229-ROUND(F2229,0))&lt;0.001,1,0)</f>
        <v/>
      </c>
      <c r="H2229">
        <f>IF(G2229=1,F2229,CEILING(F2229,1))</f>
        <v/>
      </c>
      <c r="I2229">
        <f>IF(G2229=1,0,(H2229-F2229)*E2229)</f>
        <v/>
      </c>
      <c r="J2229">
        <f>E2229*F2229</f>
        <v/>
      </c>
    </row>
    <row r="2230">
      <c r="A2230">
        <f>Sources!A2230</f>
        <v/>
      </c>
      <c r="B2230">
        <f>Sources!B2230</f>
        <v/>
      </c>
      <c r="C2230">
        <f>Sources!D2230</f>
        <v/>
      </c>
      <c r="D2230">
        <f>Sources!E2230</f>
        <v/>
      </c>
      <c r="E2230">
        <f>Sources!F2230</f>
        <v/>
      </c>
      <c r="F2230">
        <f>Sources!H2230</f>
        <v/>
      </c>
      <c r="G2230">
        <f>IF(ABS(F2230-ROUND(F2230,0))&lt;0.001,1,0)</f>
        <v/>
      </c>
      <c r="H2230">
        <f>IF(G2230=1,F2230,CEILING(F2230,1))</f>
        <v/>
      </c>
      <c r="I2230">
        <f>IF(G2230=1,0,(H2230-F2230)*E2230)</f>
        <v/>
      </c>
      <c r="J2230">
        <f>E2230*F2230</f>
        <v/>
      </c>
    </row>
    <row r="2231">
      <c r="A2231">
        <f>Sources!A2231</f>
        <v/>
      </c>
      <c r="B2231">
        <f>Sources!B2231</f>
        <v/>
      </c>
      <c r="C2231">
        <f>Sources!D2231</f>
        <v/>
      </c>
      <c r="D2231">
        <f>Sources!E2231</f>
        <v/>
      </c>
      <c r="E2231">
        <f>Sources!F2231</f>
        <v/>
      </c>
      <c r="F2231">
        <f>Sources!H2231</f>
        <v/>
      </c>
      <c r="G2231">
        <f>IF(ABS(F2231-ROUND(F2231,0))&lt;0.001,1,0)</f>
        <v/>
      </c>
      <c r="H2231">
        <f>IF(G2231=1,F2231,CEILING(F2231,1))</f>
        <v/>
      </c>
      <c r="I2231">
        <f>IF(G2231=1,0,(H2231-F2231)*E2231)</f>
        <v/>
      </c>
      <c r="J2231">
        <f>E2231*F2231</f>
        <v/>
      </c>
    </row>
    <row r="2232">
      <c r="A2232">
        <f>Sources!A2232</f>
        <v/>
      </c>
      <c r="B2232">
        <f>Sources!B2232</f>
        <v/>
      </c>
      <c r="C2232">
        <f>Sources!D2232</f>
        <v/>
      </c>
      <c r="D2232">
        <f>Sources!E2232</f>
        <v/>
      </c>
      <c r="E2232">
        <f>Sources!F2232</f>
        <v/>
      </c>
      <c r="F2232">
        <f>Sources!H2232</f>
        <v/>
      </c>
      <c r="G2232">
        <f>IF(ABS(F2232-ROUND(F2232,0))&lt;0.001,1,0)</f>
        <v/>
      </c>
      <c r="H2232">
        <f>IF(G2232=1,F2232,CEILING(F2232,1))</f>
        <v/>
      </c>
      <c r="I2232">
        <f>IF(G2232=1,0,(H2232-F2232)*E2232)</f>
        <v/>
      </c>
      <c r="J2232">
        <f>E2232*F2232</f>
        <v/>
      </c>
    </row>
    <row r="2233">
      <c r="A2233">
        <f>Sources!A2233</f>
        <v/>
      </c>
      <c r="B2233">
        <f>Sources!B2233</f>
        <v/>
      </c>
      <c r="C2233">
        <f>Sources!D2233</f>
        <v/>
      </c>
      <c r="D2233">
        <f>Sources!E2233</f>
        <v/>
      </c>
      <c r="E2233">
        <f>Sources!F2233</f>
        <v/>
      </c>
      <c r="F2233">
        <f>Sources!H2233</f>
        <v/>
      </c>
      <c r="G2233">
        <f>IF(ABS(F2233-ROUND(F2233,0))&lt;0.001,1,0)</f>
        <v/>
      </c>
      <c r="H2233">
        <f>IF(G2233=1,F2233,CEILING(F2233,1))</f>
        <v/>
      </c>
      <c r="I2233">
        <f>IF(G2233=1,0,(H2233-F2233)*E2233)</f>
        <v/>
      </c>
      <c r="J2233">
        <f>E2233*F2233</f>
        <v/>
      </c>
    </row>
    <row r="2234">
      <c r="A2234">
        <f>Sources!A2234</f>
        <v/>
      </c>
      <c r="B2234">
        <f>Sources!B2234</f>
        <v/>
      </c>
      <c r="C2234">
        <f>Sources!D2234</f>
        <v/>
      </c>
      <c r="D2234">
        <f>Sources!E2234</f>
        <v/>
      </c>
      <c r="E2234">
        <f>Sources!F2234</f>
        <v/>
      </c>
      <c r="F2234">
        <f>Sources!H2234</f>
        <v/>
      </c>
      <c r="G2234">
        <f>IF(ABS(F2234-ROUND(F2234,0))&lt;0.001,1,0)</f>
        <v/>
      </c>
      <c r="H2234">
        <f>IF(G2234=1,F2234,CEILING(F2234,1))</f>
        <v/>
      </c>
      <c r="I2234">
        <f>IF(G2234=1,0,(H2234-F2234)*E2234)</f>
        <v/>
      </c>
      <c r="J2234">
        <f>E2234*F2234</f>
        <v/>
      </c>
    </row>
    <row r="2235">
      <c r="A2235">
        <f>Sources!A2235</f>
        <v/>
      </c>
      <c r="B2235">
        <f>Sources!B2235</f>
        <v/>
      </c>
      <c r="C2235">
        <f>Sources!D2235</f>
        <v/>
      </c>
      <c r="D2235">
        <f>Sources!E2235</f>
        <v/>
      </c>
      <c r="E2235">
        <f>Sources!F2235</f>
        <v/>
      </c>
      <c r="F2235">
        <f>Sources!H2235</f>
        <v/>
      </c>
      <c r="G2235">
        <f>IF(ABS(F2235-ROUND(F2235,0))&lt;0.001,1,0)</f>
        <v/>
      </c>
      <c r="H2235">
        <f>IF(G2235=1,F2235,CEILING(F2235,1))</f>
        <v/>
      </c>
      <c r="I2235">
        <f>IF(G2235=1,0,(H2235-F2235)*E2235)</f>
        <v/>
      </c>
      <c r="J2235">
        <f>E2235*F2235</f>
        <v/>
      </c>
    </row>
    <row r="2236">
      <c r="A2236">
        <f>Sources!A2236</f>
        <v/>
      </c>
      <c r="B2236">
        <f>Sources!B2236</f>
        <v/>
      </c>
      <c r="C2236">
        <f>Sources!D2236</f>
        <v/>
      </c>
      <c r="D2236">
        <f>Sources!E2236</f>
        <v/>
      </c>
      <c r="E2236">
        <f>Sources!F2236</f>
        <v/>
      </c>
      <c r="F2236">
        <f>Sources!H2236</f>
        <v/>
      </c>
      <c r="G2236">
        <f>IF(ABS(F2236-ROUND(F2236,0))&lt;0.001,1,0)</f>
        <v/>
      </c>
      <c r="H2236">
        <f>IF(G2236=1,F2236,CEILING(F2236,1))</f>
        <v/>
      </c>
      <c r="I2236">
        <f>IF(G2236=1,0,(H2236-F2236)*E2236)</f>
        <v/>
      </c>
      <c r="J2236">
        <f>E2236*F2236</f>
        <v/>
      </c>
    </row>
    <row r="2237">
      <c r="A2237">
        <f>Sources!A2237</f>
        <v/>
      </c>
      <c r="B2237">
        <f>Sources!B2237</f>
        <v/>
      </c>
      <c r="C2237">
        <f>Sources!D2237</f>
        <v/>
      </c>
      <c r="D2237">
        <f>Sources!E2237</f>
        <v/>
      </c>
      <c r="E2237">
        <f>Sources!F2237</f>
        <v/>
      </c>
      <c r="F2237">
        <f>Sources!H2237</f>
        <v/>
      </c>
      <c r="G2237">
        <f>IF(ABS(F2237-ROUND(F2237,0))&lt;0.001,1,0)</f>
        <v/>
      </c>
      <c r="H2237">
        <f>IF(G2237=1,F2237,CEILING(F2237,1))</f>
        <v/>
      </c>
      <c r="I2237">
        <f>IF(G2237=1,0,(H2237-F2237)*E2237)</f>
        <v/>
      </c>
      <c r="J2237">
        <f>E2237*F2237</f>
        <v/>
      </c>
    </row>
    <row r="2238">
      <c r="A2238">
        <f>Sources!A2238</f>
        <v/>
      </c>
      <c r="B2238">
        <f>Sources!B2238</f>
        <v/>
      </c>
      <c r="C2238">
        <f>Sources!D2238</f>
        <v/>
      </c>
      <c r="D2238">
        <f>Sources!E2238</f>
        <v/>
      </c>
      <c r="E2238">
        <f>Sources!F2238</f>
        <v/>
      </c>
      <c r="F2238">
        <f>Sources!H2238</f>
        <v/>
      </c>
      <c r="G2238">
        <f>IF(ABS(F2238-ROUND(F2238,0))&lt;0.001,1,0)</f>
        <v/>
      </c>
      <c r="H2238">
        <f>IF(G2238=1,F2238,CEILING(F2238,1))</f>
        <v/>
      </c>
      <c r="I2238">
        <f>IF(G2238=1,0,(H2238-F2238)*E2238)</f>
        <v/>
      </c>
      <c r="J2238">
        <f>E2238*F2238</f>
        <v/>
      </c>
    </row>
    <row r="2239">
      <c r="A2239">
        <f>Sources!A2239</f>
        <v/>
      </c>
      <c r="B2239">
        <f>Sources!B2239</f>
        <v/>
      </c>
      <c r="C2239">
        <f>Sources!D2239</f>
        <v/>
      </c>
      <c r="D2239">
        <f>Sources!E2239</f>
        <v/>
      </c>
      <c r="E2239">
        <f>Sources!F2239</f>
        <v/>
      </c>
      <c r="F2239">
        <f>Sources!H2239</f>
        <v/>
      </c>
      <c r="G2239">
        <f>IF(ABS(F2239-ROUND(F2239,0))&lt;0.001,1,0)</f>
        <v/>
      </c>
      <c r="H2239">
        <f>IF(G2239=1,F2239,CEILING(F2239,1))</f>
        <v/>
      </c>
      <c r="I2239">
        <f>IF(G2239=1,0,(H2239-F2239)*E2239)</f>
        <v/>
      </c>
      <c r="J2239">
        <f>E2239*F2239</f>
        <v/>
      </c>
    </row>
    <row r="2240">
      <c r="A2240">
        <f>Sources!A2240</f>
        <v/>
      </c>
      <c r="B2240">
        <f>Sources!B2240</f>
        <v/>
      </c>
      <c r="C2240">
        <f>Sources!D2240</f>
        <v/>
      </c>
      <c r="D2240">
        <f>Sources!E2240</f>
        <v/>
      </c>
      <c r="E2240">
        <f>Sources!F2240</f>
        <v/>
      </c>
      <c r="F2240">
        <f>Sources!H2240</f>
        <v/>
      </c>
      <c r="G2240">
        <f>IF(ABS(F2240-ROUND(F2240,0))&lt;0.001,1,0)</f>
        <v/>
      </c>
      <c r="H2240">
        <f>IF(G2240=1,F2240,CEILING(F2240,1))</f>
        <v/>
      </c>
      <c r="I2240">
        <f>IF(G2240=1,0,(H2240-F2240)*E2240)</f>
        <v/>
      </c>
      <c r="J2240">
        <f>E2240*F2240</f>
        <v/>
      </c>
    </row>
    <row r="2241">
      <c r="A2241">
        <f>Sources!A2241</f>
        <v/>
      </c>
      <c r="B2241">
        <f>Sources!B2241</f>
        <v/>
      </c>
      <c r="C2241">
        <f>Sources!D2241</f>
        <v/>
      </c>
      <c r="D2241">
        <f>Sources!E2241</f>
        <v/>
      </c>
      <c r="E2241">
        <f>Sources!F2241</f>
        <v/>
      </c>
      <c r="F2241">
        <f>Sources!H2241</f>
        <v/>
      </c>
      <c r="G2241">
        <f>IF(ABS(F2241-ROUND(F2241,0))&lt;0.001,1,0)</f>
        <v/>
      </c>
      <c r="H2241">
        <f>IF(G2241=1,F2241,CEILING(F2241,1))</f>
        <v/>
      </c>
      <c r="I2241">
        <f>IF(G2241=1,0,(H2241-F2241)*E2241)</f>
        <v/>
      </c>
      <c r="J2241">
        <f>E2241*F2241</f>
        <v/>
      </c>
    </row>
    <row r="2242">
      <c r="A2242">
        <f>Sources!A2242</f>
        <v/>
      </c>
      <c r="B2242">
        <f>Sources!B2242</f>
        <v/>
      </c>
      <c r="C2242">
        <f>Sources!D2242</f>
        <v/>
      </c>
      <c r="D2242">
        <f>Sources!E2242</f>
        <v/>
      </c>
      <c r="E2242">
        <f>Sources!F2242</f>
        <v/>
      </c>
      <c r="F2242">
        <f>Sources!H2242</f>
        <v/>
      </c>
      <c r="G2242">
        <f>IF(ABS(F2242-ROUND(F2242,0))&lt;0.001,1,0)</f>
        <v/>
      </c>
      <c r="H2242">
        <f>IF(G2242=1,F2242,CEILING(F2242,1))</f>
        <v/>
      </c>
      <c r="I2242">
        <f>IF(G2242=1,0,(H2242-F2242)*E2242)</f>
        <v/>
      </c>
      <c r="J2242">
        <f>E2242*F2242</f>
        <v/>
      </c>
    </row>
    <row r="2243">
      <c r="A2243">
        <f>Sources!A2243</f>
        <v/>
      </c>
      <c r="B2243">
        <f>Sources!B2243</f>
        <v/>
      </c>
      <c r="C2243">
        <f>Sources!D2243</f>
        <v/>
      </c>
      <c r="D2243">
        <f>Sources!E2243</f>
        <v/>
      </c>
      <c r="E2243">
        <f>Sources!F2243</f>
        <v/>
      </c>
      <c r="F2243">
        <f>Sources!H2243</f>
        <v/>
      </c>
      <c r="G2243">
        <f>IF(ABS(F2243-ROUND(F2243,0))&lt;0.001,1,0)</f>
        <v/>
      </c>
      <c r="H2243">
        <f>IF(G2243=1,F2243,CEILING(F2243,1))</f>
        <v/>
      </c>
      <c r="I2243">
        <f>IF(G2243=1,0,(H2243-F2243)*E2243)</f>
        <v/>
      </c>
      <c r="J2243">
        <f>E2243*F2243</f>
        <v/>
      </c>
    </row>
    <row r="2244">
      <c r="A2244">
        <f>Sources!A2244</f>
        <v/>
      </c>
      <c r="B2244">
        <f>Sources!B2244</f>
        <v/>
      </c>
      <c r="C2244">
        <f>Sources!D2244</f>
        <v/>
      </c>
      <c r="D2244">
        <f>Sources!E2244</f>
        <v/>
      </c>
      <c r="E2244">
        <f>Sources!F2244</f>
        <v/>
      </c>
      <c r="F2244">
        <f>Sources!H2244</f>
        <v/>
      </c>
      <c r="G2244">
        <f>IF(ABS(F2244-ROUND(F2244,0))&lt;0.001,1,0)</f>
        <v/>
      </c>
      <c r="H2244">
        <f>IF(G2244=1,F2244,CEILING(F2244,1))</f>
        <v/>
      </c>
      <c r="I2244">
        <f>IF(G2244=1,0,(H2244-F2244)*E2244)</f>
        <v/>
      </c>
      <c r="J2244">
        <f>E2244*F2244</f>
        <v/>
      </c>
    </row>
    <row r="2245">
      <c r="A2245">
        <f>Sources!A2245</f>
        <v/>
      </c>
      <c r="B2245">
        <f>Sources!B2245</f>
        <v/>
      </c>
      <c r="C2245">
        <f>Sources!D2245</f>
        <v/>
      </c>
      <c r="D2245">
        <f>Sources!E2245</f>
        <v/>
      </c>
      <c r="E2245">
        <f>Sources!F2245</f>
        <v/>
      </c>
      <c r="F2245">
        <f>Sources!H2245</f>
        <v/>
      </c>
      <c r="G2245">
        <f>IF(ABS(F2245-ROUND(F2245,0))&lt;0.001,1,0)</f>
        <v/>
      </c>
      <c r="H2245">
        <f>IF(G2245=1,F2245,CEILING(F2245,1))</f>
        <v/>
      </c>
      <c r="I2245">
        <f>IF(G2245=1,0,(H2245-F2245)*E2245)</f>
        <v/>
      </c>
      <c r="J2245">
        <f>E2245*F2245</f>
        <v/>
      </c>
    </row>
    <row r="2246">
      <c r="A2246">
        <f>Sources!A2246</f>
        <v/>
      </c>
      <c r="B2246">
        <f>Sources!B2246</f>
        <v/>
      </c>
      <c r="C2246">
        <f>Sources!D2246</f>
        <v/>
      </c>
      <c r="D2246">
        <f>Sources!E2246</f>
        <v/>
      </c>
      <c r="E2246">
        <f>Sources!F2246</f>
        <v/>
      </c>
      <c r="F2246">
        <f>Sources!H2246</f>
        <v/>
      </c>
      <c r="G2246">
        <f>IF(ABS(F2246-ROUND(F2246,0))&lt;0.001,1,0)</f>
        <v/>
      </c>
      <c r="H2246">
        <f>IF(G2246=1,F2246,CEILING(F2246,1))</f>
        <v/>
      </c>
      <c r="I2246">
        <f>IF(G2246=1,0,(H2246-F2246)*E2246)</f>
        <v/>
      </c>
      <c r="J2246">
        <f>E2246*F2246</f>
        <v/>
      </c>
    </row>
    <row r="2247">
      <c r="A2247">
        <f>Sources!A2247</f>
        <v/>
      </c>
      <c r="B2247">
        <f>Sources!B2247</f>
        <v/>
      </c>
      <c r="C2247">
        <f>Sources!D2247</f>
        <v/>
      </c>
      <c r="D2247">
        <f>Sources!E2247</f>
        <v/>
      </c>
      <c r="E2247">
        <f>Sources!F2247</f>
        <v/>
      </c>
      <c r="F2247">
        <f>Sources!H2247</f>
        <v/>
      </c>
      <c r="G2247">
        <f>IF(ABS(F2247-ROUND(F2247,0))&lt;0.001,1,0)</f>
        <v/>
      </c>
      <c r="H2247">
        <f>IF(G2247=1,F2247,CEILING(F2247,1))</f>
        <v/>
      </c>
      <c r="I2247">
        <f>IF(G2247=1,0,(H2247-F2247)*E2247)</f>
        <v/>
      </c>
      <c r="J2247">
        <f>E2247*F2247</f>
        <v/>
      </c>
    </row>
    <row r="2248">
      <c r="A2248">
        <f>Sources!A2248</f>
        <v/>
      </c>
      <c r="B2248">
        <f>Sources!B2248</f>
        <v/>
      </c>
      <c r="C2248">
        <f>Sources!D2248</f>
        <v/>
      </c>
      <c r="D2248">
        <f>Sources!E2248</f>
        <v/>
      </c>
      <c r="E2248">
        <f>Sources!F2248</f>
        <v/>
      </c>
      <c r="F2248">
        <f>Sources!H2248</f>
        <v/>
      </c>
      <c r="G2248">
        <f>IF(ABS(F2248-ROUND(F2248,0))&lt;0.001,1,0)</f>
        <v/>
      </c>
      <c r="H2248">
        <f>IF(G2248=1,F2248,CEILING(F2248,1))</f>
        <v/>
      </c>
      <c r="I2248">
        <f>IF(G2248=1,0,(H2248-F2248)*E2248)</f>
        <v/>
      </c>
      <c r="J2248">
        <f>E2248*F2248</f>
        <v/>
      </c>
    </row>
    <row r="2249">
      <c r="A2249">
        <f>Sources!A2249</f>
        <v/>
      </c>
      <c r="B2249">
        <f>Sources!B2249</f>
        <v/>
      </c>
      <c r="C2249">
        <f>Sources!D2249</f>
        <v/>
      </c>
      <c r="D2249">
        <f>Sources!E2249</f>
        <v/>
      </c>
      <c r="E2249">
        <f>Sources!F2249</f>
        <v/>
      </c>
      <c r="F2249">
        <f>Sources!H2249</f>
        <v/>
      </c>
      <c r="G2249">
        <f>IF(ABS(F2249-ROUND(F2249,0))&lt;0.001,1,0)</f>
        <v/>
      </c>
      <c r="H2249">
        <f>IF(G2249=1,F2249,CEILING(F2249,1))</f>
        <v/>
      </c>
      <c r="I2249">
        <f>IF(G2249=1,0,(H2249-F2249)*E2249)</f>
        <v/>
      </c>
      <c r="J2249">
        <f>E2249*F2249</f>
        <v/>
      </c>
    </row>
    <row r="2250">
      <c r="A2250">
        <f>Sources!A2250</f>
        <v/>
      </c>
      <c r="B2250">
        <f>Sources!B2250</f>
        <v/>
      </c>
      <c r="C2250">
        <f>Sources!D2250</f>
        <v/>
      </c>
      <c r="D2250">
        <f>Sources!E2250</f>
        <v/>
      </c>
      <c r="E2250">
        <f>Sources!F2250</f>
        <v/>
      </c>
      <c r="F2250">
        <f>Sources!H2250</f>
        <v/>
      </c>
      <c r="G2250">
        <f>IF(ABS(F2250-ROUND(F2250,0))&lt;0.001,1,0)</f>
        <v/>
      </c>
      <c r="H2250">
        <f>IF(G2250=1,F2250,CEILING(F2250,1))</f>
        <v/>
      </c>
      <c r="I2250">
        <f>IF(G2250=1,0,(H2250-F2250)*E2250)</f>
        <v/>
      </c>
      <c r="J2250">
        <f>E2250*F2250</f>
        <v/>
      </c>
    </row>
    <row r="2251">
      <c r="A2251">
        <f>Sources!A2251</f>
        <v/>
      </c>
      <c r="B2251">
        <f>Sources!B2251</f>
        <v/>
      </c>
      <c r="C2251">
        <f>Sources!D2251</f>
        <v/>
      </c>
      <c r="D2251">
        <f>Sources!E2251</f>
        <v/>
      </c>
      <c r="E2251">
        <f>Sources!F2251</f>
        <v/>
      </c>
      <c r="F2251">
        <f>Sources!H2251</f>
        <v/>
      </c>
      <c r="G2251">
        <f>IF(ABS(F2251-ROUND(F2251,0))&lt;0.001,1,0)</f>
        <v/>
      </c>
      <c r="H2251">
        <f>IF(G2251=1,F2251,CEILING(F2251,1))</f>
        <v/>
      </c>
      <c r="I2251">
        <f>IF(G2251=1,0,(H2251-F2251)*E2251)</f>
        <v/>
      </c>
      <c r="J2251">
        <f>E2251*F2251</f>
        <v/>
      </c>
    </row>
    <row r="2252">
      <c r="A2252">
        <f>Sources!A2252</f>
        <v/>
      </c>
      <c r="B2252">
        <f>Sources!B2252</f>
        <v/>
      </c>
      <c r="C2252">
        <f>Sources!D2252</f>
        <v/>
      </c>
      <c r="D2252">
        <f>Sources!E2252</f>
        <v/>
      </c>
      <c r="E2252">
        <f>Sources!F2252</f>
        <v/>
      </c>
      <c r="F2252">
        <f>Sources!H2252</f>
        <v/>
      </c>
      <c r="G2252">
        <f>IF(ABS(F2252-ROUND(F2252,0))&lt;0.001,1,0)</f>
        <v/>
      </c>
      <c r="H2252">
        <f>IF(G2252=1,F2252,CEILING(F2252,1))</f>
        <v/>
      </c>
      <c r="I2252">
        <f>IF(G2252=1,0,(H2252-F2252)*E2252)</f>
        <v/>
      </c>
      <c r="J2252">
        <f>E2252*F2252</f>
        <v/>
      </c>
    </row>
    <row r="2253">
      <c r="A2253">
        <f>Sources!A2253</f>
        <v/>
      </c>
      <c r="B2253">
        <f>Sources!B2253</f>
        <v/>
      </c>
      <c r="C2253">
        <f>Sources!D2253</f>
        <v/>
      </c>
      <c r="D2253">
        <f>Sources!E2253</f>
        <v/>
      </c>
      <c r="E2253">
        <f>Sources!F2253</f>
        <v/>
      </c>
      <c r="F2253">
        <f>Sources!H2253</f>
        <v/>
      </c>
      <c r="G2253">
        <f>IF(ABS(F2253-ROUND(F2253,0))&lt;0.001,1,0)</f>
        <v/>
      </c>
      <c r="H2253">
        <f>IF(G2253=1,F2253,CEILING(F2253,1))</f>
        <v/>
      </c>
      <c r="I2253">
        <f>IF(G2253=1,0,(H2253-F2253)*E2253)</f>
        <v/>
      </c>
      <c r="J2253">
        <f>E2253*F2253</f>
        <v/>
      </c>
    </row>
    <row r="2254">
      <c r="A2254">
        <f>Sources!A2254</f>
        <v/>
      </c>
      <c r="B2254">
        <f>Sources!B2254</f>
        <v/>
      </c>
      <c r="C2254">
        <f>Sources!D2254</f>
        <v/>
      </c>
      <c r="D2254">
        <f>Sources!E2254</f>
        <v/>
      </c>
      <c r="E2254">
        <f>Sources!F2254</f>
        <v/>
      </c>
      <c r="F2254">
        <f>Sources!H2254</f>
        <v/>
      </c>
      <c r="G2254">
        <f>IF(ABS(F2254-ROUND(F2254,0))&lt;0.001,1,0)</f>
        <v/>
      </c>
      <c r="H2254">
        <f>IF(G2254=1,F2254,CEILING(F2254,1))</f>
        <v/>
      </c>
      <c r="I2254">
        <f>IF(G2254=1,0,(H2254-F2254)*E2254)</f>
        <v/>
      </c>
      <c r="J2254">
        <f>E2254*F2254</f>
        <v/>
      </c>
    </row>
    <row r="2255">
      <c r="A2255">
        <f>Sources!A2255</f>
        <v/>
      </c>
      <c r="B2255">
        <f>Sources!B2255</f>
        <v/>
      </c>
      <c r="C2255">
        <f>Sources!D2255</f>
        <v/>
      </c>
      <c r="D2255">
        <f>Sources!E2255</f>
        <v/>
      </c>
      <c r="E2255">
        <f>Sources!F2255</f>
        <v/>
      </c>
      <c r="F2255">
        <f>Sources!H2255</f>
        <v/>
      </c>
      <c r="G2255">
        <f>IF(ABS(F2255-ROUND(F2255,0))&lt;0.001,1,0)</f>
        <v/>
      </c>
      <c r="H2255">
        <f>IF(G2255=1,F2255,CEILING(F2255,1))</f>
        <v/>
      </c>
      <c r="I2255">
        <f>IF(G2255=1,0,(H2255-F2255)*E2255)</f>
        <v/>
      </c>
      <c r="J2255">
        <f>E2255*F2255</f>
        <v/>
      </c>
    </row>
    <row r="2256">
      <c r="A2256">
        <f>Sources!A2256</f>
        <v/>
      </c>
      <c r="B2256">
        <f>Sources!B2256</f>
        <v/>
      </c>
      <c r="C2256">
        <f>Sources!D2256</f>
        <v/>
      </c>
      <c r="D2256">
        <f>Sources!E2256</f>
        <v/>
      </c>
      <c r="E2256">
        <f>Sources!F2256</f>
        <v/>
      </c>
      <c r="F2256">
        <f>Sources!H2256</f>
        <v/>
      </c>
      <c r="G2256">
        <f>IF(ABS(F2256-ROUND(F2256,0))&lt;0.001,1,0)</f>
        <v/>
      </c>
      <c r="H2256">
        <f>IF(G2256=1,F2256,CEILING(F2256,1))</f>
        <v/>
      </c>
      <c r="I2256">
        <f>IF(G2256=1,0,(H2256-F2256)*E2256)</f>
        <v/>
      </c>
      <c r="J2256">
        <f>E2256*F2256</f>
        <v/>
      </c>
    </row>
    <row r="2257">
      <c r="A2257">
        <f>Sources!A2257</f>
        <v/>
      </c>
      <c r="B2257">
        <f>Sources!B2257</f>
        <v/>
      </c>
      <c r="C2257">
        <f>Sources!D2257</f>
        <v/>
      </c>
      <c r="D2257">
        <f>Sources!E2257</f>
        <v/>
      </c>
      <c r="E2257">
        <f>Sources!F2257</f>
        <v/>
      </c>
      <c r="F2257">
        <f>Sources!H2257</f>
        <v/>
      </c>
      <c r="G2257">
        <f>IF(ABS(F2257-ROUND(F2257,0))&lt;0.001,1,0)</f>
        <v/>
      </c>
      <c r="H2257">
        <f>IF(G2257=1,F2257,CEILING(F2257,1))</f>
        <v/>
      </c>
      <c r="I2257">
        <f>IF(G2257=1,0,(H2257-F2257)*E2257)</f>
        <v/>
      </c>
      <c r="J2257">
        <f>E2257*F2257</f>
        <v/>
      </c>
    </row>
    <row r="2258">
      <c r="A2258">
        <f>Sources!A2258</f>
        <v/>
      </c>
      <c r="B2258">
        <f>Sources!B2258</f>
        <v/>
      </c>
      <c r="C2258">
        <f>Sources!D2258</f>
        <v/>
      </c>
      <c r="D2258">
        <f>Sources!E2258</f>
        <v/>
      </c>
      <c r="E2258">
        <f>Sources!F2258</f>
        <v/>
      </c>
      <c r="F2258">
        <f>Sources!H2258</f>
        <v/>
      </c>
      <c r="G2258">
        <f>IF(ABS(F2258-ROUND(F2258,0))&lt;0.001,1,0)</f>
        <v/>
      </c>
      <c r="H2258">
        <f>IF(G2258=1,F2258,CEILING(F2258,1))</f>
        <v/>
      </c>
      <c r="I2258">
        <f>IF(G2258=1,0,(H2258-F2258)*E2258)</f>
        <v/>
      </c>
      <c r="J2258">
        <f>E2258*F2258</f>
        <v/>
      </c>
    </row>
    <row r="2259">
      <c r="A2259">
        <f>Sources!A2259</f>
        <v/>
      </c>
      <c r="B2259">
        <f>Sources!B2259</f>
        <v/>
      </c>
      <c r="C2259">
        <f>Sources!D2259</f>
        <v/>
      </c>
      <c r="D2259">
        <f>Sources!E2259</f>
        <v/>
      </c>
      <c r="E2259">
        <f>Sources!F2259</f>
        <v/>
      </c>
      <c r="F2259">
        <f>Sources!H2259</f>
        <v/>
      </c>
      <c r="G2259">
        <f>IF(ABS(F2259-ROUND(F2259,0))&lt;0.001,1,0)</f>
        <v/>
      </c>
      <c r="H2259">
        <f>IF(G2259=1,F2259,CEILING(F2259,1))</f>
        <v/>
      </c>
      <c r="I2259">
        <f>IF(G2259=1,0,(H2259-F2259)*E2259)</f>
        <v/>
      </c>
      <c r="J2259">
        <f>E2259*F2259</f>
        <v/>
      </c>
    </row>
    <row r="2260">
      <c r="A2260">
        <f>Sources!A2260</f>
        <v/>
      </c>
      <c r="B2260">
        <f>Sources!B2260</f>
        <v/>
      </c>
      <c r="C2260">
        <f>Sources!D2260</f>
        <v/>
      </c>
      <c r="D2260">
        <f>Sources!E2260</f>
        <v/>
      </c>
      <c r="E2260">
        <f>Sources!F2260</f>
        <v/>
      </c>
      <c r="F2260">
        <f>Sources!H2260</f>
        <v/>
      </c>
      <c r="G2260">
        <f>IF(ABS(F2260-ROUND(F2260,0))&lt;0.001,1,0)</f>
        <v/>
      </c>
      <c r="H2260">
        <f>IF(G2260=1,F2260,CEILING(F2260,1))</f>
        <v/>
      </c>
      <c r="I2260">
        <f>IF(G2260=1,0,(H2260-F2260)*E2260)</f>
        <v/>
      </c>
      <c r="J2260">
        <f>E2260*F2260</f>
        <v/>
      </c>
    </row>
    <row r="2261">
      <c r="A2261">
        <f>Sources!A2261</f>
        <v/>
      </c>
      <c r="B2261">
        <f>Sources!B2261</f>
        <v/>
      </c>
      <c r="C2261">
        <f>Sources!D2261</f>
        <v/>
      </c>
      <c r="D2261">
        <f>Sources!E2261</f>
        <v/>
      </c>
      <c r="E2261">
        <f>Sources!F2261</f>
        <v/>
      </c>
      <c r="F2261">
        <f>Sources!H2261</f>
        <v/>
      </c>
      <c r="G2261">
        <f>IF(ABS(F2261-ROUND(F2261,0))&lt;0.001,1,0)</f>
        <v/>
      </c>
      <c r="H2261">
        <f>IF(G2261=1,F2261,CEILING(F2261,1))</f>
        <v/>
      </c>
      <c r="I2261">
        <f>IF(G2261=1,0,(H2261-F2261)*E2261)</f>
        <v/>
      </c>
      <c r="J2261">
        <f>E2261*F2261</f>
        <v/>
      </c>
    </row>
    <row r="2262">
      <c r="A2262">
        <f>Sources!A2262</f>
        <v/>
      </c>
      <c r="B2262">
        <f>Sources!B2262</f>
        <v/>
      </c>
      <c r="C2262">
        <f>Sources!D2262</f>
        <v/>
      </c>
      <c r="D2262">
        <f>Sources!E2262</f>
        <v/>
      </c>
      <c r="E2262">
        <f>Sources!F2262</f>
        <v/>
      </c>
      <c r="F2262">
        <f>Sources!H2262</f>
        <v/>
      </c>
      <c r="G2262">
        <f>IF(ABS(F2262-ROUND(F2262,0))&lt;0.001,1,0)</f>
        <v/>
      </c>
      <c r="H2262">
        <f>IF(G2262=1,F2262,CEILING(F2262,1))</f>
        <v/>
      </c>
      <c r="I2262">
        <f>IF(G2262=1,0,(H2262-F2262)*E2262)</f>
        <v/>
      </c>
      <c r="J2262">
        <f>E2262*F2262</f>
        <v/>
      </c>
    </row>
    <row r="2263">
      <c r="A2263">
        <f>Sources!A2263</f>
        <v/>
      </c>
      <c r="B2263">
        <f>Sources!B2263</f>
        <v/>
      </c>
      <c r="C2263">
        <f>Sources!D2263</f>
        <v/>
      </c>
      <c r="D2263">
        <f>Sources!E2263</f>
        <v/>
      </c>
      <c r="E2263">
        <f>Sources!F2263</f>
        <v/>
      </c>
      <c r="F2263">
        <f>Sources!H2263</f>
        <v/>
      </c>
      <c r="G2263">
        <f>IF(ABS(F2263-ROUND(F2263,0))&lt;0.001,1,0)</f>
        <v/>
      </c>
      <c r="H2263">
        <f>IF(G2263=1,F2263,CEILING(F2263,1))</f>
        <v/>
      </c>
      <c r="I2263">
        <f>IF(G2263=1,0,(H2263-F2263)*E2263)</f>
        <v/>
      </c>
      <c r="J2263">
        <f>E2263*F2263</f>
        <v/>
      </c>
    </row>
    <row r="2264">
      <c r="A2264">
        <f>Sources!A2264</f>
        <v/>
      </c>
      <c r="B2264">
        <f>Sources!B2264</f>
        <v/>
      </c>
      <c r="C2264">
        <f>Sources!D2264</f>
        <v/>
      </c>
      <c r="D2264">
        <f>Sources!E2264</f>
        <v/>
      </c>
      <c r="E2264">
        <f>Sources!F2264</f>
        <v/>
      </c>
      <c r="F2264">
        <f>Sources!H2264</f>
        <v/>
      </c>
      <c r="G2264">
        <f>IF(ABS(F2264-ROUND(F2264,0))&lt;0.001,1,0)</f>
        <v/>
      </c>
      <c r="H2264">
        <f>IF(G2264=1,F2264,CEILING(F2264,1))</f>
        <v/>
      </c>
      <c r="I2264">
        <f>IF(G2264=1,0,(H2264-F2264)*E2264)</f>
        <v/>
      </c>
      <c r="J2264">
        <f>E2264*F2264</f>
        <v/>
      </c>
    </row>
    <row r="2265">
      <c r="A2265">
        <f>Sources!A2265</f>
        <v/>
      </c>
      <c r="B2265">
        <f>Sources!B2265</f>
        <v/>
      </c>
      <c r="C2265">
        <f>Sources!D2265</f>
        <v/>
      </c>
      <c r="D2265">
        <f>Sources!E2265</f>
        <v/>
      </c>
      <c r="E2265">
        <f>Sources!F2265</f>
        <v/>
      </c>
      <c r="F2265">
        <f>Sources!H2265</f>
        <v/>
      </c>
      <c r="G2265">
        <f>IF(ABS(F2265-ROUND(F2265,0))&lt;0.001,1,0)</f>
        <v/>
      </c>
      <c r="H2265">
        <f>IF(G2265=1,F2265,CEILING(F2265,1))</f>
        <v/>
      </c>
      <c r="I2265">
        <f>IF(G2265=1,0,(H2265-F2265)*E2265)</f>
        <v/>
      </c>
      <c r="J2265">
        <f>E2265*F2265</f>
        <v/>
      </c>
    </row>
    <row r="2266">
      <c r="A2266">
        <f>Sources!A2266</f>
        <v/>
      </c>
      <c r="B2266">
        <f>Sources!B2266</f>
        <v/>
      </c>
      <c r="C2266">
        <f>Sources!D2266</f>
        <v/>
      </c>
      <c r="D2266">
        <f>Sources!E2266</f>
        <v/>
      </c>
      <c r="E2266">
        <f>Sources!F2266</f>
        <v/>
      </c>
      <c r="F2266">
        <f>Sources!H2266</f>
        <v/>
      </c>
      <c r="G2266">
        <f>IF(ABS(F2266-ROUND(F2266,0))&lt;0.001,1,0)</f>
        <v/>
      </c>
      <c r="H2266">
        <f>IF(G2266=1,F2266,CEILING(F2266,1))</f>
        <v/>
      </c>
      <c r="I2266">
        <f>IF(G2266=1,0,(H2266-F2266)*E2266)</f>
        <v/>
      </c>
      <c r="J2266">
        <f>E2266*F2266</f>
        <v/>
      </c>
    </row>
    <row r="2267">
      <c r="A2267">
        <f>Sources!A2267</f>
        <v/>
      </c>
      <c r="B2267">
        <f>Sources!B2267</f>
        <v/>
      </c>
      <c r="C2267">
        <f>Sources!D2267</f>
        <v/>
      </c>
      <c r="D2267">
        <f>Sources!E2267</f>
        <v/>
      </c>
      <c r="E2267">
        <f>Sources!F2267</f>
        <v/>
      </c>
      <c r="F2267">
        <f>Sources!H2267</f>
        <v/>
      </c>
      <c r="G2267">
        <f>IF(ABS(F2267-ROUND(F2267,0))&lt;0.001,1,0)</f>
        <v/>
      </c>
      <c r="H2267">
        <f>IF(G2267=1,F2267,CEILING(F2267,1))</f>
        <v/>
      </c>
      <c r="I2267">
        <f>IF(G2267=1,0,(H2267-F2267)*E2267)</f>
        <v/>
      </c>
      <c r="J2267">
        <f>E2267*F2267</f>
        <v/>
      </c>
    </row>
    <row r="2268">
      <c r="A2268">
        <f>Sources!A2268</f>
        <v/>
      </c>
      <c r="B2268">
        <f>Sources!B2268</f>
        <v/>
      </c>
      <c r="C2268">
        <f>Sources!D2268</f>
        <v/>
      </c>
      <c r="D2268">
        <f>Sources!E2268</f>
        <v/>
      </c>
      <c r="E2268">
        <f>Sources!F2268</f>
        <v/>
      </c>
      <c r="F2268">
        <f>Sources!H2268</f>
        <v/>
      </c>
      <c r="G2268">
        <f>IF(ABS(F2268-ROUND(F2268,0))&lt;0.001,1,0)</f>
        <v/>
      </c>
      <c r="H2268">
        <f>IF(G2268=1,F2268,CEILING(F2268,1))</f>
        <v/>
      </c>
      <c r="I2268">
        <f>IF(G2268=1,0,(H2268-F2268)*E2268)</f>
        <v/>
      </c>
      <c r="J2268">
        <f>E2268*F2268</f>
        <v/>
      </c>
    </row>
    <row r="2269">
      <c r="A2269">
        <f>Sources!A2269</f>
        <v/>
      </c>
      <c r="B2269">
        <f>Sources!B2269</f>
        <v/>
      </c>
      <c r="C2269">
        <f>Sources!D2269</f>
        <v/>
      </c>
      <c r="D2269">
        <f>Sources!E2269</f>
        <v/>
      </c>
      <c r="E2269">
        <f>Sources!F2269</f>
        <v/>
      </c>
      <c r="F2269">
        <f>Sources!H2269</f>
        <v/>
      </c>
      <c r="G2269">
        <f>IF(ABS(F2269-ROUND(F2269,0))&lt;0.001,1,0)</f>
        <v/>
      </c>
      <c r="H2269">
        <f>IF(G2269=1,F2269,CEILING(F2269,1))</f>
        <v/>
      </c>
      <c r="I2269">
        <f>IF(G2269=1,0,(H2269-F2269)*E2269)</f>
        <v/>
      </c>
      <c r="J2269">
        <f>E2269*F2269</f>
        <v/>
      </c>
    </row>
    <row r="2270">
      <c r="A2270">
        <f>Sources!A2270</f>
        <v/>
      </c>
      <c r="B2270">
        <f>Sources!B2270</f>
        <v/>
      </c>
      <c r="C2270">
        <f>Sources!D2270</f>
        <v/>
      </c>
      <c r="D2270">
        <f>Sources!E2270</f>
        <v/>
      </c>
      <c r="E2270">
        <f>Sources!F2270</f>
        <v/>
      </c>
      <c r="F2270">
        <f>Sources!H2270</f>
        <v/>
      </c>
      <c r="G2270">
        <f>IF(ABS(F2270-ROUND(F2270,0))&lt;0.001,1,0)</f>
        <v/>
      </c>
      <c r="H2270">
        <f>IF(G2270=1,F2270,CEILING(F2270,1))</f>
        <v/>
      </c>
      <c r="I2270">
        <f>IF(G2270=1,0,(H2270-F2270)*E2270)</f>
        <v/>
      </c>
      <c r="J2270">
        <f>E2270*F2270</f>
        <v/>
      </c>
    </row>
    <row r="2271">
      <c r="A2271">
        <f>Sources!A2271</f>
        <v/>
      </c>
      <c r="B2271">
        <f>Sources!B2271</f>
        <v/>
      </c>
      <c r="C2271">
        <f>Sources!D2271</f>
        <v/>
      </c>
      <c r="D2271">
        <f>Sources!E2271</f>
        <v/>
      </c>
      <c r="E2271">
        <f>Sources!F2271</f>
        <v/>
      </c>
      <c r="F2271">
        <f>Sources!H2271</f>
        <v/>
      </c>
      <c r="G2271">
        <f>IF(ABS(F2271-ROUND(F2271,0))&lt;0.001,1,0)</f>
        <v/>
      </c>
      <c r="H2271">
        <f>IF(G2271=1,F2271,CEILING(F2271,1))</f>
        <v/>
      </c>
      <c r="I2271">
        <f>IF(G2271=1,0,(H2271-F2271)*E2271)</f>
        <v/>
      </c>
      <c r="J2271">
        <f>E2271*F2271</f>
        <v/>
      </c>
    </row>
    <row r="2272">
      <c r="A2272">
        <f>Sources!A2272</f>
        <v/>
      </c>
      <c r="B2272">
        <f>Sources!B2272</f>
        <v/>
      </c>
      <c r="C2272">
        <f>Sources!D2272</f>
        <v/>
      </c>
      <c r="D2272">
        <f>Sources!E2272</f>
        <v/>
      </c>
      <c r="E2272">
        <f>Sources!F2272</f>
        <v/>
      </c>
      <c r="F2272">
        <f>Sources!H2272</f>
        <v/>
      </c>
      <c r="G2272">
        <f>IF(ABS(F2272-ROUND(F2272,0))&lt;0.001,1,0)</f>
        <v/>
      </c>
      <c r="H2272">
        <f>IF(G2272=1,F2272,CEILING(F2272,1))</f>
        <v/>
      </c>
      <c r="I2272">
        <f>IF(G2272=1,0,(H2272-F2272)*E2272)</f>
        <v/>
      </c>
      <c r="J2272">
        <f>E2272*F2272</f>
        <v/>
      </c>
    </row>
    <row r="2273">
      <c r="A2273">
        <f>Sources!A2273</f>
        <v/>
      </c>
      <c r="B2273">
        <f>Sources!B2273</f>
        <v/>
      </c>
      <c r="C2273">
        <f>Sources!D2273</f>
        <v/>
      </c>
      <c r="D2273">
        <f>Sources!E2273</f>
        <v/>
      </c>
      <c r="E2273">
        <f>Sources!F2273</f>
        <v/>
      </c>
      <c r="F2273">
        <f>Sources!H2273</f>
        <v/>
      </c>
      <c r="G2273">
        <f>IF(ABS(F2273-ROUND(F2273,0))&lt;0.001,1,0)</f>
        <v/>
      </c>
      <c r="H2273">
        <f>IF(G2273=1,F2273,CEILING(F2273,1))</f>
        <v/>
      </c>
      <c r="I2273">
        <f>IF(G2273=1,0,(H2273-F2273)*E2273)</f>
        <v/>
      </c>
      <c r="J2273">
        <f>E2273*F2273</f>
        <v/>
      </c>
    </row>
    <row r="2274">
      <c r="A2274">
        <f>Sources!A2274</f>
        <v/>
      </c>
      <c r="B2274">
        <f>Sources!B2274</f>
        <v/>
      </c>
      <c r="C2274">
        <f>Sources!D2274</f>
        <v/>
      </c>
      <c r="D2274">
        <f>Sources!E2274</f>
        <v/>
      </c>
      <c r="E2274">
        <f>Sources!F2274</f>
        <v/>
      </c>
      <c r="F2274">
        <f>Sources!H2274</f>
        <v/>
      </c>
      <c r="G2274">
        <f>IF(ABS(F2274-ROUND(F2274,0))&lt;0.001,1,0)</f>
        <v/>
      </c>
      <c r="H2274">
        <f>IF(G2274=1,F2274,CEILING(F2274,1))</f>
        <v/>
      </c>
      <c r="I2274">
        <f>IF(G2274=1,0,(H2274-F2274)*E2274)</f>
        <v/>
      </c>
      <c r="J2274">
        <f>E2274*F2274</f>
        <v/>
      </c>
    </row>
    <row r="2275">
      <c r="A2275">
        <f>Sources!A2275</f>
        <v/>
      </c>
      <c r="B2275">
        <f>Sources!B2275</f>
        <v/>
      </c>
      <c r="C2275">
        <f>Sources!D2275</f>
        <v/>
      </c>
      <c r="D2275">
        <f>Sources!E2275</f>
        <v/>
      </c>
      <c r="E2275">
        <f>Sources!F2275</f>
        <v/>
      </c>
      <c r="F2275">
        <f>Sources!H2275</f>
        <v/>
      </c>
      <c r="G2275">
        <f>IF(ABS(F2275-ROUND(F2275,0))&lt;0.001,1,0)</f>
        <v/>
      </c>
      <c r="H2275">
        <f>IF(G2275=1,F2275,CEILING(F2275,1))</f>
        <v/>
      </c>
      <c r="I2275">
        <f>IF(G2275=1,0,(H2275-F2275)*E2275)</f>
        <v/>
      </c>
      <c r="J2275">
        <f>E2275*F2275</f>
        <v/>
      </c>
    </row>
    <row r="2276">
      <c r="A2276">
        <f>Sources!A2276</f>
        <v/>
      </c>
      <c r="B2276">
        <f>Sources!B2276</f>
        <v/>
      </c>
      <c r="C2276">
        <f>Sources!D2276</f>
        <v/>
      </c>
      <c r="D2276">
        <f>Sources!E2276</f>
        <v/>
      </c>
      <c r="E2276">
        <f>Sources!F2276</f>
        <v/>
      </c>
      <c r="F2276">
        <f>Sources!H2276</f>
        <v/>
      </c>
      <c r="G2276">
        <f>IF(ABS(F2276-ROUND(F2276,0))&lt;0.001,1,0)</f>
        <v/>
      </c>
      <c r="H2276">
        <f>IF(G2276=1,F2276,CEILING(F2276,1))</f>
        <v/>
      </c>
      <c r="I2276">
        <f>IF(G2276=1,0,(H2276-F2276)*E2276)</f>
        <v/>
      </c>
      <c r="J2276">
        <f>E2276*F2276</f>
        <v/>
      </c>
    </row>
    <row r="2277">
      <c r="A2277">
        <f>Sources!A2277</f>
        <v/>
      </c>
      <c r="B2277">
        <f>Sources!B2277</f>
        <v/>
      </c>
      <c r="C2277">
        <f>Sources!D2277</f>
        <v/>
      </c>
      <c r="D2277">
        <f>Sources!E2277</f>
        <v/>
      </c>
      <c r="E2277">
        <f>Sources!F2277</f>
        <v/>
      </c>
      <c r="F2277">
        <f>Sources!H2277</f>
        <v/>
      </c>
      <c r="G2277">
        <f>IF(ABS(F2277-ROUND(F2277,0))&lt;0.001,1,0)</f>
        <v/>
      </c>
      <c r="H2277">
        <f>IF(G2277=1,F2277,CEILING(F2277,1))</f>
        <v/>
      </c>
      <c r="I2277">
        <f>IF(G2277=1,0,(H2277-F2277)*E2277)</f>
        <v/>
      </c>
      <c r="J2277">
        <f>E2277*F2277</f>
        <v/>
      </c>
    </row>
    <row r="2278">
      <c r="A2278">
        <f>Sources!A2278</f>
        <v/>
      </c>
      <c r="B2278">
        <f>Sources!B2278</f>
        <v/>
      </c>
      <c r="C2278">
        <f>Sources!D2278</f>
        <v/>
      </c>
      <c r="D2278">
        <f>Sources!E2278</f>
        <v/>
      </c>
      <c r="E2278">
        <f>Sources!F2278</f>
        <v/>
      </c>
      <c r="F2278">
        <f>Sources!H2278</f>
        <v/>
      </c>
      <c r="G2278">
        <f>IF(ABS(F2278-ROUND(F2278,0))&lt;0.001,1,0)</f>
        <v/>
      </c>
      <c r="H2278">
        <f>IF(G2278=1,F2278,CEILING(F2278,1))</f>
        <v/>
      </c>
      <c r="I2278">
        <f>IF(G2278=1,0,(H2278-F2278)*E2278)</f>
        <v/>
      </c>
      <c r="J2278">
        <f>E2278*F2278</f>
        <v/>
      </c>
    </row>
    <row r="2279">
      <c r="A2279">
        <f>Sources!A2279</f>
        <v/>
      </c>
      <c r="B2279">
        <f>Sources!B2279</f>
        <v/>
      </c>
      <c r="C2279">
        <f>Sources!D2279</f>
        <v/>
      </c>
      <c r="D2279">
        <f>Sources!E2279</f>
        <v/>
      </c>
      <c r="E2279">
        <f>Sources!F2279</f>
        <v/>
      </c>
      <c r="F2279">
        <f>Sources!H2279</f>
        <v/>
      </c>
      <c r="G2279">
        <f>IF(ABS(F2279-ROUND(F2279,0))&lt;0.001,1,0)</f>
        <v/>
      </c>
      <c r="H2279">
        <f>IF(G2279=1,F2279,CEILING(F2279,1))</f>
        <v/>
      </c>
      <c r="I2279">
        <f>IF(G2279=1,0,(H2279-F2279)*E2279)</f>
        <v/>
      </c>
      <c r="J2279">
        <f>E2279*F2279</f>
        <v/>
      </c>
    </row>
    <row r="2280">
      <c r="A2280">
        <f>Sources!A2280</f>
        <v/>
      </c>
      <c r="B2280">
        <f>Sources!B2280</f>
        <v/>
      </c>
      <c r="C2280">
        <f>Sources!D2280</f>
        <v/>
      </c>
      <c r="D2280">
        <f>Sources!E2280</f>
        <v/>
      </c>
      <c r="E2280">
        <f>Sources!F2280</f>
        <v/>
      </c>
      <c r="F2280">
        <f>Sources!H2280</f>
        <v/>
      </c>
      <c r="G2280">
        <f>IF(ABS(F2280-ROUND(F2280,0))&lt;0.001,1,0)</f>
        <v/>
      </c>
      <c r="H2280">
        <f>IF(G2280=1,F2280,CEILING(F2280,1))</f>
        <v/>
      </c>
      <c r="I2280">
        <f>IF(G2280=1,0,(H2280-F2280)*E2280)</f>
        <v/>
      </c>
      <c r="J2280">
        <f>E2280*F2280</f>
        <v/>
      </c>
    </row>
    <row r="2281">
      <c r="A2281">
        <f>Sources!A2281</f>
        <v/>
      </c>
      <c r="B2281">
        <f>Sources!B2281</f>
        <v/>
      </c>
      <c r="C2281">
        <f>Sources!D2281</f>
        <v/>
      </c>
      <c r="D2281">
        <f>Sources!E2281</f>
        <v/>
      </c>
      <c r="E2281">
        <f>Sources!F2281</f>
        <v/>
      </c>
      <c r="F2281">
        <f>Sources!H2281</f>
        <v/>
      </c>
      <c r="G2281">
        <f>IF(ABS(F2281-ROUND(F2281,0))&lt;0.001,1,0)</f>
        <v/>
      </c>
      <c r="H2281">
        <f>IF(G2281=1,F2281,CEILING(F2281,1))</f>
        <v/>
      </c>
      <c r="I2281">
        <f>IF(G2281=1,0,(H2281-F2281)*E2281)</f>
        <v/>
      </c>
      <c r="J2281">
        <f>E2281*F2281</f>
        <v/>
      </c>
    </row>
    <row r="2282">
      <c r="A2282">
        <f>Sources!A2282</f>
        <v/>
      </c>
      <c r="B2282">
        <f>Sources!B2282</f>
        <v/>
      </c>
      <c r="C2282">
        <f>Sources!D2282</f>
        <v/>
      </c>
      <c r="D2282">
        <f>Sources!E2282</f>
        <v/>
      </c>
      <c r="E2282">
        <f>Sources!F2282</f>
        <v/>
      </c>
      <c r="F2282">
        <f>Sources!H2282</f>
        <v/>
      </c>
      <c r="G2282">
        <f>IF(ABS(F2282-ROUND(F2282,0))&lt;0.001,1,0)</f>
        <v/>
      </c>
      <c r="H2282">
        <f>IF(G2282=1,F2282,CEILING(F2282,1))</f>
        <v/>
      </c>
      <c r="I2282">
        <f>IF(G2282=1,0,(H2282-F2282)*E2282)</f>
        <v/>
      </c>
      <c r="J2282">
        <f>E2282*F2282</f>
        <v/>
      </c>
    </row>
    <row r="2283">
      <c r="A2283">
        <f>Sources!A2283</f>
        <v/>
      </c>
      <c r="B2283">
        <f>Sources!B2283</f>
        <v/>
      </c>
      <c r="C2283">
        <f>Sources!D2283</f>
        <v/>
      </c>
      <c r="D2283">
        <f>Sources!E2283</f>
        <v/>
      </c>
      <c r="E2283">
        <f>Sources!F2283</f>
        <v/>
      </c>
      <c r="F2283">
        <f>Sources!H2283</f>
        <v/>
      </c>
      <c r="G2283">
        <f>IF(ABS(F2283-ROUND(F2283,0))&lt;0.001,1,0)</f>
        <v/>
      </c>
      <c r="H2283">
        <f>IF(G2283=1,F2283,CEILING(F2283,1))</f>
        <v/>
      </c>
      <c r="I2283">
        <f>IF(G2283=1,0,(H2283-F2283)*E2283)</f>
        <v/>
      </c>
      <c r="J2283">
        <f>E2283*F2283</f>
        <v/>
      </c>
    </row>
    <row r="2284">
      <c r="A2284">
        <f>Sources!A2284</f>
        <v/>
      </c>
      <c r="B2284">
        <f>Sources!B2284</f>
        <v/>
      </c>
      <c r="C2284">
        <f>Sources!D2284</f>
        <v/>
      </c>
      <c r="D2284">
        <f>Sources!E2284</f>
        <v/>
      </c>
      <c r="E2284">
        <f>Sources!F2284</f>
        <v/>
      </c>
      <c r="F2284">
        <f>Sources!H2284</f>
        <v/>
      </c>
      <c r="G2284">
        <f>IF(ABS(F2284-ROUND(F2284,0))&lt;0.001,1,0)</f>
        <v/>
      </c>
      <c r="H2284">
        <f>IF(G2284=1,F2284,CEILING(F2284,1))</f>
        <v/>
      </c>
      <c r="I2284">
        <f>IF(G2284=1,0,(H2284-F2284)*E2284)</f>
        <v/>
      </c>
      <c r="J2284">
        <f>E2284*F2284</f>
        <v/>
      </c>
    </row>
    <row r="2285">
      <c r="A2285">
        <f>Sources!A2285</f>
        <v/>
      </c>
      <c r="B2285">
        <f>Sources!B2285</f>
        <v/>
      </c>
      <c r="C2285">
        <f>Sources!D2285</f>
        <v/>
      </c>
      <c r="D2285">
        <f>Sources!E2285</f>
        <v/>
      </c>
      <c r="E2285">
        <f>Sources!F2285</f>
        <v/>
      </c>
      <c r="F2285">
        <f>Sources!H2285</f>
        <v/>
      </c>
      <c r="G2285">
        <f>IF(ABS(F2285-ROUND(F2285,0))&lt;0.001,1,0)</f>
        <v/>
      </c>
      <c r="H2285">
        <f>IF(G2285=1,F2285,CEILING(F2285,1))</f>
        <v/>
      </c>
      <c r="I2285">
        <f>IF(G2285=1,0,(H2285-F2285)*E2285)</f>
        <v/>
      </c>
      <c r="J2285">
        <f>E2285*F2285</f>
        <v/>
      </c>
    </row>
    <row r="2286">
      <c r="A2286">
        <f>Sources!A2286</f>
        <v/>
      </c>
      <c r="B2286">
        <f>Sources!B2286</f>
        <v/>
      </c>
      <c r="C2286">
        <f>Sources!D2286</f>
        <v/>
      </c>
      <c r="D2286">
        <f>Sources!E2286</f>
        <v/>
      </c>
      <c r="E2286">
        <f>Sources!F2286</f>
        <v/>
      </c>
      <c r="F2286">
        <f>Sources!H2286</f>
        <v/>
      </c>
      <c r="G2286">
        <f>IF(ABS(F2286-ROUND(F2286,0))&lt;0.001,1,0)</f>
        <v/>
      </c>
      <c r="H2286">
        <f>IF(G2286=1,F2286,CEILING(F2286,1))</f>
        <v/>
      </c>
      <c r="I2286">
        <f>IF(G2286=1,0,(H2286-F2286)*E2286)</f>
        <v/>
      </c>
      <c r="J2286">
        <f>E2286*F2286</f>
        <v/>
      </c>
    </row>
    <row r="2287">
      <c r="A2287">
        <f>Sources!A2287</f>
        <v/>
      </c>
      <c r="B2287">
        <f>Sources!B2287</f>
        <v/>
      </c>
      <c r="C2287">
        <f>Sources!D2287</f>
        <v/>
      </c>
      <c r="D2287">
        <f>Sources!E2287</f>
        <v/>
      </c>
      <c r="E2287">
        <f>Sources!F2287</f>
        <v/>
      </c>
      <c r="F2287">
        <f>Sources!H2287</f>
        <v/>
      </c>
      <c r="G2287">
        <f>IF(ABS(F2287-ROUND(F2287,0))&lt;0.001,1,0)</f>
        <v/>
      </c>
      <c r="H2287">
        <f>IF(G2287=1,F2287,CEILING(F2287,1))</f>
        <v/>
      </c>
      <c r="I2287">
        <f>IF(G2287=1,0,(H2287-F2287)*E2287)</f>
        <v/>
      </c>
      <c r="J2287">
        <f>E2287*F2287</f>
        <v/>
      </c>
    </row>
    <row r="2288">
      <c r="A2288">
        <f>Sources!A2288</f>
        <v/>
      </c>
      <c r="B2288">
        <f>Sources!B2288</f>
        <v/>
      </c>
      <c r="C2288">
        <f>Sources!D2288</f>
        <v/>
      </c>
      <c r="D2288">
        <f>Sources!E2288</f>
        <v/>
      </c>
      <c r="E2288">
        <f>Sources!F2288</f>
        <v/>
      </c>
      <c r="F2288">
        <f>Sources!H2288</f>
        <v/>
      </c>
      <c r="G2288">
        <f>IF(ABS(F2288-ROUND(F2288,0))&lt;0.001,1,0)</f>
        <v/>
      </c>
      <c r="H2288">
        <f>IF(G2288=1,F2288,CEILING(F2288,1))</f>
        <v/>
      </c>
      <c r="I2288">
        <f>IF(G2288=1,0,(H2288-F2288)*E2288)</f>
        <v/>
      </c>
      <c r="J2288">
        <f>E2288*F2288</f>
        <v/>
      </c>
    </row>
    <row r="2289">
      <c r="A2289">
        <f>Sources!A2289</f>
        <v/>
      </c>
      <c r="B2289">
        <f>Sources!B2289</f>
        <v/>
      </c>
      <c r="C2289">
        <f>Sources!D2289</f>
        <v/>
      </c>
      <c r="D2289">
        <f>Sources!E2289</f>
        <v/>
      </c>
      <c r="E2289">
        <f>Sources!F2289</f>
        <v/>
      </c>
      <c r="F2289">
        <f>Sources!H2289</f>
        <v/>
      </c>
      <c r="G2289">
        <f>IF(ABS(F2289-ROUND(F2289,0))&lt;0.001,1,0)</f>
        <v/>
      </c>
      <c r="H2289">
        <f>IF(G2289=1,F2289,CEILING(F2289,1))</f>
        <v/>
      </c>
      <c r="I2289">
        <f>IF(G2289=1,0,(H2289-F2289)*E2289)</f>
        <v/>
      </c>
      <c r="J2289">
        <f>E2289*F2289</f>
        <v/>
      </c>
    </row>
    <row r="2290">
      <c r="A2290">
        <f>Sources!A2290</f>
        <v/>
      </c>
      <c r="B2290">
        <f>Sources!B2290</f>
        <v/>
      </c>
      <c r="C2290">
        <f>Sources!D2290</f>
        <v/>
      </c>
      <c r="D2290">
        <f>Sources!E2290</f>
        <v/>
      </c>
      <c r="E2290">
        <f>Sources!F2290</f>
        <v/>
      </c>
      <c r="F2290">
        <f>Sources!H2290</f>
        <v/>
      </c>
      <c r="G2290">
        <f>IF(ABS(F2290-ROUND(F2290,0))&lt;0.001,1,0)</f>
        <v/>
      </c>
      <c r="H2290">
        <f>IF(G2290=1,F2290,CEILING(F2290,1))</f>
        <v/>
      </c>
      <c r="I2290">
        <f>IF(G2290=1,0,(H2290-F2290)*E2290)</f>
        <v/>
      </c>
      <c r="J2290">
        <f>E2290*F2290</f>
        <v/>
      </c>
    </row>
    <row r="2291">
      <c r="A2291">
        <f>Sources!A2291</f>
        <v/>
      </c>
      <c r="B2291">
        <f>Sources!B2291</f>
        <v/>
      </c>
      <c r="C2291">
        <f>Sources!D2291</f>
        <v/>
      </c>
      <c r="D2291">
        <f>Sources!E2291</f>
        <v/>
      </c>
      <c r="E2291">
        <f>Sources!F2291</f>
        <v/>
      </c>
      <c r="F2291">
        <f>Sources!H2291</f>
        <v/>
      </c>
      <c r="G2291">
        <f>IF(ABS(F2291-ROUND(F2291,0))&lt;0.001,1,0)</f>
        <v/>
      </c>
      <c r="H2291">
        <f>IF(G2291=1,F2291,CEILING(F2291,1))</f>
        <v/>
      </c>
      <c r="I2291">
        <f>IF(G2291=1,0,(H2291-F2291)*E2291)</f>
        <v/>
      </c>
      <c r="J2291">
        <f>E2291*F2291</f>
        <v/>
      </c>
    </row>
    <row r="2292">
      <c r="A2292">
        <f>Sources!A2292</f>
        <v/>
      </c>
      <c r="B2292">
        <f>Sources!B2292</f>
        <v/>
      </c>
      <c r="C2292">
        <f>Sources!D2292</f>
        <v/>
      </c>
      <c r="D2292">
        <f>Sources!E2292</f>
        <v/>
      </c>
      <c r="E2292">
        <f>Sources!F2292</f>
        <v/>
      </c>
      <c r="F2292">
        <f>Sources!H2292</f>
        <v/>
      </c>
      <c r="G2292">
        <f>IF(ABS(F2292-ROUND(F2292,0))&lt;0.001,1,0)</f>
        <v/>
      </c>
      <c r="H2292">
        <f>IF(G2292=1,F2292,CEILING(F2292,1))</f>
        <v/>
      </c>
      <c r="I2292">
        <f>IF(G2292=1,0,(H2292-F2292)*E2292)</f>
        <v/>
      </c>
      <c r="J2292">
        <f>E2292*F2292</f>
        <v/>
      </c>
    </row>
    <row r="2293">
      <c r="A2293">
        <f>Sources!A2293</f>
        <v/>
      </c>
      <c r="B2293">
        <f>Sources!B2293</f>
        <v/>
      </c>
      <c r="C2293">
        <f>Sources!D2293</f>
        <v/>
      </c>
      <c r="D2293">
        <f>Sources!E2293</f>
        <v/>
      </c>
      <c r="E2293">
        <f>Sources!F2293</f>
        <v/>
      </c>
      <c r="F2293">
        <f>Sources!H2293</f>
        <v/>
      </c>
      <c r="G2293">
        <f>IF(ABS(F2293-ROUND(F2293,0))&lt;0.001,1,0)</f>
        <v/>
      </c>
      <c r="H2293">
        <f>IF(G2293=1,F2293,CEILING(F2293,1))</f>
        <v/>
      </c>
      <c r="I2293">
        <f>IF(G2293=1,0,(H2293-F2293)*E2293)</f>
        <v/>
      </c>
      <c r="J2293">
        <f>E2293*F2293</f>
        <v/>
      </c>
    </row>
    <row r="2294">
      <c r="A2294">
        <f>Sources!A2294</f>
        <v/>
      </c>
      <c r="B2294">
        <f>Sources!B2294</f>
        <v/>
      </c>
      <c r="C2294">
        <f>Sources!D2294</f>
        <v/>
      </c>
      <c r="D2294">
        <f>Sources!E2294</f>
        <v/>
      </c>
      <c r="E2294">
        <f>Sources!F2294</f>
        <v/>
      </c>
      <c r="F2294">
        <f>Sources!H2294</f>
        <v/>
      </c>
      <c r="G2294">
        <f>IF(ABS(F2294-ROUND(F2294,0))&lt;0.001,1,0)</f>
        <v/>
      </c>
      <c r="H2294">
        <f>IF(G2294=1,F2294,CEILING(F2294,1))</f>
        <v/>
      </c>
      <c r="I2294">
        <f>IF(G2294=1,0,(H2294-F2294)*E2294)</f>
        <v/>
      </c>
      <c r="J2294">
        <f>E2294*F2294</f>
        <v/>
      </c>
    </row>
    <row r="2295">
      <c r="A2295">
        <f>Sources!A2295</f>
        <v/>
      </c>
      <c r="B2295">
        <f>Sources!B2295</f>
        <v/>
      </c>
      <c r="C2295">
        <f>Sources!D2295</f>
        <v/>
      </c>
      <c r="D2295">
        <f>Sources!E2295</f>
        <v/>
      </c>
      <c r="E2295">
        <f>Sources!F2295</f>
        <v/>
      </c>
      <c r="F2295">
        <f>Sources!H2295</f>
        <v/>
      </c>
      <c r="G2295">
        <f>IF(ABS(F2295-ROUND(F2295,0))&lt;0.001,1,0)</f>
        <v/>
      </c>
      <c r="H2295">
        <f>IF(G2295=1,F2295,CEILING(F2295,1))</f>
        <v/>
      </c>
      <c r="I2295">
        <f>IF(G2295=1,0,(H2295-F2295)*E2295)</f>
        <v/>
      </c>
      <c r="J2295">
        <f>E2295*F2295</f>
        <v/>
      </c>
    </row>
    <row r="2296">
      <c r="A2296">
        <f>Sources!A2296</f>
        <v/>
      </c>
      <c r="B2296">
        <f>Sources!B2296</f>
        <v/>
      </c>
      <c r="C2296">
        <f>Sources!D2296</f>
        <v/>
      </c>
      <c r="D2296">
        <f>Sources!E2296</f>
        <v/>
      </c>
      <c r="E2296">
        <f>Sources!F2296</f>
        <v/>
      </c>
      <c r="F2296">
        <f>Sources!H2296</f>
        <v/>
      </c>
      <c r="G2296">
        <f>IF(ABS(F2296-ROUND(F2296,0))&lt;0.001,1,0)</f>
        <v/>
      </c>
      <c r="H2296">
        <f>IF(G2296=1,F2296,CEILING(F2296,1))</f>
        <v/>
      </c>
      <c r="I2296">
        <f>IF(G2296=1,0,(H2296-F2296)*E2296)</f>
        <v/>
      </c>
      <c r="J2296">
        <f>E2296*F2296</f>
        <v/>
      </c>
    </row>
    <row r="2297">
      <c r="A2297">
        <f>Sources!A2297</f>
        <v/>
      </c>
      <c r="B2297">
        <f>Sources!B2297</f>
        <v/>
      </c>
      <c r="C2297">
        <f>Sources!D2297</f>
        <v/>
      </c>
      <c r="D2297">
        <f>Sources!E2297</f>
        <v/>
      </c>
      <c r="E2297">
        <f>Sources!F2297</f>
        <v/>
      </c>
      <c r="F2297">
        <f>Sources!H2297</f>
        <v/>
      </c>
      <c r="G2297">
        <f>IF(ABS(F2297-ROUND(F2297,0))&lt;0.001,1,0)</f>
        <v/>
      </c>
      <c r="H2297">
        <f>IF(G2297=1,F2297,CEILING(F2297,1))</f>
        <v/>
      </c>
      <c r="I2297">
        <f>IF(G2297=1,0,(H2297-F2297)*E2297)</f>
        <v/>
      </c>
      <c r="J2297">
        <f>E2297*F2297</f>
        <v/>
      </c>
    </row>
    <row r="2298">
      <c r="A2298">
        <f>Sources!A2298</f>
        <v/>
      </c>
      <c r="B2298">
        <f>Sources!B2298</f>
        <v/>
      </c>
      <c r="C2298">
        <f>Sources!D2298</f>
        <v/>
      </c>
      <c r="D2298">
        <f>Sources!E2298</f>
        <v/>
      </c>
      <c r="E2298">
        <f>Sources!F2298</f>
        <v/>
      </c>
      <c r="F2298">
        <f>Sources!H2298</f>
        <v/>
      </c>
      <c r="G2298">
        <f>IF(ABS(F2298-ROUND(F2298,0))&lt;0.001,1,0)</f>
        <v/>
      </c>
      <c r="H2298">
        <f>IF(G2298=1,F2298,CEILING(F2298,1))</f>
        <v/>
      </c>
      <c r="I2298">
        <f>IF(G2298=1,0,(H2298-F2298)*E2298)</f>
        <v/>
      </c>
      <c r="J2298">
        <f>E2298*F2298</f>
        <v/>
      </c>
    </row>
    <row r="2299">
      <c r="A2299">
        <f>Sources!A2299</f>
        <v/>
      </c>
      <c r="B2299">
        <f>Sources!B2299</f>
        <v/>
      </c>
      <c r="C2299">
        <f>Sources!D2299</f>
        <v/>
      </c>
      <c r="D2299">
        <f>Sources!E2299</f>
        <v/>
      </c>
      <c r="E2299">
        <f>Sources!F2299</f>
        <v/>
      </c>
      <c r="F2299">
        <f>Sources!H2299</f>
        <v/>
      </c>
      <c r="G2299">
        <f>IF(ABS(F2299-ROUND(F2299,0))&lt;0.001,1,0)</f>
        <v/>
      </c>
      <c r="H2299">
        <f>IF(G2299=1,F2299,CEILING(F2299,1))</f>
        <v/>
      </c>
      <c r="I2299">
        <f>IF(G2299=1,0,(H2299-F2299)*E2299)</f>
        <v/>
      </c>
      <c r="J2299">
        <f>E2299*F2299</f>
        <v/>
      </c>
    </row>
    <row r="2300">
      <c r="A2300">
        <f>Sources!A2300</f>
        <v/>
      </c>
      <c r="B2300">
        <f>Sources!B2300</f>
        <v/>
      </c>
      <c r="C2300">
        <f>Sources!D2300</f>
        <v/>
      </c>
      <c r="D2300">
        <f>Sources!E2300</f>
        <v/>
      </c>
      <c r="E2300">
        <f>Sources!F2300</f>
        <v/>
      </c>
      <c r="F2300">
        <f>Sources!H2300</f>
        <v/>
      </c>
      <c r="G2300">
        <f>IF(ABS(F2300-ROUND(F2300,0))&lt;0.001,1,0)</f>
        <v/>
      </c>
      <c r="H2300">
        <f>IF(G2300=1,F2300,CEILING(F2300,1))</f>
        <v/>
      </c>
      <c r="I2300">
        <f>IF(G2300=1,0,(H2300-F2300)*E2300)</f>
        <v/>
      </c>
      <c r="J2300">
        <f>E2300*F2300</f>
        <v/>
      </c>
    </row>
    <row r="2301">
      <c r="A2301">
        <f>Sources!A2301</f>
        <v/>
      </c>
      <c r="B2301">
        <f>Sources!B2301</f>
        <v/>
      </c>
      <c r="C2301">
        <f>Sources!D2301</f>
        <v/>
      </c>
      <c r="D2301">
        <f>Sources!E2301</f>
        <v/>
      </c>
      <c r="E2301">
        <f>Sources!F2301</f>
        <v/>
      </c>
      <c r="F2301">
        <f>Sources!H2301</f>
        <v/>
      </c>
      <c r="G2301">
        <f>IF(ABS(F2301-ROUND(F2301,0))&lt;0.001,1,0)</f>
        <v/>
      </c>
      <c r="H2301">
        <f>IF(G2301=1,F2301,CEILING(F2301,1))</f>
        <v/>
      </c>
      <c r="I2301">
        <f>IF(G2301=1,0,(H2301-F2301)*E2301)</f>
        <v/>
      </c>
      <c r="J2301">
        <f>E2301*F2301</f>
        <v/>
      </c>
    </row>
    <row r="2302">
      <c r="A2302">
        <f>Sources!A2302</f>
        <v/>
      </c>
      <c r="B2302">
        <f>Sources!B2302</f>
        <v/>
      </c>
      <c r="C2302">
        <f>Sources!D2302</f>
        <v/>
      </c>
      <c r="D2302">
        <f>Sources!E2302</f>
        <v/>
      </c>
      <c r="E2302">
        <f>Sources!F2302</f>
        <v/>
      </c>
      <c r="F2302">
        <f>Sources!H2302</f>
        <v/>
      </c>
      <c r="G2302">
        <f>IF(ABS(F2302-ROUND(F2302,0))&lt;0.001,1,0)</f>
        <v/>
      </c>
      <c r="H2302">
        <f>IF(G2302=1,F2302,CEILING(F2302,1))</f>
        <v/>
      </c>
      <c r="I2302">
        <f>IF(G2302=1,0,(H2302-F2302)*E2302)</f>
        <v/>
      </c>
      <c r="J2302">
        <f>E2302*F2302</f>
        <v/>
      </c>
    </row>
    <row r="2303">
      <c r="A2303">
        <f>Sources!A2303</f>
        <v/>
      </c>
      <c r="B2303">
        <f>Sources!B2303</f>
        <v/>
      </c>
      <c r="C2303">
        <f>Sources!D2303</f>
        <v/>
      </c>
      <c r="D2303">
        <f>Sources!E2303</f>
        <v/>
      </c>
      <c r="E2303">
        <f>Sources!F2303</f>
        <v/>
      </c>
      <c r="F2303">
        <f>Sources!H2303</f>
        <v/>
      </c>
      <c r="G2303">
        <f>IF(ABS(F2303-ROUND(F2303,0))&lt;0.001,1,0)</f>
        <v/>
      </c>
      <c r="H2303">
        <f>IF(G2303=1,F2303,CEILING(F2303,1))</f>
        <v/>
      </c>
      <c r="I2303">
        <f>IF(G2303=1,0,(H2303-F2303)*E2303)</f>
        <v/>
      </c>
      <c r="J2303">
        <f>E2303*F2303</f>
        <v/>
      </c>
    </row>
    <row r="2304">
      <c r="A2304">
        <f>Sources!A2304</f>
        <v/>
      </c>
      <c r="B2304">
        <f>Sources!B2304</f>
        <v/>
      </c>
      <c r="C2304">
        <f>Sources!D2304</f>
        <v/>
      </c>
      <c r="D2304">
        <f>Sources!E2304</f>
        <v/>
      </c>
      <c r="E2304">
        <f>Sources!F2304</f>
        <v/>
      </c>
      <c r="F2304">
        <f>Sources!H2304</f>
        <v/>
      </c>
      <c r="G2304">
        <f>IF(ABS(F2304-ROUND(F2304,0))&lt;0.001,1,0)</f>
        <v/>
      </c>
      <c r="H2304">
        <f>IF(G2304=1,F2304,CEILING(F2304,1))</f>
        <v/>
      </c>
      <c r="I2304">
        <f>IF(G2304=1,0,(H2304-F2304)*E2304)</f>
        <v/>
      </c>
      <c r="J2304">
        <f>E2304*F2304</f>
        <v/>
      </c>
    </row>
    <row r="2305">
      <c r="A2305">
        <f>Sources!A2305</f>
        <v/>
      </c>
      <c r="B2305">
        <f>Sources!B2305</f>
        <v/>
      </c>
      <c r="C2305">
        <f>Sources!D2305</f>
        <v/>
      </c>
      <c r="D2305">
        <f>Sources!E2305</f>
        <v/>
      </c>
      <c r="E2305">
        <f>Sources!F2305</f>
        <v/>
      </c>
      <c r="F2305">
        <f>Sources!H2305</f>
        <v/>
      </c>
      <c r="G2305">
        <f>IF(ABS(F2305-ROUND(F2305,0))&lt;0.001,1,0)</f>
        <v/>
      </c>
      <c r="H2305">
        <f>IF(G2305=1,F2305,CEILING(F2305,1))</f>
        <v/>
      </c>
      <c r="I2305">
        <f>IF(G2305=1,0,(H2305-F2305)*E2305)</f>
        <v/>
      </c>
      <c r="J2305">
        <f>E2305*F2305</f>
        <v/>
      </c>
    </row>
    <row r="2306">
      <c r="A2306">
        <f>Sources!A2306</f>
        <v/>
      </c>
      <c r="B2306">
        <f>Sources!B2306</f>
        <v/>
      </c>
      <c r="C2306">
        <f>Sources!D2306</f>
        <v/>
      </c>
      <c r="D2306">
        <f>Sources!E2306</f>
        <v/>
      </c>
      <c r="E2306">
        <f>Sources!F2306</f>
        <v/>
      </c>
      <c r="F2306">
        <f>Sources!H2306</f>
        <v/>
      </c>
      <c r="G2306">
        <f>IF(ABS(F2306-ROUND(F2306,0))&lt;0.001,1,0)</f>
        <v/>
      </c>
      <c r="H2306">
        <f>IF(G2306=1,F2306,CEILING(F2306,1))</f>
        <v/>
      </c>
      <c r="I2306">
        <f>IF(G2306=1,0,(H2306-F2306)*E2306)</f>
        <v/>
      </c>
      <c r="J2306">
        <f>E2306*F2306</f>
        <v/>
      </c>
    </row>
    <row r="2307">
      <c r="A2307">
        <f>Sources!A2307</f>
        <v/>
      </c>
      <c r="B2307">
        <f>Sources!B2307</f>
        <v/>
      </c>
      <c r="C2307">
        <f>Sources!D2307</f>
        <v/>
      </c>
      <c r="D2307">
        <f>Sources!E2307</f>
        <v/>
      </c>
      <c r="E2307">
        <f>Sources!F2307</f>
        <v/>
      </c>
      <c r="F2307">
        <f>Sources!H2307</f>
        <v/>
      </c>
      <c r="G2307">
        <f>IF(ABS(F2307-ROUND(F2307,0))&lt;0.001,1,0)</f>
        <v/>
      </c>
      <c r="H2307">
        <f>IF(G2307=1,F2307,CEILING(F2307,1))</f>
        <v/>
      </c>
      <c r="I2307">
        <f>IF(G2307=1,0,(H2307-F2307)*E2307)</f>
        <v/>
      </c>
      <c r="J2307">
        <f>E2307*F2307</f>
        <v/>
      </c>
    </row>
    <row r="2308">
      <c r="A2308">
        <f>Sources!A2308</f>
        <v/>
      </c>
      <c r="B2308">
        <f>Sources!B2308</f>
        <v/>
      </c>
      <c r="C2308">
        <f>Sources!D2308</f>
        <v/>
      </c>
      <c r="D2308">
        <f>Sources!E2308</f>
        <v/>
      </c>
      <c r="E2308">
        <f>Sources!F2308</f>
        <v/>
      </c>
      <c r="F2308">
        <f>Sources!H2308</f>
        <v/>
      </c>
      <c r="G2308">
        <f>IF(ABS(F2308-ROUND(F2308,0))&lt;0.001,1,0)</f>
        <v/>
      </c>
      <c r="H2308">
        <f>IF(G2308=1,F2308,CEILING(F2308,1))</f>
        <v/>
      </c>
      <c r="I2308">
        <f>IF(G2308=1,0,(H2308-F2308)*E2308)</f>
        <v/>
      </c>
      <c r="J2308">
        <f>E2308*F2308</f>
        <v/>
      </c>
    </row>
    <row r="2309">
      <c r="A2309">
        <f>Sources!A2309</f>
        <v/>
      </c>
      <c r="B2309">
        <f>Sources!B2309</f>
        <v/>
      </c>
      <c r="C2309">
        <f>Sources!D2309</f>
        <v/>
      </c>
      <c r="D2309">
        <f>Sources!E2309</f>
        <v/>
      </c>
      <c r="E2309">
        <f>Sources!F2309</f>
        <v/>
      </c>
      <c r="F2309">
        <f>Sources!H2309</f>
        <v/>
      </c>
      <c r="G2309">
        <f>IF(ABS(F2309-ROUND(F2309,0))&lt;0.001,1,0)</f>
        <v/>
      </c>
      <c r="H2309">
        <f>IF(G2309=1,F2309,CEILING(F2309,1))</f>
        <v/>
      </c>
      <c r="I2309">
        <f>IF(G2309=1,0,(H2309-F2309)*E2309)</f>
        <v/>
      </c>
      <c r="J2309">
        <f>E2309*F2309</f>
        <v/>
      </c>
    </row>
    <row r="2310">
      <c r="A2310">
        <f>Sources!A2310</f>
        <v/>
      </c>
      <c r="B2310">
        <f>Sources!B2310</f>
        <v/>
      </c>
      <c r="C2310">
        <f>Sources!D2310</f>
        <v/>
      </c>
      <c r="D2310">
        <f>Sources!E2310</f>
        <v/>
      </c>
      <c r="E2310">
        <f>Sources!F2310</f>
        <v/>
      </c>
      <c r="F2310">
        <f>Sources!H2310</f>
        <v/>
      </c>
      <c r="G2310">
        <f>IF(ABS(F2310-ROUND(F2310,0))&lt;0.001,1,0)</f>
        <v/>
      </c>
      <c r="H2310">
        <f>IF(G2310=1,F2310,CEILING(F2310,1))</f>
        <v/>
      </c>
      <c r="I2310">
        <f>IF(G2310=1,0,(H2310-F2310)*E2310)</f>
        <v/>
      </c>
      <c r="J2310">
        <f>E2310*F2310</f>
        <v/>
      </c>
    </row>
    <row r="2311">
      <c r="A2311">
        <f>Sources!A2311</f>
        <v/>
      </c>
      <c r="B2311">
        <f>Sources!B2311</f>
        <v/>
      </c>
      <c r="C2311">
        <f>Sources!D2311</f>
        <v/>
      </c>
      <c r="D2311">
        <f>Sources!E2311</f>
        <v/>
      </c>
      <c r="E2311">
        <f>Sources!F2311</f>
        <v/>
      </c>
      <c r="F2311">
        <f>Sources!H2311</f>
        <v/>
      </c>
      <c r="G2311">
        <f>IF(ABS(F2311-ROUND(F2311,0))&lt;0.001,1,0)</f>
        <v/>
      </c>
      <c r="H2311">
        <f>IF(G2311=1,F2311,CEILING(F2311,1))</f>
        <v/>
      </c>
      <c r="I2311">
        <f>IF(G2311=1,0,(H2311-F2311)*E2311)</f>
        <v/>
      </c>
      <c r="J2311">
        <f>E2311*F2311</f>
        <v/>
      </c>
    </row>
    <row r="2312">
      <c r="A2312">
        <f>Sources!A2312</f>
        <v/>
      </c>
      <c r="B2312">
        <f>Sources!B2312</f>
        <v/>
      </c>
      <c r="C2312">
        <f>Sources!D2312</f>
        <v/>
      </c>
      <c r="D2312">
        <f>Sources!E2312</f>
        <v/>
      </c>
      <c r="E2312">
        <f>Sources!F2312</f>
        <v/>
      </c>
      <c r="F2312">
        <f>Sources!H2312</f>
        <v/>
      </c>
      <c r="G2312">
        <f>IF(ABS(F2312-ROUND(F2312,0))&lt;0.001,1,0)</f>
        <v/>
      </c>
      <c r="H2312">
        <f>IF(G2312=1,F2312,CEILING(F2312,1))</f>
        <v/>
      </c>
      <c r="I2312">
        <f>IF(G2312=1,0,(H2312-F2312)*E2312)</f>
        <v/>
      </c>
      <c r="J2312">
        <f>E2312*F2312</f>
        <v/>
      </c>
    </row>
    <row r="2313">
      <c r="A2313">
        <f>Sources!A2313</f>
        <v/>
      </c>
      <c r="B2313">
        <f>Sources!B2313</f>
        <v/>
      </c>
      <c r="C2313">
        <f>Sources!D2313</f>
        <v/>
      </c>
      <c r="D2313">
        <f>Sources!E2313</f>
        <v/>
      </c>
      <c r="E2313">
        <f>Sources!F2313</f>
        <v/>
      </c>
      <c r="F2313">
        <f>Sources!H2313</f>
        <v/>
      </c>
      <c r="G2313">
        <f>IF(ABS(F2313-ROUND(F2313,0))&lt;0.001,1,0)</f>
        <v/>
      </c>
      <c r="H2313">
        <f>IF(G2313=1,F2313,CEILING(F2313,1))</f>
        <v/>
      </c>
      <c r="I2313">
        <f>IF(G2313=1,0,(H2313-F2313)*E2313)</f>
        <v/>
      </c>
      <c r="J2313">
        <f>E2313*F2313</f>
        <v/>
      </c>
    </row>
    <row r="2314">
      <c r="A2314">
        <f>Sources!A2314</f>
        <v/>
      </c>
      <c r="B2314">
        <f>Sources!B2314</f>
        <v/>
      </c>
      <c r="C2314">
        <f>Sources!D2314</f>
        <v/>
      </c>
      <c r="D2314">
        <f>Sources!E2314</f>
        <v/>
      </c>
      <c r="E2314">
        <f>Sources!F2314</f>
        <v/>
      </c>
      <c r="F2314">
        <f>Sources!H2314</f>
        <v/>
      </c>
      <c r="G2314">
        <f>IF(ABS(F2314-ROUND(F2314,0))&lt;0.001,1,0)</f>
        <v/>
      </c>
      <c r="H2314">
        <f>IF(G2314=1,F2314,CEILING(F2314,1))</f>
        <v/>
      </c>
      <c r="I2314">
        <f>IF(G2314=1,0,(H2314-F2314)*E2314)</f>
        <v/>
      </c>
      <c r="J2314">
        <f>E2314*F2314</f>
        <v/>
      </c>
    </row>
    <row r="2315">
      <c r="A2315">
        <f>Sources!A2315</f>
        <v/>
      </c>
      <c r="B2315">
        <f>Sources!B2315</f>
        <v/>
      </c>
      <c r="C2315">
        <f>Sources!D2315</f>
        <v/>
      </c>
      <c r="D2315">
        <f>Sources!E2315</f>
        <v/>
      </c>
      <c r="E2315">
        <f>Sources!F2315</f>
        <v/>
      </c>
      <c r="F2315">
        <f>Sources!H2315</f>
        <v/>
      </c>
      <c r="G2315">
        <f>IF(ABS(F2315-ROUND(F2315,0))&lt;0.001,1,0)</f>
        <v/>
      </c>
      <c r="H2315">
        <f>IF(G2315=1,F2315,CEILING(F2315,1))</f>
        <v/>
      </c>
      <c r="I2315">
        <f>IF(G2315=1,0,(H2315-F2315)*E2315)</f>
        <v/>
      </c>
      <c r="J2315">
        <f>E2315*F2315</f>
        <v/>
      </c>
    </row>
    <row r="2316">
      <c r="A2316">
        <f>Sources!A2316</f>
        <v/>
      </c>
      <c r="B2316">
        <f>Sources!B2316</f>
        <v/>
      </c>
      <c r="C2316">
        <f>Sources!D2316</f>
        <v/>
      </c>
      <c r="D2316">
        <f>Sources!E2316</f>
        <v/>
      </c>
      <c r="E2316">
        <f>Sources!F2316</f>
        <v/>
      </c>
      <c r="F2316">
        <f>Sources!H2316</f>
        <v/>
      </c>
      <c r="G2316">
        <f>IF(ABS(F2316-ROUND(F2316,0))&lt;0.001,1,0)</f>
        <v/>
      </c>
      <c r="H2316">
        <f>IF(G2316=1,F2316,CEILING(F2316,1))</f>
        <v/>
      </c>
      <c r="I2316">
        <f>IF(G2316=1,0,(H2316-F2316)*E2316)</f>
        <v/>
      </c>
      <c r="J2316">
        <f>E2316*F2316</f>
        <v/>
      </c>
    </row>
    <row r="2317">
      <c r="A2317">
        <f>Sources!A2317</f>
        <v/>
      </c>
      <c r="B2317">
        <f>Sources!B2317</f>
        <v/>
      </c>
      <c r="C2317">
        <f>Sources!D2317</f>
        <v/>
      </c>
      <c r="D2317">
        <f>Sources!E2317</f>
        <v/>
      </c>
      <c r="E2317">
        <f>Sources!F2317</f>
        <v/>
      </c>
      <c r="F2317">
        <f>Sources!H2317</f>
        <v/>
      </c>
      <c r="G2317">
        <f>IF(ABS(F2317-ROUND(F2317,0))&lt;0.001,1,0)</f>
        <v/>
      </c>
      <c r="H2317">
        <f>IF(G2317=1,F2317,CEILING(F2317,1))</f>
        <v/>
      </c>
      <c r="I2317">
        <f>IF(G2317=1,0,(H2317-F2317)*E2317)</f>
        <v/>
      </c>
      <c r="J2317">
        <f>E2317*F2317</f>
        <v/>
      </c>
    </row>
    <row r="2318">
      <c r="A2318">
        <f>Sources!A2318</f>
        <v/>
      </c>
      <c r="B2318">
        <f>Sources!B2318</f>
        <v/>
      </c>
      <c r="C2318">
        <f>Sources!D2318</f>
        <v/>
      </c>
      <c r="D2318">
        <f>Sources!E2318</f>
        <v/>
      </c>
      <c r="E2318">
        <f>Sources!F2318</f>
        <v/>
      </c>
      <c r="F2318">
        <f>Sources!H2318</f>
        <v/>
      </c>
      <c r="G2318">
        <f>IF(ABS(F2318-ROUND(F2318,0))&lt;0.001,1,0)</f>
        <v/>
      </c>
      <c r="H2318">
        <f>IF(G2318=1,F2318,CEILING(F2318,1))</f>
        <v/>
      </c>
      <c r="I2318">
        <f>IF(G2318=1,0,(H2318-F2318)*E2318)</f>
        <v/>
      </c>
      <c r="J2318">
        <f>E2318*F2318</f>
        <v/>
      </c>
    </row>
    <row r="2319">
      <c r="A2319">
        <f>Sources!A2319</f>
        <v/>
      </c>
      <c r="B2319">
        <f>Sources!B2319</f>
        <v/>
      </c>
      <c r="C2319">
        <f>Sources!D2319</f>
        <v/>
      </c>
      <c r="D2319">
        <f>Sources!E2319</f>
        <v/>
      </c>
      <c r="E2319">
        <f>Sources!F2319</f>
        <v/>
      </c>
      <c r="F2319">
        <f>Sources!H2319</f>
        <v/>
      </c>
      <c r="G2319">
        <f>IF(ABS(F2319-ROUND(F2319,0))&lt;0.001,1,0)</f>
        <v/>
      </c>
      <c r="H2319">
        <f>IF(G2319=1,F2319,CEILING(F2319,1))</f>
        <v/>
      </c>
      <c r="I2319">
        <f>IF(G2319=1,0,(H2319-F2319)*E2319)</f>
        <v/>
      </c>
      <c r="J2319">
        <f>E2319*F2319</f>
        <v/>
      </c>
    </row>
    <row r="2320">
      <c r="A2320">
        <f>Sources!A2320</f>
        <v/>
      </c>
      <c r="B2320">
        <f>Sources!B2320</f>
        <v/>
      </c>
      <c r="C2320">
        <f>Sources!D2320</f>
        <v/>
      </c>
      <c r="D2320">
        <f>Sources!E2320</f>
        <v/>
      </c>
      <c r="E2320">
        <f>Sources!F2320</f>
        <v/>
      </c>
      <c r="F2320">
        <f>Sources!H2320</f>
        <v/>
      </c>
      <c r="G2320">
        <f>IF(ABS(F2320-ROUND(F2320,0))&lt;0.001,1,0)</f>
        <v/>
      </c>
      <c r="H2320">
        <f>IF(G2320=1,F2320,CEILING(F2320,1))</f>
        <v/>
      </c>
      <c r="I2320">
        <f>IF(G2320=1,0,(H2320-F2320)*E2320)</f>
        <v/>
      </c>
      <c r="J2320">
        <f>E2320*F2320</f>
        <v/>
      </c>
    </row>
    <row r="2321">
      <c r="A2321">
        <f>Sources!A2321</f>
        <v/>
      </c>
      <c r="B2321">
        <f>Sources!B2321</f>
        <v/>
      </c>
      <c r="C2321">
        <f>Sources!D2321</f>
        <v/>
      </c>
      <c r="D2321">
        <f>Sources!E2321</f>
        <v/>
      </c>
      <c r="E2321">
        <f>Sources!F2321</f>
        <v/>
      </c>
      <c r="F2321">
        <f>Sources!H2321</f>
        <v/>
      </c>
      <c r="G2321">
        <f>IF(ABS(F2321-ROUND(F2321,0))&lt;0.001,1,0)</f>
        <v/>
      </c>
      <c r="H2321">
        <f>IF(G2321=1,F2321,CEILING(F2321,1))</f>
        <v/>
      </c>
      <c r="I2321">
        <f>IF(G2321=1,0,(H2321-F2321)*E2321)</f>
        <v/>
      </c>
      <c r="J2321">
        <f>E2321*F2321</f>
        <v/>
      </c>
    </row>
    <row r="2322">
      <c r="A2322">
        <f>Sources!A2322</f>
        <v/>
      </c>
      <c r="B2322">
        <f>Sources!B2322</f>
        <v/>
      </c>
      <c r="C2322">
        <f>Sources!D2322</f>
        <v/>
      </c>
      <c r="D2322">
        <f>Sources!E2322</f>
        <v/>
      </c>
      <c r="E2322">
        <f>Sources!F2322</f>
        <v/>
      </c>
      <c r="F2322">
        <f>Sources!H2322</f>
        <v/>
      </c>
      <c r="G2322">
        <f>IF(ABS(F2322-ROUND(F2322,0))&lt;0.001,1,0)</f>
        <v/>
      </c>
      <c r="H2322">
        <f>IF(G2322=1,F2322,CEILING(F2322,1))</f>
        <v/>
      </c>
      <c r="I2322">
        <f>IF(G2322=1,0,(H2322-F2322)*E2322)</f>
        <v/>
      </c>
      <c r="J2322">
        <f>E2322*F2322</f>
        <v/>
      </c>
    </row>
    <row r="2323">
      <c r="A2323">
        <f>Sources!A2323</f>
        <v/>
      </c>
      <c r="B2323">
        <f>Sources!B2323</f>
        <v/>
      </c>
      <c r="C2323">
        <f>Sources!D2323</f>
        <v/>
      </c>
      <c r="D2323">
        <f>Sources!E2323</f>
        <v/>
      </c>
      <c r="E2323">
        <f>Sources!F2323</f>
        <v/>
      </c>
      <c r="F2323">
        <f>Sources!H2323</f>
        <v/>
      </c>
      <c r="G2323">
        <f>IF(ABS(F2323-ROUND(F2323,0))&lt;0.001,1,0)</f>
        <v/>
      </c>
      <c r="H2323">
        <f>IF(G2323=1,F2323,CEILING(F2323,1))</f>
        <v/>
      </c>
      <c r="I2323">
        <f>IF(G2323=1,0,(H2323-F2323)*E2323)</f>
        <v/>
      </c>
      <c r="J2323">
        <f>E2323*F2323</f>
        <v/>
      </c>
    </row>
    <row r="2324">
      <c r="A2324">
        <f>Sources!A2324</f>
        <v/>
      </c>
      <c r="B2324">
        <f>Sources!B2324</f>
        <v/>
      </c>
      <c r="C2324">
        <f>Sources!D2324</f>
        <v/>
      </c>
      <c r="D2324">
        <f>Sources!E2324</f>
        <v/>
      </c>
      <c r="E2324">
        <f>Sources!F2324</f>
        <v/>
      </c>
      <c r="F2324">
        <f>Sources!H2324</f>
        <v/>
      </c>
      <c r="G2324">
        <f>IF(ABS(F2324-ROUND(F2324,0))&lt;0.001,1,0)</f>
        <v/>
      </c>
      <c r="H2324">
        <f>IF(G2324=1,F2324,CEILING(F2324,1))</f>
        <v/>
      </c>
      <c r="I2324">
        <f>IF(G2324=1,0,(H2324-F2324)*E2324)</f>
        <v/>
      </c>
      <c r="J2324">
        <f>E2324*F2324</f>
        <v/>
      </c>
    </row>
    <row r="2325">
      <c r="A2325">
        <f>Sources!A2325</f>
        <v/>
      </c>
      <c r="B2325">
        <f>Sources!B2325</f>
        <v/>
      </c>
      <c r="C2325">
        <f>Sources!D2325</f>
        <v/>
      </c>
      <c r="D2325">
        <f>Sources!E2325</f>
        <v/>
      </c>
      <c r="E2325">
        <f>Sources!F2325</f>
        <v/>
      </c>
      <c r="F2325">
        <f>Sources!H2325</f>
        <v/>
      </c>
      <c r="G2325">
        <f>IF(ABS(F2325-ROUND(F2325,0))&lt;0.001,1,0)</f>
        <v/>
      </c>
      <c r="H2325">
        <f>IF(G2325=1,F2325,CEILING(F2325,1))</f>
        <v/>
      </c>
      <c r="I2325">
        <f>IF(G2325=1,0,(H2325-F2325)*E2325)</f>
        <v/>
      </c>
      <c r="J2325">
        <f>E2325*F2325</f>
        <v/>
      </c>
    </row>
    <row r="2326">
      <c r="A2326">
        <f>Sources!A2326</f>
        <v/>
      </c>
      <c r="B2326">
        <f>Sources!B2326</f>
        <v/>
      </c>
      <c r="C2326">
        <f>Sources!D2326</f>
        <v/>
      </c>
      <c r="D2326">
        <f>Sources!E2326</f>
        <v/>
      </c>
      <c r="E2326">
        <f>Sources!F2326</f>
        <v/>
      </c>
      <c r="F2326">
        <f>Sources!H2326</f>
        <v/>
      </c>
      <c r="G2326">
        <f>IF(ABS(F2326-ROUND(F2326,0))&lt;0.001,1,0)</f>
        <v/>
      </c>
      <c r="H2326">
        <f>IF(G2326=1,F2326,CEILING(F2326,1))</f>
        <v/>
      </c>
      <c r="I2326">
        <f>IF(G2326=1,0,(H2326-F2326)*E2326)</f>
        <v/>
      </c>
      <c r="J2326">
        <f>E2326*F2326</f>
        <v/>
      </c>
    </row>
    <row r="2327">
      <c r="A2327">
        <f>Sources!A2327</f>
        <v/>
      </c>
      <c r="B2327">
        <f>Sources!B2327</f>
        <v/>
      </c>
      <c r="C2327">
        <f>Sources!D2327</f>
        <v/>
      </c>
      <c r="D2327">
        <f>Sources!E2327</f>
        <v/>
      </c>
      <c r="E2327">
        <f>Sources!F2327</f>
        <v/>
      </c>
      <c r="F2327">
        <f>Sources!H2327</f>
        <v/>
      </c>
      <c r="G2327">
        <f>IF(ABS(F2327-ROUND(F2327,0))&lt;0.001,1,0)</f>
        <v/>
      </c>
      <c r="H2327">
        <f>IF(G2327=1,F2327,CEILING(F2327,1))</f>
        <v/>
      </c>
      <c r="I2327">
        <f>IF(G2327=1,0,(H2327-F2327)*E2327)</f>
        <v/>
      </c>
      <c r="J2327">
        <f>E2327*F2327</f>
        <v/>
      </c>
    </row>
    <row r="2328">
      <c r="A2328">
        <f>Sources!A2328</f>
        <v/>
      </c>
      <c r="B2328">
        <f>Sources!B2328</f>
        <v/>
      </c>
      <c r="C2328">
        <f>Sources!D2328</f>
        <v/>
      </c>
      <c r="D2328">
        <f>Sources!E2328</f>
        <v/>
      </c>
      <c r="E2328">
        <f>Sources!F2328</f>
        <v/>
      </c>
      <c r="F2328">
        <f>Sources!H2328</f>
        <v/>
      </c>
      <c r="G2328">
        <f>IF(ABS(F2328-ROUND(F2328,0))&lt;0.001,1,0)</f>
        <v/>
      </c>
      <c r="H2328">
        <f>IF(G2328=1,F2328,CEILING(F2328,1))</f>
        <v/>
      </c>
      <c r="I2328">
        <f>IF(G2328=1,0,(H2328-F2328)*E2328)</f>
        <v/>
      </c>
      <c r="J2328">
        <f>E2328*F2328</f>
        <v/>
      </c>
    </row>
    <row r="2329">
      <c r="A2329">
        <f>Sources!A2329</f>
        <v/>
      </c>
      <c r="B2329">
        <f>Sources!B2329</f>
        <v/>
      </c>
      <c r="C2329">
        <f>Sources!D2329</f>
        <v/>
      </c>
      <c r="D2329">
        <f>Sources!E2329</f>
        <v/>
      </c>
      <c r="E2329">
        <f>Sources!F2329</f>
        <v/>
      </c>
      <c r="F2329">
        <f>Sources!H2329</f>
        <v/>
      </c>
      <c r="G2329">
        <f>IF(ABS(F2329-ROUND(F2329,0))&lt;0.001,1,0)</f>
        <v/>
      </c>
      <c r="H2329">
        <f>IF(G2329=1,F2329,CEILING(F2329,1))</f>
        <v/>
      </c>
      <c r="I2329">
        <f>IF(G2329=1,0,(H2329-F2329)*E2329)</f>
        <v/>
      </c>
      <c r="J2329">
        <f>E2329*F2329</f>
        <v/>
      </c>
    </row>
    <row r="2330">
      <c r="A2330">
        <f>Sources!A2330</f>
        <v/>
      </c>
      <c r="B2330">
        <f>Sources!B2330</f>
        <v/>
      </c>
      <c r="C2330">
        <f>Sources!D2330</f>
        <v/>
      </c>
      <c r="D2330">
        <f>Sources!E2330</f>
        <v/>
      </c>
      <c r="E2330">
        <f>Sources!F2330</f>
        <v/>
      </c>
      <c r="F2330">
        <f>Sources!H2330</f>
        <v/>
      </c>
      <c r="G2330">
        <f>IF(ABS(F2330-ROUND(F2330,0))&lt;0.001,1,0)</f>
        <v/>
      </c>
      <c r="H2330">
        <f>IF(G2330=1,F2330,CEILING(F2330,1))</f>
        <v/>
      </c>
      <c r="I2330">
        <f>IF(G2330=1,0,(H2330-F2330)*E2330)</f>
        <v/>
      </c>
      <c r="J2330">
        <f>E2330*F2330</f>
        <v/>
      </c>
    </row>
    <row r="2331">
      <c r="A2331">
        <f>Sources!A2331</f>
        <v/>
      </c>
      <c r="B2331">
        <f>Sources!B2331</f>
        <v/>
      </c>
      <c r="C2331">
        <f>Sources!D2331</f>
        <v/>
      </c>
      <c r="D2331">
        <f>Sources!E2331</f>
        <v/>
      </c>
      <c r="E2331">
        <f>Sources!F2331</f>
        <v/>
      </c>
      <c r="F2331">
        <f>Sources!H2331</f>
        <v/>
      </c>
      <c r="G2331">
        <f>IF(ABS(F2331-ROUND(F2331,0))&lt;0.001,1,0)</f>
        <v/>
      </c>
      <c r="H2331">
        <f>IF(G2331=1,F2331,CEILING(F2331,1))</f>
        <v/>
      </c>
      <c r="I2331">
        <f>IF(G2331=1,0,(H2331-F2331)*E2331)</f>
        <v/>
      </c>
      <c r="J2331">
        <f>E2331*F2331</f>
        <v/>
      </c>
    </row>
    <row r="2332">
      <c r="A2332">
        <f>Sources!A2332</f>
        <v/>
      </c>
      <c r="B2332">
        <f>Sources!B2332</f>
        <v/>
      </c>
      <c r="C2332">
        <f>Sources!D2332</f>
        <v/>
      </c>
      <c r="D2332">
        <f>Sources!E2332</f>
        <v/>
      </c>
      <c r="E2332">
        <f>Sources!F2332</f>
        <v/>
      </c>
      <c r="F2332">
        <f>Sources!H2332</f>
        <v/>
      </c>
      <c r="G2332">
        <f>IF(ABS(F2332-ROUND(F2332,0))&lt;0.001,1,0)</f>
        <v/>
      </c>
      <c r="H2332">
        <f>IF(G2332=1,F2332,CEILING(F2332,1))</f>
        <v/>
      </c>
      <c r="I2332">
        <f>IF(G2332=1,0,(H2332-F2332)*E2332)</f>
        <v/>
      </c>
      <c r="J2332">
        <f>E2332*F2332</f>
        <v/>
      </c>
    </row>
    <row r="2333">
      <c r="A2333">
        <f>Sources!A2333</f>
        <v/>
      </c>
      <c r="B2333">
        <f>Sources!B2333</f>
        <v/>
      </c>
      <c r="C2333">
        <f>Sources!D2333</f>
        <v/>
      </c>
      <c r="D2333">
        <f>Sources!E2333</f>
        <v/>
      </c>
      <c r="E2333">
        <f>Sources!F2333</f>
        <v/>
      </c>
      <c r="F2333">
        <f>Sources!H2333</f>
        <v/>
      </c>
      <c r="G2333">
        <f>IF(ABS(F2333-ROUND(F2333,0))&lt;0.001,1,0)</f>
        <v/>
      </c>
      <c r="H2333">
        <f>IF(G2333=1,F2333,CEILING(F2333,1))</f>
        <v/>
      </c>
      <c r="I2333">
        <f>IF(G2333=1,0,(H2333-F2333)*E2333)</f>
        <v/>
      </c>
      <c r="J2333">
        <f>E2333*F2333</f>
        <v/>
      </c>
    </row>
    <row r="2334">
      <c r="A2334">
        <f>Sources!A2334</f>
        <v/>
      </c>
      <c r="B2334">
        <f>Sources!B2334</f>
        <v/>
      </c>
      <c r="C2334">
        <f>Sources!D2334</f>
        <v/>
      </c>
      <c r="D2334">
        <f>Sources!E2334</f>
        <v/>
      </c>
      <c r="E2334">
        <f>Sources!F2334</f>
        <v/>
      </c>
      <c r="F2334">
        <f>Sources!H2334</f>
        <v/>
      </c>
      <c r="G2334">
        <f>IF(ABS(F2334-ROUND(F2334,0))&lt;0.001,1,0)</f>
        <v/>
      </c>
      <c r="H2334">
        <f>IF(G2334=1,F2334,CEILING(F2334,1))</f>
        <v/>
      </c>
      <c r="I2334">
        <f>IF(G2334=1,0,(H2334-F2334)*E2334)</f>
        <v/>
      </c>
      <c r="J2334">
        <f>E2334*F2334</f>
        <v/>
      </c>
    </row>
    <row r="2335">
      <c r="A2335">
        <f>Sources!A2335</f>
        <v/>
      </c>
      <c r="B2335">
        <f>Sources!B2335</f>
        <v/>
      </c>
      <c r="C2335">
        <f>Sources!D2335</f>
        <v/>
      </c>
      <c r="D2335">
        <f>Sources!E2335</f>
        <v/>
      </c>
      <c r="E2335">
        <f>Sources!F2335</f>
        <v/>
      </c>
      <c r="F2335">
        <f>Sources!H2335</f>
        <v/>
      </c>
      <c r="G2335">
        <f>IF(ABS(F2335-ROUND(F2335,0))&lt;0.001,1,0)</f>
        <v/>
      </c>
      <c r="H2335">
        <f>IF(G2335=1,F2335,CEILING(F2335,1))</f>
        <v/>
      </c>
      <c r="I2335">
        <f>IF(G2335=1,0,(H2335-F2335)*E2335)</f>
        <v/>
      </c>
      <c r="J2335">
        <f>E2335*F2335</f>
        <v/>
      </c>
    </row>
    <row r="2336">
      <c r="A2336">
        <f>Sources!A2336</f>
        <v/>
      </c>
      <c r="B2336">
        <f>Sources!B2336</f>
        <v/>
      </c>
      <c r="C2336">
        <f>Sources!D2336</f>
        <v/>
      </c>
      <c r="D2336">
        <f>Sources!E2336</f>
        <v/>
      </c>
      <c r="E2336">
        <f>Sources!F2336</f>
        <v/>
      </c>
      <c r="F2336">
        <f>Sources!H2336</f>
        <v/>
      </c>
      <c r="G2336">
        <f>IF(ABS(F2336-ROUND(F2336,0))&lt;0.001,1,0)</f>
        <v/>
      </c>
      <c r="H2336">
        <f>IF(G2336=1,F2336,CEILING(F2336,1))</f>
        <v/>
      </c>
      <c r="I2336">
        <f>IF(G2336=1,0,(H2336-F2336)*E2336)</f>
        <v/>
      </c>
      <c r="J2336">
        <f>E2336*F2336</f>
        <v/>
      </c>
    </row>
    <row r="2337">
      <c r="A2337">
        <f>Sources!A2337</f>
        <v/>
      </c>
      <c r="B2337">
        <f>Sources!B2337</f>
        <v/>
      </c>
      <c r="C2337">
        <f>Sources!D2337</f>
        <v/>
      </c>
      <c r="D2337">
        <f>Sources!E2337</f>
        <v/>
      </c>
      <c r="E2337">
        <f>Sources!F2337</f>
        <v/>
      </c>
      <c r="F2337">
        <f>Sources!H2337</f>
        <v/>
      </c>
      <c r="G2337">
        <f>IF(ABS(F2337-ROUND(F2337,0))&lt;0.001,1,0)</f>
        <v/>
      </c>
      <c r="H2337">
        <f>IF(G2337=1,F2337,CEILING(F2337,1))</f>
        <v/>
      </c>
      <c r="I2337">
        <f>IF(G2337=1,0,(H2337-F2337)*E2337)</f>
        <v/>
      </c>
      <c r="J2337">
        <f>E2337*F2337</f>
        <v/>
      </c>
    </row>
    <row r="2338">
      <c r="A2338">
        <f>Sources!A2338</f>
        <v/>
      </c>
      <c r="B2338">
        <f>Sources!B2338</f>
        <v/>
      </c>
      <c r="C2338">
        <f>Sources!D2338</f>
        <v/>
      </c>
      <c r="D2338">
        <f>Sources!E2338</f>
        <v/>
      </c>
      <c r="E2338">
        <f>Sources!F2338</f>
        <v/>
      </c>
      <c r="F2338">
        <f>Sources!H2338</f>
        <v/>
      </c>
      <c r="G2338">
        <f>IF(ABS(F2338-ROUND(F2338,0))&lt;0.001,1,0)</f>
        <v/>
      </c>
      <c r="H2338">
        <f>IF(G2338=1,F2338,CEILING(F2338,1))</f>
        <v/>
      </c>
      <c r="I2338">
        <f>IF(G2338=1,0,(H2338-F2338)*E2338)</f>
        <v/>
      </c>
      <c r="J2338">
        <f>E2338*F2338</f>
        <v/>
      </c>
    </row>
    <row r="2339">
      <c r="A2339">
        <f>Sources!A2339</f>
        <v/>
      </c>
      <c r="B2339">
        <f>Sources!B2339</f>
        <v/>
      </c>
      <c r="C2339">
        <f>Sources!D2339</f>
        <v/>
      </c>
      <c r="D2339">
        <f>Sources!E2339</f>
        <v/>
      </c>
      <c r="E2339">
        <f>Sources!F2339</f>
        <v/>
      </c>
      <c r="F2339">
        <f>Sources!H2339</f>
        <v/>
      </c>
      <c r="G2339">
        <f>IF(ABS(F2339-ROUND(F2339,0))&lt;0.001,1,0)</f>
        <v/>
      </c>
      <c r="H2339">
        <f>IF(G2339=1,F2339,CEILING(F2339,1))</f>
        <v/>
      </c>
      <c r="I2339">
        <f>IF(G2339=1,0,(H2339-F2339)*E2339)</f>
        <v/>
      </c>
      <c r="J2339">
        <f>E2339*F2339</f>
        <v/>
      </c>
    </row>
    <row r="2340">
      <c r="A2340">
        <f>Sources!A2340</f>
        <v/>
      </c>
      <c r="B2340">
        <f>Sources!B2340</f>
        <v/>
      </c>
      <c r="C2340">
        <f>Sources!D2340</f>
        <v/>
      </c>
      <c r="D2340">
        <f>Sources!E2340</f>
        <v/>
      </c>
      <c r="E2340">
        <f>Sources!F2340</f>
        <v/>
      </c>
      <c r="F2340">
        <f>Sources!H2340</f>
        <v/>
      </c>
      <c r="G2340">
        <f>IF(ABS(F2340-ROUND(F2340,0))&lt;0.001,1,0)</f>
        <v/>
      </c>
      <c r="H2340">
        <f>IF(G2340=1,F2340,CEILING(F2340,1))</f>
        <v/>
      </c>
      <c r="I2340">
        <f>IF(G2340=1,0,(H2340-F2340)*E2340)</f>
        <v/>
      </c>
      <c r="J2340">
        <f>E2340*F2340</f>
        <v/>
      </c>
    </row>
    <row r="2341">
      <c r="A2341">
        <f>Sources!A2341</f>
        <v/>
      </c>
      <c r="B2341">
        <f>Sources!B2341</f>
        <v/>
      </c>
      <c r="C2341">
        <f>Sources!D2341</f>
        <v/>
      </c>
      <c r="D2341">
        <f>Sources!E2341</f>
        <v/>
      </c>
      <c r="E2341">
        <f>Sources!F2341</f>
        <v/>
      </c>
      <c r="F2341">
        <f>Sources!H2341</f>
        <v/>
      </c>
      <c r="G2341">
        <f>IF(ABS(F2341-ROUND(F2341,0))&lt;0.001,1,0)</f>
        <v/>
      </c>
      <c r="H2341">
        <f>IF(G2341=1,F2341,CEILING(F2341,1))</f>
        <v/>
      </c>
      <c r="I2341">
        <f>IF(G2341=1,0,(H2341-F2341)*E2341)</f>
        <v/>
      </c>
      <c r="J2341">
        <f>E2341*F2341</f>
        <v/>
      </c>
    </row>
    <row r="2342">
      <c r="A2342">
        <f>Sources!A2342</f>
        <v/>
      </c>
      <c r="B2342">
        <f>Sources!B2342</f>
        <v/>
      </c>
      <c r="C2342">
        <f>Sources!D2342</f>
        <v/>
      </c>
      <c r="D2342">
        <f>Sources!E2342</f>
        <v/>
      </c>
      <c r="E2342">
        <f>Sources!F2342</f>
        <v/>
      </c>
      <c r="F2342">
        <f>Sources!H2342</f>
        <v/>
      </c>
      <c r="G2342">
        <f>IF(ABS(F2342-ROUND(F2342,0))&lt;0.001,1,0)</f>
        <v/>
      </c>
      <c r="H2342">
        <f>IF(G2342=1,F2342,CEILING(F2342,1))</f>
        <v/>
      </c>
      <c r="I2342">
        <f>IF(G2342=1,0,(H2342-F2342)*E2342)</f>
        <v/>
      </c>
      <c r="J2342">
        <f>E2342*F2342</f>
        <v/>
      </c>
    </row>
    <row r="2343">
      <c r="A2343">
        <f>Sources!A2343</f>
        <v/>
      </c>
      <c r="B2343">
        <f>Sources!B2343</f>
        <v/>
      </c>
      <c r="C2343">
        <f>Sources!D2343</f>
        <v/>
      </c>
      <c r="D2343">
        <f>Sources!E2343</f>
        <v/>
      </c>
      <c r="E2343">
        <f>Sources!F2343</f>
        <v/>
      </c>
      <c r="F2343">
        <f>Sources!H2343</f>
        <v/>
      </c>
      <c r="G2343">
        <f>IF(ABS(F2343-ROUND(F2343,0))&lt;0.001,1,0)</f>
        <v/>
      </c>
      <c r="H2343">
        <f>IF(G2343=1,F2343,CEILING(F2343,1))</f>
        <v/>
      </c>
      <c r="I2343">
        <f>IF(G2343=1,0,(H2343-F2343)*E2343)</f>
        <v/>
      </c>
      <c r="J2343">
        <f>E2343*F2343</f>
        <v/>
      </c>
    </row>
    <row r="2344">
      <c r="A2344">
        <f>Sources!A2344</f>
        <v/>
      </c>
      <c r="B2344">
        <f>Sources!B2344</f>
        <v/>
      </c>
      <c r="C2344">
        <f>Sources!D2344</f>
        <v/>
      </c>
      <c r="D2344">
        <f>Sources!E2344</f>
        <v/>
      </c>
      <c r="E2344">
        <f>Sources!F2344</f>
        <v/>
      </c>
      <c r="F2344">
        <f>Sources!H2344</f>
        <v/>
      </c>
      <c r="G2344">
        <f>IF(ABS(F2344-ROUND(F2344,0))&lt;0.001,1,0)</f>
        <v/>
      </c>
      <c r="H2344">
        <f>IF(G2344=1,F2344,CEILING(F2344,1))</f>
        <v/>
      </c>
      <c r="I2344">
        <f>IF(G2344=1,0,(H2344-F2344)*E2344)</f>
        <v/>
      </c>
      <c r="J2344">
        <f>E2344*F2344</f>
        <v/>
      </c>
    </row>
    <row r="2345">
      <c r="A2345">
        <f>Sources!A2345</f>
        <v/>
      </c>
      <c r="B2345">
        <f>Sources!B2345</f>
        <v/>
      </c>
      <c r="C2345">
        <f>Sources!D2345</f>
        <v/>
      </c>
      <c r="D2345">
        <f>Sources!E2345</f>
        <v/>
      </c>
      <c r="E2345">
        <f>Sources!F2345</f>
        <v/>
      </c>
      <c r="F2345">
        <f>Sources!H2345</f>
        <v/>
      </c>
      <c r="G2345">
        <f>IF(ABS(F2345-ROUND(F2345,0))&lt;0.001,1,0)</f>
        <v/>
      </c>
      <c r="H2345">
        <f>IF(G2345=1,F2345,CEILING(F2345,1))</f>
        <v/>
      </c>
      <c r="I2345">
        <f>IF(G2345=1,0,(H2345-F2345)*E2345)</f>
        <v/>
      </c>
      <c r="J2345">
        <f>E2345*F2345</f>
        <v/>
      </c>
    </row>
    <row r="2346">
      <c r="A2346">
        <f>Sources!A2346</f>
        <v/>
      </c>
      <c r="B2346">
        <f>Sources!B2346</f>
        <v/>
      </c>
      <c r="C2346">
        <f>Sources!D2346</f>
        <v/>
      </c>
      <c r="D2346">
        <f>Sources!E2346</f>
        <v/>
      </c>
      <c r="E2346">
        <f>Sources!F2346</f>
        <v/>
      </c>
      <c r="F2346">
        <f>Sources!H2346</f>
        <v/>
      </c>
      <c r="G2346">
        <f>IF(ABS(F2346-ROUND(F2346,0))&lt;0.001,1,0)</f>
        <v/>
      </c>
      <c r="H2346">
        <f>IF(G2346=1,F2346,CEILING(F2346,1))</f>
        <v/>
      </c>
      <c r="I2346">
        <f>IF(G2346=1,0,(H2346-F2346)*E2346)</f>
        <v/>
      </c>
      <c r="J2346">
        <f>E2346*F2346</f>
        <v/>
      </c>
    </row>
    <row r="2347">
      <c r="A2347">
        <f>Sources!A2347</f>
        <v/>
      </c>
      <c r="B2347">
        <f>Sources!B2347</f>
        <v/>
      </c>
      <c r="C2347">
        <f>Sources!D2347</f>
        <v/>
      </c>
      <c r="D2347">
        <f>Sources!E2347</f>
        <v/>
      </c>
      <c r="E2347">
        <f>Sources!F2347</f>
        <v/>
      </c>
      <c r="F2347">
        <f>Sources!H2347</f>
        <v/>
      </c>
      <c r="G2347">
        <f>IF(ABS(F2347-ROUND(F2347,0))&lt;0.001,1,0)</f>
        <v/>
      </c>
      <c r="H2347">
        <f>IF(G2347=1,F2347,CEILING(F2347,1))</f>
        <v/>
      </c>
      <c r="I2347">
        <f>IF(G2347=1,0,(H2347-F2347)*E2347)</f>
        <v/>
      </c>
      <c r="J2347">
        <f>E2347*F2347</f>
        <v/>
      </c>
    </row>
    <row r="2348">
      <c r="A2348">
        <f>Sources!A2348</f>
        <v/>
      </c>
      <c r="B2348">
        <f>Sources!B2348</f>
        <v/>
      </c>
      <c r="C2348">
        <f>Sources!D2348</f>
        <v/>
      </c>
      <c r="D2348">
        <f>Sources!E2348</f>
        <v/>
      </c>
      <c r="E2348">
        <f>Sources!F2348</f>
        <v/>
      </c>
      <c r="F2348">
        <f>Sources!H2348</f>
        <v/>
      </c>
      <c r="G2348">
        <f>IF(ABS(F2348-ROUND(F2348,0))&lt;0.001,1,0)</f>
        <v/>
      </c>
      <c r="H2348">
        <f>IF(G2348=1,F2348,CEILING(F2348,1))</f>
        <v/>
      </c>
      <c r="I2348">
        <f>IF(G2348=1,0,(H2348-F2348)*E2348)</f>
        <v/>
      </c>
      <c r="J2348">
        <f>E2348*F2348</f>
        <v/>
      </c>
    </row>
    <row r="2349">
      <c r="A2349">
        <f>Sources!A2349</f>
        <v/>
      </c>
      <c r="B2349">
        <f>Sources!B2349</f>
        <v/>
      </c>
      <c r="C2349">
        <f>Sources!D2349</f>
        <v/>
      </c>
      <c r="D2349">
        <f>Sources!E2349</f>
        <v/>
      </c>
      <c r="E2349">
        <f>Sources!F2349</f>
        <v/>
      </c>
      <c r="F2349">
        <f>Sources!H2349</f>
        <v/>
      </c>
      <c r="G2349">
        <f>IF(ABS(F2349-ROUND(F2349,0))&lt;0.001,1,0)</f>
        <v/>
      </c>
      <c r="H2349">
        <f>IF(G2349=1,F2349,CEILING(F2349,1))</f>
        <v/>
      </c>
      <c r="I2349">
        <f>IF(G2349=1,0,(H2349-F2349)*E2349)</f>
        <v/>
      </c>
      <c r="J2349">
        <f>E2349*F2349</f>
        <v/>
      </c>
    </row>
    <row r="2350">
      <c r="A2350">
        <f>Sources!A2350</f>
        <v/>
      </c>
      <c r="B2350">
        <f>Sources!B2350</f>
        <v/>
      </c>
      <c r="C2350">
        <f>Sources!D2350</f>
        <v/>
      </c>
      <c r="D2350">
        <f>Sources!E2350</f>
        <v/>
      </c>
      <c r="E2350">
        <f>Sources!F2350</f>
        <v/>
      </c>
      <c r="F2350">
        <f>Sources!H2350</f>
        <v/>
      </c>
      <c r="G2350">
        <f>IF(ABS(F2350-ROUND(F2350,0))&lt;0.001,1,0)</f>
        <v/>
      </c>
      <c r="H2350">
        <f>IF(G2350=1,F2350,CEILING(F2350,1))</f>
        <v/>
      </c>
      <c r="I2350">
        <f>IF(G2350=1,0,(H2350-F2350)*E2350)</f>
        <v/>
      </c>
      <c r="J2350">
        <f>E2350*F2350</f>
        <v/>
      </c>
    </row>
    <row r="2351">
      <c r="A2351">
        <f>Sources!A2351</f>
        <v/>
      </c>
      <c r="B2351">
        <f>Sources!B2351</f>
        <v/>
      </c>
      <c r="C2351">
        <f>Sources!D2351</f>
        <v/>
      </c>
      <c r="D2351">
        <f>Sources!E2351</f>
        <v/>
      </c>
      <c r="E2351">
        <f>Sources!F2351</f>
        <v/>
      </c>
      <c r="F2351">
        <f>Sources!H2351</f>
        <v/>
      </c>
      <c r="G2351">
        <f>IF(ABS(F2351-ROUND(F2351,0))&lt;0.001,1,0)</f>
        <v/>
      </c>
      <c r="H2351">
        <f>IF(G2351=1,F2351,CEILING(F2351,1))</f>
        <v/>
      </c>
      <c r="I2351">
        <f>IF(G2351=1,0,(H2351-F2351)*E2351)</f>
        <v/>
      </c>
      <c r="J2351">
        <f>E2351*F2351</f>
        <v/>
      </c>
    </row>
    <row r="2352">
      <c r="A2352">
        <f>Sources!A2352</f>
        <v/>
      </c>
      <c r="B2352">
        <f>Sources!B2352</f>
        <v/>
      </c>
      <c r="C2352">
        <f>Sources!D2352</f>
        <v/>
      </c>
      <c r="D2352">
        <f>Sources!E2352</f>
        <v/>
      </c>
      <c r="E2352">
        <f>Sources!F2352</f>
        <v/>
      </c>
      <c r="F2352">
        <f>Sources!H2352</f>
        <v/>
      </c>
      <c r="G2352">
        <f>IF(ABS(F2352-ROUND(F2352,0))&lt;0.001,1,0)</f>
        <v/>
      </c>
      <c r="H2352">
        <f>IF(G2352=1,F2352,CEILING(F2352,1))</f>
        <v/>
      </c>
      <c r="I2352">
        <f>IF(G2352=1,0,(H2352-F2352)*E2352)</f>
        <v/>
      </c>
      <c r="J2352">
        <f>E2352*F2352</f>
        <v/>
      </c>
    </row>
    <row r="2353">
      <c r="A2353">
        <f>Sources!A2353</f>
        <v/>
      </c>
      <c r="B2353">
        <f>Sources!B2353</f>
        <v/>
      </c>
      <c r="C2353">
        <f>Sources!D2353</f>
        <v/>
      </c>
      <c r="D2353">
        <f>Sources!E2353</f>
        <v/>
      </c>
      <c r="E2353">
        <f>Sources!F2353</f>
        <v/>
      </c>
      <c r="F2353">
        <f>Sources!H2353</f>
        <v/>
      </c>
      <c r="G2353">
        <f>IF(ABS(F2353-ROUND(F2353,0))&lt;0.001,1,0)</f>
        <v/>
      </c>
      <c r="H2353">
        <f>IF(G2353=1,F2353,CEILING(F2353,1))</f>
        <v/>
      </c>
      <c r="I2353">
        <f>IF(G2353=1,0,(H2353-F2353)*E2353)</f>
        <v/>
      </c>
      <c r="J2353">
        <f>E2353*F2353</f>
        <v/>
      </c>
    </row>
    <row r="2354">
      <c r="A2354">
        <f>Sources!A2354</f>
        <v/>
      </c>
      <c r="B2354">
        <f>Sources!B2354</f>
        <v/>
      </c>
      <c r="C2354">
        <f>Sources!D2354</f>
        <v/>
      </c>
      <c r="D2354">
        <f>Sources!E2354</f>
        <v/>
      </c>
      <c r="E2354">
        <f>Sources!F2354</f>
        <v/>
      </c>
      <c r="F2354">
        <f>Sources!H2354</f>
        <v/>
      </c>
      <c r="G2354">
        <f>IF(ABS(F2354-ROUND(F2354,0))&lt;0.001,1,0)</f>
        <v/>
      </c>
      <c r="H2354">
        <f>IF(G2354=1,F2354,CEILING(F2354,1))</f>
        <v/>
      </c>
      <c r="I2354">
        <f>IF(G2354=1,0,(H2354-F2354)*E2354)</f>
        <v/>
      </c>
      <c r="J2354">
        <f>E2354*F2354</f>
        <v/>
      </c>
    </row>
    <row r="2355">
      <c r="A2355">
        <f>Sources!A2355</f>
        <v/>
      </c>
      <c r="B2355">
        <f>Sources!B2355</f>
        <v/>
      </c>
      <c r="C2355">
        <f>Sources!D2355</f>
        <v/>
      </c>
      <c r="D2355">
        <f>Sources!E2355</f>
        <v/>
      </c>
      <c r="E2355">
        <f>Sources!F2355</f>
        <v/>
      </c>
      <c r="F2355">
        <f>Sources!H2355</f>
        <v/>
      </c>
      <c r="G2355">
        <f>IF(ABS(F2355-ROUND(F2355,0))&lt;0.001,1,0)</f>
        <v/>
      </c>
      <c r="H2355">
        <f>IF(G2355=1,F2355,CEILING(F2355,1))</f>
        <v/>
      </c>
      <c r="I2355">
        <f>IF(G2355=1,0,(H2355-F2355)*E2355)</f>
        <v/>
      </c>
      <c r="J2355">
        <f>E2355*F2355</f>
        <v/>
      </c>
    </row>
    <row r="2356">
      <c r="A2356">
        <f>Sources!A2356</f>
        <v/>
      </c>
      <c r="B2356">
        <f>Sources!B2356</f>
        <v/>
      </c>
      <c r="C2356">
        <f>Sources!D2356</f>
        <v/>
      </c>
      <c r="D2356">
        <f>Sources!E2356</f>
        <v/>
      </c>
      <c r="E2356">
        <f>Sources!F2356</f>
        <v/>
      </c>
      <c r="F2356">
        <f>Sources!H2356</f>
        <v/>
      </c>
      <c r="G2356">
        <f>IF(ABS(F2356-ROUND(F2356,0))&lt;0.001,1,0)</f>
        <v/>
      </c>
      <c r="H2356">
        <f>IF(G2356=1,F2356,CEILING(F2356,1))</f>
        <v/>
      </c>
      <c r="I2356">
        <f>IF(G2356=1,0,(H2356-F2356)*E2356)</f>
        <v/>
      </c>
      <c r="J2356">
        <f>E2356*F2356</f>
        <v/>
      </c>
    </row>
    <row r="2357">
      <c r="A2357">
        <f>Sources!A2357</f>
        <v/>
      </c>
      <c r="B2357">
        <f>Sources!B2357</f>
        <v/>
      </c>
      <c r="C2357">
        <f>Sources!D2357</f>
        <v/>
      </c>
      <c r="D2357">
        <f>Sources!E2357</f>
        <v/>
      </c>
      <c r="E2357">
        <f>Sources!F2357</f>
        <v/>
      </c>
      <c r="F2357">
        <f>Sources!H2357</f>
        <v/>
      </c>
      <c r="G2357">
        <f>IF(ABS(F2357-ROUND(F2357,0))&lt;0.001,1,0)</f>
        <v/>
      </c>
      <c r="H2357">
        <f>IF(G2357=1,F2357,CEILING(F2357,1))</f>
        <v/>
      </c>
      <c r="I2357">
        <f>IF(G2357=1,0,(H2357-F2357)*E2357)</f>
        <v/>
      </c>
      <c r="J2357">
        <f>E2357*F2357</f>
        <v/>
      </c>
    </row>
    <row r="2358">
      <c r="A2358">
        <f>Sources!A2358</f>
        <v/>
      </c>
      <c r="B2358">
        <f>Sources!B2358</f>
        <v/>
      </c>
      <c r="C2358">
        <f>Sources!D2358</f>
        <v/>
      </c>
      <c r="D2358">
        <f>Sources!E2358</f>
        <v/>
      </c>
      <c r="E2358">
        <f>Sources!F2358</f>
        <v/>
      </c>
      <c r="F2358">
        <f>Sources!H2358</f>
        <v/>
      </c>
      <c r="G2358">
        <f>IF(ABS(F2358-ROUND(F2358,0))&lt;0.001,1,0)</f>
        <v/>
      </c>
      <c r="H2358">
        <f>IF(G2358=1,F2358,CEILING(F2358,1))</f>
        <v/>
      </c>
      <c r="I2358">
        <f>IF(G2358=1,0,(H2358-F2358)*E2358)</f>
        <v/>
      </c>
      <c r="J2358">
        <f>E2358*F2358</f>
        <v/>
      </c>
    </row>
    <row r="2359">
      <c r="A2359">
        <f>Sources!A2359</f>
        <v/>
      </c>
      <c r="B2359">
        <f>Sources!B2359</f>
        <v/>
      </c>
      <c r="C2359">
        <f>Sources!D2359</f>
        <v/>
      </c>
      <c r="D2359">
        <f>Sources!E2359</f>
        <v/>
      </c>
      <c r="E2359">
        <f>Sources!F2359</f>
        <v/>
      </c>
      <c r="F2359">
        <f>Sources!H2359</f>
        <v/>
      </c>
      <c r="G2359">
        <f>IF(ABS(F2359-ROUND(F2359,0))&lt;0.001,1,0)</f>
        <v/>
      </c>
      <c r="H2359">
        <f>IF(G2359=1,F2359,CEILING(F2359,1))</f>
        <v/>
      </c>
      <c r="I2359">
        <f>IF(G2359=1,0,(H2359-F2359)*E2359)</f>
        <v/>
      </c>
      <c r="J2359">
        <f>E2359*F2359</f>
        <v/>
      </c>
    </row>
    <row r="2360">
      <c r="A2360">
        <f>Sources!A2360</f>
        <v/>
      </c>
      <c r="B2360">
        <f>Sources!B2360</f>
        <v/>
      </c>
      <c r="C2360">
        <f>Sources!D2360</f>
        <v/>
      </c>
      <c r="D2360">
        <f>Sources!E2360</f>
        <v/>
      </c>
      <c r="E2360">
        <f>Sources!F2360</f>
        <v/>
      </c>
      <c r="F2360">
        <f>Sources!H2360</f>
        <v/>
      </c>
      <c r="G2360">
        <f>IF(ABS(F2360-ROUND(F2360,0))&lt;0.001,1,0)</f>
        <v/>
      </c>
      <c r="H2360">
        <f>IF(G2360=1,F2360,CEILING(F2360,1))</f>
        <v/>
      </c>
      <c r="I2360">
        <f>IF(G2360=1,0,(H2360-F2360)*E2360)</f>
        <v/>
      </c>
      <c r="J2360">
        <f>E2360*F2360</f>
        <v/>
      </c>
    </row>
    <row r="2361">
      <c r="A2361">
        <f>Sources!A2361</f>
        <v/>
      </c>
      <c r="B2361">
        <f>Sources!B2361</f>
        <v/>
      </c>
      <c r="C2361">
        <f>Sources!D2361</f>
        <v/>
      </c>
      <c r="D2361">
        <f>Sources!E2361</f>
        <v/>
      </c>
      <c r="E2361">
        <f>Sources!F2361</f>
        <v/>
      </c>
      <c r="F2361">
        <f>Sources!H2361</f>
        <v/>
      </c>
      <c r="G2361">
        <f>IF(ABS(F2361-ROUND(F2361,0))&lt;0.001,1,0)</f>
        <v/>
      </c>
      <c r="H2361">
        <f>IF(G2361=1,F2361,CEILING(F2361,1))</f>
        <v/>
      </c>
      <c r="I2361">
        <f>IF(G2361=1,0,(H2361-F2361)*E2361)</f>
        <v/>
      </c>
      <c r="J2361">
        <f>E2361*F2361</f>
        <v/>
      </c>
    </row>
    <row r="2362">
      <c r="A2362">
        <f>Sources!A2362</f>
        <v/>
      </c>
      <c r="B2362">
        <f>Sources!B2362</f>
        <v/>
      </c>
      <c r="C2362">
        <f>Sources!D2362</f>
        <v/>
      </c>
      <c r="D2362">
        <f>Sources!E2362</f>
        <v/>
      </c>
      <c r="E2362">
        <f>Sources!F2362</f>
        <v/>
      </c>
      <c r="F2362">
        <f>Sources!H2362</f>
        <v/>
      </c>
      <c r="G2362">
        <f>IF(ABS(F2362-ROUND(F2362,0))&lt;0.001,1,0)</f>
        <v/>
      </c>
      <c r="H2362">
        <f>IF(G2362=1,F2362,CEILING(F2362,1))</f>
        <v/>
      </c>
      <c r="I2362">
        <f>IF(G2362=1,0,(H2362-F2362)*E2362)</f>
        <v/>
      </c>
      <c r="J2362">
        <f>E2362*F2362</f>
        <v/>
      </c>
    </row>
    <row r="2363">
      <c r="A2363">
        <f>Sources!A2363</f>
        <v/>
      </c>
      <c r="B2363">
        <f>Sources!B2363</f>
        <v/>
      </c>
      <c r="C2363">
        <f>Sources!D2363</f>
        <v/>
      </c>
      <c r="D2363">
        <f>Sources!E2363</f>
        <v/>
      </c>
      <c r="E2363">
        <f>Sources!F2363</f>
        <v/>
      </c>
      <c r="F2363">
        <f>Sources!H2363</f>
        <v/>
      </c>
      <c r="G2363">
        <f>IF(ABS(F2363-ROUND(F2363,0))&lt;0.001,1,0)</f>
        <v/>
      </c>
      <c r="H2363">
        <f>IF(G2363=1,F2363,CEILING(F2363,1))</f>
        <v/>
      </c>
      <c r="I2363">
        <f>IF(G2363=1,0,(H2363-F2363)*E2363)</f>
        <v/>
      </c>
      <c r="J2363">
        <f>E2363*F2363</f>
        <v/>
      </c>
    </row>
    <row r="2364">
      <c r="A2364">
        <f>Sources!A2364</f>
        <v/>
      </c>
      <c r="B2364">
        <f>Sources!B2364</f>
        <v/>
      </c>
      <c r="C2364">
        <f>Sources!D2364</f>
        <v/>
      </c>
      <c r="D2364">
        <f>Sources!E2364</f>
        <v/>
      </c>
      <c r="E2364">
        <f>Sources!F2364</f>
        <v/>
      </c>
      <c r="F2364">
        <f>Sources!H2364</f>
        <v/>
      </c>
      <c r="G2364">
        <f>IF(ABS(F2364-ROUND(F2364,0))&lt;0.001,1,0)</f>
        <v/>
      </c>
      <c r="H2364">
        <f>IF(G2364=1,F2364,CEILING(F2364,1))</f>
        <v/>
      </c>
      <c r="I2364">
        <f>IF(G2364=1,0,(H2364-F2364)*E2364)</f>
        <v/>
      </c>
      <c r="J2364">
        <f>E2364*F2364</f>
        <v/>
      </c>
    </row>
    <row r="2365">
      <c r="A2365">
        <f>Sources!A2365</f>
        <v/>
      </c>
      <c r="B2365">
        <f>Sources!B2365</f>
        <v/>
      </c>
      <c r="C2365">
        <f>Sources!D2365</f>
        <v/>
      </c>
      <c r="D2365">
        <f>Sources!E2365</f>
        <v/>
      </c>
      <c r="E2365">
        <f>Sources!F2365</f>
        <v/>
      </c>
      <c r="F2365">
        <f>Sources!H2365</f>
        <v/>
      </c>
      <c r="G2365">
        <f>IF(ABS(F2365-ROUND(F2365,0))&lt;0.001,1,0)</f>
        <v/>
      </c>
      <c r="H2365">
        <f>IF(G2365=1,F2365,CEILING(F2365,1))</f>
        <v/>
      </c>
      <c r="I2365">
        <f>IF(G2365=1,0,(H2365-F2365)*E2365)</f>
        <v/>
      </c>
      <c r="J2365">
        <f>E2365*F2365</f>
        <v/>
      </c>
    </row>
    <row r="2366">
      <c r="A2366">
        <f>Sources!A2366</f>
        <v/>
      </c>
      <c r="B2366">
        <f>Sources!B2366</f>
        <v/>
      </c>
      <c r="C2366">
        <f>Sources!D2366</f>
        <v/>
      </c>
      <c r="D2366">
        <f>Sources!E2366</f>
        <v/>
      </c>
      <c r="E2366">
        <f>Sources!F2366</f>
        <v/>
      </c>
      <c r="F2366">
        <f>Sources!H2366</f>
        <v/>
      </c>
      <c r="G2366">
        <f>IF(ABS(F2366-ROUND(F2366,0))&lt;0.001,1,0)</f>
        <v/>
      </c>
      <c r="H2366">
        <f>IF(G2366=1,F2366,CEILING(F2366,1))</f>
        <v/>
      </c>
      <c r="I2366">
        <f>IF(G2366=1,0,(H2366-F2366)*E2366)</f>
        <v/>
      </c>
      <c r="J2366">
        <f>E2366*F2366</f>
        <v/>
      </c>
    </row>
    <row r="2367">
      <c r="A2367">
        <f>Sources!A2367</f>
        <v/>
      </c>
      <c r="B2367">
        <f>Sources!B2367</f>
        <v/>
      </c>
      <c r="C2367">
        <f>Sources!D2367</f>
        <v/>
      </c>
      <c r="D2367">
        <f>Sources!E2367</f>
        <v/>
      </c>
      <c r="E2367">
        <f>Sources!F2367</f>
        <v/>
      </c>
      <c r="F2367">
        <f>Sources!H2367</f>
        <v/>
      </c>
      <c r="G2367">
        <f>IF(ABS(F2367-ROUND(F2367,0))&lt;0.001,1,0)</f>
        <v/>
      </c>
      <c r="H2367">
        <f>IF(G2367=1,F2367,CEILING(F2367,1))</f>
        <v/>
      </c>
      <c r="I2367">
        <f>IF(G2367=1,0,(H2367-F2367)*E2367)</f>
        <v/>
      </c>
      <c r="J2367">
        <f>E2367*F2367</f>
        <v/>
      </c>
    </row>
    <row r="2368">
      <c r="A2368">
        <f>Sources!A2368</f>
        <v/>
      </c>
      <c r="B2368">
        <f>Sources!B2368</f>
        <v/>
      </c>
      <c r="C2368">
        <f>Sources!D2368</f>
        <v/>
      </c>
      <c r="D2368">
        <f>Sources!E2368</f>
        <v/>
      </c>
      <c r="E2368">
        <f>Sources!F2368</f>
        <v/>
      </c>
      <c r="F2368">
        <f>Sources!H2368</f>
        <v/>
      </c>
      <c r="G2368">
        <f>IF(ABS(F2368-ROUND(F2368,0))&lt;0.001,1,0)</f>
        <v/>
      </c>
      <c r="H2368">
        <f>IF(G2368=1,F2368,CEILING(F2368,1))</f>
        <v/>
      </c>
      <c r="I2368">
        <f>IF(G2368=1,0,(H2368-F2368)*E2368)</f>
        <v/>
      </c>
      <c r="J2368">
        <f>E2368*F2368</f>
        <v/>
      </c>
    </row>
    <row r="2369">
      <c r="A2369">
        <f>Sources!A2369</f>
        <v/>
      </c>
      <c r="B2369">
        <f>Sources!B2369</f>
        <v/>
      </c>
      <c r="C2369">
        <f>Sources!D2369</f>
        <v/>
      </c>
      <c r="D2369">
        <f>Sources!E2369</f>
        <v/>
      </c>
      <c r="E2369">
        <f>Sources!F2369</f>
        <v/>
      </c>
      <c r="F2369">
        <f>Sources!H2369</f>
        <v/>
      </c>
      <c r="G2369">
        <f>IF(ABS(F2369-ROUND(F2369,0))&lt;0.001,1,0)</f>
        <v/>
      </c>
      <c r="H2369">
        <f>IF(G2369=1,F2369,CEILING(F2369,1))</f>
        <v/>
      </c>
      <c r="I2369">
        <f>IF(G2369=1,0,(H2369-F2369)*E2369)</f>
        <v/>
      </c>
      <c r="J2369">
        <f>E2369*F2369</f>
        <v/>
      </c>
    </row>
    <row r="2370">
      <c r="A2370">
        <f>Sources!A2370</f>
        <v/>
      </c>
      <c r="B2370">
        <f>Sources!B2370</f>
        <v/>
      </c>
      <c r="C2370">
        <f>Sources!D2370</f>
        <v/>
      </c>
      <c r="D2370">
        <f>Sources!E2370</f>
        <v/>
      </c>
      <c r="E2370">
        <f>Sources!F2370</f>
        <v/>
      </c>
      <c r="F2370">
        <f>Sources!H2370</f>
        <v/>
      </c>
      <c r="G2370">
        <f>IF(ABS(F2370-ROUND(F2370,0))&lt;0.001,1,0)</f>
        <v/>
      </c>
      <c r="H2370">
        <f>IF(G2370=1,F2370,CEILING(F2370,1))</f>
        <v/>
      </c>
      <c r="I2370">
        <f>IF(G2370=1,0,(H2370-F2370)*E2370)</f>
        <v/>
      </c>
      <c r="J2370">
        <f>E2370*F2370</f>
        <v/>
      </c>
    </row>
    <row r="2371">
      <c r="A2371">
        <f>Sources!A2371</f>
        <v/>
      </c>
      <c r="B2371">
        <f>Sources!B2371</f>
        <v/>
      </c>
      <c r="C2371">
        <f>Sources!D2371</f>
        <v/>
      </c>
      <c r="D2371">
        <f>Sources!E2371</f>
        <v/>
      </c>
      <c r="E2371">
        <f>Sources!F2371</f>
        <v/>
      </c>
      <c r="F2371">
        <f>Sources!H2371</f>
        <v/>
      </c>
      <c r="G2371">
        <f>IF(ABS(F2371-ROUND(F2371,0))&lt;0.001,1,0)</f>
        <v/>
      </c>
      <c r="H2371">
        <f>IF(G2371=1,F2371,CEILING(F2371,1))</f>
        <v/>
      </c>
      <c r="I2371">
        <f>IF(G2371=1,0,(H2371-F2371)*E2371)</f>
        <v/>
      </c>
      <c r="J2371">
        <f>E2371*F2371</f>
        <v/>
      </c>
    </row>
    <row r="2372">
      <c r="A2372">
        <f>Sources!A2372</f>
        <v/>
      </c>
      <c r="B2372">
        <f>Sources!B2372</f>
        <v/>
      </c>
      <c r="C2372">
        <f>Sources!D2372</f>
        <v/>
      </c>
      <c r="D2372">
        <f>Sources!E2372</f>
        <v/>
      </c>
      <c r="E2372">
        <f>Sources!F2372</f>
        <v/>
      </c>
      <c r="F2372">
        <f>Sources!H2372</f>
        <v/>
      </c>
      <c r="G2372">
        <f>IF(ABS(F2372-ROUND(F2372,0))&lt;0.001,1,0)</f>
        <v/>
      </c>
      <c r="H2372">
        <f>IF(G2372=1,F2372,CEILING(F2372,1))</f>
        <v/>
      </c>
      <c r="I2372">
        <f>IF(G2372=1,0,(H2372-F2372)*E2372)</f>
        <v/>
      </c>
      <c r="J2372">
        <f>E2372*F2372</f>
        <v/>
      </c>
    </row>
    <row r="2373">
      <c r="A2373">
        <f>Sources!A2373</f>
        <v/>
      </c>
      <c r="B2373">
        <f>Sources!B2373</f>
        <v/>
      </c>
      <c r="C2373">
        <f>Sources!D2373</f>
        <v/>
      </c>
      <c r="D2373">
        <f>Sources!E2373</f>
        <v/>
      </c>
      <c r="E2373">
        <f>Sources!F2373</f>
        <v/>
      </c>
      <c r="F2373">
        <f>Sources!H2373</f>
        <v/>
      </c>
      <c r="G2373">
        <f>IF(ABS(F2373-ROUND(F2373,0))&lt;0.001,1,0)</f>
        <v/>
      </c>
      <c r="H2373">
        <f>IF(G2373=1,F2373,CEILING(F2373,1))</f>
        <v/>
      </c>
      <c r="I2373">
        <f>IF(G2373=1,0,(H2373-F2373)*E2373)</f>
        <v/>
      </c>
      <c r="J2373">
        <f>E2373*F2373</f>
        <v/>
      </c>
    </row>
    <row r="2374">
      <c r="A2374">
        <f>Sources!A2374</f>
        <v/>
      </c>
      <c r="B2374">
        <f>Sources!B2374</f>
        <v/>
      </c>
      <c r="C2374">
        <f>Sources!D2374</f>
        <v/>
      </c>
      <c r="D2374">
        <f>Sources!E2374</f>
        <v/>
      </c>
      <c r="E2374">
        <f>Sources!F2374</f>
        <v/>
      </c>
      <c r="F2374">
        <f>Sources!H2374</f>
        <v/>
      </c>
      <c r="G2374">
        <f>IF(ABS(F2374-ROUND(F2374,0))&lt;0.001,1,0)</f>
        <v/>
      </c>
      <c r="H2374">
        <f>IF(G2374=1,F2374,CEILING(F2374,1))</f>
        <v/>
      </c>
      <c r="I2374">
        <f>IF(G2374=1,0,(H2374-F2374)*E2374)</f>
        <v/>
      </c>
      <c r="J2374">
        <f>E2374*F2374</f>
        <v/>
      </c>
    </row>
    <row r="2375">
      <c r="A2375">
        <f>Sources!A2375</f>
        <v/>
      </c>
      <c r="B2375">
        <f>Sources!B2375</f>
        <v/>
      </c>
      <c r="C2375">
        <f>Sources!D2375</f>
        <v/>
      </c>
      <c r="D2375">
        <f>Sources!E2375</f>
        <v/>
      </c>
      <c r="E2375">
        <f>Sources!F2375</f>
        <v/>
      </c>
      <c r="F2375">
        <f>Sources!H2375</f>
        <v/>
      </c>
      <c r="G2375">
        <f>IF(ABS(F2375-ROUND(F2375,0))&lt;0.001,1,0)</f>
        <v/>
      </c>
      <c r="H2375">
        <f>IF(G2375=1,F2375,CEILING(F2375,1))</f>
        <v/>
      </c>
      <c r="I2375">
        <f>IF(G2375=1,0,(H2375-F2375)*E2375)</f>
        <v/>
      </c>
      <c r="J2375">
        <f>E2375*F2375</f>
        <v/>
      </c>
    </row>
    <row r="2376">
      <c r="A2376">
        <f>Sources!A2376</f>
        <v/>
      </c>
      <c r="B2376">
        <f>Sources!B2376</f>
        <v/>
      </c>
      <c r="C2376">
        <f>Sources!D2376</f>
        <v/>
      </c>
      <c r="D2376">
        <f>Sources!E2376</f>
        <v/>
      </c>
      <c r="E2376">
        <f>Sources!F2376</f>
        <v/>
      </c>
      <c r="F2376">
        <f>Sources!H2376</f>
        <v/>
      </c>
      <c r="G2376">
        <f>IF(ABS(F2376-ROUND(F2376,0))&lt;0.001,1,0)</f>
        <v/>
      </c>
      <c r="H2376">
        <f>IF(G2376=1,F2376,CEILING(F2376,1))</f>
        <v/>
      </c>
      <c r="I2376">
        <f>IF(G2376=1,0,(H2376-F2376)*E2376)</f>
        <v/>
      </c>
      <c r="J2376">
        <f>E2376*F2376</f>
        <v/>
      </c>
    </row>
    <row r="2377">
      <c r="A2377">
        <f>Sources!A2377</f>
        <v/>
      </c>
      <c r="B2377">
        <f>Sources!B2377</f>
        <v/>
      </c>
      <c r="C2377">
        <f>Sources!D2377</f>
        <v/>
      </c>
      <c r="D2377">
        <f>Sources!E2377</f>
        <v/>
      </c>
      <c r="E2377">
        <f>Sources!F2377</f>
        <v/>
      </c>
      <c r="F2377">
        <f>Sources!H2377</f>
        <v/>
      </c>
      <c r="G2377">
        <f>IF(ABS(F2377-ROUND(F2377,0))&lt;0.001,1,0)</f>
        <v/>
      </c>
      <c r="H2377">
        <f>IF(G2377=1,F2377,CEILING(F2377,1))</f>
        <v/>
      </c>
      <c r="I2377">
        <f>IF(G2377=1,0,(H2377-F2377)*E2377)</f>
        <v/>
      </c>
      <c r="J2377">
        <f>E2377*F2377</f>
        <v/>
      </c>
    </row>
    <row r="2378">
      <c r="A2378">
        <f>Sources!A2378</f>
        <v/>
      </c>
      <c r="B2378">
        <f>Sources!B2378</f>
        <v/>
      </c>
      <c r="C2378">
        <f>Sources!D2378</f>
        <v/>
      </c>
      <c r="D2378">
        <f>Sources!E2378</f>
        <v/>
      </c>
      <c r="E2378">
        <f>Sources!F2378</f>
        <v/>
      </c>
      <c r="F2378">
        <f>Sources!H2378</f>
        <v/>
      </c>
      <c r="G2378">
        <f>IF(ABS(F2378-ROUND(F2378,0))&lt;0.001,1,0)</f>
        <v/>
      </c>
      <c r="H2378">
        <f>IF(G2378=1,F2378,CEILING(F2378,1))</f>
        <v/>
      </c>
      <c r="I2378">
        <f>IF(G2378=1,0,(H2378-F2378)*E2378)</f>
        <v/>
      </c>
      <c r="J2378">
        <f>E2378*F2378</f>
        <v/>
      </c>
    </row>
    <row r="2379">
      <c r="A2379">
        <f>Sources!A2379</f>
        <v/>
      </c>
      <c r="B2379">
        <f>Sources!B2379</f>
        <v/>
      </c>
      <c r="C2379">
        <f>Sources!D2379</f>
        <v/>
      </c>
      <c r="D2379">
        <f>Sources!E2379</f>
        <v/>
      </c>
      <c r="E2379">
        <f>Sources!F2379</f>
        <v/>
      </c>
      <c r="F2379">
        <f>Sources!H2379</f>
        <v/>
      </c>
      <c r="G2379">
        <f>IF(ABS(F2379-ROUND(F2379,0))&lt;0.001,1,0)</f>
        <v/>
      </c>
      <c r="H2379">
        <f>IF(G2379=1,F2379,CEILING(F2379,1))</f>
        <v/>
      </c>
      <c r="I2379">
        <f>IF(G2379=1,0,(H2379-F2379)*E2379)</f>
        <v/>
      </c>
      <c r="J2379">
        <f>E2379*F2379</f>
        <v/>
      </c>
    </row>
    <row r="2380">
      <c r="A2380">
        <f>Sources!A2380</f>
        <v/>
      </c>
      <c r="B2380">
        <f>Sources!B2380</f>
        <v/>
      </c>
      <c r="C2380">
        <f>Sources!D2380</f>
        <v/>
      </c>
      <c r="D2380">
        <f>Sources!E2380</f>
        <v/>
      </c>
      <c r="E2380">
        <f>Sources!F2380</f>
        <v/>
      </c>
      <c r="F2380">
        <f>Sources!H2380</f>
        <v/>
      </c>
      <c r="G2380">
        <f>IF(ABS(F2380-ROUND(F2380,0))&lt;0.001,1,0)</f>
        <v/>
      </c>
      <c r="H2380">
        <f>IF(G2380=1,F2380,CEILING(F2380,1))</f>
        <v/>
      </c>
      <c r="I2380">
        <f>IF(G2380=1,0,(H2380-F2380)*E2380)</f>
        <v/>
      </c>
      <c r="J2380">
        <f>E2380*F2380</f>
        <v/>
      </c>
    </row>
    <row r="2381">
      <c r="A2381">
        <f>Sources!A2381</f>
        <v/>
      </c>
      <c r="B2381">
        <f>Sources!B2381</f>
        <v/>
      </c>
      <c r="C2381">
        <f>Sources!D2381</f>
        <v/>
      </c>
      <c r="D2381">
        <f>Sources!E2381</f>
        <v/>
      </c>
      <c r="E2381">
        <f>Sources!F2381</f>
        <v/>
      </c>
      <c r="F2381">
        <f>Sources!H2381</f>
        <v/>
      </c>
      <c r="G2381">
        <f>IF(ABS(F2381-ROUND(F2381,0))&lt;0.001,1,0)</f>
        <v/>
      </c>
      <c r="H2381">
        <f>IF(G2381=1,F2381,CEILING(F2381,1))</f>
        <v/>
      </c>
      <c r="I2381">
        <f>IF(G2381=1,0,(H2381-F2381)*E2381)</f>
        <v/>
      </c>
      <c r="J2381">
        <f>E2381*F2381</f>
        <v/>
      </c>
    </row>
    <row r="2382">
      <c r="A2382">
        <f>Sources!A2382</f>
        <v/>
      </c>
      <c r="B2382">
        <f>Sources!B2382</f>
        <v/>
      </c>
      <c r="C2382">
        <f>Sources!D2382</f>
        <v/>
      </c>
      <c r="D2382">
        <f>Sources!E2382</f>
        <v/>
      </c>
      <c r="E2382">
        <f>Sources!F2382</f>
        <v/>
      </c>
      <c r="F2382">
        <f>Sources!H2382</f>
        <v/>
      </c>
      <c r="G2382">
        <f>IF(ABS(F2382-ROUND(F2382,0))&lt;0.001,1,0)</f>
        <v/>
      </c>
      <c r="H2382">
        <f>IF(G2382=1,F2382,CEILING(F2382,1))</f>
        <v/>
      </c>
      <c r="I2382">
        <f>IF(G2382=1,0,(H2382-F2382)*E2382)</f>
        <v/>
      </c>
      <c r="J2382">
        <f>E2382*F2382</f>
        <v/>
      </c>
    </row>
    <row r="2383">
      <c r="A2383">
        <f>Sources!A2383</f>
        <v/>
      </c>
      <c r="B2383">
        <f>Sources!B2383</f>
        <v/>
      </c>
      <c r="C2383">
        <f>Sources!D2383</f>
        <v/>
      </c>
      <c r="D2383">
        <f>Sources!E2383</f>
        <v/>
      </c>
      <c r="E2383">
        <f>Sources!F2383</f>
        <v/>
      </c>
      <c r="F2383">
        <f>Sources!H2383</f>
        <v/>
      </c>
      <c r="G2383">
        <f>IF(ABS(F2383-ROUND(F2383,0))&lt;0.001,1,0)</f>
        <v/>
      </c>
      <c r="H2383">
        <f>IF(G2383=1,F2383,CEILING(F2383,1))</f>
        <v/>
      </c>
      <c r="I2383">
        <f>IF(G2383=1,0,(H2383-F2383)*E2383)</f>
        <v/>
      </c>
      <c r="J2383">
        <f>E2383*F2383</f>
        <v/>
      </c>
    </row>
    <row r="2384">
      <c r="A2384">
        <f>Sources!A2384</f>
        <v/>
      </c>
      <c r="B2384">
        <f>Sources!B2384</f>
        <v/>
      </c>
      <c r="C2384">
        <f>Sources!D2384</f>
        <v/>
      </c>
      <c r="D2384">
        <f>Sources!E2384</f>
        <v/>
      </c>
      <c r="E2384">
        <f>Sources!F2384</f>
        <v/>
      </c>
      <c r="F2384">
        <f>Sources!H2384</f>
        <v/>
      </c>
      <c r="G2384">
        <f>IF(ABS(F2384-ROUND(F2384,0))&lt;0.001,1,0)</f>
        <v/>
      </c>
      <c r="H2384">
        <f>IF(G2384=1,F2384,CEILING(F2384,1))</f>
        <v/>
      </c>
      <c r="I2384">
        <f>IF(G2384=1,0,(H2384-F2384)*E2384)</f>
        <v/>
      </c>
      <c r="J2384">
        <f>E2384*F2384</f>
        <v/>
      </c>
    </row>
    <row r="2385">
      <c r="A2385">
        <f>Sources!A2385</f>
        <v/>
      </c>
      <c r="B2385">
        <f>Sources!B2385</f>
        <v/>
      </c>
      <c r="C2385">
        <f>Sources!D2385</f>
        <v/>
      </c>
      <c r="D2385">
        <f>Sources!E2385</f>
        <v/>
      </c>
      <c r="E2385">
        <f>Sources!F2385</f>
        <v/>
      </c>
      <c r="F2385">
        <f>Sources!H2385</f>
        <v/>
      </c>
      <c r="G2385">
        <f>IF(ABS(F2385-ROUND(F2385,0))&lt;0.001,1,0)</f>
        <v/>
      </c>
      <c r="H2385">
        <f>IF(G2385=1,F2385,CEILING(F2385,1))</f>
        <v/>
      </c>
      <c r="I2385">
        <f>IF(G2385=1,0,(H2385-F2385)*E2385)</f>
        <v/>
      </c>
      <c r="J2385">
        <f>E2385*F2385</f>
        <v/>
      </c>
    </row>
    <row r="2386">
      <c r="A2386">
        <f>Sources!A2386</f>
        <v/>
      </c>
      <c r="B2386">
        <f>Sources!B2386</f>
        <v/>
      </c>
      <c r="C2386">
        <f>Sources!D2386</f>
        <v/>
      </c>
      <c r="D2386">
        <f>Sources!E2386</f>
        <v/>
      </c>
      <c r="E2386">
        <f>Sources!F2386</f>
        <v/>
      </c>
      <c r="F2386">
        <f>Sources!H2386</f>
        <v/>
      </c>
      <c r="G2386">
        <f>IF(ABS(F2386-ROUND(F2386,0))&lt;0.001,1,0)</f>
        <v/>
      </c>
      <c r="H2386">
        <f>IF(G2386=1,F2386,CEILING(F2386,1))</f>
        <v/>
      </c>
      <c r="I2386">
        <f>IF(G2386=1,0,(H2386-F2386)*E2386)</f>
        <v/>
      </c>
      <c r="J2386">
        <f>E2386*F2386</f>
        <v/>
      </c>
    </row>
    <row r="2387">
      <c r="A2387">
        <f>Sources!A2387</f>
        <v/>
      </c>
      <c r="B2387">
        <f>Sources!B2387</f>
        <v/>
      </c>
      <c r="C2387">
        <f>Sources!D2387</f>
        <v/>
      </c>
      <c r="D2387">
        <f>Sources!E2387</f>
        <v/>
      </c>
      <c r="E2387">
        <f>Sources!F2387</f>
        <v/>
      </c>
      <c r="F2387">
        <f>Sources!H2387</f>
        <v/>
      </c>
      <c r="G2387">
        <f>IF(ABS(F2387-ROUND(F2387,0))&lt;0.001,1,0)</f>
        <v/>
      </c>
      <c r="H2387">
        <f>IF(G2387=1,F2387,CEILING(F2387,1))</f>
        <v/>
      </c>
      <c r="I2387">
        <f>IF(G2387=1,0,(H2387-F2387)*E2387)</f>
        <v/>
      </c>
      <c r="J2387">
        <f>E2387*F2387</f>
        <v/>
      </c>
    </row>
    <row r="2388">
      <c r="A2388">
        <f>Sources!A2388</f>
        <v/>
      </c>
      <c r="B2388">
        <f>Sources!B2388</f>
        <v/>
      </c>
      <c r="C2388">
        <f>Sources!D2388</f>
        <v/>
      </c>
      <c r="D2388">
        <f>Sources!E2388</f>
        <v/>
      </c>
      <c r="E2388">
        <f>Sources!F2388</f>
        <v/>
      </c>
      <c r="F2388">
        <f>Sources!H2388</f>
        <v/>
      </c>
      <c r="G2388">
        <f>IF(ABS(F2388-ROUND(F2388,0))&lt;0.001,1,0)</f>
        <v/>
      </c>
      <c r="H2388">
        <f>IF(G2388=1,F2388,CEILING(F2388,1))</f>
        <v/>
      </c>
      <c r="I2388">
        <f>IF(G2388=1,0,(H2388-F2388)*E2388)</f>
        <v/>
      </c>
      <c r="J2388">
        <f>E2388*F2388</f>
        <v/>
      </c>
    </row>
    <row r="2389">
      <c r="A2389">
        <f>Sources!A2389</f>
        <v/>
      </c>
      <c r="B2389">
        <f>Sources!B2389</f>
        <v/>
      </c>
      <c r="C2389">
        <f>Sources!D2389</f>
        <v/>
      </c>
      <c r="D2389">
        <f>Sources!E2389</f>
        <v/>
      </c>
      <c r="E2389">
        <f>Sources!F2389</f>
        <v/>
      </c>
      <c r="F2389">
        <f>Sources!H2389</f>
        <v/>
      </c>
      <c r="G2389">
        <f>IF(ABS(F2389-ROUND(F2389,0))&lt;0.001,1,0)</f>
        <v/>
      </c>
      <c r="H2389">
        <f>IF(G2389=1,F2389,CEILING(F2389,1))</f>
        <v/>
      </c>
      <c r="I2389">
        <f>IF(G2389=1,0,(H2389-F2389)*E2389)</f>
        <v/>
      </c>
      <c r="J2389">
        <f>E2389*F2389</f>
        <v/>
      </c>
    </row>
    <row r="2390">
      <c r="A2390">
        <f>Sources!A2390</f>
        <v/>
      </c>
      <c r="B2390">
        <f>Sources!B2390</f>
        <v/>
      </c>
      <c r="C2390">
        <f>Sources!D2390</f>
        <v/>
      </c>
      <c r="D2390">
        <f>Sources!E2390</f>
        <v/>
      </c>
      <c r="E2390">
        <f>Sources!F2390</f>
        <v/>
      </c>
      <c r="F2390">
        <f>Sources!H2390</f>
        <v/>
      </c>
      <c r="G2390">
        <f>IF(ABS(F2390-ROUND(F2390,0))&lt;0.001,1,0)</f>
        <v/>
      </c>
      <c r="H2390">
        <f>IF(G2390=1,F2390,CEILING(F2390,1))</f>
        <v/>
      </c>
      <c r="I2390">
        <f>IF(G2390=1,0,(H2390-F2390)*E2390)</f>
        <v/>
      </c>
      <c r="J2390">
        <f>E2390*F2390</f>
        <v/>
      </c>
    </row>
    <row r="2391">
      <c r="A2391">
        <f>Sources!A2391</f>
        <v/>
      </c>
      <c r="B2391">
        <f>Sources!B2391</f>
        <v/>
      </c>
      <c r="C2391">
        <f>Sources!D2391</f>
        <v/>
      </c>
      <c r="D2391">
        <f>Sources!E2391</f>
        <v/>
      </c>
      <c r="E2391">
        <f>Sources!F2391</f>
        <v/>
      </c>
      <c r="F2391">
        <f>Sources!H2391</f>
        <v/>
      </c>
      <c r="G2391">
        <f>IF(ABS(F2391-ROUND(F2391,0))&lt;0.001,1,0)</f>
        <v/>
      </c>
      <c r="H2391">
        <f>IF(G2391=1,F2391,CEILING(F2391,1))</f>
        <v/>
      </c>
      <c r="I2391">
        <f>IF(G2391=1,0,(H2391-F2391)*E2391)</f>
        <v/>
      </c>
      <c r="J2391">
        <f>E2391*F2391</f>
        <v/>
      </c>
    </row>
    <row r="2392">
      <c r="A2392">
        <f>Sources!A2392</f>
        <v/>
      </c>
      <c r="B2392">
        <f>Sources!B2392</f>
        <v/>
      </c>
      <c r="C2392">
        <f>Sources!D2392</f>
        <v/>
      </c>
      <c r="D2392">
        <f>Sources!E2392</f>
        <v/>
      </c>
      <c r="E2392">
        <f>Sources!F2392</f>
        <v/>
      </c>
      <c r="F2392">
        <f>Sources!H2392</f>
        <v/>
      </c>
      <c r="G2392">
        <f>IF(ABS(F2392-ROUND(F2392,0))&lt;0.001,1,0)</f>
        <v/>
      </c>
      <c r="H2392">
        <f>IF(G2392=1,F2392,CEILING(F2392,1))</f>
        <v/>
      </c>
      <c r="I2392">
        <f>IF(G2392=1,0,(H2392-F2392)*E2392)</f>
        <v/>
      </c>
      <c r="J2392">
        <f>E2392*F2392</f>
        <v/>
      </c>
    </row>
    <row r="2393">
      <c r="A2393">
        <f>Sources!A2393</f>
        <v/>
      </c>
      <c r="B2393">
        <f>Sources!B2393</f>
        <v/>
      </c>
      <c r="C2393">
        <f>Sources!D2393</f>
        <v/>
      </c>
      <c r="D2393">
        <f>Sources!E2393</f>
        <v/>
      </c>
      <c r="E2393">
        <f>Sources!F2393</f>
        <v/>
      </c>
      <c r="F2393">
        <f>Sources!H2393</f>
        <v/>
      </c>
      <c r="G2393">
        <f>IF(ABS(F2393-ROUND(F2393,0))&lt;0.001,1,0)</f>
        <v/>
      </c>
      <c r="H2393">
        <f>IF(G2393=1,F2393,CEILING(F2393,1))</f>
        <v/>
      </c>
      <c r="I2393">
        <f>IF(G2393=1,0,(H2393-F2393)*E2393)</f>
        <v/>
      </c>
      <c r="J2393">
        <f>E2393*F2393</f>
        <v/>
      </c>
    </row>
    <row r="2394">
      <c r="A2394">
        <f>Sources!A2394</f>
        <v/>
      </c>
      <c r="B2394">
        <f>Sources!B2394</f>
        <v/>
      </c>
      <c r="C2394">
        <f>Sources!D2394</f>
        <v/>
      </c>
      <c r="D2394">
        <f>Sources!E2394</f>
        <v/>
      </c>
      <c r="E2394">
        <f>Sources!F2394</f>
        <v/>
      </c>
      <c r="F2394">
        <f>Sources!H2394</f>
        <v/>
      </c>
      <c r="G2394">
        <f>IF(ABS(F2394-ROUND(F2394,0))&lt;0.001,1,0)</f>
        <v/>
      </c>
      <c r="H2394">
        <f>IF(G2394=1,F2394,CEILING(F2394,1))</f>
        <v/>
      </c>
      <c r="I2394">
        <f>IF(G2394=1,0,(H2394-F2394)*E2394)</f>
        <v/>
      </c>
      <c r="J2394">
        <f>E2394*F2394</f>
        <v/>
      </c>
    </row>
    <row r="2395">
      <c r="A2395">
        <f>Sources!A2395</f>
        <v/>
      </c>
      <c r="B2395">
        <f>Sources!B2395</f>
        <v/>
      </c>
      <c r="C2395">
        <f>Sources!D2395</f>
        <v/>
      </c>
      <c r="D2395">
        <f>Sources!E2395</f>
        <v/>
      </c>
      <c r="E2395">
        <f>Sources!F2395</f>
        <v/>
      </c>
      <c r="F2395">
        <f>Sources!H2395</f>
        <v/>
      </c>
      <c r="G2395">
        <f>IF(ABS(F2395-ROUND(F2395,0))&lt;0.001,1,0)</f>
        <v/>
      </c>
      <c r="H2395">
        <f>IF(G2395=1,F2395,CEILING(F2395,1))</f>
        <v/>
      </c>
      <c r="I2395">
        <f>IF(G2395=1,0,(H2395-F2395)*E2395)</f>
        <v/>
      </c>
      <c r="J2395">
        <f>E2395*F2395</f>
        <v/>
      </c>
    </row>
    <row r="2396">
      <c r="A2396">
        <f>Sources!A2396</f>
        <v/>
      </c>
      <c r="B2396">
        <f>Sources!B2396</f>
        <v/>
      </c>
      <c r="C2396">
        <f>Sources!D2396</f>
        <v/>
      </c>
      <c r="D2396">
        <f>Sources!E2396</f>
        <v/>
      </c>
      <c r="E2396">
        <f>Sources!F2396</f>
        <v/>
      </c>
      <c r="F2396">
        <f>Sources!H2396</f>
        <v/>
      </c>
      <c r="G2396">
        <f>IF(ABS(F2396-ROUND(F2396,0))&lt;0.001,1,0)</f>
        <v/>
      </c>
      <c r="H2396">
        <f>IF(G2396=1,F2396,CEILING(F2396,1))</f>
        <v/>
      </c>
      <c r="I2396">
        <f>IF(G2396=1,0,(H2396-F2396)*E2396)</f>
        <v/>
      </c>
      <c r="J2396">
        <f>E2396*F2396</f>
        <v/>
      </c>
    </row>
    <row r="2397">
      <c r="A2397">
        <f>Sources!A2397</f>
        <v/>
      </c>
      <c r="B2397">
        <f>Sources!B2397</f>
        <v/>
      </c>
      <c r="C2397">
        <f>Sources!D2397</f>
        <v/>
      </c>
      <c r="D2397">
        <f>Sources!E2397</f>
        <v/>
      </c>
      <c r="E2397">
        <f>Sources!F2397</f>
        <v/>
      </c>
      <c r="F2397">
        <f>Sources!H2397</f>
        <v/>
      </c>
      <c r="G2397">
        <f>IF(ABS(F2397-ROUND(F2397,0))&lt;0.001,1,0)</f>
        <v/>
      </c>
      <c r="H2397">
        <f>IF(G2397=1,F2397,CEILING(F2397,1))</f>
        <v/>
      </c>
      <c r="I2397">
        <f>IF(G2397=1,0,(H2397-F2397)*E2397)</f>
        <v/>
      </c>
      <c r="J2397">
        <f>E2397*F2397</f>
        <v/>
      </c>
    </row>
    <row r="2398">
      <c r="A2398">
        <f>Sources!A2398</f>
        <v/>
      </c>
      <c r="B2398">
        <f>Sources!B2398</f>
        <v/>
      </c>
      <c r="C2398">
        <f>Sources!D2398</f>
        <v/>
      </c>
      <c r="D2398">
        <f>Sources!E2398</f>
        <v/>
      </c>
      <c r="E2398">
        <f>Sources!F2398</f>
        <v/>
      </c>
      <c r="F2398">
        <f>Sources!H2398</f>
        <v/>
      </c>
      <c r="G2398">
        <f>IF(ABS(F2398-ROUND(F2398,0))&lt;0.001,1,0)</f>
        <v/>
      </c>
      <c r="H2398">
        <f>IF(G2398=1,F2398,CEILING(F2398,1))</f>
        <v/>
      </c>
      <c r="I2398">
        <f>IF(G2398=1,0,(H2398-F2398)*E2398)</f>
        <v/>
      </c>
      <c r="J2398">
        <f>E2398*F2398</f>
        <v/>
      </c>
    </row>
    <row r="2399">
      <c r="A2399">
        <f>Sources!A2399</f>
        <v/>
      </c>
      <c r="B2399">
        <f>Sources!B2399</f>
        <v/>
      </c>
      <c r="C2399">
        <f>Sources!D2399</f>
        <v/>
      </c>
      <c r="D2399">
        <f>Sources!E2399</f>
        <v/>
      </c>
      <c r="E2399">
        <f>Sources!F2399</f>
        <v/>
      </c>
      <c r="F2399">
        <f>Sources!H2399</f>
        <v/>
      </c>
      <c r="G2399">
        <f>IF(ABS(F2399-ROUND(F2399,0))&lt;0.001,1,0)</f>
        <v/>
      </c>
      <c r="H2399">
        <f>IF(G2399=1,F2399,CEILING(F2399,1))</f>
        <v/>
      </c>
      <c r="I2399">
        <f>IF(G2399=1,0,(H2399-F2399)*E2399)</f>
        <v/>
      </c>
      <c r="J2399">
        <f>E2399*F2399</f>
        <v/>
      </c>
    </row>
    <row r="2400">
      <c r="A2400">
        <f>Sources!A2400</f>
        <v/>
      </c>
      <c r="B2400">
        <f>Sources!B2400</f>
        <v/>
      </c>
      <c r="C2400">
        <f>Sources!D2400</f>
        <v/>
      </c>
      <c r="D2400">
        <f>Sources!E2400</f>
        <v/>
      </c>
      <c r="E2400">
        <f>Sources!F2400</f>
        <v/>
      </c>
      <c r="F2400">
        <f>Sources!H2400</f>
        <v/>
      </c>
      <c r="G2400">
        <f>IF(ABS(F2400-ROUND(F2400,0))&lt;0.001,1,0)</f>
        <v/>
      </c>
      <c r="H2400">
        <f>IF(G2400=1,F2400,CEILING(F2400,1))</f>
        <v/>
      </c>
      <c r="I2400">
        <f>IF(G2400=1,0,(H2400-F2400)*E2400)</f>
        <v/>
      </c>
      <c r="J2400">
        <f>E2400*F2400</f>
        <v/>
      </c>
    </row>
    <row r="2401">
      <c r="A2401">
        <f>Sources!A2401</f>
        <v/>
      </c>
      <c r="B2401">
        <f>Sources!B2401</f>
        <v/>
      </c>
      <c r="C2401">
        <f>Sources!D2401</f>
        <v/>
      </c>
      <c r="D2401">
        <f>Sources!E2401</f>
        <v/>
      </c>
      <c r="E2401">
        <f>Sources!F2401</f>
        <v/>
      </c>
      <c r="F2401">
        <f>Sources!H2401</f>
        <v/>
      </c>
      <c r="G2401">
        <f>IF(ABS(F2401-ROUND(F2401,0))&lt;0.001,1,0)</f>
        <v/>
      </c>
      <c r="H2401">
        <f>IF(G2401=1,F2401,CEILING(F2401,1))</f>
        <v/>
      </c>
      <c r="I2401">
        <f>IF(G2401=1,0,(H2401-F2401)*E2401)</f>
        <v/>
      </c>
      <c r="J2401">
        <f>E2401*F2401</f>
        <v/>
      </c>
    </row>
    <row r="2402">
      <c r="A2402">
        <f>Sources!A2402</f>
        <v/>
      </c>
      <c r="B2402">
        <f>Sources!B2402</f>
        <v/>
      </c>
      <c r="C2402">
        <f>Sources!D2402</f>
        <v/>
      </c>
      <c r="D2402">
        <f>Sources!E2402</f>
        <v/>
      </c>
      <c r="E2402">
        <f>Sources!F2402</f>
        <v/>
      </c>
      <c r="F2402">
        <f>Sources!H2402</f>
        <v/>
      </c>
      <c r="G2402">
        <f>IF(ABS(F2402-ROUND(F2402,0))&lt;0.001,1,0)</f>
        <v/>
      </c>
      <c r="H2402">
        <f>IF(G2402=1,F2402,CEILING(F2402,1))</f>
        <v/>
      </c>
      <c r="I2402">
        <f>IF(G2402=1,0,(H2402-F2402)*E2402)</f>
        <v/>
      </c>
      <c r="J2402">
        <f>E2402*F2402</f>
        <v/>
      </c>
    </row>
    <row r="2403">
      <c r="A2403">
        <f>Sources!A2403</f>
        <v/>
      </c>
      <c r="B2403">
        <f>Sources!B2403</f>
        <v/>
      </c>
      <c r="C2403">
        <f>Sources!D2403</f>
        <v/>
      </c>
      <c r="D2403">
        <f>Sources!E2403</f>
        <v/>
      </c>
      <c r="E2403">
        <f>Sources!F2403</f>
        <v/>
      </c>
      <c r="F2403">
        <f>Sources!H2403</f>
        <v/>
      </c>
      <c r="G2403">
        <f>IF(ABS(F2403-ROUND(F2403,0))&lt;0.001,1,0)</f>
        <v/>
      </c>
      <c r="H2403">
        <f>IF(G2403=1,F2403,CEILING(F2403,1))</f>
        <v/>
      </c>
      <c r="I2403">
        <f>IF(G2403=1,0,(H2403-F2403)*E2403)</f>
        <v/>
      </c>
      <c r="J2403">
        <f>E2403*F2403</f>
        <v/>
      </c>
    </row>
    <row r="2404">
      <c r="A2404">
        <f>Sources!A2404</f>
        <v/>
      </c>
      <c r="B2404">
        <f>Sources!B2404</f>
        <v/>
      </c>
      <c r="C2404">
        <f>Sources!D2404</f>
        <v/>
      </c>
      <c r="D2404">
        <f>Sources!E2404</f>
        <v/>
      </c>
      <c r="E2404">
        <f>Sources!F2404</f>
        <v/>
      </c>
      <c r="F2404">
        <f>Sources!H2404</f>
        <v/>
      </c>
      <c r="G2404">
        <f>IF(ABS(F2404-ROUND(F2404,0))&lt;0.001,1,0)</f>
        <v/>
      </c>
      <c r="H2404">
        <f>IF(G2404=1,F2404,CEILING(F2404,1))</f>
        <v/>
      </c>
      <c r="I2404">
        <f>IF(G2404=1,0,(H2404-F2404)*E2404)</f>
        <v/>
      </c>
      <c r="J2404">
        <f>E2404*F2404</f>
        <v/>
      </c>
    </row>
    <row r="2405">
      <c r="A2405">
        <f>Sources!A2405</f>
        <v/>
      </c>
      <c r="B2405">
        <f>Sources!B2405</f>
        <v/>
      </c>
      <c r="C2405">
        <f>Sources!D2405</f>
        <v/>
      </c>
      <c r="D2405">
        <f>Sources!E2405</f>
        <v/>
      </c>
      <c r="E2405">
        <f>Sources!F2405</f>
        <v/>
      </c>
      <c r="F2405">
        <f>Sources!H2405</f>
        <v/>
      </c>
      <c r="G2405">
        <f>IF(ABS(F2405-ROUND(F2405,0))&lt;0.001,1,0)</f>
        <v/>
      </c>
      <c r="H2405">
        <f>IF(G2405=1,F2405,CEILING(F2405,1))</f>
        <v/>
      </c>
      <c r="I2405">
        <f>IF(G2405=1,0,(H2405-F2405)*E2405)</f>
        <v/>
      </c>
      <c r="J2405">
        <f>E2405*F2405</f>
        <v/>
      </c>
    </row>
    <row r="2406">
      <c r="A2406">
        <f>Sources!A2406</f>
        <v/>
      </c>
      <c r="B2406">
        <f>Sources!B2406</f>
        <v/>
      </c>
      <c r="C2406">
        <f>Sources!D2406</f>
        <v/>
      </c>
      <c r="D2406">
        <f>Sources!E2406</f>
        <v/>
      </c>
      <c r="E2406">
        <f>Sources!F2406</f>
        <v/>
      </c>
      <c r="F2406">
        <f>Sources!H2406</f>
        <v/>
      </c>
      <c r="G2406">
        <f>IF(ABS(F2406-ROUND(F2406,0))&lt;0.001,1,0)</f>
        <v/>
      </c>
      <c r="H2406">
        <f>IF(G2406=1,F2406,CEILING(F2406,1))</f>
        <v/>
      </c>
      <c r="I2406">
        <f>IF(G2406=1,0,(H2406-F2406)*E2406)</f>
        <v/>
      </c>
      <c r="J2406">
        <f>E2406*F2406</f>
        <v/>
      </c>
    </row>
    <row r="2407">
      <c r="A2407">
        <f>Sources!A2407</f>
        <v/>
      </c>
      <c r="B2407">
        <f>Sources!B2407</f>
        <v/>
      </c>
      <c r="C2407">
        <f>Sources!D2407</f>
        <v/>
      </c>
      <c r="D2407">
        <f>Sources!E2407</f>
        <v/>
      </c>
      <c r="E2407">
        <f>Sources!F2407</f>
        <v/>
      </c>
      <c r="F2407">
        <f>Sources!H2407</f>
        <v/>
      </c>
      <c r="G2407">
        <f>IF(ABS(F2407-ROUND(F2407,0))&lt;0.001,1,0)</f>
        <v/>
      </c>
      <c r="H2407">
        <f>IF(G2407=1,F2407,CEILING(F2407,1))</f>
        <v/>
      </c>
      <c r="I2407">
        <f>IF(G2407=1,0,(H2407-F2407)*E2407)</f>
        <v/>
      </c>
      <c r="J2407">
        <f>E2407*F2407</f>
        <v/>
      </c>
    </row>
    <row r="2408">
      <c r="A2408">
        <f>Sources!A2408</f>
        <v/>
      </c>
      <c r="B2408">
        <f>Sources!B2408</f>
        <v/>
      </c>
      <c r="C2408">
        <f>Sources!D2408</f>
        <v/>
      </c>
      <c r="D2408">
        <f>Sources!E2408</f>
        <v/>
      </c>
      <c r="E2408">
        <f>Sources!F2408</f>
        <v/>
      </c>
      <c r="F2408">
        <f>Sources!H2408</f>
        <v/>
      </c>
      <c r="G2408">
        <f>IF(ABS(F2408-ROUND(F2408,0))&lt;0.001,1,0)</f>
        <v/>
      </c>
      <c r="H2408">
        <f>IF(G2408=1,F2408,CEILING(F2408,1))</f>
        <v/>
      </c>
      <c r="I2408">
        <f>IF(G2408=1,0,(H2408-F2408)*E2408)</f>
        <v/>
      </c>
      <c r="J2408">
        <f>E2408*F2408</f>
        <v/>
      </c>
    </row>
    <row r="2409">
      <c r="A2409">
        <f>Sources!A2409</f>
        <v/>
      </c>
      <c r="B2409">
        <f>Sources!B2409</f>
        <v/>
      </c>
      <c r="C2409">
        <f>Sources!D2409</f>
        <v/>
      </c>
      <c r="D2409">
        <f>Sources!E2409</f>
        <v/>
      </c>
      <c r="E2409">
        <f>Sources!F2409</f>
        <v/>
      </c>
      <c r="F2409">
        <f>Sources!H2409</f>
        <v/>
      </c>
      <c r="G2409">
        <f>IF(ABS(F2409-ROUND(F2409,0))&lt;0.001,1,0)</f>
        <v/>
      </c>
      <c r="H2409">
        <f>IF(G2409=1,F2409,CEILING(F2409,1))</f>
        <v/>
      </c>
      <c r="I2409">
        <f>IF(G2409=1,0,(H2409-F2409)*E2409)</f>
        <v/>
      </c>
      <c r="J2409">
        <f>E2409*F2409</f>
        <v/>
      </c>
    </row>
    <row r="2410">
      <c r="A2410">
        <f>Sources!A2410</f>
        <v/>
      </c>
      <c r="B2410">
        <f>Sources!B2410</f>
        <v/>
      </c>
      <c r="C2410">
        <f>Sources!D2410</f>
        <v/>
      </c>
      <c r="D2410">
        <f>Sources!E2410</f>
        <v/>
      </c>
      <c r="E2410">
        <f>Sources!F2410</f>
        <v/>
      </c>
      <c r="F2410">
        <f>Sources!H2410</f>
        <v/>
      </c>
      <c r="G2410">
        <f>IF(ABS(F2410-ROUND(F2410,0))&lt;0.001,1,0)</f>
        <v/>
      </c>
      <c r="H2410">
        <f>IF(G2410=1,F2410,CEILING(F2410,1))</f>
        <v/>
      </c>
      <c r="I2410">
        <f>IF(G2410=1,0,(H2410-F2410)*E2410)</f>
        <v/>
      </c>
      <c r="J2410">
        <f>E2410*F2410</f>
        <v/>
      </c>
    </row>
    <row r="2411">
      <c r="A2411">
        <f>Sources!A2411</f>
        <v/>
      </c>
      <c r="B2411">
        <f>Sources!B2411</f>
        <v/>
      </c>
      <c r="C2411">
        <f>Sources!D2411</f>
        <v/>
      </c>
      <c r="D2411">
        <f>Sources!E2411</f>
        <v/>
      </c>
      <c r="E2411">
        <f>Sources!F2411</f>
        <v/>
      </c>
      <c r="F2411">
        <f>Sources!H2411</f>
        <v/>
      </c>
      <c r="G2411">
        <f>IF(ABS(F2411-ROUND(F2411,0))&lt;0.001,1,0)</f>
        <v/>
      </c>
      <c r="H2411">
        <f>IF(G2411=1,F2411,CEILING(F2411,1))</f>
        <v/>
      </c>
      <c r="I2411">
        <f>IF(G2411=1,0,(H2411-F2411)*E2411)</f>
        <v/>
      </c>
      <c r="J2411">
        <f>E2411*F2411</f>
        <v/>
      </c>
    </row>
    <row r="2412">
      <c r="A2412">
        <f>Sources!A2412</f>
        <v/>
      </c>
      <c r="B2412">
        <f>Sources!B2412</f>
        <v/>
      </c>
      <c r="C2412">
        <f>Sources!D2412</f>
        <v/>
      </c>
      <c r="D2412">
        <f>Sources!E2412</f>
        <v/>
      </c>
      <c r="E2412">
        <f>Sources!F2412</f>
        <v/>
      </c>
      <c r="F2412">
        <f>Sources!H2412</f>
        <v/>
      </c>
      <c r="G2412">
        <f>IF(ABS(F2412-ROUND(F2412,0))&lt;0.001,1,0)</f>
        <v/>
      </c>
      <c r="H2412">
        <f>IF(G2412=1,F2412,CEILING(F2412,1))</f>
        <v/>
      </c>
      <c r="I2412">
        <f>IF(G2412=1,0,(H2412-F2412)*E2412)</f>
        <v/>
      </c>
      <c r="J2412">
        <f>E2412*F2412</f>
        <v/>
      </c>
    </row>
    <row r="2413">
      <c r="A2413">
        <f>Sources!A2413</f>
        <v/>
      </c>
      <c r="B2413">
        <f>Sources!B2413</f>
        <v/>
      </c>
      <c r="C2413">
        <f>Sources!D2413</f>
        <v/>
      </c>
      <c r="D2413">
        <f>Sources!E2413</f>
        <v/>
      </c>
      <c r="E2413">
        <f>Sources!F2413</f>
        <v/>
      </c>
      <c r="F2413">
        <f>Sources!H2413</f>
        <v/>
      </c>
      <c r="G2413">
        <f>IF(ABS(F2413-ROUND(F2413,0))&lt;0.001,1,0)</f>
        <v/>
      </c>
      <c r="H2413">
        <f>IF(G2413=1,F2413,CEILING(F2413,1))</f>
        <v/>
      </c>
      <c r="I2413">
        <f>IF(G2413=1,0,(H2413-F2413)*E2413)</f>
        <v/>
      </c>
      <c r="J2413">
        <f>E2413*F2413</f>
        <v/>
      </c>
    </row>
    <row r="2414">
      <c r="A2414">
        <f>Sources!A2414</f>
        <v/>
      </c>
      <c r="B2414">
        <f>Sources!B2414</f>
        <v/>
      </c>
      <c r="C2414">
        <f>Sources!D2414</f>
        <v/>
      </c>
      <c r="D2414">
        <f>Sources!E2414</f>
        <v/>
      </c>
      <c r="E2414">
        <f>Sources!F2414</f>
        <v/>
      </c>
      <c r="F2414">
        <f>Sources!H2414</f>
        <v/>
      </c>
      <c r="G2414">
        <f>IF(ABS(F2414-ROUND(F2414,0))&lt;0.001,1,0)</f>
        <v/>
      </c>
      <c r="H2414">
        <f>IF(G2414=1,F2414,CEILING(F2414,1))</f>
        <v/>
      </c>
      <c r="I2414">
        <f>IF(G2414=1,0,(H2414-F2414)*E2414)</f>
        <v/>
      </c>
      <c r="J2414">
        <f>E2414*F2414</f>
        <v/>
      </c>
    </row>
    <row r="2415">
      <c r="A2415">
        <f>Sources!A2415</f>
        <v/>
      </c>
      <c r="B2415">
        <f>Sources!B2415</f>
        <v/>
      </c>
      <c r="C2415">
        <f>Sources!D2415</f>
        <v/>
      </c>
      <c r="D2415">
        <f>Sources!E2415</f>
        <v/>
      </c>
      <c r="E2415">
        <f>Sources!F2415</f>
        <v/>
      </c>
      <c r="F2415">
        <f>Sources!H2415</f>
        <v/>
      </c>
      <c r="G2415">
        <f>IF(ABS(F2415-ROUND(F2415,0))&lt;0.001,1,0)</f>
        <v/>
      </c>
      <c r="H2415">
        <f>IF(G2415=1,F2415,CEILING(F2415,1))</f>
        <v/>
      </c>
      <c r="I2415">
        <f>IF(G2415=1,0,(H2415-F2415)*E2415)</f>
        <v/>
      </c>
      <c r="J2415">
        <f>E2415*F2415</f>
        <v/>
      </c>
    </row>
    <row r="2416">
      <c r="A2416">
        <f>Sources!A2416</f>
        <v/>
      </c>
      <c r="B2416">
        <f>Sources!B2416</f>
        <v/>
      </c>
      <c r="C2416">
        <f>Sources!D2416</f>
        <v/>
      </c>
      <c r="D2416">
        <f>Sources!E2416</f>
        <v/>
      </c>
      <c r="E2416">
        <f>Sources!F2416</f>
        <v/>
      </c>
      <c r="F2416">
        <f>Sources!H2416</f>
        <v/>
      </c>
      <c r="G2416">
        <f>IF(ABS(F2416-ROUND(F2416,0))&lt;0.001,1,0)</f>
        <v/>
      </c>
      <c r="H2416">
        <f>IF(G2416=1,F2416,CEILING(F2416,1))</f>
        <v/>
      </c>
      <c r="I2416">
        <f>IF(G2416=1,0,(H2416-F2416)*E2416)</f>
        <v/>
      </c>
      <c r="J2416">
        <f>E2416*F2416</f>
        <v/>
      </c>
    </row>
    <row r="2417">
      <c r="A2417">
        <f>Sources!A2417</f>
        <v/>
      </c>
      <c r="B2417">
        <f>Sources!B2417</f>
        <v/>
      </c>
      <c r="C2417">
        <f>Sources!D2417</f>
        <v/>
      </c>
      <c r="D2417">
        <f>Sources!E2417</f>
        <v/>
      </c>
      <c r="E2417">
        <f>Sources!F2417</f>
        <v/>
      </c>
      <c r="F2417">
        <f>Sources!H2417</f>
        <v/>
      </c>
      <c r="G2417">
        <f>IF(ABS(F2417-ROUND(F2417,0))&lt;0.001,1,0)</f>
        <v/>
      </c>
      <c r="H2417">
        <f>IF(G2417=1,F2417,CEILING(F2417,1))</f>
        <v/>
      </c>
      <c r="I2417">
        <f>IF(G2417=1,0,(H2417-F2417)*E2417)</f>
        <v/>
      </c>
      <c r="J2417">
        <f>E2417*F2417</f>
        <v/>
      </c>
    </row>
    <row r="2418">
      <c r="A2418">
        <f>Sources!A2418</f>
        <v/>
      </c>
      <c r="B2418">
        <f>Sources!B2418</f>
        <v/>
      </c>
      <c r="C2418">
        <f>Sources!D2418</f>
        <v/>
      </c>
      <c r="D2418">
        <f>Sources!E2418</f>
        <v/>
      </c>
      <c r="E2418">
        <f>Sources!F2418</f>
        <v/>
      </c>
      <c r="F2418">
        <f>Sources!H2418</f>
        <v/>
      </c>
      <c r="G2418">
        <f>IF(ABS(F2418-ROUND(F2418,0))&lt;0.001,1,0)</f>
        <v/>
      </c>
      <c r="H2418">
        <f>IF(G2418=1,F2418,CEILING(F2418,1))</f>
        <v/>
      </c>
      <c r="I2418">
        <f>IF(G2418=1,0,(H2418-F2418)*E2418)</f>
        <v/>
      </c>
      <c r="J2418">
        <f>E2418*F2418</f>
        <v/>
      </c>
    </row>
    <row r="2419">
      <c r="A2419">
        <f>Sources!A2419</f>
        <v/>
      </c>
      <c r="B2419">
        <f>Sources!B2419</f>
        <v/>
      </c>
      <c r="C2419">
        <f>Sources!D2419</f>
        <v/>
      </c>
      <c r="D2419">
        <f>Sources!E2419</f>
        <v/>
      </c>
      <c r="E2419">
        <f>Sources!F2419</f>
        <v/>
      </c>
      <c r="F2419">
        <f>Sources!H2419</f>
        <v/>
      </c>
      <c r="G2419">
        <f>IF(ABS(F2419-ROUND(F2419,0))&lt;0.001,1,0)</f>
        <v/>
      </c>
      <c r="H2419">
        <f>IF(G2419=1,F2419,CEILING(F2419,1))</f>
        <v/>
      </c>
      <c r="I2419">
        <f>IF(G2419=1,0,(H2419-F2419)*E2419)</f>
        <v/>
      </c>
      <c r="J2419">
        <f>E2419*F2419</f>
        <v/>
      </c>
    </row>
    <row r="2420">
      <c r="A2420">
        <f>Sources!A2420</f>
        <v/>
      </c>
      <c r="B2420">
        <f>Sources!B2420</f>
        <v/>
      </c>
      <c r="C2420">
        <f>Sources!D2420</f>
        <v/>
      </c>
      <c r="D2420">
        <f>Sources!E2420</f>
        <v/>
      </c>
      <c r="E2420">
        <f>Sources!F2420</f>
        <v/>
      </c>
      <c r="F2420">
        <f>Sources!H2420</f>
        <v/>
      </c>
      <c r="G2420">
        <f>IF(ABS(F2420-ROUND(F2420,0))&lt;0.001,1,0)</f>
        <v/>
      </c>
      <c r="H2420">
        <f>IF(G2420=1,F2420,CEILING(F2420,1))</f>
        <v/>
      </c>
      <c r="I2420">
        <f>IF(G2420=1,0,(H2420-F2420)*E2420)</f>
        <v/>
      </c>
      <c r="J2420">
        <f>E2420*F2420</f>
        <v/>
      </c>
    </row>
    <row r="2421">
      <c r="A2421">
        <f>Sources!A2421</f>
        <v/>
      </c>
      <c r="B2421">
        <f>Sources!B2421</f>
        <v/>
      </c>
      <c r="C2421">
        <f>Sources!D2421</f>
        <v/>
      </c>
      <c r="D2421">
        <f>Sources!E2421</f>
        <v/>
      </c>
      <c r="E2421">
        <f>Sources!F2421</f>
        <v/>
      </c>
      <c r="F2421">
        <f>Sources!H2421</f>
        <v/>
      </c>
      <c r="G2421">
        <f>IF(ABS(F2421-ROUND(F2421,0))&lt;0.001,1,0)</f>
        <v/>
      </c>
      <c r="H2421">
        <f>IF(G2421=1,F2421,CEILING(F2421,1))</f>
        <v/>
      </c>
      <c r="I2421">
        <f>IF(G2421=1,0,(H2421-F2421)*E2421)</f>
        <v/>
      </c>
      <c r="J2421">
        <f>E2421*F2421</f>
        <v/>
      </c>
    </row>
    <row r="2422">
      <c r="A2422">
        <f>Sources!A2422</f>
        <v/>
      </c>
      <c r="B2422">
        <f>Sources!B2422</f>
        <v/>
      </c>
      <c r="C2422">
        <f>Sources!D2422</f>
        <v/>
      </c>
      <c r="D2422">
        <f>Sources!E2422</f>
        <v/>
      </c>
      <c r="E2422">
        <f>Sources!F2422</f>
        <v/>
      </c>
      <c r="F2422">
        <f>Sources!H2422</f>
        <v/>
      </c>
      <c r="G2422">
        <f>IF(ABS(F2422-ROUND(F2422,0))&lt;0.001,1,0)</f>
        <v/>
      </c>
      <c r="H2422">
        <f>IF(G2422=1,F2422,CEILING(F2422,1))</f>
        <v/>
      </c>
      <c r="I2422">
        <f>IF(G2422=1,0,(H2422-F2422)*E2422)</f>
        <v/>
      </c>
      <c r="J2422">
        <f>E2422*F2422</f>
        <v/>
      </c>
    </row>
    <row r="2423">
      <c r="A2423">
        <f>Sources!A2423</f>
        <v/>
      </c>
      <c r="B2423">
        <f>Sources!B2423</f>
        <v/>
      </c>
      <c r="C2423">
        <f>Sources!D2423</f>
        <v/>
      </c>
      <c r="D2423">
        <f>Sources!E2423</f>
        <v/>
      </c>
      <c r="E2423">
        <f>Sources!F2423</f>
        <v/>
      </c>
      <c r="F2423">
        <f>Sources!H2423</f>
        <v/>
      </c>
      <c r="G2423">
        <f>IF(ABS(F2423-ROUND(F2423,0))&lt;0.001,1,0)</f>
        <v/>
      </c>
      <c r="H2423">
        <f>IF(G2423=1,F2423,CEILING(F2423,1))</f>
        <v/>
      </c>
      <c r="I2423">
        <f>IF(G2423=1,0,(H2423-F2423)*E2423)</f>
        <v/>
      </c>
      <c r="J2423">
        <f>E2423*F2423</f>
        <v/>
      </c>
    </row>
    <row r="2424">
      <c r="A2424">
        <f>Sources!A2424</f>
        <v/>
      </c>
      <c r="B2424">
        <f>Sources!B2424</f>
        <v/>
      </c>
      <c r="C2424">
        <f>Sources!D2424</f>
        <v/>
      </c>
      <c r="D2424">
        <f>Sources!E2424</f>
        <v/>
      </c>
      <c r="E2424">
        <f>Sources!F2424</f>
        <v/>
      </c>
      <c r="F2424">
        <f>Sources!H2424</f>
        <v/>
      </c>
      <c r="G2424">
        <f>IF(ABS(F2424-ROUND(F2424,0))&lt;0.001,1,0)</f>
        <v/>
      </c>
      <c r="H2424">
        <f>IF(G2424=1,F2424,CEILING(F2424,1))</f>
        <v/>
      </c>
      <c r="I2424">
        <f>IF(G2424=1,0,(H2424-F2424)*E2424)</f>
        <v/>
      </c>
      <c r="J2424">
        <f>E2424*F2424</f>
        <v/>
      </c>
    </row>
    <row r="2425">
      <c r="A2425">
        <f>Sources!A2425</f>
        <v/>
      </c>
      <c r="B2425">
        <f>Sources!B2425</f>
        <v/>
      </c>
      <c r="C2425">
        <f>Sources!D2425</f>
        <v/>
      </c>
      <c r="D2425">
        <f>Sources!E2425</f>
        <v/>
      </c>
      <c r="E2425">
        <f>Sources!F2425</f>
        <v/>
      </c>
      <c r="F2425">
        <f>Sources!H2425</f>
        <v/>
      </c>
      <c r="G2425">
        <f>IF(ABS(F2425-ROUND(F2425,0))&lt;0.001,1,0)</f>
        <v/>
      </c>
      <c r="H2425">
        <f>IF(G2425=1,F2425,CEILING(F2425,1))</f>
        <v/>
      </c>
      <c r="I2425">
        <f>IF(G2425=1,0,(H2425-F2425)*E2425)</f>
        <v/>
      </c>
      <c r="J2425">
        <f>E2425*F2425</f>
        <v/>
      </c>
    </row>
    <row r="2426">
      <c r="A2426">
        <f>Sources!A2426</f>
        <v/>
      </c>
      <c r="B2426">
        <f>Sources!B2426</f>
        <v/>
      </c>
      <c r="C2426">
        <f>Sources!D2426</f>
        <v/>
      </c>
      <c r="D2426">
        <f>Sources!E2426</f>
        <v/>
      </c>
      <c r="E2426">
        <f>Sources!F2426</f>
        <v/>
      </c>
      <c r="F2426">
        <f>Sources!H2426</f>
        <v/>
      </c>
      <c r="G2426">
        <f>IF(ABS(F2426-ROUND(F2426,0))&lt;0.001,1,0)</f>
        <v/>
      </c>
      <c r="H2426">
        <f>IF(G2426=1,F2426,CEILING(F2426,1))</f>
        <v/>
      </c>
      <c r="I2426">
        <f>IF(G2426=1,0,(H2426-F2426)*E2426)</f>
        <v/>
      </c>
      <c r="J2426">
        <f>E2426*F2426</f>
        <v/>
      </c>
    </row>
    <row r="2427">
      <c r="A2427">
        <f>Sources!A2427</f>
        <v/>
      </c>
      <c r="B2427">
        <f>Sources!B2427</f>
        <v/>
      </c>
      <c r="C2427">
        <f>Sources!D2427</f>
        <v/>
      </c>
      <c r="D2427">
        <f>Sources!E2427</f>
        <v/>
      </c>
      <c r="E2427">
        <f>Sources!F2427</f>
        <v/>
      </c>
      <c r="F2427">
        <f>Sources!H2427</f>
        <v/>
      </c>
      <c r="G2427">
        <f>IF(ABS(F2427-ROUND(F2427,0))&lt;0.001,1,0)</f>
        <v/>
      </c>
      <c r="H2427">
        <f>IF(G2427=1,F2427,CEILING(F2427,1))</f>
        <v/>
      </c>
      <c r="I2427">
        <f>IF(G2427=1,0,(H2427-F2427)*E2427)</f>
        <v/>
      </c>
      <c r="J2427">
        <f>E2427*F2427</f>
        <v/>
      </c>
    </row>
    <row r="2428">
      <c r="A2428">
        <f>Sources!A2428</f>
        <v/>
      </c>
      <c r="B2428">
        <f>Sources!B2428</f>
        <v/>
      </c>
      <c r="C2428">
        <f>Sources!D2428</f>
        <v/>
      </c>
      <c r="D2428">
        <f>Sources!E2428</f>
        <v/>
      </c>
      <c r="E2428">
        <f>Sources!F2428</f>
        <v/>
      </c>
      <c r="F2428">
        <f>Sources!H2428</f>
        <v/>
      </c>
      <c r="G2428">
        <f>IF(ABS(F2428-ROUND(F2428,0))&lt;0.001,1,0)</f>
        <v/>
      </c>
      <c r="H2428">
        <f>IF(G2428=1,F2428,CEILING(F2428,1))</f>
        <v/>
      </c>
      <c r="I2428">
        <f>IF(G2428=1,0,(H2428-F2428)*E2428)</f>
        <v/>
      </c>
      <c r="J2428">
        <f>E2428*F2428</f>
        <v/>
      </c>
    </row>
    <row r="2429">
      <c r="A2429">
        <f>Sources!A2429</f>
        <v/>
      </c>
      <c r="B2429">
        <f>Sources!B2429</f>
        <v/>
      </c>
      <c r="C2429">
        <f>Sources!D2429</f>
        <v/>
      </c>
      <c r="D2429">
        <f>Sources!E2429</f>
        <v/>
      </c>
      <c r="E2429">
        <f>Sources!F2429</f>
        <v/>
      </c>
      <c r="F2429">
        <f>Sources!H2429</f>
        <v/>
      </c>
      <c r="G2429">
        <f>IF(ABS(F2429-ROUND(F2429,0))&lt;0.001,1,0)</f>
        <v/>
      </c>
      <c r="H2429">
        <f>IF(G2429=1,F2429,CEILING(F2429,1))</f>
        <v/>
      </c>
      <c r="I2429">
        <f>IF(G2429=1,0,(H2429-F2429)*E2429)</f>
        <v/>
      </c>
      <c r="J2429">
        <f>E2429*F2429</f>
        <v/>
      </c>
    </row>
    <row r="2430">
      <c r="A2430">
        <f>Sources!A2430</f>
        <v/>
      </c>
      <c r="B2430">
        <f>Sources!B2430</f>
        <v/>
      </c>
      <c r="C2430">
        <f>Sources!D2430</f>
        <v/>
      </c>
      <c r="D2430">
        <f>Sources!E2430</f>
        <v/>
      </c>
      <c r="E2430">
        <f>Sources!F2430</f>
        <v/>
      </c>
      <c r="F2430">
        <f>Sources!H2430</f>
        <v/>
      </c>
      <c r="G2430">
        <f>IF(ABS(F2430-ROUND(F2430,0))&lt;0.001,1,0)</f>
        <v/>
      </c>
      <c r="H2430">
        <f>IF(G2430=1,F2430,CEILING(F2430,1))</f>
        <v/>
      </c>
      <c r="I2430">
        <f>IF(G2430=1,0,(H2430-F2430)*E2430)</f>
        <v/>
      </c>
      <c r="J2430">
        <f>E2430*F2430</f>
        <v/>
      </c>
    </row>
    <row r="2431">
      <c r="A2431">
        <f>Sources!A2431</f>
        <v/>
      </c>
      <c r="B2431">
        <f>Sources!B2431</f>
        <v/>
      </c>
      <c r="C2431">
        <f>Sources!D2431</f>
        <v/>
      </c>
      <c r="D2431">
        <f>Sources!E2431</f>
        <v/>
      </c>
      <c r="E2431">
        <f>Sources!F2431</f>
        <v/>
      </c>
      <c r="F2431">
        <f>Sources!H2431</f>
        <v/>
      </c>
      <c r="G2431">
        <f>IF(ABS(F2431-ROUND(F2431,0))&lt;0.001,1,0)</f>
        <v/>
      </c>
      <c r="H2431">
        <f>IF(G2431=1,F2431,CEILING(F2431,1))</f>
        <v/>
      </c>
      <c r="I2431">
        <f>IF(G2431=1,0,(H2431-F2431)*E2431)</f>
        <v/>
      </c>
      <c r="J2431">
        <f>E2431*F2431</f>
        <v/>
      </c>
    </row>
    <row r="2432">
      <c r="A2432">
        <f>Sources!A2432</f>
        <v/>
      </c>
      <c r="B2432">
        <f>Sources!B2432</f>
        <v/>
      </c>
      <c r="C2432">
        <f>Sources!D2432</f>
        <v/>
      </c>
      <c r="D2432">
        <f>Sources!E2432</f>
        <v/>
      </c>
      <c r="E2432">
        <f>Sources!F2432</f>
        <v/>
      </c>
      <c r="F2432">
        <f>Sources!H2432</f>
        <v/>
      </c>
      <c r="G2432">
        <f>IF(ABS(F2432-ROUND(F2432,0))&lt;0.001,1,0)</f>
        <v/>
      </c>
      <c r="H2432">
        <f>IF(G2432=1,F2432,CEILING(F2432,1))</f>
        <v/>
      </c>
      <c r="I2432">
        <f>IF(G2432=1,0,(H2432-F2432)*E2432)</f>
        <v/>
      </c>
      <c r="J2432">
        <f>E2432*F2432</f>
        <v/>
      </c>
    </row>
    <row r="2433">
      <c r="A2433">
        <f>Sources!A2433</f>
        <v/>
      </c>
      <c r="B2433">
        <f>Sources!B2433</f>
        <v/>
      </c>
      <c r="C2433">
        <f>Sources!D2433</f>
        <v/>
      </c>
      <c r="D2433">
        <f>Sources!E2433</f>
        <v/>
      </c>
      <c r="E2433">
        <f>Sources!F2433</f>
        <v/>
      </c>
      <c r="F2433">
        <f>Sources!H2433</f>
        <v/>
      </c>
      <c r="G2433">
        <f>IF(ABS(F2433-ROUND(F2433,0))&lt;0.001,1,0)</f>
        <v/>
      </c>
      <c r="H2433">
        <f>IF(G2433=1,F2433,CEILING(F2433,1))</f>
        <v/>
      </c>
      <c r="I2433">
        <f>IF(G2433=1,0,(H2433-F2433)*E2433)</f>
        <v/>
      </c>
      <c r="J2433">
        <f>E2433*F2433</f>
        <v/>
      </c>
    </row>
    <row r="2434">
      <c r="A2434">
        <f>Sources!A2434</f>
        <v/>
      </c>
      <c r="B2434">
        <f>Sources!B2434</f>
        <v/>
      </c>
      <c r="C2434">
        <f>Sources!D2434</f>
        <v/>
      </c>
      <c r="D2434">
        <f>Sources!E2434</f>
        <v/>
      </c>
      <c r="E2434">
        <f>Sources!F2434</f>
        <v/>
      </c>
      <c r="F2434">
        <f>Sources!H2434</f>
        <v/>
      </c>
      <c r="G2434">
        <f>IF(ABS(F2434-ROUND(F2434,0))&lt;0.001,1,0)</f>
        <v/>
      </c>
      <c r="H2434">
        <f>IF(G2434=1,F2434,CEILING(F2434,1))</f>
        <v/>
      </c>
      <c r="I2434">
        <f>IF(G2434=1,0,(H2434-F2434)*E2434)</f>
        <v/>
      </c>
      <c r="J2434">
        <f>E2434*F2434</f>
        <v/>
      </c>
    </row>
    <row r="2435">
      <c r="A2435">
        <f>Sources!A2435</f>
        <v/>
      </c>
      <c r="B2435">
        <f>Sources!B2435</f>
        <v/>
      </c>
      <c r="C2435">
        <f>Sources!D2435</f>
        <v/>
      </c>
      <c r="D2435">
        <f>Sources!E2435</f>
        <v/>
      </c>
      <c r="E2435">
        <f>Sources!F2435</f>
        <v/>
      </c>
      <c r="F2435">
        <f>Sources!H2435</f>
        <v/>
      </c>
      <c r="G2435">
        <f>IF(ABS(F2435-ROUND(F2435,0))&lt;0.001,1,0)</f>
        <v/>
      </c>
      <c r="H2435">
        <f>IF(G2435=1,F2435,CEILING(F2435,1))</f>
        <v/>
      </c>
      <c r="I2435">
        <f>IF(G2435=1,0,(H2435-F2435)*E2435)</f>
        <v/>
      </c>
      <c r="J2435">
        <f>E2435*F2435</f>
        <v/>
      </c>
    </row>
    <row r="2436">
      <c r="A2436">
        <f>Sources!A2436</f>
        <v/>
      </c>
      <c r="B2436">
        <f>Sources!B2436</f>
        <v/>
      </c>
      <c r="C2436">
        <f>Sources!D2436</f>
        <v/>
      </c>
      <c r="D2436">
        <f>Sources!E2436</f>
        <v/>
      </c>
      <c r="E2436">
        <f>Sources!F2436</f>
        <v/>
      </c>
      <c r="F2436">
        <f>Sources!H2436</f>
        <v/>
      </c>
      <c r="G2436">
        <f>IF(ABS(F2436-ROUND(F2436,0))&lt;0.001,1,0)</f>
        <v/>
      </c>
      <c r="H2436">
        <f>IF(G2436=1,F2436,CEILING(F2436,1))</f>
        <v/>
      </c>
      <c r="I2436">
        <f>IF(G2436=1,0,(H2436-F2436)*E2436)</f>
        <v/>
      </c>
      <c r="J2436">
        <f>E2436*F2436</f>
        <v/>
      </c>
    </row>
    <row r="2437">
      <c r="A2437">
        <f>Sources!A2437</f>
        <v/>
      </c>
      <c r="B2437">
        <f>Sources!B2437</f>
        <v/>
      </c>
      <c r="C2437">
        <f>Sources!D2437</f>
        <v/>
      </c>
      <c r="D2437">
        <f>Sources!E2437</f>
        <v/>
      </c>
      <c r="E2437">
        <f>Sources!F2437</f>
        <v/>
      </c>
      <c r="F2437">
        <f>Sources!H2437</f>
        <v/>
      </c>
      <c r="G2437">
        <f>IF(ABS(F2437-ROUND(F2437,0))&lt;0.001,1,0)</f>
        <v/>
      </c>
      <c r="H2437">
        <f>IF(G2437=1,F2437,CEILING(F2437,1))</f>
        <v/>
      </c>
      <c r="I2437">
        <f>IF(G2437=1,0,(H2437-F2437)*E2437)</f>
        <v/>
      </c>
      <c r="J2437">
        <f>E2437*F2437</f>
        <v/>
      </c>
    </row>
    <row r="2438">
      <c r="A2438">
        <f>Sources!A2438</f>
        <v/>
      </c>
      <c r="B2438">
        <f>Sources!B2438</f>
        <v/>
      </c>
      <c r="C2438">
        <f>Sources!D2438</f>
        <v/>
      </c>
      <c r="D2438">
        <f>Sources!E2438</f>
        <v/>
      </c>
      <c r="E2438">
        <f>Sources!F2438</f>
        <v/>
      </c>
      <c r="F2438">
        <f>Sources!H2438</f>
        <v/>
      </c>
      <c r="G2438">
        <f>IF(ABS(F2438-ROUND(F2438,0))&lt;0.001,1,0)</f>
        <v/>
      </c>
      <c r="H2438">
        <f>IF(G2438=1,F2438,CEILING(F2438,1))</f>
        <v/>
      </c>
      <c r="I2438">
        <f>IF(G2438=1,0,(H2438-F2438)*E2438)</f>
        <v/>
      </c>
      <c r="J2438">
        <f>E2438*F2438</f>
        <v/>
      </c>
    </row>
    <row r="2439">
      <c r="A2439">
        <f>Sources!A2439</f>
        <v/>
      </c>
      <c r="B2439">
        <f>Sources!B2439</f>
        <v/>
      </c>
      <c r="C2439">
        <f>Sources!D2439</f>
        <v/>
      </c>
      <c r="D2439">
        <f>Sources!E2439</f>
        <v/>
      </c>
      <c r="E2439">
        <f>Sources!F2439</f>
        <v/>
      </c>
      <c r="F2439">
        <f>Sources!H2439</f>
        <v/>
      </c>
      <c r="G2439">
        <f>IF(ABS(F2439-ROUND(F2439,0))&lt;0.001,1,0)</f>
        <v/>
      </c>
      <c r="H2439">
        <f>IF(G2439=1,F2439,CEILING(F2439,1))</f>
        <v/>
      </c>
      <c r="I2439">
        <f>IF(G2439=1,0,(H2439-F2439)*E2439)</f>
        <v/>
      </c>
      <c r="J2439">
        <f>E2439*F2439</f>
        <v/>
      </c>
    </row>
    <row r="2440">
      <c r="A2440">
        <f>Sources!A2440</f>
        <v/>
      </c>
      <c r="B2440">
        <f>Sources!B2440</f>
        <v/>
      </c>
      <c r="C2440">
        <f>Sources!D2440</f>
        <v/>
      </c>
      <c r="D2440">
        <f>Sources!E2440</f>
        <v/>
      </c>
      <c r="E2440">
        <f>Sources!F2440</f>
        <v/>
      </c>
      <c r="F2440">
        <f>Sources!H2440</f>
        <v/>
      </c>
      <c r="G2440">
        <f>IF(ABS(F2440-ROUND(F2440,0))&lt;0.001,1,0)</f>
        <v/>
      </c>
      <c r="H2440">
        <f>IF(G2440=1,F2440,CEILING(F2440,1))</f>
        <v/>
      </c>
      <c r="I2440">
        <f>IF(G2440=1,0,(H2440-F2440)*E2440)</f>
        <v/>
      </c>
      <c r="J2440">
        <f>E2440*F2440</f>
        <v/>
      </c>
    </row>
    <row r="2441">
      <c r="A2441">
        <f>Sources!A2441</f>
        <v/>
      </c>
      <c r="B2441">
        <f>Sources!B2441</f>
        <v/>
      </c>
      <c r="C2441">
        <f>Sources!D2441</f>
        <v/>
      </c>
      <c r="D2441">
        <f>Sources!E2441</f>
        <v/>
      </c>
      <c r="E2441">
        <f>Sources!F2441</f>
        <v/>
      </c>
      <c r="F2441">
        <f>Sources!H2441</f>
        <v/>
      </c>
      <c r="G2441">
        <f>IF(ABS(F2441-ROUND(F2441,0))&lt;0.001,1,0)</f>
        <v/>
      </c>
      <c r="H2441">
        <f>IF(G2441=1,F2441,CEILING(F2441,1))</f>
        <v/>
      </c>
      <c r="I2441">
        <f>IF(G2441=1,0,(H2441-F2441)*E2441)</f>
        <v/>
      </c>
      <c r="J2441">
        <f>E2441*F2441</f>
        <v/>
      </c>
    </row>
    <row r="2442">
      <c r="A2442">
        <f>Sources!A2442</f>
        <v/>
      </c>
      <c r="B2442">
        <f>Sources!B2442</f>
        <v/>
      </c>
      <c r="C2442">
        <f>Sources!D2442</f>
        <v/>
      </c>
      <c r="D2442">
        <f>Sources!E2442</f>
        <v/>
      </c>
      <c r="E2442">
        <f>Sources!F2442</f>
        <v/>
      </c>
      <c r="F2442">
        <f>Sources!H2442</f>
        <v/>
      </c>
      <c r="G2442">
        <f>IF(ABS(F2442-ROUND(F2442,0))&lt;0.001,1,0)</f>
        <v/>
      </c>
      <c r="H2442">
        <f>IF(G2442=1,F2442,CEILING(F2442,1))</f>
        <v/>
      </c>
      <c r="I2442">
        <f>IF(G2442=1,0,(H2442-F2442)*E2442)</f>
        <v/>
      </c>
      <c r="J2442">
        <f>E2442*F2442</f>
        <v/>
      </c>
    </row>
    <row r="2443">
      <c r="A2443">
        <f>Sources!A2443</f>
        <v/>
      </c>
      <c r="B2443">
        <f>Sources!B2443</f>
        <v/>
      </c>
      <c r="C2443">
        <f>Sources!D2443</f>
        <v/>
      </c>
      <c r="D2443">
        <f>Sources!E2443</f>
        <v/>
      </c>
      <c r="E2443">
        <f>Sources!F2443</f>
        <v/>
      </c>
      <c r="F2443">
        <f>Sources!H2443</f>
        <v/>
      </c>
      <c r="G2443">
        <f>IF(ABS(F2443-ROUND(F2443,0))&lt;0.001,1,0)</f>
        <v/>
      </c>
      <c r="H2443">
        <f>IF(G2443=1,F2443,CEILING(F2443,1))</f>
        <v/>
      </c>
      <c r="I2443">
        <f>IF(G2443=1,0,(H2443-F2443)*E2443)</f>
        <v/>
      </c>
      <c r="J2443">
        <f>E2443*F2443</f>
        <v/>
      </c>
    </row>
    <row r="2444">
      <c r="A2444">
        <f>Sources!A2444</f>
        <v/>
      </c>
      <c r="B2444">
        <f>Sources!B2444</f>
        <v/>
      </c>
      <c r="C2444">
        <f>Sources!D2444</f>
        <v/>
      </c>
      <c r="D2444">
        <f>Sources!E2444</f>
        <v/>
      </c>
      <c r="E2444">
        <f>Sources!F2444</f>
        <v/>
      </c>
      <c r="F2444">
        <f>Sources!H2444</f>
        <v/>
      </c>
      <c r="G2444">
        <f>IF(ABS(F2444-ROUND(F2444,0))&lt;0.001,1,0)</f>
        <v/>
      </c>
      <c r="H2444">
        <f>IF(G2444=1,F2444,CEILING(F2444,1))</f>
        <v/>
      </c>
      <c r="I2444">
        <f>IF(G2444=1,0,(H2444-F2444)*E2444)</f>
        <v/>
      </c>
      <c r="J2444">
        <f>E2444*F2444</f>
        <v/>
      </c>
    </row>
    <row r="2445">
      <c r="A2445">
        <f>Sources!A2445</f>
        <v/>
      </c>
      <c r="B2445">
        <f>Sources!B2445</f>
        <v/>
      </c>
      <c r="C2445">
        <f>Sources!D2445</f>
        <v/>
      </c>
      <c r="D2445">
        <f>Sources!E2445</f>
        <v/>
      </c>
      <c r="E2445">
        <f>Sources!F2445</f>
        <v/>
      </c>
      <c r="F2445">
        <f>Sources!H2445</f>
        <v/>
      </c>
      <c r="G2445">
        <f>IF(ABS(F2445-ROUND(F2445,0))&lt;0.001,1,0)</f>
        <v/>
      </c>
      <c r="H2445">
        <f>IF(G2445=1,F2445,CEILING(F2445,1))</f>
        <v/>
      </c>
      <c r="I2445">
        <f>IF(G2445=1,0,(H2445-F2445)*E2445)</f>
        <v/>
      </c>
      <c r="J2445">
        <f>E2445*F2445</f>
        <v/>
      </c>
    </row>
    <row r="2446">
      <c r="A2446">
        <f>Sources!A2446</f>
        <v/>
      </c>
      <c r="B2446">
        <f>Sources!B2446</f>
        <v/>
      </c>
      <c r="C2446">
        <f>Sources!D2446</f>
        <v/>
      </c>
      <c r="D2446">
        <f>Sources!E2446</f>
        <v/>
      </c>
      <c r="E2446">
        <f>Sources!F2446</f>
        <v/>
      </c>
      <c r="F2446">
        <f>Sources!H2446</f>
        <v/>
      </c>
      <c r="G2446">
        <f>IF(ABS(F2446-ROUND(F2446,0))&lt;0.001,1,0)</f>
        <v/>
      </c>
      <c r="H2446">
        <f>IF(G2446=1,F2446,CEILING(F2446,1))</f>
        <v/>
      </c>
      <c r="I2446">
        <f>IF(G2446=1,0,(H2446-F2446)*E2446)</f>
        <v/>
      </c>
      <c r="J2446">
        <f>E2446*F2446</f>
        <v/>
      </c>
    </row>
    <row r="2447">
      <c r="A2447">
        <f>Sources!A2447</f>
        <v/>
      </c>
      <c r="B2447">
        <f>Sources!B2447</f>
        <v/>
      </c>
      <c r="C2447">
        <f>Sources!D2447</f>
        <v/>
      </c>
      <c r="D2447">
        <f>Sources!E2447</f>
        <v/>
      </c>
      <c r="E2447">
        <f>Sources!F2447</f>
        <v/>
      </c>
      <c r="F2447">
        <f>Sources!H2447</f>
        <v/>
      </c>
      <c r="G2447">
        <f>IF(ABS(F2447-ROUND(F2447,0))&lt;0.001,1,0)</f>
        <v/>
      </c>
      <c r="H2447">
        <f>IF(G2447=1,F2447,CEILING(F2447,1))</f>
        <v/>
      </c>
      <c r="I2447">
        <f>IF(G2447=1,0,(H2447-F2447)*E2447)</f>
        <v/>
      </c>
      <c r="J2447">
        <f>E2447*F2447</f>
        <v/>
      </c>
    </row>
    <row r="2448">
      <c r="A2448">
        <f>Sources!A2448</f>
        <v/>
      </c>
      <c r="B2448">
        <f>Sources!B2448</f>
        <v/>
      </c>
      <c r="C2448">
        <f>Sources!D2448</f>
        <v/>
      </c>
      <c r="D2448">
        <f>Sources!E2448</f>
        <v/>
      </c>
      <c r="E2448">
        <f>Sources!F2448</f>
        <v/>
      </c>
      <c r="F2448">
        <f>Sources!H2448</f>
        <v/>
      </c>
      <c r="G2448">
        <f>IF(ABS(F2448-ROUND(F2448,0))&lt;0.001,1,0)</f>
        <v/>
      </c>
      <c r="H2448">
        <f>IF(G2448=1,F2448,CEILING(F2448,1))</f>
        <v/>
      </c>
      <c r="I2448">
        <f>IF(G2448=1,0,(H2448-F2448)*E2448)</f>
        <v/>
      </c>
      <c r="J2448">
        <f>E2448*F2448</f>
        <v/>
      </c>
    </row>
    <row r="2449">
      <c r="A2449">
        <f>Sources!A2449</f>
        <v/>
      </c>
      <c r="B2449">
        <f>Sources!B2449</f>
        <v/>
      </c>
      <c r="C2449">
        <f>Sources!D2449</f>
        <v/>
      </c>
      <c r="D2449">
        <f>Sources!E2449</f>
        <v/>
      </c>
      <c r="E2449">
        <f>Sources!F2449</f>
        <v/>
      </c>
      <c r="F2449">
        <f>Sources!H2449</f>
        <v/>
      </c>
      <c r="G2449">
        <f>IF(ABS(F2449-ROUND(F2449,0))&lt;0.001,1,0)</f>
        <v/>
      </c>
      <c r="H2449">
        <f>IF(G2449=1,F2449,CEILING(F2449,1))</f>
        <v/>
      </c>
      <c r="I2449">
        <f>IF(G2449=1,0,(H2449-F2449)*E2449)</f>
        <v/>
      </c>
      <c r="J2449">
        <f>E2449*F2449</f>
        <v/>
      </c>
    </row>
    <row r="2450">
      <c r="A2450">
        <f>Sources!A2450</f>
        <v/>
      </c>
      <c r="B2450">
        <f>Sources!B2450</f>
        <v/>
      </c>
      <c r="C2450">
        <f>Sources!D2450</f>
        <v/>
      </c>
      <c r="D2450">
        <f>Sources!E2450</f>
        <v/>
      </c>
      <c r="E2450">
        <f>Sources!F2450</f>
        <v/>
      </c>
      <c r="F2450">
        <f>Sources!H2450</f>
        <v/>
      </c>
      <c r="G2450">
        <f>IF(ABS(F2450-ROUND(F2450,0))&lt;0.001,1,0)</f>
        <v/>
      </c>
      <c r="H2450">
        <f>IF(G2450=1,F2450,CEILING(F2450,1))</f>
        <v/>
      </c>
      <c r="I2450">
        <f>IF(G2450=1,0,(H2450-F2450)*E2450)</f>
        <v/>
      </c>
      <c r="J2450">
        <f>E2450*F2450</f>
        <v/>
      </c>
    </row>
    <row r="2451">
      <c r="A2451">
        <f>Sources!A2451</f>
        <v/>
      </c>
      <c r="B2451">
        <f>Sources!B2451</f>
        <v/>
      </c>
      <c r="C2451">
        <f>Sources!D2451</f>
        <v/>
      </c>
      <c r="D2451">
        <f>Sources!E2451</f>
        <v/>
      </c>
      <c r="E2451">
        <f>Sources!F2451</f>
        <v/>
      </c>
      <c r="F2451">
        <f>Sources!H2451</f>
        <v/>
      </c>
      <c r="G2451">
        <f>IF(ABS(F2451-ROUND(F2451,0))&lt;0.001,1,0)</f>
        <v/>
      </c>
      <c r="H2451">
        <f>IF(G2451=1,F2451,CEILING(F2451,1))</f>
        <v/>
      </c>
      <c r="I2451">
        <f>IF(G2451=1,0,(H2451-F2451)*E2451)</f>
        <v/>
      </c>
      <c r="J2451">
        <f>E2451*F2451</f>
        <v/>
      </c>
    </row>
    <row r="2452">
      <c r="A2452">
        <f>Sources!A2452</f>
        <v/>
      </c>
      <c r="B2452">
        <f>Sources!B2452</f>
        <v/>
      </c>
      <c r="C2452">
        <f>Sources!D2452</f>
        <v/>
      </c>
      <c r="D2452">
        <f>Sources!E2452</f>
        <v/>
      </c>
      <c r="E2452">
        <f>Sources!F2452</f>
        <v/>
      </c>
      <c r="F2452">
        <f>Sources!H2452</f>
        <v/>
      </c>
      <c r="G2452">
        <f>IF(ABS(F2452-ROUND(F2452,0))&lt;0.001,1,0)</f>
        <v/>
      </c>
      <c r="H2452">
        <f>IF(G2452=1,F2452,CEILING(F2452,1))</f>
        <v/>
      </c>
      <c r="I2452">
        <f>IF(G2452=1,0,(H2452-F2452)*E2452)</f>
        <v/>
      </c>
      <c r="J2452">
        <f>E2452*F2452</f>
        <v/>
      </c>
    </row>
    <row r="2453">
      <c r="A2453">
        <f>Sources!A2453</f>
        <v/>
      </c>
      <c r="B2453">
        <f>Sources!B2453</f>
        <v/>
      </c>
      <c r="C2453">
        <f>Sources!D2453</f>
        <v/>
      </c>
      <c r="D2453">
        <f>Sources!E2453</f>
        <v/>
      </c>
      <c r="E2453">
        <f>Sources!F2453</f>
        <v/>
      </c>
      <c r="F2453">
        <f>Sources!H2453</f>
        <v/>
      </c>
      <c r="G2453">
        <f>IF(ABS(F2453-ROUND(F2453,0))&lt;0.001,1,0)</f>
        <v/>
      </c>
      <c r="H2453">
        <f>IF(G2453=1,F2453,CEILING(F2453,1))</f>
        <v/>
      </c>
      <c r="I2453">
        <f>IF(G2453=1,0,(H2453-F2453)*E2453)</f>
        <v/>
      </c>
      <c r="J2453">
        <f>E2453*F2453</f>
        <v/>
      </c>
    </row>
    <row r="2454">
      <c r="A2454">
        <f>Sources!A2454</f>
        <v/>
      </c>
      <c r="B2454">
        <f>Sources!B2454</f>
        <v/>
      </c>
      <c r="C2454">
        <f>Sources!D2454</f>
        <v/>
      </c>
      <c r="D2454">
        <f>Sources!E2454</f>
        <v/>
      </c>
      <c r="E2454">
        <f>Sources!F2454</f>
        <v/>
      </c>
      <c r="F2454">
        <f>Sources!H2454</f>
        <v/>
      </c>
      <c r="G2454">
        <f>IF(ABS(F2454-ROUND(F2454,0))&lt;0.001,1,0)</f>
        <v/>
      </c>
      <c r="H2454">
        <f>IF(G2454=1,F2454,CEILING(F2454,1))</f>
        <v/>
      </c>
      <c r="I2454">
        <f>IF(G2454=1,0,(H2454-F2454)*E2454)</f>
        <v/>
      </c>
      <c r="J2454">
        <f>E2454*F2454</f>
        <v/>
      </c>
    </row>
    <row r="2455">
      <c r="A2455">
        <f>Sources!A2455</f>
        <v/>
      </c>
      <c r="B2455">
        <f>Sources!B2455</f>
        <v/>
      </c>
      <c r="C2455">
        <f>Sources!D2455</f>
        <v/>
      </c>
      <c r="D2455">
        <f>Sources!E2455</f>
        <v/>
      </c>
      <c r="E2455">
        <f>Sources!F2455</f>
        <v/>
      </c>
      <c r="F2455">
        <f>Sources!H2455</f>
        <v/>
      </c>
      <c r="G2455">
        <f>IF(ABS(F2455-ROUND(F2455,0))&lt;0.001,1,0)</f>
        <v/>
      </c>
      <c r="H2455">
        <f>IF(G2455=1,F2455,CEILING(F2455,1))</f>
        <v/>
      </c>
      <c r="I2455">
        <f>IF(G2455=1,0,(H2455-F2455)*E2455)</f>
        <v/>
      </c>
      <c r="J2455">
        <f>E2455*F2455</f>
        <v/>
      </c>
    </row>
    <row r="2456">
      <c r="A2456">
        <f>Sources!A2456</f>
        <v/>
      </c>
      <c r="B2456">
        <f>Sources!B2456</f>
        <v/>
      </c>
      <c r="C2456">
        <f>Sources!D2456</f>
        <v/>
      </c>
      <c r="D2456">
        <f>Sources!E2456</f>
        <v/>
      </c>
      <c r="E2456">
        <f>Sources!F2456</f>
        <v/>
      </c>
      <c r="F2456">
        <f>Sources!H2456</f>
        <v/>
      </c>
      <c r="G2456">
        <f>IF(ABS(F2456-ROUND(F2456,0))&lt;0.001,1,0)</f>
        <v/>
      </c>
      <c r="H2456">
        <f>IF(G2456=1,F2456,CEILING(F2456,1))</f>
        <v/>
      </c>
      <c r="I2456">
        <f>IF(G2456=1,0,(H2456-F2456)*E2456)</f>
        <v/>
      </c>
      <c r="J2456">
        <f>E2456*F2456</f>
        <v/>
      </c>
    </row>
    <row r="2457">
      <c r="A2457">
        <f>Sources!A2457</f>
        <v/>
      </c>
      <c r="B2457">
        <f>Sources!B2457</f>
        <v/>
      </c>
      <c r="C2457">
        <f>Sources!D2457</f>
        <v/>
      </c>
      <c r="D2457">
        <f>Sources!E2457</f>
        <v/>
      </c>
      <c r="E2457">
        <f>Sources!F2457</f>
        <v/>
      </c>
      <c r="F2457">
        <f>Sources!H2457</f>
        <v/>
      </c>
      <c r="G2457">
        <f>IF(ABS(F2457-ROUND(F2457,0))&lt;0.001,1,0)</f>
        <v/>
      </c>
      <c r="H2457">
        <f>IF(G2457=1,F2457,CEILING(F2457,1))</f>
        <v/>
      </c>
      <c r="I2457">
        <f>IF(G2457=1,0,(H2457-F2457)*E2457)</f>
        <v/>
      </c>
      <c r="J2457">
        <f>E2457*F2457</f>
        <v/>
      </c>
    </row>
    <row r="2458">
      <c r="A2458">
        <f>Sources!A2458</f>
        <v/>
      </c>
      <c r="B2458">
        <f>Sources!B2458</f>
        <v/>
      </c>
      <c r="C2458">
        <f>Sources!D2458</f>
        <v/>
      </c>
      <c r="D2458">
        <f>Sources!E2458</f>
        <v/>
      </c>
      <c r="E2458">
        <f>Sources!F2458</f>
        <v/>
      </c>
      <c r="F2458">
        <f>Sources!H2458</f>
        <v/>
      </c>
      <c r="G2458">
        <f>IF(ABS(F2458-ROUND(F2458,0))&lt;0.001,1,0)</f>
        <v/>
      </c>
      <c r="H2458">
        <f>IF(G2458=1,F2458,CEILING(F2458,1))</f>
        <v/>
      </c>
      <c r="I2458">
        <f>IF(G2458=1,0,(H2458-F2458)*E2458)</f>
        <v/>
      </c>
      <c r="J2458">
        <f>E2458*F2458</f>
        <v/>
      </c>
    </row>
    <row r="2459">
      <c r="A2459">
        <f>Sources!A2459</f>
        <v/>
      </c>
      <c r="B2459">
        <f>Sources!B2459</f>
        <v/>
      </c>
      <c r="C2459">
        <f>Sources!D2459</f>
        <v/>
      </c>
      <c r="D2459">
        <f>Sources!E2459</f>
        <v/>
      </c>
      <c r="E2459">
        <f>Sources!F2459</f>
        <v/>
      </c>
      <c r="F2459">
        <f>Sources!H2459</f>
        <v/>
      </c>
      <c r="G2459">
        <f>IF(ABS(F2459-ROUND(F2459,0))&lt;0.001,1,0)</f>
        <v/>
      </c>
      <c r="H2459">
        <f>IF(G2459=1,F2459,CEILING(F2459,1))</f>
        <v/>
      </c>
      <c r="I2459">
        <f>IF(G2459=1,0,(H2459-F2459)*E2459)</f>
        <v/>
      </c>
      <c r="J2459">
        <f>E2459*F2459</f>
        <v/>
      </c>
    </row>
    <row r="2460">
      <c r="A2460">
        <f>Sources!A2460</f>
        <v/>
      </c>
      <c r="B2460">
        <f>Sources!B2460</f>
        <v/>
      </c>
      <c r="C2460">
        <f>Sources!D2460</f>
        <v/>
      </c>
      <c r="D2460">
        <f>Sources!E2460</f>
        <v/>
      </c>
      <c r="E2460">
        <f>Sources!F2460</f>
        <v/>
      </c>
      <c r="F2460">
        <f>Sources!H2460</f>
        <v/>
      </c>
      <c r="G2460">
        <f>IF(ABS(F2460-ROUND(F2460,0))&lt;0.001,1,0)</f>
        <v/>
      </c>
      <c r="H2460">
        <f>IF(G2460=1,F2460,CEILING(F2460,1))</f>
        <v/>
      </c>
      <c r="I2460">
        <f>IF(G2460=1,0,(H2460-F2460)*E2460)</f>
        <v/>
      </c>
      <c r="J2460">
        <f>E2460*F2460</f>
        <v/>
      </c>
    </row>
    <row r="2461">
      <c r="A2461">
        <f>Sources!A2461</f>
        <v/>
      </c>
      <c r="B2461">
        <f>Sources!B2461</f>
        <v/>
      </c>
      <c r="C2461">
        <f>Sources!D2461</f>
        <v/>
      </c>
      <c r="D2461">
        <f>Sources!E2461</f>
        <v/>
      </c>
      <c r="E2461">
        <f>Sources!F2461</f>
        <v/>
      </c>
      <c r="F2461">
        <f>Sources!H2461</f>
        <v/>
      </c>
      <c r="G2461">
        <f>IF(ABS(F2461-ROUND(F2461,0))&lt;0.001,1,0)</f>
        <v/>
      </c>
      <c r="H2461">
        <f>IF(G2461=1,F2461,CEILING(F2461,1))</f>
        <v/>
      </c>
      <c r="I2461">
        <f>IF(G2461=1,0,(H2461-F2461)*E2461)</f>
        <v/>
      </c>
      <c r="J2461">
        <f>E2461*F2461</f>
        <v/>
      </c>
    </row>
    <row r="2462">
      <c r="A2462">
        <f>Sources!A2462</f>
        <v/>
      </c>
      <c r="B2462">
        <f>Sources!B2462</f>
        <v/>
      </c>
      <c r="C2462">
        <f>Sources!D2462</f>
        <v/>
      </c>
      <c r="D2462">
        <f>Sources!E2462</f>
        <v/>
      </c>
      <c r="E2462">
        <f>Sources!F2462</f>
        <v/>
      </c>
      <c r="F2462">
        <f>Sources!H2462</f>
        <v/>
      </c>
      <c r="G2462">
        <f>IF(ABS(F2462-ROUND(F2462,0))&lt;0.001,1,0)</f>
        <v/>
      </c>
      <c r="H2462">
        <f>IF(G2462=1,F2462,CEILING(F2462,1))</f>
        <v/>
      </c>
      <c r="I2462">
        <f>IF(G2462=1,0,(H2462-F2462)*E2462)</f>
        <v/>
      </c>
      <c r="J2462">
        <f>E2462*F2462</f>
        <v/>
      </c>
    </row>
    <row r="2463">
      <c r="A2463">
        <f>Sources!A2463</f>
        <v/>
      </c>
      <c r="B2463">
        <f>Sources!B2463</f>
        <v/>
      </c>
      <c r="C2463">
        <f>Sources!D2463</f>
        <v/>
      </c>
      <c r="D2463">
        <f>Sources!E2463</f>
        <v/>
      </c>
      <c r="E2463">
        <f>Sources!F2463</f>
        <v/>
      </c>
      <c r="F2463">
        <f>Sources!H2463</f>
        <v/>
      </c>
      <c r="G2463">
        <f>IF(ABS(F2463-ROUND(F2463,0))&lt;0.001,1,0)</f>
        <v/>
      </c>
      <c r="H2463">
        <f>IF(G2463=1,F2463,CEILING(F2463,1))</f>
        <v/>
      </c>
      <c r="I2463">
        <f>IF(G2463=1,0,(H2463-F2463)*E2463)</f>
        <v/>
      </c>
      <c r="J2463">
        <f>E2463*F2463</f>
        <v/>
      </c>
    </row>
    <row r="2464">
      <c r="A2464">
        <f>Sources!A2464</f>
        <v/>
      </c>
      <c r="B2464">
        <f>Sources!B2464</f>
        <v/>
      </c>
      <c r="C2464">
        <f>Sources!D2464</f>
        <v/>
      </c>
      <c r="D2464">
        <f>Sources!E2464</f>
        <v/>
      </c>
      <c r="E2464">
        <f>Sources!F2464</f>
        <v/>
      </c>
      <c r="F2464">
        <f>Sources!H2464</f>
        <v/>
      </c>
      <c r="G2464">
        <f>IF(ABS(F2464-ROUND(F2464,0))&lt;0.001,1,0)</f>
        <v/>
      </c>
      <c r="H2464">
        <f>IF(G2464=1,F2464,CEILING(F2464,1))</f>
        <v/>
      </c>
      <c r="I2464">
        <f>IF(G2464=1,0,(H2464-F2464)*E2464)</f>
        <v/>
      </c>
      <c r="J2464">
        <f>E2464*F2464</f>
        <v/>
      </c>
    </row>
    <row r="2465">
      <c r="A2465">
        <f>Sources!A2465</f>
        <v/>
      </c>
      <c r="B2465">
        <f>Sources!B2465</f>
        <v/>
      </c>
      <c r="C2465">
        <f>Sources!D2465</f>
        <v/>
      </c>
      <c r="D2465">
        <f>Sources!E2465</f>
        <v/>
      </c>
      <c r="E2465">
        <f>Sources!F2465</f>
        <v/>
      </c>
      <c r="F2465">
        <f>Sources!H2465</f>
        <v/>
      </c>
      <c r="G2465">
        <f>IF(ABS(F2465-ROUND(F2465,0))&lt;0.001,1,0)</f>
        <v/>
      </c>
      <c r="H2465">
        <f>IF(G2465=1,F2465,CEILING(F2465,1))</f>
        <v/>
      </c>
      <c r="I2465">
        <f>IF(G2465=1,0,(H2465-F2465)*E2465)</f>
        <v/>
      </c>
      <c r="J2465">
        <f>E2465*F2465</f>
        <v/>
      </c>
    </row>
    <row r="2466">
      <c r="A2466">
        <f>Sources!A2466</f>
        <v/>
      </c>
      <c r="B2466">
        <f>Sources!B2466</f>
        <v/>
      </c>
      <c r="C2466">
        <f>Sources!D2466</f>
        <v/>
      </c>
      <c r="D2466">
        <f>Sources!E2466</f>
        <v/>
      </c>
      <c r="E2466">
        <f>Sources!F2466</f>
        <v/>
      </c>
      <c r="F2466">
        <f>Sources!H2466</f>
        <v/>
      </c>
      <c r="G2466">
        <f>IF(ABS(F2466-ROUND(F2466,0))&lt;0.001,1,0)</f>
        <v/>
      </c>
      <c r="H2466">
        <f>IF(G2466=1,F2466,CEILING(F2466,1))</f>
        <v/>
      </c>
      <c r="I2466">
        <f>IF(G2466=1,0,(H2466-F2466)*E2466)</f>
        <v/>
      </c>
      <c r="J2466">
        <f>E2466*F2466</f>
        <v/>
      </c>
    </row>
    <row r="2467">
      <c r="A2467">
        <f>Sources!A2467</f>
        <v/>
      </c>
      <c r="B2467">
        <f>Sources!B2467</f>
        <v/>
      </c>
      <c r="C2467">
        <f>Sources!D2467</f>
        <v/>
      </c>
      <c r="D2467">
        <f>Sources!E2467</f>
        <v/>
      </c>
      <c r="E2467">
        <f>Sources!F2467</f>
        <v/>
      </c>
      <c r="F2467">
        <f>Sources!H2467</f>
        <v/>
      </c>
      <c r="G2467">
        <f>IF(ABS(F2467-ROUND(F2467,0))&lt;0.001,1,0)</f>
        <v/>
      </c>
      <c r="H2467">
        <f>IF(G2467=1,F2467,CEILING(F2467,1))</f>
        <v/>
      </c>
      <c r="I2467">
        <f>IF(G2467=1,0,(H2467-F2467)*E2467)</f>
        <v/>
      </c>
      <c r="J2467">
        <f>E2467*F2467</f>
        <v/>
      </c>
    </row>
    <row r="2468">
      <c r="A2468">
        <f>Sources!A2468</f>
        <v/>
      </c>
      <c r="B2468">
        <f>Sources!B2468</f>
        <v/>
      </c>
      <c r="C2468">
        <f>Sources!D2468</f>
        <v/>
      </c>
      <c r="D2468">
        <f>Sources!E2468</f>
        <v/>
      </c>
      <c r="E2468">
        <f>Sources!F2468</f>
        <v/>
      </c>
      <c r="F2468">
        <f>Sources!H2468</f>
        <v/>
      </c>
      <c r="G2468">
        <f>IF(ABS(F2468-ROUND(F2468,0))&lt;0.001,1,0)</f>
        <v/>
      </c>
      <c r="H2468">
        <f>IF(G2468=1,F2468,CEILING(F2468,1))</f>
        <v/>
      </c>
      <c r="I2468">
        <f>IF(G2468=1,0,(H2468-F2468)*E2468)</f>
        <v/>
      </c>
      <c r="J2468">
        <f>E2468*F2468</f>
        <v/>
      </c>
    </row>
    <row r="2469">
      <c r="A2469">
        <f>Sources!A2469</f>
        <v/>
      </c>
      <c r="B2469">
        <f>Sources!B2469</f>
        <v/>
      </c>
      <c r="C2469">
        <f>Sources!D2469</f>
        <v/>
      </c>
      <c r="D2469">
        <f>Sources!E2469</f>
        <v/>
      </c>
      <c r="E2469">
        <f>Sources!F2469</f>
        <v/>
      </c>
      <c r="F2469">
        <f>Sources!H2469</f>
        <v/>
      </c>
      <c r="G2469">
        <f>IF(ABS(F2469-ROUND(F2469,0))&lt;0.001,1,0)</f>
        <v/>
      </c>
      <c r="H2469">
        <f>IF(G2469=1,F2469,CEILING(F2469,1))</f>
        <v/>
      </c>
      <c r="I2469">
        <f>IF(G2469=1,0,(H2469-F2469)*E2469)</f>
        <v/>
      </c>
      <c r="J2469">
        <f>E2469*F2469</f>
        <v/>
      </c>
    </row>
    <row r="2470">
      <c r="A2470">
        <f>Sources!A2470</f>
        <v/>
      </c>
      <c r="B2470">
        <f>Sources!B2470</f>
        <v/>
      </c>
      <c r="C2470">
        <f>Sources!D2470</f>
        <v/>
      </c>
      <c r="D2470">
        <f>Sources!E2470</f>
        <v/>
      </c>
      <c r="E2470">
        <f>Sources!F2470</f>
        <v/>
      </c>
      <c r="F2470">
        <f>Sources!H2470</f>
        <v/>
      </c>
      <c r="G2470">
        <f>IF(ABS(F2470-ROUND(F2470,0))&lt;0.001,1,0)</f>
        <v/>
      </c>
      <c r="H2470">
        <f>IF(G2470=1,F2470,CEILING(F2470,1))</f>
        <v/>
      </c>
      <c r="I2470">
        <f>IF(G2470=1,0,(H2470-F2470)*E2470)</f>
        <v/>
      </c>
      <c r="J2470">
        <f>E2470*F2470</f>
        <v/>
      </c>
    </row>
    <row r="2471">
      <c r="A2471">
        <f>Sources!A2471</f>
        <v/>
      </c>
      <c r="B2471">
        <f>Sources!B2471</f>
        <v/>
      </c>
      <c r="C2471">
        <f>Sources!D2471</f>
        <v/>
      </c>
      <c r="D2471">
        <f>Sources!E2471</f>
        <v/>
      </c>
      <c r="E2471">
        <f>Sources!F2471</f>
        <v/>
      </c>
      <c r="F2471">
        <f>Sources!H2471</f>
        <v/>
      </c>
      <c r="G2471">
        <f>IF(ABS(F2471-ROUND(F2471,0))&lt;0.001,1,0)</f>
        <v/>
      </c>
      <c r="H2471">
        <f>IF(G2471=1,F2471,CEILING(F2471,1))</f>
        <v/>
      </c>
      <c r="I2471">
        <f>IF(G2471=1,0,(H2471-F2471)*E2471)</f>
        <v/>
      </c>
      <c r="J2471">
        <f>E2471*F2471</f>
        <v/>
      </c>
    </row>
    <row r="2472">
      <c r="A2472">
        <f>Sources!A2472</f>
        <v/>
      </c>
      <c r="B2472">
        <f>Sources!B2472</f>
        <v/>
      </c>
      <c r="C2472">
        <f>Sources!D2472</f>
        <v/>
      </c>
      <c r="D2472">
        <f>Sources!E2472</f>
        <v/>
      </c>
      <c r="E2472">
        <f>Sources!F2472</f>
        <v/>
      </c>
      <c r="F2472">
        <f>Sources!H2472</f>
        <v/>
      </c>
      <c r="G2472">
        <f>IF(ABS(F2472-ROUND(F2472,0))&lt;0.001,1,0)</f>
        <v/>
      </c>
      <c r="H2472">
        <f>IF(G2472=1,F2472,CEILING(F2472,1))</f>
        <v/>
      </c>
      <c r="I2472">
        <f>IF(G2472=1,0,(H2472-F2472)*E2472)</f>
        <v/>
      </c>
      <c r="J2472">
        <f>E2472*F2472</f>
        <v/>
      </c>
    </row>
    <row r="2473">
      <c r="A2473">
        <f>Sources!A2473</f>
        <v/>
      </c>
      <c r="B2473">
        <f>Sources!B2473</f>
        <v/>
      </c>
      <c r="C2473">
        <f>Sources!D2473</f>
        <v/>
      </c>
      <c r="D2473">
        <f>Sources!E2473</f>
        <v/>
      </c>
      <c r="E2473">
        <f>Sources!F2473</f>
        <v/>
      </c>
      <c r="F2473">
        <f>Sources!H2473</f>
        <v/>
      </c>
      <c r="G2473">
        <f>IF(ABS(F2473-ROUND(F2473,0))&lt;0.001,1,0)</f>
        <v/>
      </c>
      <c r="H2473">
        <f>IF(G2473=1,F2473,CEILING(F2473,1))</f>
        <v/>
      </c>
      <c r="I2473">
        <f>IF(G2473=1,0,(H2473-F2473)*E2473)</f>
        <v/>
      </c>
      <c r="J2473">
        <f>E2473*F2473</f>
        <v/>
      </c>
    </row>
    <row r="2474">
      <c r="A2474">
        <f>Sources!A2474</f>
        <v/>
      </c>
      <c r="B2474">
        <f>Sources!B2474</f>
        <v/>
      </c>
      <c r="C2474">
        <f>Sources!D2474</f>
        <v/>
      </c>
      <c r="D2474">
        <f>Sources!E2474</f>
        <v/>
      </c>
      <c r="E2474">
        <f>Sources!F2474</f>
        <v/>
      </c>
      <c r="F2474">
        <f>Sources!H2474</f>
        <v/>
      </c>
      <c r="G2474">
        <f>IF(ABS(F2474-ROUND(F2474,0))&lt;0.001,1,0)</f>
        <v/>
      </c>
      <c r="H2474">
        <f>IF(G2474=1,F2474,CEILING(F2474,1))</f>
        <v/>
      </c>
      <c r="I2474">
        <f>IF(G2474=1,0,(H2474-F2474)*E2474)</f>
        <v/>
      </c>
      <c r="J2474">
        <f>E2474*F2474</f>
        <v/>
      </c>
    </row>
    <row r="2475">
      <c r="A2475">
        <f>Sources!A2475</f>
        <v/>
      </c>
      <c r="B2475">
        <f>Sources!B2475</f>
        <v/>
      </c>
      <c r="C2475">
        <f>Sources!D2475</f>
        <v/>
      </c>
      <c r="D2475">
        <f>Sources!E2475</f>
        <v/>
      </c>
      <c r="E2475">
        <f>Sources!F2475</f>
        <v/>
      </c>
      <c r="F2475">
        <f>Sources!H2475</f>
        <v/>
      </c>
      <c r="G2475">
        <f>IF(ABS(F2475-ROUND(F2475,0))&lt;0.001,1,0)</f>
        <v/>
      </c>
      <c r="H2475">
        <f>IF(G2475=1,F2475,CEILING(F2475,1))</f>
        <v/>
      </c>
      <c r="I2475">
        <f>IF(G2475=1,0,(H2475-F2475)*E2475)</f>
        <v/>
      </c>
      <c r="J2475">
        <f>E2475*F2475</f>
        <v/>
      </c>
    </row>
    <row r="2476">
      <c r="A2476">
        <f>Sources!A2476</f>
        <v/>
      </c>
      <c r="B2476">
        <f>Sources!B2476</f>
        <v/>
      </c>
      <c r="C2476">
        <f>Sources!D2476</f>
        <v/>
      </c>
      <c r="D2476">
        <f>Sources!E2476</f>
        <v/>
      </c>
      <c r="E2476">
        <f>Sources!F2476</f>
        <v/>
      </c>
      <c r="F2476">
        <f>Sources!H2476</f>
        <v/>
      </c>
      <c r="G2476">
        <f>IF(ABS(F2476-ROUND(F2476,0))&lt;0.001,1,0)</f>
        <v/>
      </c>
      <c r="H2476">
        <f>IF(G2476=1,F2476,CEILING(F2476,1))</f>
        <v/>
      </c>
      <c r="I2476">
        <f>IF(G2476=1,0,(H2476-F2476)*E2476)</f>
        <v/>
      </c>
      <c r="J2476">
        <f>E2476*F2476</f>
        <v/>
      </c>
    </row>
    <row r="2477">
      <c r="A2477">
        <f>Sources!A2477</f>
        <v/>
      </c>
      <c r="B2477">
        <f>Sources!B2477</f>
        <v/>
      </c>
      <c r="C2477">
        <f>Sources!D2477</f>
        <v/>
      </c>
      <c r="D2477">
        <f>Sources!E2477</f>
        <v/>
      </c>
      <c r="E2477">
        <f>Sources!F2477</f>
        <v/>
      </c>
      <c r="F2477">
        <f>Sources!H2477</f>
        <v/>
      </c>
      <c r="G2477">
        <f>IF(ABS(F2477-ROUND(F2477,0))&lt;0.001,1,0)</f>
        <v/>
      </c>
      <c r="H2477">
        <f>IF(G2477=1,F2477,CEILING(F2477,1))</f>
        <v/>
      </c>
      <c r="I2477">
        <f>IF(G2477=1,0,(H2477-F2477)*E2477)</f>
        <v/>
      </c>
      <c r="J2477">
        <f>E2477*F2477</f>
        <v/>
      </c>
    </row>
    <row r="2478">
      <c r="A2478">
        <f>Sources!A2478</f>
        <v/>
      </c>
      <c r="B2478">
        <f>Sources!B2478</f>
        <v/>
      </c>
      <c r="C2478">
        <f>Sources!D2478</f>
        <v/>
      </c>
      <c r="D2478">
        <f>Sources!E2478</f>
        <v/>
      </c>
      <c r="E2478">
        <f>Sources!F2478</f>
        <v/>
      </c>
      <c r="F2478">
        <f>Sources!H2478</f>
        <v/>
      </c>
      <c r="G2478">
        <f>IF(ABS(F2478-ROUND(F2478,0))&lt;0.001,1,0)</f>
        <v/>
      </c>
      <c r="H2478">
        <f>IF(G2478=1,F2478,CEILING(F2478,1))</f>
        <v/>
      </c>
      <c r="I2478">
        <f>IF(G2478=1,0,(H2478-F2478)*E2478)</f>
        <v/>
      </c>
      <c r="J2478">
        <f>E2478*F2478</f>
        <v/>
      </c>
    </row>
    <row r="2479">
      <c r="A2479">
        <f>Sources!A2479</f>
        <v/>
      </c>
      <c r="B2479">
        <f>Sources!B2479</f>
        <v/>
      </c>
      <c r="C2479">
        <f>Sources!D2479</f>
        <v/>
      </c>
      <c r="D2479">
        <f>Sources!E2479</f>
        <v/>
      </c>
      <c r="E2479">
        <f>Sources!F2479</f>
        <v/>
      </c>
      <c r="F2479">
        <f>Sources!H2479</f>
        <v/>
      </c>
      <c r="G2479">
        <f>IF(ABS(F2479-ROUND(F2479,0))&lt;0.001,1,0)</f>
        <v/>
      </c>
      <c r="H2479">
        <f>IF(G2479=1,F2479,CEILING(F2479,1))</f>
        <v/>
      </c>
      <c r="I2479">
        <f>IF(G2479=1,0,(H2479-F2479)*E2479)</f>
        <v/>
      </c>
      <c r="J2479">
        <f>E2479*F2479</f>
        <v/>
      </c>
    </row>
    <row r="2480">
      <c r="A2480">
        <f>Sources!A2480</f>
        <v/>
      </c>
      <c r="B2480">
        <f>Sources!B2480</f>
        <v/>
      </c>
      <c r="C2480">
        <f>Sources!D2480</f>
        <v/>
      </c>
      <c r="D2480">
        <f>Sources!E2480</f>
        <v/>
      </c>
      <c r="E2480">
        <f>Sources!F2480</f>
        <v/>
      </c>
      <c r="F2480">
        <f>Sources!H2480</f>
        <v/>
      </c>
      <c r="G2480">
        <f>IF(ABS(F2480-ROUND(F2480,0))&lt;0.001,1,0)</f>
        <v/>
      </c>
      <c r="H2480">
        <f>IF(G2480=1,F2480,CEILING(F2480,1))</f>
        <v/>
      </c>
      <c r="I2480">
        <f>IF(G2480=1,0,(H2480-F2480)*E2480)</f>
        <v/>
      </c>
      <c r="J2480">
        <f>E2480*F2480</f>
        <v/>
      </c>
    </row>
    <row r="2481">
      <c r="A2481">
        <f>Sources!A2481</f>
        <v/>
      </c>
      <c r="B2481">
        <f>Sources!B2481</f>
        <v/>
      </c>
      <c r="C2481">
        <f>Sources!D2481</f>
        <v/>
      </c>
      <c r="D2481">
        <f>Sources!E2481</f>
        <v/>
      </c>
      <c r="E2481">
        <f>Sources!F2481</f>
        <v/>
      </c>
      <c r="F2481">
        <f>Sources!H2481</f>
        <v/>
      </c>
      <c r="G2481">
        <f>IF(ABS(F2481-ROUND(F2481,0))&lt;0.001,1,0)</f>
        <v/>
      </c>
      <c r="H2481">
        <f>IF(G2481=1,F2481,CEILING(F2481,1))</f>
        <v/>
      </c>
      <c r="I2481">
        <f>IF(G2481=1,0,(H2481-F2481)*E2481)</f>
        <v/>
      </c>
      <c r="J2481">
        <f>E2481*F2481</f>
        <v/>
      </c>
    </row>
    <row r="2482">
      <c r="A2482">
        <f>Sources!A2482</f>
        <v/>
      </c>
      <c r="B2482">
        <f>Sources!B2482</f>
        <v/>
      </c>
      <c r="C2482">
        <f>Sources!D2482</f>
        <v/>
      </c>
      <c r="D2482">
        <f>Sources!E2482</f>
        <v/>
      </c>
      <c r="E2482">
        <f>Sources!F2482</f>
        <v/>
      </c>
      <c r="F2482">
        <f>Sources!H2482</f>
        <v/>
      </c>
      <c r="G2482">
        <f>IF(ABS(F2482-ROUND(F2482,0))&lt;0.001,1,0)</f>
        <v/>
      </c>
      <c r="H2482">
        <f>IF(G2482=1,F2482,CEILING(F2482,1))</f>
        <v/>
      </c>
      <c r="I2482">
        <f>IF(G2482=1,0,(H2482-F2482)*E2482)</f>
        <v/>
      </c>
      <c r="J2482">
        <f>E2482*F2482</f>
        <v/>
      </c>
    </row>
    <row r="2483">
      <c r="A2483">
        <f>Sources!A2483</f>
        <v/>
      </c>
      <c r="B2483">
        <f>Sources!B2483</f>
        <v/>
      </c>
      <c r="C2483">
        <f>Sources!D2483</f>
        <v/>
      </c>
      <c r="D2483">
        <f>Sources!E2483</f>
        <v/>
      </c>
      <c r="E2483">
        <f>Sources!F2483</f>
        <v/>
      </c>
      <c r="F2483">
        <f>Sources!H2483</f>
        <v/>
      </c>
      <c r="G2483">
        <f>IF(ABS(F2483-ROUND(F2483,0))&lt;0.001,1,0)</f>
        <v/>
      </c>
      <c r="H2483">
        <f>IF(G2483=1,F2483,CEILING(F2483,1))</f>
        <v/>
      </c>
      <c r="I2483">
        <f>IF(G2483=1,0,(H2483-F2483)*E2483)</f>
        <v/>
      </c>
      <c r="J2483">
        <f>E2483*F2483</f>
        <v/>
      </c>
    </row>
    <row r="2484">
      <c r="A2484">
        <f>Sources!A2484</f>
        <v/>
      </c>
      <c r="B2484">
        <f>Sources!B2484</f>
        <v/>
      </c>
      <c r="C2484">
        <f>Sources!D2484</f>
        <v/>
      </c>
      <c r="D2484">
        <f>Sources!E2484</f>
        <v/>
      </c>
      <c r="E2484">
        <f>Sources!F2484</f>
        <v/>
      </c>
      <c r="F2484">
        <f>Sources!H2484</f>
        <v/>
      </c>
      <c r="G2484">
        <f>IF(ABS(F2484-ROUND(F2484,0))&lt;0.001,1,0)</f>
        <v/>
      </c>
      <c r="H2484">
        <f>IF(G2484=1,F2484,CEILING(F2484,1))</f>
        <v/>
      </c>
      <c r="I2484">
        <f>IF(G2484=1,0,(H2484-F2484)*E2484)</f>
        <v/>
      </c>
      <c r="J2484">
        <f>E2484*F2484</f>
        <v/>
      </c>
    </row>
    <row r="2485">
      <c r="A2485">
        <f>Sources!A2485</f>
        <v/>
      </c>
      <c r="B2485">
        <f>Sources!B2485</f>
        <v/>
      </c>
      <c r="C2485">
        <f>Sources!D2485</f>
        <v/>
      </c>
      <c r="D2485">
        <f>Sources!E2485</f>
        <v/>
      </c>
      <c r="E2485">
        <f>Sources!F2485</f>
        <v/>
      </c>
      <c r="F2485">
        <f>Sources!H2485</f>
        <v/>
      </c>
      <c r="G2485">
        <f>IF(ABS(F2485-ROUND(F2485,0))&lt;0.001,1,0)</f>
        <v/>
      </c>
      <c r="H2485">
        <f>IF(G2485=1,F2485,CEILING(F2485,1))</f>
        <v/>
      </c>
      <c r="I2485">
        <f>IF(G2485=1,0,(H2485-F2485)*E2485)</f>
        <v/>
      </c>
      <c r="J2485">
        <f>E2485*F2485</f>
        <v/>
      </c>
    </row>
    <row r="2486">
      <c r="A2486">
        <f>Sources!A2486</f>
        <v/>
      </c>
      <c r="B2486">
        <f>Sources!B2486</f>
        <v/>
      </c>
      <c r="C2486">
        <f>Sources!D2486</f>
        <v/>
      </c>
      <c r="D2486">
        <f>Sources!E2486</f>
        <v/>
      </c>
      <c r="E2486">
        <f>Sources!F2486</f>
        <v/>
      </c>
      <c r="F2486">
        <f>Sources!H2486</f>
        <v/>
      </c>
      <c r="G2486">
        <f>IF(ABS(F2486-ROUND(F2486,0))&lt;0.001,1,0)</f>
        <v/>
      </c>
      <c r="H2486">
        <f>IF(G2486=1,F2486,CEILING(F2486,1))</f>
        <v/>
      </c>
      <c r="I2486">
        <f>IF(G2486=1,0,(H2486-F2486)*E2486)</f>
        <v/>
      </c>
      <c r="J2486">
        <f>E2486*F2486</f>
        <v/>
      </c>
    </row>
    <row r="2487">
      <c r="A2487">
        <f>Sources!A2487</f>
        <v/>
      </c>
      <c r="B2487">
        <f>Sources!B2487</f>
        <v/>
      </c>
      <c r="C2487">
        <f>Sources!D2487</f>
        <v/>
      </c>
      <c r="D2487">
        <f>Sources!E2487</f>
        <v/>
      </c>
      <c r="E2487">
        <f>Sources!F2487</f>
        <v/>
      </c>
      <c r="F2487">
        <f>Sources!H2487</f>
        <v/>
      </c>
      <c r="G2487">
        <f>IF(ABS(F2487-ROUND(F2487,0))&lt;0.001,1,0)</f>
        <v/>
      </c>
      <c r="H2487">
        <f>IF(G2487=1,F2487,CEILING(F2487,1))</f>
        <v/>
      </c>
      <c r="I2487">
        <f>IF(G2487=1,0,(H2487-F2487)*E2487)</f>
        <v/>
      </c>
      <c r="J2487">
        <f>E2487*F2487</f>
        <v/>
      </c>
    </row>
    <row r="2488">
      <c r="A2488">
        <f>Sources!A2488</f>
        <v/>
      </c>
      <c r="B2488">
        <f>Sources!B2488</f>
        <v/>
      </c>
      <c r="C2488">
        <f>Sources!D2488</f>
        <v/>
      </c>
      <c r="D2488">
        <f>Sources!E2488</f>
        <v/>
      </c>
      <c r="E2488">
        <f>Sources!F2488</f>
        <v/>
      </c>
      <c r="F2488">
        <f>Sources!H2488</f>
        <v/>
      </c>
      <c r="G2488">
        <f>IF(ABS(F2488-ROUND(F2488,0))&lt;0.001,1,0)</f>
        <v/>
      </c>
      <c r="H2488">
        <f>IF(G2488=1,F2488,CEILING(F2488,1))</f>
        <v/>
      </c>
      <c r="I2488">
        <f>IF(G2488=1,0,(H2488-F2488)*E2488)</f>
        <v/>
      </c>
      <c r="J2488">
        <f>E2488*F2488</f>
        <v/>
      </c>
    </row>
    <row r="2489">
      <c r="A2489">
        <f>Sources!A2489</f>
        <v/>
      </c>
      <c r="B2489">
        <f>Sources!B2489</f>
        <v/>
      </c>
      <c r="C2489">
        <f>Sources!D2489</f>
        <v/>
      </c>
      <c r="D2489">
        <f>Sources!E2489</f>
        <v/>
      </c>
      <c r="E2489">
        <f>Sources!F2489</f>
        <v/>
      </c>
      <c r="F2489">
        <f>Sources!H2489</f>
        <v/>
      </c>
      <c r="G2489">
        <f>IF(ABS(F2489-ROUND(F2489,0))&lt;0.001,1,0)</f>
        <v/>
      </c>
      <c r="H2489">
        <f>IF(G2489=1,F2489,CEILING(F2489,1))</f>
        <v/>
      </c>
      <c r="I2489">
        <f>IF(G2489=1,0,(H2489-F2489)*E2489)</f>
        <v/>
      </c>
      <c r="J2489">
        <f>E2489*F2489</f>
        <v/>
      </c>
    </row>
    <row r="2490">
      <c r="A2490">
        <f>Sources!A2490</f>
        <v/>
      </c>
      <c r="B2490">
        <f>Sources!B2490</f>
        <v/>
      </c>
      <c r="C2490">
        <f>Sources!D2490</f>
        <v/>
      </c>
      <c r="D2490">
        <f>Sources!E2490</f>
        <v/>
      </c>
      <c r="E2490">
        <f>Sources!F2490</f>
        <v/>
      </c>
      <c r="F2490">
        <f>Sources!H2490</f>
        <v/>
      </c>
      <c r="G2490">
        <f>IF(ABS(F2490-ROUND(F2490,0))&lt;0.001,1,0)</f>
        <v/>
      </c>
      <c r="H2490">
        <f>IF(G2490=1,F2490,CEILING(F2490,1))</f>
        <v/>
      </c>
      <c r="I2490">
        <f>IF(G2490=1,0,(H2490-F2490)*E2490)</f>
        <v/>
      </c>
      <c r="J2490">
        <f>E2490*F2490</f>
        <v/>
      </c>
    </row>
    <row r="2491">
      <c r="A2491">
        <f>Sources!A2491</f>
        <v/>
      </c>
      <c r="B2491">
        <f>Sources!B2491</f>
        <v/>
      </c>
      <c r="C2491">
        <f>Sources!D2491</f>
        <v/>
      </c>
      <c r="D2491">
        <f>Sources!E2491</f>
        <v/>
      </c>
      <c r="E2491">
        <f>Sources!F2491</f>
        <v/>
      </c>
      <c r="F2491">
        <f>Sources!H2491</f>
        <v/>
      </c>
      <c r="G2491">
        <f>IF(ABS(F2491-ROUND(F2491,0))&lt;0.001,1,0)</f>
        <v/>
      </c>
      <c r="H2491">
        <f>IF(G2491=1,F2491,CEILING(F2491,1))</f>
        <v/>
      </c>
      <c r="I2491">
        <f>IF(G2491=1,0,(H2491-F2491)*E2491)</f>
        <v/>
      </c>
      <c r="J2491">
        <f>E2491*F2491</f>
        <v/>
      </c>
    </row>
    <row r="2492">
      <c r="A2492">
        <f>Sources!A2492</f>
        <v/>
      </c>
      <c r="B2492">
        <f>Sources!B2492</f>
        <v/>
      </c>
      <c r="C2492">
        <f>Sources!D2492</f>
        <v/>
      </c>
      <c r="D2492">
        <f>Sources!E2492</f>
        <v/>
      </c>
      <c r="E2492">
        <f>Sources!F2492</f>
        <v/>
      </c>
      <c r="F2492">
        <f>Sources!H2492</f>
        <v/>
      </c>
      <c r="G2492">
        <f>IF(ABS(F2492-ROUND(F2492,0))&lt;0.001,1,0)</f>
        <v/>
      </c>
      <c r="H2492">
        <f>IF(G2492=1,F2492,CEILING(F2492,1))</f>
        <v/>
      </c>
      <c r="I2492">
        <f>IF(G2492=1,0,(H2492-F2492)*E2492)</f>
        <v/>
      </c>
      <c r="J2492">
        <f>E2492*F2492</f>
        <v/>
      </c>
    </row>
    <row r="2493">
      <c r="A2493">
        <f>Sources!A2493</f>
        <v/>
      </c>
      <c r="B2493">
        <f>Sources!B2493</f>
        <v/>
      </c>
      <c r="C2493">
        <f>Sources!D2493</f>
        <v/>
      </c>
      <c r="D2493">
        <f>Sources!E2493</f>
        <v/>
      </c>
      <c r="E2493">
        <f>Sources!F2493</f>
        <v/>
      </c>
      <c r="F2493">
        <f>Sources!H2493</f>
        <v/>
      </c>
      <c r="G2493">
        <f>IF(ABS(F2493-ROUND(F2493,0))&lt;0.001,1,0)</f>
        <v/>
      </c>
      <c r="H2493">
        <f>IF(G2493=1,F2493,CEILING(F2493,1))</f>
        <v/>
      </c>
      <c r="I2493">
        <f>IF(G2493=1,0,(H2493-F2493)*E2493)</f>
        <v/>
      </c>
      <c r="J2493">
        <f>E2493*F2493</f>
        <v/>
      </c>
    </row>
    <row r="2494">
      <c r="A2494">
        <f>Sources!A2494</f>
        <v/>
      </c>
      <c r="B2494">
        <f>Sources!B2494</f>
        <v/>
      </c>
      <c r="C2494">
        <f>Sources!D2494</f>
        <v/>
      </c>
      <c r="D2494">
        <f>Sources!E2494</f>
        <v/>
      </c>
      <c r="E2494">
        <f>Sources!F2494</f>
        <v/>
      </c>
      <c r="F2494">
        <f>Sources!H2494</f>
        <v/>
      </c>
      <c r="G2494">
        <f>IF(ABS(F2494-ROUND(F2494,0))&lt;0.001,1,0)</f>
        <v/>
      </c>
      <c r="H2494">
        <f>IF(G2494=1,F2494,CEILING(F2494,1))</f>
        <v/>
      </c>
      <c r="I2494">
        <f>IF(G2494=1,0,(H2494-F2494)*E2494)</f>
        <v/>
      </c>
      <c r="J2494">
        <f>E2494*F2494</f>
        <v/>
      </c>
    </row>
    <row r="2495">
      <c r="A2495">
        <f>Sources!A2495</f>
        <v/>
      </c>
      <c r="B2495">
        <f>Sources!B2495</f>
        <v/>
      </c>
      <c r="C2495">
        <f>Sources!D2495</f>
        <v/>
      </c>
      <c r="D2495">
        <f>Sources!E2495</f>
        <v/>
      </c>
      <c r="E2495">
        <f>Sources!F2495</f>
        <v/>
      </c>
      <c r="F2495">
        <f>Sources!H2495</f>
        <v/>
      </c>
      <c r="G2495">
        <f>IF(ABS(F2495-ROUND(F2495,0))&lt;0.001,1,0)</f>
        <v/>
      </c>
      <c r="H2495">
        <f>IF(G2495=1,F2495,CEILING(F2495,1))</f>
        <v/>
      </c>
      <c r="I2495">
        <f>IF(G2495=1,0,(H2495-F2495)*E2495)</f>
        <v/>
      </c>
      <c r="J2495">
        <f>E2495*F2495</f>
        <v/>
      </c>
    </row>
    <row r="2496">
      <c r="A2496">
        <f>Sources!A2496</f>
        <v/>
      </c>
      <c r="B2496">
        <f>Sources!B2496</f>
        <v/>
      </c>
      <c r="C2496">
        <f>Sources!D2496</f>
        <v/>
      </c>
      <c r="D2496">
        <f>Sources!E2496</f>
        <v/>
      </c>
      <c r="E2496">
        <f>Sources!F2496</f>
        <v/>
      </c>
      <c r="F2496">
        <f>Sources!H2496</f>
        <v/>
      </c>
      <c r="G2496">
        <f>IF(ABS(F2496-ROUND(F2496,0))&lt;0.001,1,0)</f>
        <v/>
      </c>
      <c r="H2496">
        <f>IF(G2496=1,F2496,CEILING(F2496,1))</f>
        <v/>
      </c>
      <c r="I2496">
        <f>IF(G2496=1,0,(H2496-F2496)*E2496)</f>
        <v/>
      </c>
      <c r="J2496">
        <f>E2496*F2496</f>
        <v/>
      </c>
    </row>
    <row r="2497">
      <c r="A2497">
        <f>Sources!A2497</f>
        <v/>
      </c>
      <c r="B2497">
        <f>Sources!B2497</f>
        <v/>
      </c>
      <c r="C2497">
        <f>Sources!D2497</f>
        <v/>
      </c>
      <c r="D2497">
        <f>Sources!E2497</f>
        <v/>
      </c>
      <c r="E2497">
        <f>Sources!F2497</f>
        <v/>
      </c>
      <c r="F2497">
        <f>Sources!H2497</f>
        <v/>
      </c>
      <c r="G2497">
        <f>IF(ABS(F2497-ROUND(F2497,0))&lt;0.001,1,0)</f>
        <v/>
      </c>
      <c r="H2497">
        <f>IF(G2497=1,F2497,CEILING(F2497,1))</f>
        <v/>
      </c>
      <c r="I2497">
        <f>IF(G2497=1,0,(H2497-F2497)*E2497)</f>
        <v/>
      </c>
      <c r="J2497">
        <f>E2497*F2497</f>
        <v/>
      </c>
    </row>
    <row r="2498">
      <c r="A2498">
        <f>Sources!A2498</f>
        <v/>
      </c>
      <c r="B2498">
        <f>Sources!B2498</f>
        <v/>
      </c>
      <c r="C2498">
        <f>Sources!D2498</f>
        <v/>
      </c>
      <c r="D2498">
        <f>Sources!E2498</f>
        <v/>
      </c>
      <c r="E2498">
        <f>Sources!F2498</f>
        <v/>
      </c>
      <c r="F2498">
        <f>Sources!H2498</f>
        <v/>
      </c>
      <c r="G2498">
        <f>IF(ABS(F2498-ROUND(F2498,0))&lt;0.001,1,0)</f>
        <v/>
      </c>
      <c r="H2498">
        <f>IF(G2498=1,F2498,CEILING(F2498,1))</f>
        <v/>
      </c>
      <c r="I2498">
        <f>IF(G2498=1,0,(H2498-F2498)*E2498)</f>
        <v/>
      </c>
      <c r="J2498">
        <f>E2498*F2498</f>
        <v/>
      </c>
    </row>
    <row r="2499">
      <c r="A2499">
        <f>Sources!A2499</f>
        <v/>
      </c>
      <c r="B2499">
        <f>Sources!B2499</f>
        <v/>
      </c>
      <c r="C2499">
        <f>Sources!D2499</f>
        <v/>
      </c>
      <c r="D2499">
        <f>Sources!E2499</f>
        <v/>
      </c>
      <c r="E2499">
        <f>Sources!F2499</f>
        <v/>
      </c>
      <c r="F2499">
        <f>Sources!H2499</f>
        <v/>
      </c>
      <c r="G2499">
        <f>IF(ABS(F2499-ROUND(F2499,0))&lt;0.001,1,0)</f>
        <v/>
      </c>
      <c r="H2499">
        <f>IF(G2499=1,F2499,CEILING(F2499,1))</f>
        <v/>
      </c>
      <c r="I2499">
        <f>IF(G2499=1,0,(H2499-F2499)*E2499)</f>
        <v/>
      </c>
      <c r="J2499">
        <f>E2499*F2499</f>
        <v/>
      </c>
    </row>
    <row r="2500">
      <c r="A2500">
        <f>Sources!A2500</f>
        <v/>
      </c>
      <c r="B2500">
        <f>Sources!B2500</f>
        <v/>
      </c>
      <c r="C2500">
        <f>Sources!D2500</f>
        <v/>
      </c>
      <c r="D2500">
        <f>Sources!E2500</f>
        <v/>
      </c>
      <c r="E2500">
        <f>Sources!F2500</f>
        <v/>
      </c>
      <c r="F2500">
        <f>Sources!H2500</f>
        <v/>
      </c>
      <c r="G2500">
        <f>IF(ABS(F2500-ROUND(F2500,0))&lt;0.001,1,0)</f>
        <v/>
      </c>
      <c r="H2500">
        <f>IF(G2500=1,F2500,CEILING(F2500,1))</f>
        <v/>
      </c>
      <c r="I2500">
        <f>IF(G2500=1,0,(H2500-F2500)*E2500)</f>
        <v/>
      </c>
      <c r="J2500">
        <f>E2500*F2500</f>
        <v/>
      </c>
    </row>
    <row r="2501">
      <c r="A2501">
        <f>Sources!A2501</f>
        <v/>
      </c>
      <c r="B2501">
        <f>Sources!B2501</f>
        <v/>
      </c>
      <c r="C2501">
        <f>Sources!D2501</f>
        <v/>
      </c>
      <c r="D2501">
        <f>Sources!E2501</f>
        <v/>
      </c>
      <c r="E2501">
        <f>Sources!F2501</f>
        <v/>
      </c>
      <c r="F2501">
        <f>Sources!H2501</f>
        <v/>
      </c>
      <c r="G2501">
        <f>IF(ABS(F2501-ROUND(F2501,0))&lt;0.001,1,0)</f>
        <v/>
      </c>
      <c r="H2501">
        <f>IF(G2501=1,F2501,CEILING(F2501,1))</f>
        <v/>
      </c>
      <c r="I2501">
        <f>IF(G2501=1,0,(H2501-F2501)*E2501)</f>
        <v/>
      </c>
      <c r="J2501">
        <f>E2501*F2501</f>
        <v/>
      </c>
    </row>
    <row r="2502">
      <c r="A2502">
        <f>Sources!A2502</f>
        <v/>
      </c>
      <c r="B2502">
        <f>Sources!B2502</f>
        <v/>
      </c>
      <c r="C2502">
        <f>Sources!D2502</f>
        <v/>
      </c>
      <c r="D2502">
        <f>Sources!E2502</f>
        <v/>
      </c>
      <c r="E2502">
        <f>Sources!F2502</f>
        <v/>
      </c>
      <c r="F2502">
        <f>Sources!H2502</f>
        <v/>
      </c>
      <c r="G2502">
        <f>IF(ABS(F2502-ROUND(F2502,0))&lt;0.001,1,0)</f>
        <v/>
      </c>
      <c r="H2502">
        <f>IF(G2502=1,F2502,CEILING(F2502,1))</f>
        <v/>
      </c>
      <c r="I2502">
        <f>IF(G2502=1,0,(H2502-F2502)*E2502)</f>
        <v/>
      </c>
      <c r="J2502">
        <f>E2502*F2502</f>
        <v/>
      </c>
    </row>
    <row r="2503">
      <c r="A2503">
        <f>Sources!A2503</f>
        <v/>
      </c>
      <c r="B2503">
        <f>Sources!B2503</f>
        <v/>
      </c>
      <c r="C2503">
        <f>Sources!D2503</f>
        <v/>
      </c>
      <c r="D2503">
        <f>Sources!E2503</f>
        <v/>
      </c>
      <c r="E2503">
        <f>Sources!F2503</f>
        <v/>
      </c>
      <c r="F2503">
        <f>Sources!H2503</f>
        <v/>
      </c>
      <c r="G2503">
        <f>IF(ABS(F2503-ROUND(F2503,0))&lt;0.001,1,0)</f>
        <v/>
      </c>
      <c r="H2503">
        <f>IF(G2503=1,F2503,CEILING(F2503,1))</f>
        <v/>
      </c>
      <c r="I2503">
        <f>IF(G2503=1,0,(H2503-F2503)*E2503)</f>
        <v/>
      </c>
      <c r="J2503">
        <f>E2503*F2503</f>
        <v/>
      </c>
    </row>
    <row r="2504">
      <c r="A2504">
        <f>Sources!A2504</f>
        <v/>
      </c>
      <c r="B2504">
        <f>Sources!B2504</f>
        <v/>
      </c>
      <c r="C2504">
        <f>Sources!D2504</f>
        <v/>
      </c>
      <c r="D2504">
        <f>Sources!E2504</f>
        <v/>
      </c>
      <c r="E2504">
        <f>Sources!F2504</f>
        <v/>
      </c>
      <c r="F2504">
        <f>Sources!H2504</f>
        <v/>
      </c>
      <c r="G2504">
        <f>IF(ABS(F2504-ROUND(F2504,0))&lt;0.001,1,0)</f>
        <v/>
      </c>
      <c r="H2504">
        <f>IF(G2504=1,F2504,CEILING(F2504,1))</f>
        <v/>
      </c>
      <c r="I2504">
        <f>IF(G2504=1,0,(H2504-F2504)*E2504)</f>
        <v/>
      </c>
      <c r="J2504">
        <f>E2504*F2504</f>
        <v/>
      </c>
    </row>
    <row r="2505">
      <c r="A2505">
        <f>Sources!A2505</f>
        <v/>
      </c>
      <c r="B2505">
        <f>Sources!B2505</f>
        <v/>
      </c>
      <c r="C2505">
        <f>Sources!D2505</f>
        <v/>
      </c>
      <c r="D2505">
        <f>Sources!E2505</f>
        <v/>
      </c>
      <c r="E2505">
        <f>Sources!F2505</f>
        <v/>
      </c>
      <c r="F2505">
        <f>Sources!H2505</f>
        <v/>
      </c>
      <c r="G2505">
        <f>IF(ABS(F2505-ROUND(F2505,0))&lt;0.001,1,0)</f>
        <v/>
      </c>
      <c r="H2505">
        <f>IF(G2505=1,F2505,CEILING(F2505,1))</f>
        <v/>
      </c>
      <c r="I2505">
        <f>IF(G2505=1,0,(H2505-F2505)*E2505)</f>
        <v/>
      </c>
      <c r="J2505">
        <f>E2505*F2505</f>
        <v/>
      </c>
    </row>
    <row r="2506">
      <c r="A2506">
        <f>Sources!A2506</f>
        <v/>
      </c>
      <c r="B2506">
        <f>Sources!B2506</f>
        <v/>
      </c>
      <c r="C2506">
        <f>Sources!D2506</f>
        <v/>
      </c>
      <c r="D2506">
        <f>Sources!E2506</f>
        <v/>
      </c>
      <c r="E2506">
        <f>Sources!F2506</f>
        <v/>
      </c>
      <c r="F2506">
        <f>Sources!H2506</f>
        <v/>
      </c>
      <c r="G2506">
        <f>IF(ABS(F2506-ROUND(F2506,0))&lt;0.001,1,0)</f>
        <v/>
      </c>
      <c r="H2506">
        <f>IF(G2506=1,F2506,CEILING(F2506,1))</f>
        <v/>
      </c>
      <c r="I2506">
        <f>IF(G2506=1,0,(H2506-F2506)*E2506)</f>
        <v/>
      </c>
      <c r="J2506">
        <f>E2506*F2506</f>
        <v/>
      </c>
    </row>
    <row r="2507">
      <c r="A2507">
        <f>Sources!A2507</f>
        <v/>
      </c>
      <c r="B2507">
        <f>Sources!B2507</f>
        <v/>
      </c>
      <c r="C2507">
        <f>Sources!D2507</f>
        <v/>
      </c>
      <c r="D2507">
        <f>Sources!E2507</f>
        <v/>
      </c>
      <c r="E2507">
        <f>Sources!F2507</f>
        <v/>
      </c>
      <c r="F2507">
        <f>Sources!H2507</f>
        <v/>
      </c>
      <c r="G2507">
        <f>IF(ABS(F2507-ROUND(F2507,0))&lt;0.001,1,0)</f>
        <v/>
      </c>
      <c r="H2507">
        <f>IF(G2507=1,F2507,CEILING(F2507,1))</f>
        <v/>
      </c>
      <c r="I2507">
        <f>IF(G2507=1,0,(H2507-F2507)*E2507)</f>
        <v/>
      </c>
      <c r="J2507">
        <f>E2507*F2507</f>
        <v/>
      </c>
    </row>
    <row r="2508">
      <c r="A2508">
        <f>Sources!A2508</f>
        <v/>
      </c>
      <c r="B2508">
        <f>Sources!B2508</f>
        <v/>
      </c>
      <c r="C2508">
        <f>Sources!D2508</f>
        <v/>
      </c>
      <c r="D2508">
        <f>Sources!E2508</f>
        <v/>
      </c>
      <c r="E2508">
        <f>Sources!F2508</f>
        <v/>
      </c>
      <c r="F2508">
        <f>Sources!H2508</f>
        <v/>
      </c>
      <c r="G2508">
        <f>IF(ABS(F2508-ROUND(F2508,0))&lt;0.001,1,0)</f>
        <v/>
      </c>
      <c r="H2508">
        <f>IF(G2508=1,F2508,CEILING(F2508,1))</f>
        <v/>
      </c>
      <c r="I2508">
        <f>IF(G2508=1,0,(H2508-F2508)*E2508)</f>
        <v/>
      </c>
      <c r="J2508">
        <f>E2508*F2508</f>
        <v/>
      </c>
    </row>
    <row r="2509">
      <c r="A2509">
        <f>Sources!A2509</f>
        <v/>
      </c>
      <c r="B2509">
        <f>Sources!B2509</f>
        <v/>
      </c>
      <c r="C2509">
        <f>Sources!D2509</f>
        <v/>
      </c>
      <c r="D2509">
        <f>Sources!E2509</f>
        <v/>
      </c>
      <c r="E2509">
        <f>Sources!F2509</f>
        <v/>
      </c>
      <c r="F2509">
        <f>Sources!H2509</f>
        <v/>
      </c>
      <c r="G2509">
        <f>IF(ABS(F2509-ROUND(F2509,0))&lt;0.001,1,0)</f>
        <v/>
      </c>
      <c r="H2509">
        <f>IF(G2509=1,F2509,CEILING(F2509,1))</f>
        <v/>
      </c>
      <c r="I2509">
        <f>IF(G2509=1,0,(H2509-F2509)*E2509)</f>
        <v/>
      </c>
      <c r="J2509">
        <f>E2509*F2509</f>
        <v/>
      </c>
    </row>
    <row r="2510">
      <c r="A2510">
        <f>Sources!A2510</f>
        <v/>
      </c>
      <c r="B2510">
        <f>Sources!B2510</f>
        <v/>
      </c>
      <c r="C2510">
        <f>Sources!D2510</f>
        <v/>
      </c>
      <c r="D2510">
        <f>Sources!E2510</f>
        <v/>
      </c>
      <c r="E2510">
        <f>Sources!F2510</f>
        <v/>
      </c>
      <c r="F2510">
        <f>Sources!H2510</f>
        <v/>
      </c>
      <c r="G2510">
        <f>IF(ABS(F2510-ROUND(F2510,0))&lt;0.001,1,0)</f>
        <v/>
      </c>
      <c r="H2510">
        <f>IF(G2510=1,F2510,CEILING(F2510,1))</f>
        <v/>
      </c>
      <c r="I2510">
        <f>IF(G2510=1,0,(H2510-F2510)*E2510)</f>
        <v/>
      </c>
      <c r="J2510">
        <f>E2510*F2510</f>
        <v/>
      </c>
    </row>
    <row r="2511">
      <c r="A2511">
        <f>Sources!A2511</f>
        <v/>
      </c>
      <c r="B2511">
        <f>Sources!B2511</f>
        <v/>
      </c>
      <c r="C2511">
        <f>Sources!D2511</f>
        <v/>
      </c>
      <c r="D2511">
        <f>Sources!E2511</f>
        <v/>
      </c>
      <c r="E2511">
        <f>Sources!F2511</f>
        <v/>
      </c>
      <c r="F2511">
        <f>Sources!H2511</f>
        <v/>
      </c>
      <c r="G2511">
        <f>IF(ABS(F2511-ROUND(F2511,0))&lt;0.001,1,0)</f>
        <v/>
      </c>
      <c r="H2511">
        <f>IF(G2511=1,F2511,CEILING(F2511,1))</f>
        <v/>
      </c>
      <c r="I2511">
        <f>IF(G2511=1,0,(H2511-F2511)*E2511)</f>
        <v/>
      </c>
      <c r="J2511">
        <f>E2511*F2511</f>
        <v/>
      </c>
    </row>
    <row r="2512">
      <c r="A2512">
        <f>Sources!A2512</f>
        <v/>
      </c>
      <c r="B2512">
        <f>Sources!B2512</f>
        <v/>
      </c>
      <c r="C2512">
        <f>Sources!D2512</f>
        <v/>
      </c>
      <c r="D2512">
        <f>Sources!E2512</f>
        <v/>
      </c>
      <c r="E2512">
        <f>Sources!F2512</f>
        <v/>
      </c>
      <c r="F2512">
        <f>Sources!H2512</f>
        <v/>
      </c>
      <c r="G2512">
        <f>IF(ABS(F2512-ROUND(F2512,0))&lt;0.001,1,0)</f>
        <v/>
      </c>
      <c r="H2512">
        <f>IF(G2512=1,F2512,CEILING(F2512,1))</f>
        <v/>
      </c>
      <c r="I2512">
        <f>IF(G2512=1,0,(H2512-F2512)*E2512)</f>
        <v/>
      </c>
      <c r="J2512">
        <f>E2512*F2512</f>
        <v/>
      </c>
    </row>
    <row r="2513">
      <c r="A2513">
        <f>Sources!A2513</f>
        <v/>
      </c>
      <c r="B2513">
        <f>Sources!B2513</f>
        <v/>
      </c>
      <c r="C2513">
        <f>Sources!D2513</f>
        <v/>
      </c>
      <c r="D2513">
        <f>Sources!E2513</f>
        <v/>
      </c>
      <c r="E2513">
        <f>Sources!F2513</f>
        <v/>
      </c>
      <c r="F2513">
        <f>Sources!H2513</f>
        <v/>
      </c>
      <c r="G2513">
        <f>IF(ABS(F2513-ROUND(F2513,0))&lt;0.001,1,0)</f>
        <v/>
      </c>
      <c r="H2513">
        <f>IF(G2513=1,F2513,CEILING(F2513,1))</f>
        <v/>
      </c>
      <c r="I2513">
        <f>IF(G2513=1,0,(H2513-F2513)*E2513)</f>
        <v/>
      </c>
      <c r="J2513">
        <f>E2513*F2513</f>
        <v/>
      </c>
    </row>
    <row r="2514">
      <c r="A2514">
        <f>Sources!A2514</f>
        <v/>
      </c>
      <c r="B2514">
        <f>Sources!B2514</f>
        <v/>
      </c>
      <c r="C2514">
        <f>Sources!D2514</f>
        <v/>
      </c>
      <c r="D2514">
        <f>Sources!E2514</f>
        <v/>
      </c>
      <c r="E2514">
        <f>Sources!F2514</f>
        <v/>
      </c>
      <c r="F2514">
        <f>Sources!H2514</f>
        <v/>
      </c>
      <c r="G2514">
        <f>IF(ABS(F2514-ROUND(F2514,0))&lt;0.001,1,0)</f>
        <v/>
      </c>
      <c r="H2514">
        <f>IF(G2514=1,F2514,CEILING(F2514,1))</f>
        <v/>
      </c>
      <c r="I2514">
        <f>IF(G2514=1,0,(H2514-F2514)*E2514)</f>
        <v/>
      </c>
      <c r="J2514">
        <f>E2514*F2514</f>
        <v/>
      </c>
    </row>
    <row r="2515">
      <c r="A2515">
        <f>Sources!A2515</f>
        <v/>
      </c>
      <c r="B2515">
        <f>Sources!B2515</f>
        <v/>
      </c>
      <c r="C2515">
        <f>Sources!D2515</f>
        <v/>
      </c>
      <c r="D2515">
        <f>Sources!E2515</f>
        <v/>
      </c>
      <c r="E2515">
        <f>Sources!F2515</f>
        <v/>
      </c>
      <c r="F2515">
        <f>Sources!H2515</f>
        <v/>
      </c>
      <c r="G2515">
        <f>IF(ABS(F2515-ROUND(F2515,0))&lt;0.001,1,0)</f>
        <v/>
      </c>
      <c r="H2515">
        <f>IF(G2515=1,F2515,CEILING(F2515,1))</f>
        <v/>
      </c>
      <c r="I2515">
        <f>IF(G2515=1,0,(H2515-F2515)*E2515)</f>
        <v/>
      </c>
      <c r="J2515">
        <f>E2515*F2515</f>
        <v/>
      </c>
    </row>
    <row r="2516">
      <c r="A2516">
        <f>Sources!A2516</f>
        <v/>
      </c>
      <c r="B2516">
        <f>Sources!B2516</f>
        <v/>
      </c>
      <c r="C2516">
        <f>Sources!D2516</f>
        <v/>
      </c>
      <c r="D2516">
        <f>Sources!E2516</f>
        <v/>
      </c>
      <c r="E2516">
        <f>Sources!F2516</f>
        <v/>
      </c>
      <c r="F2516">
        <f>Sources!H2516</f>
        <v/>
      </c>
      <c r="G2516">
        <f>IF(ABS(F2516-ROUND(F2516,0))&lt;0.001,1,0)</f>
        <v/>
      </c>
      <c r="H2516">
        <f>IF(G2516=1,F2516,CEILING(F2516,1))</f>
        <v/>
      </c>
      <c r="I2516">
        <f>IF(G2516=1,0,(H2516-F2516)*E2516)</f>
        <v/>
      </c>
      <c r="J2516">
        <f>E2516*F2516</f>
        <v/>
      </c>
    </row>
    <row r="2517">
      <c r="A2517">
        <f>Sources!A2517</f>
        <v/>
      </c>
      <c r="B2517">
        <f>Sources!B2517</f>
        <v/>
      </c>
      <c r="C2517">
        <f>Sources!D2517</f>
        <v/>
      </c>
      <c r="D2517">
        <f>Sources!E2517</f>
        <v/>
      </c>
      <c r="E2517">
        <f>Sources!F2517</f>
        <v/>
      </c>
      <c r="F2517">
        <f>Sources!H2517</f>
        <v/>
      </c>
      <c r="G2517">
        <f>IF(ABS(F2517-ROUND(F2517,0))&lt;0.001,1,0)</f>
        <v/>
      </c>
      <c r="H2517">
        <f>IF(G2517=1,F2517,CEILING(F2517,1))</f>
        <v/>
      </c>
      <c r="I2517">
        <f>IF(G2517=1,0,(H2517-F2517)*E2517)</f>
        <v/>
      </c>
      <c r="J2517">
        <f>E2517*F2517</f>
        <v/>
      </c>
    </row>
    <row r="2518">
      <c r="A2518">
        <f>Sources!A2518</f>
        <v/>
      </c>
      <c r="B2518">
        <f>Sources!B2518</f>
        <v/>
      </c>
      <c r="C2518">
        <f>Sources!D2518</f>
        <v/>
      </c>
      <c r="D2518">
        <f>Sources!E2518</f>
        <v/>
      </c>
      <c r="E2518">
        <f>Sources!F2518</f>
        <v/>
      </c>
      <c r="F2518">
        <f>Sources!H2518</f>
        <v/>
      </c>
      <c r="G2518">
        <f>IF(ABS(F2518-ROUND(F2518,0))&lt;0.001,1,0)</f>
        <v/>
      </c>
      <c r="H2518">
        <f>IF(G2518=1,F2518,CEILING(F2518,1))</f>
        <v/>
      </c>
      <c r="I2518">
        <f>IF(G2518=1,0,(H2518-F2518)*E2518)</f>
        <v/>
      </c>
      <c r="J2518">
        <f>E2518*F2518</f>
        <v/>
      </c>
    </row>
    <row r="2519">
      <c r="A2519">
        <f>Sources!A2519</f>
        <v/>
      </c>
      <c r="B2519">
        <f>Sources!B2519</f>
        <v/>
      </c>
      <c r="C2519">
        <f>Sources!D2519</f>
        <v/>
      </c>
      <c r="D2519">
        <f>Sources!E2519</f>
        <v/>
      </c>
      <c r="E2519">
        <f>Sources!F2519</f>
        <v/>
      </c>
      <c r="F2519">
        <f>Sources!H2519</f>
        <v/>
      </c>
      <c r="G2519">
        <f>IF(ABS(F2519-ROUND(F2519,0))&lt;0.001,1,0)</f>
        <v/>
      </c>
      <c r="H2519">
        <f>IF(G2519=1,F2519,CEILING(F2519,1))</f>
        <v/>
      </c>
      <c r="I2519">
        <f>IF(G2519=1,0,(H2519-F2519)*E2519)</f>
        <v/>
      </c>
      <c r="J2519">
        <f>E2519*F2519</f>
        <v/>
      </c>
    </row>
    <row r="2520">
      <c r="A2520">
        <f>Sources!A2520</f>
        <v/>
      </c>
      <c r="B2520">
        <f>Sources!B2520</f>
        <v/>
      </c>
      <c r="C2520">
        <f>Sources!D2520</f>
        <v/>
      </c>
      <c r="D2520">
        <f>Sources!E2520</f>
        <v/>
      </c>
      <c r="E2520">
        <f>Sources!F2520</f>
        <v/>
      </c>
      <c r="F2520">
        <f>Sources!H2520</f>
        <v/>
      </c>
      <c r="G2520">
        <f>IF(ABS(F2520-ROUND(F2520,0))&lt;0.001,1,0)</f>
        <v/>
      </c>
      <c r="H2520">
        <f>IF(G2520=1,F2520,CEILING(F2520,1))</f>
        <v/>
      </c>
      <c r="I2520">
        <f>IF(G2520=1,0,(H2520-F2520)*E2520)</f>
        <v/>
      </c>
      <c r="J2520">
        <f>E2520*F2520</f>
        <v/>
      </c>
    </row>
    <row r="2521">
      <c r="A2521">
        <f>Sources!A2521</f>
        <v/>
      </c>
      <c r="B2521">
        <f>Sources!B2521</f>
        <v/>
      </c>
      <c r="C2521">
        <f>Sources!D2521</f>
        <v/>
      </c>
      <c r="D2521">
        <f>Sources!E2521</f>
        <v/>
      </c>
      <c r="E2521">
        <f>Sources!F2521</f>
        <v/>
      </c>
      <c r="F2521">
        <f>Sources!H2521</f>
        <v/>
      </c>
      <c r="G2521">
        <f>IF(ABS(F2521-ROUND(F2521,0))&lt;0.001,1,0)</f>
        <v/>
      </c>
      <c r="H2521">
        <f>IF(G2521=1,F2521,CEILING(F2521,1))</f>
        <v/>
      </c>
      <c r="I2521">
        <f>IF(G2521=1,0,(H2521-F2521)*E2521)</f>
        <v/>
      </c>
      <c r="J2521">
        <f>E2521*F2521</f>
        <v/>
      </c>
    </row>
    <row r="2522">
      <c r="A2522">
        <f>Sources!A2522</f>
        <v/>
      </c>
      <c r="B2522">
        <f>Sources!B2522</f>
        <v/>
      </c>
      <c r="C2522">
        <f>Sources!D2522</f>
        <v/>
      </c>
      <c r="D2522">
        <f>Sources!E2522</f>
        <v/>
      </c>
      <c r="E2522">
        <f>Sources!F2522</f>
        <v/>
      </c>
      <c r="F2522">
        <f>Sources!H2522</f>
        <v/>
      </c>
      <c r="G2522">
        <f>IF(ABS(F2522-ROUND(F2522,0))&lt;0.001,1,0)</f>
        <v/>
      </c>
      <c r="H2522">
        <f>IF(G2522=1,F2522,CEILING(F2522,1))</f>
        <v/>
      </c>
      <c r="I2522">
        <f>IF(G2522=1,0,(H2522-F2522)*E2522)</f>
        <v/>
      </c>
      <c r="J2522">
        <f>E2522*F2522</f>
        <v/>
      </c>
    </row>
    <row r="2523">
      <c r="A2523">
        <f>Sources!A2523</f>
        <v/>
      </c>
      <c r="B2523">
        <f>Sources!B2523</f>
        <v/>
      </c>
      <c r="C2523">
        <f>Sources!D2523</f>
        <v/>
      </c>
      <c r="D2523">
        <f>Sources!E2523</f>
        <v/>
      </c>
      <c r="E2523">
        <f>Sources!F2523</f>
        <v/>
      </c>
      <c r="F2523">
        <f>Sources!H2523</f>
        <v/>
      </c>
      <c r="G2523">
        <f>IF(ABS(F2523-ROUND(F2523,0))&lt;0.001,1,0)</f>
        <v/>
      </c>
      <c r="H2523">
        <f>IF(G2523=1,F2523,CEILING(F2523,1))</f>
        <v/>
      </c>
      <c r="I2523">
        <f>IF(G2523=1,0,(H2523-F2523)*E2523)</f>
        <v/>
      </c>
      <c r="J2523">
        <f>E2523*F2523</f>
        <v/>
      </c>
    </row>
    <row r="2524">
      <c r="A2524">
        <f>Sources!A2524</f>
        <v/>
      </c>
      <c r="B2524">
        <f>Sources!B2524</f>
        <v/>
      </c>
      <c r="C2524">
        <f>Sources!D2524</f>
        <v/>
      </c>
      <c r="D2524">
        <f>Sources!E2524</f>
        <v/>
      </c>
      <c r="E2524">
        <f>Sources!F2524</f>
        <v/>
      </c>
      <c r="F2524">
        <f>Sources!H2524</f>
        <v/>
      </c>
      <c r="G2524">
        <f>IF(ABS(F2524-ROUND(F2524,0))&lt;0.001,1,0)</f>
        <v/>
      </c>
      <c r="H2524">
        <f>IF(G2524=1,F2524,CEILING(F2524,1))</f>
        <v/>
      </c>
      <c r="I2524">
        <f>IF(G2524=1,0,(H2524-F2524)*E2524)</f>
        <v/>
      </c>
      <c r="J2524">
        <f>E2524*F2524</f>
        <v/>
      </c>
    </row>
    <row r="2525">
      <c r="A2525">
        <f>Sources!A2525</f>
        <v/>
      </c>
      <c r="B2525">
        <f>Sources!B2525</f>
        <v/>
      </c>
      <c r="C2525">
        <f>Sources!D2525</f>
        <v/>
      </c>
      <c r="D2525">
        <f>Sources!E2525</f>
        <v/>
      </c>
      <c r="E2525">
        <f>Sources!F2525</f>
        <v/>
      </c>
      <c r="F2525">
        <f>Sources!H2525</f>
        <v/>
      </c>
      <c r="G2525">
        <f>IF(ABS(F2525-ROUND(F2525,0))&lt;0.001,1,0)</f>
        <v/>
      </c>
      <c r="H2525">
        <f>IF(G2525=1,F2525,CEILING(F2525,1))</f>
        <v/>
      </c>
      <c r="I2525">
        <f>IF(G2525=1,0,(H2525-F2525)*E2525)</f>
        <v/>
      </c>
      <c r="J2525">
        <f>E2525*F2525</f>
        <v/>
      </c>
    </row>
    <row r="2526">
      <c r="A2526">
        <f>Sources!A2526</f>
        <v/>
      </c>
      <c r="B2526">
        <f>Sources!B2526</f>
        <v/>
      </c>
      <c r="C2526">
        <f>Sources!D2526</f>
        <v/>
      </c>
      <c r="D2526">
        <f>Sources!E2526</f>
        <v/>
      </c>
      <c r="E2526">
        <f>Sources!F2526</f>
        <v/>
      </c>
      <c r="F2526">
        <f>Sources!H2526</f>
        <v/>
      </c>
      <c r="G2526">
        <f>IF(ABS(F2526-ROUND(F2526,0))&lt;0.001,1,0)</f>
        <v/>
      </c>
      <c r="H2526">
        <f>IF(G2526=1,F2526,CEILING(F2526,1))</f>
        <v/>
      </c>
      <c r="I2526">
        <f>IF(G2526=1,0,(H2526-F2526)*E2526)</f>
        <v/>
      </c>
      <c r="J2526">
        <f>E2526*F2526</f>
        <v/>
      </c>
    </row>
    <row r="2527">
      <c r="A2527">
        <f>Sources!A2527</f>
        <v/>
      </c>
      <c r="B2527">
        <f>Sources!B2527</f>
        <v/>
      </c>
      <c r="C2527">
        <f>Sources!D2527</f>
        <v/>
      </c>
      <c r="D2527">
        <f>Sources!E2527</f>
        <v/>
      </c>
      <c r="E2527">
        <f>Sources!F2527</f>
        <v/>
      </c>
      <c r="F2527">
        <f>Sources!H2527</f>
        <v/>
      </c>
      <c r="G2527">
        <f>IF(ABS(F2527-ROUND(F2527,0))&lt;0.001,1,0)</f>
        <v/>
      </c>
      <c r="H2527">
        <f>IF(G2527=1,F2527,CEILING(F2527,1))</f>
        <v/>
      </c>
      <c r="I2527">
        <f>IF(G2527=1,0,(H2527-F2527)*E2527)</f>
        <v/>
      </c>
      <c r="J2527">
        <f>E2527*F2527</f>
        <v/>
      </c>
    </row>
    <row r="2528">
      <c r="A2528">
        <f>Sources!A2528</f>
        <v/>
      </c>
      <c r="B2528">
        <f>Sources!B2528</f>
        <v/>
      </c>
      <c r="C2528">
        <f>Sources!D2528</f>
        <v/>
      </c>
      <c r="D2528">
        <f>Sources!E2528</f>
        <v/>
      </c>
      <c r="E2528">
        <f>Sources!F2528</f>
        <v/>
      </c>
      <c r="F2528">
        <f>Sources!H2528</f>
        <v/>
      </c>
      <c r="G2528">
        <f>IF(ABS(F2528-ROUND(F2528,0))&lt;0.001,1,0)</f>
        <v/>
      </c>
      <c r="H2528">
        <f>IF(G2528=1,F2528,CEILING(F2528,1))</f>
        <v/>
      </c>
      <c r="I2528">
        <f>IF(G2528=1,0,(H2528-F2528)*E2528)</f>
        <v/>
      </c>
      <c r="J2528">
        <f>E2528*F2528</f>
        <v/>
      </c>
    </row>
    <row r="2529">
      <c r="A2529">
        <f>Sources!A2529</f>
        <v/>
      </c>
      <c r="B2529">
        <f>Sources!B2529</f>
        <v/>
      </c>
      <c r="C2529">
        <f>Sources!D2529</f>
        <v/>
      </c>
      <c r="D2529">
        <f>Sources!E2529</f>
        <v/>
      </c>
      <c r="E2529">
        <f>Sources!F2529</f>
        <v/>
      </c>
      <c r="F2529">
        <f>Sources!H2529</f>
        <v/>
      </c>
      <c r="G2529">
        <f>IF(ABS(F2529-ROUND(F2529,0))&lt;0.001,1,0)</f>
        <v/>
      </c>
      <c r="H2529">
        <f>IF(G2529=1,F2529,CEILING(F2529,1))</f>
        <v/>
      </c>
      <c r="I2529">
        <f>IF(G2529=1,0,(H2529-F2529)*E2529)</f>
        <v/>
      </c>
      <c r="J2529">
        <f>E2529*F2529</f>
        <v/>
      </c>
    </row>
    <row r="2530">
      <c r="A2530">
        <f>Sources!A2530</f>
        <v/>
      </c>
      <c r="B2530">
        <f>Sources!B2530</f>
        <v/>
      </c>
      <c r="C2530">
        <f>Sources!D2530</f>
        <v/>
      </c>
      <c r="D2530">
        <f>Sources!E2530</f>
        <v/>
      </c>
      <c r="E2530">
        <f>Sources!F2530</f>
        <v/>
      </c>
      <c r="F2530">
        <f>Sources!H2530</f>
        <v/>
      </c>
      <c r="G2530">
        <f>IF(ABS(F2530-ROUND(F2530,0))&lt;0.001,1,0)</f>
        <v/>
      </c>
      <c r="H2530">
        <f>IF(G2530=1,F2530,CEILING(F2530,1))</f>
        <v/>
      </c>
      <c r="I2530">
        <f>IF(G2530=1,0,(H2530-F2530)*E2530)</f>
        <v/>
      </c>
      <c r="J2530">
        <f>E2530*F2530</f>
        <v/>
      </c>
    </row>
    <row r="2531">
      <c r="A2531">
        <f>Sources!A2531</f>
        <v/>
      </c>
      <c r="B2531">
        <f>Sources!B2531</f>
        <v/>
      </c>
      <c r="C2531">
        <f>Sources!D2531</f>
        <v/>
      </c>
      <c r="D2531">
        <f>Sources!E2531</f>
        <v/>
      </c>
      <c r="E2531">
        <f>Sources!F2531</f>
        <v/>
      </c>
      <c r="F2531">
        <f>Sources!H2531</f>
        <v/>
      </c>
      <c r="G2531">
        <f>IF(ABS(F2531-ROUND(F2531,0))&lt;0.001,1,0)</f>
        <v/>
      </c>
      <c r="H2531">
        <f>IF(G2531=1,F2531,CEILING(F2531,1))</f>
        <v/>
      </c>
      <c r="I2531">
        <f>IF(G2531=1,0,(H2531-F2531)*E2531)</f>
        <v/>
      </c>
      <c r="J2531">
        <f>E2531*F2531</f>
        <v/>
      </c>
    </row>
    <row r="2532">
      <c r="A2532">
        <f>Sources!A2532</f>
        <v/>
      </c>
      <c r="B2532">
        <f>Sources!B2532</f>
        <v/>
      </c>
      <c r="C2532">
        <f>Sources!D2532</f>
        <v/>
      </c>
      <c r="D2532">
        <f>Sources!E2532</f>
        <v/>
      </c>
      <c r="E2532">
        <f>Sources!F2532</f>
        <v/>
      </c>
      <c r="F2532">
        <f>Sources!H2532</f>
        <v/>
      </c>
      <c r="G2532">
        <f>IF(ABS(F2532-ROUND(F2532,0))&lt;0.001,1,0)</f>
        <v/>
      </c>
      <c r="H2532">
        <f>IF(G2532=1,F2532,CEILING(F2532,1))</f>
        <v/>
      </c>
      <c r="I2532">
        <f>IF(G2532=1,0,(H2532-F2532)*E2532)</f>
        <v/>
      </c>
      <c r="J2532">
        <f>E2532*F2532</f>
        <v/>
      </c>
    </row>
    <row r="2533">
      <c r="A2533">
        <f>Sources!A2533</f>
        <v/>
      </c>
      <c r="B2533">
        <f>Sources!B2533</f>
        <v/>
      </c>
      <c r="C2533">
        <f>Sources!D2533</f>
        <v/>
      </c>
      <c r="D2533">
        <f>Sources!E2533</f>
        <v/>
      </c>
      <c r="E2533">
        <f>Sources!F2533</f>
        <v/>
      </c>
      <c r="F2533">
        <f>Sources!H2533</f>
        <v/>
      </c>
      <c r="G2533">
        <f>IF(ABS(F2533-ROUND(F2533,0))&lt;0.001,1,0)</f>
        <v/>
      </c>
      <c r="H2533">
        <f>IF(G2533=1,F2533,CEILING(F2533,1))</f>
        <v/>
      </c>
      <c r="I2533">
        <f>IF(G2533=1,0,(H2533-F2533)*E2533)</f>
        <v/>
      </c>
      <c r="J2533">
        <f>E2533*F2533</f>
        <v/>
      </c>
    </row>
    <row r="2534">
      <c r="A2534">
        <f>Sources!A2534</f>
        <v/>
      </c>
      <c r="B2534">
        <f>Sources!B2534</f>
        <v/>
      </c>
      <c r="C2534">
        <f>Sources!D2534</f>
        <v/>
      </c>
      <c r="D2534">
        <f>Sources!E2534</f>
        <v/>
      </c>
      <c r="E2534">
        <f>Sources!F2534</f>
        <v/>
      </c>
      <c r="F2534">
        <f>Sources!H2534</f>
        <v/>
      </c>
      <c r="G2534">
        <f>IF(ABS(F2534-ROUND(F2534,0))&lt;0.001,1,0)</f>
        <v/>
      </c>
      <c r="H2534">
        <f>IF(G2534=1,F2534,CEILING(F2534,1))</f>
        <v/>
      </c>
      <c r="I2534">
        <f>IF(G2534=1,0,(H2534-F2534)*E2534)</f>
        <v/>
      </c>
      <c r="J2534">
        <f>E2534*F2534</f>
        <v/>
      </c>
    </row>
    <row r="2535">
      <c r="A2535">
        <f>Sources!A2535</f>
        <v/>
      </c>
      <c r="B2535">
        <f>Sources!B2535</f>
        <v/>
      </c>
      <c r="C2535">
        <f>Sources!D2535</f>
        <v/>
      </c>
      <c r="D2535">
        <f>Sources!E2535</f>
        <v/>
      </c>
      <c r="E2535">
        <f>Sources!F2535</f>
        <v/>
      </c>
      <c r="F2535">
        <f>Sources!H2535</f>
        <v/>
      </c>
      <c r="G2535">
        <f>IF(ABS(F2535-ROUND(F2535,0))&lt;0.001,1,0)</f>
        <v/>
      </c>
      <c r="H2535">
        <f>IF(G2535=1,F2535,CEILING(F2535,1))</f>
        <v/>
      </c>
      <c r="I2535">
        <f>IF(G2535=1,0,(H2535-F2535)*E2535)</f>
        <v/>
      </c>
      <c r="J2535">
        <f>E2535*F2535</f>
        <v/>
      </c>
    </row>
    <row r="2536">
      <c r="A2536">
        <f>Sources!A2536</f>
        <v/>
      </c>
      <c r="B2536">
        <f>Sources!B2536</f>
        <v/>
      </c>
      <c r="C2536">
        <f>Sources!D2536</f>
        <v/>
      </c>
      <c r="D2536">
        <f>Sources!E2536</f>
        <v/>
      </c>
      <c r="E2536">
        <f>Sources!F2536</f>
        <v/>
      </c>
      <c r="F2536">
        <f>Sources!H2536</f>
        <v/>
      </c>
      <c r="G2536">
        <f>IF(ABS(F2536-ROUND(F2536,0))&lt;0.001,1,0)</f>
        <v/>
      </c>
      <c r="H2536">
        <f>IF(G2536=1,F2536,CEILING(F2536,1))</f>
        <v/>
      </c>
      <c r="I2536">
        <f>IF(G2536=1,0,(H2536-F2536)*E2536)</f>
        <v/>
      </c>
      <c r="J2536">
        <f>E2536*F2536</f>
        <v/>
      </c>
    </row>
    <row r="2537">
      <c r="A2537">
        <f>Sources!A2537</f>
        <v/>
      </c>
      <c r="B2537">
        <f>Sources!B2537</f>
        <v/>
      </c>
      <c r="C2537">
        <f>Sources!D2537</f>
        <v/>
      </c>
      <c r="D2537">
        <f>Sources!E2537</f>
        <v/>
      </c>
      <c r="E2537">
        <f>Sources!F2537</f>
        <v/>
      </c>
      <c r="F2537">
        <f>Sources!H2537</f>
        <v/>
      </c>
      <c r="G2537">
        <f>IF(ABS(F2537-ROUND(F2537,0))&lt;0.001,1,0)</f>
        <v/>
      </c>
      <c r="H2537">
        <f>IF(G2537=1,F2537,CEILING(F2537,1))</f>
        <v/>
      </c>
      <c r="I2537">
        <f>IF(G2537=1,0,(H2537-F2537)*E2537)</f>
        <v/>
      </c>
      <c r="J2537">
        <f>E2537*F2537</f>
        <v/>
      </c>
    </row>
    <row r="2538">
      <c r="A2538">
        <f>Sources!A2538</f>
        <v/>
      </c>
      <c r="B2538">
        <f>Sources!B2538</f>
        <v/>
      </c>
      <c r="C2538">
        <f>Sources!D2538</f>
        <v/>
      </c>
      <c r="D2538">
        <f>Sources!E2538</f>
        <v/>
      </c>
      <c r="E2538">
        <f>Sources!F2538</f>
        <v/>
      </c>
      <c r="F2538">
        <f>Sources!H2538</f>
        <v/>
      </c>
      <c r="G2538">
        <f>IF(ABS(F2538-ROUND(F2538,0))&lt;0.001,1,0)</f>
        <v/>
      </c>
      <c r="H2538">
        <f>IF(G2538=1,F2538,CEILING(F2538,1))</f>
        <v/>
      </c>
      <c r="I2538">
        <f>IF(G2538=1,0,(H2538-F2538)*E2538)</f>
        <v/>
      </c>
      <c r="J2538">
        <f>E2538*F2538</f>
        <v/>
      </c>
    </row>
    <row r="2539">
      <c r="A2539">
        <f>Sources!A2539</f>
        <v/>
      </c>
      <c r="B2539">
        <f>Sources!B2539</f>
        <v/>
      </c>
      <c r="C2539">
        <f>Sources!D2539</f>
        <v/>
      </c>
      <c r="D2539">
        <f>Sources!E2539</f>
        <v/>
      </c>
      <c r="E2539">
        <f>Sources!F2539</f>
        <v/>
      </c>
      <c r="F2539">
        <f>Sources!H2539</f>
        <v/>
      </c>
      <c r="G2539">
        <f>IF(ABS(F2539-ROUND(F2539,0))&lt;0.001,1,0)</f>
        <v/>
      </c>
      <c r="H2539">
        <f>IF(G2539=1,F2539,CEILING(F2539,1))</f>
        <v/>
      </c>
      <c r="I2539">
        <f>IF(G2539=1,0,(H2539-F2539)*E2539)</f>
        <v/>
      </c>
      <c r="J2539">
        <f>E2539*F2539</f>
        <v/>
      </c>
    </row>
    <row r="2540">
      <c r="A2540">
        <f>Sources!A2540</f>
        <v/>
      </c>
      <c r="B2540">
        <f>Sources!B2540</f>
        <v/>
      </c>
      <c r="C2540">
        <f>Sources!D2540</f>
        <v/>
      </c>
      <c r="D2540">
        <f>Sources!E2540</f>
        <v/>
      </c>
      <c r="E2540">
        <f>Sources!F2540</f>
        <v/>
      </c>
      <c r="F2540">
        <f>Sources!H2540</f>
        <v/>
      </c>
      <c r="G2540">
        <f>IF(ABS(F2540-ROUND(F2540,0))&lt;0.001,1,0)</f>
        <v/>
      </c>
      <c r="H2540">
        <f>IF(G2540=1,F2540,CEILING(F2540,1))</f>
        <v/>
      </c>
      <c r="I2540">
        <f>IF(G2540=1,0,(H2540-F2540)*E2540)</f>
        <v/>
      </c>
      <c r="J2540">
        <f>E2540*F2540</f>
        <v/>
      </c>
    </row>
    <row r="2541">
      <c r="A2541">
        <f>Sources!A2541</f>
        <v/>
      </c>
      <c r="B2541">
        <f>Sources!B2541</f>
        <v/>
      </c>
      <c r="C2541">
        <f>Sources!D2541</f>
        <v/>
      </c>
      <c r="D2541">
        <f>Sources!E2541</f>
        <v/>
      </c>
      <c r="E2541">
        <f>Sources!F2541</f>
        <v/>
      </c>
      <c r="F2541">
        <f>Sources!H2541</f>
        <v/>
      </c>
      <c r="G2541">
        <f>IF(ABS(F2541-ROUND(F2541,0))&lt;0.001,1,0)</f>
        <v/>
      </c>
      <c r="H2541">
        <f>IF(G2541=1,F2541,CEILING(F2541,1))</f>
        <v/>
      </c>
      <c r="I2541">
        <f>IF(G2541=1,0,(H2541-F2541)*E2541)</f>
        <v/>
      </c>
      <c r="J2541">
        <f>E2541*F2541</f>
        <v/>
      </c>
    </row>
    <row r="2542">
      <c r="A2542">
        <f>Sources!A2542</f>
        <v/>
      </c>
      <c r="B2542">
        <f>Sources!B2542</f>
        <v/>
      </c>
      <c r="C2542">
        <f>Sources!D2542</f>
        <v/>
      </c>
      <c r="D2542">
        <f>Sources!E2542</f>
        <v/>
      </c>
      <c r="E2542">
        <f>Sources!F2542</f>
        <v/>
      </c>
      <c r="F2542">
        <f>Sources!H2542</f>
        <v/>
      </c>
      <c r="G2542">
        <f>IF(ABS(F2542-ROUND(F2542,0))&lt;0.001,1,0)</f>
        <v/>
      </c>
      <c r="H2542">
        <f>IF(G2542=1,F2542,CEILING(F2542,1))</f>
        <v/>
      </c>
      <c r="I2542">
        <f>IF(G2542=1,0,(H2542-F2542)*E2542)</f>
        <v/>
      </c>
      <c r="J2542">
        <f>E2542*F2542</f>
        <v/>
      </c>
    </row>
    <row r="2543">
      <c r="A2543">
        <f>Sources!A2543</f>
        <v/>
      </c>
      <c r="B2543">
        <f>Sources!B2543</f>
        <v/>
      </c>
      <c r="C2543">
        <f>Sources!D2543</f>
        <v/>
      </c>
      <c r="D2543">
        <f>Sources!E2543</f>
        <v/>
      </c>
      <c r="E2543">
        <f>Sources!F2543</f>
        <v/>
      </c>
      <c r="F2543">
        <f>Sources!H2543</f>
        <v/>
      </c>
      <c r="G2543">
        <f>IF(ABS(F2543-ROUND(F2543,0))&lt;0.001,1,0)</f>
        <v/>
      </c>
      <c r="H2543">
        <f>IF(G2543=1,F2543,CEILING(F2543,1))</f>
        <v/>
      </c>
      <c r="I2543">
        <f>IF(G2543=1,0,(H2543-F2543)*E2543)</f>
        <v/>
      </c>
      <c r="J2543">
        <f>E2543*F2543</f>
        <v/>
      </c>
    </row>
    <row r="2544">
      <c r="A2544">
        <f>Sources!A2544</f>
        <v/>
      </c>
      <c r="B2544">
        <f>Sources!B2544</f>
        <v/>
      </c>
      <c r="C2544">
        <f>Sources!D2544</f>
        <v/>
      </c>
      <c r="D2544">
        <f>Sources!E2544</f>
        <v/>
      </c>
      <c r="E2544">
        <f>Sources!F2544</f>
        <v/>
      </c>
      <c r="F2544">
        <f>Sources!H2544</f>
        <v/>
      </c>
      <c r="G2544">
        <f>IF(ABS(F2544-ROUND(F2544,0))&lt;0.001,1,0)</f>
        <v/>
      </c>
      <c r="H2544">
        <f>IF(G2544=1,F2544,CEILING(F2544,1))</f>
        <v/>
      </c>
      <c r="I2544">
        <f>IF(G2544=1,0,(H2544-F2544)*E2544)</f>
        <v/>
      </c>
      <c r="J2544">
        <f>E2544*F2544</f>
        <v/>
      </c>
    </row>
    <row r="2545">
      <c r="A2545">
        <f>Sources!A2545</f>
        <v/>
      </c>
      <c r="B2545">
        <f>Sources!B2545</f>
        <v/>
      </c>
      <c r="C2545">
        <f>Sources!D2545</f>
        <v/>
      </c>
      <c r="D2545">
        <f>Sources!E2545</f>
        <v/>
      </c>
      <c r="E2545">
        <f>Sources!F2545</f>
        <v/>
      </c>
      <c r="F2545">
        <f>Sources!H2545</f>
        <v/>
      </c>
      <c r="G2545">
        <f>IF(ABS(F2545-ROUND(F2545,0))&lt;0.001,1,0)</f>
        <v/>
      </c>
      <c r="H2545">
        <f>IF(G2545=1,F2545,CEILING(F2545,1))</f>
        <v/>
      </c>
      <c r="I2545">
        <f>IF(G2545=1,0,(H2545-F2545)*E2545)</f>
        <v/>
      </c>
      <c r="J2545">
        <f>E2545*F2545</f>
        <v/>
      </c>
    </row>
    <row r="2546">
      <c r="A2546">
        <f>Sources!A2546</f>
        <v/>
      </c>
      <c r="B2546">
        <f>Sources!B2546</f>
        <v/>
      </c>
      <c r="C2546">
        <f>Sources!D2546</f>
        <v/>
      </c>
      <c r="D2546">
        <f>Sources!E2546</f>
        <v/>
      </c>
      <c r="E2546">
        <f>Sources!F2546</f>
        <v/>
      </c>
      <c r="F2546">
        <f>Sources!H2546</f>
        <v/>
      </c>
      <c r="G2546">
        <f>IF(ABS(F2546-ROUND(F2546,0))&lt;0.001,1,0)</f>
        <v/>
      </c>
      <c r="H2546">
        <f>IF(G2546=1,F2546,CEILING(F2546,1))</f>
        <v/>
      </c>
      <c r="I2546">
        <f>IF(G2546=1,0,(H2546-F2546)*E2546)</f>
        <v/>
      </c>
      <c r="J2546">
        <f>E2546*F2546</f>
        <v/>
      </c>
    </row>
    <row r="2547">
      <c r="A2547">
        <f>Sources!A2547</f>
        <v/>
      </c>
      <c r="B2547">
        <f>Sources!B2547</f>
        <v/>
      </c>
      <c r="C2547">
        <f>Sources!D2547</f>
        <v/>
      </c>
      <c r="D2547">
        <f>Sources!E2547</f>
        <v/>
      </c>
      <c r="E2547">
        <f>Sources!F2547</f>
        <v/>
      </c>
      <c r="F2547">
        <f>Sources!H2547</f>
        <v/>
      </c>
      <c r="G2547">
        <f>IF(ABS(F2547-ROUND(F2547,0))&lt;0.001,1,0)</f>
        <v/>
      </c>
      <c r="H2547">
        <f>IF(G2547=1,F2547,CEILING(F2547,1))</f>
        <v/>
      </c>
      <c r="I2547">
        <f>IF(G2547=1,0,(H2547-F2547)*E2547)</f>
        <v/>
      </c>
      <c r="J2547">
        <f>E2547*F2547</f>
        <v/>
      </c>
    </row>
    <row r="2548">
      <c r="A2548">
        <f>Sources!A2548</f>
        <v/>
      </c>
      <c r="B2548">
        <f>Sources!B2548</f>
        <v/>
      </c>
      <c r="C2548">
        <f>Sources!D2548</f>
        <v/>
      </c>
      <c r="D2548">
        <f>Sources!E2548</f>
        <v/>
      </c>
      <c r="E2548">
        <f>Sources!F2548</f>
        <v/>
      </c>
      <c r="F2548">
        <f>Sources!H2548</f>
        <v/>
      </c>
      <c r="G2548">
        <f>IF(ABS(F2548-ROUND(F2548,0))&lt;0.001,1,0)</f>
        <v/>
      </c>
      <c r="H2548">
        <f>IF(G2548=1,F2548,CEILING(F2548,1))</f>
        <v/>
      </c>
      <c r="I2548">
        <f>IF(G2548=1,0,(H2548-F2548)*E2548)</f>
        <v/>
      </c>
      <c r="J2548">
        <f>E2548*F2548</f>
        <v/>
      </c>
    </row>
    <row r="2549">
      <c r="A2549">
        <f>Sources!A2549</f>
        <v/>
      </c>
      <c r="B2549">
        <f>Sources!B2549</f>
        <v/>
      </c>
      <c r="C2549">
        <f>Sources!D2549</f>
        <v/>
      </c>
      <c r="D2549">
        <f>Sources!E2549</f>
        <v/>
      </c>
      <c r="E2549">
        <f>Sources!F2549</f>
        <v/>
      </c>
      <c r="F2549">
        <f>Sources!H2549</f>
        <v/>
      </c>
      <c r="G2549">
        <f>IF(ABS(F2549-ROUND(F2549,0))&lt;0.001,1,0)</f>
        <v/>
      </c>
      <c r="H2549">
        <f>IF(G2549=1,F2549,CEILING(F2549,1))</f>
        <v/>
      </c>
      <c r="I2549">
        <f>IF(G2549=1,0,(H2549-F2549)*E2549)</f>
        <v/>
      </c>
      <c r="J2549">
        <f>E2549*F2549</f>
        <v/>
      </c>
    </row>
    <row r="2550">
      <c r="A2550">
        <f>Sources!A2550</f>
        <v/>
      </c>
      <c r="B2550">
        <f>Sources!B2550</f>
        <v/>
      </c>
      <c r="C2550">
        <f>Sources!D2550</f>
        <v/>
      </c>
      <c r="D2550">
        <f>Sources!E2550</f>
        <v/>
      </c>
      <c r="E2550">
        <f>Sources!F2550</f>
        <v/>
      </c>
      <c r="F2550">
        <f>Sources!H2550</f>
        <v/>
      </c>
      <c r="G2550">
        <f>IF(ABS(F2550-ROUND(F2550,0))&lt;0.001,1,0)</f>
        <v/>
      </c>
      <c r="H2550">
        <f>IF(G2550=1,F2550,CEILING(F2550,1))</f>
        <v/>
      </c>
      <c r="I2550">
        <f>IF(G2550=1,0,(H2550-F2550)*E2550)</f>
        <v/>
      </c>
      <c r="J2550">
        <f>E2550*F2550</f>
        <v/>
      </c>
    </row>
    <row r="2551">
      <c r="A2551">
        <f>Sources!A2551</f>
        <v/>
      </c>
      <c r="B2551">
        <f>Sources!B2551</f>
        <v/>
      </c>
      <c r="C2551">
        <f>Sources!D2551</f>
        <v/>
      </c>
      <c r="D2551">
        <f>Sources!E2551</f>
        <v/>
      </c>
      <c r="E2551">
        <f>Sources!F2551</f>
        <v/>
      </c>
      <c r="F2551">
        <f>Sources!H2551</f>
        <v/>
      </c>
      <c r="G2551">
        <f>IF(ABS(F2551-ROUND(F2551,0))&lt;0.001,1,0)</f>
        <v/>
      </c>
      <c r="H2551">
        <f>IF(G2551=1,F2551,CEILING(F2551,1))</f>
        <v/>
      </c>
      <c r="I2551">
        <f>IF(G2551=1,0,(H2551-F2551)*E2551)</f>
        <v/>
      </c>
      <c r="J2551">
        <f>E2551*F2551</f>
        <v/>
      </c>
    </row>
    <row r="2552">
      <c r="A2552">
        <f>Sources!A2552</f>
        <v/>
      </c>
      <c r="B2552">
        <f>Sources!B2552</f>
        <v/>
      </c>
      <c r="C2552">
        <f>Sources!D2552</f>
        <v/>
      </c>
      <c r="D2552">
        <f>Sources!E2552</f>
        <v/>
      </c>
      <c r="E2552">
        <f>Sources!F2552</f>
        <v/>
      </c>
      <c r="F2552">
        <f>Sources!H2552</f>
        <v/>
      </c>
      <c r="G2552">
        <f>IF(ABS(F2552-ROUND(F2552,0))&lt;0.001,1,0)</f>
        <v/>
      </c>
      <c r="H2552">
        <f>IF(G2552=1,F2552,CEILING(F2552,1))</f>
        <v/>
      </c>
      <c r="I2552">
        <f>IF(G2552=1,0,(H2552-F2552)*E2552)</f>
        <v/>
      </c>
      <c r="J2552">
        <f>E2552*F2552</f>
        <v/>
      </c>
    </row>
    <row r="2553">
      <c r="A2553">
        <f>Sources!A2553</f>
        <v/>
      </c>
      <c r="B2553">
        <f>Sources!B2553</f>
        <v/>
      </c>
      <c r="C2553">
        <f>Sources!D2553</f>
        <v/>
      </c>
      <c r="D2553">
        <f>Sources!E2553</f>
        <v/>
      </c>
      <c r="E2553">
        <f>Sources!F2553</f>
        <v/>
      </c>
      <c r="F2553">
        <f>Sources!H2553</f>
        <v/>
      </c>
      <c r="G2553">
        <f>IF(ABS(F2553-ROUND(F2553,0))&lt;0.001,1,0)</f>
        <v/>
      </c>
      <c r="H2553">
        <f>IF(G2553=1,F2553,CEILING(F2553,1))</f>
        <v/>
      </c>
      <c r="I2553">
        <f>IF(G2553=1,0,(H2553-F2553)*E2553)</f>
        <v/>
      </c>
      <c r="J2553">
        <f>E2553*F2553</f>
        <v/>
      </c>
    </row>
    <row r="2554">
      <c r="A2554">
        <f>Sources!A2554</f>
        <v/>
      </c>
      <c r="B2554">
        <f>Sources!B2554</f>
        <v/>
      </c>
      <c r="C2554">
        <f>Sources!D2554</f>
        <v/>
      </c>
      <c r="D2554">
        <f>Sources!E2554</f>
        <v/>
      </c>
      <c r="E2554">
        <f>Sources!F2554</f>
        <v/>
      </c>
      <c r="F2554">
        <f>Sources!H2554</f>
        <v/>
      </c>
      <c r="G2554">
        <f>IF(ABS(F2554-ROUND(F2554,0))&lt;0.001,1,0)</f>
        <v/>
      </c>
      <c r="H2554">
        <f>IF(G2554=1,F2554,CEILING(F2554,1))</f>
        <v/>
      </c>
      <c r="I2554">
        <f>IF(G2554=1,0,(H2554-F2554)*E2554)</f>
        <v/>
      </c>
      <c r="J2554">
        <f>E2554*F2554</f>
        <v/>
      </c>
    </row>
    <row r="2555">
      <c r="A2555">
        <f>Sources!A2555</f>
        <v/>
      </c>
      <c r="B2555">
        <f>Sources!B2555</f>
        <v/>
      </c>
      <c r="C2555">
        <f>Sources!D2555</f>
        <v/>
      </c>
      <c r="D2555">
        <f>Sources!E2555</f>
        <v/>
      </c>
      <c r="E2555">
        <f>Sources!F2555</f>
        <v/>
      </c>
      <c r="F2555">
        <f>Sources!H2555</f>
        <v/>
      </c>
      <c r="G2555">
        <f>IF(ABS(F2555-ROUND(F2555,0))&lt;0.001,1,0)</f>
        <v/>
      </c>
      <c r="H2555">
        <f>IF(G2555=1,F2555,CEILING(F2555,1))</f>
        <v/>
      </c>
      <c r="I2555">
        <f>IF(G2555=1,0,(H2555-F2555)*E2555)</f>
        <v/>
      </c>
      <c r="J2555">
        <f>E2555*F2555</f>
        <v/>
      </c>
    </row>
    <row r="2556">
      <c r="A2556">
        <f>Sources!A2556</f>
        <v/>
      </c>
      <c r="B2556">
        <f>Sources!B2556</f>
        <v/>
      </c>
      <c r="C2556">
        <f>Sources!D2556</f>
        <v/>
      </c>
      <c r="D2556">
        <f>Sources!E2556</f>
        <v/>
      </c>
      <c r="E2556">
        <f>Sources!F2556</f>
        <v/>
      </c>
      <c r="F2556">
        <f>Sources!H2556</f>
        <v/>
      </c>
      <c r="G2556">
        <f>IF(ABS(F2556-ROUND(F2556,0))&lt;0.001,1,0)</f>
        <v/>
      </c>
      <c r="H2556">
        <f>IF(G2556=1,F2556,CEILING(F2556,1))</f>
        <v/>
      </c>
      <c r="I2556">
        <f>IF(G2556=1,0,(H2556-F2556)*E2556)</f>
        <v/>
      </c>
      <c r="J2556">
        <f>E2556*F2556</f>
        <v/>
      </c>
    </row>
    <row r="2557">
      <c r="A2557">
        <f>Sources!A2557</f>
        <v/>
      </c>
      <c r="B2557">
        <f>Sources!B2557</f>
        <v/>
      </c>
      <c r="C2557">
        <f>Sources!D2557</f>
        <v/>
      </c>
      <c r="D2557">
        <f>Sources!E2557</f>
        <v/>
      </c>
      <c r="E2557">
        <f>Sources!F2557</f>
        <v/>
      </c>
      <c r="F2557">
        <f>Sources!H2557</f>
        <v/>
      </c>
      <c r="G2557">
        <f>IF(ABS(F2557-ROUND(F2557,0))&lt;0.001,1,0)</f>
        <v/>
      </c>
      <c r="H2557">
        <f>IF(G2557=1,F2557,CEILING(F2557,1))</f>
        <v/>
      </c>
      <c r="I2557">
        <f>IF(G2557=1,0,(H2557-F2557)*E2557)</f>
        <v/>
      </c>
      <c r="J2557">
        <f>E2557*F2557</f>
        <v/>
      </c>
    </row>
    <row r="2558">
      <c r="A2558">
        <f>Sources!A2558</f>
        <v/>
      </c>
      <c r="B2558">
        <f>Sources!B2558</f>
        <v/>
      </c>
      <c r="C2558">
        <f>Sources!D2558</f>
        <v/>
      </c>
      <c r="D2558">
        <f>Sources!E2558</f>
        <v/>
      </c>
      <c r="E2558">
        <f>Sources!F2558</f>
        <v/>
      </c>
      <c r="F2558">
        <f>Sources!H2558</f>
        <v/>
      </c>
      <c r="G2558">
        <f>IF(ABS(F2558-ROUND(F2558,0))&lt;0.001,1,0)</f>
        <v/>
      </c>
      <c r="H2558">
        <f>IF(G2558=1,F2558,CEILING(F2558,1))</f>
        <v/>
      </c>
      <c r="I2558">
        <f>IF(G2558=1,0,(H2558-F2558)*E2558)</f>
        <v/>
      </c>
      <c r="J2558">
        <f>E2558*F2558</f>
        <v/>
      </c>
    </row>
    <row r="2559">
      <c r="A2559">
        <f>Sources!A2559</f>
        <v/>
      </c>
      <c r="B2559">
        <f>Sources!B2559</f>
        <v/>
      </c>
      <c r="C2559">
        <f>Sources!D2559</f>
        <v/>
      </c>
      <c r="D2559">
        <f>Sources!E2559</f>
        <v/>
      </c>
      <c r="E2559">
        <f>Sources!F2559</f>
        <v/>
      </c>
      <c r="F2559">
        <f>Sources!H2559</f>
        <v/>
      </c>
      <c r="G2559">
        <f>IF(ABS(F2559-ROUND(F2559,0))&lt;0.001,1,0)</f>
        <v/>
      </c>
      <c r="H2559">
        <f>IF(G2559=1,F2559,CEILING(F2559,1))</f>
        <v/>
      </c>
      <c r="I2559">
        <f>IF(G2559=1,0,(H2559-F2559)*E2559)</f>
        <v/>
      </c>
      <c r="J2559">
        <f>E2559*F2559</f>
        <v/>
      </c>
    </row>
    <row r="2560">
      <c r="A2560">
        <f>Sources!A2560</f>
        <v/>
      </c>
      <c r="B2560">
        <f>Sources!B2560</f>
        <v/>
      </c>
      <c r="C2560">
        <f>Sources!D2560</f>
        <v/>
      </c>
      <c r="D2560">
        <f>Sources!E2560</f>
        <v/>
      </c>
      <c r="E2560">
        <f>Sources!F2560</f>
        <v/>
      </c>
      <c r="F2560">
        <f>Sources!H2560</f>
        <v/>
      </c>
      <c r="G2560">
        <f>IF(ABS(F2560-ROUND(F2560,0))&lt;0.001,1,0)</f>
        <v/>
      </c>
      <c r="H2560">
        <f>IF(G2560=1,F2560,CEILING(F2560,1))</f>
        <v/>
      </c>
      <c r="I2560">
        <f>IF(G2560=1,0,(H2560-F2560)*E2560)</f>
        <v/>
      </c>
      <c r="J2560">
        <f>E2560*F2560</f>
        <v/>
      </c>
    </row>
    <row r="2561">
      <c r="A2561">
        <f>Sources!A2561</f>
        <v/>
      </c>
      <c r="B2561">
        <f>Sources!B2561</f>
        <v/>
      </c>
      <c r="C2561">
        <f>Sources!D2561</f>
        <v/>
      </c>
      <c r="D2561">
        <f>Sources!E2561</f>
        <v/>
      </c>
      <c r="E2561">
        <f>Sources!F2561</f>
        <v/>
      </c>
      <c r="F2561">
        <f>Sources!H2561</f>
        <v/>
      </c>
      <c r="G2561">
        <f>IF(ABS(F2561-ROUND(F2561,0))&lt;0.001,1,0)</f>
        <v/>
      </c>
      <c r="H2561">
        <f>IF(G2561=1,F2561,CEILING(F2561,1))</f>
        <v/>
      </c>
      <c r="I2561">
        <f>IF(G2561=1,0,(H2561-F2561)*E2561)</f>
        <v/>
      </c>
      <c r="J2561">
        <f>E2561*F2561</f>
        <v/>
      </c>
    </row>
    <row r="2562">
      <c r="A2562">
        <f>Sources!A2562</f>
        <v/>
      </c>
      <c r="B2562">
        <f>Sources!B2562</f>
        <v/>
      </c>
      <c r="C2562">
        <f>Sources!D2562</f>
        <v/>
      </c>
      <c r="D2562">
        <f>Sources!E2562</f>
        <v/>
      </c>
      <c r="E2562">
        <f>Sources!F2562</f>
        <v/>
      </c>
      <c r="F2562">
        <f>Sources!H2562</f>
        <v/>
      </c>
      <c r="G2562">
        <f>IF(ABS(F2562-ROUND(F2562,0))&lt;0.001,1,0)</f>
        <v/>
      </c>
      <c r="H2562">
        <f>IF(G2562=1,F2562,CEILING(F2562,1))</f>
        <v/>
      </c>
      <c r="I2562">
        <f>IF(G2562=1,0,(H2562-F2562)*E2562)</f>
        <v/>
      </c>
      <c r="J2562">
        <f>E2562*F2562</f>
        <v/>
      </c>
    </row>
    <row r="2563">
      <c r="A2563">
        <f>Sources!A2563</f>
        <v/>
      </c>
      <c r="B2563">
        <f>Sources!B2563</f>
        <v/>
      </c>
      <c r="C2563">
        <f>Sources!D2563</f>
        <v/>
      </c>
      <c r="D2563">
        <f>Sources!E2563</f>
        <v/>
      </c>
      <c r="E2563">
        <f>Sources!F2563</f>
        <v/>
      </c>
      <c r="F2563">
        <f>Sources!H2563</f>
        <v/>
      </c>
      <c r="G2563">
        <f>IF(ABS(F2563-ROUND(F2563,0))&lt;0.001,1,0)</f>
        <v/>
      </c>
      <c r="H2563">
        <f>IF(G2563=1,F2563,CEILING(F2563,1))</f>
        <v/>
      </c>
      <c r="I2563">
        <f>IF(G2563=1,0,(H2563-F2563)*E2563)</f>
        <v/>
      </c>
      <c r="J2563">
        <f>E2563*F2563</f>
        <v/>
      </c>
    </row>
    <row r="2564">
      <c r="A2564">
        <f>Sources!A2564</f>
        <v/>
      </c>
      <c r="B2564">
        <f>Sources!B2564</f>
        <v/>
      </c>
      <c r="C2564">
        <f>Sources!D2564</f>
        <v/>
      </c>
      <c r="D2564">
        <f>Sources!E2564</f>
        <v/>
      </c>
      <c r="E2564">
        <f>Sources!F2564</f>
        <v/>
      </c>
      <c r="F2564">
        <f>Sources!H2564</f>
        <v/>
      </c>
      <c r="G2564">
        <f>IF(ABS(F2564-ROUND(F2564,0))&lt;0.001,1,0)</f>
        <v/>
      </c>
      <c r="H2564">
        <f>IF(G2564=1,F2564,CEILING(F2564,1))</f>
        <v/>
      </c>
      <c r="I2564">
        <f>IF(G2564=1,0,(H2564-F2564)*E2564)</f>
        <v/>
      </c>
      <c r="J2564">
        <f>E2564*F2564</f>
        <v/>
      </c>
    </row>
    <row r="2565">
      <c r="A2565">
        <f>Sources!A2565</f>
        <v/>
      </c>
      <c r="B2565">
        <f>Sources!B2565</f>
        <v/>
      </c>
      <c r="C2565">
        <f>Sources!D2565</f>
        <v/>
      </c>
      <c r="D2565">
        <f>Sources!E2565</f>
        <v/>
      </c>
      <c r="E2565">
        <f>Sources!F2565</f>
        <v/>
      </c>
      <c r="F2565">
        <f>Sources!H2565</f>
        <v/>
      </c>
      <c r="G2565">
        <f>IF(ABS(F2565-ROUND(F2565,0))&lt;0.001,1,0)</f>
        <v/>
      </c>
      <c r="H2565">
        <f>IF(G2565=1,F2565,CEILING(F2565,1))</f>
        <v/>
      </c>
      <c r="I2565">
        <f>IF(G2565=1,0,(H2565-F2565)*E2565)</f>
        <v/>
      </c>
      <c r="J2565">
        <f>E2565*F2565</f>
        <v/>
      </c>
    </row>
    <row r="2566">
      <c r="A2566">
        <f>Sources!A2566</f>
        <v/>
      </c>
      <c r="B2566">
        <f>Sources!B2566</f>
        <v/>
      </c>
      <c r="C2566">
        <f>Sources!D2566</f>
        <v/>
      </c>
      <c r="D2566">
        <f>Sources!E2566</f>
        <v/>
      </c>
      <c r="E2566">
        <f>Sources!F2566</f>
        <v/>
      </c>
      <c r="F2566">
        <f>Sources!H2566</f>
        <v/>
      </c>
      <c r="G2566">
        <f>IF(ABS(F2566-ROUND(F2566,0))&lt;0.001,1,0)</f>
        <v/>
      </c>
      <c r="H2566">
        <f>IF(G2566=1,F2566,CEILING(F2566,1))</f>
        <v/>
      </c>
      <c r="I2566">
        <f>IF(G2566=1,0,(H2566-F2566)*E2566)</f>
        <v/>
      </c>
      <c r="J2566">
        <f>E2566*F2566</f>
        <v/>
      </c>
    </row>
    <row r="2567">
      <c r="A2567">
        <f>Sources!A2567</f>
        <v/>
      </c>
      <c r="B2567">
        <f>Sources!B2567</f>
        <v/>
      </c>
      <c r="C2567">
        <f>Sources!D2567</f>
        <v/>
      </c>
      <c r="D2567">
        <f>Sources!E2567</f>
        <v/>
      </c>
      <c r="E2567">
        <f>Sources!F2567</f>
        <v/>
      </c>
      <c r="F2567">
        <f>Sources!H2567</f>
        <v/>
      </c>
      <c r="G2567">
        <f>IF(ABS(F2567-ROUND(F2567,0))&lt;0.001,1,0)</f>
        <v/>
      </c>
      <c r="H2567">
        <f>IF(G2567=1,F2567,CEILING(F2567,1))</f>
        <v/>
      </c>
      <c r="I2567">
        <f>IF(G2567=1,0,(H2567-F2567)*E2567)</f>
        <v/>
      </c>
      <c r="J2567">
        <f>E2567*F2567</f>
        <v/>
      </c>
    </row>
    <row r="2568">
      <c r="A2568">
        <f>Sources!A2568</f>
        <v/>
      </c>
      <c r="B2568">
        <f>Sources!B2568</f>
        <v/>
      </c>
      <c r="C2568">
        <f>Sources!D2568</f>
        <v/>
      </c>
      <c r="D2568">
        <f>Sources!E2568</f>
        <v/>
      </c>
      <c r="E2568">
        <f>Sources!F2568</f>
        <v/>
      </c>
      <c r="F2568">
        <f>Sources!H2568</f>
        <v/>
      </c>
      <c r="G2568">
        <f>IF(ABS(F2568-ROUND(F2568,0))&lt;0.001,1,0)</f>
        <v/>
      </c>
      <c r="H2568">
        <f>IF(G2568=1,F2568,CEILING(F2568,1))</f>
        <v/>
      </c>
      <c r="I2568">
        <f>IF(G2568=1,0,(H2568-F2568)*E2568)</f>
        <v/>
      </c>
      <c r="J2568">
        <f>E2568*F2568</f>
        <v/>
      </c>
    </row>
    <row r="2569">
      <c r="A2569">
        <f>Sources!A2569</f>
        <v/>
      </c>
      <c r="B2569">
        <f>Sources!B2569</f>
        <v/>
      </c>
      <c r="C2569">
        <f>Sources!D2569</f>
        <v/>
      </c>
      <c r="D2569">
        <f>Sources!E2569</f>
        <v/>
      </c>
      <c r="E2569">
        <f>Sources!F2569</f>
        <v/>
      </c>
      <c r="F2569">
        <f>Sources!H2569</f>
        <v/>
      </c>
      <c r="G2569">
        <f>IF(ABS(F2569-ROUND(F2569,0))&lt;0.001,1,0)</f>
        <v/>
      </c>
      <c r="H2569">
        <f>IF(G2569=1,F2569,CEILING(F2569,1))</f>
        <v/>
      </c>
      <c r="I2569">
        <f>IF(G2569=1,0,(H2569-F2569)*E2569)</f>
        <v/>
      </c>
      <c r="J2569">
        <f>E2569*F2569</f>
        <v/>
      </c>
    </row>
    <row r="2570">
      <c r="A2570">
        <f>Sources!A2570</f>
        <v/>
      </c>
      <c r="B2570">
        <f>Sources!B2570</f>
        <v/>
      </c>
      <c r="C2570">
        <f>Sources!D2570</f>
        <v/>
      </c>
      <c r="D2570">
        <f>Sources!E2570</f>
        <v/>
      </c>
      <c r="E2570">
        <f>Sources!F2570</f>
        <v/>
      </c>
      <c r="F2570">
        <f>Sources!H2570</f>
        <v/>
      </c>
      <c r="G2570">
        <f>IF(ABS(F2570-ROUND(F2570,0))&lt;0.001,1,0)</f>
        <v/>
      </c>
      <c r="H2570">
        <f>IF(G2570=1,F2570,CEILING(F2570,1))</f>
        <v/>
      </c>
      <c r="I2570">
        <f>IF(G2570=1,0,(H2570-F2570)*E2570)</f>
        <v/>
      </c>
      <c r="J2570">
        <f>E2570*F2570</f>
        <v/>
      </c>
    </row>
    <row r="2571">
      <c r="A2571">
        <f>Sources!A2571</f>
        <v/>
      </c>
      <c r="B2571">
        <f>Sources!B2571</f>
        <v/>
      </c>
      <c r="C2571">
        <f>Sources!D2571</f>
        <v/>
      </c>
      <c r="D2571">
        <f>Sources!E2571</f>
        <v/>
      </c>
      <c r="E2571">
        <f>Sources!F2571</f>
        <v/>
      </c>
      <c r="F2571">
        <f>Sources!H2571</f>
        <v/>
      </c>
      <c r="G2571">
        <f>IF(ABS(F2571-ROUND(F2571,0))&lt;0.001,1,0)</f>
        <v/>
      </c>
      <c r="H2571">
        <f>IF(G2571=1,F2571,CEILING(F2571,1))</f>
        <v/>
      </c>
      <c r="I2571">
        <f>IF(G2571=1,0,(H2571-F2571)*E2571)</f>
        <v/>
      </c>
      <c r="J2571">
        <f>E2571*F2571</f>
        <v/>
      </c>
    </row>
    <row r="2572">
      <c r="A2572">
        <f>Sources!A2572</f>
        <v/>
      </c>
      <c r="B2572">
        <f>Sources!B2572</f>
        <v/>
      </c>
      <c r="C2572">
        <f>Sources!D2572</f>
        <v/>
      </c>
      <c r="D2572">
        <f>Sources!E2572</f>
        <v/>
      </c>
      <c r="E2572">
        <f>Sources!F2572</f>
        <v/>
      </c>
      <c r="F2572">
        <f>Sources!H2572</f>
        <v/>
      </c>
      <c r="G2572">
        <f>IF(ABS(F2572-ROUND(F2572,0))&lt;0.001,1,0)</f>
        <v/>
      </c>
      <c r="H2572">
        <f>IF(G2572=1,F2572,CEILING(F2572,1))</f>
        <v/>
      </c>
      <c r="I2572">
        <f>IF(G2572=1,0,(H2572-F2572)*E2572)</f>
        <v/>
      </c>
      <c r="J2572">
        <f>E2572*F2572</f>
        <v/>
      </c>
    </row>
    <row r="2573">
      <c r="A2573">
        <f>Sources!A2573</f>
        <v/>
      </c>
      <c r="B2573">
        <f>Sources!B2573</f>
        <v/>
      </c>
      <c r="C2573">
        <f>Sources!D2573</f>
        <v/>
      </c>
      <c r="D2573">
        <f>Sources!E2573</f>
        <v/>
      </c>
      <c r="E2573">
        <f>Sources!F2573</f>
        <v/>
      </c>
      <c r="F2573">
        <f>Sources!H2573</f>
        <v/>
      </c>
      <c r="G2573">
        <f>IF(ABS(F2573-ROUND(F2573,0))&lt;0.001,1,0)</f>
        <v/>
      </c>
      <c r="H2573">
        <f>IF(G2573=1,F2573,CEILING(F2573,1))</f>
        <v/>
      </c>
      <c r="I2573">
        <f>IF(G2573=1,0,(H2573-F2573)*E2573)</f>
        <v/>
      </c>
      <c r="J2573">
        <f>E2573*F2573</f>
        <v/>
      </c>
    </row>
    <row r="2574">
      <c r="A2574">
        <f>Sources!A2574</f>
        <v/>
      </c>
      <c r="B2574">
        <f>Sources!B2574</f>
        <v/>
      </c>
      <c r="C2574">
        <f>Sources!D2574</f>
        <v/>
      </c>
      <c r="D2574">
        <f>Sources!E2574</f>
        <v/>
      </c>
      <c r="E2574">
        <f>Sources!F2574</f>
        <v/>
      </c>
      <c r="F2574">
        <f>Sources!H2574</f>
        <v/>
      </c>
      <c r="G2574">
        <f>IF(ABS(F2574-ROUND(F2574,0))&lt;0.001,1,0)</f>
        <v/>
      </c>
      <c r="H2574">
        <f>IF(G2574=1,F2574,CEILING(F2574,1))</f>
        <v/>
      </c>
      <c r="I2574">
        <f>IF(G2574=1,0,(H2574-F2574)*E2574)</f>
        <v/>
      </c>
      <c r="J2574">
        <f>E2574*F2574</f>
        <v/>
      </c>
    </row>
    <row r="2575">
      <c r="A2575">
        <f>Sources!A2575</f>
        <v/>
      </c>
      <c r="B2575">
        <f>Sources!B2575</f>
        <v/>
      </c>
      <c r="C2575">
        <f>Sources!D2575</f>
        <v/>
      </c>
      <c r="D2575">
        <f>Sources!E2575</f>
        <v/>
      </c>
      <c r="E2575">
        <f>Sources!F2575</f>
        <v/>
      </c>
      <c r="F2575">
        <f>Sources!H2575</f>
        <v/>
      </c>
      <c r="G2575">
        <f>IF(ABS(F2575-ROUND(F2575,0))&lt;0.001,1,0)</f>
        <v/>
      </c>
      <c r="H2575">
        <f>IF(G2575=1,F2575,CEILING(F2575,1))</f>
        <v/>
      </c>
      <c r="I2575">
        <f>IF(G2575=1,0,(H2575-F2575)*E2575)</f>
        <v/>
      </c>
      <c r="J2575">
        <f>E2575*F2575</f>
        <v/>
      </c>
    </row>
    <row r="2576">
      <c r="A2576">
        <f>Sources!A2576</f>
        <v/>
      </c>
      <c r="B2576">
        <f>Sources!B2576</f>
        <v/>
      </c>
      <c r="C2576">
        <f>Sources!D2576</f>
        <v/>
      </c>
      <c r="D2576">
        <f>Sources!E2576</f>
        <v/>
      </c>
      <c r="E2576">
        <f>Sources!F2576</f>
        <v/>
      </c>
      <c r="F2576">
        <f>Sources!H2576</f>
        <v/>
      </c>
      <c r="G2576">
        <f>IF(ABS(F2576-ROUND(F2576,0))&lt;0.001,1,0)</f>
        <v/>
      </c>
      <c r="H2576">
        <f>IF(G2576=1,F2576,CEILING(F2576,1))</f>
        <v/>
      </c>
      <c r="I2576">
        <f>IF(G2576=1,0,(H2576-F2576)*E2576)</f>
        <v/>
      </c>
      <c r="J2576">
        <f>E2576*F2576</f>
        <v/>
      </c>
    </row>
    <row r="2577">
      <c r="A2577">
        <f>Sources!A2577</f>
        <v/>
      </c>
      <c r="B2577">
        <f>Sources!B2577</f>
        <v/>
      </c>
      <c r="C2577">
        <f>Sources!D2577</f>
        <v/>
      </c>
      <c r="D2577">
        <f>Sources!E2577</f>
        <v/>
      </c>
      <c r="E2577">
        <f>Sources!F2577</f>
        <v/>
      </c>
      <c r="F2577">
        <f>Sources!H2577</f>
        <v/>
      </c>
      <c r="G2577">
        <f>IF(ABS(F2577-ROUND(F2577,0))&lt;0.001,1,0)</f>
        <v/>
      </c>
      <c r="H2577">
        <f>IF(G2577=1,F2577,CEILING(F2577,1))</f>
        <v/>
      </c>
      <c r="I2577">
        <f>IF(G2577=1,0,(H2577-F2577)*E2577)</f>
        <v/>
      </c>
      <c r="J2577">
        <f>E2577*F2577</f>
        <v/>
      </c>
    </row>
    <row r="2578">
      <c r="A2578">
        <f>Sources!A2578</f>
        <v/>
      </c>
      <c r="B2578">
        <f>Sources!B2578</f>
        <v/>
      </c>
      <c r="C2578">
        <f>Sources!D2578</f>
        <v/>
      </c>
      <c r="D2578">
        <f>Sources!E2578</f>
        <v/>
      </c>
      <c r="E2578">
        <f>Sources!F2578</f>
        <v/>
      </c>
      <c r="F2578">
        <f>Sources!H2578</f>
        <v/>
      </c>
      <c r="G2578">
        <f>IF(ABS(F2578-ROUND(F2578,0))&lt;0.001,1,0)</f>
        <v/>
      </c>
      <c r="H2578">
        <f>IF(G2578=1,F2578,CEILING(F2578,1))</f>
        <v/>
      </c>
      <c r="I2578">
        <f>IF(G2578=1,0,(H2578-F2578)*E2578)</f>
        <v/>
      </c>
      <c r="J2578">
        <f>E2578*F2578</f>
        <v/>
      </c>
    </row>
    <row r="2579">
      <c r="A2579">
        <f>Sources!A2579</f>
        <v/>
      </c>
      <c r="B2579">
        <f>Sources!B2579</f>
        <v/>
      </c>
      <c r="C2579">
        <f>Sources!D2579</f>
        <v/>
      </c>
      <c r="D2579">
        <f>Sources!E2579</f>
        <v/>
      </c>
      <c r="E2579">
        <f>Sources!F2579</f>
        <v/>
      </c>
      <c r="F2579">
        <f>Sources!H2579</f>
        <v/>
      </c>
      <c r="G2579">
        <f>IF(ABS(F2579-ROUND(F2579,0))&lt;0.001,1,0)</f>
        <v/>
      </c>
      <c r="H2579">
        <f>IF(G2579=1,F2579,CEILING(F2579,1))</f>
        <v/>
      </c>
      <c r="I2579">
        <f>IF(G2579=1,0,(H2579-F2579)*E2579)</f>
        <v/>
      </c>
      <c r="J2579">
        <f>E2579*F2579</f>
        <v/>
      </c>
    </row>
    <row r="2580">
      <c r="A2580">
        <f>Sources!A2580</f>
        <v/>
      </c>
      <c r="B2580">
        <f>Sources!B2580</f>
        <v/>
      </c>
      <c r="C2580">
        <f>Sources!D2580</f>
        <v/>
      </c>
      <c r="D2580">
        <f>Sources!E2580</f>
        <v/>
      </c>
      <c r="E2580">
        <f>Sources!F2580</f>
        <v/>
      </c>
      <c r="F2580">
        <f>Sources!H2580</f>
        <v/>
      </c>
      <c r="G2580">
        <f>IF(ABS(F2580-ROUND(F2580,0))&lt;0.001,1,0)</f>
        <v/>
      </c>
      <c r="H2580">
        <f>IF(G2580=1,F2580,CEILING(F2580,1))</f>
        <v/>
      </c>
      <c r="I2580">
        <f>IF(G2580=1,0,(H2580-F2580)*E2580)</f>
        <v/>
      </c>
      <c r="J2580">
        <f>E2580*F2580</f>
        <v/>
      </c>
    </row>
    <row r="2581">
      <c r="A2581">
        <f>Sources!A2581</f>
        <v/>
      </c>
      <c r="B2581">
        <f>Sources!B2581</f>
        <v/>
      </c>
      <c r="C2581">
        <f>Sources!D2581</f>
        <v/>
      </c>
      <c r="D2581">
        <f>Sources!E2581</f>
        <v/>
      </c>
      <c r="E2581">
        <f>Sources!F2581</f>
        <v/>
      </c>
      <c r="F2581">
        <f>Sources!H2581</f>
        <v/>
      </c>
      <c r="G2581">
        <f>IF(ABS(F2581-ROUND(F2581,0))&lt;0.001,1,0)</f>
        <v/>
      </c>
      <c r="H2581">
        <f>IF(G2581=1,F2581,CEILING(F2581,1))</f>
        <v/>
      </c>
      <c r="I2581">
        <f>IF(G2581=1,0,(H2581-F2581)*E2581)</f>
        <v/>
      </c>
      <c r="J2581">
        <f>E2581*F2581</f>
        <v/>
      </c>
    </row>
    <row r="2582">
      <c r="A2582">
        <f>Sources!A2582</f>
        <v/>
      </c>
      <c r="B2582">
        <f>Sources!B2582</f>
        <v/>
      </c>
      <c r="C2582">
        <f>Sources!D2582</f>
        <v/>
      </c>
      <c r="D2582">
        <f>Sources!E2582</f>
        <v/>
      </c>
      <c r="E2582">
        <f>Sources!F2582</f>
        <v/>
      </c>
      <c r="F2582">
        <f>Sources!H2582</f>
        <v/>
      </c>
      <c r="G2582">
        <f>IF(ABS(F2582-ROUND(F2582,0))&lt;0.001,1,0)</f>
        <v/>
      </c>
      <c r="H2582">
        <f>IF(G2582=1,F2582,CEILING(F2582,1))</f>
        <v/>
      </c>
      <c r="I2582">
        <f>IF(G2582=1,0,(H2582-F2582)*E2582)</f>
        <v/>
      </c>
      <c r="J2582">
        <f>E2582*F2582</f>
        <v/>
      </c>
    </row>
    <row r="2583">
      <c r="A2583">
        <f>Sources!A2583</f>
        <v/>
      </c>
      <c r="B2583">
        <f>Sources!B2583</f>
        <v/>
      </c>
      <c r="C2583">
        <f>Sources!D2583</f>
        <v/>
      </c>
      <c r="D2583">
        <f>Sources!E2583</f>
        <v/>
      </c>
      <c r="E2583">
        <f>Sources!F2583</f>
        <v/>
      </c>
      <c r="F2583">
        <f>Sources!H2583</f>
        <v/>
      </c>
      <c r="G2583">
        <f>IF(ABS(F2583-ROUND(F2583,0))&lt;0.001,1,0)</f>
        <v/>
      </c>
      <c r="H2583">
        <f>IF(G2583=1,F2583,CEILING(F2583,1))</f>
        <v/>
      </c>
      <c r="I2583">
        <f>IF(G2583=1,0,(H2583-F2583)*E2583)</f>
        <v/>
      </c>
      <c r="J2583">
        <f>E2583*F2583</f>
        <v/>
      </c>
    </row>
    <row r="2584">
      <c r="A2584">
        <f>Sources!A2584</f>
        <v/>
      </c>
      <c r="B2584">
        <f>Sources!B2584</f>
        <v/>
      </c>
      <c r="C2584">
        <f>Sources!D2584</f>
        <v/>
      </c>
      <c r="D2584">
        <f>Sources!E2584</f>
        <v/>
      </c>
      <c r="E2584">
        <f>Sources!F2584</f>
        <v/>
      </c>
      <c r="F2584">
        <f>Sources!H2584</f>
        <v/>
      </c>
      <c r="G2584">
        <f>IF(ABS(F2584-ROUND(F2584,0))&lt;0.001,1,0)</f>
        <v/>
      </c>
      <c r="H2584">
        <f>IF(G2584=1,F2584,CEILING(F2584,1))</f>
        <v/>
      </c>
      <c r="I2584">
        <f>IF(G2584=1,0,(H2584-F2584)*E2584)</f>
        <v/>
      </c>
      <c r="J2584">
        <f>E2584*F2584</f>
        <v/>
      </c>
    </row>
    <row r="2585">
      <c r="A2585">
        <f>Sources!A2585</f>
        <v/>
      </c>
      <c r="B2585">
        <f>Sources!B2585</f>
        <v/>
      </c>
      <c r="C2585">
        <f>Sources!D2585</f>
        <v/>
      </c>
      <c r="D2585">
        <f>Sources!E2585</f>
        <v/>
      </c>
      <c r="E2585">
        <f>Sources!F2585</f>
        <v/>
      </c>
      <c r="F2585">
        <f>Sources!H2585</f>
        <v/>
      </c>
      <c r="G2585">
        <f>IF(ABS(F2585-ROUND(F2585,0))&lt;0.001,1,0)</f>
        <v/>
      </c>
      <c r="H2585">
        <f>IF(G2585=1,F2585,CEILING(F2585,1))</f>
        <v/>
      </c>
      <c r="I2585">
        <f>IF(G2585=1,0,(H2585-F2585)*E2585)</f>
        <v/>
      </c>
      <c r="J2585">
        <f>E2585*F2585</f>
        <v/>
      </c>
    </row>
    <row r="2586">
      <c r="A2586">
        <f>Sources!A2586</f>
        <v/>
      </c>
      <c r="B2586">
        <f>Sources!B2586</f>
        <v/>
      </c>
      <c r="C2586">
        <f>Sources!D2586</f>
        <v/>
      </c>
      <c r="D2586">
        <f>Sources!E2586</f>
        <v/>
      </c>
      <c r="E2586">
        <f>Sources!F2586</f>
        <v/>
      </c>
      <c r="F2586">
        <f>Sources!H2586</f>
        <v/>
      </c>
      <c r="G2586">
        <f>IF(ABS(F2586-ROUND(F2586,0))&lt;0.001,1,0)</f>
        <v/>
      </c>
      <c r="H2586">
        <f>IF(G2586=1,F2586,CEILING(F2586,1))</f>
        <v/>
      </c>
      <c r="I2586">
        <f>IF(G2586=1,0,(H2586-F2586)*E2586)</f>
        <v/>
      </c>
      <c r="J2586">
        <f>E2586*F2586</f>
        <v/>
      </c>
    </row>
    <row r="2587">
      <c r="A2587">
        <f>Sources!A2587</f>
        <v/>
      </c>
      <c r="B2587">
        <f>Sources!B2587</f>
        <v/>
      </c>
      <c r="C2587">
        <f>Sources!D2587</f>
        <v/>
      </c>
      <c r="D2587">
        <f>Sources!E2587</f>
        <v/>
      </c>
      <c r="E2587">
        <f>Sources!F2587</f>
        <v/>
      </c>
      <c r="F2587">
        <f>Sources!H2587</f>
        <v/>
      </c>
      <c r="G2587">
        <f>IF(ABS(F2587-ROUND(F2587,0))&lt;0.001,1,0)</f>
        <v/>
      </c>
      <c r="H2587">
        <f>IF(G2587=1,F2587,CEILING(F2587,1))</f>
        <v/>
      </c>
      <c r="I2587">
        <f>IF(G2587=1,0,(H2587-F2587)*E2587)</f>
        <v/>
      </c>
      <c r="J2587">
        <f>E2587*F2587</f>
        <v/>
      </c>
    </row>
    <row r="2588">
      <c r="A2588">
        <f>Sources!A2588</f>
        <v/>
      </c>
      <c r="B2588">
        <f>Sources!B2588</f>
        <v/>
      </c>
      <c r="C2588">
        <f>Sources!D2588</f>
        <v/>
      </c>
      <c r="D2588">
        <f>Sources!E2588</f>
        <v/>
      </c>
      <c r="E2588">
        <f>Sources!F2588</f>
        <v/>
      </c>
      <c r="F2588">
        <f>Sources!H2588</f>
        <v/>
      </c>
      <c r="G2588">
        <f>IF(ABS(F2588-ROUND(F2588,0))&lt;0.001,1,0)</f>
        <v/>
      </c>
      <c r="H2588">
        <f>IF(G2588=1,F2588,CEILING(F2588,1))</f>
        <v/>
      </c>
      <c r="I2588">
        <f>IF(G2588=1,0,(H2588-F2588)*E2588)</f>
        <v/>
      </c>
      <c r="J2588">
        <f>E2588*F2588</f>
        <v/>
      </c>
    </row>
    <row r="2589">
      <c r="A2589">
        <f>Sources!A2589</f>
        <v/>
      </c>
      <c r="B2589">
        <f>Sources!B2589</f>
        <v/>
      </c>
      <c r="C2589">
        <f>Sources!D2589</f>
        <v/>
      </c>
      <c r="D2589">
        <f>Sources!E2589</f>
        <v/>
      </c>
      <c r="E2589">
        <f>Sources!F2589</f>
        <v/>
      </c>
      <c r="F2589">
        <f>Sources!H2589</f>
        <v/>
      </c>
      <c r="G2589">
        <f>IF(ABS(F2589-ROUND(F2589,0))&lt;0.001,1,0)</f>
        <v/>
      </c>
      <c r="H2589">
        <f>IF(G2589=1,F2589,CEILING(F2589,1))</f>
        <v/>
      </c>
      <c r="I2589">
        <f>IF(G2589=1,0,(H2589-F2589)*E2589)</f>
        <v/>
      </c>
      <c r="J2589">
        <f>E2589*F2589</f>
        <v/>
      </c>
    </row>
    <row r="2590">
      <c r="A2590">
        <f>Sources!A2590</f>
        <v/>
      </c>
      <c r="B2590">
        <f>Sources!B2590</f>
        <v/>
      </c>
      <c r="C2590">
        <f>Sources!D2590</f>
        <v/>
      </c>
      <c r="D2590">
        <f>Sources!E2590</f>
        <v/>
      </c>
      <c r="E2590">
        <f>Sources!F2590</f>
        <v/>
      </c>
      <c r="F2590">
        <f>Sources!H2590</f>
        <v/>
      </c>
      <c r="G2590">
        <f>IF(ABS(F2590-ROUND(F2590,0))&lt;0.001,1,0)</f>
        <v/>
      </c>
      <c r="H2590">
        <f>IF(G2590=1,F2590,CEILING(F2590,1))</f>
        <v/>
      </c>
      <c r="I2590">
        <f>IF(G2590=1,0,(H2590-F2590)*E2590)</f>
        <v/>
      </c>
      <c r="J2590">
        <f>E2590*F2590</f>
        <v/>
      </c>
    </row>
    <row r="2591">
      <c r="A2591">
        <f>Sources!A2591</f>
        <v/>
      </c>
      <c r="B2591">
        <f>Sources!B2591</f>
        <v/>
      </c>
      <c r="C2591">
        <f>Sources!D2591</f>
        <v/>
      </c>
      <c r="D2591">
        <f>Sources!E2591</f>
        <v/>
      </c>
      <c r="E2591">
        <f>Sources!F2591</f>
        <v/>
      </c>
      <c r="F2591">
        <f>Sources!H2591</f>
        <v/>
      </c>
      <c r="G2591">
        <f>IF(ABS(F2591-ROUND(F2591,0))&lt;0.001,1,0)</f>
        <v/>
      </c>
      <c r="H2591">
        <f>IF(G2591=1,F2591,CEILING(F2591,1))</f>
        <v/>
      </c>
      <c r="I2591">
        <f>IF(G2591=1,0,(H2591-F2591)*E2591)</f>
        <v/>
      </c>
      <c r="J2591">
        <f>E2591*F2591</f>
        <v/>
      </c>
    </row>
    <row r="2592">
      <c r="A2592">
        <f>Sources!A2592</f>
        <v/>
      </c>
      <c r="B2592">
        <f>Sources!B2592</f>
        <v/>
      </c>
      <c r="C2592">
        <f>Sources!D2592</f>
        <v/>
      </c>
      <c r="D2592">
        <f>Sources!E2592</f>
        <v/>
      </c>
      <c r="E2592">
        <f>Sources!F2592</f>
        <v/>
      </c>
      <c r="F2592">
        <f>Sources!H2592</f>
        <v/>
      </c>
      <c r="G2592">
        <f>IF(ABS(F2592-ROUND(F2592,0))&lt;0.001,1,0)</f>
        <v/>
      </c>
      <c r="H2592">
        <f>IF(G2592=1,F2592,CEILING(F2592,1))</f>
        <v/>
      </c>
      <c r="I2592">
        <f>IF(G2592=1,0,(H2592-F2592)*E2592)</f>
        <v/>
      </c>
      <c r="J2592">
        <f>E2592*F2592</f>
        <v/>
      </c>
    </row>
    <row r="2593">
      <c r="A2593">
        <f>Sources!A2593</f>
        <v/>
      </c>
      <c r="B2593">
        <f>Sources!B2593</f>
        <v/>
      </c>
      <c r="C2593">
        <f>Sources!D2593</f>
        <v/>
      </c>
      <c r="D2593">
        <f>Sources!E2593</f>
        <v/>
      </c>
      <c r="E2593">
        <f>Sources!F2593</f>
        <v/>
      </c>
      <c r="F2593">
        <f>Sources!H2593</f>
        <v/>
      </c>
      <c r="G2593">
        <f>IF(ABS(F2593-ROUND(F2593,0))&lt;0.001,1,0)</f>
        <v/>
      </c>
      <c r="H2593">
        <f>IF(G2593=1,F2593,CEILING(F2593,1))</f>
        <v/>
      </c>
      <c r="I2593">
        <f>IF(G2593=1,0,(H2593-F2593)*E2593)</f>
        <v/>
      </c>
      <c r="J2593">
        <f>E2593*F2593</f>
        <v/>
      </c>
    </row>
    <row r="2594">
      <c r="A2594">
        <f>Sources!A2594</f>
        <v/>
      </c>
      <c r="B2594">
        <f>Sources!B2594</f>
        <v/>
      </c>
      <c r="C2594">
        <f>Sources!D2594</f>
        <v/>
      </c>
      <c r="D2594">
        <f>Sources!E2594</f>
        <v/>
      </c>
      <c r="E2594">
        <f>Sources!F2594</f>
        <v/>
      </c>
      <c r="F2594">
        <f>Sources!H2594</f>
        <v/>
      </c>
      <c r="G2594">
        <f>IF(ABS(F2594-ROUND(F2594,0))&lt;0.001,1,0)</f>
        <v/>
      </c>
      <c r="H2594">
        <f>IF(G2594=1,F2594,CEILING(F2594,1))</f>
        <v/>
      </c>
      <c r="I2594">
        <f>IF(G2594=1,0,(H2594-F2594)*E2594)</f>
        <v/>
      </c>
      <c r="J2594">
        <f>E2594*F2594</f>
        <v/>
      </c>
    </row>
    <row r="2595">
      <c r="A2595">
        <f>Sources!A2595</f>
        <v/>
      </c>
      <c r="B2595">
        <f>Sources!B2595</f>
        <v/>
      </c>
      <c r="C2595">
        <f>Sources!D2595</f>
        <v/>
      </c>
      <c r="D2595">
        <f>Sources!E2595</f>
        <v/>
      </c>
      <c r="E2595">
        <f>Sources!F2595</f>
        <v/>
      </c>
      <c r="F2595">
        <f>Sources!H2595</f>
        <v/>
      </c>
      <c r="G2595">
        <f>IF(ABS(F2595-ROUND(F2595,0))&lt;0.001,1,0)</f>
        <v/>
      </c>
      <c r="H2595">
        <f>IF(G2595=1,F2595,CEILING(F2595,1))</f>
        <v/>
      </c>
      <c r="I2595">
        <f>IF(G2595=1,0,(H2595-F2595)*E2595)</f>
        <v/>
      </c>
      <c r="J2595">
        <f>E2595*F2595</f>
        <v/>
      </c>
    </row>
    <row r="2596">
      <c r="A2596">
        <f>Sources!A2596</f>
        <v/>
      </c>
      <c r="B2596">
        <f>Sources!B2596</f>
        <v/>
      </c>
      <c r="C2596">
        <f>Sources!D2596</f>
        <v/>
      </c>
      <c r="D2596">
        <f>Sources!E2596</f>
        <v/>
      </c>
      <c r="E2596">
        <f>Sources!F2596</f>
        <v/>
      </c>
      <c r="F2596">
        <f>Sources!H2596</f>
        <v/>
      </c>
      <c r="G2596">
        <f>IF(ABS(F2596-ROUND(F2596,0))&lt;0.001,1,0)</f>
        <v/>
      </c>
      <c r="H2596">
        <f>IF(G2596=1,F2596,CEILING(F2596,1))</f>
        <v/>
      </c>
      <c r="I2596">
        <f>IF(G2596=1,0,(H2596-F2596)*E2596)</f>
        <v/>
      </c>
      <c r="J2596">
        <f>E2596*F2596</f>
        <v/>
      </c>
    </row>
    <row r="2597">
      <c r="A2597">
        <f>Sources!A2597</f>
        <v/>
      </c>
      <c r="B2597">
        <f>Sources!B2597</f>
        <v/>
      </c>
      <c r="C2597">
        <f>Sources!D2597</f>
        <v/>
      </c>
      <c r="D2597">
        <f>Sources!E2597</f>
        <v/>
      </c>
      <c r="E2597">
        <f>Sources!F2597</f>
        <v/>
      </c>
      <c r="F2597">
        <f>Sources!H2597</f>
        <v/>
      </c>
      <c r="G2597">
        <f>IF(ABS(F2597-ROUND(F2597,0))&lt;0.001,1,0)</f>
        <v/>
      </c>
      <c r="H2597">
        <f>IF(G2597=1,F2597,CEILING(F2597,1))</f>
        <v/>
      </c>
      <c r="I2597">
        <f>IF(G2597=1,0,(H2597-F2597)*E2597)</f>
        <v/>
      </c>
      <c r="J2597">
        <f>E2597*F2597</f>
        <v/>
      </c>
    </row>
    <row r="2598">
      <c r="A2598">
        <f>Sources!A2598</f>
        <v/>
      </c>
      <c r="B2598">
        <f>Sources!B2598</f>
        <v/>
      </c>
      <c r="C2598">
        <f>Sources!D2598</f>
        <v/>
      </c>
      <c r="D2598">
        <f>Sources!E2598</f>
        <v/>
      </c>
      <c r="E2598">
        <f>Sources!F2598</f>
        <v/>
      </c>
      <c r="F2598">
        <f>Sources!H2598</f>
        <v/>
      </c>
      <c r="G2598">
        <f>IF(ABS(F2598-ROUND(F2598,0))&lt;0.001,1,0)</f>
        <v/>
      </c>
      <c r="H2598">
        <f>IF(G2598=1,F2598,CEILING(F2598,1))</f>
        <v/>
      </c>
      <c r="I2598">
        <f>IF(G2598=1,0,(H2598-F2598)*E2598)</f>
        <v/>
      </c>
      <c r="J2598">
        <f>E2598*F2598</f>
        <v/>
      </c>
    </row>
    <row r="2599">
      <c r="A2599">
        <f>Sources!A2599</f>
        <v/>
      </c>
      <c r="B2599">
        <f>Sources!B2599</f>
        <v/>
      </c>
      <c r="C2599">
        <f>Sources!D2599</f>
        <v/>
      </c>
      <c r="D2599">
        <f>Sources!E2599</f>
        <v/>
      </c>
      <c r="E2599">
        <f>Sources!F2599</f>
        <v/>
      </c>
      <c r="F2599">
        <f>Sources!H2599</f>
        <v/>
      </c>
      <c r="G2599">
        <f>IF(ABS(F2599-ROUND(F2599,0))&lt;0.001,1,0)</f>
        <v/>
      </c>
      <c r="H2599">
        <f>IF(G2599=1,F2599,CEILING(F2599,1))</f>
        <v/>
      </c>
      <c r="I2599">
        <f>IF(G2599=1,0,(H2599-F2599)*E2599)</f>
        <v/>
      </c>
      <c r="J2599">
        <f>E2599*F2599</f>
        <v/>
      </c>
    </row>
    <row r="2600">
      <c r="A2600">
        <f>Sources!A2600</f>
        <v/>
      </c>
      <c r="B2600">
        <f>Sources!B2600</f>
        <v/>
      </c>
      <c r="C2600">
        <f>Sources!D2600</f>
        <v/>
      </c>
      <c r="D2600">
        <f>Sources!E2600</f>
        <v/>
      </c>
      <c r="E2600">
        <f>Sources!F2600</f>
        <v/>
      </c>
      <c r="F2600">
        <f>Sources!H2600</f>
        <v/>
      </c>
      <c r="G2600">
        <f>IF(ABS(F2600-ROUND(F2600,0))&lt;0.001,1,0)</f>
        <v/>
      </c>
      <c r="H2600">
        <f>IF(G2600=1,F2600,CEILING(F2600,1))</f>
        <v/>
      </c>
      <c r="I2600">
        <f>IF(G2600=1,0,(H2600-F2600)*E2600)</f>
        <v/>
      </c>
      <c r="J2600">
        <f>E2600*F2600</f>
        <v/>
      </c>
    </row>
    <row r="2601">
      <c r="A2601">
        <f>Sources!A2601</f>
        <v/>
      </c>
      <c r="B2601">
        <f>Sources!B2601</f>
        <v/>
      </c>
      <c r="C2601">
        <f>Sources!D2601</f>
        <v/>
      </c>
      <c r="D2601">
        <f>Sources!E2601</f>
        <v/>
      </c>
      <c r="E2601">
        <f>Sources!F2601</f>
        <v/>
      </c>
      <c r="F2601">
        <f>Sources!H2601</f>
        <v/>
      </c>
      <c r="G2601">
        <f>IF(ABS(F2601-ROUND(F2601,0))&lt;0.001,1,0)</f>
        <v/>
      </c>
      <c r="H2601">
        <f>IF(G2601=1,F2601,CEILING(F2601,1))</f>
        <v/>
      </c>
      <c r="I2601">
        <f>IF(G2601=1,0,(H2601-F2601)*E2601)</f>
        <v/>
      </c>
      <c r="J2601">
        <f>E2601*F2601</f>
        <v/>
      </c>
    </row>
    <row r="2602">
      <c r="A2602">
        <f>Sources!A2602</f>
        <v/>
      </c>
      <c r="B2602">
        <f>Sources!B2602</f>
        <v/>
      </c>
      <c r="C2602">
        <f>Sources!D2602</f>
        <v/>
      </c>
      <c r="D2602">
        <f>Sources!E2602</f>
        <v/>
      </c>
      <c r="E2602">
        <f>Sources!F2602</f>
        <v/>
      </c>
      <c r="F2602">
        <f>Sources!H2602</f>
        <v/>
      </c>
      <c r="G2602">
        <f>IF(ABS(F2602-ROUND(F2602,0))&lt;0.001,1,0)</f>
        <v/>
      </c>
      <c r="H2602">
        <f>IF(G2602=1,F2602,CEILING(F2602,1))</f>
        <v/>
      </c>
      <c r="I2602">
        <f>IF(G2602=1,0,(H2602-F2602)*E2602)</f>
        <v/>
      </c>
      <c r="J2602">
        <f>E2602*F2602</f>
        <v/>
      </c>
    </row>
    <row r="2603">
      <c r="A2603">
        <f>Sources!A2603</f>
        <v/>
      </c>
      <c r="B2603">
        <f>Sources!B2603</f>
        <v/>
      </c>
      <c r="C2603">
        <f>Sources!D2603</f>
        <v/>
      </c>
      <c r="D2603">
        <f>Sources!E2603</f>
        <v/>
      </c>
      <c r="E2603">
        <f>Sources!F2603</f>
        <v/>
      </c>
      <c r="F2603">
        <f>Sources!H2603</f>
        <v/>
      </c>
      <c r="G2603">
        <f>IF(ABS(F2603-ROUND(F2603,0))&lt;0.001,1,0)</f>
        <v/>
      </c>
      <c r="H2603">
        <f>IF(G2603=1,F2603,CEILING(F2603,1))</f>
        <v/>
      </c>
      <c r="I2603">
        <f>IF(G2603=1,0,(H2603-F2603)*E2603)</f>
        <v/>
      </c>
      <c r="J2603">
        <f>E2603*F2603</f>
        <v/>
      </c>
    </row>
    <row r="2604">
      <c r="A2604">
        <f>Sources!A2604</f>
        <v/>
      </c>
      <c r="B2604">
        <f>Sources!B2604</f>
        <v/>
      </c>
      <c r="C2604">
        <f>Sources!D2604</f>
        <v/>
      </c>
      <c r="D2604">
        <f>Sources!E2604</f>
        <v/>
      </c>
      <c r="E2604">
        <f>Sources!F2604</f>
        <v/>
      </c>
      <c r="F2604">
        <f>Sources!H2604</f>
        <v/>
      </c>
      <c r="G2604">
        <f>IF(ABS(F2604-ROUND(F2604,0))&lt;0.001,1,0)</f>
        <v/>
      </c>
      <c r="H2604">
        <f>IF(G2604=1,F2604,CEILING(F2604,1))</f>
        <v/>
      </c>
      <c r="I2604">
        <f>IF(G2604=1,0,(H2604-F2604)*E2604)</f>
        <v/>
      </c>
      <c r="J2604">
        <f>E2604*F2604</f>
        <v/>
      </c>
    </row>
    <row r="2605">
      <c r="A2605">
        <f>Sources!A2605</f>
        <v/>
      </c>
      <c r="B2605">
        <f>Sources!B2605</f>
        <v/>
      </c>
      <c r="C2605">
        <f>Sources!D2605</f>
        <v/>
      </c>
      <c r="D2605">
        <f>Sources!E2605</f>
        <v/>
      </c>
      <c r="E2605">
        <f>Sources!F2605</f>
        <v/>
      </c>
      <c r="F2605">
        <f>Sources!H2605</f>
        <v/>
      </c>
      <c r="G2605">
        <f>IF(ABS(F2605-ROUND(F2605,0))&lt;0.001,1,0)</f>
        <v/>
      </c>
      <c r="H2605">
        <f>IF(G2605=1,F2605,CEILING(F2605,1))</f>
        <v/>
      </c>
      <c r="I2605">
        <f>IF(G2605=1,0,(H2605-F2605)*E2605)</f>
        <v/>
      </c>
      <c r="J2605">
        <f>E2605*F2605</f>
        <v/>
      </c>
    </row>
    <row r="2606">
      <c r="A2606">
        <f>Sources!A2606</f>
        <v/>
      </c>
      <c r="B2606">
        <f>Sources!B2606</f>
        <v/>
      </c>
      <c r="C2606">
        <f>Sources!D2606</f>
        <v/>
      </c>
      <c r="D2606">
        <f>Sources!E2606</f>
        <v/>
      </c>
      <c r="E2606">
        <f>Sources!F2606</f>
        <v/>
      </c>
      <c r="F2606">
        <f>Sources!H2606</f>
        <v/>
      </c>
      <c r="G2606">
        <f>IF(ABS(F2606-ROUND(F2606,0))&lt;0.001,1,0)</f>
        <v/>
      </c>
      <c r="H2606">
        <f>IF(G2606=1,F2606,CEILING(F2606,1))</f>
        <v/>
      </c>
      <c r="I2606">
        <f>IF(G2606=1,0,(H2606-F2606)*E2606)</f>
        <v/>
      </c>
      <c r="J2606">
        <f>E2606*F2606</f>
        <v/>
      </c>
    </row>
    <row r="2607">
      <c r="A2607">
        <f>Sources!A2607</f>
        <v/>
      </c>
      <c r="B2607">
        <f>Sources!B2607</f>
        <v/>
      </c>
      <c r="C2607">
        <f>Sources!D2607</f>
        <v/>
      </c>
      <c r="D2607">
        <f>Sources!E2607</f>
        <v/>
      </c>
      <c r="E2607">
        <f>Sources!F2607</f>
        <v/>
      </c>
      <c r="F2607">
        <f>Sources!H2607</f>
        <v/>
      </c>
      <c r="G2607">
        <f>IF(ABS(F2607-ROUND(F2607,0))&lt;0.001,1,0)</f>
        <v/>
      </c>
      <c r="H2607">
        <f>IF(G2607=1,F2607,CEILING(F2607,1))</f>
        <v/>
      </c>
      <c r="I2607">
        <f>IF(G2607=1,0,(H2607-F2607)*E2607)</f>
        <v/>
      </c>
      <c r="J2607">
        <f>E2607*F2607</f>
        <v/>
      </c>
    </row>
    <row r="2608">
      <c r="A2608">
        <f>Sources!A2608</f>
        <v/>
      </c>
      <c r="B2608">
        <f>Sources!B2608</f>
        <v/>
      </c>
      <c r="C2608">
        <f>Sources!D2608</f>
        <v/>
      </c>
      <c r="D2608">
        <f>Sources!E2608</f>
        <v/>
      </c>
      <c r="E2608">
        <f>Sources!F2608</f>
        <v/>
      </c>
      <c r="F2608">
        <f>Sources!H2608</f>
        <v/>
      </c>
      <c r="G2608">
        <f>IF(ABS(F2608-ROUND(F2608,0))&lt;0.001,1,0)</f>
        <v/>
      </c>
      <c r="H2608">
        <f>IF(G2608=1,F2608,CEILING(F2608,1))</f>
        <v/>
      </c>
      <c r="I2608">
        <f>IF(G2608=1,0,(H2608-F2608)*E2608)</f>
        <v/>
      </c>
      <c r="J2608">
        <f>E2608*F2608</f>
        <v/>
      </c>
    </row>
    <row r="2609">
      <c r="A2609">
        <f>Sources!A2609</f>
        <v/>
      </c>
      <c r="B2609">
        <f>Sources!B2609</f>
        <v/>
      </c>
      <c r="C2609">
        <f>Sources!D2609</f>
        <v/>
      </c>
      <c r="D2609">
        <f>Sources!E2609</f>
        <v/>
      </c>
      <c r="E2609">
        <f>Sources!F2609</f>
        <v/>
      </c>
      <c r="F2609">
        <f>Sources!H2609</f>
        <v/>
      </c>
      <c r="G2609">
        <f>IF(ABS(F2609-ROUND(F2609,0))&lt;0.001,1,0)</f>
        <v/>
      </c>
      <c r="H2609">
        <f>IF(G2609=1,F2609,CEILING(F2609,1))</f>
        <v/>
      </c>
      <c r="I2609">
        <f>IF(G2609=1,0,(H2609-F2609)*E2609)</f>
        <v/>
      </c>
      <c r="J2609">
        <f>E2609*F2609</f>
        <v/>
      </c>
    </row>
    <row r="2610">
      <c r="A2610">
        <f>Sources!A2610</f>
        <v/>
      </c>
      <c r="B2610">
        <f>Sources!B2610</f>
        <v/>
      </c>
      <c r="C2610">
        <f>Sources!D2610</f>
        <v/>
      </c>
      <c r="D2610">
        <f>Sources!E2610</f>
        <v/>
      </c>
      <c r="E2610">
        <f>Sources!F2610</f>
        <v/>
      </c>
      <c r="F2610">
        <f>Sources!H2610</f>
        <v/>
      </c>
      <c r="G2610">
        <f>IF(ABS(F2610-ROUND(F2610,0))&lt;0.001,1,0)</f>
        <v/>
      </c>
      <c r="H2610">
        <f>IF(G2610=1,F2610,CEILING(F2610,1))</f>
        <v/>
      </c>
      <c r="I2610">
        <f>IF(G2610=1,0,(H2610-F2610)*E2610)</f>
        <v/>
      </c>
      <c r="J2610">
        <f>E2610*F2610</f>
        <v/>
      </c>
    </row>
    <row r="2611">
      <c r="A2611">
        <f>Sources!A2611</f>
        <v/>
      </c>
      <c r="B2611">
        <f>Sources!B2611</f>
        <v/>
      </c>
      <c r="C2611">
        <f>Sources!D2611</f>
        <v/>
      </c>
      <c r="D2611">
        <f>Sources!E2611</f>
        <v/>
      </c>
      <c r="E2611">
        <f>Sources!F2611</f>
        <v/>
      </c>
      <c r="F2611">
        <f>Sources!H2611</f>
        <v/>
      </c>
      <c r="G2611">
        <f>IF(ABS(F2611-ROUND(F2611,0))&lt;0.001,1,0)</f>
        <v/>
      </c>
      <c r="H2611">
        <f>IF(G2611=1,F2611,CEILING(F2611,1))</f>
        <v/>
      </c>
      <c r="I2611">
        <f>IF(G2611=1,0,(H2611-F2611)*E2611)</f>
        <v/>
      </c>
      <c r="J2611">
        <f>E2611*F2611</f>
        <v/>
      </c>
    </row>
    <row r="2612">
      <c r="A2612">
        <f>Sources!A2612</f>
        <v/>
      </c>
      <c r="B2612">
        <f>Sources!B2612</f>
        <v/>
      </c>
      <c r="C2612">
        <f>Sources!D2612</f>
        <v/>
      </c>
      <c r="D2612">
        <f>Sources!E2612</f>
        <v/>
      </c>
      <c r="E2612">
        <f>Sources!F2612</f>
        <v/>
      </c>
      <c r="F2612">
        <f>Sources!H2612</f>
        <v/>
      </c>
      <c r="G2612">
        <f>IF(ABS(F2612-ROUND(F2612,0))&lt;0.001,1,0)</f>
        <v/>
      </c>
      <c r="H2612">
        <f>IF(G2612=1,F2612,CEILING(F2612,1))</f>
        <v/>
      </c>
      <c r="I2612">
        <f>IF(G2612=1,0,(H2612-F2612)*E2612)</f>
        <v/>
      </c>
      <c r="J2612">
        <f>E2612*F2612</f>
        <v/>
      </c>
    </row>
    <row r="2613">
      <c r="A2613">
        <f>Sources!A2613</f>
        <v/>
      </c>
      <c r="B2613">
        <f>Sources!B2613</f>
        <v/>
      </c>
      <c r="C2613">
        <f>Sources!D2613</f>
        <v/>
      </c>
      <c r="D2613">
        <f>Sources!E2613</f>
        <v/>
      </c>
      <c r="E2613">
        <f>Sources!F2613</f>
        <v/>
      </c>
      <c r="F2613">
        <f>Sources!H2613</f>
        <v/>
      </c>
      <c r="G2613">
        <f>IF(ABS(F2613-ROUND(F2613,0))&lt;0.001,1,0)</f>
        <v/>
      </c>
      <c r="H2613">
        <f>IF(G2613=1,F2613,CEILING(F2613,1))</f>
        <v/>
      </c>
      <c r="I2613">
        <f>IF(G2613=1,0,(H2613-F2613)*E2613)</f>
        <v/>
      </c>
      <c r="J2613">
        <f>E2613*F2613</f>
        <v/>
      </c>
    </row>
    <row r="2614">
      <c r="A2614">
        <f>Sources!A2614</f>
        <v/>
      </c>
      <c r="B2614">
        <f>Sources!B2614</f>
        <v/>
      </c>
      <c r="C2614">
        <f>Sources!D2614</f>
        <v/>
      </c>
      <c r="D2614">
        <f>Sources!E2614</f>
        <v/>
      </c>
      <c r="E2614">
        <f>Sources!F2614</f>
        <v/>
      </c>
      <c r="F2614">
        <f>Sources!H2614</f>
        <v/>
      </c>
      <c r="G2614">
        <f>IF(ABS(F2614-ROUND(F2614,0))&lt;0.001,1,0)</f>
        <v/>
      </c>
      <c r="H2614">
        <f>IF(G2614=1,F2614,CEILING(F2614,1))</f>
        <v/>
      </c>
      <c r="I2614">
        <f>IF(G2614=1,0,(H2614-F2614)*E2614)</f>
        <v/>
      </c>
      <c r="J2614">
        <f>E2614*F2614</f>
        <v/>
      </c>
    </row>
    <row r="2615">
      <c r="A2615">
        <f>Sources!A2615</f>
        <v/>
      </c>
      <c r="B2615">
        <f>Sources!B2615</f>
        <v/>
      </c>
      <c r="C2615">
        <f>Sources!D2615</f>
        <v/>
      </c>
      <c r="D2615">
        <f>Sources!E2615</f>
        <v/>
      </c>
      <c r="E2615">
        <f>Sources!F2615</f>
        <v/>
      </c>
      <c r="F2615">
        <f>Sources!H2615</f>
        <v/>
      </c>
      <c r="G2615">
        <f>IF(ABS(F2615-ROUND(F2615,0))&lt;0.001,1,0)</f>
        <v/>
      </c>
      <c r="H2615">
        <f>IF(G2615=1,F2615,CEILING(F2615,1))</f>
        <v/>
      </c>
      <c r="I2615">
        <f>IF(G2615=1,0,(H2615-F2615)*E2615)</f>
        <v/>
      </c>
      <c r="J2615">
        <f>E2615*F2615</f>
        <v/>
      </c>
    </row>
    <row r="2616">
      <c r="A2616">
        <f>Sources!A2616</f>
        <v/>
      </c>
      <c r="B2616">
        <f>Sources!B2616</f>
        <v/>
      </c>
      <c r="C2616">
        <f>Sources!D2616</f>
        <v/>
      </c>
      <c r="D2616">
        <f>Sources!E2616</f>
        <v/>
      </c>
      <c r="E2616">
        <f>Sources!F2616</f>
        <v/>
      </c>
      <c r="F2616">
        <f>Sources!H2616</f>
        <v/>
      </c>
      <c r="G2616">
        <f>IF(ABS(F2616-ROUND(F2616,0))&lt;0.001,1,0)</f>
        <v/>
      </c>
      <c r="H2616">
        <f>IF(G2616=1,F2616,CEILING(F2616,1))</f>
        <v/>
      </c>
      <c r="I2616">
        <f>IF(G2616=1,0,(H2616-F2616)*E2616)</f>
        <v/>
      </c>
      <c r="J2616">
        <f>E2616*F2616</f>
        <v/>
      </c>
    </row>
    <row r="2617">
      <c r="A2617">
        <f>Sources!A2617</f>
        <v/>
      </c>
      <c r="B2617">
        <f>Sources!B2617</f>
        <v/>
      </c>
      <c r="C2617">
        <f>Sources!D2617</f>
        <v/>
      </c>
      <c r="D2617">
        <f>Sources!E2617</f>
        <v/>
      </c>
      <c r="E2617">
        <f>Sources!F2617</f>
        <v/>
      </c>
      <c r="F2617">
        <f>Sources!H2617</f>
        <v/>
      </c>
      <c r="G2617">
        <f>IF(ABS(F2617-ROUND(F2617,0))&lt;0.001,1,0)</f>
        <v/>
      </c>
      <c r="H2617">
        <f>IF(G2617=1,F2617,CEILING(F2617,1))</f>
        <v/>
      </c>
      <c r="I2617">
        <f>IF(G2617=1,0,(H2617-F2617)*E2617)</f>
        <v/>
      </c>
      <c r="J2617">
        <f>E2617*F2617</f>
        <v/>
      </c>
    </row>
    <row r="2618">
      <c r="A2618">
        <f>Sources!A2618</f>
        <v/>
      </c>
      <c r="B2618">
        <f>Sources!B2618</f>
        <v/>
      </c>
      <c r="C2618">
        <f>Sources!D2618</f>
        <v/>
      </c>
      <c r="D2618">
        <f>Sources!E2618</f>
        <v/>
      </c>
      <c r="E2618">
        <f>Sources!F2618</f>
        <v/>
      </c>
      <c r="F2618">
        <f>Sources!H2618</f>
        <v/>
      </c>
      <c r="G2618">
        <f>IF(ABS(F2618-ROUND(F2618,0))&lt;0.001,1,0)</f>
        <v/>
      </c>
      <c r="H2618">
        <f>IF(G2618=1,F2618,CEILING(F2618,1))</f>
        <v/>
      </c>
      <c r="I2618">
        <f>IF(G2618=1,0,(H2618-F2618)*E2618)</f>
        <v/>
      </c>
      <c r="J2618">
        <f>E2618*F2618</f>
        <v/>
      </c>
    </row>
    <row r="2619">
      <c r="A2619">
        <f>Sources!A2619</f>
        <v/>
      </c>
      <c r="B2619">
        <f>Sources!B2619</f>
        <v/>
      </c>
      <c r="C2619">
        <f>Sources!D2619</f>
        <v/>
      </c>
      <c r="D2619">
        <f>Sources!E2619</f>
        <v/>
      </c>
      <c r="E2619">
        <f>Sources!F2619</f>
        <v/>
      </c>
      <c r="F2619">
        <f>Sources!H2619</f>
        <v/>
      </c>
      <c r="G2619">
        <f>IF(ABS(F2619-ROUND(F2619,0))&lt;0.001,1,0)</f>
        <v/>
      </c>
      <c r="H2619">
        <f>IF(G2619=1,F2619,CEILING(F2619,1))</f>
        <v/>
      </c>
      <c r="I2619">
        <f>IF(G2619=1,0,(H2619-F2619)*E2619)</f>
        <v/>
      </c>
      <c r="J2619">
        <f>E2619*F2619</f>
        <v/>
      </c>
    </row>
    <row r="2620">
      <c r="A2620">
        <f>Sources!A2620</f>
        <v/>
      </c>
      <c r="B2620">
        <f>Sources!B2620</f>
        <v/>
      </c>
      <c r="C2620">
        <f>Sources!D2620</f>
        <v/>
      </c>
      <c r="D2620">
        <f>Sources!E2620</f>
        <v/>
      </c>
      <c r="E2620">
        <f>Sources!F2620</f>
        <v/>
      </c>
      <c r="F2620">
        <f>Sources!H2620</f>
        <v/>
      </c>
      <c r="G2620">
        <f>IF(ABS(F2620-ROUND(F2620,0))&lt;0.001,1,0)</f>
        <v/>
      </c>
      <c r="H2620">
        <f>IF(G2620=1,F2620,CEILING(F2620,1))</f>
        <v/>
      </c>
      <c r="I2620">
        <f>IF(G2620=1,0,(H2620-F2620)*E2620)</f>
        <v/>
      </c>
      <c r="J2620">
        <f>E2620*F2620</f>
        <v/>
      </c>
    </row>
    <row r="2621">
      <c r="A2621">
        <f>Sources!A2621</f>
        <v/>
      </c>
      <c r="B2621">
        <f>Sources!B2621</f>
        <v/>
      </c>
      <c r="C2621">
        <f>Sources!D2621</f>
        <v/>
      </c>
      <c r="D2621">
        <f>Sources!E2621</f>
        <v/>
      </c>
      <c r="E2621">
        <f>Sources!F2621</f>
        <v/>
      </c>
      <c r="F2621">
        <f>Sources!H2621</f>
        <v/>
      </c>
      <c r="G2621">
        <f>IF(ABS(F2621-ROUND(F2621,0))&lt;0.001,1,0)</f>
        <v/>
      </c>
      <c r="H2621">
        <f>IF(G2621=1,F2621,CEILING(F2621,1))</f>
        <v/>
      </c>
      <c r="I2621">
        <f>IF(G2621=1,0,(H2621-F2621)*E2621)</f>
        <v/>
      </c>
      <c r="J2621">
        <f>E2621*F2621</f>
        <v/>
      </c>
    </row>
    <row r="2622">
      <c r="A2622">
        <f>Sources!A2622</f>
        <v/>
      </c>
      <c r="B2622">
        <f>Sources!B2622</f>
        <v/>
      </c>
      <c r="C2622">
        <f>Sources!D2622</f>
        <v/>
      </c>
      <c r="D2622">
        <f>Sources!E2622</f>
        <v/>
      </c>
      <c r="E2622">
        <f>Sources!F2622</f>
        <v/>
      </c>
      <c r="F2622">
        <f>Sources!H2622</f>
        <v/>
      </c>
      <c r="G2622">
        <f>IF(ABS(F2622-ROUND(F2622,0))&lt;0.001,1,0)</f>
        <v/>
      </c>
      <c r="H2622">
        <f>IF(G2622=1,F2622,CEILING(F2622,1))</f>
        <v/>
      </c>
      <c r="I2622">
        <f>IF(G2622=1,0,(H2622-F2622)*E2622)</f>
        <v/>
      </c>
      <c r="J2622">
        <f>E2622*F2622</f>
        <v/>
      </c>
    </row>
    <row r="2623">
      <c r="A2623">
        <f>Sources!A2623</f>
        <v/>
      </c>
      <c r="B2623">
        <f>Sources!B2623</f>
        <v/>
      </c>
      <c r="C2623">
        <f>Sources!D2623</f>
        <v/>
      </c>
      <c r="D2623">
        <f>Sources!E2623</f>
        <v/>
      </c>
      <c r="E2623">
        <f>Sources!F2623</f>
        <v/>
      </c>
      <c r="F2623">
        <f>Sources!H2623</f>
        <v/>
      </c>
      <c r="G2623">
        <f>IF(ABS(F2623-ROUND(F2623,0))&lt;0.001,1,0)</f>
        <v/>
      </c>
      <c r="H2623">
        <f>IF(G2623=1,F2623,CEILING(F2623,1))</f>
        <v/>
      </c>
      <c r="I2623">
        <f>IF(G2623=1,0,(H2623-F2623)*E2623)</f>
        <v/>
      </c>
      <c r="J2623">
        <f>E2623*F2623</f>
        <v/>
      </c>
    </row>
    <row r="2624">
      <c r="A2624">
        <f>Sources!A2624</f>
        <v/>
      </c>
      <c r="B2624">
        <f>Sources!B2624</f>
        <v/>
      </c>
      <c r="C2624">
        <f>Sources!D2624</f>
        <v/>
      </c>
      <c r="D2624">
        <f>Sources!E2624</f>
        <v/>
      </c>
      <c r="E2624">
        <f>Sources!F2624</f>
        <v/>
      </c>
      <c r="F2624">
        <f>Sources!H2624</f>
        <v/>
      </c>
      <c r="G2624">
        <f>IF(ABS(F2624-ROUND(F2624,0))&lt;0.001,1,0)</f>
        <v/>
      </c>
      <c r="H2624">
        <f>IF(G2624=1,F2624,CEILING(F2624,1))</f>
        <v/>
      </c>
      <c r="I2624">
        <f>IF(G2624=1,0,(H2624-F2624)*E2624)</f>
        <v/>
      </c>
      <c r="J2624">
        <f>E2624*F2624</f>
        <v/>
      </c>
    </row>
    <row r="2625">
      <c r="A2625">
        <f>Sources!A2625</f>
        <v/>
      </c>
      <c r="B2625">
        <f>Sources!B2625</f>
        <v/>
      </c>
      <c r="C2625">
        <f>Sources!D2625</f>
        <v/>
      </c>
      <c r="D2625">
        <f>Sources!E2625</f>
        <v/>
      </c>
      <c r="E2625">
        <f>Sources!F2625</f>
        <v/>
      </c>
      <c r="F2625">
        <f>Sources!H2625</f>
        <v/>
      </c>
      <c r="G2625">
        <f>IF(ABS(F2625-ROUND(F2625,0))&lt;0.001,1,0)</f>
        <v/>
      </c>
      <c r="H2625">
        <f>IF(G2625=1,F2625,CEILING(F2625,1))</f>
        <v/>
      </c>
      <c r="I2625">
        <f>IF(G2625=1,0,(H2625-F2625)*E2625)</f>
        <v/>
      </c>
      <c r="J2625">
        <f>E2625*F2625</f>
        <v/>
      </c>
    </row>
    <row r="2626">
      <c r="A2626">
        <f>Sources!A2626</f>
        <v/>
      </c>
      <c r="B2626">
        <f>Sources!B2626</f>
        <v/>
      </c>
      <c r="C2626">
        <f>Sources!D2626</f>
        <v/>
      </c>
      <c r="D2626">
        <f>Sources!E2626</f>
        <v/>
      </c>
      <c r="E2626">
        <f>Sources!F2626</f>
        <v/>
      </c>
      <c r="F2626">
        <f>Sources!H2626</f>
        <v/>
      </c>
      <c r="G2626">
        <f>IF(ABS(F2626-ROUND(F2626,0))&lt;0.001,1,0)</f>
        <v/>
      </c>
      <c r="H2626">
        <f>IF(G2626=1,F2626,CEILING(F2626,1))</f>
        <v/>
      </c>
      <c r="I2626">
        <f>IF(G2626=1,0,(H2626-F2626)*E2626)</f>
        <v/>
      </c>
      <c r="J2626">
        <f>E2626*F2626</f>
        <v/>
      </c>
    </row>
    <row r="2627">
      <c r="A2627">
        <f>Sources!A2627</f>
        <v/>
      </c>
      <c r="B2627">
        <f>Sources!B2627</f>
        <v/>
      </c>
      <c r="C2627">
        <f>Sources!D2627</f>
        <v/>
      </c>
      <c r="D2627">
        <f>Sources!E2627</f>
        <v/>
      </c>
      <c r="E2627">
        <f>Sources!F2627</f>
        <v/>
      </c>
      <c r="F2627">
        <f>Sources!H2627</f>
        <v/>
      </c>
      <c r="G2627">
        <f>IF(ABS(F2627-ROUND(F2627,0))&lt;0.001,1,0)</f>
        <v/>
      </c>
      <c r="H2627">
        <f>IF(G2627=1,F2627,CEILING(F2627,1))</f>
        <v/>
      </c>
      <c r="I2627">
        <f>IF(G2627=1,0,(H2627-F2627)*E2627)</f>
        <v/>
      </c>
      <c r="J2627">
        <f>E2627*F2627</f>
        <v/>
      </c>
    </row>
    <row r="2628">
      <c r="A2628">
        <f>Sources!A2628</f>
        <v/>
      </c>
      <c r="B2628">
        <f>Sources!B2628</f>
        <v/>
      </c>
      <c r="C2628">
        <f>Sources!D2628</f>
        <v/>
      </c>
      <c r="D2628">
        <f>Sources!E2628</f>
        <v/>
      </c>
      <c r="E2628">
        <f>Sources!F2628</f>
        <v/>
      </c>
      <c r="F2628">
        <f>Sources!H2628</f>
        <v/>
      </c>
      <c r="G2628">
        <f>IF(ABS(F2628-ROUND(F2628,0))&lt;0.001,1,0)</f>
        <v/>
      </c>
      <c r="H2628">
        <f>IF(G2628=1,F2628,CEILING(F2628,1))</f>
        <v/>
      </c>
      <c r="I2628">
        <f>IF(G2628=1,0,(H2628-F2628)*E2628)</f>
        <v/>
      </c>
      <c r="J2628">
        <f>E2628*F2628</f>
        <v/>
      </c>
    </row>
    <row r="2629">
      <c r="A2629">
        <f>Sources!A2629</f>
        <v/>
      </c>
      <c r="B2629">
        <f>Sources!B2629</f>
        <v/>
      </c>
      <c r="C2629">
        <f>Sources!D2629</f>
        <v/>
      </c>
      <c r="D2629">
        <f>Sources!E2629</f>
        <v/>
      </c>
      <c r="E2629">
        <f>Sources!F2629</f>
        <v/>
      </c>
      <c r="F2629">
        <f>Sources!H2629</f>
        <v/>
      </c>
      <c r="G2629">
        <f>IF(ABS(F2629-ROUND(F2629,0))&lt;0.001,1,0)</f>
        <v/>
      </c>
      <c r="H2629">
        <f>IF(G2629=1,F2629,CEILING(F2629,1))</f>
        <v/>
      </c>
      <c r="I2629">
        <f>IF(G2629=1,0,(H2629-F2629)*E2629)</f>
        <v/>
      </c>
      <c r="J2629">
        <f>E2629*F2629</f>
        <v/>
      </c>
    </row>
    <row r="2630">
      <c r="A2630">
        <f>Sources!A2630</f>
        <v/>
      </c>
      <c r="B2630">
        <f>Sources!B2630</f>
        <v/>
      </c>
      <c r="C2630">
        <f>Sources!D2630</f>
        <v/>
      </c>
      <c r="D2630">
        <f>Sources!E2630</f>
        <v/>
      </c>
      <c r="E2630">
        <f>Sources!F2630</f>
        <v/>
      </c>
      <c r="F2630">
        <f>Sources!H2630</f>
        <v/>
      </c>
      <c r="G2630">
        <f>IF(ABS(F2630-ROUND(F2630,0))&lt;0.001,1,0)</f>
        <v/>
      </c>
      <c r="H2630">
        <f>IF(G2630=1,F2630,CEILING(F2630,1))</f>
        <v/>
      </c>
      <c r="I2630">
        <f>IF(G2630=1,0,(H2630-F2630)*E2630)</f>
        <v/>
      </c>
      <c r="J2630">
        <f>E2630*F2630</f>
        <v/>
      </c>
    </row>
    <row r="2631">
      <c r="A2631">
        <f>Sources!A2631</f>
        <v/>
      </c>
      <c r="B2631">
        <f>Sources!B2631</f>
        <v/>
      </c>
      <c r="C2631">
        <f>Sources!D2631</f>
        <v/>
      </c>
      <c r="D2631">
        <f>Sources!E2631</f>
        <v/>
      </c>
      <c r="E2631">
        <f>Sources!F2631</f>
        <v/>
      </c>
      <c r="F2631">
        <f>Sources!H2631</f>
        <v/>
      </c>
      <c r="G2631">
        <f>IF(ABS(F2631-ROUND(F2631,0))&lt;0.001,1,0)</f>
        <v/>
      </c>
      <c r="H2631">
        <f>IF(G2631=1,F2631,CEILING(F2631,1))</f>
        <v/>
      </c>
      <c r="I2631">
        <f>IF(G2631=1,0,(H2631-F2631)*E2631)</f>
        <v/>
      </c>
      <c r="J2631">
        <f>E2631*F2631</f>
        <v/>
      </c>
    </row>
    <row r="2632">
      <c r="A2632">
        <f>Sources!A2632</f>
        <v/>
      </c>
      <c r="B2632">
        <f>Sources!B2632</f>
        <v/>
      </c>
      <c r="C2632">
        <f>Sources!D2632</f>
        <v/>
      </c>
      <c r="D2632">
        <f>Sources!E2632</f>
        <v/>
      </c>
      <c r="E2632">
        <f>Sources!F2632</f>
        <v/>
      </c>
      <c r="F2632">
        <f>Sources!H2632</f>
        <v/>
      </c>
      <c r="G2632">
        <f>IF(ABS(F2632-ROUND(F2632,0))&lt;0.001,1,0)</f>
        <v/>
      </c>
      <c r="H2632">
        <f>IF(G2632=1,F2632,CEILING(F2632,1))</f>
        <v/>
      </c>
      <c r="I2632">
        <f>IF(G2632=1,0,(H2632-F2632)*E2632)</f>
        <v/>
      </c>
      <c r="J2632">
        <f>E2632*F2632</f>
        <v/>
      </c>
    </row>
    <row r="2633">
      <c r="A2633">
        <f>Sources!A2633</f>
        <v/>
      </c>
      <c r="B2633">
        <f>Sources!B2633</f>
        <v/>
      </c>
      <c r="C2633">
        <f>Sources!D2633</f>
        <v/>
      </c>
      <c r="D2633">
        <f>Sources!E2633</f>
        <v/>
      </c>
      <c r="E2633">
        <f>Sources!F2633</f>
        <v/>
      </c>
      <c r="F2633">
        <f>Sources!H2633</f>
        <v/>
      </c>
      <c r="G2633">
        <f>IF(ABS(F2633-ROUND(F2633,0))&lt;0.001,1,0)</f>
        <v/>
      </c>
      <c r="H2633">
        <f>IF(G2633=1,F2633,CEILING(F2633,1))</f>
        <v/>
      </c>
      <c r="I2633">
        <f>IF(G2633=1,0,(H2633-F2633)*E2633)</f>
        <v/>
      </c>
      <c r="J2633">
        <f>E2633*F2633</f>
        <v/>
      </c>
    </row>
    <row r="2634">
      <c r="A2634">
        <f>Sources!A2634</f>
        <v/>
      </c>
      <c r="B2634">
        <f>Sources!B2634</f>
        <v/>
      </c>
      <c r="C2634">
        <f>Sources!D2634</f>
        <v/>
      </c>
      <c r="D2634">
        <f>Sources!E2634</f>
        <v/>
      </c>
      <c r="E2634">
        <f>Sources!F2634</f>
        <v/>
      </c>
      <c r="F2634">
        <f>Sources!H2634</f>
        <v/>
      </c>
      <c r="G2634">
        <f>IF(ABS(F2634-ROUND(F2634,0))&lt;0.001,1,0)</f>
        <v/>
      </c>
      <c r="H2634">
        <f>IF(G2634=1,F2634,CEILING(F2634,1))</f>
        <v/>
      </c>
      <c r="I2634">
        <f>IF(G2634=1,0,(H2634-F2634)*E2634)</f>
        <v/>
      </c>
      <c r="J2634">
        <f>E2634*F2634</f>
        <v/>
      </c>
    </row>
    <row r="2635">
      <c r="A2635">
        <f>Sources!A2635</f>
        <v/>
      </c>
      <c r="B2635">
        <f>Sources!B2635</f>
        <v/>
      </c>
      <c r="C2635">
        <f>Sources!D2635</f>
        <v/>
      </c>
      <c r="D2635">
        <f>Sources!E2635</f>
        <v/>
      </c>
      <c r="E2635">
        <f>Sources!F2635</f>
        <v/>
      </c>
      <c r="F2635">
        <f>Sources!H2635</f>
        <v/>
      </c>
      <c r="G2635">
        <f>IF(ABS(F2635-ROUND(F2635,0))&lt;0.001,1,0)</f>
        <v/>
      </c>
      <c r="H2635">
        <f>IF(G2635=1,F2635,CEILING(F2635,1))</f>
        <v/>
      </c>
      <c r="I2635">
        <f>IF(G2635=1,0,(H2635-F2635)*E2635)</f>
        <v/>
      </c>
      <c r="J2635">
        <f>E2635*F2635</f>
        <v/>
      </c>
    </row>
    <row r="2636">
      <c r="A2636">
        <f>Sources!A2636</f>
        <v/>
      </c>
      <c r="B2636">
        <f>Sources!B2636</f>
        <v/>
      </c>
      <c r="C2636">
        <f>Sources!D2636</f>
        <v/>
      </c>
      <c r="D2636">
        <f>Sources!E2636</f>
        <v/>
      </c>
      <c r="E2636">
        <f>Sources!F2636</f>
        <v/>
      </c>
      <c r="F2636">
        <f>Sources!H2636</f>
        <v/>
      </c>
      <c r="G2636">
        <f>IF(ABS(F2636-ROUND(F2636,0))&lt;0.001,1,0)</f>
        <v/>
      </c>
      <c r="H2636">
        <f>IF(G2636=1,F2636,CEILING(F2636,1))</f>
        <v/>
      </c>
      <c r="I2636">
        <f>IF(G2636=1,0,(H2636-F2636)*E2636)</f>
        <v/>
      </c>
      <c r="J2636">
        <f>E2636*F2636</f>
        <v/>
      </c>
    </row>
    <row r="2637">
      <c r="A2637">
        <f>Sources!A2637</f>
        <v/>
      </c>
      <c r="B2637">
        <f>Sources!B2637</f>
        <v/>
      </c>
      <c r="C2637">
        <f>Sources!D2637</f>
        <v/>
      </c>
      <c r="D2637">
        <f>Sources!E2637</f>
        <v/>
      </c>
      <c r="E2637">
        <f>Sources!F2637</f>
        <v/>
      </c>
      <c r="F2637">
        <f>Sources!H2637</f>
        <v/>
      </c>
      <c r="G2637">
        <f>IF(ABS(F2637-ROUND(F2637,0))&lt;0.001,1,0)</f>
        <v/>
      </c>
      <c r="H2637">
        <f>IF(G2637=1,F2637,CEILING(F2637,1))</f>
        <v/>
      </c>
      <c r="I2637">
        <f>IF(G2637=1,0,(H2637-F2637)*E2637)</f>
        <v/>
      </c>
      <c r="J2637">
        <f>E2637*F2637</f>
        <v/>
      </c>
    </row>
    <row r="2638">
      <c r="A2638">
        <f>Sources!A2638</f>
        <v/>
      </c>
      <c r="B2638">
        <f>Sources!B2638</f>
        <v/>
      </c>
      <c r="C2638">
        <f>Sources!D2638</f>
        <v/>
      </c>
      <c r="D2638">
        <f>Sources!E2638</f>
        <v/>
      </c>
      <c r="E2638">
        <f>Sources!F2638</f>
        <v/>
      </c>
      <c r="F2638">
        <f>Sources!H2638</f>
        <v/>
      </c>
      <c r="G2638">
        <f>IF(ABS(F2638-ROUND(F2638,0))&lt;0.001,1,0)</f>
        <v/>
      </c>
      <c r="H2638">
        <f>IF(G2638=1,F2638,CEILING(F2638,1))</f>
        <v/>
      </c>
      <c r="I2638">
        <f>IF(G2638=1,0,(H2638-F2638)*E2638)</f>
        <v/>
      </c>
      <c r="J2638">
        <f>E2638*F2638</f>
        <v/>
      </c>
    </row>
    <row r="2639">
      <c r="A2639">
        <f>Sources!A2639</f>
        <v/>
      </c>
      <c r="B2639">
        <f>Sources!B2639</f>
        <v/>
      </c>
      <c r="C2639">
        <f>Sources!D2639</f>
        <v/>
      </c>
      <c r="D2639">
        <f>Sources!E2639</f>
        <v/>
      </c>
      <c r="E2639">
        <f>Sources!F2639</f>
        <v/>
      </c>
      <c r="F2639">
        <f>Sources!H2639</f>
        <v/>
      </c>
      <c r="G2639">
        <f>IF(ABS(F2639-ROUND(F2639,0))&lt;0.001,1,0)</f>
        <v/>
      </c>
      <c r="H2639">
        <f>IF(G2639=1,F2639,CEILING(F2639,1))</f>
        <v/>
      </c>
      <c r="I2639">
        <f>IF(G2639=1,0,(H2639-F2639)*E2639)</f>
        <v/>
      </c>
      <c r="J2639">
        <f>E2639*F2639</f>
        <v/>
      </c>
    </row>
    <row r="2640">
      <c r="A2640">
        <f>Sources!A2640</f>
        <v/>
      </c>
      <c r="B2640">
        <f>Sources!B2640</f>
        <v/>
      </c>
      <c r="C2640">
        <f>Sources!D2640</f>
        <v/>
      </c>
      <c r="D2640">
        <f>Sources!E2640</f>
        <v/>
      </c>
      <c r="E2640">
        <f>Sources!F2640</f>
        <v/>
      </c>
      <c r="F2640">
        <f>Sources!H2640</f>
        <v/>
      </c>
      <c r="G2640">
        <f>IF(ABS(F2640-ROUND(F2640,0))&lt;0.001,1,0)</f>
        <v/>
      </c>
      <c r="H2640">
        <f>IF(G2640=1,F2640,CEILING(F2640,1))</f>
        <v/>
      </c>
      <c r="I2640">
        <f>IF(G2640=1,0,(H2640-F2640)*E2640)</f>
        <v/>
      </c>
      <c r="J2640">
        <f>E2640*F2640</f>
        <v/>
      </c>
    </row>
    <row r="2641">
      <c r="A2641">
        <f>Sources!A2641</f>
        <v/>
      </c>
      <c r="B2641">
        <f>Sources!B2641</f>
        <v/>
      </c>
      <c r="C2641">
        <f>Sources!D2641</f>
        <v/>
      </c>
      <c r="D2641">
        <f>Sources!E2641</f>
        <v/>
      </c>
      <c r="E2641">
        <f>Sources!F2641</f>
        <v/>
      </c>
      <c r="F2641">
        <f>Sources!H2641</f>
        <v/>
      </c>
      <c r="G2641">
        <f>IF(ABS(F2641-ROUND(F2641,0))&lt;0.001,1,0)</f>
        <v/>
      </c>
      <c r="H2641">
        <f>IF(G2641=1,F2641,CEILING(F2641,1))</f>
        <v/>
      </c>
      <c r="I2641">
        <f>IF(G2641=1,0,(H2641-F2641)*E2641)</f>
        <v/>
      </c>
      <c r="J2641">
        <f>E2641*F2641</f>
        <v/>
      </c>
    </row>
    <row r="2642">
      <c r="A2642">
        <f>Sources!A2642</f>
        <v/>
      </c>
      <c r="B2642">
        <f>Sources!B2642</f>
        <v/>
      </c>
      <c r="C2642">
        <f>Sources!D2642</f>
        <v/>
      </c>
      <c r="D2642">
        <f>Sources!E2642</f>
        <v/>
      </c>
      <c r="E2642">
        <f>Sources!F2642</f>
        <v/>
      </c>
      <c r="F2642">
        <f>Sources!H2642</f>
        <v/>
      </c>
      <c r="G2642">
        <f>IF(ABS(F2642-ROUND(F2642,0))&lt;0.001,1,0)</f>
        <v/>
      </c>
      <c r="H2642">
        <f>IF(G2642=1,F2642,CEILING(F2642,1))</f>
        <v/>
      </c>
      <c r="I2642">
        <f>IF(G2642=1,0,(H2642-F2642)*E2642)</f>
        <v/>
      </c>
      <c r="J2642">
        <f>E2642*F2642</f>
        <v/>
      </c>
    </row>
    <row r="2643">
      <c r="A2643">
        <f>Sources!A2643</f>
        <v/>
      </c>
      <c r="B2643">
        <f>Sources!B2643</f>
        <v/>
      </c>
      <c r="C2643">
        <f>Sources!D2643</f>
        <v/>
      </c>
      <c r="D2643">
        <f>Sources!E2643</f>
        <v/>
      </c>
      <c r="E2643">
        <f>Sources!F2643</f>
        <v/>
      </c>
      <c r="F2643">
        <f>Sources!H2643</f>
        <v/>
      </c>
      <c r="G2643">
        <f>IF(ABS(F2643-ROUND(F2643,0))&lt;0.001,1,0)</f>
        <v/>
      </c>
      <c r="H2643">
        <f>IF(G2643=1,F2643,CEILING(F2643,1))</f>
        <v/>
      </c>
      <c r="I2643">
        <f>IF(G2643=1,0,(H2643-F2643)*E2643)</f>
        <v/>
      </c>
      <c r="J2643">
        <f>E2643*F2643</f>
        <v/>
      </c>
    </row>
    <row r="2644">
      <c r="A2644">
        <f>Sources!A2644</f>
        <v/>
      </c>
      <c r="B2644">
        <f>Sources!B2644</f>
        <v/>
      </c>
      <c r="C2644">
        <f>Sources!D2644</f>
        <v/>
      </c>
      <c r="D2644">
        <f>Sources!E2644</f>
        <v/>
      </c>
      <c r="E2644">
        <f>Sources!F2644</f>
        <v/>
      </c>
      <c r="F2644">
        <f>Sources!H2644</f>
        <v/>
      </c>
      <c r="G2644">
        <f>IF(ABS(F2644-ROUND(F2644,0))&lt;0.001,1,0)</f>
        <v/>
      </c>
      <c r="H2644">
        <f>IF(G2644=1,F2644,CEILING(F2644,1))</f>
        <v/>
      </c>
      <c r="I2644">
        <f>IF(G2644=1,0,(H2644-F2644)*E2644)</f>
        <v/>
      </c>
      <c r="J2644">
        <f>E2644*F2644</f>
        <v/>
      </c>
    </row>
    <row r="2645">
      <c r="A2645">
        <f>Sources!A2645</f>
        <v/>
      </c>
      <c r="B2645">
        <f>Sources!B2645</f>
        <v/>
      </c>
      <c r="C2645">
        <f>Sources!D2645</f>
        <v/>
      </c>
      <c r="D2645">
        <f>Sources!E2645</f>
        <v/>
      </c>
      <c r="E2645">
        <f>Sources!F2645</f>
        <v/>
      </c>
      <c r="F2645">
        <f>Sources!H2645</f>
        <v/>
      </c>
      <c r="G2645">
        <f>IF(ABS(F2645-ROUND(F2645,0))&lt;0.001,1,0)</f>
        <v/>
      </c>
      <c r="H2645">
        <f>IF(G2645=1,F2645,CEILING(F2645,1))</f>
        <v/>
      </c>
      <c r="I2645">
        <f>IF(G2645=1,0,(H2645-F2645)*E2645)</f>
        <v/>
      </c>
      <c r="J2645">
        <f>E2645*F2645</f>
        <v/>
      </c>
    </row>
    <row r="2646">
      <c r="A2646">
        <f>Sources!A2646</f>
        <v/>
      </c>
      <c r="B2646">
        <f>Sources!B2646</f>
        <v/>
      </c>
      <c r="C2646">
        <f>Sources!D2646</f>
        <v/>
      </c>
      <c r="D2646">
        <f>Sources!E2646</f>
        <v/>
      </c>
      <c r="E2646">
        <f>Sources!F2646</f>
        <v/>
      </c>
      <c r="F2646">
        <f>Sources!H2646</f>
        <v/>
      </c>
      <c r="G2646">
        <f>IF(ABS(F2646-ROUND(F2646,0))&lt;0.001,1,0)</f>
        <v/>
      </c>
      <c r="H2646">
        <f>IF(G2646=1,F2646,CEILING(F2646,1))</f>
        <v/>
      </c>
      <c r="I2646">
        <f>IF(G2646=1,0,(H2646-F2646)*E2646)</f>
        <v/>
      </c>
      <c r="J2646">
        <f>E2646*F2646</f>
        <v/>
      </c>
    </row>
    <row r="2647">
      <c r="A2647">
        <f>Sources!A2647</f>
        <v/>
      </c>
      <c r="B2647">
        <f>Sources!B2647</f>
        <v/>
      </c>
      <c r="C2647">
        <f>Sources!D2647</f>
        <v/>
      </c>
      <c r="D2647">
        <f>Sources!E2647</f>
        <v/>
      </c>
      <c r="E2647">
        <f>Sources!F2647</f>
        <v/>
      </c>
      <c r="F2647">
        <f>Sources!H2647</f>
        <v/>
      </c>
      <c r="G2647">
        <f>IF(ABS(F2647-ROUND(F2647,0))&lt;0.001,1,0)</f>
        <v/>
      </c>
      <c r="H2647">
        <f>IF(G2647=1,F2647,CEILING(F2647,1))</f>
        <v/>
      </c>
      <c r="I2647">
        <f>IF(G2647=1,0,(H2647-F2647)*E2647)</f>
        <v/>
      </c>
      <c r="J2647">
        <f>E2647*F2647</f>
        <v/>
      </c>
    </row>
    <row r="2648">
      <c r="A2648">
        <f>Sources!A2648</f>
        <v/>
      </c>
      <c r="B2648">
        <f>Sources!B2648</f>
        <v/>
      </c>
      <c r="C2648">
        <f>Sources!D2648</f>
        <v/>
      </c>
      <c r="D2648">
        <f>Sources!E2648</f>
        <v/>
      </c>
      <c r="E2648">
        <f>Sources!F2648</f>
        <v/>
      </c>
      <c r="F2648">
        <f>Sources!H2648</f>
        <v/>
      </c>
      <c r="G2648">
        <f>IF(ABS(F2648-ROUND(F2648,0))&lt;0.001,1,0)</f>
        <v/>
      </c>
      <c r="H2648">
        <f>IF(G2648=1,F2648,CEILING(F2648,1))</f>
        <v/>
      </c>
      <c r="I2648">
        <f>IF(G2648=1,0,(H2648-F2648)*E2648)</f>
        <v/>
      </c>
      <c r="J2648">
        <f>E2648*F2648</f>
        <v/>
      </c>
    </row>
    <row r="2649">
      <c r="A2649">
        <f>Sources!A2649</f>
        <v/>
      </c>
      <c r="B2649">
        <f>Sources!B2649</f>
        <v/>
      </c>
      <c r="C2649">
        <f>Sources!D2649</f>
        <v/>
      </c>
      <c r="D2649">
        <f>Sources!E2649</f>
        <v/>
      </c>
      <c r="E2649">
        <f>Sources!F2649</f>
        <v/>
      </c>
      <c r="F2649">
        <f>Sources!H2649</f>
        <v/>
      </c>
      <c r="G2649">
        <f>IF(ABS(F2649-ROUND(F2649,0))&lt;0.001,1,0)</f>
        <v/>
      </c>
      <c r="H2649">
        <f>IF(G2649=1,F2649,CEILING(F2649,1))</f>
        <v/>
      </c>
      <c r="I2649">
        <f>IF(G2649=1,0,(H2649-F2649)*E2649)</f>
        <v/>
      </c>
      <c r="J2649">
        <f>E2649*F2649</f>
        <v/>
      </c>
    </row>
    <row r="2650">
      <c r="A2650">
        <f>Sources!A2650</f>
        <v/>
      </c>
      <c r="B2650">
        <f>Sources!B2650</f>
        <v/>
      </c>
      <c r="C2650">
        <f>Sources!D2650</f>
        <v/>
      </c>
      <c r="D2650">
        <f>Sources!E2650</f>
        <v/>
      </c>
      <c r="E2650">
        <f>Sources!F2650</f>
        <v/>
      </c>
      <c r="F2650">
        <f>Sources!H2650</f>
        <v/>
      </c>
      <c r="G2650">
        <f>IF(ABS(F2650-ROUND(F2650,0))&lt;0.001,1,0)</f>
        <v/>
      </c>
      <c r="H2650">
        <f>IF(G2650=1,F2650,CEILING(F2650,1))</f>
        <v/>
      </c>
      <c r="I2650">
        <f>IF(G2650=1,0,(H2650-F2650)*E2650)</f>
        <v/>
      </c>
      <c r="J2650">
        <f>E2650*F2650</f>
        <v/>
      </c>
    </row>
    <row r="2651">
      <c r="A2651">
        <f>Sources!A2651</f>
        <v/>
      </c>
      <c r="B2651">
        <f>Sources!B2651</f>
        <v/>
      </c>
      <c r="C2651">
        <f>Sources!D2651</f>
        <v/>
      </c>
      <c r="D2651">
        <f>Sources!E2651</f>
        <v/>
      </c>
      <c r="E2651">
        <f>Sources!F2651</f>
        <v/>
      </c>
      <c r="F2651">
        <f>Sources!H2651</f>
        <v/>
      </c>
      <c r="G2651">
        <f>IF(ABS(F2651-ROUND(F2651,0))&lt;0.001,1,0)</f>
        <v/>
      </c>
      <c r="H2651">
        <f>IF(G2651=1,F2651,CEILING(F2651,1))</f>
        <v/>
      </c>
      <c r="I2651">
        <f>IF(G2651=1,0,(H2651-F2651)*E2651)</f>
        <v/>
      </c>
      <c r="J2651">
        <f>E2651*F2651</f>
        <v/>
      </c>
    </row>
    <row r="2652">
      <c r="A2652">
        <f>Sources!A2652</f>
        <v/>
      </c>
      <c r="B2652">
        <f>Sources!B2652</f>
        <v/>
      </c>
      <c r="C2652">
        <f>Sources!D2652</f>
        <v/>
      </c>
      <c r="D2652">
        <f>Sources!E2652</f>
        <v/>
      </c>
      <c r="E2652">
        <f>Sources!F2652</f>
        <v/>
      </c>
      <c r="F2652">
        <f>Sources!H2652</f>
        <v/>
      </c>
      <c r="G2652">
        <f>IF(ABS(F2652-ROUND(F2652,0))&lt;0.001,1,0)</f>
        <v/>
      </c>
      <c r="H2652">
        <f>IF(G2652=1,F2652,CEILING(F2652,1))</f>
        <v/>
      </c>
      <c r="I2652">
        <f>IF(G2652=1,0,(H2652-F2652)*E2652)</f>
        <v/>
      </c>
      <c r="J2652">
        <f>E2652*F2652</f>
        <v/>
      </c>
    </row>
    <row r="2653">
      <c r="A2653">
        <f>Sources!A2653</f>
        <v/>
      </c>
      <c r="B2653">
        <f>Sources!B2653</f>
        <v/>
      </c>
      <c r="C2653">
        <f>Sources!D2653</f>
        <v/>
      </c>
      <c r="D2653">
        <f>Sources!E2653</f>
        <v/>
      </c>
      <c r="E2653">
        <f>Sources!F2653</f>
        <v/>
      </c>
      <c r="F2653">
        <f>Sources!H2653</f>
        <v/>
      </c>
      <c r="G2653">
        <f>IF(ABS(F2653-ROUND(F2653,0))&lt;0.001,1,0)</f>
        <v/>
      </c>
      <c r="H2653">
        <f>IF(G2653=1,F2653,CEILING(F2653,1))</f>
        <v/>
      </c>
      <c r="I2653">
        <f>IF(G2653=1,0,(H2653-F2653)*E2653)</f>
        <v/>
      </c>
      <c r="J2653">
        <f>E2653*F2653</f>
        <v/>
      </c>
    </row>
    <row r="2654">
      <c r="A2654">
        <f>Sources!A2654</f>
        <v/>
      </c>
      <c r="B2654">
        <f>Sources!B2654</f>
        <v/>
      </c>
      <c r="C2654">
        <f>Sources!D2654</f>
        <v/>
      </c>
      <c r="D2654">
        <f>Sources!E2654</f>
        <v/>
      </c>
      <c r="E2654">
        <f>Sources!F2654</f>
        <v/>
      </c>
      <c r="F2654">
        <f>Sources!H2654</f>
        <v/>
      </c>
      <c r="G2654">
        <f>IF(ABS(F2654-ROUND(F2654,0))&lt;0.001,1,0)</f>
        <v/>
      </c>
      <c r="H2654">
        <f>IF(G2654=1,F2654,CEILING(F2654,1))</f>
        <v/>
      </c>
      <c r="I2654">
        <f>IF(G2654=1,0,(H2654-F2654)*E2654)</f>
        <v/>
      </c>
      <c r="J2654">
        <f>E2654*F2654</f>
        <v/>
      </c>
    </row>
    <row r="2655">
      <c r="A2655">
        <f>Sources!A2655</f>
        <v/>
      </c>
      <c r="B2655">
        <f>Sources!B2655</f>
        <v/>
      </c>
      <c r="C2655">
        <f>Sources!D2655</f>
        <v/>
      </c>
      <c r="D2655">
        <f>Sources!E2655</f>
        <v/>
      </c>
      <c r="E2655">
        <f>Sources!F2655</f>
        <v/>
      </c>
      <c r="F2655">
        <f>Sources!H2655</f>
        <v/>
      </c>
      <c r="G2655">
        <f>IF(ABS(F2655-ROUND(F2655,0))&lt;0.001,1,0)</f>
        <v/>
      </c>
      <c r="H2655">
        <f>IF(G2655=1,F2655,CEILING(F2655,1))</f>
        <v/>
      </c>
      <c r="I2655">
        <f>IF(G2655=1,0,(H2655-F2655)*E2655)</f>
        <v/>
      </c>
      <c r="J2655">
        <f>E2655*F2655</f>
        <v/>
      </c>
    </row>
    <row r="2656">
      <c r="A2656">
        <f>Sources!A2656</f>
        <v/>
      </c>
      <c r="B2656">
        <f>Sources!B2656</f>
        <v/>
      </c>
      <c r="C2656">
        <f>Sources!D2656</f>
        <v/>
      </c>
      <c r="D2656">
        <f>Sources!E2656</f>
        <v/>
      </c>
      <c r="E2656">
        <f>Sources!F2656</f>
        <v/>
      </c>
      <c r="F2656">
        <f>Sources!H2656</f>
        <v/>
      </c>
      <c r="G2656">
        <f>IF(ABS(F2656-ROUND(F2656,0))&lt;0.001,1,0)</f>
        <v/>
      </c>
      <c r="H2656">
        <f>IF(G2656=1,F2656,CEILING(F2656,1))</f>
        <v/>
      </c>
      <c r="I2656">
        <f>IF(G2656=1,0,(H2656-F2656)*E2656)</f>
        <v/>
      </c>
      <c r="J2656">
        <f>E2656*F2656</f>
        <v/>
      </c>
    </row>
    <row r="2657">
      <c r="A2657">
        <f>Sources!A2657</f>
        <v/>
      </c>
      <c r="B2657">
        <f>Sources!B2657</f>
        <v/>
      </c>
      <c r="C2657">
        <f>Sources!D2657</f>
        <v/>
      </c>
      <c r="D2657">
        <f>Sources!E2657</f>
        <v/>
      </c>
      <c r="E2657">
        <f>Sources!F2657</f>
        <v/>
      </c>
      <c r="F2657">
        <f>Sources!H2657</f>
        <v/>
      </c>
      <c r="G2657">
        <f>IF(ABS(F2657-ROUND(F2657,0))&lt;0.001,1,0)</f>
        <v/>
      </c>
      <c r="H2657">
        <f>IF(G2657=1,F2657,CEILING(F2657,1))</f>
        <v/>
      </c>
      <c r="I2657">
        <f>IF(G2657=1,0,(H2657-F2657)*E2657)</f>
        <v/>
      </c>
      <c r="J2657">
        <f>E2657*F2657</f>
        <v/>
      </c>
    </row>
    <row r="2658">
      <c r="A2658">
        <f>Sources!A2658</f>
        <v/>
      </c>
      <c r="B2658">
        <f>Sources!B2658</f>
        <v/>
      </c>
      <c r="C2658">
        <f>Sources!D2658</f>
        <v/>
      </c>
      <c r="D2658">
        <f>Sources!E2658</f>
        <v/>
      </c>
      <c r="E2658">
        <f>Sources!F2658</f>
        <v/>
      </c>
      <c r="F2658">
        <f>Sources!H2658</f>
        <v/>
      </c>
      <c r="G2658">
        <f>IF(ABS(F2658-ROUND(F2658,0))&lt;0.001,1,0)</f>
        <v/>
      </c>
      <c r="H2658">
        <f>IF(G2658=1,F2658,CEILING(F2658,1))</f>
        <v/>
      </c>
      <c r="I2658">
        <f>IF(G2658=1,0,(H2658-F2658)*E2658)</f>
        <v/>
      </c>
      <c r="J2658">
        <f>E2658*F2658</f>
        <v/>
      </c>
    </row>
    <row r="2659">
      <c r="A2659">
        <f>Sources!A2659</f>
        <v/>
      </c>
      <c r="B2659">
        <f>Sources!B2659</f>
        <v/>
      </c>
      <c r="C2659">
        <f>Sources!D2659</f>
        <v/>
      </c>
      <c r="D2659">
        <f>Sources!E2659</f>
        <v/>
      </c>
      <c r="E2659">
        <f>Sources!F2659</f>
        <v/>
      </c>
      <c r="F2659">
        <f>Sources!H2659</f>
        <v/>
      </c>
      <c r="G2659">
        <f>IF(ABS(F2659-ROUND(F2659,0))&lt;0.001,1,0)</f>
        <v/>
      </c>
      <c r="H2659">
        <f>IF(G2659=1,F2659,CEILING(F2659,1))</f>
        <v/>
      </c>
      <c r="I2659">
        <f>IF(G2659=1,0,(H2659-F2659)*E2659)</f>
        <v/>
      </c>
      <c r="J2659">
        <f>E2659*F2659</f>
        <v/>
      </c>
    </row>
    <row r="2660">
      <c r="A2660">
        <f>Sources!A2660</f>
        <v/>
      </c>
      <c r="B2660">
        <f>Sources!B2660</f>
        <v/>
      </c>
      <c r="C2660">
        <f>Sources!D2660</f>
        <v/>
      </c>
      <c r="D2660">
        <f>Sources!E2660</f>
        <v/>
      </c>
      <c r="E2660">
        <f>Sources!F2660</f>
        <v/>
      </c>
      <c r="F2660">
        <f>Sources!H2660</f>
        <v/>
      </c>
      <c r="G2660">
        <f>IF(ABS(F2660-ROUND(F2660,0))&lt;0.001,1,0)</f>
        <v/>
      </c>
      <c r="H2660">
        <f>IF(G2660=1,F2660,CEILING(F2660,1))</f>
        <v/>
      </c>
      <c r="I2660">
        <f>IF(G2660=1,0,(H2660-F2660)*E2660)</f>
        <v/>
      </c>
      <c r="J2660">
        <f>E2660*F2660</f>
        <v/>
      </c>
    </row>
    <row r="2661">
      <c r="A2661">
        <f>Sources!A2661</f>
        <v/>
      </c>
      <c r="B2661">
        <f>Sources!B2661</f>
        <v/>
      </c>
      <c r="C2661">
        <f>Sources!D2661</f>
        <v/>
      </c>
      <c r="D2661">
        <f>Sources!E2661</f>
        <v/>
      </c>
      <c r="E2661">
        <f>Sources!F2661</f>
        <v/>
      </c>
      <c r="F2661">
        <f>Sources!H2661</f>
        <v/>
      </c>
      <c r="G2661">
        <f>IF(ABS(F2661-ROUND(F2661,0))&lt;0.001,1,0)</f>
        <v/>
      </c>
      <c r="H2661">
        <f>IF(G2661=1,F2661,CEILING(F2661,1))</f>
        <v/>
      </c>
      <c r="I2661">
        <f>IF(G2661=1,0,(H2661-F2661)*E2661)</f>
        <v/>
      </c>
      <c r="J2661">
        <f>E2661*F2661</f>
        <v/>
      </c>
    </row>
    <row r="2662">
      <c r="A2662">
        <f>Sources!A2662</f>
        <v/>
      </c>
      <c r="B2662">
        <f>Sources!B2662</f>
        <v/>
      </c>
      <c r="C2662">
        <f>Sources!D2662</f>
        <v/>
      </c>
      <c r="D2662">
        <f>Sources!E2662</f>
        <v/>
      </c>
      <c r="E2662">
        <f>Sources!F2662</f>
        <v/>
      </c>
      <c r="F2662">
        <f>Sources!H2662</f>
        <v/>
      </c>
      <c r="G2662">
        <f>IF(ABS(F2662-ROUND(F2662,0))&lt;0.001,1,0)</f>
        <v/>
      </c>
      <c r="H2662">
        <f>IF(G2662=1,F2662,CEILING(F2662,1))</f>
        <v/>
      </c>
      <c r="I2662">
        <f>IF(G2662=1,0,(H2662-F2662)*E2662)</f>
        <v/>
      </c>
      <c r="J2662">
        <f>E2662*F2662</f>
        <v/>
      </c>
    </row>
    <row r="2663">
      <c r="A2663">
        <f>Sources!A2663</f>
        <v/>
      </c>
      <c r="B2663">
        <f>Sources!B2663</f>
        <v/>
      </c>
      <c r="C2663">
        <f>Sources!D2663</f>
        <v/>
      </c>
      <c r="D2663">
        <f>Sources!E2663</f>
        <v/>
      </c>
      <c r="E2663">
        <f>Sources!F2663</f>
        <v/>
      </c>
      <c r="F2663">
        <f>Sources!H2663</f>
        <v/>
      </c>
      <c r="G2663">
        <f>IF(ABS(F2663-ROUND(F2663,0))&lt;0.001,1,0)</f>
        <v/>
      </c>
      <c r="H2663">
        <f>IF(G2663=1,F2663,CEILING(F2663,1))</f>
        <v/>
      </c>
      <c r="I2663">
        <f>IF(G2663=1,0,(H2663-F2663)*E2663)</f>
        <v/>
      </c>
      <c r="J2663">
        <f>E2663*F2663</f>
        <v/>
      </c>
    </row>
    <row r="2664">
      <c r="A2664">
        <f>Sources!A2664</f>
        <v/>
      </c>
      <c r="B2664">
        <f>Sources!B2664</f>
        <v/>
      </c>
      <c r="C2664">
        <f>Sources!D2664</f>
        <v/>
      </c>
      <c r="D2664">
        <f>Sources!E2664</f>
        <v/>
      </c>
      <c r="E2664">
        <f>Sources!F2664</f>
        <v/>
      </c>
      <c r="F2664">
        <f>Sources!H2664</f>
        <v/>
      </c>
      <c r="G2664">
        <f>IF(ABS(F2664-ROUND(F2664,0))&lt;0.001,1,0)</f>
        <v/>
      </c>
      <c r="H2664">
        <f>IF(G2664=1,F2664,CEILING(F2664,1))</f>
        <v/>
      </c>
      <c r="I2664">
        <f>IF(G2664=1,0,(H2664-F2664)*E2664)</f>
        <v/>
      </c>
      <c r="J2664">
        <f>E2664*F2664</f>
        <v/>
      </c>
    </row>
    <row r="2665">
      <c r="A2665">
        <f>Sources!A2665</f>
        <v/>
      </c>
      <c r="B2665">
        <f>Sources!B2665</f>
        <v/>
      </c>
      <c r="C2665">
        <f>Sources!D2665</f>
        <v/>
      </c>
      <c r="D2665">
        <f>Sources!E2665</f>
        <v/>
      </c>
      <c r="E2665">
        <f>Sources!F2665</f>
        <v/>
      </c>
      <c r="F2665">
        <f>Sources!H2665</f>
        <v/>
      </c>
      <c r="G2665">
        <f>IF(ABS(F2665-ROUND(F2665,0))&lt;0.001,1,0)</f>
        <v/>
      </c>
      <c r="H2665">
        <f>IF(G2665=1,F2665,CEILING(F2665,1))</f>
        <v/>
      </c>
      <c r="I2665">
        <f>IF(G2665=1,0,(H2665-F2665)*E2665)</f>
        <v/>
      </c>
      <c r="J2665">
        <f>E2665*F2665</f>
        <v/>
      </c>
    </row>
    <row r="2666">
      <c r="A2666">
        <f>Sources!A2666</f>
        <v/>
      </c>
      <c r="B2666">
        <f>Sources!B2666</f>
        <v/>
      </c>
      <c r="C2666">
        <f>Sources!D2666</f>
        <v/>
      </c>
      <c r="D2666">
        <f>Sources!E2666</f>
        <v/>
      </c>
      <c r="E2666">
        <f>Sources!F2666</f>
        <v/>
      </c>
      <c r="F2666">
        <f>Sources!H2666</f>
        <v/>
      </c>
      <c r="G2666">
        <f>IF(ABS(F2666-ROUND(F2666,0))&lt;0.001,1,0)</f>
        <v/>
      </c>
      <c r="H2666">
        <f>IF(G2666=1,F2666,CEILING(F2666,1))</f>
        <v/>
      </c>
      <c r="I2666">
        <f>IF(G2666=1,0,(H2666-F2666)*E2666)</f>
        <v/>
      </c>
      <c r="J2666">
        <f>E2666*F2666</f>
        <v/>
      </c>
    </row>
    <row r="2667">
      <c r="A2667">
        <f>Sources!A2667</f>
        <v/>
      </c>
      <c r="B2667">
        <f>Sources!B2667</f>
        <v/>
      </c>
      <c r="C2667">
        <f>Sources!D2667</f>
        <v/>
      </c>
      <c r="D2667">
        <f>Sources!E2667</f>
        <v/>
      </c>
      <c r="E2667">
        <f>Sources!F2667</f>
        <v/>
      </c>
      <c r="F2667">
        <f>Sources!H2667</f>
        <v/>
      </c>
      <c r="G2667">
        <f>IF(ABS(F2667-ROUND(F2667,0))&lt;0.001,1,0)</f>
        <v/>
      </c>
      <c r="H2667">
        <f>IF(G2667=1,F2667,CEILING(F2667,1))</f>
        <v/>
      </c>
      <c r="I2667">
        <f>IF(G2667=1,0,(H2667-F2667)*E2667)</f>
        <v/>
      </c>
      <c r="J2667">
        <f>E2667*F2667</f>
        <v/>
      </c>
    </row>
    <row r="2668">
      <c r="A2668">
        <f>Sources!A2668</f>
        <v/>
      </c>
      <c r="B2668">
        <f>Sources!B2668</f>
        <v/>
      </c>
      <c r="C2668">
        <f>Sources!D2668</f>
        <v/>
      </c>
      <c r="D2668">
        <f>Sources!E2668</f>
        <v/>
      </c>
      <c r="E2668">
        <f>Sources!F2668</f>
        <v/>
      </c>
      <c r="F2668">
        <f>Sources!H2668</f>
        <v/>
      </c>
      <c r="G2668">
        <f>IF(ABS(F2668-ROUND(F2668,0))&lt;0.001,1,0)</f>
        <v/>
      </c>
      <c r="H2668">
        <f>IF(G2668=1,F2668,CEILING(F2668,1))</f>
        <v/>
      </c>
      <c r="I2668">
        <f>IF(G2668=1,0,(H2668-F2668)*E2668)</f>
        <v/>
      </c>
      <c r="J2668">
        <f>E2668*F2668</f>
        <v/>
      </c>
    </row>
    <row r="2669">
      <c r="A2669">
        <f>Sources!A2669</f>
        <v/>
      </c>
      <c r="B2669">
        <f>Sources!B2669</f>
        <v/>
      </c>
      <c r="C2669">
        <f>Sources!D2669</f>
        <v/>
      </c>
      <c r="D2669">
        <f>Sources!E2669</f>
        <v/>
      </c>
      <c r="E2669">
        <f>Sources!F2669</f>
        <v/>
      </c>
      <c r="F2669">
        <f>Sources!H2669</f>
        <v/>
      </c>
      <c r="G2669">
        <f>IF(ABS(F2669-ROUND(F2669,0))&lt;0.001,1,0)</f>
        <v/>
      </c>
      <c r="H2669">
        <f>IF(G2669=1,F2669,CEILING(F2669,1))</f>
        <v/>
      </c>
      <c r="I2669">
        <f>IF(G2669=1,0,(H2669-F2669)*E2669)</f>
        <v/>
      </c>
      <c r="J2669">
        <f>E2669*F2669</f>
        <v/>
      </c>
    </row>
    <row r="2670">
      <c r="A2670">
        <f>Sources!A2670</f>
        <v/>
      </c>
      <c r="B2670">
        <f>Sources!B2670</f>
        <v/>
      </c>
      <c r="C2670">
        <f>Sources!D2670</f>
        <v/>
      </c>
      <c r="D2670">
        <f>Sources!E2670</f>
        <v/>
      </c>
      <c r="E2670">
        <f>Sources!F2670</f>
        <v/>
      </c>
      <c r="F2670">
        <f>Sources!H2670</f>
        <v/>
      </c>
      <c r="G2670">
        <f>IF(ABS(F2670-ROUND(F2670,0))&lt;0.001,1,0)</f>
        <v/>
      </c>
      <c r="H2670">
        <f>IF(G2670=1,F2670,CEILING(F2670,1))</f>
        <v/>
      </c>
      <c r="I2670">
        <f>IF(G2670=1,0,(H2670-F2670)*E2670)</f>
        <v/>
      </c>
      <c r="J2670">
        <f>E2670*F2670</f>
        <v/>
      </c>
    </row>
    <row r="2671">
      <c r="A2671">
        <f>Sources!A2671</f>
        <v/>
      </c>
      <c r="B2671">
        <f>Sources!B2671</f>
        <v/>
      </c>
      <c r="C2671">
        <f>Sources!D2671</f>
        <v/>
      </c>
      <c r="D2671">
        <f>Sources!E2671</f>
        <v/>
      </c>
      <c r="E2671">
        <f>Sources!F2671</f>
        <v/>
      </c>
      <c r="F2671">
        <f>Sources!H2671</f>
        <v/>
      </c>
      <c r="G2671">
        <f>IF(ABS(F2671-ROUND(F2671,0))&lt;0.001,1,0)</f>
        <v/>
      </c>
      <c r="H2671">
        <f>IF(G2671=1,F2671,CEILING(F2671,1))</f>
        <v/>
      </c>
      <c r="I2671">
        <f>IF(G2671=1,0,(H2671-F2671)*E2671)</f>
        <v/>
      </c>
      <c r="J2671">
        <f>E2671*F2671</f>
        <v/>
      </c>
    </row>
    <row r="2672">
      <c r="A2672">
        <f>Sources!A2672</f>
        <v/>
      </c>
      <c r="B2672">
        <f>Sources!B2672</f>
        <v/>
      </c>
      <c r="C2672">
        <f>Sources!D2672</f>
        <v/>
      </c>
      <c r="D2672">
        <f>Sources!E2672</f>
        <v/>
      </c>
      <c r="E2672">
        <f>Sources!F2672</f>
        <v/>
      </c>
      <c r="F2672">
        <f>Sources!H2672</f>
        <v/>
      </c>
      <c r="G2672">
        <f>IF(ABS(F2672-ROUND(F2672,0))&lt;0.001,1,0)</f>
        <v/>
      </c>
      <c r="H2672">
        <f>IF(G2672=1,F2672,CEILING(F2672,1))</f>
        <v/>
      </c>
      <c r="I2672">
        <f>IF(G2672=1,0,(H2672-F2672)*E2672)</f>
        <v/>
      </c>
      <c r="J2672">
        <f>E2672*F2672</f>
        <v/>
      </c>
    </row>
    <row r="2673">
      <c r="A2673">
        <f>Sources!A2673</f>
        <v/>
      </c>
      <c r="B2673">
        <f>Sources!B2673</f>
        <v/>
      </c>
      <c r="C2673">
        <f>Sources!D2673</f>
        <v/>
      </c>
      <c r="D2673">
        <f>Sources!E2673</f>
        <v/>
      </c>
      <c r="E2673">
        <f>Sources!F2673</f>
        <v/>
      </c>
      <c r="F2673">
        <f>Sources!H2673</f>
        <v/>
      </c>
      <c r="G2673">
        <f>IF(ABS(F2673-ROUND(F2673,0))&lt;0.001,1,0)</f>
        <v/>
      </c>
      <c r="H2673">
        <f>IF(G2673=1,F2673,CEILING(F2673,1))</f>
        <v/>
      </c>
      <c r="I2673">
        <f>IF(G2673=1,0,(H2673-F2673)*E2673)</f>
        <v/>
      </c>
      <c r="J2673">
        <f>E2673*F2673</f>
        <v/>
      </c>
    </row>
    <row r="2674">
      <c r="A2674">
        <f>Sources!A2674</f>
        <v/>
      </c>
      <c r="B2674">
        <f>Sources!B2674</f>
        <v/>
      </c>
      <c r="C2674">
        <f>Sources!D2674</f>
        <v/>
      </c>
      <c r="D2674">
        <f>Sources!E2674</f>
        <v/>
      </c>
      <c r="E2674">
        <f>Sources!F2674</f>
        <v/>
      </c>
      <c r="F2674">
        <f>Sources!H2674</f>
        <v/>
      </c>
      <c r="G2674">
        <f>IF(ABS(F2674-ROUND(F2674,0))&lt;0.001,1,0)</f>
        <v/>
      </c>
      <c r="H2674">
        <f>IF(G2674=1,F2674,CEILING(F2674,1))</f>
        <v/>
      </c>
      <c r="I2674">
        <f>IF(G2674=1,0,(H2674-F2674)*E2674)</f>
        <v/>
      </c>
      <c r="J2674">
        <f>E2674*F2674</f>
        <v/>
      </c>
    </row>
    <row r="2675">
      <c r="A2675">
        <f>Sources!A2675</f>
        <v/>
      </c>
      <c r="B2675">
        <f>Sources!B2675</f>
        <v/>
      </c>
      <c r="C2675">
        <f>Sources!D2675</f>
        <v/>
      </c>
      <c r="D2675">
        <f>Sources!E2675</f>
        <v/>
      </c>
      <c r="E2675">
        <f>Sources!F2675</f>
        <v/>
      </c>
      <c r="F2675">
        <f>Sources!H2675</f>
        <v/>
      </c>
      <c r="G2675">
        <f>IF(ABS(F2675-ROUND(F2675,0))&lt;0.001,1,0)</f>
        <v/>
      </c>
      <c r="H2675">
        <f>IF(G2675=1,F2675,CEILING(F2675,1))</f>
        <v/>
      </c>
      <c r="I2675">
        <f>IF(G2675=1,0,(H2675-F2675)*E2675)</f>
        <v/>
      </c>
      <c r="J2675">
        <f>E2675*F2675</f>
        <v/>
      </c>
    </row>
    <row r="2676">
      <c r="A2676">
        <f>Sources!A2676</f>
        <v/>
      </c>
      <c r="B2676">
        <f>Sources!B2676</f>
        <v/>
      </c>
      <c r="C2676">
        <f>Sources!D2676</f>
        <v/>
      </c>
      <c r="D2676">
        <f>Sources!E2676</f>
        <v/>
      </c>
      <c r="E2676">
        <f>Sources!F2676</f>
        <v/>
      </c>
      <c r="F2676">
        <f>Sources!H2676</f>
        <v/>
      </c>
      <c r="G2676">
        <f>IF(ABS(F2676-ROUND(F2676,0))&lt;0.001,1,0)</f>
        <v/>
      </c>
      <c r="H2676">
        <f>IF(G2676=1,F2676,CEILING(F2676,1))</f>
        <v/>
      </c>
      <c r="I2676">
        <f>IF(G2676=1,0,(H2676-F2676)*E2676)</f>
        <v/>
      </c>
      <c r="J2676">
        <f>E2676*F2676</f>
        <v/>
      </c>
    </row>
    <row r="2677">
      <c r="A2677">
        <f>Sources!A2677</f>
        <v/>
      </c>
      <c r="B2677">
        <f>Sources!B2677</f>
        <v/>
      </c>
      <c r="C2677">
        <f>Sources!D2677</f>
        <v/>
      </c>
      <c r="D2677">
        <f>Sources!E2677</f>
        <v/>
      </c>
      <c r="E2677">
        <f>Sources!F2677</f>
        <v/>
      </c>
      <c r="F2677">
        <f>Sources!H2677</f>
        <v/>
      </c>
      <c r="G2677">
        <f>IF(ABS(F2677-ROUND(F2677,0))&lt;0.001,1,0)</f>
        <v/>
      </c>
      <c r="H2677">
        <f>IF(G2677=1,F2677,CEILING(F2677,1))</f>
        <v/>
      </c>
      <c r="I2677">
        <f>IF(G2677=1,0,(H2677-F2677)*E2677)</f>
        <v/>
      </c>
      <c r="J2677">
        <f>E2677*F2677</f>
        <v/>
      </c>
    </row>
    <row r="2678">
      <c r="A2678">
        <f>Sources!A2678</f>
        <v/>
      </c>
      <c r="B2678">
        <f>Sources!B2678</f>
        <v/>
      </c>
      <c r="C2678">
        <f>Sources!D2678</f>
        <v/>
      </c>
      <c r="D2678">
        <f>Sources!E2678</f>
        <v/>
      </c>
      <c r="E2678">
        <f>Sources!F2678</f>
        <v/>
      </c>
      <c r="F2678">
        <f>Sources!H2678</f>
        <v/>
      </c>
      <c r="G2678">
        <f>IF(ABS(F2678-ROUND(F2678,0))&lt;0.001,1,0)</f>
        <v/>
      </c>
      <c r="H2678">
        <f>IF(G2678=1,F2678,CEILING(F2678,1))</f>
        <v/>
      </c>
      <c r="I2678">
        <f>IF(G2678=1,0,(H2678-F2678)*E2678)</f>
        <v/>
      </c>
      <c r="J2678">
        <f>E2678*F2678</f>
        <v/>
      </c>
    </row>
    <row r="2679">
      <c r="A2679">
        <f>Sources!A2679</f>
        <v/>
      </c>
      <c r="B2679">
        <f>Sources!B2679</f>
        <v/>
      </c>
      <c r="C2679">
        <f>Sources!D2679</f>
        <v/>
      </c>
      <c r="D2679">
        <f>Sources!E2679</f>
        <v/>
      </c>
      <c r="E2679">
        <f>Sources!F2679</f>
        <v/>
      </c>
      <c r="F2679">
        <f>Sources!H2679</f>
        <v/>
      </c>
      <c r="G2679">
        <f>IF(ABS(F2679-ROUND(F2679,0))&lt;0.001,1,0)</f>
        <v/>
      </c>
      <c r="H2679">
        <f>IF(G2679=1,F2679,CEILING(F2679,1))</f>
        <v/>
      </c>
      <c r="I2679">
        <f>IF(G2679=1,0,(H2679-F2679)*E2679)</f>
        <v/>
      </c>
      <c r="J2679">
        <f>E2679*F2679</f>
        <v/>
      </c>
    </row>
    <row r="2680">
      <c r="A2680">
        <f>Sources!A2680</f>
        <v/>
      </c>
      <c r="B2680">
        <f>Sources!B2680</f>
        <v/>
      </c>
      <c r="C2680">
        <f>Sources!D2680</f>
        <v/>
      </c>
      <c r="D2680">
        <f>Sources!E2680</f>
        <v/>
      </c>
      <c r="E2680">
        <f>Sources!F2680</f>
        <v/>
      </c>
      <c r="F2680">
        <f>Sources!H2680</f>
        <v/>
      </c>
      <c r="G2680">
        <f>IF(ABS(F2680-ROUND(F2680,0))&lt;0.001,1,0)</f>
        <v/>
      </c>
      <c r="H2680">
        <f>IF(G2680=1,F2680,CEILING(F2680,1))</f>
        <v/>
      </c>
      <c r="I2680">
        <f>IF(G2680=1,0,(H2680-F2680)*E2680)</f>
        <v/>
      </c>
      <c r="J2680">
        <f>E2680*F2680</f>
        <v/>
      </c>
    </row>
    <row r="2681">
      <c r="A2681">
        <f>Sources!A2681</f>
        <v/>
      </c>
      <c r="B2681">
        <f>Sources!B2681</f>
        <v/>
      </c>
      <c r="C2681">
        <f>Sources!D2681</f>
        <v/>
      </c>
      <c r="D2681">
        <f>Sources!E2681</f>
        <v/>
      </c>
      <c r="E2681">
        <f>Sources!F2681</f>
        <v/>
      </c>
      <c r="F2681">
        <f>Sources!H2681</f>
        <v/>
      </c>
      <c r="G2681">
        <f>IF(ABS(F2681-ROUND(F2681,0))&lt;0.001,1,0)</f>
        <v/>
      </c>
      <c r="H2681">
        <f>IF(G2681=1,F2681,CEILING(F2681,1))</f>
        <v/>
      </c>
      <c r="I2681">
        <f>IF(G2681=1,0,(H2681-F2681)*E2681)</f>
        <v/>
      </c>
      <c r="J2681">
        <f>E2681*F2681</f>
        <v/>
      </c>
    </row>
    <row r="2682">
      <c r="A2682">
        <f>Sources!A2682</f>
        <v/>
      </c>
      <c r="B2682">
        <f>Sources!B2682</f>
        <v/>
      </c>
      <c r="C2682">
        <f>Sources!D2682</f>
        <v/>
      </c>
      <c r="D2682">
        <f>Sources!E2682</f>
        <v/>
      </c>
      <c r="E2682">
        <f>Sources!F2682</f>
        <v/>
      </c>
      <c r="F2682">
        <f>Sources!H2682</f>
        <v/>
      </c>
      <c r="G2682">
        <f>IF(ABS(F2682-ROUND(F2682,0))&lt;0.001,1,0)</f>
        <v/>
      </c>
      <c r="H2682">
        <f>IF(G2682=1,F2682,CEILING(F2682,1))</f>
        <v/>
      </c>
      <c r="I2682">
        <f>IF(G2682=1,0,(H2682-F2682)*E2682)</f>
        <v/>
      </c>
      <c r="J2682">
        <f>E2682*F2682</f>
        <v/>
      </c>
    </row>
    <row r="2683">
      <c r="A2683">
        <f>Sources!A2683</f>
        <v/>
      </c>
      <c r="B2683">
        <f>Sources!B2683</f>
        <v/>
      </c>
      <c r="C2683">
        <f>Sources!D2683</f>
        <v/>
      </c>
      <c r="D2683">
        <f>Sources!E2683</f>
        <v/>
      </c>
      <c r="E2683">
        <f>Sources!F2683</f>
        <v/>
      </c>
      <c r="F2683">
        <f>Sources!H2683</f>
        <v/>
      </c>
      <c r="G2683">
        <f>IF(ABS(F2683-ROUND(F2683,0))&lt;0.001,1,0)</f>
        <v/>
      </c>
      <c r="H2683">
        <f>IF(G2683=1,F2683,CEILING(F2683,1))</f>
        <v/>
      </c>
      <c r="I2683">
        <f>IF(G2683=1,0,(H2683-F2683)*E2683)</f>
        <v/>
      </c>
      <c r="J2683">
        <f>E2683*F2683</f>
        <v/>
      </c>
    </row>
    <row r="2684">
      <c r="A2684">
        <f>Sources!A2684</f>
        <v/>
      </c>
      <c r="B2684">
        <f>Sources!B2684</f>
        <v/>
      </c>
      <c r="C2684">
        <f>Sources!D2684</f>
        <v/>
      </c>
      <c r="D2684">
        <f>Sources!E2684</f>
        <v/>
      </c>
      <c r="E2684">
        <f>Sources!F2684</f>
        <v/>
      </c>
      <c r="F2684">
        <f>Sources!H2684</f>
        <v/>
      </c>
      <c r="G2684">
        <f>IF(ABS(F2684-ROUND(F2684,0))&lt;0.001,1,0)</f>
        <v/>
      </c>
      <c r="H2684">
        <f>IF(G2684=1,F2684,CEILING(F2684,1))</f>
        <v/>
      </c>
      <c r="I2684">
        <f>IF(G2684=1,0,(H2684-F2684)*E2684)</f>
        <v/>
      </c>
      <c r="J2684">
        <f>E2684*F2684</f>
        <v/>
      </c>
    </row>
    <row r="2685">
      <c r="A2685">
        <f>Sources!A2685</f>
        <v/>
      </c>
      <c r="B2685">
        <f>Sources!B2685</f>
        <v/>
      </c>
      <c r="C2685">
        <f>Sources!D2685</f>
        <v/>
      </c>
      <c r="D2685">
        <f>Sources!E2685</f>
        <v/>
      </c>
      <c r="E2685">
        <f>Sources!F2685</f>
        <v/>
      </c>
      <c r="F2685">
        <f>Sources!H2685</f>
        <v/>
      </c>
      <c r="G2685">
        <f>IF(ABS(F2685-ROUND(F2685,0))&lt;0.001,1,0)</f>
        <v/>
      </c>
      <c r="H2685">
        <f>IF(G2685=1,F2685,CEILING(F2685,1))</f>
        <v/>
      </c>
      <c r="I2685">
        <f>IF(G2685=1,0,(H2685-F2685)*E2685)</f>
        <v/>
      </c>
      <c r="J2685">
        <f>E2685*F2685</f>
        <v/>
      </c>
    </row>
    <row r="2686">
      <c r="A2686">
        <f>Sources!A2686</f>
        <v/>
      </c>
      <c r="B2686">
        <f>Sources!B2686</f>
        <v/>
      </c>
      <c r="C2686">
        <f>Sources!D2686</f>
        <v/>
      </c>
      <c r="D2686">
        <f>Sources!E2686</f>
        <v/>
      </c>
      <c r="E2686">
        <f>Sources!F2686</f>
        <v/>
      </c>
      <c r="F2686">
        <f>Sources!H2686</f>
        <v/>
      </c>
      <c r="G2686">
        <f>IF(ABS(F2686-ROUND(F2686,0))&lt;0.001,1,0)</f>
        <v/>
      </c>
      <c r="H2686">
        <f>IF(G2686=1,F2686,CEILING(F2686,1))</f>
        <v/>
      </c>
      <c r="I2686">
        <f>IF(G2686=1,0,(H2686-F2686)*E2686)</f>
        <v/>
      </c>
      <c r="J2686">
        <f>E2686*F2686</f>
        <v/>
      </c>
    </row>
    <row r="2687">
      <c r="A2687">
        <f>Sources!A2687</f>
        <v/>
      </c>
      <c r="B2687">
        <f>Sources!B2687</f>
        <v/>
      </c>
      <c r="C2687">
        <f>Sources!D2687</f>
        <v/>
      </c>
      <c r="D2687">
        <f>Sources!E2687</f>
        <v/>
      </c>
      <c r="E2687">
        <f>Sources!F2687</f>
        <v/>
      </c>
      <c r="F2687">
        <f>Sources!H2687</f>
        <v/>
      </c>
      <c r="G2687">
        <f>IF(ABS(F2687-ROUND(F2687,0))&lt;0.001,1,0)</f>
        <v/>
      </c>
      <c r="H2687">
        <f>IF(G2687=1,F2687,CEILING(F2687,1))</f>
        <v/>
      </c>
      <c r="I2687">
        <f>IF(G2687=1,0,(H2687-F2687)*E2687)</f>
        <v/>
      </c>
      <c r="J2687">
        <f>E2687*F2687</f>
        <v/>
      </c>
    </row>
    <row r="2688">
      <c r="A2688">
        <f>Sources!A2688</f>
        <v/>
      </c>
      <c r="B2688">
        <f>Sources!B2688</f>
        <v/>
      </c>
      <c r="C2688">
        <f>Sources!D2688</f>
        <v/>
      </c>
      <c r="D2688">
        <f>Sources!E2688</f>
        <v/>
      </c>
      <c r="E2688">
        <f>Sources!F2688</f>
        <v/>
      </c>
      <c r="F2688">
        <f>Sources!H2688</f>
        <v/>
      </c>
      <c r="G2688">
        <f>IF(ABS(F2688-ROUND(F2688,0))&lt;0.001,1,0)</f>
        <v/>
      </c>
      <c r="H2688">
        <f>IF(G2688=1,F2688,CEILING(F2688,1))</f>
        <v/>
      </c>
      <c r="I2688">
        <f>IF(G2688=1,0,(H2688-F2688)*E2688)</f>
        <v/>
      </c>
      <c r="J2688">
        <f>E2688*F2688</f>
        <v/>
      </c>
    </row>
    <row r="2689">
      <c r="A2689">
        <f>Sources!A2689</f>
        <v/>
      </c>
      <c r="B2689">
        <f>Sources!B2689</f>
        <v/>
      </c>
      <c r="C2689">
        <f>Sources!D2689</f>
        <v/>
      </c>
      <c r="D2689">
        <f>Sources!E2689</f>
        <v/>
      </c>
      <c r="E2689">
        <f>Sources!F2689</f>
        <v/>
      </c>
      <c r="F2689">
        <f>Sources!H2689</f>
        <v/>
      </c>
      <c r="G2689">
        <f>IF(ABS(F2689-ROUND(F2689,0))&lt;0.001,1,0)</f>
        <v/>
      </c>
      <c r="H2689">
        <f>IF(G2689=1,F2689,CEILING(F2689,1))</f>
        <v/>
      </c>
      <c r="I2689">
        <f>IF(G2689=1,0,(H2689-F2689)*E2689)</f>
        <v/>
      </c>
      <c r="J2689">
        <f>E2689*F2689</f>
        <v/>
      </c>
    </row>
    <row r="2690">
      <c r="A2690">
        <f>Sources!A2690</f>
        <v/>
      </c>
      <c r="B2690">
        <f>Sources!B2690</f>
        <v/>
      </c>
      <c r="C2690">
        <f>Sources!D2690</f>
        <v/>
      </c>
      <c r="D2690">
        <f>Sources!E2690</f>
        <v/>
      </c>
      <c r="E2690">
        <f>Sources!F2690</f>
        <v/>
      </c>
      <c r="F2690">
        <f>Sources!H2690</f>
        <v/>
      </c>
      <c r="G2690">
        <f>IF(ABS(F2690-ROUND(F2690,0))&lt;0.001,1,0)</f>
        <v/>
      </c>
      <c r="H2690">
        <f>IF(G2690=1,F2690,CEILING(F2690,1))</f>
        <v/>
      </c>
      <c r="I2690">
        <f>IF(G2690=1,0,(H2690-F2690)*E2690)</f>
        <v/>
      </c>
      <c r="J2690">
        <f>E2690*F2690</f>
        <v/>
      </c>
    </row>
    <row r="2691">
      <c r="A2691">
        <f>Sources!A2691</f>
        <v/>
      </c>
      <c r="B2691">
        <f>Sources!B2691</f>
        <v/>
      </c>
      <c r="C2691">
        <f>Sources!D2691</f>
        <v/>
      </c>
      <c r="D2691">
        <f>Sources!E2691</f>
        <v/>
      </c>
      <c r="E2691">
        <f>Sources!F2691</f>
        <v/>
      </c>
      <c r="F2691">
        <f>Sources!H2691</f>
        <v/>
      </c>
      <c r="G2691">
        <f>IF(ABS(F2691-ROUND(F2691,0))&lt;0.001,1,0)</f>
        <v/>
      </c>
      <c r="H2691">
        <f>IF(G2691=1,F2691,CEILING(F2691,1))</f>
        <v/>
      </c>
      <c r="I2691">
        <f>IF(G2691=1,0,(H2691-F2691)*E2691)</f>
        <v/>
      </c>
      <c r="J2691">
        <f>E2691*F2691</f>
        <v/>
      </c>
    </row>
    <row r="2692">
      <c r="A2692">
        <f>Sources!A2692</f>
        <v/>
      </c>
      <c r="B2692">
        <f>Sources!B2692</f>
        <v/>
      </c>
      <c r="C2692">
        <f>Sources!D2692</f>
        <v/>
      </c>
      <c r="D2692">
        <f>Sources!E2692</f>
        <v/>
      </c>
      <c r="E2692">
        <f>Sources!F2692</f>
        <v/>
      </c>
      <c r="F2692">
        <f>Sources!H2692</f>
        <v/>
      </c>
      <c r="G2692">
        <f>IF(ABS(F2692-ROUND(F2692,0))&lt;0.001,1,0)</f>
        <v/>
      </c>
      <c r="H2692">
        <f>IF(G2692=1,F2692,CEILING(F2692,1))</f>
        <v/>
      </c>
      <c r="I2692">
        <f>IF(G2692=1,0,(H2692-F2692)*E2692)</f>
        <v/>
      </c>
      <c r="J2692">
        <f>E2692*F2692</f>
        <v/>
      </c>
    </row>
    <row r="2693">
      <c r="A2693">
        <f>Sources!A2693</f>
        <v/>
      </c>
      <c r="B2693">
        <f>Sources!B2693</f>
        <v/>
      </c>
      <c r="C2693">
        <f>Sources!D2693</f>
        <v/>
      </c>
      <c r="D2693">
        <f>Sources!E2693</f>
        <v/>
      </c>
      <c r="E2693">
        <f>Sources!F2693</f>
        <v/>
      </c>
      <c r="F2693">
        <f>Sources!H2693</f>
        <v/>
      </c>
      <c r="G2693">
        <f>IF(ABS(F2693-ROUND(F2693,0))&lt;0.001,1,0)</f>
        <v/>
      </c>
      <c r="H2693">
        <f>IF(G2693=1,F2693,CEILING(F2693,1))</f>
        <v/>
      </c>
      <c r="I2693">
        <f>IF(G2693=1,0,(H2693-F2693)*E2693)</f>
        <v/>
      </c>
      <c r="J2693">
        <f>E2693*F2693</f>
        <v/>
      </c>
    </row>
    <row r="2694">
      <c r="A2694">
        <f>Sources!A2694</f>
        <v/>
      </c>
      <c r="B2694">
        <f>Sources!B2694</f>
        <v/>
      </c>
      <c r="C2694">
        <f>Sources!D2694</f>
        <v/>
      </c>
      <c r="D2694">
        <f>Sources!E2694</f>
        <v/>
      </c>
      <c r="E2694">
        <f>Sources!F2694</f>
        <v/>
      </c>
      <c r="F2694">
        <f>Sources!H2694</f>
        <v/>
      </c>
      <c r="G2694">
        <f>IF(ABS(F2694-ROUND(F2694,0))&lt;0.001,1,0)</f>
        <v/>
      </c>
      <c r="H2694">
        <f>IF(G2694=1,F2694,CEILING(F2694,1))</f>
        <v/>
      </c>
      <c r="I2694">
        <f>IF(G2694=1,0,(H2694-F2694)*E2694)</f>
        <v/>
      </c>
      <c r="J2694">
        <f>E2694*F2694</f>
        <v/>
      </c>
    </row>
    <row r="2695">
      <c r="A2695">
        <f>Sources!A2695</f>
        <v/>
      </c>
      <c r="B2695">
        <f>Sources!B2695</f>
        <v/>
      </c>
      <c r="C2695">
        <f>Sources!D2695</f>
        <v/>
      </c>
      <c r="D2695">
        <f>Sources!E2695</f>
        <v/>
      </c>
      <c r="E2695">
        <f>Sources!F2695</f>
        <v/>
      </c>
      <c r="F2695">
        <f>Sources!H2695</f>
        <v/>
      </c>
      <c r="G2695">
        <f>IF(ABS(F2695-ROUND(F2695,0))&lt;0.001,1,0)</f>
        <v/>
      </c>
      <c r="H2695">
        <f>IF(G2695=1,F2695,CEILING(F2695,1))</f>
        <v/>
      </c>
      <c r="I2695">
        <f>IF(G2695=1,0,(H2695-F2695)*E2695)</f>
        <v/>
      </c>
      <c r="J2695">
        <f>E2695*F2695</f>
        <v/>
      </c>
    </row>
    <row r="2696">
      <c r="A2696">
        <f>Sources!A2696</f>
        <v/>
      </c>
      <c r="B2696">
        <f>Sources!B2696</f>
        <v/>
      </c>
      <c r="C2696">
        <f>Sources!D2696</f>
        <v/>
      </c>
      <c r="D2696">
        <f>Sources!E2696</f>
        <v/>
      </c>
      <c r="E2696">
        <f>Sources!F2696</f>
        <v/>
      </c>
      <c r="F2696">
        <f>Sources!H2696</f>
        <v/>
      </c>
      <c r="G2696">
        <f>IF(ABS(F2696-ROUND(F2696,0))&lt;0.001,1,0)</f>
        <v/>
      </c>
      <c r="H2696">
        <f>IF(G2696=1,F2696,CEILING(F2696,1))</f>
        <v/>
      </c>
      <c r="I2696">
        <f>IF(G2696=1,0,(H2696-F2696)*E2696)</f>
        <v/>
      </c>
      <c r="J2696">
        <f>E2696*F2696</f>
        <v/>
      </c>
    </row>
    <row r="2697">
      <c r="A2697">
        <f>Sources!A2697</f>
        <v/>
      </c>
      <c r="B2697">
        <f>Sources!B2697</f>
        <v/>
      </c>
      <c r="C2697">
        <f>Sources!D2697</f>
        <v/>
      </c>
      <c r="D2697">
        <f>Sources!E2697</f>
        <v/>
      </c>
      <c r="E2697">
        <f>Sources!F2697</f>
        <v/>
      </c>
      <c r="F2697">
        <f>Sources!H2697</f>
        <v/>
      </c>
      <c r="G2697">
        <f>IF(ABS(F2697-ROUND(F2697,0))&lt;0.001,1,0)</f>
        <v/>
      </c>
      <c r="H2697">
        <f>IF(G2697=1,F2697,CEILING(F2697,1))</f>
        <v/>
      </c>
      <c r="I2697">
        <f>IF(G2697=1,0,(H2697-F2697)*E2697)</f>
        <v/>
      </c>
      <c r="J2697">
        <f>E2697*F2697</f>
        <v/>
      </c>
    </row>
    <row r="2698">
      <c r="A2698">
        <f>Sources!A2698</f>
        <v/>
      </c>
      <c r="B2698">
        <f>Sources!B2698</f>
        <v/>
      </c>
      <c r="C2698">
        <f>Sources!D2698</f>
        <v/>
      </c>
      <c r="D2698">
        <f>Sources!E2698</f>
        <v/>
      </c>
      <c r="E2698">
        <f>Sources!F2698</f>
        <v/>
      </c>
      <c r="F2698">
        <f>Sources!H2698</f>
        <v/>
      </c>
      <c r="G2698">
        <f>IF(ABS(F2698-ROUND(F2698,0))&lt;0.001,1,0)</f>
        <v/>
      </c>
      <c r="H2698">
        <f>IF(G2698=1,F2698,CEILING(F2698,1))</f>
        <v/>
      </c>
      <c r="I2698">
        <f>IF(G2698=1,0,(H2698-F2698)*E2698)</f>
        <v/>
      </c>
      <c r="J2698">
        <f>E2698*F2698</f>
        <v/>
      </c>
    </row>
    <row r="2699">
      <c r="A2699">
        <f>Sources!A2699</f>
        <v/>
      </c>
      <c r="B2699">
        <f>Sources!B2699</f>
        <v/>
      </c>
      <c r="C2699">
        <f>Sources!D2699</f>
        <v/>
      </c>
      <c r="D2699">
        <f>Sources!E2699</f>
        <v/>
      </c>
      <c r="E2699">
        <f>Sources!F2699</f>
        <v/>
      </c>
      <c r="F2699">
        <f>Sources!H2699</f>
        <v/>
      </c>
      <c r="G2699">
        <f>IF(ABS(F2699-ROUND(F2699,0))&lt;0.001,1,0)</f>
        <v/>
      </c>
      <c r="H2699">
        <f>IF(G2699=1,F2699,CEILING(F2699,1))</f>
        <v/>
      </c>
      <c r="I2699">
        <f>IF(G2699=1,0,(H2699-F2699)*E2699)</f>
        <v/>
      </c>
      <c r="J2699">
        <f>E2699*F2699</f>
        <v/>
      </c>
    </row>
    <row r="2700">
      <c r="A2700">
        <f>Sources!A2700</f>
        <v/>
      </c>
      <c r="B2700">
        <f>Sources!B2700</f>
        <v/>
      </c>
      <c r="C2700">
        <f>Sources!D2700</f>
        <v/>
      </c>
      <c r="D2700">
        <f>Sources!E2700</f>
        <v/>
      </c>
      <c r="E2700">
        <f>Sources!F2700</f>
        <v/>
      </c>
      <c r="F2700">
        <f>Sources!H2700</f>
        <v/>
      </c>
      <c r="G2700">
        <f>IF(ABS(F2700-ROUND(F2700,0))&lt;0.001,1,0)</f>
        <v/>
      </c>
      <c r="H2700">
        <f>IF(G2700=1,F2700,CEILING(F2700,1))</f>
        <v/>
      </c>
      <c r="I2700">
        <f>IF(G2700=1,0,(H2700-F2700)*E2700)</f>
        <v/>
      </c>
      <c r="J2700">
        <f>E2700*F2700</f>
        <v/>
      </c>
    </row>
    <row r="2701">
      <c r="A2701">
        <f>Sources!A2701</f>
        <v/>
      </c>
      <c r="B2701">
        <f>Sources!B2701</f>
        <v/>
      </c>
      <c r="C2701">
        <f>Sources!D2701</f>
        <v/>
      </c>
      <c r="D2701">
        <f>Sources!E2701</f>
        <v/>
      </c>
      <c r="E2701">
        <f>Sources!F2701</f>
        <v/>
      </c>
      <c r="F2701">
        <f>Sources!H2701</f>
        <v/>
      </c>
      <c r="G2701">
        <f>IF(ABS(F2701-ROUND(F2701,0))&lt;0.001,1,0)</f>
        <v/>
      </c>
      <c r="H2701">
        <f>IF(G2701=1,F2701,CEILING(F2701,1))</f>
        <v/>
      </c>
      <c r="I2701">
        <f>IF(G2701=1,0,(H2701-F2701)*E2701)</f>
        <v/>
      </c>
      <c r="J2701">
        <f>E2701*F2701</f>
        <v/>
      </c>
    </row>
    <row r="2702">
      <c r="A2702">
        <f>Sources!A2702</f>
        <v/>
      </c>
      <c r="B2702">
        <f>Sources!B2702</f>
        <v/>
      </c>
      <c r="C2702">
        <f>Sources!D2702</f>
        <v/>
      </c>
      <c r="D2702">
        <f>Sources!E2702</f>
        <v/>
      </c>
      <c r="E2702">
        <f>Sources!F2702</f>
        <v/>
      </c>
      <c r="F2702">
        <f>Sources!H2702</f>
        <v/>
      </c>
      <c r="G2702">
        <f>IF(ABS(F2702-ROUND(F2702,0))&lt;0.001,1,0)</f>
        <v/>
      </c>
      <c r="H2702">
        <f>IF(G2702=1,F2702,CEILING(F2702,1))</f>
        <v/>
      </c>
      <c r="I2702">
        <f>IF(G2702=1,0,(H2702-F2702)*E2702)</f>
        <v/>
      </c>
      <c r="J2702">
        <f>E2702*F2702</f>
        <v/>
      </c>
    </row>
    <row r="2703">
      <c r="A2703">
        <f>Sources!A2703</f>
        <v/>
      </c>
      <c r="B2703">
        <f>Sources!B2703</f>
        <v/>
      </c>
      <c r="C2703">
        <f>Sources!D2703</f>
        <v/>
      </c>
      <c r="D2703">
        <f>Sources!E2703</f>
        <v/>
      </c>
      <c r="E2703">
        <f>Sources!F2703</f>
        <v/>
      </c>
      <c r="F2703">
        <f>Sources!H2703</f>
        <v/>
      </c>
      <c r="G2703">
        <f>IF(ABS(F2703-ROUND(F2703,0))&lt;0.001,1,0)</f>
        <v/>
      </c>
      <c r="H2703">
        <f>IF(G2703=1,F2703,CEILING(F2703,1))</f>
        <v/>
      </c>
      <c r="I2703">
        <f>IF(G2703=1,0,(H2703-F2703)*E2703)</f>
        <v/>
      </c>
      <c r="J2703">
        <f>E2703*F2703</f>
        <v/>
      </c>
    </row>
    <row r="2704">
      <c r="A2704">
        <f>Sources!A2704</f>
        <v/>
      </c>
      <c r="B2704">
        <f>Sources!B2704</f>
        <v/>
      </c>
      <c r="C2704">
        <f>Sources!D2704</f>
        <v/>
      </c>
      <c r="D2704">
        <f>Sources!E2704</f>
        <v/>
      </c>
      <c r="E2704">
        <f>Sources!F2704</f>
        <v/>
      </c>
      <c r="F2704">
        <f>Sources!H2704</f>
        <v/>
      </c>
      <c r="G2704">
        <f>IF(ABS(F2704-ROUND(F2704,0))&lt;0.001,1,0)</f>
        <v/>
      </c>
      <c r="H2704">
        <f>IF(G2704=1,F2704,CEILING(F2704,1))</f>
        <v/>
      </c>
      <c r="I2704">
        <f>IF(G2704=1,0,(H2704-F2704)*E2704)</f>
        <v/>
      </c>
      <c r="J2704">
        <f>E2704*F2704</f>
        <v/>
      </c>
    </row>
    <row r="2705">
      <c r="A2705">
        <f>Sources!A2705</f>
        <v/>
      </c>
      <c r="B2705">
        <f>Sources!B2705</f>
        <v/>
      </c>
      <c r="C2705">
        <f>Sources!D2705</f>
        <v/>
      </c>
      <c r="D2705">
        <f>Sources!E2705</f>
        <v/>
      </c>
      <c r="E2705">
        <f>Sources!F2705</f>
        <v/>
      </c>
      <c r="F2705">
        <f>Sources!H2705</f>
        <v/>
      </c>
      <c r="G2705">
        <f>IF(ABS(F2705-ROUND(F2705,0))&lt;0.001,1,0)</f>
        <v/>
      </c>
      <c r="H2705">
        <f>IF(G2705=1,F2705,CEILING(F2705,1))</f>
        <v/>
      </c>
      <c r="I2705">
        <f>IF(G2705=1,0,(H2705-F2705)*E2705)</f>
        <v/>
      </c>
      <c r="J2705">
        <f>E2705*F2705</f>
        <v/>
      </c>
    </row>
    <row r="2706">
      <c r="A2706">
        <f>Sources!A2706</f>
        <v/>
      </c>
      <c r="B2706">
        <f>Sources!B2706</f>
        <v/>
      </c>
      <c r="C2706">
        <f>Sources!D2706</f>
        <v/>
      </c>
      <c r="D2706">
        <f>Sources!E2706</f>
        <v/>
      </c>
      <c r="E2706">
        <f>Sources!F2706</f>
        <v/>
      </c>
      <c r="F2706">
        <f>Sources!H2706</f>
        <v/>
      </c>
      <c r="G2706">
        <f>IF(ABS(F2706-ROUND(F2706,0))&lt;0.001,1,0)</f>
        <v/>
      </c>
      <c r="H2706">
        <f>IF(G2706=1,F2706,CEILING(F2706,1))</f>
        <v/>
      </c>
      <c r="I2706">
        <f>IF(G2706=1,0,(H2706-F2706)*E2706)</f>
        <v/>
      </c>
      <c r="J2706">
        <f>E2706*F2706</f>
        <v/>
      </c>
    </row>
    <row r="2707">
      <c r="A2707">
        <f>Sources!A2707</f>
        <v/>
      </c>
      <c r="B2707">
        <f>Sources!B2707</f>
        <v/>
      </c>
      <c r="C2707">
        <f>Sources!D2707</f>
        <v/>
      </c>
      <c r="D2707">
        <f>Sources!E2707</f>
        <v/>
      </c>
      <c r="E2707">
        <f>Sources!F2707</f>
        <v/>
      </c>
      <c r="F2707">
        <f>Sources!H2707</f>
        <v/>
      </c>
      <c r="G2707">
        <f>IF(ABS(F2707-ROUND(F2707,0))&lt;0.001,1,0)</f>
        <v/>
      </c>
      <c r="H2707">
        <f>IF(G2707=1,F2707,CEILING(F2707,1))</f>
        <v/>
      </c>
      <c r="I2707">
        <f>IF(G2707=1,0,(H2707-F2707)*E2707)</f>
        <v/>
      </c>
      <c r="J2707">
        <f>E2707*F2707</f>
        <v/>
      </c>
    </row>
    <row r="2708">
      <c r="A2708">
        <f>Sources!A2708</f>
        <v/>
      </c>
      <c r="B2708">
        <f>Sources!B2708</f>
        <v/>
      </c>
      <c r="C2708">
        <f>Sources!D2708</f>
        <v/>
      </c>
      <c r="D2708">
        <f>Sources!E2708</f>
        <v/>
      </c>
      <c r="E2708">
        <f>Sources!F2708</f>
        <v/>
      </c>
      <c r="F2708">
        <f>Sources!H2708</f>
        <v/>
      </c>
      <c r="G2708">
        <f>IF(ABS(F2708-ROUND(F2708,0))&lt;0.001,1,0)</f>
        <v/>
      </c>
      <c r="H2708">
        <f>IF(G2708=1,F2708,CEILING(F2708,1))</f>
        <v/>
      </c>
      <c r="I2708">
        <f>IF(G2708=1,0,(H2708-F2708)*E2708)</f>
        <v/>
      </c>
      <c r="J2708">
        <f>E2708*F2708</f>
        <v/>
      </c>
    </row>
    <row r="2709">
      <c r="A2709">
        <f>Sources!A2709</f>
        <v/>
      </c>
      <c r="B2709">
        <f>Sources!B2709</f>
        <v/>
      </c>
      <c r="C2709">
        <f>Sources!D2709</f>
        <v/>
      </c>
      <c r="D2709">
        <f>Sources!E2709</f>
        <v/>
      </c>
      <c r="E2709">
        <f>Sources!F2709</f>
        <v/>
      </c>
      <c r="F2709">
        <f>Sources!H2709</f>
        <v/>
      </c>
      <c r="G2709">
        <f>IF(ABS(F2709-ROUND(F2709,0))&lt;0.001,1,0)</f>
        <v/>
      </c>
      <c r="H2709">
        <f>IF(G2709=1,F2709,CEILING(F2709,1))</f>
        <v/>
      </c>
      <c r="I2709">
        <f>IF(G2709=1,0,(H2709-F2709)*E2709)</f>
        <v/>
      </c>
      <c r="J2709">
        <f>E2709*F2709</f>
        <v/>
      </c>
    </row>
    <row r="2710">
      <c r="A2710">
        <f>Sources!A2710</f>
        <v/>
      </c>
      <c r="B2710">
        <f>Sources!B2710</f>
        <v/>
      </c>
      <c r="C2710">
        <f>Sources!D2710</f>
        <v/>
      </c>
      <c r="D2710">
        <f>Sources!E2710</f>
        <v/>
      </c>
      <c r="E2710">
        <f>Sources!F2710</f>
        <v/>
      </c>
      <c r="F2710">
        <f>Sources!H2710</f>
        <v/>
      </c>
      <c r="G2710">
        <f>IF(ABS(F2710-ROUND(F2710,0))&lt;0.001,1,0)</f>
        <v/>
      </c>
      <c r="H2710">
        <f>IF(G2710=1,F2710,CEILING(F2710,1))</f>
        <v/>
      </c>
      <c r="I2710">
        <f>IF(G2710=1,0,(H2710-F2710)*E2710)</f>
        <v/>
      </c>
      <c r="J2710">
        <f>E2710*F2710</f>
        <v/>
      </c>
    </row>
    <row r="2711">
      <c r="A2711">
        <f>Sources!A2711</f>
        <v/>
      </c>
      <c r="B2711">
        <f>Sources!B2711</f>
        <v/>
      </c>
      <c r="C2711">
        <f>Sources!D2711</f>
        <v/>
      </c>
      <c r="D2711">
        <f>Sources!E2711</f>
        <v/>
      </c>
      <c r="E2711">
        <f>Sources!F2711</f>
        <v/>
      </c>
      <c r="F2711">
        <f>Sources!H2711</f>
        <v/>
      </c>
      <c r="G2711">
        <f>IF(ABS(F2711-ROUND(F2711,0))&lt;0.001,1,0)</f>
        <v/>
      </c>
      <c r="H2711">
        <f>IF(G2711=1,F2711,CEILING(F2711,1))</f>
        <v/>
      </c>
      <c r="I2711">
        <f>IF(G2711=1,0,(H2711-F2711)*E2711)</f>
        <v/>
      </c>
      <c r="J2711">
        <f>E2711*F2711</f>
        <v/>
      </c>
    </row>
    <row r="2712">
      <c r="A2712">
        <f>Sources!A2712</f>
        <v/>
      </c>
      <c r="B2712">
        <f>Sources!B2712</f>
        <v/>
      </c>
      <c r="C2712">
        <f>Sources!D2712</f>
        <v/>
      </c>
      <c r="D2712">
        <f>Sources!E2712</f>
        <v/>
      </c>
      <c r="E2712">
        <f>Sources!F2712</f>
        <v/>
      </c>
      <c r="F2712">
        <f>Sources!H2712</f>
        <v/>
      </c>
      <c r="G2712">
        <f>IF(ABS(F2712-ROUND(F2712,0))&lt;0.001,1,0)</f>
        <v/>
      </c>
      <c r="H2712">
        <f>IF(G2712=1,F2712,CEILING(F2712,1))</f>
        <v/>
      </c>
      <c r="I2712">
        <f>IF(G2712=1,0,(H2712-F2712)*E2712)</f>
        <v/>
      </c>
      <c r="J2712">
        <f>E2712*F2712</f>
        <v/>
      </c>
    </row>
    <row r="2713">
      <c r="A2713">
        <f>Sources!A2713</f>
        <v/>
      </c>
      <c r="B2713">
        <f>Sources!B2713</f>
        <v/>
      </c>
      <c r="C2713">
        <f>Sources!D2713</f>
        <v/>
      </c>
      <c r="D2713">
        <f>Sources!E2713</f>
        <v/>
      </c>
      <c r="E2713">
        <f>Sources!F2713</f>
        <v/>
      </c>
      <c r="F2713">
        <f>Sources!H2713</f>
        <v/>
      </c>
      <c r="G2713">
        <f>IF(ABS(F2713-ROUND(F2713,0))&lt;0.001,1,0)</f>
        <v/>
      </c>
      <c r="H2713">
        <f>IF(G2713=1,F2713,CEILING(F2713,1))</f>
        <v/>
      </c>
      <c r="I2713">
        <f>IF(G2713=1,0,(H2713-F2713)*E2713)</f>
        <v/>
      </c>
      <c r="J2713">
        <f>E2713*F2713</f>
        <v/>
      </c>
    </row>
    <row r="2714">
      <c r="A2714">
        <f>Sources!A2714</f>
        <v/>
      </c>
      <c r="B2714">
        <f>Sources!B2714</f>
        <v/>
      </c>
      <c r="C2714">
        <f>Sources!D2714</f>
        <v/>
      </c>
      <c r="D2714">
        <f>Sources!E2714</f>
        <v/>
      </c>
      <c r="E2714">
        <f>Sources!F2714</f>
        <v/>
      </c>
      <c r="F2714">
        <f>Sources!H2714</f>
        <v/>
      </c>
      <c r="G2714">
        <f>IF(ABS(F2714-ROUND(F2714,0))&lt;0.001,1,0)</f>
        <v/>
      </c>
      <c r="H2714">
        <f>IF(G2714=1,F2714,CEILING(F2714,1))</f>
        <v/>
      </c>
      <c r="I2714">
        <f>IF(G2714=1,0,(H2714-F2714)*E2714)</f>
        <v/>
      </c>
      <c r="J2714">
        <f>E2714*F2714</f>
        <v/>
      </c>
    </row>
    <row r="2715">
      <c r="A2715">
        <f>Sources!A2715</f>
        <v/>
      </c>
      <c r="B2715">
        <f>Sources!B2715</f>
        <v/>
      </c>
      <c r="C2715">
        <f>Sources!D2715</f>
        <v/>
      </c>
      <c r="D2715">
        <f>Sources!E2715</f>
        <v/>
      </c>
      <c r="E2715">
        <f>Sources!F2715</f>
        <v/>
      </c>
      <c r="F2715">
        <f>Sources!H2715</f>
        <v/>
      </c>
      <c r="G2715">
        <f>IF(ABS(F2715-ROUND(F2715,0))&lt;0.001,1,0)</f>
        <v/>
      </c>
      <c r="H2715">
        <f>IF(G2715=1,F2715,CEILING(F2715,1))</f>
        <v/>
      </c>
      <c r="I2715">
        <f>IF(G2715=1,0,(H2715-F2715)*E2715)</f>
        <v/>
      </c>
      <c r="J2715">
        <f>E2715*F2715</f>
        <v/>
      </c>
    </row>
    <row r="2716">
      <c r="A2716">
        <f>Sources!A2716</f>
        <v/>
      </c>
      <c r="B2716">
        <f>Sources!B2716</f>
        <v/>
      </c>
      <c r="C2716">
        <f>Sources!D2716</f>
        <v/>
      </c>
      <c r="D2716">
        <f>Sources!E2716</f>
        <v/>
      </c>
      <c r="E2716">
        <f>Sources!F2716</f>
        <v/>
      </c>
      <c r="F2716">
        <f>Sources!H2716</f>
        <v/>
      </c>
      <c r="G2716">
        <f>IF(ABS(F2716-ROUND(F2716,0))&lt;0.001,1,0)</f>
        <v/>
      </c>
      <c r="H2716">
        <f>IF(G2716=1,F2716,CEILING(F2716,1))</f>
        <v/>
      </c>
      <c r="I2716">
        <f>IF(G2716=1,0,(H2716-F2716)*E2716)</f>
        <v/>
      </c>
      <c r="J2716">
        <f>E2716*F2716</f>
        <v/>
      </c>
    </row>
    <row r="2717">
      <c r="A2717">
        <f>Sources!A2717</f>
        <v/>
      </c>
      <c r="B2717">
        <f>Sources!B2717</f>
        <v/>
      </c>
      <c r="C2717">
        <f>Sources!D2717</f>
        <v/>
      </c>
      <c r="D2717">
        <f>Sources!E2717</f>
        <v/>
      </c>
      <c r="E2717">
        <f>Sources!F2717</f>
        <v/>
      </c>
      <c r="F2717">
        <f>Sources!H2717</f>
        <v/>
      </c>
      <c r="G2717">
        <f>IF(ABS(F2717-ROUND(F2717,0))&lt;0.001,1,0)</f>
        <v/>
      </c>
      <c r="H2717">
        <f>IF(G2717=1,F2717,CEILING(F2717,1))</f>
        <v/>
      </c>
      <c r="I2717">
        <f>IF(G2717=1,0,(H2717-F2717)*E2717)</f>
        <v/>
      </c>
      <c r="J2717">
        <f>E2717*F2717</f>
        <v/>
      </c>
    </row>
    <row r="2718">
      <c r="A2718">
        <f>Sources!A2718</f>
        <v/>
      </c>
      <c r="B2718">
        <f>Sources!B2718</f>
        <v/>
      </c>
      <c r="C2718">
        <f>Sources!D2718</f>
        <v/>
      </c>
      <c r="D2718">
        <f>Sources!E2718</f>
        <v/>
      </c>
      <c r="E2718">
        <f>Sources!F2718</f>
        <v/>
      </c>
      <c r="F2718">
        <f>Sources!H2718</f>
        <v/>
      </c>
      <c r="G2718">
        <f>IF(ABS(F2718-ROUND(F2718,0))&lt;0.001,1,0)</f>
        <v/>
      </c>
      <c r="H2718">
        <f>IF(G2718=1,F2718,CEILING(F2718,1))</f>
        <v/>
      </c>
      <c r="I2718">
        <f>IF(G2718=1,0,(H2718-F2718)*E2718)</f>
        <v/>
      </c>
      <c r="J2718">
        <f>E2718*F2718</f>
        <v/>
      </c>
    </row>
    <row r="2719">
      <c r="A2719">
        <f>Sources!A2719</f>
        <v/>
      </c>
      <c r="B2719">
        <f>Sources!B2719</f>
        <v/>
      </c>
      <c r="C2719">
        <f>Sources!D2719</f>
        <v/>
      </c>
      <c r="D2719">
        <f>Sources!E2719</f>
        <v/>
      </c>
      <c r="E2719">
        <f>Sources!F2719</f>
        <v/>
      </c>
      <c r="F2719">
        <f>Sources!H2719</f>
        <v/>
      </c>
      <c r="G2719">
        <f>IF(ABS(F2719-ROUND(F2719,0))&lt;0.001,1,0)</f>
        <v/>
      </c>
      <c r="H2719">
        <f>IF(G2719=1,F2719,CEILING(F2719,1))</f>
        <v/>
      </c>
      <c r="I2719">
        <f>IF(G2719=1,0,(H2719-F2719)*E2719)</f>
        <v/>
      </c>
      <c r="J2719">
        <f>E2719*F2719</f>
        <v/>
      </c>
    </row>
    <row r="2720">
      <c r="A2720">
        <f>Sources!A2720</f>
        <v/>
      </c>
      <c r="B2720">
        <f>Sources!B2720</f>
        <v/>
      </c>
      <c r="C2720">
        <f>Sources!D2720</f>
        <v/>
      </c>
      <c r="D2720">
        <f>Sources!E2720</f>
        <v/>
      </c>
      <c r="E2720">
        <f>Sources!F2720</f>
        <v/>
      </c>
      <c r="F2720">
        <f>Sources!H2720</f>
        <v/>
      </c>
      <c r="G2720">
        <f>IF(ABS(F2720-ROUND(F2720,0))&lt;0.001,1,0)</f>
        <v/>
      </c>
      <c r="H2720">
        <f>IF(G2720=1,F2720,CEILING(F2720,1))</f>
        <v/>
      </c>
      <c r="I2720">
        <f>IF(G2720=1,0,(H2720-F2720)*E2720)</f>
        <v/>
      </c>
      <c r="J2720">
        <f>E2720*F2720</f>
        <v/>
      </c>
    </row>
    <row r="2721">
      <c r="A2721">
        <f>Sources!A2721</f>
        <v/>
      </c>
      <c r="B2721">
        <f>Sources!B2721</f>
        <v/>
      </c>
      <c r="C2721">
        <f>Sources!D2721</f>
        <v/>
      </c>
      <c r="D2721">
        <f>Sources!E2721</f>
        <v/>
      </c>
      <c r="E2721">
        <f>Sources!F2721</f>
        <v/>
      </c>
      <c r="F2721">
        <f>Sources!H2721</f>
        <v/>
      </c>
      <c r="G2721">
        <f>IF(ABS(F2721-ROUND(F2721,0))&lt;0.001,1,0)</f>
        <v/>
      </c>
      <c r="H2721">
        <f>IF(G2721=1,F2721,CEILING(F2721,1))</f>
        <v/>
      </c>
      <c r="I2721">
        <f>IF(G2721=1,0,(H2721-F2721)*E2721)</f>
        <v/>
      </c>
      <c r="J2721">
        <f>E2721*F2721</f>
        <v/>
      </c>
    </row>
    <row r="2722">
      <c r="A2722">
        <f>Sources!A2722</f>
        <v/>
      </c>
      <c r="B2722">
        <f>Sources!B2722</f>
        <v/>
      </c>
      <c r="C2722">
        <f>Sources!D2722</f>
        <v/>
      </c>
      <c r="D2722">
        <f>Sources!E2722</f>
        <v/>
      </c>
      <c r="E2722">
        <f>Sources!F2722</f>
        <v/>
      </c>
      <c r="F2722">
        <f>Sources!H2722</f>
        <v/>
      </c>
      <c r="G2722">
        <f>IF(ABS(F2722-ROUND(F2722,0))&lt;0.001,1,0)</f>
        <v/>
      </c>
      <c r="H2722">
        <f>IF(G2722=1,F2722,CEILING(F2722,1))</f>
        <v/>
      </c>
      <c r="I2722">
        <f>IF(G2722=1,0,(H2722-F2722)*E2722)</f>
        <v/>
      </c>
      <c r="J2722">
        <f>E2722*F2722</f>
        <v/>
      </c>
    </row>
    <row r="2723">
      <c r="A2723">
        <f>Sources!A2723</f>
        <v/>
      </c>
      <c r="B2723">
        <f>Sources!B2723</f>
        <v/>
      </c>
      <c r="C2723">
        <f>Sources!D2723</f>
        <v/>
      </c>
      <c r="D2723">
        <f>Sources!E2723</f>
        <v/>
      </c>
      <c r="E2723">
        <f>Sources!F2723</f>
        <v/>
      </c>
      <c r="F2723">
        <f>Sources!H2723</f>
        <v/>
      </c>
      <c r="G2723">
        <f>IF(ABS(F2723-ROUND(F2723,0))&lt;0.001,1,0)</f>
        <v/>
      </c>
      <c r="H2723">
        <f>IF(G2723=1,F2723,CEILING(F2723,1))</f>
        <v/>
      </c>
      <c r="I2723">
        <f>IF(G2723=1,0,(H2723-F2723)*E2723)</f>
        <v/>
      </c>
      <c r="J2723">
        <f>E2723*F2723</f>
        <v/>
      </c>
    </row>
    <row r="2724">
      <c r="A2724">
        <f>Sources!A2724</f>
        <v/>
      </c>
      <c r="B2724">
        <f>Sources!B2724</f>
        <v/>
      </c>
      <c r="C2724">
        <f>Sources!D2724</f>
        <v/>
      </c>
      <c r="D2724">
        <f>Sources!E2724</f>
        <v/>
      </c>
      <c r="E2724">
        <f>Sources!F2724</f>
        <v/>
      </c>
      <c r="F2724">
        <f>Sources!H2724</f>
        <v/>
      </c>
      <c r="G2724">
        <f>IF(ABS(F2724-ROUND(F2724,0))&lt;0.001,1,0)</f>
        <v/>
      </c>
      <c r="H2724">
        <f>IF(G2724=1,F2724,CEILING(F2724,1))</f>
        <v/>
      </c>
      <c r="I2724">
        <f>IF(G2724=1,0,(H2724-F2724)*E2724)</f>
        <v/>
      </c>
      <c r="J2724">
        <f>E2724*F2724</f>
        <v/>
      </c>
    </row>
    <row r="2725">
      <c r="A2725">
        <f>Sources!A2725</f>
        <v/>
      </c>
      <c r="B2725">
        <f>Sources!B2725</f>
        <v/>
      </c>
      <c r="C2725">
        <f>Sources!D2725</f>
        <v/>
      </c>
      <c r="D2725">
        <f>Sources!E2725</f>
        <v/>
      </c>
      <c r="E2725">
        <f>Sources!F2725</f>
        <v/>
      </c>
      <c r="F2725">
        <f>Sources!H2725</f>
        <v/>
      </c>
      <c r="G2725">
        <f>IF(ABS(F2725-ROUND(F2725,0))&lt;0.001,1,0)</f>
        <v/>
      </c>
      <c r="H2725">
        <f>IF(G2725=1,F2725,CEILING(F2725,1))</f>
        <v/>
      </c>
      <c r="I2725">
        <f>IF(G2725=1,0,(H2725-F2725)*E2725)</f>
        <v/>
      </c>
      <c r="J2725">
        <f>E2725*F2725</f>
        <v/>
      </c>
    </row>
    <row r="2726">
      <c r="A2726">
        <f>Sources!A2726</f>
        <v/>
      </c>
      <c r="B2726">
        <f>Sources!B2726</f>
        <v/>
      </c>
      <c r="C2726">
        <f>Sources!D2726</f>
        <v/>
      </c>
      <c r="D2726">
        <f>Sources!E2726</f>
        <v/>
      </c>
      <c r="E2726">
        <f>Sources!F2726</f>
        <v/>
      </c>
      <c r="F2726">
        <f>Sources!H2726</f>
        <v/>
      </c>
      <c r="G2726">
        <f>IF(ABS(F2726-ROUND(F2726,0))&lt;0.001,1,0)</f>
        <v/>
      </c>
      <c r="H2726">
        <f>IF(G2726=1,F2726,CEILING(F2726,1))</f>
        <v/>
      </c>
      <c r="I2726">
        <f>IF(G2726=1,0,(H2726-F2726)*E2726)</f>
        <v/>
      </c>
      <c r="J2726">
        <f>E2726*F2726</f>
        <v/>
      </c>
    </row>
    <row r="2727">
      <c r="A2727">
        <f>Sources!A2727</f>
        <v/>
      </c>
      <c r="B2727">
        <f>Sources!B2727</f>
        <v/>
      </c>
      <c r="C2727">
        <f>Sources!D2727</f>
        <v/>
      </c>
      <c r="D2727">
        <f>Sources!E2727</f>
        <v/>
      </c>
      <c r="E2727">
        <f>Sources!F2727</f>
        <v/>
      </c>
      <c r="F2727">
        <f>Sources!H2727</f>
        <v/>
      </c>
      <c r="G2727">
        <f>IF(ABS(F2727-ROUND(F2727,0))&lt;0.001,1,0)</f>
        <v/>
      </c>
      <c r="H2727">
        <f>IF(G2727=1,F2727,CEILING(F2727,1))</f>
        <v/>
      </c>
      <c r="I2727">
        <f>IF(G2727=1,0,(H2727-F2727)*E2727)</f>
        <v/>
      </c>
      <c r="J2727">
        <f>E2727*F2727</f>
        <v/>
      </c>
    </row>
    <row r="2728">
      <c r="A2728">
        <f>Sources!A2728</f>
        <v/>
      </c>
      <c r="B2728">
        <f>Sources!B2728</f>
        <v/>
      </c>
      <c r="C2728">
        <f>Sources!D2728</f>
        <v/>
      </c>
      <c r="D2728">
        <f>Sources!E2728</f>
        <v/>
      </c>
      <c r="E2728">
        <f>Sources!F2728</f>
        <v/>
      </c>
      <c r="F2728">
        <f>Sources!H2728</f>
        <v/>
      </c>
      <c r="G2728">
        <f>IF(ABS(F2728-ROUND(F2728,0))&lt;0.001,1,0)</f>
        <v/>
      </c>
      <c r="H2728">
        <f>IF(G2728=1,F2728,CEILING(F2728,1))</f>
        <v/>
      </c>
      <c r="I2728">
        <f>IF(G2728=1,0,(H2728-F2728)*E2728)</f>
        <v/>
      </c>
      <c r="J2728">
        <f>E2728*F2728</f>
        <v/>
      </c>
    </row>
    <row r="2729">
      <c r="A2729">
        <f>Sources!A2729</f>
        <v/>
      </c>
      <c r="B2729">
        <f>Sources!B2729</f>
        <v/>
      </c>
      <c r="C2729">
        <f>Sources!D2729</f>
        <v/>
      </c>
      <c r="D2729">
        <f>Sources!E2729</f>
        <v/>
      </c>
      <c r="E2729">
        <f>Sources!F2729</f>
        <v/>
      </c>
      <c r="F2729">
        <f>Sources!H2729</f>
        <v/>
      </c>
      <c r="G2729">
        <f>IF(ABS(F2729-ROUND(F2729,0))&lt;0.001,1,0)</f>
        <v/>
      </c>
      <c r="H2729">
        <f>IF(G2729=1,F2729,CEILING(F2729,1))</f>
        <v/>
      </c>
      <c r="I2729">
        <f>IF(G2729=1,0,(H2729-F2729)*E2729)</f>
        <v/>
      </c>
      <c r="J2729">
        <f>E2729*F2729</f>
        <v/>
      </c>
    </row>
    <row r="2730">
      <c r="A2730">
        <f>Sources!A2730</f>
        <v/>
      </c>
      <c r="B2730">
        <f>Sources!B2730</f>
        <v/>
      </c>
      <c r="C2730">
        <f>Sources!D2730</f>
        <v/>
      </c>
      <c r="D2730">
        <f>Sources!E2730</f>
        <v/>
      </c>
      <c r="E2730">
        <f>Sources!F2730</f>
        <v/>
      </c>
      <c r="F2730">
        <f>Sources!H2730</f>
        <v/>
      </c>
      <c r="G2730">
        <f>IF(ABS(F2730-ROUND(F2730,0))&lt;0.001,1,0)</f>
        <v/>
      </c>
      <c r="H2730">
        <f>IF(G2730=1,F2730,CEILING(F2730,1))</f>
        <v/>
      </c>
      <c r="I2730">
        <f>IF(G2730=1,0,(H2730-F2730)*E2730)</f>
        <v/>
      </c>
      <c r="J2730">
        <f>E2730*F2730</f>
        <v/>
      </c>
    </row>
    <row r="2731">
      <c r="A2731">
        <f>Sources!A2731</f>
        <v/>
      </c>
      <c r="B2731">
        <f>Sources!B2731</f>
        <v/>
      </c>
      <c r="C2731">
        <f>Sources!D2731</f>
        <v/>
      </c>
      <c r="D2731">
        <f>Sources!E2731</f>
        <v/>
      </c>
      <c r="E2731">
        <f>Sources!F2731</f>
        <v/>
      </c>
      <c r="F2731">
        <f>Sources!H2731</f>
        <v/>
      </c>
      <c r="G2731">
        <f>IF(ABS(F2731-ROUND(F2731,0))&lt;0.001,1,0)</f>
        <v/>
      </c>
      <c r="H2731">
        <f>IF(G2731=1,F2731,CEILING(F2731,1))</f>
        <v/>
      </c>
      <c r="I2731">
        <f>IF(G2731=1,0,(H2731-F2731)*E2731)</f>
        <v/>
      </c>
      <c r="J2731">
        <f>E2731*F2731</f>
        <v/>
      </c>
    </row>
    <row r="2732">
      <c r="A2732">
        <f>Sources!A2732</f>
        <v/>
      </c>
      <c r="B2732">
        <f>Sources!B2732</f>
        <v/>
      </c>
      <c r="C2732">
        <f>Sources!D2732</f>
        <v/>
      </c>
      <c r="D2732">
        <f>Sources!E2732</f>
        <v/>
      </c>
      <c r="E2732">
        <f>Sources!F2732</f>
        <v/>
      </c>
      <c r="F2732">
        <f>Sources!H2732</f>
        <v/>
      </c>
      <c r="G2732">
        <f>IF(ABS(F2732-ROUND(F2732,0))&lt;0.001,1,0)</f>
        <v/>
      </c>
      <c r="H2732">
        <f>IF(G2732=1,F2732,CEILING(F2732,1))</f>
        <v/>
      </c>
      <c r="I2732">
        <f>IF(G2732=1,0,(H2732-F2732)*E2732)</f>
        <v/>
      </c>
      <c r="J2732">
        <f>E2732*F2732</f>
        <v/>
      </c>
    </row>
    <row r="2733">
      <c r="A2733">
        <f>Sources!A2733</f>
        <v/>
      </c>
      <c r="B2733">
        <f>Sources!B2733</f>
        <v/>
      </c>
      <c r="C2733">
        <f>Sources!D2733</f>
        <v/>
      </c>
      <c r="D2733">
        <f>Sources!E2733</f>
        <v/>
      </c>
      <c r="E2733">
        <f>Sources!F2733</f>
        <v/>
      </c>
      <c r="F2733">
        <f>Sources!H2733</f>
        <v/>
      </c>
      <c r="G2733">
        <f>IF(ABS(F2733-ROUND(F2733,0))&lt;0.001,1,0)</f>
        <v/>
      </c>
      <c r="H2733">
        <f>IF(G2733=1,F2733,CEILING(F2733,1))</f>
        <v/>
      </c>
      <c r="I2733">
        <f>IF(G2733=1,0,(H2733-F2733)*E2733)</f>
        <v/>
      </c>
      <c r="J2733">
        <f>E2733*F2733</f>
        <v/>
      </c>
    </row>
    <row r="2734">
      <c r="A2734">
        <f>Sources!A2734</f>
        <v/>
      </c>
      <c r="B2734">
        <f>Sources!B2734</f>
        <v/>
      </c>
      <c r="C2734">
        <f>Sources!D2734</f>
        <v/>
      </c>
      <c r="D2734">
        <f>Sources!E2734</f>
        <v/>
      </c>
      <c r="E2734">
        <f>Sources!F2734</f>
        <v/>
      </c>
      <c r="F2734">
        <f>Sources!H2734</f>
        <v/>
      </c>
      <c r="G2734">
        <f>IF(ABS(F2734-ROUND(F2734,0))&lt;0.001,1,0)</f>
        <v/>
      </c>
      <c r="H2734">
        <f>IF(G2734=1,F2734,CEILING(F2734,1))</f>
        <v/>
      </c>
      <c r="I2734">
        <f>IF(G2734=1,0,(H2734-F2734)*E2734)</f>
        <v/>
      </c>
      <c r="J2734">
        <f>E2734*F2734</f>
        <v/>
      </c>
    </row>
    <row r="2735">
      <c r="A2735">
        <f>Sources!A2735</f>
        <v/>
      </c>
      <c r="B2735">
        <f>Sources!B2735</f>
        <v/>
      </c>
      <c r="C2735">
        <f>Sources!D2735</f>
        <v/>
      </c>
      <c r="D2735">
        <f>Sources!E2735</f>
        <v/>
      </c>
      <c r="E2735">
        <f>Sources!F2735</f>
        <v/>
      </c>
      <c r="F2735">
        <f>Sources!H2735</f>
        <v/>
      </c>
      <c r="G2735">
        <f>IF(ABS(F2735-ROUND(F2735,0))&lt;0.001,1,0)</f>
        <v/>
      </c>
      <c r="H2735">
        <f>IF(G2735=1,F2735,CEILING(F2735,1))</f>
        <v/>
      </c>
      <c r="I2735">
        <f>IF(G2735=1,0,(H2735-F2735)*E2735)</f>
        <v/>
      </c>
      <c r="J2735">
        <f>E2735*F2735</f>
        <v/>
      </c>
    </row>
    <row r="2736">
      <c r="A2736">
        <f>Sources!A2736</f>
        <v/>
      </c>
      <c r="B2736">
        <f>Sources!B2736</f>
        <v/>
      </c>
      <c r="C2736">
        <f>Sources!D2736</f>
        <v/>
      </c>
      <c r="D2736">
        <f>Sources!E2736</f>
        <v/>
      </c>
      <c r="E2736">
        <f>Sources!F2736</f>
        <v/>
      </c>
      <c r="F2736">
        <f>Sources!H2736</f>
        <v/>
      </c>
      <c r="G2736">
        <f>IF(ABS(F2736-ROUND(F2736,0))&lt;0.001,1,0)</f>
        <v/>
      </c>
      <c r="H2736">
        <f>IF(G2736=1,F2736,CEILING(F2736,1))</f>
        <v/>
      </c>
      <c r="I2736">
        <f>IF(G2736=1,0,(H2736-F2736)*E2736)</f>
        <v/>
      </c>
      <c r="J2736">
        <f>E2736*F2736</f>
        <v/>
      </c>
    </row>
    <row r="2737">
      <c r="A2737">
        <f>Sources!A2737</f>
        <v/>
      </c>
      <c r="B2737">
        <f>Sources!B2737</f>
        <v/>
      </c>
      <c r="C2737">
        <f>Sources!D2737</f>
        <v/>
      </c>
      <c r="D2737">
        <f>Sources!E2737</f>
        <v/>
      </c>
      <c r="E2737">
        <f>Sources!F2737</f>
        <v/>
      </c>
      <c r="F2737">
        <f>Sources!H2737</f>
        <v/>
      </c>
      <c r="G2737">
        <f>IF(ABS(F2737-ROUND(F2737,0))&lt;0.001,1,0)</f>
        <v/>
      </c>
      <c r="H2737">
        <f>IF(G2737=1,F2737,CEILING(F2737,1))</f>
        <v/>
      </c>
      <c r="I2737">
        <f>IF(G2737=1,0,(H2737-F2737)*E2737)</f>
        <v/>
      </c>
      <c r="J2737">
        <f>E2737*F2737</f>
        <v/>
      </c>
    </row>
    <row r="2738">
      <c r="A2738">
        <f>Sources!A2738</f>
        <v/>
      </c>
      <c r="B2738">
        <f>Sources!B2738</f>
        <v/>
      </c>
      <c r="C2738">
        <f>Sources!D2738</f>
        <v/>
      </c>
      <c r="D2738">
        <f>Sources!E2738</f>
        <v/>
      </c>
      <c r="E2738">
        <f>Sources!F2738</f>
        <v/>
      </c>
      <c r="F2738">
        <f>Sources!H2738</f>
        <v/>
      </c>
      <c r="G2738">
        <f>IF(ABS(F2738-ROUND(F2738,0))&lt;0.001,1,0)</f>
        <v/>
      </c>
      <c r="H2738">
        <f>IF(G2738=1,F2738,CEILING(F2738,1))</f>
        <v/>
      </c>
      <c r="I2738">
        <f>IF(G2738=1,0,(H2738-F2738)*E2738)</f>
        <v/>
      </c>
      <c r="J2738">
        <f>E2738*F2738</f>
        <v/>
      </c>
    </row>
    <row r="2739">
      <c r="A2739">
        <f>Sources!A2739</f>
        <v/>
      </c>
      <c r="B2739">
        <f>Sources!B2739</f>
        <v/>
      </c>
      <c r="C2739">
        <f>Sources!D2739</f>
        <v/>
      </c>
      <c r="D2739">
        <f>Sources!E2739</f>
        <v/>
      </c>
      <c r="E2739">
        <f>Sources!F2739</f>
        <v/>
      </c>
      <c r="F2739">
        <f>Sources!H2739</f>
        <v/>
      </c>
      <c r="G2739">
        <f>IF(ABS(F2739-ROUND(F2739,0))&lt;0.001,1,0)</f>
        <v/>
      </c>
      <c r="H2739">
        <f>IF(G2739=1,F2739,CEILING(F2739,1))</f>
        <v/>
      </c>
      <c r="I2739">
        <f>IF(G2739=1,0,(H2739-F2739)*E2739)</f>
        <v/>
      </c>
      <c r="J2739">
        <f>E2739*F2739</f>
        <v/>
      </c>
    </row>
    <row r="2740">
      <c r="A2740">
        <f>Sources!A2740</f>
        <v/>
      </c>
      <c r="B2740">
        <f>Sources!B2740</f>
        <v/>
      </c>
      <c r="C2740">
        <f>Sources!D2740</f>
        <v/>
      </c>
      <c r="D2740">
        <f>Sources!E2740</f>
        <v/>
      </c>
      <c r="E2740">
        <f>Sources!F2740</f>
        <v/>
      </c>
      <c r="F2740">
        <f>Sources!H2740</f>
        <v/>
      </c>
      <c r="G2740">
        <f>IF(ABS(F2740-ROUND(F2740,0))&lt;0.001,1,0)</f>
        <v/>
      </c>
      <c r="H2740">
        <f>IF(G2740=1,F2740,CEILING(F2740,1))</f>
        <v/>
      </c>
      <c r="I2740">
        <f>IF(G2740=1,0,(H2740-F2740)*E2740)</f>
        <v/>
      </c>
      <c r="J2740">
        <f>E2740*F2740</f>
        <v/>
      </c>
    </row>
    <row r="2741">
      <c r="A2741">
        <f>Sources!A2741</f>
        <v/>
      </c>
      <c r="B2741">
        <f>Sources!B2741</f>
        <v/>
      </c>
      <c r="C2741">
        <f>Sources!D2741</f>
        <v/>
      </c>
      <c r="D2741">
        <f>Sources!E2741</f>
        <v/>
      </c>
      <c r="E2741">
        <f>Sources!F2741</f>
        <v/>
      </c>
      <c r="F2741">
        <f>Sources!H2741</f>
        <v/>
      </c>
      <c r="G2741">
        <f>IF(ABS(F2741-ROUND(F2741,0))&lt;0.001,1,0)</f>
        <v/>
      </c>
      <c r="H2741">
        <f>IF(G2741=1,F2741,CEILING(F2741,1))</f>
        <v/>
      </c>
      <c r="I2741">
        <f>IF(G2741=1,0,(H2741-F2741)*E2741)</f>
        <v/>
      </c>
      <c r="J2741">
        <f>E2741*F2741</f>
        <v/>
      </c>
    </row>
    <row r="2742">
      <c r="A2742">
        <f>Sources!A2742</f>
        <v/>
      </c>
      <c r="B2742">
        <f>Sources!B2742</f>
        <v/>
      </c>
      <c r="C2742">
        <f>Sources!D2742</f>
        <v/>
      </c>
      <c r="D2742">
        <f>Sources!E2742</f>
        <v/>
      </c>
      <c r="E2742">
        <f>Sources!F2742</f>
        <v/>
      </c>
      <c r="F2742">
        <f>Sources!H2742</f>
        <v/>
      </c>
      <c r="G2742">
        <f>IF(ABS(F2742-ROUND(F2742,0))&lt;0.001,1,0)</f>
        <v/>
      </c>
      <c r="H2742">
        <f>IF(G2742=1,F2742,CEILING(F2742,1))</f>
        <v/>
      </c>
      <c r="I2742">
        <f>IF(G2742=1,0,(H2742-F2742)*E2742)</f>
        <v/>
      </c>
      <c r="J2742">
        <f>E2742*F2742</f>
        <v/>
      </c>
    </row>
    <row r="2743">
      <c r="A2743">
        <f>Sources!A2743</f>
        <v/>
      </c>
      <c r="B2743">
        <f>Sources!B2743</f>
        <v/>
      </c>
      <c r="C2743">
        <f>Sources!D2743</f>
        <v/>
      </c>
      <c r="D2743">
        <f>Sources!E2743</f>
        <v/>
      </c>
      <c r="E2743">
        <f>Sources!F2743</f>
        <v/>
      </c>
      <c r="F2743">
        <f>Sources!H2743</f>
        <v/>
      </c>
      <c r="G2743">
        <f>IF(ABS(F2743-ROUND(F2743,0))&lt;0.001,1,0)</f>
        <v/>
      </c>
      <c r="H2743">
        <f>IF(G2743=1,F2743,CEILING(F2743,1))</f>
        <v/>
      </c>
      <c r="I2743">
        <f>IF(G2743=1,0,(H2743-F2743)*E2743)</f>
        <v/>
      </c>
      <c r="J2743">
        <f>E2743*F2743</f>
        <v/>
      </c>
    </row>
    <row r="2744">
      <c r="A2744">
        <f>Sources!A2744</f>
        <v/>
      </c>
      <c r="B2744">
        <f>Sources!B2744</f>
        <v/>
      </c>
      <c r="C2744">
        <f>Sources!D2744</f>
        <v/>
      </c>
      <c r="D2744">
        <f>Sources!E2744</f>
        <v/>
      </c>
      <c r="E2744">
        <f>Sources!F2744</f>
        <v/>
      </c>
      <c r="F2744">
        <f>Sources!H2744</f>
        <v/>
      </c>
      <c r="G2744">
        <f>IF(ABS(F2744-ROUND(F2744,0))&lt;0.001,1,0)</f>
        <v/>
      </c>
      <c r="H2744">
        <f>IF(G2744=1,F2744,CEILING(F2744,1))</f>
        <v/>
      </c>
      <c r="I2744">
        <f>IF(G2744=1,0,(H2744-F2744)*E2744)</f>
        <v/>
      </c>
      <c r="J2744">
        <f>E2744*F2744</f>
        <v/>
      </c>
    </row>
    <row r="2745">
      <c r="A2745">
        <f>Sources!A2745</f>
        <v/>
      </c>
      <c r="B2745">
        <f>Sources!B2745</f>
        <v/>
      </c>
      <c r="C2745">
        <f>Sources!D2745</f>
        <v/>
      </c>
      <c r="D2745">
        <f>Sources!E2745</f>
        <v/>
      </c>
      <c r="E2745">
        <f>Sources!F2745</f>
        <v/>
      </c>
      <c r="F2745">
        <f>Sources!H2745</f>
        <v/>
      </c>
      <c r="G2745">
        <f>IF(ABS(F2745-ROUND(F2745,0))&lt;0.001,1,0)</f>
        <v/>
      </c>
      <c r="H2745">
        <f>IF(G2745=1,F2745,CEILING(F2745,1))</f>
        <v/>
      </c>
      <c r="I2745">
        <f>IF(G2745=1,0,(H2745-F2745)*E2745)</f>
        <v/>
      </c>
      <c r="J2745">
        <f>E2745*F2745</f>
        <v/>
      </c>
    </row>
    <row r="2746">
      <c r="A2746">
        <f>Sources!A2746</f>
        <v/>
      </c>
      <c r="B2746">
        <f>Sources!B2746</f>
        <v/>
      </c>
      <c r="C2746">
        <f>Sources!D2746</f>
        <v/>
      </c>
      <c r="D2746">
        <f>Sources!E2746</f>
        <v/>
      </c>
      <c r="E2746">
        <f>Sources!F2746</f>
        <v/>
      </c>
      <c r="F2746">
        <f>Sources!H2746</f>
        <v/>
      </c>
      <c r="G2746">
        <f>IF(ABS(F2746-ROUND(F2746,0))&lt;0.001,1,0)</f>
        <v/>
      </c>
      <c r="H2746">
        <f>IF(G2746=1,F2746,CEILING(F2746,1))</f>
        <v/>
      </c>
      <c r="I2746">
        <f>IF(G2746=1,0,(H2746-F2746)*E2746)</f>
        <v/>
      </c>
      <c r="J2746">
        <f>E2746*F2746</f>
        <v/>
      </c>
    </row>
    <row r="2747">
      <c r="A2747">
        <f>Sources!A2747</f>
        <v/>
      </c>
      <c r="B2747">
        <f>Sources!B2747</f>
        <v/>
      </c>
      <c r="C2747">
        <f>Sources!D2747</f>
        <v/>
      </c>
      <c r="D2747">
        <f>Sources!E2747</f>
        <v/>
      </c>
      <c r="E2747">
        <f>Sources!F2747</f>
        <v/>
      </c>
      <c r="F2747">
        <f>Sources!H2747</f>
        <v/>
      </c>
      <c r="G2747">
        <f>IF(ABS(F2747-ROUND(F2747,0))&lt;0.001,1,0)</f>
        <v/>
      </c>
      <c r="H2747">
        <f>IF(G2747=1,F2747,CEILING(F2747,1))</f>
        <v/>
      </c>
      <c r="I2747">
        <f>IF(G2747=1,0,(H2747-F2747)*E2747)</f>
        <v/>
      </c>
      <c r="J2747">
        <f>E2747*F2747</f>
        <v/>
      </c>
    </row>
    <row r="2748">
      <c r="A2748">
        <f>Sources!A2748</f>
        <v/>
      </c>
      <c r="B2748">
        <f>Sources!B2748</f>
        <v/>
      </c>
      <c r="C2748">
        <f>Sources!D2748</f>
        <v/>
      </c>
      <c r="D2748">
        <f>Sources!E2748</f>
        <v/>
      </c>
      <c r="E2748">
        <f>Sources!F2748</f>
        <v/>
      </c>
      <c r="F2748">
        <f>Sources!H2748</f>
        <v/>
      </c>
      <c r="G2748">
        <f>IF(ABS(F2748-ROUND(F2748,0))&lt;0.001,1,0)</f>
        <v/>
      </c>
      <c r="H2748">
        <f>IF(G2748=1,F2748,CEILING(F2748,1))</f>
        <v/>
      </c>
      <c r="I2748">
        <f>IF(G2748=1,0,(H2748-F2748)*E2748)</f>
        <v/>
      </c>
      <c r="J2748">
        <f>E2748*F2748</f>
        <v/>
      </c>
    </row>
    <row r="2749">
      <c r="A2749">
        <f>Sources!A2749</f>
        <v/>
      </c>
      <c r="B2749">
        <f>Sources!B2749</f>
        <v/>
      </c>
      <c r="C2749">
        <f>Sources!D2749</f>
        <v/>
      </c>
      <c r="D2749">
        <f>Sources!E2749</f>
        <v/>
      </c>
      <c r="E2749">
        <f>Sources!F2749</f>
        <v/>
      </c>
      <c r="F2749">
        <f>Sources!H2749</f>
        <v/>
      </c>
      <c r="G2749">
        <f>IF(ABS(F2749-ROUND(F2749,0))&lt;0.001,1,0)</f>
        <v/>
      </c>
      <c r="H2749">
        <f>IF(G2749=1,F2749,CEILING(F2749,1))</f>
        <v/>
      </c>
      <c r="I2749">
        <f>IF(G2749=1,0,(H2749-F2749)*E2749)</f>
        <v/>
      </c>
      <c r="J2749">
        <f>E2749*F2749</f>
        <v/>
      </c>
    </row>
    <row r="2750">
      <c r="A2750">
        <f>Sources!A2750</f>
        <v/>
      </c>
      <c r="B2750">
        <f>Sources!B2750</f>
        <v/>
      </c>
      <c r="C2750">
        <f>Sources!D2750</f>
        <v/>
      </c>
      <c r="D2750">
        <f>Sources!E2750</f>
        <v/>
      </c>
      <c r="E2750">
        <f>Sources!F2750</f>
        <v/>
      </c>
      <c r="F2750">
        <f>Sources!H2750</f>
        <v/>
      </c>
      <c r="G2750">
        <f>IF(ABS(F2750-ROUND(F2750,0))&lt;0.001,1,0)</f>
        <v/>
      </c>
      <c r="H2750">
        <f>IF(G2750=1,F2750,CEILING(F2750,1))</f>
        <v/>
      </c>
      <c r="I2750">
        <f>IF(G2750=1,0,(H2750-F2750)*E2750)</f>
        <v/>
      </c>
      <c r="J2750">
        <f>E2750*F2750</f>
        <v/>
      </c>
    </row>
    <row r="2751">
      <c r="A2751">
        <f>Sources!A2751</f>
        <v/>
      </c>
      <c r="B2751">
        <f>Sources!B2751</f>
        <v/>
      </c>
      <c r="C2751">
        <f>Sources!D2751</f>
        <v/>
      </c>
      <c r="D2751">
        <f>Sources!E2751</f>
        <v/>
      </c>
      <c r="E2751">
        <f>Sources!F2751</f>
        <v/>
      </c>
      <c r="F2751">
        <f>Sources!H2751</f>
        <v/>
      </c>
      <c r="G2751">
        <f>IF(ABS(F2751-ROUND(F2751,0))&lt;0.001,1,0)</f>
        <v/>
      </c>
      <c r="H2751">
        <f>IF(G2751=1,F2751,CEILING(F2751,1))</f>
        <v/>
      </c>
      <c r="I2751">
        <f>IF(G2751=1,0,(H2751-F2751)*E2751)</f>
        <v/>
      </c>
      <c r="J2751">
        <f>E2751*F2751</f>
        <v/>
      </c>
    </row>
    <row r="2752">
      <c r="A2752">
        <f>Sources!A2752</f>
        <v/>
      </c>
      <c r="B2752">
        <f>Sources!B2752</f>
        <v/>
      </c>
      <c r="C2752">
        <f>Sources!D2752</f>
        <v/>
      </c>
      <c r="D2752">
        <f>Sources!E2752</f>
        <v/>
      </c>
      <c r="E2752">
        <f>Sources!F2752</f>
        <v/>
      </c>
      <c r="F2752">
        <f>Sources!H2752</f>
        <v/>
      </c>
      <c r="G2752">
        <f>IF(ABS(F2752-ROUND(F2752,0))&lt;0.001,1,0)</f>
        <v/>
      </c>
      <c r="H2752">
        <f>IF(G2752=1,F2752,CEILING(F2752,1))</f>
        <v/>
      </c>
      <c r="I2752">
        <f>IF(G2752=1,0,(H2752-F2752)*E2752)</f>
        <v/>
      </c>
      <c r="J2752">
        <f>E2752*F2752</f>
        <v/>
      </c>
    </row>
    <row r="2753">
      <c r="A2753">
        <f>Sources!A2753</f>
        <v/>
      </c>
      <c r="B2753">
        <f>Sources!B2753</f>
        <v/>
      </c>
      <c r="C2753">
        <f>Sources!D2753</f>
        <v/>
      </c>
      <c r="D2753">
        <f>Sources!E2753</f>
        <v/>
      </c>
      <c r="E2753">
        <f>Sources!F2753</f>
        <v/>
      </c>
      <c r="F2753">
        <f>Sources!H2753</f>
        <v/>
      </c>
      <c r="G2753">
        <f>IF(ABS(F2753-ROUND(F2753,0))&lt;0.001,1,0)</f>
        <v/>
      </c>
      <c r="H2753">
        <f>IF(G2753=1,F2753,CEILING(F2753,1))</f>
        <v/>
      </c>
      <c r="I2753">
        <f>IF(G2753=1,0,(H2753-F2753)*E2753)</f>
        <v/>
      </c>
      <c r="J2753">
        <f>E2753*F2753</f>
        <v/>
      </c>
    </row>
    <row r="2754">
      <c r="A2754">
        <f>Sources!A2754</f>
        <v/>
      </c>
      <c r="B2754">
        <f>Sources!B2754</f>
        <v/>
      </c>
      <c r="C2754">
        <f>Sources!D2754</f>
        <v/>
      </c>
      <c r="D2754">
        <f>Sources!E2754</f>
        <v/>
      </c>
      <c r="E2754">
        <f>Sources!F2754</f>
        <v/>
      </c>
      <c r="F2754">
        <f>Sources!H2754</f>
        <v/>
      </c>
      <c r="G2754">
        <f>IF(ABS(F2754-ROUND(F2754,0))&lt;0.001,1,0)</f>
        <v/>
      </c>
      <c r="H2754">
        <f>IF(G2754=1,F2754,CEILING(F2754,1))</f>
        <v/>
      </c>
      <c r="I2754">
        <f>IF(G2754=1,0,(H2754-F2754)*E2754)</f>
        <v/>
      </c>
      <c r="J2754">
        <f>E2754*F2754</f>
        <v/>
      </c>
    </row>
    <row r="2755">
      <c r="A2755">
        <f>Sources!A2755</f>
        <v/>
      </c>
      <c r="B2755">
        <f>Sources!B2755</f>
        <v/>
      </c>
      <c r="C2755">
        <f>Sources!D2755</f>
        <v/>
      </c>
      <c r="D2755">
        <f>Sources!E2755</f>
        <v/>
      </c>
      <c r="E2755">
        <f>Sources!F2755</f>
        <v/>
      </c>
      <c r="F2755">
        <f>Sources!H2755</f>
        <v/>
      </c>
      <c r="G2755">
        <f>IF(ABS(F2755-ROUND(F2755,0))&lt;0.001,1,0)</f>
        <v/>
      </c>
      <c r="H2755">
        <f>IF(G2755=1,F2755,CEILING(F2755,1))</f>
        <v/>
      </c>
      <c r="I2755">
        <f>IF(G2755=1,0,(H2755-F2755)*E2755)</f>
        <v/>
      </c>
      <c r="J2755">
        <f>E2755*F2755</f>
        <v/>
      </c>
    </row>
    <row r="2756">
      <c r="A2756">
        <f>Sources!A2756</f>
        <v/>
      </c>
      <c r="B2756">
        <f>Sources!B2756</f>
        <v/>
      </c>
      <c r="C2756">
        <f>Sources!D2756</f>
        <v/>
      </c>
      <c r="D2756">
        <f>Sources!E2756</f>
        <v/>
      </c>
      <c r="E2756">
        <f>Sources!F2756</f>
        <v/>
      </c>
      <c r="F2756">
        <f>Sources!H2756</f>
        <v/>
      </c>
      <c r="G2756">
        <f>IF(ABS(F2756-ROUND(F2756,0))&lt;0.001,1,0)</f>
        <v/>
      </c>
      <c r="H2756">
        <f>IF(G2756=1,F2756,CEILING(F2756,1))</f>
        <v/>
      </c>
      <c r="I2756">
        <f>IF(G2756=1,0,(H2756-F2756)*E2756)</f>
        <v/>
      </c>
      <c r="J2756">
        <f>E2756*F2756</f>
        <v/>
      </c>
    </row>
    <row r="2757">
      <c r="A2757">
        <f>Sources!A2757</f>
        <v/>
      </c>
      <c r="B2757">
        <f>Sources!B2757</f>
        <v/>
      </c>
      <c r="C2757">
        <f>Sources!D2757</f>
        <v/>
      </c>
      <c r="D2757">
        <f>Sources!E2757</f>
        <v/>
      </c>
      <c r="E2757">
        <f>Sources!F2757</f>
        <v/>
      </c>
      <c r="F2757">
        <f>Sources!H2757</f>
        <v/>
      </c>
      <c r="G2757">
        <f>IF(ABS(F2757-ROUND(F2757,0))&lt;0.001,1,0)</f>
        <v/>
      </c>
      <c r="H2757">
        <f>IF(G2757=1,F2757,CEILING(F2757,1))</f>
        <v/>
      </c>
      <c r="I2757">
        <f>IF(G2757=1,0,(H2757-F2757)*E2757)</f>
        <v/>
      </c>
      <c r="J2757">
        <f>E2757*F2757</f>
        <v/>
      </c>
    </row>
    <row r="2758">
      <c r="A2758">
        <f>Sources!A2758</f>
        <v/>
      </c>
      <c r="B2758">
        <f>Sources!B2758</f>
        <v/>
      </c>
      <c r="C2758">
        <f>Sources!D2758</f>
        <v/>
      </c>
      <c r="D2758">
        <f>Sources!E2758</f>
        <v/>
      </c>
      <c r="E2758">
        <f>Sources!F2758</f>
        <v/>
      </c>
      <c r="F2758">
        <f>Sources!H2758</f>
        <v/>
      </c>
      <c r="G2758">
        <f>IF(ABS(F2758-ROUND(F2758,0))&lt;0.001,1,0)</f>
        <v/>
      </c>
      <c r="H2758">
        <f>IF(G2758=1,F2758,CEILING(F2758,1))</f>
        <v/>
      </c>
      <c r="I2758">
        <f>IF(G2758=1,0,(H2758-F2758)*E2758)</f>
        <v/>
      </c>
      <c r="J2758">
        <f>E2758*F2758</f>
        <v/>
      </c>
    </row>
    <row r="2759">
      <c r="A2759">
        <f>Sources!A2759</f>
        <v/>
      </c>
      <c r="B2759">
        <f>Sources!B2759</f>
        <v/>
      </c>
      <c r="C2759">
        <f>Sources!D2759</f>
        <v/>
      </c>
      <c r="D2759">
        <f>Sources!E2759</f>
        <v/>
      </c>
      <c r="E2759">
        <f>Sources!F2759</f>
        <v/>
      </c>
      <c r="F2759">
        <f>Sources!H2759</f>
        <v/>
      </c>
      <c r="G2759">
        <f>IF(ABS(F2759-ROUND(F2759,0))&lt;0.001,1,0)</f>
        <v/>
      </c>
      <c r="H2759">
        <f>IF(G2759=1,F2759,CEILING(F2759,1))</f>
        <v/>
      </c>
      <c r="I2759">
        <f>IF(G2759=1,0,(H2759-F2759)*E2759)</f>
        <v/>
      </c>
      <c r="J2759">
        <f>E2759*F2759</f>
        <v/>
      </c>
    </row>
    <row r="2760">
      <c r="A2760">
        <f>Sources!A2760</f>
        <v/>
      </c>
      <c r="B2760">
        <f>Sources!B2760</f>
        <v/>
      </c>
      <c r="C2760">
        <f>Sources!D2760</f>
        <v/>
      </c>
      <c r="D2760">
        <f>Sources!E2760</f>
        <v/>
      </c>
      <c r="E2760">
        <f>Sources!F2760</f>
        <v/>
      </c>
      <c r="F2760">
        <f>Sources!H2760</f>
        <v/>
      </c>
      <c r="G2760">
        <f>IF(ABS(F2760-ROUND(F2760,0))&lt;0.001,1,0)</f>
        <v/>
      </c>
      <c r="H2760">
        <f>IF(G2760=1,F2760,CEILING(F2760,1))</f>
        <v/>
      </c>
      <c r="I2760">
        <f>IF(G2760=1,0,(H2760-F2760)*E2760)</f>
        <v/>
      </c>
      <c r="J2760">
        <f>E2760*F2760</f>
        <v/>
      </c>
    </row>
    <row r="2761">
      <c r="A2761">
        <f>Sources!A2761</f>
        <v/>
      </c>
      <c r="B2761">
        <f>Sources!B2761</f>
        <v/>
      </c>
      <c r="C2761">
        <f>Sources!D2761</f>
        <v/>
      </c>
      <c r="D2761">
        <f>Sources!E2761</f>
        <v/>
      </c>
      <c r="E2761">
        <f>Sources!F2761</f>
        <v/>
      </c>
      <c r="F2761">
        <f>Sources!H2761</f>
        <v/>
      </c>
      <c r="G2761">
        <f>IF(ABS(F2761-ROUND(F2761,0))&lt;0.001,1,0)</f>
        <v/>
      </c>
      <c r="H2761">
        <f>IF(G2761=1,F2761,CEILING(F2761,1))</f>
        <v/>
      </c>
      <c r="I2761">
        <f>IF(G2761=1,0,(H2761-F2761)*E2761)</f>
        <v/>
      </c>
      <c r="J2761">
        <f>E2761*F2761</f>
        <v/>
      </c>
    </row>
    <row r="2762">
      <c r="A2762">
        <f>Sources!A2762</f>
        <v/>
      </c>
      <c r="B2762">
        <f>Sources!B2762</f>
        <v/>
      </c>
      <c r="C2762">
        <f>Sources!D2762</f>
        <v/>
      </c>
      <c r="D2762">
        <f>Sources!E2762</f>
        <v/>
      </c>
      <c r="E2762">
        <f>Sources!F2762</f>
        <v/>
      </c>
      <c r="F2762">
        <f>Sources!H2762</f>
        <v/>
      </c>
      <c r="G2762">
        <f>IF(ABS(F2762-ROUND(F2762,0))&lt;0.001,1,0)</f>
        <v/>
      </c>
      <c r="H2762">
        <f>IF(G2762=1,F2762,CEILING(F2762,1))</f>
        <v/>
      </c>
      <c r="I2762">
        <f>IF(G2762=1,0,(H2762-F2762)*E2762)</f>
        <v/>
      </c>
      <c r="J2762">
        <f>E2762*F2762</f>
        <v/>
      </c>
    </row>
    <row r="2763">
      <c r="A2763">
        <f>Sources!A2763</f>
        <v/>
      </c>
      <c r="B2763">
        <f>Sources!B2763</f>
        <v/>
      </c>
      <c r="C2763">
        <f>Sources!D2763</f>
        <v/>
      </c>
      <c r="D2763">
        <f>Sources!E2763</f>
        <v/>
      </c>
      <c r="E2763">
        <f>Sources!F2763</f>
        <v/>
      </c>
      <c r="F2763">
        <f>Sources!H2763</f>
        <v/>
      </c>
      <c r="G2763">
        <f>IF(ABS(F2763-ROUND(F2763,0))&lt;0.001,1,0)</f>
        <v/>
      </c>
      <c r="H2763">
        <f>IF(G2763=1,F2763,CEILING(F2763,1))</f>
        <v/>
      </c>
      <c r="I2763">
        <f>IF(G2763=1,0,(H2763-F2763)*E2763)</f>
        <v/>
      </c>
      <c r="J2763">
        <f>E2763*F2763</f>
        <v/>
      </c>
    </row>
    <row r="2764">
      <c r="A2764">
        <f>Sources!A2764</f>
        <v/>
      </c>
      <c r="B2764">
        <f>Sources!B2764</f>
        <v/>
      </c>
      <c r="C2764">
        <f>Sources!D2764</f>
        <v/>
      </c>
      <c r="D2764">
        <f>Sources!E2764</f>
        <v/>
      </c>
      <c r="E2764">
        <f>Sources!F2764</f>
        <v/>
      </c>
      <c r="F2764">
        <f>Sources!H2764</f>
        <v/>
      </c>
      <c r="G2764">
        <f>IF(ABS(F2764-ROUND(F2764,0))&lt;0.001,1,0)</f>
        <v/>
      </c>
      <c r="H2764">
        <f>IF(G2764=1,F2764,CEILING(F2764,1))</f>
        <v/>
      </c>
      <c r="I2764">
        <f>IF(G2764=1,0,(H2764-F2764)*E2764)</f>
        <v/>
      </c>
      <c r="J2764">
        <f>E2764*F2764</f>
        <v/>
      </c>
    </row>
    <row r="2765">
      <c r="A2765">
        <f>Sources!A2765</f>
        <v/>
      </c>
      <c r="B2765">
        <f>Sources!B2765</f>
        <v/>
      </c>
      <c r="C2765">
        <f>Sources!D2765</f>
        <v/>
      </c>
      <c r="D2765">
        <f>Sources!E2765</f>
        <v/>
      </c>
      <c r="E2765">
        <f>Sources!F2765</f>
        <v/>
      </c>
      <c r="F2765">
        <f>Sources!H2765</f>
        <v/>
      </c>
      <c r="G2765">
        <f>IF(ABS(F2765-ROUND(F2765,0))&lt;0.001,1,0)</f>
        <v/>
      </c>
      <c r="H2765">
        <f>IF(G2765=1,F2765,CEILING(F2765,1))</f>
        <v/>
      </c>
      <c r="I2765">
        <f>IF(G2765=1,0,(H2765-F2765)*E2765)</f>
        <v/>
      </c>
      <c r="J2765">
        <f>E2765*F2765</f>
        <v/>
      </c>
    </row>
    <row r="2766">
      <c r="A2766">
        <f>Sources!A2766</f>
        <v/>
      </c>
      <c r="B2766">
        <f>Sources!B2766</f>
        <v/>
      </c>
      <c r="C2766">
        <f>Sources!D2766</f>
        <v/>
      </c>
      <c r="D2766">
        <f>Sources!E2766</f>
        <v/>
      </c>
      <c r="E2766">
        <f>Sources!F2766</f>
        <v/>
      </c>
      <c r="F2766">
        <f>Sources!H2766</f>
        <v/>
      </c>
      <c r="G2766">
        <f>IF(ABS(F2766-ROUND(F2766,0))&lt;0.001,1,0)</f>
        <v/>
      </c>
      <c r="H2766">
        <f>IF(G2766=1,F2766,CEILING(F2766,1))</f>
        <v/>
      </c>
      <c r="I2766">
        <f>IF(G2766=1,0,(H2766-F2766)*E2766)</f>
        <v/>
      </c>
      <c r="J2766">
        <f>E2766*F2766</f>
        <v/>
      </c>
    </row>
    <row r="2767">
      <c r="A2767">
        <f>Sources!A2767</f>
        <v/>
      </c>
      <c r="B2767">
        <f>Sources!B2767</f>
        <v/>
      </c>
      <c r="C2767">
        <f>Sources!D2767</f>
        <v/>
      </c>
      <c r="D2767">
        <f>Sources!E2767</f>
        <v/>
      </c>
      <c r="E2767">
        <f>Sources!F2767</f>
        <v/>
      </c>
      <c r="F2767">
        <f>Sources!H2767</f>
        <v/>
      </c>
      <c r="G2767">
        <f>IF(ABS(F2767-ROUND(F2767,0))&lt;0.001,1,0)</f>
        <v/>
      </c>
      <c r="H2767">
        <f>IF(G2767=1,F2767,CEILING(F2767,1))</f>
        <v/>
      </c>
      <c r="I2767">
        <f>IF(G2767=1,0,(H2767-F2767)*E2767)</f>
        <v/>
      </c>
      <c r="J2767">
        <f>E2767*F2767</f>
        <v/>
      </c>
    </row>
    <row r="2768">
      <c r="A2768">
        <f>Sources!A2768</f>
        <v/>
      </c>
      <c r="B2768">
        <f>Sources!B2768</f>
        <v/>
      </c>
      <c r="C2768">
        <f>Sources!D2768</f>
        <v/>
      </c>
      <c r="D2768">
        <f>Sources!E2768</f>
        <v/>
      </c>
      <c r="E2768">
        <f>Sources!F2768</f>
        <v/>
      </c>
      <c r="F2768">
        <f>Sources!H2768</f>
        <v/>
      </c>
      <c r="G2768">
        <f>IF(ABS(F2768-ROUND(F2768,0))&lt;0.001,1,0)</f>
        <v/>
      </c>
      <c r="H2768">
        <f>IF(G2768=1,F2768,CEILING(F2768,1))</f>
        <v/>
      </c>
      <c r="I2768">
        <f>IF(G2768=1,0,(H2768-F2768)*E2768)</f>
        <v/>
      </c>
      <c r="J2768">
        <f>E2768*F2768</f>
        <v/>
      </c>
    </row>
    <row r="2769">
      <c r="A2769">
        <f>Sources!A2769</f>
        <v/>
      </c>
      <c r="B2769">
        <f>Sources!B2769</f>
        <v/>
      </c>
      <c r="C2769">
        <f>Sources!D2769</f>
        <v/>
      </c>
      <c r="D2769">
        <f>Sources!E2769</f>
        <v/>
      </c>
      <c r="E2769">
        <f>Sources!F2769</f>
        <v/>
      </c>
      <c r="F2769">
        <f>Sources!H2769</f>
        <v/>
      </c>
      <c r="G2769">
        <f>IF(ABS(F2769-ROUND(F2769,0))&lt;0.001,1,0)</f>
        <v/>
      </c>
      <c r="H2769">
        <f>IF(G2769=1,F2769,CEILING(F2769,1))</f>
        <v/>
      </c>
      <c r="I2769">
        <f>IF(G2769=1,0,(H2769-F2769)*E2769)</f>
        <v/>
      </c>
      <c r="J2769">
        <f>E2769*F2769</f>
        <v/>
      </c>
    </row>
    <row r="2770">
      <c r="A2770">
        <f>Sources!A2770</f>
        <v/>
      </c>
      <c r="B2770">
        <f>Sources!B2770</f>
        <v/>
      </c>
      <c r="C2770">
        <f>Sources!D2770</f>
        <v/>
      </c>
      <c r="D2770">
        <f>Sources!E2770</f>
        <v/>
      </c>
      <c r="E2770">
        <f>Sources!F2770</f>
        <v/>
      </c>
      <c r="F2770">
        <f>Sources!H2770</f>
        <v/>
      </c>
      <c r="G2770">
        <f>IF(ABS(F2770-ROUND(F2770,0))&lt;0.001,1,0)</f>
        <v/>
      </c>
      <c r="H2770">
        <f>IF(G2770=1,F2770,CEILING(F2770,1))</f>
        <v/>
      </c>
      <c r="I2770">
        <f>IF(G2770=1,0,(H2770-F2770)*E2770)</f>
        <v/>
      </c>
      <c r="J2770">
        <f>E2770*F2770</f>
        <v/>
      </c>
    </row>
    <row r="2771">
      <c r="A2771">
        <f>Sources!A2771</f>
        <v/>
      </c>
      <c r="B2771">
        <f>Sources!B2771</f>
        <v/>
      </c>
      <c r="C2771">
        <f>Sources!D2771</f>
        <v/>
      </c>
      <c r="D2771">
        <f>Sources!E2771</f>
        <v/>
      </c>
      <c r="E2771">
        <f>Sources!F2771</f>
        <v/>
      </c>
      <c r="F2771">
        <f>Sources!H2771</f>
        <v/>
      </c>
      <c r="G2771">
        <f>IF(ABS(F2771-ROUND(F2771,0))&lt;0.001,1,0)</f>
        <v/>
      </c>
      <c r="H2771">
        <f>IF(G2771=1,F2771,CEILING(F2771,1))</f>
        <v/>
      </c>
      <c r="I2771">
        <f>IF(G2771=1,0,(H2771-F2771)*E2771)</f>
        <v/>
      </c>
      <c r="J2771">
        <f>E2771*F2771</f>
        <v/>
      </c>
    </row>
    <row r="2772">
      <c r="A2772">
        <f>Sources!A2772</f>
        <v/>
      </c>
      <c r="B2772">
        <f>Sources!B2772</f>
        <v/>
      </c>
      <c r="C2772">
        <f>Sources!D2772</f>
        <v/>
      </c>
      <c r="D2772">
        <f>Sources!E2772</f>
        <v/>
      </c>
      <c r="E2772">
        <f>Sources!F2772</f>
        <v/>
      </c>
      <c r="F2772">
        <f>Sources!H2772</f>
        <v/>
      </c>
      <c r="G2772">
        <f>IF(ABS(F2772-ROUND(F2772,0))&lt;0.001,1,0)</f>
        <v/>
      </c>
      <c r="H2772">
        <f>IF(G2772=1,F2772,CEILING(F2772,1))</f>
        <v/>
      </c>
      <c r="I2772">
        <f>IF(G2772=1,0,(H2772-F2772)*E2772)</f>
        <v/>
      </c>
      <c r="J2772">
        <f>E2772*F2772</f>
        <v/>
      </c>
    </row>
    <row r="2773">
      <c r="A2773">
        <f>Sources!A2773</f>
        <v/>
      </c>
      <c r="B2773">
        <f>Sources!B2773</f>
        <v/>
      </c>
      <c r="C2773">
        <f>Sources!D2773</f>
        <v/>
      </c>
      <c r="D2773">
        <f>Sources!E2773</f>
        <v/>
      </c>
      <c r="E2773">
        <f>Sources!F2773</f>
        <v/>
      </c>
      <c r="F2773">
        <f>Sources!H2773</f>
        <v/>
      </c>
      <c r="G2773">
        <f>IF(ABS(F2773-ROUND(F2773,0))&lt;0.001,1,0)</f>
        <v/>
      </c>
      <c r="H2773">
        <f>IF(G2773=1,F2773,CEILING(F2773,1))</f>
        <v/>
      </c>
      <c r="I2773">
        <f>IF(G2773=1,0,(H2773-F2773)*E2773)</f>
        <v/>
      </c>
      <c r="J2773">
        <f>E2773*F2773</f>
        <v/>
      </c>
    </row>
    <row r="2774">
      <c r="A2774">
        <f>Sources!A2774</f>
        <v/>
      </c>
      <c r="B2774">
        <f>Sources!B2774</f>
        <v/>
      </c>
      <c r="C2774">
        <f>Sources!D2774</f>
        <v/>
      </c>
      <c r="D2774">
        <f>Sources!E2774</f>
        <v/>
      </c>
      <c r="E2774">
        <f>Sources!F2774</f>
        <v/>
      </c>
      <c r="F2774">
        <f>Sources!H2774</f>
        <v/>
      </c>
      <c r="G2774">
        <f>IF(ABS(F2774-ROUND(F2774,0))&lt;0.001,1,0)</f>
        <v/>
      </c>
      <c r="H2774">
        <f>IF(G2774=1,F2774,CEILING(F2774,1))</f>
        <v/>
      </c>
      <c r="I2774">
        <f>IF(G2774=1,0,(H2774-F2774)*E2774)</f>
        <v/>
      </c>
      <c r="J2774">
        <f>E2774*F2774</f>
        <v/>
      </c>
    </row>
    <row r="2775">
      <c r="A2775">
        <f>Sources!A2775</f>
        <v/>
      </c>
      <c r="B2775">
        <f>Sources!B2775</f>
        <v/>
      </c>
      <c r="C2775">
        <f>Sources!D2775</f>
        <v/>
      </c>
      <c r="D2775">
        <f>Sources!E2775</f>
        <v/>
      </c>
      <c r="E2775">
        <f>Sources!F2775</f>
        <v/>
      </c>
      <c r="F2775">
        <f>Sources!H2775</f>
        <v/>
      </c>
      <c r="G2775">
        <f>IF(ABS(F2775-ROUND(F2775,0))&lt;0.001,1,0)</f>
        <v/>
      </c>
      <c r="H2775">
        <f>IF(G2775=1,F2775,CEILING(F2775,1))</f>
        <v/>
      </c>
      <c r="I2775">
        <f>IF(G2775=1,0,(H2775-F2775)*E2775)</f>
        <v/>
      </c>
      <c r="J2775">
        <f>E2775*F2775</f>
        <v/>
      </c>
    </row>
    <row r="2776">
      <c r="A2776">
        <f>Sources!A2776</f>
        <v/>
      </c>
      <c r="B2776">
        <f>Sources!B2776</f>
        <v/>
      </c>
      <c r="C2776">
        <f>Sources!D2776</f>
        <v/>
      </c>
      <c r="D2776">
        <f>Sources!E2776</f>
        <v/>
      </c>
      <c r="E2776">
        <f>Sources!F2776</f>
        <v/>
      </c>
      <c r="F2776">
        <f>Sources!H2776</f>
        <v/>
      </c>
      <c r="G2776">
        <f>IF(ABS(F2776-ROUND(F2776,0))&lt;0.001,1,0)</f>
        <v/>
      </c>
      <c r="H2776">
        <f>IF(G2776=1,F2776,CEILING(F2776,1))</f>
        <v/>
      </c>
      <c r="I2776">
        <f>IF(G2776=1,0,(H2776-F2776)*E2776)</f>
        <v/>
      </c>
      <c r="J2776">
        <f>E2776*F2776</f>
        <v/>
      </c>
    </row>
    <row r="2777">
      <c r="A2777">
        <f>Sources!A2777</f>
        <v/>
      </c>
      <c r="B2777">
        <f>Sources!B2777</f>
        <v/>
      </c>
      <c r="C2777">
        <f>Sources!D2777</f>
        <v/>
      </c>
      <c r="D2777">
        <f>Sources!E2777</f>
        <v/>
      </c>
      <c r="E2777">
        <f>Sources!F2777</f>
        <v/>
      </c>
      <c r="F2777">
        <f>Sources!H2777</f>
        <v/>
      </c>
      <c r="G2777">
        <f>IF(ABS(F2777-ROUND(F2777,0))&lt;0.001,1,0)</f>
        <v/>
      </c>
      <c r="H2777">
        <f>IF(G2777=1,F2777,CEILING(F2777,1))</f>
        <v/>
      </c>
      <c r="I2777">
        <f>IF(G2777=1,0,(H2777-F2777)*E2777)</f>
        <v/>
      </c>
      <c r="J2777">
        <f>E2777*F2777</f>
        <v/>
      </c>
    </row>
    <row r="2778">
      <c r="A2778">
        <f>Sources!A2778</f>
        <v/>
      </c>
      <c r="B2778">
        <f>Sources!B2778</f>
        <v/>
      </c>
      <c r="C2778">
        <f>Sources!D2778</f>
        <v/>
      </c>
      <c r="D2778">
        <f>Sources!E2778</f>
        <v/>
      </c>
      <c r="E2778">
        <f>Sources!F2778</f>
        <v/>
      </c>
      <c r="F2778">
        <f>Sources!H2778</f>
        <v/>
      </c>
      <c r="G2778">
        <f>IF(ABS(F2778-ROUND(F2778,0))&lt;0.001,1,0)</f>
        <v/>
      </c>
      <c r="H2778">
        <f>IF(G2778=1,F2778,CEILING(F2778,1))</f>
        <v/>
      </c>
      <c r="I2778">
        <f>IF(G2778=1,0,(H2778-F2778)*E2778)</f>
        <v/>
      </c>
      <c r="J2778">
        <f>E2778*F2778</f>
        <v/>
      </c>
    </row>
    <row r="2779">
      <c r="A2779">
        <f>Sources!A2779</f>
        <v/>
      </c>
      <c r="B2779">
        <f>Sources!B2779</f>
        <v/>
      </c>
      <c r="C2779">
        <f>Sources!D2779</f>
        <v/>
      </c>
      <c r="D2779">
        <f>Sources!E2779</f>
        <v/>
      </c>
      <c r="E2779">
        <f>Sources!F2779</f>
        <v/>
      </c>
      <c r="F2779">
        <f>Sources!H2779</f>
        <v/>
      </c>
      <c r="G2779">
        <f>IF(ABS(F2779-ROUND(F2779,0))&lt;0.001,1,0)</f>
        <v/>
      </c>
      <c r="H2779">
        <f>IF(G2779=1,F2779,CEILING(F2779,1))</f>
        <v/>
      </c>
      <c r="I2779">
        <f>IF(G2779=1,0,(H2779-F2779)*E2779)</f>
        <v/>
      </c>
      <c r="J2779">
        <f>E2779*F2779</f>
        <v/>
      </c>
    </row>
    <row r="2780">
      <c r="A2780">
        <f>Sources!A2780</f>
        <v/>
      </c>
      <c r="B2780">
        <f>Sources!B2780</f>
        <v/>
      </c>
      <c r="C2780">
        <f>Sources!D2780</f>
        <v/>
      </c>
      <c r="D2780">
        <f>Sources!E2780</f>
        <v/>
      </c>
      <c r="E2780">
        <f>Sources!F2780</f>
        <v/>
      </c>
      <c r="F2780">
        <f>Sources!H2780</f>
        <v/>
      </c>
      <c r="G2780">
        <f>IF(ABS(F2780-ROUND(F2780,0))&lt;0.001,1,0)</f>
        <v/>
      </c>
      <c r="H2780">
        <f>IF(G2780=1,F2780,CEILING(F2780,1))</f>
        <v/>
      </c>
      <c r="I2780">
        <f>IF(G2780=1,0,(H2780-F2780)*E2780)</f>
        <v/>
      </c>
      <c r="J2780">
        <f>E2780*F2780</f>
        <v/>
      </c>
    </row>
    <row r="2781">
      <c r="A2781">
        <f>Sources!A2781</f>
        <v/>
      </c>
      <c r="B2781">
        <f>Sources!B2781</f>
        <v/>
      </c>
      <c r="C2781">
        <f>Sources!D2781</f>
        <v/>
      </c>
      <c r="D2781">
        <f>Sources!E2781</f>
        <v/>
      </c>
      <c r="E2781">
        <f>Sources!F2781</f>
        <v/>
      </c>
      <c r="F2781">
        <f>Sources!H2781</f>
        <v/>
      </c>
      <c r="G2781">
        <f>IF(ABS(F2781-ROUND(F2781,0))&lt;0.001,1,0)</f>
        <v/>
      </c>
      <c r="H2781">
        <f>IF(G2781=1,F2781,CEILING(F2781,1))</f>
        <v/>
      </c>
      <c r="I2781">
        <f>IF(G2781=1,0,(H2781-F2781)*E2781)</f>
        <v/>
      </c>
      <c r="J2781">
        <f>E2781*F2781</f>
        <v/>
      </c>
    </row>
    <row r="2782">
      <c r="A2782">
        <f>Sources!A2782</f>
        <v/>
      </c>
      <c r="B2782">
        <f>Sources!B2782</f>
        <v/>
      </c>
      <c r="C2782">
        <f>Sources!D2782</f>
        <v/>
      </c>
      <c r="D2782">
        <f>Sources!E2782</f>
        <v/>
      </c>
      <c r="E2782">
        <f>Sources!F2782</f>
        <v/>
      </c>
      <c r="F2782">
        <f>Sources!H2782</f>
        <v/>
      </c>
      <c r="G2782">
        <f>IF(ABS(F2782-ROUND(F2782,0))&lt;0.001,1,0)</f>
        <v/>
      </c>
      <c r="H2782">
        <f>IF(G2782=1,F2782,CEILING(F2782,1))</f>
        <v/>
      </c>
      <c r="I2782">
        <f>IF(G2782=1,0,(H2782-F2782)*E2782)</f>
        <v/>
      </c>
      <c r="J2782">
        <f>E2782*F2782</f>
        <v/>
      </c>
    </row>
    <row r="2783">
      <c r="A2783">
        <f>Sources!A2783</f>
        <v/>
      </c>
      <c r="B2783">
        <f>Sources!B2783</f>
        <v/>
      </c>
      <c r="C2783">
        <f>Sources!D2783</f>
        <v/>
      </c>
      <c r="D2783">
        <f>Sources!E2783</f>
        <v/>
      </c>
      <c r="E2783">
        <f>Sources!F2783</f>
        <v/>
      </c>
      <c r="F2783">
        <f>Sources!H2783</f>
        <v/>
      </c>
      <c r="G2783">
        <f>IF(ABS(F2783-ROUND(F2783,0))&lt;0.001,1,0)</f>
        <v/>
      </c>
      <c r="H2783">
        <f>IF(G2783=1,F2783,CEILING(F2783,1))</f>
        <v/>
      </c>
      <c r="I2783">
        <f>IF(G2783=1,0,(H2783-F2783)*E2783)</f>
        <v/>
      </c>
      <c r="J2783">
        <f>E2783*F2783</f>
        <v/>
      </c>
    </row>
    <row r="2784">
      <c r="A2784">
        <f>Sources!A2784</f>
        <v/>
      </c>
      <c r="B2784">
        <f>Sources!B2784</f>
        <v/>
      </c>
      <c r="C2784">
        <f>Sources!D2784</f>
        <v/>
      </c>
      <c r="D2784">
        <f>Sources!E2784</f>
        <v/>
      </c>
      <c r="E2784">
        <f>Sources!F2784</f>
        <v/>
      </c>
      <c r="F2784">
        <f>Sources!H2784</f>
        <v/>
      </c>
      <c r="G2784">
        <f>IF(ABS(F2784-ROUND(F2784,0))&lt;0.001,1,0)</f>
        <v/>
      </c>
      <c r="H2784">
        <f>IF(G2784=1,F2784,CEILING(F2784,1))</f>
        <v/>
      </c>
      <c r="I2784">
        <f>IF(G2784=1,0,(H2784-F2784)*E2784)</f>
        <v/>
      </c>
      <c r="J2784">
        <f>E2784*F2784</f>
        <v/>
      </c>
    </row>
    <row r="2785">
      <c r="A2785">
        <f>Sources!A2785</f>
        <v/>
      </c>
      <c r="B2785">
        <f>Sources!B2785</f>
        <v/>
      </c>
      <c r="C2785">
        <f>Sources!D2785</f>
        <v/>
      </c>
      <c r="D2785">
        <f>Sources!E2785</f>
        <v/>
      </c>
      <c r="E2785">
        <f>Sources!F2785</f>
        <v/>
      </c>
      <c r="F2785">
        <f>Sources!H2785</f>
        <v/>
      </c>
      <c r="G2785">
        <f>IF(ABS(F2785-ROUND(F2785,0))&lt;0.001,1,0)</f>
        <v/>
      </c>
      <c r="H2785">
        <f>IF(G2785=1,F2785,CEILING(F2785,1))</f>
        <v/>
      </c>
      <c r="I2785">
        <f>IF(G2785=1,0,(H2785-F2785)*E2785)</f>
        <v/>
      </c>
      <c r="J2785">
        <f>E2785*F2785</f>
        <v/>
      </c>
    </row>
    <row r="2786">
      <c r="A2786">
        <f>Sources!A2786</f>
        <v/>
      </c>
      <c r="B2786">
        <f>Sources!B2786</f>
        <v/>
      </c>
      <c r="C2786">
        <f>Sources!D2786</f>
        <v/>
      </c>
      <c r="D2786">
        <f>Sources!E2786</f>
        <v/>
      </c>
      <c r="E2786">
        <f>Sources!F2786</f>
        <v/>
      </c>
      <c r="F2786">
        <f>Sources!H2786</f>
        <v/>
      </c>
      <c r="G2786">
        <f>IF(ABS(F2786-ROUND(F2786,0))&lt;0.001,1,0)</f>
        <v/>
      </c>
      <c r="H2786">
        <f>IF(G2786=1,F2786,CEILING(F2786,1))</f>
        <v/>
      </c>
      <c r="I2786">
        <f>IF(G2786=1,0,(H2786-F2786)*E2786)</f>
        <v/>
      </c>
      <c r="J2786">
        <f>E2786*F2786</f>
        <v/>
      </c>
    </row>
    <row r="2787">
      <c r="A2787">
        <f>Sources!A2787</f>
        <v/>
      </c>
      <c r="B2787">
        <f>Sources!B2787</f>
        <v/>
      </c>
      <c r="C2787">
        <f>Sources!D2787</f>
        <v/>
      </c>
      <c r="D2787">
        <f>Sources!E2787</f>
        <v/>
      </c>
      <c r="E2787">
        <f>Sources!F2787</f>
        <v/>
      </c>
      <c r="F2787">
        <f>Sources!H2787</f>
        <v/>
      </c>
      <c r="G2787">
        <f>IF(ABS(F2787-ROUND(F2787,0))&lt;0.001,1,0)</f>
        <v/>
      </c>
      <c r="H2787">
        <f>IF(G2787=1,F2787,CEILING(F2787,1))</f>
        <v/>
      </c>
      <c r="I2787">
        <f>IF(G2787=1,0,(H2787-F2787)*E2787)</f>
        <v/>
      </c>
      <c r="J2787">
        <f>E2787*F2787</f>
        <v/>
      </c>
    </row>
    <row r="2788">
      <c r="A2788">
        <f>Sources!A2788</f>
        <v/>
      </c>
      <c r="B2788">
        <f>Sources!B2788</f>
        <v/>
      </c>
      <c r="C2788">
        <f>Sources!D2788</f>
        <v/>
      </c>
      <c r="D2788">
        <f>Sources!E2788</f>
        <v/>
      </c>
      <c r="E2788">
        <f>Sources!F2788</f>
        <v/>
      </c>
      <c r="F2788">
        <f>Sources!H2788</f>
        <v/>
      </c>
      <c r="G2788">
        <f>IF(ABS(F2788-ROUND(F2788,0))&lt;0.001,1,0)</f>
        <v/>
      </c>
      <c r="H2788">
        <f>IF(G2788=1,F2788,CEILING(F2788,1))</f>
        <v/>
      </c>
      <c r="I2788">
        <f>IF(G2788=1,0,(H2788-F2788)*E2788)</f>
        <v/>
      </c>
      <c r="J2788">
        <f>E2788*F2788</f>
        <v/>
      </c>
    </row>
    <row r="2789">
      <c r="A2789">
        <f>Sources!A2789</f>
        <v/>
      </c>
      <c r="B2789">
        <f>Sources!B2789</f>
        <v/>
      </c>
      <c r="C2789">
        <f>Sources!D2789</f>
        <v/>
      </c>
      <c r="D2789">
        <f>Sources!E2789</f>
        <v/>
      </c>
      <c r="E2789">
        <f>Sources!F2789</f>
        <v/>
      </c>
      <c r="F2789">
        <f>Sources!H2789</f>
        <v/>
      </c>
      <c r="G2789">
        <f>IF(ABS(F2789-ROUND(F2789,0))&lt;0.001,1,0)</f>
        <v/>
      </c>
      <c r="H2789">
        <f>IF(G2789=1,F2789,CEILING(F2789,1))</f>
        <v/>
      </c>
      <c r="I2789">
        <f>IF(G2789=1,0,(H2789-F2789)*E2789)</f>
        <v/>
      </c>
      <c r="J2789">
        <f>E2789*F2789</f>
        <v/>
      </c>
    </row>
    <row r="2790">
      <c r="A2790">
        <f>Sources!A2790</f>
        <v/>
      </c>
      <c r="B2790">
        <f>Sources!B2790</f>
        <v/>
      </c>
      <c r="C2790">
        <f>Sources!D2790</f>
        <v/>
      </c>
      <c r="D2790">
        <f>Sources!E2790</f>
        <v/>
      </c>
      <c r="E2790">
        <f>Sources!F2790</f>
        <v/>
      </c>
      <c r="F2790">
        <f>Sources!H2790</f>
        <v/>
      </c>
      <c r="G2790">
        <f>IF(ABS(F2790-ROUND(F2790,0))&lt;0.001,1,0)</f>
        <v/>
      </c>
      <c r="H2790">
        <f>IF(G2790=1,F2790,CEILING(F2790,1))</f>
        <v/>
      </c>
      <c r="I2790">
        <f>IF(G2790=1,0,(H2790-F2790)*E2790)</f>
        <v/>
      </c>
      <c r="J2790">
        <f>E2790*F2790</f>
        <v/>
      </c>
    </row>
    <row r="2791">
      <c r="A2791">
        <f>Sources!A2791</f>
        <v/>
      </c>
      <c r="B2791">
        <f>Sources!B2791</f>
        <v/>
      </c>
      <c r="C2791">
        <f>Sources!D2791</f>
        <v/>
      </c>
      <c r="D2791">
        <f>Sources!E2791</f>
        <v/>
      </c>
      <c r="E2791">
        <f>Sources!F2791</f>
        <v/>
      </c>
      <c r="F2791">
        <f>Sources!H2791</f>
        <v/>
      </c>
      <c r="G2791">
        <f>IF(ABS(F2791-ROUND(F2791,0))&lt;0.001,1,0)</f>
        <v/>
      </c>
      <c r="H2791">
        <f>IF(G2791=1,F2791,CEILING(F2791,1))</f>
        <v/>
      </c>
      <c r="I2791">
        <f>IF(G2791=1,0,(H2791-F2791)*E2791)</f>
        <v/>
      </c>
      <c r="J2791">
        <f>E2791*F2791</f>
        <v/>
      </c>
    </row>
    <row r="2792">
      <c r="A2792">
        <f>Sources!A2792</f>
        <v/>
      </c>
      <c r="B2792">
        <f>Sources!B2792</f>
        <v/>
      </c>
      <c r="C2792">
        <f>Sources!D2792</f>
        <v/>
      </c>
      <c r="D2792">
        <f>Sources!E2792</f>
        <v/>
      </c>
      <c r="E2792">
        <f>Sources!F2792</f>
        <v/>
      </c>
      <c r="F2792">
        <f>Sources!H2792</f>
        <v/>
      </c>
      <c r="G2792">
        <f>IF(ABS(F2792-ROUND(F2792,0))&lt;0.001,1,0)</f>
        <v/>
      </c>
      <c r="H2792">
        <f>IF(G2792=1,F2792,CEILING(F2792,1))</f>
        <v/>
      </c>
      <c r="I2792">
        <f>IF(G2792=1,0,(H2792-F2792)*E2792)</f>
        <v/>
      </c>
      <c r="J2792">
        <f>E2792*F2792</f>
        <v/>
      </c>
    </row>
    <row r="2793">
      <c r="A2793">
        <f>Sources!A2793</f>
        <v/>
      </c>
      <c r="B2793">
        <f>Sources!B2793</f>
        <v/>
      </c>
      <c r="C2793">
        <f>Sources!D2793</f>
        <v/>
      </c>
      <c r="D2793">
        <f>Sources!E2793</f>
        <v/>
      </c>
      <c r="E2793">
        <f>Sources!F2793</f>
        <v/>
      </c>
      <c r="F2793">
        <f>Sources!H2793</f>
        <v/>
      </c>
      <c r="G2793">
        <f>IF(ABS(F2793-ROUND(F2793,0))&lt;0.001,1,0)</f>
        <v/>
      </c>
      <c r="H2793">
        <f>IF(G2793=1,F2793,CEILING(F2793,1))</f>
        <v/>
      </c>
      <c r="I2793">
        <f>IF(G2793=1,0,(H2793-F2793)*E2793)</f>
        <v/>
      </c>
      <c r="J2793">
        <f>E2793*F2793</f>
        <v/>
      </c>
    </row>
    <row r="2794">
      <c r="A2794">
        <f>Sources!A2794</f>
        <v/>
      </c>
      <c r="B2794">
        <f>Sources!B2794</f>
        <v/>
      </c>
      <c r="C2794">
        <f>Sources!D2794</f>
        <v/>
      </c>
      <c r="D2794">
        <f>Sources!E2794</f>
        <v/>
      </c>
      <c r="E2794">
        <f>Sources!F2794</f>
        <v/>
      </c>
      <c r="F2794">
        <f>Sources!H2794</f>
        <v/>
      </c>
      <c r="G2794">
        <f>IF(ABS(F2794-ROUND(F2794,0))&lt;0.001,1,0)</f>
        <v/>
      </c>
      <c r="H2794">
        <f>IF(G2794=1,F2794,CEILING(F2794,1))</f>
        <v/>
      </c>
      <c r="I2794">
        <f>IF(G2794=1,0,(H2794-F2794)*E2794)</f>
        <v/>
      </c>
      <c r="J2794">
        <f>E2794*F2794</f>
        <v/>
      </c>
    </row>
    <row r="2795">
      <c r="A2795">
        <f>Sources!A2795</f>
        <v/>
      </c>
      <c r="B2795">
        <f>Sources!B2795</f>
        <v/>
      </c>
      <c r="C2795">
        <f>Sources!D2795</f>
        <v/>
      </c>
      <c r="D2795">
        <f>Sources!E2795</f>
        <v/>
      </c>
      <c r="E2795">
        <f>Sources!F2795</f>
        <v/>
      </c>
      <c r="F2795">
        <f>Sources!H2795</f>
        <v/>
      </c>
      <c r="G2795">
        <f>IF(ABS(F2795-ROUND(F2795,0))&lt;0.001,1,0)</f>
        <v/>
      </c>
      <c r="H2795">
        <f>IF(G2795=1,F2795,CEILING(F2795,1))</f>
        <v/>
      </c>
      <c r="I2795">
        <f>IF(G2795=1,0,(H2795-F2795)*E2795)</f>
        <v/>
      </c>
      <c r="J2795">
        <f>E2795*F2795</f>
        <v/>
      </c>
    </row>
    <row r="2796">
      <c r="A2796">
        <f>Sources!A2796</f>
        <v/>
      </c>
      <c r="B2796">
        <f>Sources!B2796</f>
        <v/>
      </c>
      <c r="C2796">
        <f>Sources!D2796</f>
        <v/>
      </c>
      <c r="D2796">
        <f>Sources!E2796</f>
        <v/>
      </c>
      <c r="E2796">
        <f>Sources!F2796</f>
        <v/>
      </c>
      <c r="F2796">
        <f>Sources!H2796</f>
        <v/>
      </c>
      <c r="G2796">
        <f>IF(ABS(F2796-ROUND(F2796,0))&lt;0.001,1,0)</f>
        <v/>
      </c>
      <c r="H2796">
        <f>IF(G2796=1,F2796,CEILING(F2796,1))</f>
        <v/>
      </c>
      <c r="I2796">
        <f>IF(G2796=1,0,(H2796-F2796)*E2796)</f>
        <v/>
      </c>
      <c r="J2796">
        <f>E2796*F2796</f>
        <v/>
      </c>
    </row>
    <row r="2797">
      <c r="A2797">
        <f>Sources!A2797</f>
        <v/>
      </c>
      <c r="B2797">
        <f>Sources!B2797</f>
        <v/>
      </c>
      <c r="C2797">
        <f>Sources!D2797</f>
        <v/>
      </c>
      <c r="D2797">
        <f>Sources!E2797</f>
        <v/>
      </c>
      <c r="E2797">
        <f>Sources!F2797</f>
        <v/>
      </c>
      <c r="F2797">
        <f>Sources!H2797</f>
        <v/>
      </c>
      <c r="G2797">
        <f>IF(ABS(F2797-ROUND(F2797,0))&lt;0.001,1,0)</f>
        <v/>
      </c>
      <c r="H2797">
        <f>IF(G2797=1,F2797,CEILING(F2797,1))</f>
        <v/>
      </c>
      <c r="I2797">
        <f>IF(G2797=1,0,(H2797-F2797)*E2797)</f>
        <v/>
      </c>
      <c r="J2797">
        <f>E2797*F2797</f>
        <v/>
      </c>
    </row>
    <row r="2798">
      <c r="A2798">
        <f>Sources!A2798</f>
        <v/>
      </c>
      <c r="B2798">
        <f>Sources!B2798</f>
        <v/>
      </c>
      <c r="C2798">
        <f>Sources!D2798</f>
        <v/>
      </c>
      <c r="D2798">
        <f>Sources!E2798</f>
        <v/>
      </c>
      <c r="E2798">
        <f>Sources!F2798</f>
        <v/>
      </c>
      <c r="F2798">
        <f>Sources!H2798</f>
        <v/>
      </c>
      <c r="G2798">
        <f>IF(ABS(F2798-ROUND(F2798,0))&lt;0.001,1,0)</f>
        <v/>
      </c>
      <c r="H2798">
        <f>IF(G2798=1,F2798,CEILING(F2798,1))</f>
        <v/>
      </c>
      <c r="I2798">
        <f>IF(G2798=1,0,(H2798-F2798)*E2798)</f>
        <v/>
      </c>
      <c r="J2798">
        <f>E2798*F2798</f>
        <v/>
      </c>
    </row>
    <row r="2799">
      <c r="A2799">
        <f>Sources!A2799</f>
        <v/>
      </c>
      <c r="B2799">
        <f>Sources!B2799</f>
        <v/>
      </c>
      <c r="C2799">
        <f>Sources!D2799</f>
        <v/>
      </c>
      <c r="D2799">
        <f>Sources!E2799</f>
        <v/>
      </c>
      <c r="E2799">
        <f>Sources!F2799</f>
        <v/>
      </c>
      <c r="F2799">
        <f>Sources!H2799</f>
        <v/>
      </c>
      <c r="G2799">
        <f>IF(ABS(F2799-ROUND(F2799,0))&lt;0.001,1,0)</f>
        <v/>
      </c>
      <c r="H2799">
        <f>IF(G2799=1,F2799,CEILING(F2799,1))</f>
        <v/>
      </c>
      <c r="I2799">
        <f>IF(G2799=1,0,(H2799-F2799)*E2799)</f>
        <v/>
      </c>
      <c r="J2799">
        <f>E2799*F2799</f>
        <v/>
      </c>
    </row>
    <row r="2800">
      <c r="A2800">
        <f>Sources!A2800</f>
        <v/>
      </c>
      <c r="B2800">
        <f>Sources!B2800</f>
        <v/>
      </c>
      <c r="C2800">
        <f>Sources!D2800</f>
        <v/>
      </c>
      <c r="D2800">
        <f>Sources!E2800</f>
        <v/>
      </c>
      <c r="E2800">
        <f>Sources!F2800</f>
        <v/>
      </c>
      <c r="F2800">
        <f>Sources!H2800</f>
        <v/>
      </c>
      <c r="G2800">
        <f>IF(ABS(F2800-ROUND(F2800,0))&lt;0.001,1,0)</f>
        <v/>
      </c>
      <c r="H2800">
        <f>IF(G2800=1,F2800,CEILING(F2800,1))</f>
        <v/>
      </c>
      <c r="I2800">
        <f>IF(G2800=1,0,(H2800-F2800)*E2800)</f>
        <v/>
      </c>
      <c r="J2800">
        <f>E2800*F2800</f>
        <v/>
      </c>
    </row>
    <row r="2801">
      <c r="A2801">
        <f>Sources!A2801</f>
        <v/>
      </c>
      <c r="B2801">
        <f>Sources!B2801</f>
        <v/>
      </c>
      <c r="C2801">
        <f>Sources!D2801</f>
        <v/>
      </c>
      <c r="D2801">
        <f>Sources!E2801</f>
        <v/>
      </c>
      <c r="E2801">
        <f>Sources!F2801</f>
        <v/>
      </c>
      <c r="F2801">
        <f>Sources!H2801</f>
        <v/>
      </c>
      <c r="G2801">
        <f>IF(ABS(F2801-ROUND(F2801,0))&lt;0.001,1,0)</f>
        <v/>
      </c>
      <c r="H2801">
        <f>IF(G2801=1,F2801,CEILING(F2801,1))</f>
        <v/>
      </c>
      <c r="I2801">
        <f>IF(G2801=1,0,(H2801-F2801)*E2801)</f>
        <v/>
      </c>
      <c r="J2801">
        <f>E2801*F2801</f>
        <v/>
      </c>
    </row>
    <row r="2802">
      <c r="A2802">
        <f>Sources!A2802</f>
        <v/>
      </c>
      <c r="B2802">
        <f>Sources!B2802</f>
        <v/>
      </c>
      <c r="C2802">
        <f>Sources!D2802</f>
        <v/>
      </c>
      <c r="D2802">
        <f>Sources!E2802</f>
        <v/>
      </c>
      <c r="E2802">
        <f>Sources!F2802</f>
        <v/>
      </c>
      <c r="F2802">
        <f>Sources!H2802</f>
        <v/>
      </c>
      <c r="G2802">
        <f>IF(ABS(F2802-ROUND(F2802,0))&lt;0.001,1,0)</f>
        <v/>
      </c>
      <c r="H2802">
        <f>IF(G2802=1,F2802,CEILING(F2802,1))</f>
        <v/>
      </c>
      <c r="I2802">
        <f>IF(G2802=1,0,(H2802-F2802)*E2802)</f>
        <v/>
      </c>
      <c r="J2802">
        <f>E2802*F2802</f>
        <v/>
      </c>
    </row>
    <row r="2803">
      <c r="A2803">
        <f>Sources!A2803</f>
        <v/>
      </c>
      <c r="B2803">
        <f>Sources!B2803</f>
        <v/>
      </c>
      <c r="C2803">
        <f>Sources!D2803</f>
        <v/>
      </c>
      <c r="D2803">
        <f>Sources!E2803</f>
        <v/>
      </c>
      <c r="E2803">
        <f>Sources!F2803</f>
        <v/>
      </c>
      <c r="F2803">
        <f>Sources!H2803</f>
        <v/>
      </c>
      <c r="G2803">
        <f>IF(ABS(F2803-ROUND(F2803,0))&lt;0.001,1,0)</f>
        <v/>
      </c>
      <c r="H2803">
        <f>IF(G2803=1,F2803,CEILING(F2803,1))</f>
        <v/>
      </c>
      <c r="I2803">
        <f>IF(G2803=1,0,(H2803-F2803)*E2803)</f>
        <v/>
      </c>
      <c r="J2803">
        <f>E2803*F2803</f>
        <v/>
      </c>
    </row>
    <row r="2804">
      <c r="A2804">
        <f>Sources!A2804</f>
        <v/>
      </c>
      <c r="B2804">
        <f>Sources!B2804</f>
        <v/>
      </c>
      <c r="C2804">
        <f>Sources!D2804</f>
        <v/>
      </c>
      <c r="D2804">
        <f>Sources!E2804</f>
        <v/>
      </c>
      <c r="E2804">
        <f>Sources!F2804</f>
        <v/>
      </c>
      <c r="F2804">
        <f>Sources!H2804</f>
        <v/>
      </c>
      <c r="G2804">
        <f>IF(ABS(F2804-ROUND(F2804,0))&lt;0.001,1,0)</f>
        <v/>
      </c>
      <c r="H2804">
        <f>IF(G2804=1,F2804,CEILING(F2804,1))</f>
        <v/>
      </c>
      <c r="I2804">
        <f>IF(G2804=1,0,(H2804-F2804)*E2804)</f>
        <v/>
      </c>
      <c r="J2804">
        <f>E2804*F2804</f>
        <v/>
      </c>
    </row>
    <row r="2805">
      <c r="A2805">
        <f>Sources!A2805</f>
        <v/>
      </c>
      <c r="B2805">
        <f>Sources!B2805</f>
        <v/>
      </c>
      <c r="C2805">
        <f>Sources!D2805</f>
        <v/>
      </c>
      <c r="D2805">
        <f>Sources!E2805</f>
        <v/>
      </c>
      <c r="E2805">
        <f>Sources!F2805</f>
        <v/>
      </c>
      <c r="F2805">
        <f>Sources!H2805</f>
        <v/>
      </c>
      <c r="G2805">
        <f>IF(ABS(F2805-ROUND(F2805,0))&lt;0.001,1,0)</f>
        <v/>
      </c>
      <c r="H2805">
        <f>IF(G2805=1,F2805,CEILING(F2805,1))</f>
        <v/>
      </c>
      <c r="I2805">
        <f>IF(G2805=1,0,(H2805-F2805)*E2805)</f>
        <v/>
      </c>
      <c r="J2805">
        <f>E2805*F2805</f>
        <v/>
      </c>
    </row>
    <row r="2806">
      <c r="A2806">
        <f>Sources!A2806</f>
        <v/>
      </c>
      <c r="B2806">
        <f>Sources!B2806</f>
        <v/>
      </c>
      <c r="C2806">
        <f>Sources!D2806</f>
        <v/>
      </c>
      <c r="D2806">
        <f>Sources!E2806</f>
        <v/>
      </c>
      <c r="E2806">
        <f>Sources!F2806</f>
        <v/>
      </c>
      <c r="F2806">
        <f>Sources!H2806</f>
        <v/>
      </c>
      <c r="G2806">
        <f>IF(ABS(F2806-ROUND(F2806,0))&lt;0.001,1,0)</f>
        <v/>
      </c>
      <c r="H2806">
        <f>IF(G2806=1,F2806,CEILING(F2806,1))</f>
        <v/>
      </c>
      <c r="I2806">
        <f>IF(G2806=1,0,(H2806-F2806)*E2806)</f>
        <v/>
      </c>
      <c r="J2806">
        <f>E2806*F2806</f>
        <v/>
      </c>
    </row>
    <row r="2807">
      <c r="A2807">
        <f>Sources!A2807</f>
        <v/>
      </c>
      <c r="B2807">
        <f>Sources!B2807</f>
        <v/>
      </c>
      <c r="C2807">
        <f>Sources!D2807</f>
        <v/>
      </c>
      <c r="D2807">
        <f>Sources!E2807</f>
        <v/>
      </c>
      <c r="E2807">
        <f>Sources!F2807</f>
        <v/>
      </c>
      <c r="F2807">
        <f>Sources!H2807</f>
        <v/>
      </c>
      <c r="G2807">
        <f>IF(ABS(F2807-ROUND(F2807,0))&lt;0.001,1,0)</f>
        <v/>
      </c>
      <c r="H2807">
        <f>IF(G2807=1,F2807,CEILING(F2807,1))</f>
        <v/>
      </c>
      <c r="I2807">
        <f>IF(G2807=1,0,(H2807-F2807)*E2807)</f>
        <v/>
      </c>
      <c r="J2807">
        <f>E2807*F2807</f>
        <v/>
      </c>
    </row>
    <row r="2808">
      <c r="A2808">
        <f>Sources!A2808</f>
        <v/>
      </c>
      <c r="B2808">
        <f>Sources!B2808</f>
        <v/>
      </c>
      <c r="C2808">
        <f>Sources!D2808</f>
        <v/>
      </c>
      <c r="D2808">
        <f>Sources!E2808</f>
        <v/>
      </c>
      <c r="E2808">
        <f>Sources!F2808</f>
        <v/>
      </c>
      <c r="F2808">
        <f>Sources!H2808</f>
        <v/>
      </c>
      <c r="G2808">
        <f>IF(ABS(F2808-ROUND(F2808,0))&lt;0.001,1,0)</f>
        <v/>
      </c>
      <c r="H2808">
        <f>IF(G2808=1,F2808,CEILING(F2808,1))</f>
        <v/>
      </c>
      <c r="I2808">
        <f>IF(G2808=1,0,(H2808-F2808)*E2808)</f>
        <v/>
      </c>
      <c r="J2808">
        <f>E2808*F2808</f>
        <v/>
      </c>
    </row>
    <row r="2809">
      <c r="A2809">
        <f>Sources!A2809</f>
        <v/>
      </c>
      <c r="B2809">
        <f>Sources!B2809</f>
        <v/>
      </c>
      <c r="C2809">
        <f>Sources!D2809</f>
        <v/>
      </c>
      <c r="D2809">
        <f>Sources!E2809</f>
        <v/>
      </c>
      <c r="E2809">
        <f>Sources!F2809</f>
        <v/>
      </c>
      <c r="F2809">
        <f>Sources!H2809</f>
        <v/>
      </c>
      <c r="G2809">
        <f>IF(ABS(F2809-ROUND(F2809,0))&lt;0.001,1,0)</f>
        <v/>
      </c>
      <c r="H2809">
        <f>IF(G2809=1,F2809,CEILING(F2809,1))</f>
        <v/>
      </c>
      <c r="I2809">
        <f>IF(G2809=1,0,(H2809-F2809)*E2809)</f>
        <v/>
      </c>
      <c r="J2809">
        <f>E2809*F2809</f>
        <v/>
      </c>
    </row>
    <row r="2810">
      <c r="A2810">
        <f>Sources!A2810</f>
        <v/>
      </c>
      <c r="B2810">
        <f>Sources!B2810</f>
        <v/>
      </c>
      <c r="C2810">
        <f>Sources!D2810</f>
        <v/>
      </c>
      <c r="D2810">
        <f>Sources!E2810</f>
        <v/>
      </c>
      <c r="E2810">
        <f>Sources!F2810</f>
        <v/>
      </c>
      <c r="F2810">
        <f>Sources!H2810</f>
        <v/>
      </c>
      <c r="G2810">
        <f>IF(ABS(F2810-ROUND(F2810,0))&lt;0.001,1,0)</f>
        <v/>
      </c>
      <c r="H2810">
        <f>IF(G2810=1,F2810,CEILING(F2810,1))</f>
        <v/>
      </c>
      <c r="I2810">
        <f>IF(G2810=1,0,(H2810-F2810)*E2810)</f>
        <v/>
      </c>
      <c r="J2810">
        <f>E2810*F2810</f>
        <v/>
      </c>
    </row>
    <row r="2811">
      <c r="A2811">
        <f>Sources!A2811</f>
        <v/>
      </c>
      <c r="B2811">
        <f>Sources!B2811</f>
        <v/>
      </c>
      <c r="C2811">
        <f>Sources!D2811</f>
        <v/>
      </c>
      <c r="D2811">
        <f>Sources!E2811</f>
        <v/>
      </c>
      <c r="E2811">
        <f>Sources!F2811</f>
        <v/>
      </c>
      <c r="F2811">
        <f>Sources!H2811</f>
        <v/>
      </c>
      <c r="G2811">
        <f>IF(ABS(F2811-ROUND(F2811,0))&lt;0.001,1,0)</f>
        <v/>
      </c>
      <c r="H2811">
        <f>IF(G2811=1,F2811,CEILING(F2811,1))</f>
        <v/>
      </c>
      <c r="I2811">
        <f>IF(G2811=1,0,(H2811-F2811)*E2811)</f>
        <v/>
      </c>
      <c r="J2811">
        <f>E2811*F2811</f>
        <v/>
      </c>
    </row>
    <row r="2812">
      <c r="A2812">
        <f>Sources!A2812</f>
        <v/>
      </c>
      <c r="B2812">
        <f>Sources!B2812</f>
        <v/>
      </c>
      <c r="C2812">
        <f>Sources!D2812</f>
        <v/>
      </c>
      <c r="D2812">
        <f>Sources!E2812</f>
        <v/>
      </c>
      <c r="E2812">
        <f>Sources!F2812</f>
        <v/>
      </c>
      <c r="F2812">
        <f>Sources!H2812</f>
        <v/>
      </c>
      <c r="G2812">
        <f>IF(ABS(F2812-ROUND(F2812,0))&lt;0.001,1,0)</f>
        <v/>
      </c>
      <c r="H2812">
        <f>IF(G2812=1,F2812,CEILING(F2812,1))</f>
        <v/>
      </c>
      <c r="I2812">
        <f>IF(G2812=1,0,(H2812-F2812)*E2812)</f>
        <v/>
      </c>
      <c r="J2812">
        <f>E2812*F2812</f>
        <v/>
      </c>
    </row>
    <row r="2813">
      <c r="A2813">
        <f>Sources!A2813</f>
        <v/>
      </c>
      <c r="B2813">
        <f>Sources!B2813</f>
        <v/>
      </c>
      <c r="C2813">
        <f>Sources!D2813</f>
        <v/>
      </c>
      <c r="D2813">
        <f>Sources!E2813</f>
        <v/>
      </c>
      <c r="E2813">
        <f>Sources!F2813</f>
        <v/>
      </c>
      <c r="F2813">
        <f>Sources!H2813</f>
        <v/>
      </c>
      <c r="G2813">
        <f>IF(ABS(F2813-ROUND(F2813,0))&lt;0.001,1,0)</f>
        <v/>
      </c>
      <c r="H2813">
        <f>IF(G2813=1,F2813,CEILING(F2813,1))</f>
        <v/>
      </c>
      <c r="I2813">
        <f>IF(G2813=1,0,(H2813-F2813)*E2813)</f>
        <v/>
      </c>
      <c r="J2813">
        <f>E2813*F2813</f>
        <v/>
      </c>
    </row>
    <row r="2814">
      <c r="A2814">
        <f>Sources!A2814</f>
        <v/>
      </c>
      <c r="B2814">
        <f>Sources!B2814</f>
        <v/>
      </c>
      <c r="C2814">
        <f>Sources!D2814</f>
        <v/>
      </c>
      <c r="D2814">
        <f>Sources!E2814</f>
        <v/>
      </c>
      <c r="E2814">
        <f>Sources!F2814</f>
        <v/>
      </c>
      <c r="F2814">
        <f>Sources!H2814</f>
        <v/>
      </c>
      <c r="G2814">
        <f>IF(ABS(F2814-ROUND(F2814,0))&lt;0.001,1,0)</f>
        <v/>
      </c>
      <c r="H2814">
        <f>IF(G2814=1,F2814,CEILING(F2814,1))</f>
        <v/>
      </c>
      <c r="I2814">
        <f>IF(G2814=1,0,(H2814-F2814)*E2814)</f>
        <v/>
      </c>
      <c r="J2814">
        <f>E2814*F2814</f>
        <v/>
      </c>
    </row>
    <row r="2815">
      <c r="A2815">
        <f>Sources!A2815</f>
        <v/>
      </c>
      <c r="B2815">
        <f>Sources!B2815</f>
        <v/>
      </c>
      <c r="C2815">
        <f>Sources!D2815</f>
        <v/>
      </c>
      <c r="D2815">
        <f>Sources!E2815</f>
        <v/>
      </c>
      <c r="E2815">
        <f>Sources!F2815</f>
        <v/>
      </c>
      <c r="F2815">
        <f>Sources!H2815</f>
        <v/>
      </c>
      <c r="G2815">
        <f>IF(ABS(F2815-ROUND(F2815,0))&lt;0.001,1,0)</f>
        <v/>
      </c>
      <c r="H2815">
        <f>IF(G2815=1,F2815,CEILING(F2815,1))</f>
        <v/>
      </c>
      <c r="I2815">
        <f>IF(G2815=1,0,(H2815-F2815)*E2815)</f>
        <v/>
      </c>
      <c r="J2815">
        <f>E2815*F2815</f>
        <v/>
      </c>
    </row>
    <row r="2816">
      <c r="A2816">
        <f>Sources!A2816</f>
        <v/>
      </c>
      <c r="B2816">
        <f>Sources!B2816</f>
        <v/>
      </c>
      <c r="C2816">
        <f>Sources!D2816</f>
        <v/>
      </c>
      <c r="D2816">
        <f>Sources!E2816</f>
        <v/>
      </c>
      <c r="E2816">
        <f>Sources!F2816</f>
        <v/>
      </c>
      <c r="F2816">
        <f>Sources!H2816</f>
        <v/>
      </c>
      <c r="G2816">
        <f>IF(ABS(F2816-ROUND(F2816,0))&lt;0.001,1,0)</f>
        <v/>
      </c>
      <c r="H2816">
        <f>IF(G2816=1,F2816,CEILING(F2816,1))</f>
        <v/>
      </c>
      <c r="I2816">
        <f>IF(G2816=1,0,(H2816-F2816)*E2816)</f>
        <v/>
      </c>
      <c r="J2816">
        <f>E2816*F2816</f>
        <v/>
      </c>
    </row>
    <row r="2817">
      <c r="A2817">
        <f>Sources!A2817</f>
        <v/>
      </c>
      <c r="B2817">
        <f>Sources!B2817</f>
        <v/>
      </c>
      <c r="C2817">
        <f>Sources!D2817</f>
        <v/>
      </c>
      <c r="D2817">
        <f>Sources!E2817</f>
        <v/>
      </c>
      <c r="E2817">
        <f>Sources!F2817</f>
        <v/>
      </c>
      <c r="F2817">
        <f>Sources!H2817</f>
        <v/>
      </c>
      <c r="G2817">
        <f>IF(ABS(F2817-ROUND(F2817,0))&lt;0.001,1,0)</f>
        <v/>
      </c>
      <c r="H2817">
        <f>IF(G2817=1,F2817,CEILING(F2817,1))</f>
        <v/>
      </c>
      <c r="I2817">
        <f>IF(G2817=1,0,(H2817-F2817)*E2817)</f>
        <v/>
      </c>
      <c r="J2817">
        <f>E2817*F2817</f>
        <v/>
      </c>
    </row>
    <row r="2818">
      <c r="A2818">
        <f>Sources!A2818</f>
        <v/>
      </c>
      <c r="B2818">
        <f>Sources!B2818</f>
        <v/>
      </c>
      <c r="C2818">
        <f>Sources!D2818</f>
        <v/>
      </c>
      <c r="D2818">
        <f>Sources!E2818</f>
        <v/>
      </c>
      <c r="E2818">
        <f>Sources!F2818</f>
        <v/>
      </c>
      <c r="F2818">
        <f>Sources!H2818</f>
        <v/>
      </c>
      <c r="G2818">
        <f>IF(ABS(F2818-ROUND(F2818,0))&lt;0.001,1,0)</f>
        <v/>
      </c>
      <c r="H2818">
        <f>IF(G2818=1,F2818,CEILING(F2818,1))</f>
        <v/>
      </c>
      <c r="I2818">
        <f>IF(G2818=1,0,(H2818-F2818)*E2818)</f>
        <v/>
      </c>
      <c r="J2818">
        <f>E2818*F2818</f>
        <v/>
      </c>
    </row>
    <row r="2819">
      <c r="A2819">
        <f>Sources!A2819</f>
        <v/>
      </c>
      <c r="B2819">
        <f>Sources!B2819</f>
        <v/>
      </c>
      <c r="C2819">
        <f>Sources!D2819</f>
        <v/>
      </c>
      <c r="D2819">
        <f>Sources!E2819</f>
        <v/>
      </c>
      <c r="E2819">
        <f>Sources!F2819</f>
        <v/>
      </c>
      <c r="F2819">
        <f>Sources!H2819</f>
        <v/>
      </c>
      <c r="G2819">
        <f>IF(ABS(F2819-ROUND(F2819,0))&lt;0.001,1,0)</f>
        <v/>
      </c>
      <c r="H2819">
        <f>IF(G2819=1,F2819,CEILING(F2819,1))</f>
        <v/>
      </c>
      <c r="I2819">
        <f>IF(G2819=1,0,(H2819-F2819)*E2819)</f>
        <v/>
      </c>
      <c r="J2819">
        <f>E2819*F2819</f>
        <v/>
      </c>
    </row>
    <row r="2820">
      <c r="A2820">
        <f>Sources!A2820</f>
        <v/>
      </c>
      <c r="B2820">
        <f>Sources!B2820</f>
        <v/>
      </c>
      <c r="C2820">
        <f>Sources!D2820</f>
        <v/>
      </c>
      <c r="D2820">
        <f>Sources!E2820</f>
        <v/>
      </c>
      <c r="E2820">
        <f>Sources!F2820</f>
        <v/>
      </c>
      <c r="F2820">
        <f>Sources!H2820</f>
        <v/>
      </c>
      <c r="G2820">
        <f>IF(ABS(F2820-ROUND(F2820,0))&lt;0.001,1,0)</f>
        <v/>
      </c>
      <c r="H2820">
        <f>IF(G2820=1,F2820,CEILING(F2820,1))</f>
        <v/>
      </c>
      <c r="I2820">
        <f>IF(G2820=1,0,(H2820-F2820)*E2820)</f>
        <v/>
      </c>
      <c r="J2820">
        <f>E2820*F2820</f>
        <v/>
      </c>
    </row>
    <row r="2821">
      <c r="A2821">
        <f>Sources!A2821</f>
        <v/>
      </c>
      <c r="B2821">
        <f>Sources!B2821</f>
        <v/>
      </c>
      <c r="C2821">
        <f>Sources!D2821</f>
        <v/>
      </c>
      <c r="D2821">
        <f>Sources!E2821</f>
        <v/>
      </c>
      <c r="E2821">
        <f>Sources!F2821</f>
        <v/>
      </c>
      <c r="F2821">
        <f>Sources!H2821</f>
        <v/>
      </c>
      <c r="G2821">
        <f>IF(ABS(F2821-ROUND(F2821,0))&lt;0.001,1,0)</f>
        <v/>
      </c>
      <c r="H2821">
        <f>IF(G2821=1,F2821,CEILING(F2821,1))</f>
        <v/>
      </c>
      <c r="I2821">
        <f>IF(G2821=1,0,(H2821-F2821)*E2821)</f>
        <v/>
      </c>
      <c r="J2821">
        <f>E2821*F2821</f>
        <v/>
      </c>
    </row>
    <row r="2822">
      <c r="A2822">
        <f>Sources!A2822</f>
        <v/>
      </c>
      <c r="B2822">
        <f>Sources!B2822</f>
        <v/>
      </c>
      <c r="C2822">
        <f>Sources!D2822</f>
        <v/>
      </c>
      <c r="D2822">
        <f>Sources!E2822</f>
        <v/>
      </c>
      <c r="E2822">
        <f>Sources!F2822</f>
        <v/>
      </c>
      <c r="F2822">
        <f>Sources!H2822</f>
        <v/>
      </c>
      <c r="G2822">
        <f>IF(ABS(F2822-ROUND(F2822,0))&lt;0.001,1,0)</f>
        <v/>
      </c>
      <c r="H2822">
        <f>IF(G2822=1,F2822,CEILING(F2822,1))</f>
        <v/>
      </c>
      <c r="I2822">
        <f>IF(G2822=1,0,(H2822-F2822)*E2822)</f>
        <v/>
      </c>
      <c r="J2822">
        <f>E2822*F2822</f>
        <v/>
      </c>
    </row>
    <row r="2823">
      <c r="A2823">
        <f>Sources!A2823</f>
        <v/>
      </c>
      <c r="B2823">
        <f>Sources!B2823</f>
        <v/>
      </c>
      <c r="C2823">
        <f>Sources!D2823</f>
        <v/>
      </c>
      <c r="D2823">
        <f>Sources!E2823</f>
        <v/>
      </c>
      <c r="E2823">
        <f>Sources!F2823</f>
        <v/>
      </c>
      <c r="F2823">
        <f>Sources!H2823</f>
        <v/>
      </c>
      <c r="G2823">
        <f>IF(ABS(F2823-ROUND(F2823,0))&lt;0.001,1,0)</f>
        <v/>
      </c>
      <c r="H2823">
        <f>IF(G2823=1,F2823,CEILING(F2823,1))</f>
        <v/>
      </c>
      <c r="I2823">
        <f>IF(G2823=1,0,(H2823-F2823)*E2823)</f>
        <v/>
      </c>
      <c r="J2823">
        <f>E2823*F2823</f>
        <v/>
      </c>
    </row>
    <row r="2824">
      <c r="A2824">
        <f>Sources!A2824</f>
        <v/>
      </c>
      <c r="B2824">
        <f>Sources!B2824</f>
        <v/>
      </c>
      <c r="C2824">
        <f>Sources!D2824</f>
        <v/>
      </c>
      <c r="D2824">
        <f>Sources!E2824</f>
        <v/>
      </c>
      <c r="E2824">
        <f>Sources!F2824</f>
        <v/>
      </c>
      <c r="F2824">
        <f>Sources!H2824</f>
        <v/>
      </c>
      <c r="G2824">
        <f>IF(ABS(F2824-ROUND(F2824,0))&lt;0.001,1,0)</f>
        <v/>
      </c>
      <c r="H2824">
        <f>IF(G2824=1,F2824,CEILING(F2824,1))</f>
        <v/>
      </c>
      <c r="I2824">
        <f>IF(G2824=1,0,(H2824-F2824)*E2824)</f>
        <v/>
      </c>
      <c r="J2824">
        <f>E2824*F2824</f>
        <v/>
      </c>
    </row>
    <row r="2825">
      <c r="A2825">
        <f>Sources!A2825</f>
        <v/>
      </c>
      <c r="B2825">
        <f>Sources!B2825</f>
        <v/>
      </c>
      <c r="C2825">
        <f>Sources!D2825</f>
        <v/>
      </c>
      <c r="D2825">
        <f>Sources!E2825</f>
        <v/>
      </c>
      <c r="E2825">
        <f>Sources!F2825</f>
        <v/>
      </c>
      <c r="F2825">
        <f>Sources!H2825</f>
        <v/>
      </c>
      <c r="G2825">
        <f>IF(ABS(F2825-ROUND(F2825,0))&lt;0.001,1,0)</f>
        <v/>
      </c>
      <c r="H2825">
        <f>IF(G2825=1,F2825,CEILING(F2825,1))</f>
        <v/>
      </c>
      <c r="I2825">
        <f>IF(G2825=1,0,(H2825-F2825)*E2825)</f>
        <v/>
      </c>
      <c r="J2825">
        <f>E2825*F2825</f>
        <v/>
      </c>
    </row>
    <row r="2826">
      <c r="A2826">
        <f>Sources!A2826</f>
        <v/>
      </c>
      <c r="B2826">
        <f>Sources!B2826</f>
        <v/>
      </c>
      <c r="C2826">
        <f>Sources!D2826</f>
        <v/>
      </c>
      <c r="D2826">
        <f>Sources!E2826</f>
        <v/>
      </c>
      <c r="E2826">
        <f>Sources!F2826</f>
        <v/>
      </c>
      <c r="F2826">
        <f>Sources!H2826</f>
        <v/>
      </c>
      <c r="G2826">
        <f>IF(ABS(F2826-ROUND(F2826,0))&lt;0.001,1,0)</f>
        <v/>
      </c>
      <c r="H2826">
        <f>IF(G2826=1,F2826,CEILING(F2826,1))</f>
        <v/>
      </c>
      <c r="I2826">
        <f>IF(G2826=1,0,(H2826-F2826)*E2826)</f>
        <v/>
      </c>
      <c r="J2826">
        <f>E2826*F2826</f>
        <v/>
      </c>
    </row>
    <row r="2827">
      <c r="A2827">
        <f>Sources!A2827</f>
        <v/>
      </c>
      <c r="B2827">
        <f>Sources!B2827</f>
        <v/>
      </c>
      <c r="C2827">
        <f>Sources!D2827</f>
        <v/>
      </c>
      <c r="D2827">
        <f>Sources!E2827</f>
        <v/>
      </c>
      <c r="E2827">
        <f>Sources!F2827</f>
        <v/>
      </c>
      <c r="F2827">
        <f>Sources!H2827</f>
        <v/>
      </c>
      <c r="G2827">
        <f>IF(ABS(F2827-ROUND(F2827,0))&lt;0.001,1,0)</f>
        <v/>
      </c>
      <c r="H2827">
        <f>IF(G2827=1,F2827,CEILING(F2827,1))</f>
        <v/>
      </c>
      <c r="I2827">
        <f>IF(G2827=1,0,(H2827-F2827)*E2827)</f>
        <v/>
      </c>
      <c r="J2827">
        <f>E2827*F2827</f>
        <v/>
      </c>
    </row>
    <row r="2828">
      <c r="A2828">
        <f>Sources!A2828</f>
        <v/>
      </c>
      <c r="B2828">
        <f>Sources!B2828</f>
        <v/>
      </c>
      <c r="C2828">
        <f>Sources!D2828</f>
        <v/>
      </c>
      <c r="D2828">
        <f>Sources!E2828</f>
        <v/>
      </c>
      <c r="E2828">
        <f>Sources!F2828</f>
        <v/>
      </c>
      <c r="F2828">
        <f>Sources!H2828</f>
        <v/>
      </c>
      <c r="G2828">
        <f>IF(ABS(F2828-ROUND(F2828,0))&lt;0.001,1,0)</f>
        <v/>
      </c>
      <c r="H2828">
        <f>IF(G2828=1,F2828,CEILING(F2828,1))</f>
        <v/>
      </c>
      <c r="I2828">
        <f>IF(G2828=1,0,(H2828-F2828)*E2828)</f>
        <v/>
      </c>
      <c r="J2828">
        <f>E2828*F2828</f>
        <v/>
      </c>
    </row>
    <row r="2829">
      <c r="A2829">
        <f>Sources!A2829</f>
        <v/>
      </c>
      <c r="B2829">
        <f>Sources!B2829</f>
        <v/>
      </c>
      <c r="C2829">
        <f>Sources!D2829</f>
        <v/>
      </c>
      <c r="D2829">
        <f>Sources!E2829</f>
        <v/>
      </c>
      <c r="E2829">
        <f>Sources!F2829</f>
        <v/>
      </c>
      <c r="F2829">
        <f>Sources!H2829</f>
        <v/>
      </c>
      <c r="G2829">
        <f>IF(ABS(F2829-ROUND(F2829,0))&lt;0.001,1,0)</f>
        <v/>
      </c>
      <c r="H2829">
        <f>IF(G2829=1,F2829,CEILING(F2829,1))</f>
        <v/>
      </c>
      <c r="I2829">
        <f>IF(G2829=1,0,(H2829-F2829)*E2829)</f>
        <v/>
      </c>
      <c r="J2829">
        <f>E2829*F2829</f>
        <v/>
      </c>
    </row>
    <row r="2830">
      <c r="A2830">
        <f>Sources!A2830</f>
        <v/>
      </c>
      <c r="B2830">
        <f>Sources!B2830</f>
        <v/>
      </c>
      <c r="C2830">
        <f>Sources!D2830</f>
        <v/>
      </c>
      <c r="D2830">
        <f>Sources!E2830</f>
        <v/>
      </c>
      <c r="E2830">
        <f>Sources!F2830</f>
        <v/>
      </c>
      <c r="F2830">
        <f>Sources!H2830</f>
        <v/>
      </c>
      <c r="G2830">
        <f>IF(ABS(F2830-ROUND(F2830,0))&lt;0.001,1,0)</f>
        <v/>
      </c>
      <c r="H2830">
        <f>IF(G2830=1,F2830,CEILING(F2830,1))</f>
        <v/>
      </c>
      <c r="I2830">
        <f>IF(G2830=1,0,(H2830-F2830)*E2830)</f>
        <v/>
      </c>
      <c r="J2830">
        <f>E2830*F2830</f>
        <v/>
      </c>
    </row>
    <row r="2831">
      <c r="A2831">
        <f>Sources!A2831</f>
        <v/>
      </c>
      <c r="B2831">
        <f>Sources!B2831</f>
        <v/>
      </c>
      <c r="C2831">
        <f>Sources!D2831</f>
        <v/>
      </c>
      <c r="D2831">
        <f>Sources!E2831</f>
        <v/>
      </c>
      <c r="E2831">
        <f>Sources!F2831</f>
        <v/>
      </c>
      <c r="F2831">
        <f>Sources!H2831</f>
        <v/>
      </c>
      <c r="G2831">
        <f>IF(ABS(F2831-ROUND(F2831,0))&lt;0.001,1,0)</f>
        <v/>
      </c>
      <c r="H2831">
        <f>IF(G2831=1,F2831,CEILING(F2831,1))</f>
        <v/>
      </c>
      <c r="I2831">
        <f>IF(G2831=1,0,(H2831-F2831)*E2831)</f>
        <v/>
      </c>
      <c r="J2831">
        <f>E2831*F2831</f>
        <v/>
      </c>
    </row>
    <row r="2832">
      <c r="A2832">
        <f>Sources!A2832</f>
        <v/>
      </c>
      <c r="B2832">
        <f>Sources!B2832</f>
        <v/>
      </c>
      <c r="C2832">
        <f>Sources!D2832</f>
        <v/>
      </c>
      <c r="D2832">
        <f>Sources!E2832</f>
        <v/>
      </c>
      <c r="E2832">
        <f>Sources!F2832</f>
        <v/>
      </c>
      <c r="F2832">
        <f>Sources!H2832</f>
        <v/>
      </c>
      <c r="G2832">
        <f>IF(ABS(F2832-ROUND(F2832,0))&lt;0.001,1,0)</f>
        <v/>
      </c>
      <c r="H2832">
        <f>IF(G2832=1,F2832,CEILING(F2832,1))</f>
        <v/>
      </c>
      <c r="I2832">
        <f>IF(G2832=1,0,(H2832-F2832)*E2832)</f>
        <v/>
      </c>
      <c r="J2832">
        <f>E2832*F2832</f>
        <v/>
      </c>
    </row>
    <row r="2833">
      <c r="A2833">
        <f>Sources!A2833</f>
        <v/>
      </c>
      <c r="B2833">
        <f>Sources!B2833</f>
        <v/>
      </c>
      <c r="C2833">
        <f>Sources!D2833</f>
        <v/>
      </c>
      <c r="D2833">
        <f>Sources!E2833</f>
        <v/>
      </c>
      <c r="E2833">
        <f>Sources!F2833</f>
        <v/>
      </c>
      <c r="F2833">
        <f>Sources!H2833</f>
        <v/>
      </c>
      <c r="G2833">
        <f>IF(ABS(F2833-ROUND(F2833,0))&lt;0.001,1,0)</f>
        <v/>
      </c>
      <c r="H2833">
        <f>IF(G2833=1,F2833,CEILING(F2833,1))</f>
        <v/>
      </c>
      <c r="I2833">
        <f>IF(G2833=1,0,(H2833-F2833)*E2833)</f>
        <v/>
      </c>
      <c r="J2833">
        <f>E2833*F2833</f>
        <v/>
      </c>
    </row>
    <row r="2834">
      <c r="A2834">
        <f>Sources!A2834</f>
        <v/>
      </c>
      <c r="B2834">
        <f>Sources!B2834</f>
        <v/>
      </c>
      <c r="C2834">
        <f>Sources!D2834</f>
        <v/>
      </c>
      <c r="D2834">
        <f>Sources!E2834</f>
        <v/>
      </c>
      <c r="E2834">
        <f>Sources!F2834</f>
        <v/>
      </c>
      <c r="F2834">
        <f>Sources!H2834</f>
        <v/>
      </c>
      <c r="G2834">
        <f>IF(ABS(F2834-ROUND(F2834,0))&lt;0.001,1,0)</f>
        <v/>
      </c>
      <c r="H2834">
        <f>IF(G2834=1,F2834,CEILING(F2834,1))</f>
        <v/>
      </c>
      <c r="I2834">
        <f>IF(G2834=1,0,(H2834-F2834)*E2834)</f>
        <v/>
      </c>
      <c r="J2834">
        <f>E2834*F2834</f>
        <v/>
      </c>
    </row>
    <row r="2835">
      <c r="A2835">
        <f>Sources!A2835</f>
        <v/>
      </c>
      <c r="B2835">
        <f>Sources!B2835</f>
        <v/>
      </c>
      <c r="C2835">
        <f>Sources!D2835</f>
        <v/>
      </c>
      <c r="D2835">
        <f>Sources!E2835</f>
        <v/>
      </c>
      <c r="E2835">
        <f>Sources!F2835</f>
        <v/>
      </c>
      <c r="F2835">
        <f>Sources!H2835</f>
        <v/>
      </c>
      <c r="G2835">
        <f>IF(ABS(F2835-ROUND(F2835,0))&lt;0.001,1,0)</f>
        <v/>
      </c>
      <c r="H2835">
        <f>IF(G2835=1,F2835,CEILING(F2835,1))</f>
        <v/>
      </c>
      <c r="I2835">
        <f>IF(G2835=1,0,(H2835-F2835)*E2835)</f>
        <v/>
      </c>
      <c r="J2835">
        <f>E2835*F2835</f>
        <v/>
      </c>
    </row>
    <row r="2836">
      <c r="A2836">
        <f>Sources!A2836</f>
        <v/>
      </c>
      <c r="B2836">
        <f>Sources!B2836</f>
        <v/>
      </c>
      <c r="C2836">
        <f>Sources!D2836</f>
        <v/>
      </c>
      <c r="D2836">
        <f>Sources!E2836</f>
        <v/>
      </c>
      <c r="E2836">
        <f>Sources!F2836</f>
        <v/>
      </c>
      <c r="F2836">
        <f>Sources!H2836</f>
        <v/>
      </c>
      <c r="G2836">
        <f>IF(ABS(F2836-ROUND(F2836,0))&lt;0.001,1,0)</f>
        <v/>
      </c>
      <c r="H2836">
        <f>IF(G2836=1,F2836,CEILING(F2836,1))</f>
        <v/>
      </c>
      <c r="I2836">
        <f>IF(G2836=1,0,(H2836-F2836)*E2836)</f>
        <v/>
      </c>
      <c r="J2836">
        <f>E2836*F2836</f>
        <v/>
      </c>
    </row>
    <row r="2837">
      <c r="A2837">
        <f>Sources!A2837</f>
        <v/>
      </c>
      <c r="B2837">
        <f>Sources!B2837</f>
        <v/>
      </c>
      <c r="C2837">
        <f>Sources!D2837</f>
        <v/>
      </c>
      <c r="D2837">
        <f>Sources!E2837</f>
        <v/>
      </c>
      <c r="E2837">
        <f>Sources!F2837</f>
        <v/>
      </c>
      <c r="F2837">
        <f>Sources!H2837</f>
        <v/>
      </c>
      <c r="G2837">
        <f>IF(ABS(F2837-ROUND(F2837,0))&lt;0.001,1,0)</f>
        <v/>
      </c>
      <c r="H2837">
        <f>IF(G2837=1,F2837,CEILING(F2837,1))</f>
        <v/>
      </c>
      <c r="I2837">
        <f>IF(G2837=1,0,(H2837-F2837)*E2837)</f>
        <v/>
      </c>
      <c r="J2837">
        <f>E2837*F2837</f>
        <v/>
      </c>
    </row>
    <row r="2838">
      <c r="A2838">
        <f>Sources!A2838</f>
        <v/>
      </c>
      <c r="B2838">
        <f>Sources!B2838</f>
        <v/>
      </c>
      <c r="C2838">
        <f>Sources!D2838</f>
        <v/>
      </c>
      <c r="D2838">
        <f>Sources!E2838</f>
        <v/>
      </c>
      <c r="E2838">
        <f>Sources!F2838</f>
        <v/>
      </c>
      <c r="F2838">
        <f>Sources!H2838</f>
        <v/>
      </c>
      <c r="G2838">
        <f>IF(ABS(F2838-ROUND(F2838,0))&lt;0.001,1,0)</f>
        <v/>
      </c>
      <c r="H2838">
        <f>IF(G2838=1,F2838,CEILING(F2838,1))</f>
        <v/>
      </c>
      <c r="I2838">
        <f>IF(G2838=1,0,(H2838-F2838)*E2838)</f>
        <v/>
      </c>
      <c r="J2838">
        <f>E2838*F2838</f>
        <v/>
      </c>
    </row>
    <row r="2839">
      <c r="A2839">
        <f>Sources!A2839</f>
        <v/>
      </c>
      <c r="B2839">
        <f>Sources!B2839</f>
        <v/>
      </c>
      <c r="C2839">
        <f>Sources!D2839</f>
        <v/>
      </c>
      <c r="D2839">
        <f>Sources!E2839</f>
        <v/>
      </c>
      <c r="E2839">
        <f>Sources!F2839</f>
        <v/>
      </c>
      <c r="F2839">
        <f>Sources!H2839</f>
        <v/>
      </c>
      <c r="G2839">
        <f>IF(ABS(F2839-ROUND(F2839,0))&lt;0.001,1,0)</f>
        <v/>
      </c>
      <c r="H2839">
        <f>IF(G2839=1,F2839,CEILING(F2839,1))</f>
        <v/>
      </c>
      <c r="I2839">
        <f>IF(G2839=1,0,(H2839-F2839)*E2839)</f>
        <v/>
      </c>
      <c r="J2839">
        <f>E2839*F2839</f>
        <v/>
      </c>
    </row>
    <row r="2840">
      <c r="A2840">
        <f>Sources!A2840</f>
        <v/>
      </c>
      <c r="B2840">
        <f>Sources!B2840</f>
        <v/>
      </c>
      <c r="C2840">
        <f>Sources!D2840</f>
        <v/>
      </c>
      <c r="D2840">
        <f>Sources!E2840</f>
        <v/>
      </c>
      <c r="E2840">
        <f>Sources!F2840</f>
        <v/>
      </c>
      <c r="F2840">
        <f>Sources!H2840</f>
        <v/>
      </c>
      <c r="G2840">
        <f>IF(ABS(F2840-ROUND(F2840,0))&lt;0.001,1,0)</f>
        <v/>
      </c>
      <c r="H2840">
        <f>IF(G2840=1,F2840,CEILING(F2840,1))</f>
        <v/>
      </c>
      <c r="I2840">
        <f>IF(G2840=1,0,(H2840-F2840)*E2840)</f>
        <v/>
      </c>
      <c r="J2840">
        <f>E2840*F2840</f>
        <v/>
      </c>
    </row>
    <row r="2841">
      <c r="A2841">
        <f>Sources!A2841</f>
        <v/>
      </c>
      <c r="B2841">
        <f>Sources!B2841</f>
        <v/>
      </c>
      <c r="C2841">
        <f>Sources!D2841</f>
        <v/>
      </c>
      <c r="D2841">
        <f>Sources!E2841</f>
        <v/>
      </c>
      <c r="E2841">
        <f>Sources!F2841</f>
        <v/>
      </c>
      <c r="F2841">
        <f>Sources!H2841</f>
        <v/>
      </c>
      <c r="G2841">
        <f>IF(ABS(F2841-ROUND(F2841,0))&lt;0.001,1,0)</f>
        <v/>
      </c>
      <c r="H2841">
        <f>IF(G2841=1,F2841,CEILING(F2841,1))</f>
        <v/>
      </c>
      <c r="I2841">
        <f>IF(G2841=1,0,(H2841-F2841)*E2841)</f>
        <v/>
      </c>
      <c r="J2841">
        <f>E2841*F2841</f>
        <v/>
      </c>
    </row>
    <row r="2842">
      <c r="A2842">
        <f>Sources!A2842</f>
        <v/>
      </c>
      <c r="B2842">
        <f>Sources!B2842</f>
        <v/>
      </c>
      <c r="C2842">
        <f>Sources!D2842</f>
        <v/>
      </c>
      <c r="D2842">
        <f>Sources!E2842</f>
        <v/>
      </c>
      <c r="E2842">
        <f>Sources!F2842</f>
        <v/>
      </c>
      <c r="F2842">
        <f>Sources!H2842</f>
        <v/>
      </c>
      <c r="G2842">
        <f>IF(ABS(F2842-ROUND(F2842,0))&lt;0.001,1,0)</f>
        <v/>
      </c>
      <c r="H2842">
        <f>IF(G2842=1,F2842,CEILING(F2842,1))</f>
        <v/>
      </c>
      <c r="I2842">
        <f>IF(G2842=1,0,(H2842-F2842)*E2842)</f>
        <v/>
      </c>
      <c r="J2842">
        <f>E2842*F2842</f>
        <v/>
      </c>
    </row>
    <row r="2843">
      <c r="A2843">
        <f>Sources!A2843</f>
        <v/>
      </c>
      <c r="B2843">
        <f>Sources!B2843</f>
        <v/>
      </c>
      <c r="C2843">
        <f>Sources!D2843</f>
        <v/>
      </c>
      <c r="D2843">
        <f>Sources!E2843</f>
        <v/>
      </c>
      <c r="E2843">
        <f>Sources!F2843</f>
        <v/>
      </c>
      <c r="F2843">
        <f>Sources!H2843</f>
        <v/>
      </c>
      <c r="G2843">
        <f>IF(ABS(F2843-ROUND(F2843,0))&lt;0.001,1,0)</f>
        <v/>
      </c>
      <c r="H2843">
        <f>IF(G2843=1,F2843,CEILING(F2843,1))</f>
        <v/>
      </c>
      <c r="I2843">
        <f>IF(G2843=1,0,(H2843-F2843)*E2843)</f>
        <v/>
      </c>
      <c r="J2843">
        <f>E2843*F2843</f>
        <v/>
      </c>
    </row>
    <row r="2844">
      <c r="A2844">
        <f>Sources!A2844</f>
        <v/>
      </c>
      <c r="B2844">
        <f>Sources!B2844</f>
        <v/>
      </c>
      <c r="C2844">
        <f>Sources!D2844</f>
        <v/>
      </c>
      <c r="D2844">
        <f>Sources!E2844</f>
        <v/>
      </c>
      <c r="E2844">
        <f>Sources!F2844</f>
        <v/>
      </c>
      <c r="F2844">
        <f>Sources!H2844</f>
        <v/>
      </c>
      <c r="G2844">
        <f>IF(ABS(F2844-ROUND(F2844,0))&lt;0.001,1,0)</f>
        <v/>
      </c>
      <c r="H2844">
        <f>IF(G2844=1,F2844,CEILING(F2844,1))</f>
        <v/>
      </c>
      <c r="I2844">
        <f>IF(G2844=1,0,(H2844-F2844)*E2844)</f>
        <v/>
      </c>
      <c r="J2844">
        <f>E2844*F2844</f>
        <v/>
      </c>
    </row>
    <row r="2845">
      <c r="A2845">
        <f>Sources!A2845</f>
        <v/>
      </c>
      <c r="B2845">
        <f>Sources!B2845</f>
        <v/>
      </c>
      <c r="C2845">
        <f>Sources!D2845</f>
        <v/>
      </c>
      <c r="D2845">
        <f>Sources!E2845</f>
        <v/>
      </c>
      <c r="E2845">
        <f>Sources!F2845</f>
        <v/>
      </c>
      <c r="F2845">
        <f>Sources!H2845</f>
        <v/>
      </c>
      <c r="G2845">
        <f>IF(ABS(F2845-ROUND(F2845,0))&lt;0.001,1,0)</f>
        <v/>
      </c>
      <c r="H2845">
        <f>IF(G2845=1,F2845,CEILING(F2845,1))</f>
        <v/>
      </c>
      <c r="I2845">
        <f>IF(G2845=1,0,(H2845-F2845)*E2845)</f>
        <v/>
      </c>
      <c r="J2845">
        <f>E2845*F2845</f>
        <v/>
      </c>
    </row>
    <row r="2846">
      <c r="A2846">
        <f>Sources!A2846</f>
        <v/>
      </c>
      <c r="B2846">
        <f>Sources!B2846</f>
        <v/>
      </c>
      <c r="C2846">
        <f>Sources!D2846</f>
        <v/>
      </c>
      <c r="D2846">
        <f>Sources!E2846</f>
        <v/>
      </c>
      <c r="E2846">
        <f>Sources!F2846</f>
        <v/>
      </c>
      <c r="F2846">
        <f>Sources!H2846</f>
        <v/>
      </c>
      <c r="G2846">
        <f>IF(ABS(F2846-ROUND(F2846,0))&lt;0.001,1,0)</f>
        <v/>
      </c>
      <c r="H2846">
        <f>IF(G2846=1,F2846,CEILING(F2846,1))</f>
        <v/>
      </c>
      <c r="I2846">
        <f>IF(G2846=1,0,(H2846-F2846)*E2846)</f>
        <v/>
      </c>
      <c r="J2846">
        <f>E2846*F2846</f>
        <v/>
      </c>
    </row>
    <row r="2847">
      <c r="A2847">
        <f>Sources!A2847</f>
        <v/>
      </c>
      <c r="B2847">
        <f>Sources!B2847</f>
        <v/>
      </c>
      <c r="C2847">
        <f>Sources!D2847</f>
        <v/>
      </c>
      <c r="D2847">
        <f>Sources!E2847</f>
        <v/>
      </c>
      <c r="E2847">
        <f>Sources!F2847</f>
        <v/>
      </c>
      <c r="F2847">
        <f>Sources!H2847</f>
        <v/>
      </c>
      <c r="G2847">
        <f>IF(ABS(F2847-ROUND(F2847,0))&lt;0.001,1,0)</f>
        <v/>
      </c>
      <c r="H2847">
        <f>IF(G2847=1,F2847,CEILING(F2847,1))</f>
        <v/>
      </c>
      <c r="I2847">
        <f>IF(G2847=1,0,(H2847-F2847)*E2847)</f>
        <v/>
      </c>
      <c r="J2847">
        <f>E2847*F2847</f>
        <v/>
      </c>
    </row>
    <row r="2848">
      <c r="A2848">
        <f>Sources!A2848</f>
        <v/>
      </c>
      <c r="B2848">
        <f>Sources!B2848</f>
        <v/>
      </c>
      <c r="C2848">
        <f>Sources!D2848</f>
        <v/>
      </c>
      <c r="D2848">
        <f>Sources!E2848</f>
        <v/>
      </c>
      <c r="E2848">
        <f>Sources!F2848</f>
        <v/>
      </c>
      <c r="F2848">
        <f>Sources!H2848</f>
        <v/>
      </c>
      <c r="G2848">
        <f>IF(ABS(F2848-ROUND(F2848,0))&lt;0.001,1,0)</f>
        <v/>
      </c>
      <c r="H2848">
        <f>IF(G2848=1,F2848,CEILING(F2848,1))</f>
        <v/>
      </c>
      <c r="I2848">
        <f>IF(G2848=1,0,(H2848-F2848)*E2848)</f>
        <v/>
      </c>
      <c r="J2848">
        <f>E2848*F2848</f>
        <v/>
      </c>
    </row>
    <row r="2849">
      <c r="A2849">
        <f>Sources!A2849</f>
        <v/>
      </c>
      <c r="B2849">
        <f>Sources!B2849</f>
        <v/>
      </c>
      <c r="C2849">
        <f>Sources!D2849</f>
        <v/>
      </c>
      <c r="D2849">
        <f>Sources!E2849</f>
        <v/>
      </c>
      <c r="E2849">
        <f>Sources!F2849</f>
        <v/>
      </c>
      <c r="F2849">
        <f>Sources!H2849</f>
        <v/>
      </c>
      <c r="G2849">
        <f>IF(ABS(F2849-ROUND(F2849,0))&lt;0.001,1,0)</f>
        <v/>
      </c>
      <c r="H2849">
        <f>IF(G2849=1,F2849,CEILING(F2849,1))</f>
        <v/>
      </c>
      <c r="I2849">
        <f>IF(G2849=1,0,(H2849-F2849)*E2849)</f>
        <v/>
      </c>
      <c r="J2849">
        <f>E2849*F2849</f>
        <v/>
      </c>
    </row>
    <row r="2850">
      <c r="A2850">
        <f>Sources!A2850</f>
        <v/>
      </c>
      <c r="B2850">
        <f>Sources!B2850</f>
        <v/>
      </c>
      <c r="C2850">
        <f>Sources!D2850</f>
        <v/>
      </c>
      <c r="D2850">
        <f>Sources!E2850</f>
        <v/>
      </c>
      <c r="E2850">
        <f>Sources!F2850</f>
        <v/>
      </c>
      <c r="F2850">
        <f>Sources!H2850</f>
        <v/>
      </c>
      <c r="G2850">
        <f>IF(ABS(F2850-ROUND(F2850,0))&lt;0.001,1,0)</f>
        <v/>
      </c>
      <c r="H2850">
        <f>IF(G2850=1,F2850,CEILING(F2850,1))</f>
        <v/>
      </c>
      <c r="I2850">
        <f>IF(G2850=1,0,(H2850-F2850)*E2850)</f>
        <v/>
      </c>
      <c r="J2850">
        <f>E2850*F2850</f>
        <v/>
      </c>
    </row>
    <row r="2851">
      <c r="A2851">
        <f>Sources!A2851</f>
        <v/>
      </c>
      <c r="B2851">
        <f>Sources!B2851</f>
        <v/>
      </c>
      <c r="C2851">
        <f>Sources!D2851</f>
        <v/>
      </c>
      <c r="D2851">
        <f>Sources!E2851</f>
        <v/>
      </c>
      <c r="E2851">
        <f>Sources!F2851</f>
        <v/>
      </c>
      <c r="F2851">
        <f>Sources!H2851</f>
        <v/>
      </c>
      <c r="G2851">
        <f>IF(ABS(F2851-ROUND(F2851,0))&lt;0.001,1,0)</f>
        <v/>
      </c>
      <c r="H2851">
        <f>IF(G2851=1,F2851,CEILING(F2851,1))</f>
        <v/>
      </c>
      <c r="I2851">
        <f>IF(G2851=1,0,(H2851-F2851)*E2851)</f>
        <v/>
      </c>
      <c r="J2851">
        <f>E2851*F2851</f>
        <v/>
      </c>
    </row>
    <row r="2852">
      <c r="A2852">
        <f>Sources!A2852</f>
        <v/>
      </c>
      <c r="B2852">
        <f>Sources!B2852</f>
        <v/>
      </c>
      <c r="C2852">
        <f>Sources!D2852</f>
        <v/>
      </c>
      <c r="D2852">
        <f>Sources!E2852</f>
        <v/>
      </c>
      <c r="E2852">
        <f>Sources!F2852</f>
        <v/>
      </c>
      <c r="F2852">
        <f>Sources!H2852</f>
        <v/>
      </c>
      <c r="G2852">
        <f>IF(ABS(F2852-ROUND(F2852,0))&lt;0.001,1,0)</f>
        <v/>
      </c>
      <c r="H2852">
        <f>IF(G2852=1,F2852,CEILING(F2852,1))</f>
        <v/>
      </c>
      <c r="I2852">
        <f>IF(G2852=1,0,(H2852-F2852)*E2852)</f>
        <v/>
      </c>
      <c r="J2852">
        <f>E2852*F2852</f>
        <v/>
      </c>
    </row>
    <row r="2853">
      <c r="A2853">
        <f>Sources!A2853</f>
        <v/>
      </c>
      <c r="B2853">
        <f>Sources!B2853</f>
        <v/>
      </c>
      <c r="C2853">
        <f>Sources!D2853</f>
        <v/>
      </c>
      <c r="D2853">
        <f>Sources!E2853</f>
        <v/>
      </c>
      <c r="E2853">
        <f>Sources!F2853</f>
        <v/>
      </c>
      <c r="F2853">
        <f>Sources!H2853</f>
        <v/>
      </c>
      <c r="G2853">
        <f>IF(ABS(F2853-ROUND(F2853,0))&lt;0.001,1,0)</f>
        <v/>
      </c>
      <c r="H2853">
        <f>IF(G2853=1,F2853,CEILING(F2853,1))</f>
        <v/>
      </c>
      <c r="I2853">
        <f>IF(G2853=1,0,(H2853-F2853)*E2853)</f>
        <v/>
      </c>
      <c r="J2853">
        <f>E2853*F2853</f>
        <v/>
      </c>
    </row>
    <row r="2854">
      <c r="A2854">
        <f>Sources!A2854</f>
        <v/>
      </c>
      <c r="B2854">
        <f>Sources!B2854</f>
        <v/>
      </c>
      <c r="C2854">
        <f>Sources!D2854</f>
        <v/>
      </c>
      <c r="D2854">
        <f>Sources!E2854</f>
        <v/>
      </c>
      <c r="E2854">
        <f>Sources!F2854</f>
        <v/>
      </c>
      <c r="F2854">
        <f>Sources!H2854</f>
        <v/>
      </c>
      <c r="G2854">
        <f>IF(ABS(F2854-ROUND(F2854,0))&lt;0.001,1,0)</f>
        <v/>
      </c>
      <c r="H2854">
        <f>IF(G2854=1,F2854,CEILING(F2854,1))</f>
        <v/>
      </c>
      <c r="I2854">
        <f>IF(G2854=1,0,(H2854-F2854)*E2854)</f>
        <v/>
      </c>
      <c r="J2854">
        <f>E2854*F2854</f>
        <v/>
      </c>
    </row>
    <row r="2855">
      <c r="A2855">
        <f>Sources!A2855</f>
        <v/>
      </c>
      <c r="B2855">
        <f>Sources!B2855</f>
        <v/>
      </c>
      <c r="C2855">
        <f>Sources!D2855</f>
        <v/>
      </c>
      <c r="D2855">
        <f>Sources!E2855</f>
        <v/>
      </c>
      <c r="E2855">
        <f>Sources!F2855</f>
        <v/>
      </c>
      <c r="F2855">
        <f>Sources!H2855</f>
        <v/>
      </c>
      <c r="G2855">
        <f>IF(ABS(F2855-ROUND(F2855,0))&lt;0.001,1,0)</f>
        <v/>
      </c>
      <c r="H2855">
        <f>IF(G2855=1,F2855,CEILING(F2855,1))</f>
        <v/>
      </c>
      <c r="I2855">
        <f>IF(G2855=1,0,(H2855-F2855)*E2855)</f>
        <v/>
      </c>
      <c r="J2855">
        <f>E2855*F2855</f>
        <v/>
      </c>
    </row>
    <row r="2856">
      <c r="A2856">
        <f>Sources!A2856</f>
        <v/>
      </c>
      <c r="B2856">
        <f>Sources!B2856</f>
        <v/>
      </c>
      <c r="C2856">
        <f>Sources!D2856</f>
        <v/>
      </c>
      <c r="D2856">
        <f>Sources!E2856</f>
        <v/>
      </c>
      <c r="E2856">
        <f>Sources!F2856</f>
        <v/>
      </c>
      <c r="F2856">
        <f>Sources!H2856</f>
        <v/>
      </c>
      <c r="G2856">
        <f>IF(ABS(F2856-ROUND(F2856,0))&lt;0.001,1,0)</f>
        <v/>
      </c>
      <c r="H2856">
        <f>IF(G2856=1,F2856,CEILING(F2856,1))</f>
        <v/>
      </c>
      <c r="I2856">
        <f>IF(G2856=1,0,(H2856-F2856)*E2856)</f>
        <v/>
      </c>
      <c r="J2856">
        <f>E2856*F2856</f>
        <v/>
      </c>
    </row>
    <row r="2857">
      <c r="A2857">
        <f>Sources!A2857</f>
        <v/>
      </c>
      <c r="B2857">
        <f>Sources!B2857</f>
        <v/>
      </c>
      <c r="C2857">
        <f>Sources!D2857</f>
        <v/>
      </c>
      <c r="D2857">
        <f>Sources!E2857</f>
        <v/>
      </c>
      <c r="E2857">
        <f>Sources!F2857</f>
        <v/>
      </c>
      <c r="F2857">
        <f>Sources!H2857</f>
        <v/>
      </c>
      <c r="G2857">
        <f>IF(ABS(F2857-ROUND(F2857,0))&lt;0.001,1,0)</f>
        <v/>
      </c>
      <c r="H2857">
        <f>IF(G2857=1,F2857,CEILING(F2857,1))</f>
        <v/>
      </c>
      <c r="I2857">
        <f>IF(G2857=1,0,(H2857-F2857)*E2857)</f>
        <v/>
      </c>
      <c r="J2857">
        <f>E2857*F2857</f>
        <v/>
      </c>
    </row>
    <row r="2858">
      <c r="A2858">
        <f>Sources!A2858</f>
        <v/>
      </c>
      <c r="B2858">
        <f>Sources!B2858</f>
        <v/>
      </c>
      <c r="C2858">
        <f>Sources!D2858</f>
        <v/>
      </c>
      <c r="D2858">
        <f>Sources!E2858</f>
        <v/>
      </c>
      <c r="E2858">
        <f>Sources!F2858</f>
        <v/>
      </c>
      <c r="F2858">
        <f>Sources!H2858</f>
        <v/>
      </c>
      <c r="G2858">
        <f>IF(ABS(F2858-ROUND(F2858,0))&lt;0.001,1,0)</f>
        <v/>
      </c>
      <c r="H2858">
        <f>IF(G2858=1,F2858,CEILING(F2858,1))</f>
        <v/>
      </c>
      <c r="I2858">
        <f>IF(G2858=1,0,(H2858-F2858)*E2858)</f>
        <v/>
      </c>
      <c r="J2858">
        <f>E2858*F2858</f>
        <v/>
      </c>
    </row>
    <row r="2859">
      <c r="A2859">
        <f>Sources!A2859</f>
        <v/>
      </c>
      <c r="B2859">
        <f>Sources!B2859</f>
        <v/>
      </c>
      <c r="C2859">
        <f>Sources!D2859</f>
        <v/>
      </c>
      <c r="D2859">
        <f>Sources!E2859</f>
        <v/>
      </c>
      <c r="E2859">
        <f>Sources!F2859</f>
        <v/>
      </c>
      <c r="F2859">
        <f>Sources!H2859</f>
        <v/>
      </c>
      <c r="G2859">
        <f>IF(ABS(F2859-ROUND(F2859,0))&lt;0.001,1,0)</f>
        <v/>
      </c>
      <c r="H2859">
        <f>IF(G2859=1,F2859,CEILING(F2859,1))</f>
        <v/>
      </c>
      <c r="I2859">
        <f>IF(G2859=1,0,(H2859-F2859)*E2859)</f>
        <v/>
      </c>
      <c r="J2859">
        <f>E2859*F2859</f>
        <v/>
      </c>
    </row>
    <row r="2860">
      <c r="A2860">
        <f>Sources!A2860</f>
        <v/>
      </c>
      <c r="B2860">
        <f>Sources!B2860</f>
        <v/>
      </c>
      <c r="C2860">
        <f>Sources!D2860</f>
        <v/>
      </c>
      <c r="D2860">
        <f>Sources!E2860</f>
        <v/>
      </c>
      <c r="E2860">
        <f>Sources!F2860</f>
        <v/>
      </c>
      <c r="F2860">
        <f>Sources!H2860</f>
        <v/>
      </c>
      <c r="G2860">
        <f>IF(ABS(F2860-ROUND(F2860,0))&lt;0.001,1,0)</f>
        <v/>
      </c>
      <c r="H2860">
        <f>IF(G2860=1,F2860,CEILING(F2860,1))</f>
        <v/>
      </c>
      <c r="I2860">
        <f>IF(G2860=1,0,(H2860-F2860)*E2860)</f>
        <v/>
      </c>
      <c r="J2860">
        <f>E2860*F2860</f>
        <v/>
      </c>
    </row>
    <row r="2861">
      <c r="A2861">
        <f>Sources!A2861</f>
        <v/>
      </c>
      <c r="B2861">
        <f>Sources!B2861</f>
        <v/>
      </c>
      <c r="C2861">
        <f>Sources!D2861</f>
        <v/>
      </c>
      <c r="D2861">
        <f>Sources!E2861</f>
        <v/>
      </c>
      <c r="E2861">
        <f>Sources!F2861</f>
        <v/>
      </c>
      <c r="F2861">
        <f>Sources!H2861</f>
        <v/>
      </c>
      <c r="G2861">
        <f>IF(ABS(F2861-ROUND(F2861,0))&lt;0.001,1,0)</f>
        <v/>
      </c>
      <c r="H2861">
        <f>IF(G2861=1,F2861,CEILING(F2861,1))</f>
        <v/>
      </c>
      <c r="I2861">
        <f>IF(G2861=1,0,(H2861-F2861)*E2861)</f>
        <v/>
      </c>
      <c r="J2861">
        <f>E2861*F2861</f>
        <v/>
      </c>
    </row>
    <row r="2862">
      <c r="A2862">
        <f>Sources!A2862</f>
        <v/>
      </c>
      <c r="B2862">
        <f>Sources!B2862</f>
        <v/>
      </c>
      <c r="C2862">
        <f>Sources!D2862</f>
        <v/>
      </c>
      <c r="D2862">
        <f>Sources!E2862</f>
        <v/>
      </c>
      <c r="E2862">
        <f>Sources!F2862</f>
        <v/>
      </c>
      <c r="F2862">
        <f>Sources!H2862</f>
        <v/>
      </c>
      <c r="G2862">
        <f>IF(ABS(F2862-ROUND(F2862,0))&lt;0.001,1,0)</f>
        <v/>
      </c>
      <c r="H2862">
        <f>IF(G2862=1,F2862,CEILING(F2862,1))</f>
        <v/>
      </c>
      <c r="I2862">
        <f>IF(G2862=1,0,(H2862-F2862)*E2862)</f>
        <v/>
      </c>
      <c r="J2862">
        <f>E2862*F2862</f>
        <v/>
      </c>
    </row>
    <row r="2863">
      <c r="A2863">
        <f>Sources!A2863</f>
        <v/>
      </c>
      <c r="B2863">
        <f>Sources!B2863</f>
        <v/>
      </c>
      <c r="C2863">
        <f>Sources!D2863</f>
        <v/>
      </c>
      <c r="D2863">
        <f>Sources!E2863</f>
        <v/>
      </c>
      <c r="E2863">
        <f>Sources!F2863</f>
        <v/>
      </c>
      <c r="F2863">
        <f>Sources!H2863</f>
        <v/>
      </c>
      <c r="G2863">
        <f>IF(ABS(F2863-ROUND(F2863,0))&lt;0.001,1,0)</f>
        <v/>
      </c>
      <c r="H2863">
        <f>IF(G2863=1,F2863,CEILING(F2863,1))</f>
        <v/>
      </c>
      <c r="I2863">
        <f>IF(G2863=1,0,(H2863-F2863)*E2863)</f>
        <v/>
      </c>
      <c r="J2863">
        <f>E2863*F2863</f>
        <v/>
      </c>
    </row>
    <row r="2864">
      <c r="A2864">
        <f>Sources!A2864</f>
        <v/>
      </c>
      <c r="B2864">
        <f>Sources!B2864</f>
        <v/>
      </c>
      <c r="C2864">
        <f>Sources!D2864</f>
        <v/>
      </c>
      <c r="D2864">
        <f>Sources!E2864</f>
        <v/>
      </c>
      <c r="E2864">
        <f>Sources!F2864</f>
        <v/>
      </c>
      <c r="F2864">
        <f>Sources!H2864</f>
        <v/>
      </c>
      <c r="G2864">
        <f>IF(ABS(F2864-ROUND(F2864,0))&lt;0.001,1,0)</f>
        <v/>
      </c>
      <c r="H2864">
        <f>IF(G2864=1,F2864,CEILING(F2864,1))</f>
        <v/>
      </c>
      <c r="I2864">
        <f>IF(G2864=1,0,(H2864-F2864)*E2864)</f>
        <v/>
      </c>
      <c r="J2864">
        <f>E2864*F2864</f>
        <v/>
      </c>
    </row>
    <row r="2865">
      <c r="A2865">
        <f>Sources!A2865</f>
        <v/>
      </c>
      <c r="B2865">
        <f>Sources!B2865</f>
        <v/>
      </c>
      <c r="C2865">
        <f>Sources!D2865</f>
        <v/>
      </c>
      <c r="D2865">
        <f>Sources!E2865</f>
        <v/>
      </c>
      <c r="E2865">
        <f>Sources!F2865</f>
        <v/>
      </c>
      <c r="F2865">
        <f>Sources!H2865</f>
        <v/>
      </c>
      <c r="G2865">
        <f>IF(ABS(F2865-ROUND(F2865,0))&lt;0.001,1,0)</f>
        <v/>
      </c>
      <c r="H2865">
        <f>IF(G2865=1,F2865,CEILING(F2865,1))</f>
        <v/>
      </c>
      <c r="I2865">
        <f>IF(G2865=1,0,(H2865-F2865)*E2865)</f>
        <v/>
      </c>
      <c r="J2865">
        <f>E2865*F2865</f>
        <v/>
      </c>
    </row>
    <row r="2866">
      <c r="A2866">
        <f>Sources!A2866</f>
        <v/>
      </c>
      <c r="B2866">
        <f>Sources!B2866</f>
        <v/>
      </c>
      <c r="C2866">
        <f>Sources!D2866</f>
        <v/>
      </c>
      <c r="D2866">
        <f>Sources!E2866</f>
        <v/>
      </c>
      <c r="E2866">
        <f>Sources!F2866</f>
        <v/>
      </c>
      <c r="F2866">
        <f>Sources!H2866</f>
        <v/>
      </c>
      <c r="G2866">
        <f>IF(ABS(F2866-ROUND(F2866,0))&lt;0.001,1,0)</f>
        <v/>
      </c>
      <c r="H2866">
        <f>IF(G2866=1,F2866,CEILING(F2866,1))</f>
        <v/>
      </c>
      <c r="I2866">
        <f>IF(G2866=1,0,(H2866-F2866)*E2866)</f>
        <v/>
      </c>
      <c r="J2866">
        <f>E2866*F2866</f>
        <v/>
      </c>
    </row>
    <row r="2867">
      <c r="A2867">
        <f>Sources!A2867</f>
        <v/>
      </c>
      <c r="B2867">
        <f>Sources!B2867</f>
        <v/>
      </c>
      <c r="C2867">
        <f>Sources!D2867</f>
        <v/>
      </c>
      <c r="D2867">
        <f>Sources!E2867</f>
        <v/>
      </c>
      <c r="E2867">
        <f>Sources!F2867</f>
        <v/>
      </c>
      <c r="F2867">
        <f>Sources!H2867</f>
        <v/>
      </c>
      <c r="G2867">
        <f>IF(ABS(F2867-ROUND(F2867,0))&lt;0.001,1,0)</f>
        <v/>
      </c>
      <c r="H2867">
        <f>IF(G2867=1,F2867,CEILING(F2867,1))</f>
        <v/>
      </c>
      <c r="I2867">
        <f>IF(G2867=1,0,(H2867-F2867)*E2867)</f>
        <v/>
      </c>
      <c r="J2867">
        <f>E2867*F2867</f>
        <v/>
      </c>
    </row>
    <row r="2868">
      <c r="A2868">
        <f>Sources!A2868</f>
        <v/>
      </c>
      <c r="B2868">
        <f>Sources!B2868</f>
        <v/>
      </c>
      <c r="C2868">
        <f>Sources!D2868</f>
        <v/>
      </c>
      <c r="D2868">
        <f>Sources!E2868</f>
        <v/>
      </c>
      <c r="E2868">
        <f>Sources!F2868</f>
        <v/>
      </c>
      <c r="F2868">
        <f>Sources!H2868</f>
        <v/>
      </c>
      <c r="G2868">
        <f>IF(ABS(F2868-ROUND(F2868,0))&lt;0.001,1,0)</f>
        <v/>
      </c>
      <c r="H2868">
        <f>IF(G2868=1,F2868,CEILING(F2868,1))</f>
        <v/>
      </c>
      <c r="I2868">
        <f>IF(G2868=1,0,(H2868-F2868)*E2868)</f>
        <v/>
      </c>
      <c r="J2868">
        <f>E2868*F2868</f>
        <v/>
      </c>
    </row>
    <row r="2869">
      <c r="A2869">
        <f>Sources!A2869</f>
        <v/>
      </c>
      <c r="B2869">
        <f>Sources!B2869</f>
        <v/>
      </c>
      <c r="C2869">
        <f>Sources!D2869</f>
        <v/>
      </c>
      <c r="D2869">
        <f>Sources!E2869</f>
        <v/>
      </c>
      <c r="E2869">
        <f>Sources!F2869</f>
        <v/>
      </c>
      <c r="F2869">
        <f>Sources!H2869</f>
        <v/>
      </c>
      <c r="G2869">
        <f>IF(ABS(F2869-ROUND(F2869,0))&lt;0.001,1,0)</f>
        <v/>
      </c>
      <c r="H2869">
        <f>IF(G2869=1,F2869,CEILING(F2869,1))</f>
        <v/>
      </c>
      <c r="I2869">
        <f>IF(G2869=1,0,(H2869-F2869)*E2869)</f>
        <v/>
      </c>
      <c r="J2869">
        <f>E2869*F2869</f>
        <v/>
      </c>
    </row>
    <row r="2870">
      <c r="A2870">
        <f>Sources!A2870</f>
        <v/>
      </c>
      <c r="B2870">
        <f>Sources!B2870</f>
        <v/>
      </c>
      <c r="C2870">
        <f>Sources!D2870</f>
        <v/>
      </c>
      <c r="D2870">
        <f>Sources!E2870</f>
        <v/>
      </c>
      <c r="E2870">
        <f>Sources!F2870</f>
        <v/>
      </c>
      <c r="F2870">
        <f>Sources!H2870</f>
        <v/>
      </c>
      <c r="G2870">
        <f>IF(ABS(F2870-ROUND(F2870,0))&lt;0.001,1,0)</f>
        <v/>
      </c>
      <c r="H2870">
        <f>IF(G2870=1,F2870,CEILING(F2870,1))</f>
        <v/>
      </c>
      <c r="I2870">
        <f>IF(G2870=1,0,(H2870-F2870)*E2870)</f>
        <v/>
      </c>
      <c r="J2870">
        <f>E2870*F2870</f>
        <v/>
      </c>
    </row>
    <row r="2871">
      <c r="A2871">
        <f>Sources!A2871</f>
        <v/>
      </c>
      <c r="B2871">
        <f>Sources!B2871</f>
        <v/>
      </c>
      <c r="C2871">
        <f>Sources!D2871</f>
        <v/>
      </c>
      <c r="D2871">
        <f>Sources!E2871</f>
        <v/>
      </c>
      <c r="E2871">
        <f>Sources!F2871</f>
        <v/>
      </c>
      <c r="F2871">
        <f>Sources!H2871</f>
        <v/>
      </c>
      <c r="G2871">
        <f>IF(ABS(F2871-ROUND(F2871,0))&lt;0.001,1,0)</f>
        <v/>
      </c>
      <c r="H2871">
        <f>IF(G2871=1,F2871,CEILING(F2871,1))</f>
        <v/>
      </c>
      <c r="I2871">
        <f>IF(G2871=1,0,(H2871-F2871)*E2871)</f>
        <v/>
      </c>
      <c r="J2871">
        <f>E2871*F2871</f>
        <v/>
      </c>
    </row>
    <row r="2872">
      <c r="A2872">
        <f>Sources!A2872</f>
        <v/>
      </c>
      <c r="B2872">
        <f>Sources!B2872</f>
        <v/>
      </c>
      <c r="C2872">
        <f>Sources!D2872</f>
        <v/>
      </c>
      <c r="D2872">
        <f>Sources!E2872</f>
        <v/>
      </c>
      <c r="E2872">
        <f>Sources!F2872</f>
        <v/>
      </c>
      <c r="F2872">
        <f>Sources!H2872</f>
        <v/>
      </c>
      <c r="G2872">
        <f>IF(ABS(F2872-ROUND(F2872,0))&lt;0.001,1,0)</f>
        <v/>
      </c>
      <c r="H2872">
        <f>IF(G2872=1,F2872,CEILING(F2872,1))</f>
        <v/>
      </c>
      <c r="I2872">
        <f>IF(G2872=1,0,(H2872-F2872)*E2872)</f>
        <v/>
      </c>
      <c r="J2872">
        <f>E2872*F2872</f>
        <v/>
      </c>
    </row>
    <row r="2873">
      <c r="A2873">
        <f>Sources!A2873</f>
        <v/>
      </c>
      <c r="B2873">
        <f>Sources!B2873</f>
        <v/>
      </c>
      <c r="C2873">
        <f>Sources!D2873</f>
        <v/>
      </c>
      <c r="D2873">
        <f>Sources!E2873</f>
        <v/>
      </c>
      <c r="E2873">
        <f>Sources!F2873</f>
        <v/>
      </c>
      <c r="F2873">
        <f>Sources!H2873</f>
        <v/>
      </c>
      <c r="G2873">
        <f>IF(ABS(F2873-ROUND(F2873,0))&lt;0.001,1,0)</f>
        <v/>
      </c>
      <c r="H2873">
        <f>IF(G2873=1,F2873,CEILING(F2873,1))</f>
        <v/>
      </c>
      <c r="I2873">
        <f>IF(G2873=1,0,(H2873-F2873)*E2873)</f>
        <v/>
      </c>
      <c r="J2873">
        <f>E2873*F2873</f>
        <v/>
      </c>
    </row>
    <row r="2874">
      <c r="A2874">
        <f>Sources!A2874</f>
        <v/>
      </c>
      <c r="B2874">
        <f>Sources!B2874</f>
        <v/>
      </c>
      <c r="C2874">
        <f>Sources!D2874</f>
        <v/>
      </c>
      <c r="D2874">
        <f>Sources!E2874</f>
        <v/>
      </c>
      <c r="E2874">
        <f>Sources!F2874</f>
        <v/>
      </c>
      <c r="F2874">
        <f>Sources!H2874</f>
        <v/>
      </c>
      <c r="G2874">
        <f>IF(ABS(F2874-ROUND(F2874,0))&lt;0.001,1,0)</f>
        <v/>
      </c>
      <c r="H2874">
        <f>IF(G2874=1,F2874,CEILING(F2874,1))</f>
        <v/>
      </c>
      <c r="I2874">
        <f>IF(G2874=1,0,(H2874-F2874)*E2874)</f>
        <v/>
      </c>
      <c r="J2874">
        <f>E2874*F2874</f>
        <v/>
      </c>
    </row>
    <row r="2875">
      <c r="A2875">
        <f>Sources!A2875</f>
        <v/>
      </c>
      <c r="B2875">
        <f>Sources!B2875</f>
        <v/>
      </c>
      <c r="C2875">
        <f>Sources!D2875</f>
        <v/>
      </c>
      <c r="D2875">
        <f>Sources!E2875</f>
        <v/>
      </c>
      <c r="E2875">
        <f>Sources!F2875</f>
        <v/>
      </c>
      <c r="F2875">
        <f>Sources!H2875</f>
        <v/>
      </c>
      <c r="G2875">
        <f>IF(ABS(F2875-ROUND(F2875,0))&lt;0.001,1,0)</f>
        <v/>
      </c>
      <c r="H2875">
        <f>IF(G2875=1,F2875,CEILING(F2875,1))</f>
        <v/>
      </c>
      <c r="I2875">
        <f>IF(G2875=1,0,(H2875-F2875)*E2875)</f>
        <v/>
      </c>
      <c r="J2875">
        <f>E2875*F2875</f>
        <v/>
      </c>
    </row>
    <row r="2876">
      <c r="A2876">
        <f>Sources!A2876</f>
        <v/>
      </c>
      <c r="B2876">
        <f>Sources!B2876</f>
        <v/>
      </c>
      <c r="C2876">
        <f>Sources!D2876</f>
        <v/>
      </c>
      <c r="D2876">
        <f>Sources!E2876</f>
        <v/>
      </c>
      <c r="E2876">
        <f>Sources!F2876</f>
        <v/>
      </c>
      <c r="F2876">
        <f>Sources!H2876</f>
        <v/>
      </c>
      <c r="G2876">
        <f>IF(ABS(F2876-ROUND(F2876,0))&lt;0.001,1,0)</f>
        <v/>
      </c>
      <c r="H2876">
        <f>IF(G2876=1,F2876,CEILING(F2876,1))</f>
        <v/>
      </c>
      <c r="I2876">
        <f>IF(G2876=1,0,(H2876-F2876)*E2876)</f>
        <v/>
      </c>
      <c r="J2876">
        <f>E2876*F2876</f>
        <v/>
      </c>
    </row>
    <row r="2877">
      <c r="A2877">
        <f>Sources!A2877</f>
        <v/>
      </c>
      <c r="B2877">
        <f>Sources!B2877</f>
        <v/>
      </c>
      <c r="C2877">
        <f>Sources!D2877</f>
        <v/>
      </c>
      <c r="D2877">
        <f>Sources!E2877</f>
        <v/>
      </c>
      <c r="E2877">
        <f>Sources!F2877</f>
        <v/>
      </c>
      <c r="F2877">
        <f>Sources!H2877</f>
        <v/>
      </c>
      <c r="G2877">
        <f>IF(ABS(F2877-ROUND(F2877,0))&lt;0.001,1,0)</f>
        <v/>
      </c>
      <c r="H2877">
        <f>IF(G2877=1,F2877,CEILING(F2877,1))</f>
        <v/>
      </c>
      <c r="I2877">
        <f>IF(G2877=1,0,(H2877-F2877)*E2877)</f>
        <v/>
      </c>
      <c r="J2877">
        <f>E2877*F2877</f>
        <v/>
      </c>
    </row>
    <row r="2878">
      <c r="A2878">
        <f>Sources!A2878</f>
        <v/>
      </c>
      <c r="B2878">
        <f>Sources!B2878</f>
        <v/>
      </c>
      <c r="C2878">
        <f>Sources!D2878</f>
        <v/>
      </c>
      <c r="D2878">
        <f>Sources!E2878</f>
        <v/>
      </c>
      <c r="E2878">
        <f>Sources!F2878</f>
        <v/>
      </c>
      <c r="F2878">
        <f>Sources!H2878</f>
        <v/>
      </c>
      <c r="G2878">
        <f>IF(ABS(F2878-ROUND(F2878,0))&lt;0.001,1,0)</f>
        <v/>
      </c>
      <c r="H2878">
        <f>IF(G2878=1,F2878,CEILING(F2878,1))</f>
        <v/>
      </c>
      <c r="I2878">
        <f>IF(G2878=1,0,(H2878-F2878)*E2878)</f>
        <v/>
      </c>
      <c r="J2878">
        <f>E2878*F2878</f>
        <v/>
      </c>
    </row>
    <row r="2879">
      <c r="A2879">
        <f>Sources!A2879</f>
        <v/>
      </c>
      <c r="B2879">
        <f>Sources!B2879</f>
        <v/>
      </c>
      <c r="C2879">
        <f>Sources!D2879</f>
        <v/>
      </c>
      <c r="D2879">
        <f>Sources!E2879</f>
        <v/>
      </c>
      <c r="E2879">
        <f>Sources!F2879</f>
        <v/>
      </c>
      <c r="F2879">
        <f>Sources!H2879</f>
        <v/>
      </c>
      <c r="G2879">
        <f>IF(ABS(F2879-ROUND(F2879,0))&lt;0.001,1,0)</f>
        <v/>
      </c>
      <c r="H2879">
        <f>IF(G2879=1,F2879,CEILING(F2879,1))</f>
        <v/>
      </c>
      <c r="I2879">
        <f>IF(G2879=1,0,(H2879-F2879)*E2879)</f>
        <v/>
      </c>
      <c r="J2879">
        <f>E2879*F2879</f>
        <v/>
      </c>
    </row>
    <row r="2880">
      <c r="A2880">
        <f>Sources!A2880</f>
        <v/>
      </c>
      <c r="B2880">
        <f>Sources!B2880</f>
        <v/>
      </c>
      <c r="C2880">
        <f>Sources!D2880</f>
        <v/>
      </c>
      <c r="D2880">
        <f>Sources!E2880</f>
        <v/>
      </c>
      <c r="E2880">
        <f>Sources!F2880</f>
        <v/>
      </c>
      <c r="F2880">
        <f>Sources!H2880</f>
        <v/>
      </c>
      <c r="G2880">
        <f>IF(ABS(F2880-ROUND(F2880,0))&lt;0.001,1,0)</f>
        <v/>
      </c>
      <c r="H2880">
        <f>IF(G2880=1,F2880,CEILING(F2880,1))</f>
        <v/>
      </c>
      <c r="I2880">
        <f>IF(G2880=1,0,(H2880-F2880)*E2880)</f>
        <v/>
      </c>
      <c r="J2880">
        <f>E2880*F2880</f>
        <v/>
      </c>
    </row>
    <row r="2881">
      <c r="A2881">
        <f>Sources!A2881</f>
        <v/>
      </c>
      <c r="B2881">
        <f>Sources!B2881</f>
        <v/>
      </c>
      <c r="C2881">
        <f>Sources!D2881</f>
        <v/>
      </c>
      <c r="D2881">
        <f>Sources!E2881</f>
        <v/>
      </c>
      <c r="E2881">
        <f>Sources!F2881</f>
        <v/>
      </c>
      <c r="F2881">
        <f>Sources!H2881</f>
        <v/>
      </c>
      <c r="G2881">
        <f>IF(ABS(F2881-ROUND(F2881,0))&lt;0.001,1,0)</f>
        <v/>
      </c>
      <c r="H2881">
        <f>IF(G2881=1,F2881,CEILING(F2881,1))</f>
        <v/>
      </c>
      <c r="I2881">
        <f>IF(G2881=1,0,(H2881-F2881)*E2881)</f>
        <v/>
      </c>
      <c r="J2881">
        <f>E2881*F2881</f>
        <v/>
      </c>
    </row>
    <row r="2882">
      <c r="A2882">
        <f>Sources!A2882</f>
        <v/>
      </c>
      <c r="B2882">
        <f>Sources!B2882</f>
        <v/>
      </c>
      <c r="C2882">
        <f>Sources!D2882</f>
        <v/>
      </c>
      <c r="D2882">
        <f>Sources!E2882</f>
        <v/>
      </c>
      <c r="E2882">
        <f>Sources!F2882</f>
        <v/>
      </c>
      <c r="F2882">
        <f>Sources!H2882</f>
        <v/>
      </c>
      <c r="G2882">
        <f>IF(ABS(F2882-ROUND(F2882,0))&lt;0.001,1,0)</f>
        <v/>
      </c>
      <c r="H2882">
        <f>IF(G2882=1,F2882,CEILING(F2882,1))</f>
        <v/>
      </c>
      <c r="I2882">
        <f>IF(G2882=1,0,(H2882-F2882)*E2882)</f>
        <v/>
      </c>
      <c r="J2882">
        <f>E2882*F2882</f>
        <v/>
      </c>
    </row>
    <row r="2883">
      <c r="A2883">
        <f>Sources!A2883</f>
        <v/>
      </c>
      <c r="B2883">
        <f>Sources!B2883</f>
        <v/>
      </c>
      <c r="C2883">
        <f>Sources!D2883</f>
        <v/>
      </c>
      <c r="D2883">
        <f>Sources!E2883</f>
        <v/>
      </c>
      <c r="E2883">
        <f>Sources!F2883</f>
        <v/>
      </c>
      <c r="F2883">
        <f>Sources!H2883</f>
        <v/>
      </c>
      <c r="G2883">
        <f>IF(ABS(F2883-ROUND(F2883,0))&lt;0.001,1,0)</f>
        <v/>
      </c>
      <c r="H2883">
        <f>IF(G2883=1,F2883,CEILING(F2883,1))</f>
        <v/>
      </c>
      <c r="I2883">
        <f>IF(G2883=1,0,(H2883-F2883)*E2883)</f>
        <v/>
      </c>
      <c r="J2883">
        <f>E2883*F2883</f>
        <v/>
      </c>
    </row>
    <row r="2884">
      <c r="A2884">
        <f>Sources!A2884</f>
        <v/>
      </c>
      <c r="B2884">
        <f>Sources!B2884</f>
        <v/>
      </c>
      <c r="C2884">
        <f>Sources!D2884</f>
        <v/>
      </c>
      <c r="D2884">
        <f>Sources!E2884</f>
        <v/>
      </c>
      <c r="E2884">
        <f>Sources!F2884</f>
        <v/>
      </c>
      <c r="F2884">
        <f>Sources!H2884</f>
        <v/>
      </c>
      <c r="G2884">
        <f>IF(ABS(F2884-ROUND(F2884,0))&lt;0.001,1,0)</f>
        <v/>
      </c>
      <c r="H2884">
        <f>IF(G2884=1,F2884,CEILING(F2884,1))</f>
        <v/>
      </c>
      <c r="I2884">
        <f>IF(G2884=1,0,(H2884-F2884)*E2884)</f>
        <v/>
      </c>
      <c r="J2884">
        <f>E2884*F2884</f>
        <v/>
      </c>
    </row>
    <row r="2885">
      <c r="A2885">
        <f>Sources!A2885</f>
        <v/>
      </c>
      <c r="B2885">
        <f>Sources!B2885</f>
        <v/>
      </c>
      <c r="C2885">
        <f>Sources!D2885</f>
        <v/>
      </c>
      <c r="D2885">
        <f>Sources!E2885</f>
        <v/>
      </c>
      <c r="E2885">
        <f>Sources!F2885</f>
        <v/>
      </c>
      <c r="F2885">
        <f>Sources!H2885</f>
        <v/>
      </c>
      <c r="G2885">
        <f>IF(ABS(F2885-ROUND(F2885,0))&lt;0.001,1,0)</f>
        <v/>
      </c>
      <c r="H2885">
        <f>IF(G2885=1,F2885,CEILING(F2885,1))</f>
        <v/>
      </c>
      <c r="I2885">
        <f>IF(G2885=1,0,(H2885-F2885)*E2885)</f>
        <v/>
      </c>
      <c r="J2885">
        <f>E2885*F2885</f>
        <v/>
      </c>
    </row>
    <row r="2886">
      <c r="A2886">
        <f>Sources!A2886</f>
        <v/>
      </c>
      <c r="B2886">
        <f>Sources!B2886</f>
        <v/>
      </c>
      <c r="C2886">
        <f>Sources!D2886</f>
        <v/>
      </c>
      <c r="D2886">
        <f>Sources!E2886</f>
        <v/>
      </c>
      <c r="E2886">
        <f>Sources!F2886</f>
        <v/>
      </c>
      <c r="F2886">
        <f>Sources!H2886</f>
        <v/>
      </c>
      <c r="G2886">
        <f>IF(ABS(F2886-ROUND(F2886,0))&lt;0.001,1,0)</f>
        <v/>
      </c>
      <c r="H2886">
        <f>IF(G2886=1,F2886,CEILING(F2886,1))</f>
        <v/>
      </c>
      <c r="I2886">
        <f>IF(G2886=1,0,(H2886-F2886)*E2886)</f>
        <v/>
      </c>
      <c r="J2886">
        <f>E2886*F2886</f>
        <v/>
      </c>
    </row>
    <row r="2887">
      <c r="A2887">
        <f>Sources!A2887</f>
        <v/>
      </c>
      <c r="B2887">
        <f>Sources!B2887</f>
        <v/>
      </c>
      <c r="C2887">
        <f>Sources!D2887</f>
        <v/>
      </c>
      <c r="D2887">
        <f>Sources!E2887</f>
        <v/>
      </c>
      <c r="E2887">
        <f>Sources!F2887</f>
        <v/>
      </c>
      <c r="F2887">
        <f>Sources!H2887</f>
        <v/>
      </c>
      <c r="G2887">
        <f>IF(ABS(F2887-ROUND(F2887,0))&lt;0.001,1,0)</f>
        <v/>
      </c>
      <c r="H2887">
        <f>IF(G2887=1,F2887,CEILING(F2887,1))</f>
        <v/>
      </c>
      <c r="I2887">
        <f>IF(G2887=1,0,(H2887-F2887)*E2887)</f>
        <v/>
      </c>
      <c r="J2887">
        <f>E2887*F2887</f>
        <v/>
      </c>
    </row>
    <row r="2888">
      <c r="A2888">
        <f>Sources!A2888</f>
        <v/>
      </c>
      <c r="B2888">
        <f>Sources!B2888</f>
        <v/>
      </c>
      <c r="C2888">
        <f>Sources!D2888</f>
        <v/>
      </c>
      <c r="D2888">
        <f>Sources!E2888</f>
        <v/>
      </c>
      <c r="E2888">
        <f>Sources!F2888</f>
        <v/>
      </c>
      <c r="F2888">
        <f>Sources!H2888</f>
        <v/>
      </c>
      <c r="G2888">
        <f>IF(ABS(F2888-ROUND(F2888,0))&lt;0.001,1,0)</f>
        <v/>
      </c>
      <c r="H2888">
        <f>IF(G2888=1,F2888,CEILING(F2888,1))</f>
        <v/>
      </c>
      <c r="I2888">
        <f>IF(G2888=1,0,(H2888-F2888)*E2888)</f>
        <v/>
      </c>
      <c r="J2888">
        <f>E2888*F2888</f>
        <v/>
      </c>
    </row>
    <row r="2889">
      <c r="A2889">
        <f>Sources!A2889</f>
        <v/>
      </c>
      <c r="B2889">
        <f>Sources!B2889</f>
        <v/>
      </c>
      <c r="C2889">
        <f>Sources!D2889</f>
        <v/>
      </c>
      <c r="D2889">
        <f>Sources!E2889</f>
        <v/>
      </c>
      <c r="E2889">
        <f>Sources!F2889</f>
        <v/>
      </c>
      <c r="F2889">
        <f>Sources!H2889</f>
        <v/>
      </c>
      <c r="G2889">
        <f>IF(ABS(F2889-ROUND(F2889,0))&lt;0.001,1,0)</f>
        <v/>
      </c>
      <c r="H2889">
        <f>IF(G2889=1,F2889,CEILING(F2889,1))</f>
        <v/>
      </c>
      <c r="I2889">
        <f>IF(G2889=1,0,(H2889-F2889)*E2889)</f>
        <v/>
      </c>
      <c r="J2889">
        <f>E2889*F2889</f>
        <v/>
      </c>
    </row>
    <row r="2890">
      <c r="A2890">
        <f>Sources!A2890</f>
        <v/>
      </c>
      <c r="B2890">
        <f>Sources!B2890</f>
        <v/>
      </c>
      <c r="C2890">
        <f>Sources!D2890</f>
        <v/>
      </c>
      <c r="D2890">
        <f>Sources!E2890</f>
        <v/>
      </c>
      <c r="E2890">
        <f>Sources!F2890</f>
        <v/>
      </c>
      <c r="F2890">
        <f>Sources!H2890</f>
        <v/>
      </c>
      <c r="G2890">
        <f>IF(ABS(F2890-ROUND(F2890,0))&lt;0.001,1,0)</f>
        <v/>
      </c>
      <c r="H2890">
        <f>IF(G2890=1,F2890,CEILING(F2890,1))</f>
        <v/>
      </c>
      <c r="I2890">
        <f>IF(G2890=1,0,(H2890-F2890)*E2890)</f>
        <v/>
      </c>
      <c r="J2890">
        <f>E2890*F2890</f>
        <v/>
      </c>
    </row>
    <row r="2891">
      <c r="A2891">
        <f>Sources!A2891</f>
        <v/>
      </c>
      <c r="B2891">
        <f>Sources!B2891</f>
        <v/>
      </c>
      <c r="C2891">
        <f>Sources!D2891</f>
        <v/>
      </c>
      <c r="D2891">
        <f>Sources!E2891</f>
        <v/>
      </c>
      <c r="E2891">
        <f>Sources!F2891</f>
        <v/>
      </c>
      <c r="F2891">
        <f>Sources!H2891</f>
        <v/>
      </c>
      <c r="G2891">
        <f>IF(ABS(F2891-ROUND(F2891,0))&lt;0.001,1,0)</f>
        <v/>
      </c>
      <c r="H2891">
        <f>IF(G2891=1,F2891,CEILING(F2891,1))</f>
        <v/>
      </c>
      <c r="I2891">
        <f>IF(G2891=1,0,(H2891-F2891)*E2891)</f>
        <v/>
      </c>
      <c r="J2891">
        <f>E2891*F2891</f>
        <v/>
      </c>
    </row>
    <row r="2892">
      <c r="A2892">
        <f>Sources!A2892</f>
        <v/>
      </c>
      <c r="B2892">
        <f>Sources!B2892</f>
        <v/>
      </c>
      <c r="C2892">
        <f>Sources!D2892</f>
        <v/>
      </c>
      <c r="D2892">
        <f>Sources!E2892</f>
        <v/>
      </c>
      <c r="E2892">
        <f>Sources!F2892</f>
        <v/>
      </c>
      <c r="F2892">
        <f>Sources!H2892</f>
        <v/>
      </c>
      <c r="G2892">
        <f>IF(ABS(F2892-ROUND(F2892,0))&lt;0.001,1,0)</f>
        <v/>
      </c>
      <c r="H2892">
        <f>IF(G2892=1,F2892,CEILING(F2892,1))</f>
        <v/>
      </c>
      <c r="I2892">
        <f>IF(G2892=1,0,(H2892-F2892)*E2892)</f>
        <v/>
      </c>
      <c r="J2892">
        <f>E2892*F2892</f>
        <v/>
      </c>
    </row>
    <row r="2893">
      <c r="A2893">
        <f>Sources!A2893</f>
        <v/>
      </c>
      <c r="B2893">
        <f>Sources!B2893</f>
        <v/>
      </c>
      <c r="C2893">
        <f>Sources!D2893</f>
        <v/>
      </c>
      <c r="D2893">
        <f>Sources!E2893</f>
        <v/>
      </c>
      <c r="E2893">
        <f>Sources!F2893</f>
        <v/>
      </c>
      <c r="F2893">
        <f>Sources!H2893</f>
        <v/>
      </c>
      <c r="G2893">
        <f>IF(ABS(F2893-ROUND(F2893,0))&lt;0.001,1,0)</f>
        <v/>
      </c>
      <c r="H2893">
        <f>IF(G2893=1,F2893,CEILING(F2893,1))</f>
        <v/>
      </c>
      <c r="I2893">
        <f>IF(G2893=1,0,(H2893-F2893)*E2893)</f>
        <v/>
      </c>
      <c r="J2893">
        <f>E2893*F2893</f>
        <v/>
      </c>
    </row>
    <row r="2894">
      <c r="A2894">
        <f>Sources!A2894</f>
        <v/>
      </c>
      <c r="B2894">
        <f>Sources!B2894</f>
        <v/>
      </c>
      <c r="C2894">
        <f>Sources!D2894</f>
        <v/>
      </c>
      <c r="D2894">
        <f>Sources!E2894</f>
        <v/>
      </c>
      <c r="E2894">
        <f>Sources!F2894</f>
        <v/>
      </c>
      <c r="F2894">
        <f>Sources!H2894</f>
        <v/>
      </c>
      <c r="G2894">
        <f>IF(ABS(F2894-ROUND(F2894,0))&lt;0.001,1,0)</f>
        <v/>
      </c>
      <c r="H2894">
        <f>IF(G2894=1,F2894,CEILING(F2894,1))</f>
        <v/>
      </c>
      <c r="I2894">
        <f>IF(G2894=1,0,(H2894-F2894)*E2894)</f>
        <v/>
      </c>
      <c r="J2894">
        <f>E2894*F2894</f>
        <v/>
      </c>
    </row>
    <row r="2895">
      <c r="A2895">
        <f>Sources!A2895</f>
        <v/>
      </c>
      <c r="B2895">
        <f>Sources!B2895</f>
        <v/>
      </c>
      <c r="C2895">
        <f>Sources!D2895</f>
        <v/>
      </c>
      <c r="D2895">
        <f>Sources!E2895</f>
        <v/>
      </c>
      <c r="E2895">
        <f>Sources!F2895</f>
        <v/>
      </c>
      <c r="F2895">
        <f>Sources!H2895</f>
        <v/>
      </c>
      <c r="G2895">
        <f>IF(ABS(F2895-ROUND(F2895,0))&lt;0.001,1,0)</f>
        <v/>
      </c>
      <c r="H2895">
        <f>IF(G2895=1,F2895,CEILING(F2895,1))</f>
        <v/>
      </c>
      <c r="I2895">
        <f>IF(G2895=1,0,(H2895-F2895)*E2895)</f>
        <v/>
      </c>
      <c r="J2895">
        <f>E2895*F2895</f>
        <v/>
      </c>
    </row>
    <row r="2896">
      <c r="A2896">
        <f>Sources!A2896</f>
        <v/>
      </c>
      <c r="B2896">
        <f>Sources!B2896</f>
        <v/>
      </c>
      <c r="C2896">
        <f>Sources!D2896</f>
        <v/>
      </c>
      <c r="D2896">
        <f>Sources!E2896</f>
        <v/>
      </c>
      <c r="E2896">
        <f>Sources!F2896</f>
        <v/>
      </c>
      <c r="F2896">
        <f>Sources!H2896</f>
        <v/>
      </c>
      <c r="G2896">
        <f>IF(ABS(F2896-ROUND(F2896,0))&lt;0.001,1,0)</f>
        <v/>
      </c>
      <c r="H2896">
        <f>IF(G2896=1,F2896,CEILING(F2896,1))</f>
        <v/>
      </c>
      <c r="I2896">
        <f>IF(G2896=1,0,(H2896-F2896)*E2896)</f>
        <v/>
      </c>
      <c r="J2896">
        <f>E2896*F2896</f>
        <v/>
      </c>
    </row>
    <row r="2897">
      <c r="A2897">
        <f>Sources!A2897</f>
        <v/>
      </c>
      <c r="B2897">
        <f>Sources!B2897</f>
        <v/>
      </c>
      <c r="C2897">
        <f>Sources!D2897</f>
        <v/>
      </c>
      <c r="D2897">
        <f>Sources!E2897</f>
        <v/>
      </c>
      <c r="E2897">
        <f>Sources!F2897</f>
        <v/>
      </c>
      <c r="F2897">
        <f>Sources!H2897</f>
        <v/>
      </c>
      <c r="G2897">
        <f>IF(ABS(F2897-ROUND(F2897,0))&lt;0.001,1,0)</f>
        <v/>
      </c>
      <c r="H2897">
        <f>IF(G2897=1,F2897,CEILING(F2897,1))</f>
        <v/>
      </c>
      <c r="I2897">
        <f>IF(G2897=1,0,(H2897-F2897)*E2897)</f>
        <v/>
      </c>
      <c r="J2897">
        <f>E2897*F2897</f>
        <v/>
      </c>
    </row>
    <row r="2898">
      <c r="A2898">
        <f>Sources!A2898</f>
        <v/>
      </c>
      <c r="B2898">
        <f>Sources!B2898</f>
        <v/>
      </c>
      <c r="C2898">
        <f>Sources!D2898</f>
        <v/>
      </c>
      <c r="D2898">
        <f>Sources!E2898</f>
        <v/>
      </c>
      <c r="E2898">
        <f>Sources!F2898</f>
        <v/>
      </c>
      <c r="F2898">
        <f>Sources!H2898</f>
        <v/>
      </c>
      <c r="G2898">
        <f>IF(ABS(F2898-ROUND(F2898,0))&lt;0.001,1,0)</f>
        <v/>
      </c>
      <c r="H2898">
        <f>IF(G2898=1,F2898,CEILING(F2898,1))</f>
        <v/>
      </c>
      <c r="I2898">
        <f>IF(G2898=1,0,(H2898-F2898)*E2898)</f>
        <v/>
      </c>
      <c r="J2898">
        <f>E2898*F2898</f>
        <v/>
      </c>
    </row>
    <row r="2899">
      <c r="A2899">
        <f>Sources!A2899</f>
        <v/>
      </c>
      <c r="B2899">
        <f>Sources!B2899</f>
        <v/>
      </c>
      <c r="C2899">
        <f>Sources!D2899</f>
        <v/>
      </c>
      <c r="D2899">
        <f>Sources!E2899</f>
        <v/>
      </c>
      <c r="E2899">
        <f>Sources!F2899</f>
        <v/>
      </c>
      <c r="F2899">
        <f>Sources!H2899</f>
        <v/>
      </c>
      <c r="G2899">
        <f>IF(ABS(F2899-ROUND(F2899,0))&lt;0.001,1,0)</f>
        <v/>
      </c>
      <c r="H2899">
        <f>IF(G2899=1,F2899,CEILING(F2899,1))</f>
        <v/>
      </c>
      <c r="I2899">
        <f>IF(G2899=1,0,(H2899-F2899)*E2899)</f>
        <v/>
      </c>
      <c r="J2899">
        <f>E2899*F2899</f>
        <v/>
      </c>
    </row>
    <row r="2900">
      <c r="A2900">
        <f>Sources!A2900</f>
        <v/>
      </c>
      <c r="B2900">
        <f>Sources!B2900</f>
        <v/>
      </c>
      <c r="C2900">
        <f>Sources!D2900</f>
        <v/>
      </c>
      <c r="D2900">
        <f>Sources!E2900</f>
        <v/>
      </c>
      <c r="E2900">
        <f>Sources!F2900</f>
        <v/>
      </c>
      <c r="F2900">
        <f>Sources!H2900</f>
        <v/>
      </c>
      <c r="G2900">
        <f>IF(ABS(F2900-ROUND(F2900,0))&lt;0.001,1,0)</f>
        <v/>
      </c>
      <c r="H2900">
        <f>IF(G2900=1,F2900,CEILING(F2900,1))</f>
        <v/>
      </c>
      <c r="I2900">
        <f>IF(G2900=1,0,(H2900-F2900)*E2900)</f>
        <v/>
      </c>
      <c r="J2900">
        <f>E2900*F2900</f>
        <v/>
      </c>
    </row>
    <row r="2901">
      <c r="A2901">
        <f>Sources!A2901</f>
        <v/>
      </c>
      <c r="B2901">
        <f>Sources!B2901</f>
        <v/>
      </c>
      <c r="C2901">
        <f>Sources!D2901</f>
        <v/>
      </c>
      <c r="D2901">
        <f>Sources!E2901</f>
        <v/>
      </c>
      <c r="E2901">
        <f>Sources!F2901</f>
        <v/>
      </c>
      <c r="F2901">
        <f>Sources!H2901</f>
        <v/>
      </c>
      <c r="G2901">
        <f>IF(ABS(F2901-ROUND(F2901,0))&lt;0.001,1,0)</f>
        <v/>
      </c>
      <c r="H2901">
        <f>IF(G2901=1,F2901,CEILING(F2901,1))</f>
        <v/>
      </c>
      <c r="I2901">
        <f>IF(G2901=1,0,(H2901-F2901)*E2901)</f>
        <v/>
      </c>
      <c r="J2901">
        <f>E2901*F2901</f>
        <v/>
      </c>
    </row>
    <row r="2902">
      <c r="A2902">
        <f>Sources!A2902</f>
        <v/>
      </c>
      <c r="B2902">
        <f>Sources!B2902</f>
        <v/>
      </c>
      <c r="C2902">
        <f>Sources!D2902</f>
        <v/>
      </c>
      <c r="D2902">
        <f>Sources!E2902</f>
        <v/>
      </c>
      <c r="E2902">
        <f>Sources!F2902</f>
        <v/>
      </c>
      <c r="F2902">
        <f>Sources!H2902</f>
        <v/>
      </c>
      <c r="G2902">
        <f>IF(ABS(F2902-ROUND(F2902,0))&lt;0.001,1,0)</f>
        <v/>
      </c>
      <c r="H2902">
        <f>IF(G2902=1,F2902,CEILING(F2902,1))</f>
        <v/>
      </c>
      <c r="I2902">
        <f>IF(G2902=1,0,(H2902-F2902)*E2902)</f>
        <v/>
      </c>
      <c r="J2902">
        <f>E2902*F2902</f>
        <v/>
      </c>
    </row>
    <row r="2903">
      <c r="A2903">
        <f>Sources!A2903</f>
        <v/>
      </c>
      <c r="B2903">
        <f>Sources!B2903</f>
        <v/>
      </c>
      <c r="C2903">
        <f>Sources!D2903</f>
        <v/>
      </c>
      <c r="D2903">
        <f>Sources!E2903</f>
        <v/>
      </c>
      <c r="E2903">
        <f>Sources!F2903</f>
        <v/>
      </c>
      <c r="F2903">
        <f>Sources!H2903</f>
        <v/>
      </c>
      <c r="G2903">
        <f>IF(ABS(F2903-ROUND(F2903,0))&lt;0.001,1,0)</f>
        <v/>
      </c>
      <c r="H2903">
        <f>IF(G2903=1,F2903,CEILING(F2903,1))</f>
        <v/>
      </c>
      <c r="I2903">
        <f>IF(G2903=1,0,(H2903-F2903)*E2903)</f>
        <v/>
      </c>
      <c r="J2903">
        <f>E2903*F2903</f>
        <v/>
      </c>
    </row>
    <row r="2904">
      <c r="A2904">
        <f>Sources!A2904</f>
        <v/>
      </c>
      <c r="B2904">
        <f>Sources!B2904</f>
        <v/>
      </c>
      <c r="C2904">
        <f>Sources!D2904</f>
        <v/>
      </c>
      <c r="D2904">
        <f>Sources!E2904</f>
        <v/>
      </c>
      <c r="E2904">
        <f>Sources!F2904</f>
        <v/>
      </c>
      <c r="F2904">
        <f>Sources!H2904</f>
        <v/>
      </c>
      <c r="G2904">
        <f>IF(ABS(F2904-ROUND(F2904,0))&lt;0.001,1,0)</f>
        <v/>
      </c>
      <c r="H2904">
        <f>IF(G2904=1,F2904,CEILING(F2904,1))</f>
        <v/>
      </c>
      <c r="I2904">
        <f>IF(G2904=1,0,(H2904-F2904)*E2904)</f>
        <v/>
      </c>
      <c r="J2904">
        <f>E2904*F2904</f>
        <v/>
      </c>
    </row>
    <row r="2905">
      <c r="A2905">
        <f>Sources!A2905</f>
        <v/>
      </c>
      <c r="B2905">
        <f>Sources!B2905</f>
        <v/>
      </c>
      <c r="C2905">
        <f>Sources!D2905</f>
        <v/>
      </c>
      <c r="D2905">
        <f>Sources!E2905</f>
        <v/>
      </c>
      <c r="E2905">
        <f>Sources!F2905</f>
        <v/>
      </c>
      <c r="F2905">
        <f>Sources!H2905</f>
        <v/>
      </c>
      <c r="G2905">
        <f>IF(ABS(F2905-ROUND(F2905,0))&lt;0.001,1,0)</f>
        <v/>
      </c>
      <c r="H2905">
        <f>IF(G2905=1,F2905,CEILING(F2905,1))</f>
        <v/>
      </c>
      <c r="I2905">
        <f>IF(G2905=1,0,(H2905-F2905)*E2905)</f>
        <v/>
      </c>
      <c r="J2905">
        <f>E2905*F2905</f>
        <v/>
      </c>
    </row>
    <row r="2906">
      <c r="A2906">
        <f>Sources!A2906</f>
        <v/>
      </c>
      <c r="B2906">
        <f>Sources!B2906</f>
        <v/>
      </c>
      <c r="C2906">
        <f>Sources!D2906</f>
        <v/>
      </c>
      <c r="D2906">
        <f>Sources!E2906</f>
        <v/>
      </c>
      <c r="E2906">
        <f>Sources!F2906</f>
        <v/>
      </c>
      <c r="F2906">
        <f>Sources!H2906</f>
        <v/>
      </c>
      <c r="G2906">
        <f>IF(ABS(F2906-ROUND(F2906,0))&lt;0.001,1,0)</f>
        <v/>
      </c>
      <c r="H2906">
        <f>IF(G2906=1,F2906,CEILING(F2906,1))</f>
        <v/>
      </c>
      <c r="I2906">
        <f>IF(G2906=1,0,(H2906-F2906)*E2906)</f>
        <v/>
      </c>
      <c r="J2906">
        <f>E2906*F2906</f>
        <v/>
      </c>
    </row>
    <row r="2907">
      <c r="A2907">
        <f>Sources!A2907</f>
        <v/>
      </c>
      <c r="B2907">
        <f>Sources!B2907</f>
        <v/>
      </c>
      <c r="C2907">
        <f>Sources!D2907</f>
        <v/>
      </c>
      <c r="D2907">
        <f>Sources!E2907</f>
        <v/>
      </c>
      <c r="E2907">
        <f>Sources!F2907</f>
        <v/>
      </c>
      <c r="F2907">
        <f>Sources!H2907</f>
        <v/>
      </c>
      <c r="G2907">
        <f>IF(ABS(F2907-ROUND(F2907,0))&lt;0.001,1,0)</f>
        <v/>
      </c>
      <c r="H2907">
        <f>IF(G2907=1,F2907,CEILING(F2907,1))</f>
        <v/>
      </c>
      <c r="I2907">
        <f>IF(G2907=1,0,(H2907-F2907)*E2907)</f>
        <v/>
      </c>
      <c r="J2907">
        <f>E2907*F2907</f>
        <v/>
      </c>
    </row>
    <row r="2908">
      <c r="A2908">
        <f>Sources!A2908</f>
        <v/>
      </c>
      <c r="B2908">
        <f>Sources!B2908</f>
        <v/>
      </c>
      <c r="C2908">
        <f>Sources!D2908</f>
        <v/>
      </c>
      <c r="D2908">
        <f>Sources!E2908</f>
        <v/>
      </c>
      <c r="E2908">
        <f>Sources!F2908</f>
        <v/>
      </c>
      <c r="F2908">
        <f>Sources!H2908</f>
        <v/>
      </c>
      <c r="G2908">
        <f>IF(ABS(F2908-ROUND(F2908,0))&lt;0.001,1,0)</f>
        <v/>
      </c>
      <c r="H2908">
        <f>IF(G2908=1,F2908,CEILING(F2908,1))</f>
        <v/>
      </c>
      <c r="I2908">
        <f>IF(G2908=1,0,(H2908-F2908)*E2908)</f>
        <v/>
      </c>
      <c r="J2908">
        <f>E2908*F2908</f>
        <v/>
      </c>
    </row>
    <row r="2909">
      <c r="A2909">
        <f>Sources!A2909</f>
        <v/>
      </c>
      <c r="B2909">
        <f>Sources!B2909</f>
        <v/>
      </c>
      <c r="C2909">
        <f>Sources!D2909</f>
        <v/>
      </c>
      <c r="D2909">
        <f>Sources!E2909</f>
        <v/>
      </c>
      <c r="E2909">
        <f>Sources!F2909</f>
        <v/>
      </c>
      <c r="F2909">
        <f>Sources!H2909</f>
        <v/>
      </c>
      <c r="G2909">
        <f>IF(ABS(F2909-ROUND(F2909,0))&lt;0.001,1,0)</f>
        <v/>
      </c>
      <c r="H2909">
        <f>IF(G2909=1,F2909,CEILING(F2909,1))</f>
        <v/>
      </c>
      <c r="I2909">
        <f>IF(G2909=1,0,(H2909-F2909)*E2909)</f>
        <v/>
      </c>
      <c r="J2909">
        <f>E2909*F2909</f>
        <v/>
      </c>
    </row>
    <row r="2910">
      <c r="A2910">
        <f>Sources!A2910</f>
        <v/>
      </c>
      <c r="B2910">
        <f>Sources!B2910</f>
        <v/>
      </c>
      <c r="C2910">
        <f>Sources!D2910</f>
        <v/>
      </c>
      <c r="D2910">
        <f>Sources!E2910</f>
        <v/>
      </c>
      <c r="E2910">
        <f>Sources!F2910</f>
        <v/>
      </c>
      <c r="F2910">
        <f>Sources!H2910</f>
        <v/>
      </c>
      <c r="G2910">
        <f>IF(ABS(F2910-ROUND(F2910,0))&lt;0.001,1,0)</f>
        <v/>
      </c>
      <c r="H2910">
        <f>IF(G2910=1,F2910,CEILING(F2910,1))</f>
        <v/>
      </c>
      <c r="I2910">
        <f>IF(G2910=1,0,(H2910-F2910)*E2910)</f>
        <v/>
      </c>
      <c r="J2910">
        <f>E2910*F2910</f>
        <v/>
      </c>
    </row>
    <row r="2911">
      <c r="A2911">
        <f>Sources!A2911</f>
        <v/>
      </c>
      <c r="B2911">
        <f>Sources!B2911</f>
        <v/>
      </c>
      <c r="C2911">
        <f>Sources!D2911</f>
        <v/>
      </c>
      <c r="D2911">
        <f>Sources!E2911</f>
        <v/>
      </c>
      <c r="E2911">
        <f>Sources!F2911</f>
        <v/>
      </c>
      <c r="F2911">
        <f>Sources!H2911</f>
        <v/>
      </c>
      <c r="G2911">
        <f>IF(ABS(F2911-ROUND(F2911,0))&lt;0.001,1,0)</f>
        <v/>
      </c>
      <c r="H2911">
        <f>IF(G2911=1,F2911,CEILING(F2911,1))</f>
        <v/>
      </c>
      <c r="I2911">
        <f>IF(G2911=1,0,(H2911-F2911)*E2911)</f>
        <v/>
      </c>
      <c r="J2911">
        <f>E2911*F2911</f>
        <v/>
      </c>
    </row>
    <row r="2912">
      <c r="A2912">
        <f>Sources!A2912</f>
        <v/>
      </c>
      <c r="B2912">
        <f>Sources!B2912</f>
        <v/>
      </c>
      <c r="C2912">
        <f>Sources!D2912</f>
        <v/>
      </c>
      <c r="D2912">
        <f>Sources!E2912</f>
        <v/>
      </c>
      <c r="E2912">
        <f>Sources!F2912</f>
        <v/>
      </c>
      <c r="F2912">
        <f>Sources!H2912</f>
        <v/>
      </c>
      <c r="G2912">
        <f>IF(ABS(F2912-ROUND(F2912,0))&lt;0.001,1,0)</f>
        <v/>
      </c>
      <c r="H2912">
        <f>IF(G2912=1,F2912,CEILING(F2912,1))</f>
        <v/>
      </c>
      <c r="I2912">
        <f>IF(G2912=1,0,(H2912-F2912)*E2912)</f>
        <v/>
      </c>
      <c r="J2912">
        <f>E2912*F2912</f>
        <v/>
      </c>
    </row>
    <row r="2913">
      <c r="A2913">
        <f>Sources!A2913</f>
        <v/>
      </c>
      <c r="B2913">
        <f>Sources!B2913</f>
        <v/>
      </c>
      <c r="C2913">
        <f>Sources!D2913</f>
        <v/>
      </c>
      <c r="D2913">
        <f>Sources!E2913</f>
        <v/>
      </c>
      <c r="E2913">
        <f>Sources!F2913</f>
        <v/>
      </c>
      <c r="F2913">
        <f>Sources!H2913</f>
        <v/>
      </c>
      <c r="G2913">
        <f>IF(ABS(F2913-ROUND(F2913,0))&lt;0.001,1,0)</f>
        <v/>
      </c>
      <c r="H2913">
        <f>IF(G2913=1,F2913,CEILING(F2913,1))</f>
        <v/>
      </c>
      <c r="I2913">
        <f>IF(G2913=1,0,(H2913-F2913)*E2913)</f>
        <v/>
      </c>
      <c r="J2913">
        <f>E2913*F2913</f>
        <v/>
      </c>
    </row>
    <row r="2914">
      <c r="A2914">
        <f>Sources!A2914</f>
        <v/>
      </c>
      <c r="B2914">
        <f>Sources!B2914</f>
        <v/>
      </c>
      <c r="C2914">
        <f>Sources!D2914</f>
        <v/>
      </c>
      <c r="D2914">
        <f>Sources!E2914</f>
        <v/>
      </c>
      <c r="E2914">
        <f>Sources!F2914</f>
        <v/>
      </c>
      <c r="F2914">
        <f>Sources!H2914</f>
        <v/>
      </c>
      <c r="G2914">
        <f>IF(ABS(F2914-ROUND(F2914,0))&lt;0.001,1,0)</f>
        <v/>
      </c>
      <c r="H2914">
        <f>IF(G2914=1,F2914,CEILING(F2914,1))</f>
        <v/>
      </c>
      <c r="I2914">
        <f>IF(G2914=1,0,(H2914-F2914)*E2914)</f>
        <v/>
      </c>
      <c r="J2914">
        <f>E2914*F2914</f>
        <v/>
      </c>
    </row>
    <row r="2915">
      <c r="A2915">
        <f>Sources!A2915</f>
        <v/>
      </c>
      <c r="B2915">
        <f>Sources!B2915</f>
        <v/>
      </c>
      <c r="C2915">
        <f>Sources!D2915</f>
        <v/>
      </c>
      <c r="D2915">
        <f>Sources!E2915</f>
        <v/>
      </c>
      <c r="E2915">
        <f>Sources!F2915</f>
        <v/>
      </c>
      <c r="F2915">
        <f>Sources!H2915</f>
        <v/>
      </c>
      <c r="G2915">
        <f>IF(ABS(F2915-ROUND(F2915,0))&lt;0.001,1,0)</f>
        <v/>
      </c>
      <c r="H2915">
        <f>IF(G2915=1,F2915,CEILING(F2915,1))</f>
        <v/>
      </c>
      <c r="I2915">
        <f>IF(G2915=1,0,(H2915-F2915)*E2915)</f>
        <v/>
      </c>
      <c r="J2915">
        <f>E2915*F2915</f>
        <v/>
      </c>
    </row>
    <row r="2916">
      <c r="A2916">
        <f>Sources!A2916</f>
        <v/>
      </c>
      <c r="B2916">
        <f>Sources!B2916</f>
        <v/>
      </c>
      <c r="C2916">
        <f>Sources!D2916</f>
        <v/>
      </c>
      <c r="D2916">
        <f>Sources!E2916</f>
        <v/>
      </c>
      <c r="E2916">
        <f>Sources!F2916</f>
        <v/>
      </c>
      <c r="F2916">
        <f>Sources!H2916</f>
        <v/>
      </c>
      <c r="G2916">
        <f>IF(ABS(F2916-ROUND(F2916,0))&lt;0.001,1,0)</f>
        <v/>
      </c>
      <c r="H2916">
        <f>IF(G2916=1,F2916,CEILING(F2916,1))</f>
        <v/>
      </c>
      <c r="I2916">
        <f>IF(G2916=1,0,(H2916-F2916)*E2916)</f>
        <v/>
      </c>
      <c r="J2916">
        <f>E2916*F2916</f>
        <v/>
      </c>
    </row>
    <row r="2917">
      <c r="A2917">
        <f>Sources!A2917</f>
        <v/>
      </c>
      <c r="B2917">
        <f>Sources!B2917</f>
        <v/>
      </c>
      <c r="C2917">
        <f>Sources!D2917</f>
        <v/>
      </c>
      <c r="D2917">
        <f>Sources!E2917</f>
        <v/>
      </c>
      <c r="E2917">
        <f>Sources!F2917</f>
        <v/>
      </c>
      <c r="F2917">
        <f>Sources!H2917</f>
        <v/>
      </c>
      <c r="G2917">
        <f>IF(ABS(F2917-ROUND(F2917,0))&lt;0.001,1,0)</f>
        <v/>
      </c>
      <c r="H2917">
        <f>IF(G2917=1,F2917,CEILING(F2917,1))</f>
        <v/>
      </c>
      <c r="I2917">
        <f>IF(G2917=1,0,(H2917-F2917)*E2917)</f>
        <v/>
      </c>
      <c r="J2917">
        <f>E2917*F2917</f>
        <v/>
      </c>
    </row>
    <row r="2918">
      <c r="A2918">
        <f>Sources!A2918</f>
        <v/>
      </c>
      <c r="B2918">
        <f>Sources!B2918</f>
        <v/>
      </c>
      <c r="C2918">
        <f>Sources!D2918</f>
        <v/>
      </c>
      <c r="D2918">
        <f>Sources!E2918</f>
        <v/>
      </c>
      <c r="E2918">
        <f>Sources!F2918</f>
        <v/>
      </c>
      <c r="F2918">
        <f>Sources!H2918</f>
        <v/>
      </c>
      <c r="G2918">
        <f>IF(ABS(F2918-ROUND(F2918,0))&lt;0.001,1,0)</f>
        <v/>
      </c>
      <c r="H2918">
        <f>IF(G2918=1,F2918,CEILING(F2918,1))</f>
        <v/>
      </c>
      <c r="I2918">
        <f>IF(G2918=1,0,(H2918-F2918)*E2918)</f>
        <v/>
      </c>
      <c r="J2918">
        <f>E2918*F2918</f>
        <v/>
      </c>
    </row>
    <row r="2919">
      <c r="A2919">
        <f>Sources!A2919</f>
        <v/>
      </c>
      <c r="B2919">
        <f>Sources!B2919</f>
        <v/>
      </c>
      <c r="C2919">
        <f>Sources!D2919</f>
        <v/>
      </c>
      <c r="D2919">
        <f>Sources!E2919</f>
        <v/>
      </c>
      <c r="E2919">
        <f>Sources!F2919</f>
        <v/>
      </c>
      <c r="F2919">
        <f>Sources!H2919</f>
        <v/>
      </c>
      <c r="G2919">
        <f>IF(ABS(F2919-ROUND(F2919,0))&lt;0.001,1,0)</f>
        <v/>
      </c>
      <c r="H2919">
        <f>IF(G2919=1,F2919,CEILING(F2919,1))</f>
        <v/>
      </c>
      <c r="I2919">
        <f>IF(G2919=1,0,(H2919-F2919)*E2919)</f>
        <v/>
      </c>
      <c r="J2919">
        <f>E2919*F2919</f>
        <v/>
      </c>
    </row>
    <row r="2920">
      <c r="A2920">
        <f>Sources!A2920</f>
        <v/>
      </c>
      <c r="B2920">
        <f>Sources!B2920</f>
        <v/>
      </c>
      <c r="C2920">
        <f>Sources!D2920</f>
        <v/>
      </c>
      <c r="D2920">
        <f>Sources!E2920</f>
        <v/>
      </c>
      <c r="E2920">
        <f>Sources!F2920</f>
        <v/>
      </c>
      <c r="F2920">
        <f>Sources!H2920</f>
        <v/>
      </c>
      <c r="G2920">
        <f>IF(ABS(F2920-ROUND(F2920,0))&lt;0.001,1,0)</f>
        <v/>
      </c>
      <c r="H2920">
        <f>IF(G2920=1,F2920,CEILING(F2920,1))</f>
        <v/>
      </c>
      <c r="I2920">
        <f>IF(G2920=1,0,(H2920-F2920)*E2920)</f>
        <v/>
      </c>
      <c r="J2920">
        <f>E2920*F2920</f>
        <v/>
      </c>
    </row>
    <row r="2921">
      <c r="A2921">
        <f>Sources!A2921</f>
        <v/>
      </c>
      <c r="B2921">
        <f>Sources!B2921</f>
        <v/>
      </c>
      <c r="C2921">
        <f>Sources!D2921</f>
        <v/>
      </c>
      <c r="D2921">
        <f>Sources!E2921</f>
        <v/>
      </c>
      <c r="E2921">
        <f>Sources!F2921</f>
        <v/>
      </c>
      <c r="F2921">
        <f>Sources!H2921</f>
        <v/>
      </c>
      <c r="G2921">
        <f>IF(ABS(F2921-ROUND(F2921,0))&lt;0.001,1,0)</f>
        <v/>
      </c>
      <c r="H2921">
        <f>IF(G2921=1,F2921,CEILING(F2921,1))</f>
        <v/>
      </c>
      <c r="I2921">
        <f>IF(G2921=1,0,(H2921-F2921)*E2921)</f>
        <v/>
      </c>
      <c r="J2921">
        <f>E2921*F2921</f>
        <v/>
      </c>
    </row>
    <row r="2922">
      <c r="A2922">
        <f>Sources!A2922</f>
        <v/>
      </c>
      <c r="B2922">
        <f>Sources!B2922</f>
        <v/>
      </c>
      <c r="C2922">
        <f>Sources!D2922</f>
        <v/>
      </c>
      <c r="D2922">
        <f>Sources!E2922</f>
        <v/>
      </c>
      <c r="E2922">
        <f>Sources!F2922</f>
        <v/>
      </c>
      <c r="F2922">
        <f>Sources!H2922</f>
        <v/>
      </c>
      <c r="G2922">
        <f>IF(ABS(F2922-ROUND(F2922,0))&lt;0.001,1,0)</f>
        <v/>
      </c>
      <c r="H2922">
        <f>IF(G2922=1,F2922,CEILING(F2922,1))</f>
        <v/>
      </c>
      <c r="I2922">
        <f>IF(G2922=1,0,(H2922-F2922)*E2922)</f>
        <v/>
      </c>
      <c r="J2922">
        <f>E2922*F2922</f>
        <v/>
      </c>
    </row>
    <row r="2923">
      <c r="A2923">
        <f>Sources!A2923</f>
        <v/>
      </c>
      <c r="B2923">
        <f>Sources!B2923</f>
        <v/>
      </c>
      <c r="C2923">
        <f>Sources!D2923</f>
        <v/>
      </c>
      <c r="D2923">
        <f>Sources!E2923</f>
        <v/>
      </c>
      <c r="E2923">
        <f>Sources!F2923</f>
        <v/>
      </c>
      <c r="F2923">
        <f>Sources!H2923</f>
        <v/>
      </c>
      <c r="G2923">
        <f>IF(ABS(F2923-ROUND(F2923,0))&lt;0.001,1,0)</f>
        <v/>
      </c>
      <c r="H2923">
        <f>IF(G2923=1,F2923,CEILING(F2923,1))</f>
        <v/>
      </c>
      <c r="I2923">
        <f>IF(G2923=1,0,(H2923-F2923)*E2923)</f>
        <v/>
      </c>
      <c r="J2923">
        <f>E2923*F2923</f>
        <v/>
      </c>
    </row>
    <row r="2924">
      <c r="A2924">
        <f>Sources!A2924</f>
        <v/>
      </c>
      <c r="B2924">
        <f>Sources!B2924</f>
        <v/>
      </c>
      <c r="C2924">
        <f>Sources!D2924</f>
        <v/>
      </c>
      <c r="D2924">
        <f>Sources!E2924</f>
        <v/>
      </c>
      <c r="E2924">
        <f>Sources!F2924</f>
        <v/>
      </c>
      <c r="F2924">
        <f>Sources!H2924</f>
        <v/>
      </c>
      <c r="G2924">
        <f>IF(ABS(F2924-ROUND(F2924,0))&lt;0.001,1,0)</f>
        <v/>
      </c>
      <c r="H2924">
        <f>IF(G2924=1,F2924,CEILING(F2924,1))</f>
        <v/>
      </c>
      <c r="I2924">
        <f>IF(G2924=1,0,(H2924-F2924)*E2924)</f>
        <v/>
      </c>
      <c r="J2924">
        <f>E2924*F2924</f>
        <v/>
      </c>
    </row>
    <row r="2925">
      <c r="A2925">
        <f>Sources!A2925</f>
        <v/>
      </c>
      <c r="B2925">
        <f>Sources!B2925</f>
        <v/>
      </c>
      <c r="C2925">
        <f>Sources!D2925</f>
        <v/>
      </c>
      <c r="D2925">
        <f>Sources!E2925</f>
        <v/>
      </c>
      <c r="E2925">
        <f>Sources!F2925</f>
        <v/>
      </c>
      <c r="F2925">
        <f>Sources!H2925</f>
        <v/>
      </c>
      <c r="G2925">
        <f>IF(ABS(F2925-ROUND(F2925,0))&lt;0.001,1,0)</f>
        <v/>
      </c>
      <c r="H2925">
        <f>IF(G2925=1,F2925,CEILING(F2925,1))</f>
        <v/>
      </c>
      <c r="I2925">
        <f>IF(G2925=1,0,(H2925-F2925)*E2925)</f>
        <v/>
      </c>
      <c r="J2925">
        <f>E2925*F2925</f>
        <v/>
      </c>
    </row>
    <row r="2926">
      <c r="A2926">
        <f>Sources!A2926</f>
        <v/>
      </c>
      <c r="B2926">
        <f>Sources!B2926</f>
        <v/>
      </c>
      <c r="C2926">
        <f>Sources!D2926</f>
        <v/>
      </c>
      <c r="D2926">
        <f>Sources!E2926</f>
        <v/>
      </c>
      <c r="E2926">
        <f>Sources!F2926</f>
        <v/>
      </c>
      <c r="F2926">
        <f>Sources!H2926</f>
        <v/>
      </c>
      <c r="G2926">
        <f>IF(ABS(F2926-ROUND(F2926,0))&lt;0.001,1,0)</f>
        <v/>
      </c>
      <c r="H2926">
        <f>IF(G2926=1,F2926,CEILING(F2926,1))</f>
        <v/>
      </c>
      <c r="I2926">
        <f>IF(G2926=1,0,(H2926-F2926)*E2926)</f>
        <v/>
      </c>
      <c r="J2926">
        <f>E2926*F2926</f>
        <v/>
      </c>
    </row>
    <row r="2927">
      <c r="A2927">
        <f>Sources!A2927</f>
        <v/>
      </c>
      <c r="B2927">
        <f>Sources!B2927</f>
        <v/>
      </c>
      <c r="C2927">
        <f>Sources!D2927</f>
        <v/>
      </c>
      <c r="D2927">
        <f>Sources!E2927</f>
        <v/>
      </c>
      <c r="E2927">
        <f>Sources!F2927</f>
        <v/>
      </c>
      <c r="F2927">
        <f>Sources!H2927</f>
        <v/>
      </c>
      <c r="G2927">
        <f>IF(ABS(F2927-ROUND(F2927,0))&lt;0.001,1,0)</f>
        <v/>
      </c>
      <c r="H2927">
        <f>IF(G2927=1,F2927,CEILING(F2927,1))</f>
        <v/>
      </c>
      <c r="I2927">
        <f>IF(G2927=1,0,(H2927-F2927)*E2927)</f>
        <v/>
      </c>
      <c r="J2927">
        <f>E2927*F2927</f>
        <v/>
      </c>
    </row>
    <row r="2928">
      <c r="A2928">
        <f>Sources!A2928</f>
        <v/>
      </c>
      <c r="B2928">
        <f>Sources!B2928</f>
        <v/>
      </c>
      <c r="C2928">
        <f>Sources!D2928</f>
        <v/>
      </c>
      <c r="D2928">
        <f>Sources!E2928</f>
        <v/>
      </c>
      <c r="E2928">
        <f>Sources!F2928</f>
        <v/>
      </c>
      <c r="F2928">
        <f>Sources!H2928</f>
        <v/>
      </c>
      <c r="G2928">
        <f>IF(ABS(F2928-ROUND(F2928,0))&lt;0.001,1,0)</f>
        <v/>
      </c>
      <c r="H2928">
        <f>IF(G2928=1,F2928,CEILING(F2928,1))</f>
        <v/>
      </c>
      <c r="I2928">
        <f>IF(G2928=1,0,(H2928-F2928)*E2928)</f>
        <v/>
      </c>
      <c r="J2928">
        <f>E2928*F2928</f>
        <v/>
      </c>
    </row>
    <row r="2929">
      <c r="A2929">
        <f>Sources!A2929</f>
        <v/>
      </c>
      <c r="B2929">
        <f>Sources!B2929</f>
        <v/>
      </c>
      <c r="C2929">
        <f>Sources!D2929</f>
        <v/>
      </c>
      <c r="D2929">
        <f>Sources!E2929</f>
        <v/>
      </c>
      <c r="E2929">
        <f>Sources!F2929</f>
        <v/>
      </c>
      <c r="F2929">
        <f>Sources!H2929</f>
        <v/>
      </c>
      <c r="G2929">
        <f>IF(ABS(F2929-ROUND(F2929,0))&lt;0.001,1,0)</f>
        <v/>
      </c>
      <c r="H2929">
        <f>IF(G2929=1,F2929,CEILING(F2929,1))</f>
        <v/>
      </c>
      <c r="I2929">
        <f>IF(G2929=1,0,(H2929-F2929)*E2929)</f>
        <v/>
      </c>
      <c r="J2929">
        <f>E2929*F2929</f>
        <v/>
      </c>
    </row>
    <row r="2930">
      <c r="A2930">
        <f>Sources!A2930</f>
        <v/>
      </c>
      <c r="B2930">
        <f>Sources!B2930</f>
        <v/>
      </c>
      <c r="C2930">
        <f>Sources!D2930</f>
        <v/>
      </c>
      <c r="D2930">
        <f>Sources!E2930</f>
        <v/>
      </c>
      <c r="E2930">
        <f>Sources!F2930</f>
        <v/>
      </c>
      <c r="F2930">
        <f>Sources!H2930</f>
        <v/>
      </c>
      <c r="G2930">
        <f>IF(ABS(F2930-ROUND(F2930,0))&lt;0.001,1,0)</f>
        <v/>
      </c>
      <c r="H2930">
        <f>IF(G2930=1,F2930,CEILING(F2930,1))</f>
        <v/>
      </c>
      <c r="I2930">
        <f>IF(G2930=1,0,(H2930-F2930)*E2930)</f>
        <v/>
      </c>
      <c r="J2930">
        <f>E2930*F2930</f>
        <v/>
      </c>
    </row>
    <row r="2931">
      <c r="A2931">
        <f>Sources!A2931</f>
        <v/>
      </c>
      <c r="B2931">
        <f>Sources!B2931</f>
        <v/>
      </c>
      <c r="C2931">
        <f>Sources!D2931</f>
        <v/>
      </c>
      <c r="D2931">
        <f>Sources!E2931</f>
        <v/>
      </c>
      <c r="E2931">
        <f>Sources!F2931</f>
        <v/>
      </c>
      <c r="F2931">
        <f>Sources!H2931</f>
        <v/>
      </c>
      <c r="G2931">
        <f>IF(ABS(F2931-ROUND(F2931,0))&lt;0.001,1,0)</f>
        <v/>
      </c>
      <c r="H2931">
        <f>IF(G2931=1,F2931,CEILING(F2931,1))</f>
        <v/>
      </c>
      <c r="I2931">
        <f>IF(G2931=1,0,(H2931-F2931)*E2931)</f>
        <v/>
      </c>
      <c r="J2931">
        <f>E2931*F2931</f>
        <v/>
      </c>
    </row>
    <row r="2932">
      <c r="A2932">
        <f>Sources!A2932</f>
        <v/>
      </c>
      <c r="B2932">
        <f>Sources!B2932</f>
        <v/>
      </c>
      <c r="C2932">
        <f>Sources!D2932</f>
        <v/>
      </c>
      <c r="D2932">
        <f>Sources!E2932</f>
        <v/>
      </c>
      <c r="E2932">
        <f>Sources!F2932</f>
        <v/>
      </c>
      <c r="F2932">
        <f>Sources!H2932</f>
        <v/>
      </c>
      <c r="G2932">
        <f>IF(ABS(F2932-ROUND(F2932,0))&lt;0.001,1,0)</f>
        <v/>
      </c>
      <c r="H2932">
        <f>IF(G2932=1,F2932,CEILING(F2932,1))</f>
        <v/>
      </c>
      <c r="I2932">
        <f>IF(G2932=1,0,(H2932-F2932)*E2932)</f>
        <v/>
      </c>
      <c r="J2932">
        <f>E2932*F2932</f>
        <v/>
      </c>
    </row>
    <row r="2933">
      <c r="A2933">
        <f>Sources!A2933</f>
        <v/>
      </c>
      <c r="B2933">
        <f>Sources!B2933</f>
        <v/>
      </c>
      <c r="C2933">
        <f>Sources!D2933</f>
        <v/>
      </c>
      <c r="D2933">
        <f>Sources!E2933</f>
        <v/>
      </c>
      <c r="E2933">
        <f>Sources!F2933</f>
        <v/>
      </c>
      <c r="F2933">
        <f>Sources!H2933</f>
        <v/>
      </c>
      <c r="G2933">
        <f>IF(ABS(F2933-ROUND(F2933,0))&lt;0.001,1,0)</f>
        <v/>
      </c>
      <c r="H2933">
        <f>IF(G2933=1,F2933,CEILING(F2933,1))</f>
        <v/>
      </c>
      <c r="I2933">
        <f>IF(G2933=1,0,(H2933-F2933)*E2933)</f>
        <v/>
      </c>
      <c r="J2933">
        <f>E2933*F2933</f>
        <v/>
      </c>
    </row>
    <row r="2934">
      <c r="A2934">
        <f>Sources!A2934</f>
        <v/>
      </c>
      <c r="B2934">
        <f>Sources!B2934</f>
        <v/>
      </c>
      <c r="C2934">
        <f>Sources!D2934</f>
        <v/>
      </c>
      <c r="D2934">
        <f>Sources!E2934</f>
        <v/>
      </c>
      <c r="E2934">
        <f>Sources!F2934</f>
        <v/>
      </c>
      <c r="F2934">
        <f>Sources!H2934</f>
        <v/>
      </c>
      <c r="G2934">
        <f>IF(ABS(F2934-ROUND(F2934,0))&lt;0.001,1,0)</f>
        <v/>
      </c>
      <c r="H2934">
        <f>IF(G2934=1,F2934,CEILING(F2934,1))</f>
        <v/>
      </c>
      <c r="I2934">
        <f>IF(G2934=1,0,(H2934-F2934)*E2934)</f>
        <v/>
      </c>
      <c r="J2934">
        <f>E2934*F2934</f>
        <v/>
      </c>
    </row>
    <row r="2935">
      <c r="A2935">
        <f>Sources!A2935</f>
        <v/>
      </c>
      <c r="B2935">
        <f>Sources!B2935</f>
        <v/>
      </c>
      <c r="C2935">
        <f>Sources!D2935</f>
        <v/>
      </c>
      <c r="D2935">
        <f>Sources!E2935</f>
        <v/>
      </c>
      <c r="E2935">
        <f>Sources!F2935</f>
        <v/>
      </c>
      <c r="F2935">
        <f>Sources!H2935</f>
        <v/>
      </c>
      <c r="G2935">
        <f>IF(ABS(F2935-ROUND(F2935,0))&lt;0.001,1,0)</f>
        <v/>
      </c>
      <c r="H2935">
        <f>IF(G2935=1,F2935,CEILING(F2935,1))</f>
        <v/>
      </c>
      <c r="I2935">
        <f>IF(G2935=1,0,(H2935-F2935)*E2935)</f>
        <v/>
      </c>
      <c r="J2935">
        <f>E2935*F2935</f>
        <v/>
      </c>
    </row>
    <row r="2936">
      <c r="A2936">
        <f>Sources!A2936</f>
        <v/>
      </c>
      <c r="B2936">
        <f>Sources!B2936</f>
        <v/>
      </c>
      <c r="C2936">
        <f>Sources!D2936</f>
        <v/>
      </c>
      <c r="D2936">
        <f>Sources!E2936</f>
        <v/>
      </c>
      <c r="E2936">
        <f>Sources!F2936</f>
        <v/>
      </c>
      <c r="F2936">
        <f>Sources!H2936</f>
        <v/>
      </c>
      <c r="G2936">
        <f>IF(ABS(F2936-ROUND(F2936,0))&lt;0.001,1,0)</f>
        <v/>
      </c>
      <c r="H2936">
        <f>IF(G2936=1,F2936,CEILING(F2936,1))</f>
        <v/>
      </c>
      <c r="I2936">
        <f>IF(G2936=1,0,(H2936-F2936)*E2936)</f>
        <v/>
      </c>
      <c r="J2936">
        <f>E2936*F2936</f>
        <v/>
      </c>
    </row>
    <row r="2937">
      <c r="A2937">
        <f>Sources!A2937</f>
        <v/>
      </c>
      <c r="B2937">
        <f>Sources!B2937</f>
        <v/>
      </c>
      <c r="C2937">
        <f>Sources!D2937</f>
        <v/>
      </c>
      <c r="D2937">
        <f>Sources!E2937</f>
        <v/>
      </c>
      <c r="E2937">
        <f>Sources!F2937</f>
        <v/>
      </c>
      <c r="F2937">
        <f>Sources!H2937</f>
        <v/>
      </c>
      <c r="G2937">
        <f>IF(ABS(F2937-ROUND(F2937,0))&lt;0.001,1,0)</f>
        <v/>
      </c>
      <c r="H2937">
        <f>IF(G2937=1,F2937,CEILING(F2937,1))</f>
        <v/>
      </c>
      <c r="I2937">
        <f>IF(G2937=1,0,(H2937-F2937)*E2937)</f>
        <v/>
      </c>
      <c r="J2937">
        <f>E2937*F2937</f>
        <v/>
      </c>
    </row>
    <row r="2938">
      <c r="A2938">
        <f>Sources!A2938</f>
        <v/>
      </c>
      <c r="B2938">
        <f>Sources!B2938</f>
        <v/>
      </c>
      <c r="C2938">
        <f>Sources!D2938</f>
        <v/>
      </c>
      <c r="D2938">
        <f>Sources!E2938</f>
        <v/>
      </c>
      <c r="E2938">
        <f>Sources!F2938</f>
        <v/>
      </c>
      <c r="F2938">
        <f>Sources!H2938</f>
        <v/>
      </c>
      <c r="G2938">
        <f>IF(ABS(F2938-ROUND(F2938,0))&lt;0.001,1,0)</f>
        <v/>
      </c>
      <c r="H2938">
        <f>IF(G2938=1,F2938,CEILING(F2938,1))</f>
        <v/>
      </c>
      <c r="I2938">
        <f>IF(G2938=1,0,(H2938-F2938)*E2938)</f>
        <v/>
      </c>
      <c r="J2938">
        <f>E2938*F2938</f>
        <v/>
      </c>
    </row>
    <row r="2939">
      <c r="A2939">
        <f>Sources!A2939</f>
        <v/>
      </c>
      <c r="B2939">
        <f>Sources!B2939</f>
        <v/>
      </c>
      <c r="C2939">
        <f>Sources!D2939</f>
        <v/>
      </c>
      <c r="D2939">
        <f>Sources!E2939</f>
        <v/>
      </c>
      <c r="E2939">
        <f>Sources!F2939</f>
        <v/>
      </c>
      <c r="F2939">
        <f>Sources!H2939</f>
        <v/>
      </c>
      <c r="G2939">
        <f>IF(ABS(F2939-ROUND(F2939,0))&lt;0.001,1,0)</f>
        <v/>
      </c>
      <c r="H2939">
        <f>IF(G2939=1,F2939,CEILING(F2939,1))</f>
        <v/>
      </c>
      <c r="I2939">
        <f>IF(G2939=1,0,(H2939-F2939)*E2939)</f>
        <v/>
      </c>
      <c r="J2939">
        <f>E2939*F2939</f>
        <v/>
      </c>
    </row>
    <row r="2940">
      <c r="A2940">
        <f>Sources!A2940</f>
        <v/>
      </c>
      <c r="B2940">
        <f>Sources!B2940</f>
        <v/>
      </c>
      <c r="C2940">
        <f>Sources!D2940</f>
        <v/>
      </c>
      <c r="D2940">
        <f>Sources!E2940</f>
        <v/>
      </c>
      <c r="E2940">
        <f>Sources!F2940</f>
        <v/>
      </c>
      <c r="F2940">
        <f>Sources!H2940</f>
        <v/>
      </c>
      <c r="G2940">
        <f>IF(ABS(F2940-ROUND(F2940,0))&lt;0.001,1,0)</f>
        <v/>
      </c>
      <c r="H2940">
        <f>IF(G2940=1,F2940,CEILING(F2940,1))</f>
        <v/>
      </c>
      <c r="I2940">
        <f>IF(G2940=1,0,(H2940-F2940)*E2940)</f>
        <v/>
      </c>
      <c r="J2940">
        <f>E2940*F2940</f>
        <v/>
      </c>
    </row>
    <row r="2941">
      <c r="A2941">
        <f>Sources!A2941</f>
        <v/>
      </c>
      <c r="B2941">
        <f>Sources!B2941</f>
        <v/>
      </c>
      <c r="C2941">
        <f>Sources!D2941</f>
        <v/>
      </c>
      <c r="D2941">
        <f>Sources!E2941</f>
        <v/>
      </c>
      <c r="E2941">
        <f>Sources!F2941</f>
        <v/>
      </c>
      <c r="F2941">
        <f>Sources!H2941</f>
        <v/>
      </c>
      <c r="G2941">
        <f>IF(ABS(F2941-ROUND(F2941,0))&lt;0.001,1,0)</f>
        <v/>
      </c>
      <c r="H2941">
        <f>IF(G2941=1,F2941,CEILING(F2941,1))</f>
        <v/>
      </c>
      <c r="I2941">
        <f>IF(G2941=1,0,(H2941-F2941)*E2941)</f>
        <v/>
      </c>
      <c r="J2941">
        <f>E2941*F2941</f>
        <v/>
      </c>
    </row>
    <row r="2942">
      <c r="A2942">
        <f>Sources!A2942</f>
        <v/>
      </c>
      <c r="B2942">
        <f>Sources!B2942</f>
        <v/>
      </c>
      <c r="C2942">
        <f>Sources!D2942</f>
        <v/>
      </c>
      <c r="D2942">
        <f>Sources!E2942</f>
        <v/>
      </c>
      <c r="E2942">
        <f>Sources!F2942</f>
        <v/>
      </c>
      <c r="F2942">
        <f>Sources!H2942</f>
        <v/>
      </c>
      <c r="G2942">
        <f>IF(ABS(F2942-ROUND(F2942,0))&lt;0.001,1,0)</f>
        <v/>
      </c>
      <c r="H2942">
        <f>IF(G2942=1,F2942,CEILING(F2942,1))</f>
        <v/>
      </c>
      <c r="I2942">
        <f>IF(G2942=1,0,(H2942-F2942)*E2942)</f>
        <v/>
      </c>
      <c r="J2942">
        <f>E2942*F2942</f>
        <v/>
      </c>
    </row>
    <row r="2943">
      <c r="A2943">
        <f>Sources!A2943</f>
        <v/>
      </c>
      <c r="B2943">
        <f>Sources!B2943</f>
        <v/>
      </c>
      <c r="C2943">
        <f>Sources!D2943</f>
        <v/>
      </c>
      <c r="D2943">
        <f>Sources!E2943</f>
        <v/>
      </c>
      <c r="E2943">
        <f>Sources!F2943</f>
        <v/>
      </c>
      <c r="F2943">
        <f>Sources!H2943</f>
        <v/>
      </c>
      <c r="G2943">
        <f>IF(ABS(F2943-ROUND(F2943,0))&lt;0.001,1,0)</f>
        <v/>
      </c>
      <c r="H2943">
        <f>IF(G2943=1,F2943,CEILING(F2943,1))</f>
        <v/>
      </c>
      <c r="I2943">
        <f>IF(G2943=1,0,(H2943-F2943)*E2943)</f>
        <v/>
      </c>
      <c r="J2943">
        <f>E2943*F2943</f>
        <v/>
      </c>
    </row>
    <row r="2944">
      <c r="A2944">
        <f>Sources!A2944</f>
        <v/>
      </c>
      <c r="B2944">
        <f>Sources!B2944</f>
        <v/>
      </c>
      <c r="C2944">
        <f>Sources!D2944</f>
        <v/>
      </c>
      <c r="D2944">
        <f>Sources!E2944</f>
        <v/>
      </c>
      <c r="E2944">
        <f>Sources!F2944</f>
        <v/>
      </c>
      <c r="F2944">
        <f>Sources!H2944</f>
        <v/>
      </c>
      <c r="G2944">
        <f>IF(ABS(F2944-ROUND(F2944,0))&lt;0.001,1,0)</f>
        <v/>
      </c>
      <c r="H2944">
        <f>IF(G2944=1,F2944,CEILING(F2944,1))</f>
        <v/>
      </c>
      <c r="I2944">
        <f>IF(G2944=1,0,(H2944-F2944)*E2944)</f>
        <v/>
      </c>
      <c r="J2944">
        <f>E2944*F2944</f>
        <v/>
      </c>
    </row>
    <row r="2945">
      <c r="A2945">
        <f>Sources!A2945</f>
        <v/>
      </c>
      <c r="B2945">
        <f>Sources!B2945</f>
        <v/>
      </c>
      <c r="C2945">
        <f>Sources!D2945</f>
        <v/>
      </c>
      <c r="D2945">
        <f>Sources!E2945</f>
        <v/>
      </c>
      <c r="E2945">
        <f>Sources!F2945</f>
        <v/>
      </c>
      <c r="F2945">
        <f>Sources!H2945</f>
        <v/>
      </c>
      <c r="G2945">
        <f>IF(ABS(F2945-ROUND(F2945,0))&lt;0.001,1,0)</f>
        <v/>
      </c>
      <c r="H2945">
        <f>IF(G2945=1,F2945,CEILING(F2945,1))</f>
        <v/>
      </c>
      <c r="I2945">
        <f>IF(G2945=1,0,(H2945-F2945)*E2945)</f>
        <v/>
      </c>
      <c r="J2945">
        <f>E2945*F2945</f>
        <v/>
      </c>
    </row>
    <row r="2946">
      <c r="A2946">
        <f>Sources!A2946</f>
        <v/>
      </c>
      <c r="B2946">
        <f>Sources!B2946</f>
        <v/>
      </c>
      <c r="C2946">
        <f>Sources!D2946</f>
        <v/>
      </c>
      <c r="D2946">
        <f>Sources!E2946</f>
        <v/>
      </c>
      <c r="E2946">
        <f>Sources!F2946</f>
        <v/>
      </c>
      <c r="F2946">
        <f>Sources!H2946</f>
        <v/>
      </c>
      <c r="G2946">
        <f>IF(ABS(F2946-ROUND(F2946,0))&lt;0.001,1,0)</f>
        <v/>
      </c>
      <c r="H2946">
        <f>IF(G2946=1,F2946,CEILING(F2946,1))</f>
        <v/>
      </c>
      <c r="I2946">
        <f>IF(G2946=1,0,(H2946-F2946)*E2946)</f>
        <v/>
      </c>
      <c r="J2946">
        <f>E2946*F2946</f>
        <v/>
      </c>
    </row>
    <row r="2947">
      <c r="A2947">
        <f>Sources!A2947</f>
        <v/>
      </c>
      <c r="B2947">
        <f>Sources!B2947</f>
        <v/>
      </c>
      <c r="C2947">
        <f>Sources!D2947</f>
        <v/>
      </c>
      <c r="D2947">
        <f>Sources!E2947</f>
        <v/>
      </c>
      <c r="E2947">
        <f>Sources!F2947</f>
        <v/>
      </c>
      <c r="F2947">
        <f>Sources!H2947</f>
        <v/>
      </c>
      <c r="G2947">
        <f>IF(ABS(F2947-ROUND(F2947,0))&lt;0.001,1,0)</f>
        <v/>
      </c>
      <c r="H2947">
        <f>IF(G2947=1,F2947,CEILING(F2947,1))</f>
        <v/>
      </c>
      <c r="I2947">
        <f>IF(G2947=1,0,(H2947-F2947)*E2947)</f>
        <v/>
      </c>
      <c r="J2947">
        <f>E2947*F2947</f>
        <v/>
      </c>
    </row>
    <row r="2948">
      <c r="A2948">
        <f>Sources!A2948</f>
        <v/>
      </c>
      <c r="B2948">
        <f>Sources!B2948</f>
        <v/>
      </c>
      <c r="C2948">
        <f>Sources!D2948</f>
        <v/>
      </c>
      <c r="D2948">
        <f>Sources!E2948</f>
        <v/>
      </c>
      <c r="E2948">
        <f>Sources!F2948</f>
        <v/>
      </c>
      <c r="F2948">
        <f>Sources!H2948</f>
        <v/>
      </c>
      <c r="G2948">
        <f>IF(ABS(F2948-ROUND(F2948,0))&lt;0.001,1,0)</f>
        <v/>
      </c>
      <c r="H2948">
        <f>IF(G2948=1,F2948,CEILING(F2948,1))</f>
        <v/>
      </c>
      <c r="I2948">
        <f>IF(G2948=1,0,(H2948-F2948)*E2948)</f>
        <v/>
      </c>
      <c r="J2948">
        <f>E2948*F2948</f>
        <v/>
      </c>
    </row>
    <row r="2949">
      <c r="A2949">
        <f>Sources!A2949</f>
        <v/>
      </c>
      <c r="B2949">
        <f>Sources!B2949</f>
        <v/>
      </c>
      <c r="C2949">
        <f>Sources!D2949</f>
        <v/>
      </c>
      <c r="D2949">
        <f>Sources!E2949</f>
        <v/>
      </c>
      <c r="E2949">
        <f>Sources!F2949</f>
        <v/>
      </c>
      <c r="F2949">
        <f>Sources!H2949</f>
        <v/>
      </c>
      <c r="G2949">
        <f>IF(ABS(F2949-ROUND(F2949,0))&lt;0.001,1,0)</f>
        <v/>
      </c>
      <c r="H2949">
        <f>IF(G2949=1,F2949,CEILING(F2949,1))</f>
        <v/>
      </c>
      <c r="I2949">
        <f>IF(G2949=1,0,(H2949-F2949)*E2949)</f>
        <v/>
      </c>
      <c r="J2949">
        <f>E2949*F2949</f>
        <v/>
      </c>
    </row>
    <row r="2950">
      <c r="A2950">
        <f>Sources!A2950</f>
        <v/>
      </c>
      <c r="B2950">
        <f>Sources!B2950</f>
        <v/>
      </c>
      <c r="C2950">
        <f>Sources!D2950</f>
        <v/>
      </c>
      <c r="D2950">
        <f>Sources!E2950</f>
        <v/>
      </c>
      <c r="E2950">
        <f>Sources!F2950</f>
        <v/>
      </c>
      <c r="F2950">
        <f>Sources!H2950</f>
        <v/>
      </c>
      <c r="G2950">
        <f>IF(ABS(F2950-ROUND(F2950,0))&lt;0.001,1,0)</f>
        <v/>
      </c>
      <c r="H2950">
        <f>IF(G2950=1,F2950,CEILING(F2950,1))</f>
        <v/>
      </c>
      <c r="I2950">
        <f>IF(G2950=1,0,(H2950-F2950)*E2950)</f>
        <v/>
      </c>
      <c r="J2950">
        <f>E2950*F2950</f>
        <v/>
      </c>
    </row>
    <row r="2951">
      <c r="A2951">
        <f>Sources!A2951</f>
        <v/>
      </c>
      <c r="B2951">
        <f>Sources!B2951</f>
        <v/>
      </c>
      <c r="C2951">
        <f>Sources!D2951</f>
        <v/>
      </c>
      <c r="D2951">
        <f>Sources!E2951</f>
        <v/>
      </c>
      <c r="E2951">
        <f>Sources!F2951</f>
        <v/>
      </c>
      <c r="F2951">
        <f>Sources!H2951</f>
        <v/>
      </c>
      <c r="G2951">
        <f>IF(ABS(F2951-ROUND(F2951,0))&lt;0.001,1,0)</f>
        <v/>
      </c>
      <c r="H2951">
        <f>IF(G2951=1,F2951,CEILING(F2951,1))</f>
        <v/>
      </c>
      <c r="I2951">
        <f>IF(G2951=1,0,(H2951-F2951)*E2951)</f>
        <v/>
      </c>
      <c r="J2951">
        <f>E2951*F2951</f>
        <v/>
      </c>
    </row>
    <row r="2952">
      <c r="A2952">
        <f>Sources!A2952</f>
        <v/>
      </c>
      <c r="B2952">
        <f>Sources!B2952</f>
        <v/>
      </c>
      <c r="C2952">
        <f>Sources!D2952</f>
        <v/>
      </c>
      <c r="D2952">
        <f>Sources!E2952</f>
        <v/>
      </c>
      <c r="E2952">
        <f>Sources!F2952</f>
        <v/>
      </c>
      <c r="F2952">
        <f>Sources!H2952</f>
        <v/>
      </c>
      <c r="G2952">
        <f>IF(ABS(F2952-ROUND(F2952,0))&lt;0.001,1,0)</f>
        <v/>
      </c>
      <c r="H2952">
        <f>IF(G2952=1,F2952,CEILING(F2952,1))</f>
        <v/>
      </c>
      <c r="I2952">
        <f>IF(G2952=1,0,(H2952-F2952)*E2952)</f>
        <v/>
      </c>
      <c r="J2952">
        <f>E2952*F2952</f>
        <v/>
      </c>
    </row>
    <row r="2953">
      <c r="A2953">
        <f>Sources!A2953</f>
        <v/>
      </c>
      <c r="B2953">
        <f>Sources!B2953</f>
        <v/>
      </c>
      <c r="C2953">
        <f>Sources!D2953</f>
        <v/>
      </c>
      <c r="D2953">
        <f>Sources!E2953</f>
        <v/>
      </c>
      <c r="E2953">
        <f>Sources!F2953</f>
        <v/>
      </c>
      <c r="F2953">
        <f>Sources!H2953</f>
        <v/>
      </c>
      <c r="G2953">
        <f>IF(ABS(F2953-ROUND(F2953,0))&lt;0.001,1,0)</f>
        <v/>
      </c>
      <c r="H2953">
        <f>IF(G2953=1,F2953,CEILING(F2953,1))</f>
        <v/>
      </c>
      <c r="I2953">
        <f>IF(G2953=1,0,(H2953-F2953)*E2953)</f>
        <v/>
      </c>
      <c r="J2953">
        <f>E2953*F2953</f>
        <v/>
      </c>
    </row>
    <row r="2954">
      <c r="A2954">
        <f>Sources!A2954</f>
        <v/>
      </c>
      <c r="B2954">
        <f>Sources!B2954</f>
        <v/>
      </c>
      <c r="C2954">
        <f>Sources!D2954</f>
        <v/>
      </c>
      <c r="D2954">
        <f>Sources!E2954</f>
        <v/>
      </c>
      <c r="E2954">
        <f>Sources!F2954</f>
        <v/>
      </c>
      <c r="F2954">
        <f>Sources!H2954</f>
        <v/>
      </c>
      <c r="G2954">
        <f>IF(ABS(F2954-ROUND(F2954,0))&lt;0.001,1,0)</f>
        <v/>
      </c>
      <c r="H2954">
        <f>IF(G2954=1,F2954,CEILING(F2954,1))</f>
        <v/>
      </c>
      <c r="I2954">
        <f>IF(G2954=1,0,(H2954-F2954)*E2954)</f>
        <v/>
      </c>
      <c r="J2954">
        <f>E2954*F2954</f>
        <v/>
      </c>
    </row>
    <row r="2955">
      <c r="A2955">
        <f>Sources!A2955</f>
        <v/>
      </c>
      <c r="B2955">
        <f>Sources!B2955</f>
        <v/>
      </c>
      <c r="C2955">
        <f>Sources!D2955</f>
        <v/>
      </c>
      <c r="D2955">
        <f>Sources!E2955</f>
        <v/>
      </c>
      <c r="E2955">
        <f>Sources!F2955</f>
        <v/>
      </c>
      <c r="F2955">
        <f>Sources!H2955</f>
        <v/>
      </c>
      <c r="G2955">
        <f>IF(ABS(F2955-ROUND(F2955,0))&lt;0.001,1,0)</f>
        <v/>
      </c>
      <c r="H2955">
        <f>IF(G2955=1,F2955,CEILING(F2955,1))</f>
        <v/>
      </c>
      <c r="I2955">
        <f>IF(G2955=1,0,(H2955-F2955)*E2955)</f>
        <v/>
      </c>
      <c r="J2955">
        <f>E2955*F2955</f>
        <v/>
      </c>
    </row>
    <row r="2956">
      <c r="A2956">
        <f>Sources!A2956</f>
        <v/>
      </c>
      <c r="B2956">
        <f>Sources!B2956</f>
        <v/>
      </c>
      <c r="C2956">
        <f>Sources!D2956</f>
        <v/>
      </c>
      <c r="D2956">
        <f>Sources!E2956</f>
        <v/>
      </c>
      <c r="E2956">
        <f>Sources!F2956</f>
        <v/>
      </c>
      <c r="F2956">
        <f>Sources!H2956</f>
        <v/>
      </c>
      <c r="G2956">
        <f>IF(ABS(F2956-ROUND(F2956,0))&lt;0.001,1,0)</f>
        <v/>
      </c>
      <c r="H2956">
        <f>IF(G2956=1,F2956,CEILING(F2956,1))</f>
        <v/>
      </c>
      <c r="I2956">
        <f>IF(G2956=1,0,(H2956-F2956)*E2956)</f>
        <v/>
      </c>
      <c r="J2956">
        <f>E2956*F2956</f>
        <v/>
      </c>
    </row>
    <row r="2957">
      <c r="A2957">
        <f>Sources!A2957</f>
        <v/>
      </c>
      <c r="B2957">
        <f>Sources!B2957</f>
        <v/>
      </c>
      <c r="C2957">
        <f>Sources!D2957</f>
        <v/>
      </c>
      <c r="D2957">
        <f>Sources!E2957</f>
        <v/>
      </c>
      <c r="E2957">
        <f>Sources!F2957</f>
        <v/>
      </c>
      <c r="F2957">
        <f>Sources!H2957</f>
        <v/>
      </c>
      <c r="G2957">
        <f>IF(ABS(F2957-ROUND(F2957,0))&lt;0.001,1,0)</f>
        <v/>
      </c>
      <c r="H2957">
        <f>IF(G2957=1,F2957,CEILING(F2957,1))</f>
        <v/>
      </c>
      <c r="I2957">
        <f>IF(G2957=1,0,(H2957-F2957)*E2957)</f>
        <v/>
      </c>
      <c r="J2957">
        <f>E2957*F2957</f>
        <v/>
      </c>
    </row>
    <row r="2958">
      <c r="A2958">
        <f>Sources!A2958</f>
        <v/>
      </c>
      <c r="B2958">
        <f>Sources!B2958</f>
        <v/>
      </c>
      <c r="C2958">
        <f>Sources!D2958</f>
        <v/>
      </c>
      <c r="D2958">
        <f>Sources!E2958</f>
        <v/>
      </c>
      <c r="E2958">
        <f>Sources!F2958</f>
        <v/>
      </c>
      <c r="F2958">
        <f>Sources!H2958</f>
        <v/>
      </c>
      <c r="G2958">
        <f>IF(ABS(F2958-ROUND(F2958,0))&lt;0.001,1,0)</f>
        <v/>
      </c>
      <c r="H2958">
        <f>IF(G2958=1,F2958,CEILING(F2958,1))</f>
        <v/>
      </c>
      <c r="I2958">
        <f>IF(G2958=1,0,(H2958-F2958)*E2958)</f>
        <v/>
      </c>
      <c r="J2958">
        <f>E2958*F2958</f>
        <v/>
      </c>
    </row>
    <row r="2959">
      <c r="A2959">
        <f>Sources!A2959</f>
        <v/>
      </c>
      <c r="B2959">
        <f>Sources!B2959</f>
        <v/>
      </c>
      <c r="C2959">
        <f>Sources!D2959</f>
        <v/>
      </c>
      <c r="D2959">
        <f>Sources!E2959</f>
        <v/>
      </c>
      <c r="E2959">
        <f>Sources!F2959</f>
        <v/>
      </c>
      <c r="F2959">
        <f>Sources!H2959</f>
        <v/>
      </c>
      <c r="G2959">
        <f>IF(ABS(F2959-ROUND(F2959,0))&lt;0.001,1,0)</f>
        <v/>
      </c>
      <c r="H2959">
        <f>IF(G2959=1,F2959,CEILING(F2959,1))</f>
        <v/>
      </c>
      <c r="I2959">
        <f>IF(G2959=1,0,(H2959-F2959)*E2959)</f>
        <v/>
      </c>
      <c r="J2959">
        <f>E2959*F2959</f>
        <v/>
      </c>
    </row>
    <row r="2960">
      <c r="A2960">
        <f>Sources!A2960</f>
        <v/>
      </c>
      <c r="B2960">
        <f>Sources!B2960</f>
        <v/>
      </c>
      <c r="C2960">
        <f>Sources!D2960</f>
        <v/>
      </c>
      <c r="D2960">
        <f>Sources!E2960</f>
        <v/>
      </c>
      <c r="E2960">
        <f>Sources!F2960</f>
        <v/>
      </c>
      <c r="F2960">
        <f>Sources!H2960</f>
        <v/>
      </c>
      <c r="G2960">
        <f>IF(ABS(F2960-ROUND(F2960,0))&lt;0.001,1,0)</f>
        <v/>
      </c>
      <c r="H2960">
        <f>IF(G2960=1,F2960,CEILING(F2960,1))</f>
        <v/>
      </c>
      <c r="I2960">
        <f>IF(G2960=1,0,(H2960-F2960)*E2960)</f>
        <v/>
      </c>
      <c r="J2960">
        <f>E2960*F2960</f>
        <v/>
      </c>
    </row>
    <row r="2961">
      <c r="A2961">
        <f>Sources!A2961</f>
        <v/>
      </c>
      <c r="B2961">
        <f>Sources!B2961</f>
        <v/>
      </c>
      <c r="C2961">
        <f>Sources!D2961</f>
        <v/>
      </c>
      <c r="D2961">
        <f>Sources!E2961</f>
        <v/>
      </c>
      <c r="E2961">
        <f>Sources!F2961</f>
        <v/>
      </c>
      <c r="F2961">
        <f>Sources!H2961</f>
        <v/>
      </c>
      <c r="G2961">
        <f>IF(ABS(F2961-ROUND(F2961,0))&lt;0.001,1,0)</f>
        <v/>
      </c>
      <c r="H2961">
        <f>IF(G2961=1,F2961,CEILING(F2961,1))</f>
        <v/>
      </c>
      <c r="I2961">
        <f>IF(G2961=1,0,(H2961-F2961)*E2961)</f>
        <v/>
      </c>
      <c r="J2961">
        <f>E2961*F2961</f>
        <v/>
      </c>
    </row>
    <row r="2962">
      <c r="A2962">
        <f>Sources!A2962</f>
        <v/>
      </c>
      <c r="B2962">
        <f>Sources!B2962</f>
        <v/>
      </c>
      <c r="C2962">
        <f>Sources!D2962</f>
        <v/>
      </c>
      <c r="D2962">
        <f>Sources!E2962</f>
        <v/>
      </c>
      <c r="E2962">
        <f>Sources!F2962</f>
        <v/>
      </c>
      <c r="F2962">
        <f>Sources!H2962</f>
        <v/>
      </c>
      <c r="G2962">
        <f>IF(ABS(F2962-ROUND(F2962,0))&lt;0.001,1,0)</f>
        <v/>
      </c>
      <c r="H2962">
        <f>IF(G2962=1,F2962,CEILING(F2962,1))</f>
        <v/>
      </c>
      <c r="I2962">
        <f>IF(G2962=1,0,(H2962-F2962)*E2962)</f>
        <v/>
      </c>
      <c r="J2962">
        <f>E2962*F2962</f>
        <v/>
      </c>
    </row>
    <row r="2963">
      <c r="A2963">
        <f>Sources!A2963</f>
        <v/>
      </c>
      <c r="B2963">
        <f>Sources!B2963</f>
        <v/>
      </c>
      <c r="C2963">
        <f>Sources!D2963</f>
        <v/>
      </c>
      <c r="D2963">
        <f>Sources!E2963</f>
        <v/>
      </c>
      <c r="E2963">
        <f>Sources!F2963</f>
        <v/>
      </c>
      <c r="F2963">
        <f>Sources!H2963</f>
        <v/>
      </c>
      <c r="G2963">
        <f>IF(ABS(F2963-ROUND(F2963,0))&lt;0.001,1,0)</f>
        <v/>
      </c>
      <c r="H2963">
        <f>IF(G2963=1,F2963,CEILING(F2963,1))</f>
        <v/>
      </c>
      <c r="I2963">
        <f>IF(G2963=1,0,(H2963-F2963)*E2963)</f>
        <v/>
      </c>
      <c r="J2963">
        <f>E2963*F2963</f>
        <v/>
      </c>
    </row>
    <row r="2964">
      <c r="A2964">
        <f>Sources!A2964</f>
        <v/>
      </c>
      <c r="B2964">
        <f>Sources!B2964</f>
        <v/>
      </c>
      <c r="C2964">
        <f>Sources!D2964</f>
        <v/>
      </c>
      <c r="D2964">
        <f>Sources!E2964</f>
        <v/>
      </c>
      <c r="E2964">
        <f>Sources!F2964</f>
        <v/>
      </c>
      <c r="F2964">
        <f>Sources!H2964</f>
        <v/>
      </c>
      <c r="G2964">
        <f>IF(ABS(F2964-ROUND(F2964,0))&lt;0.001,1,0)</f>
        <v/>
      </c>
      <c r="H2964">
        <f>IF(G2964=1,F2964,CEILING(F2964,1))</f>
        <v/>
      </c>
      <c r="I2964">
        <f>IF(G2964=1,0,(H2964-F2964)*E2964)</f>
        <v/>
      </c>
      <c r="J2964">
        <f>E2964*F2964</f>
        <v/>
      </c>
    </row>
    <row r="2965">
      <c r="A2965">
        <f>Sources!A2965</f>
        <v/>
      </c>
      <c r="B2965">
        <f>Sources!B2965</f>
        <v/>
      </c>
      <c r="C2965">
        <f>Sources!D2965</f>
        <v/>
      </c>
      <c r="D2965">
        <f>Sources!E2965</f>
        <v/>
      </c>
      <c r="E2965">
        <f>Sources!F2965</f>
        <v/>
      </c>
      <c r="F2965">
        <f>Sources!H2965</f>
        <v/>
      </c>
      <c r="G2965">
        <f>IF(ABS(F2965-ROUND(F2965,0))&lt;0.001,1,0)</f>
        <v/>
      </c>
      <c r="H2965">
        <f>IF(G2965=1,F2965,CEILING(F2965,1))</f>
        <v/>
      </c>
      <c r="I2965">
        <f>IF(G2965=1,0,(H2965-F2965)*E2965)</f>
        <v/>
      </c>
      <c r="J2965">
        <f>E2965*F2965</f>
        <v/>
      </c>
    </row>
    <row r="2966">
      <c r="A2966">
        <f>Sources!A2966</f>
        <v/>
      </c>
      <c r="B2966">
        <f>Sources!B2966</f>
        <v/>
      </c>
      <c r="C2966">
        <f>Sources!D2966</f>
        <v/>
      </c>
      <c r="D2966">
        <f>Sources!E2966</f>
        <v/>
      </c>
      <c r="E2966">
        <f>Sources!F2966</f>
        <v/>
      </c>
      <c r="F2966">
        <f>Sources!H2966</f>
        <v/>
      </c>
      <c r="G2966">
        <f>IF(ABS(F2966-ROUND(F2966,0))&lt;0.001,1,0)</f>
        <v/>
      </c>
      <c r="H2966">
        <f>IF(G2966=1,F2966,CEILING(F2966,1))</f>
        <v/>
      </c>
      <c r="I2966">
        <f>IF(G2966=1,0,(H2966-F2966)*E2966)</f>
        <v/>
      </c>
      <c r="J2966">
        <f>E2966*F2966</f>
        <v/>
      </c>
    </row>
    <row r="2967">
      <c r="A2967">
        <f>Sources!A2967</f>
        <v/>
      </c>
      <c r="B2967">
        <f>Sources!B2967</f>
        <v/>
      </c>
      <c r="C2967">
        <f>Sources!D2967</f>
        <v/>
      </c>
      <c r="D2967">
        <f>Sources!E2967</f>
        <v/>
      </c>
      <c r="E2967">
        <f>Sources!F2967</f>
        <v/>
      </c>
      <c r="F2967">
        <f>Sources!H2967</f>
        <v/>
      </c>
      <c r="G2967">
        <f>IF(ABS(F2967-ROUND(F2967,0))&lt;0.001,1,0)</f>
        <v/>
      </c>
      <c r="H2967">
        <f>IF(G2967=1,F2967,CEILING(F2967,1))</f>
        <v/>
      </c>
      <c r="I2967">
        <f>IF(G2967=1,0,(H2967-F2967)*E2967)</f>
        <v/>
      </c>
      <c r="J2967">
        <f>E2967*F2967</f>
        <v/>
      </c>
    </row>
    <row r="2968">
      <c r="A2968">
        <f>Sources!A2968</f>
        <v/>
      </c>
      <c r="B2968">
        <f>Sources!B2968</f>
        <v/>
      </c>
      <c r="C2968">
        <f>Sources!D2968</f>
        <v/>
      </c>
      <c r="D2968">
        <f>Sources!E2968</f>
        <v/>
      </c>
      <c r="E2968">
        <f>Sources!F2968</f>
        <v/>
      </c>
      <c r="F2968">
        <f>Sources!H2968</f>
        <v/>
      </c>
      <c r="G2968">
        <f>IF(ABS(F2968-ROUND(F2968,0))&lt;0.001,1,0)</f>
        <v/>
      </c>
      <c r="H2968">
        <f>IF(G2968=1,F2968,CEILING(F2968,1))</f>
        <v/>
      </c>
      <c r="I2968">
        <f>IF(G2968=1,0,(H2968-F2968)*E2968)</f>
        <v/>
      </c>
      <c r="J2968">
        <f>E2968*F2968</f>
        <v/>
      </c>
    </row>
    <row r="2969">
      <c r="A2969">
        <f>Sources!A2969</f>
        <v/>
      </c>
      <c r="B2969">
        <f>Sources!B2969</f>
        <v/>
      </c>
      <c r="C2969">
        <f>Sources!D2969</f>
        <v/>
      </c>
      <c r="D2969">
        <f>Sources!E2969</f>
        <v/>
      </c>
      <c r="E2969">
        <f>Sources!F2969</f>
        <v/>
      </c>
      <c r="F2969">
        <f>Sources!H2969</f>
        <v/>
      </c>
      <c r="G2969">
        <f>IF(ABS(F2969-ROUND(F2969,0))&lt;0.001,1,0)</f>
        <v/>
      </c>
      <c r="H2969">
        <f>IF(G2969=1,F2969,CEILING(F2969,1))</f>
        <v/>
      </c>
      <c r="I2969">
        <f>IF(G2969=1,0,(H2969-F2969)*E2969)</f>
        <v/>
      </c>
      <c r="J2969">
        <f>E2969*F2969</f>
        <v/>
      </c>
    </row>
    <row r="2970">
      <c r="A2970">
        <f>Sources!A2970</f>
        <v/>
      </c>
      <c r="B2970">
        <f>Sources!B2970</f>
        <v/>
      </c>
      <c r="C2970">
        <f>Sources!D2970</f>
        <v/>
      </c>
      <c r="D2970">
        <f>Sources!E2970</f>
        <v/>
      </c>
      <c r="E2970">
        <f>Sources!F2970</f>
        <v/>
      </c>
      <c r="F2970">
        <f>Sources!H2970</f>
        <v/>
      </c>
      <c r="G2970">
        <f>IF(ABS(F2970-ROUND(F2970,0))&lt;0.001,1,0)</f>
        <v/>
      </c>
      <c r="H2970">
        <f>IF(G2970=1,F2970,CEILING(F2970,1))</f>
        <v/>
      </c>
      <c r="I2970">
        <f>IF(G2970=1,0,(H2970-F2970)*E2970)</f>
        <v/>
      </c>
      <c r="J2970">
        <f>E2970*F2970</f>
        <v/>
      </c>
    </row>
    <row r="2971">
      <c r="A2971">
        <f>Sources!A2971</f>
        <v/>
      </c>
      <c r="B2971">
        <f>Sources!B2971</f>
        <v/>
      </c>
      <c r="C2971">
        <f>Sources!D2971</f>
        <v/>
      </c>
      <c r="D2971">
        <f>Sources!E2971</f>
        <v/>
      </c>
      <c r="E2971">
        <f>Sources!F2971</f>
        <v/>
      </c>
      <c r="F2971">
        <f>Sources!H2971</f>
        <v/>
      </c>
      <c r="G2971">
        <f>IF(ABS(F2971-ROUND(F2971,0))&lt;0.001,1,0)</f>
        <v/>
      </c>
      <c r="H2971">
        <f>IF(G2971=1,F2971,CEILING(F2971,1))</f>
        <v/>
      </c>
      <c r="I2971">
        <f>IF(G2971=1,0,(H2971-F2971)*E2971)</f>
        <v/>
      </c>
      <c r="J2971">
        <f>E2971*F2971</f>
        <v/>
      </c>
    </row>
    <row r="2972">
      <c r="A2972">
        <f>Sources!A2972</f>
        <v/>
      </c>
      <c r="B2972">
        <f>Sources!B2972</f>
        <v/>
      </c>
      <c r="C2972">
        <f>Sources!D2972</f>
        <v/>
      </c>
      <c r="D2972">
        <f>Sources!E2972</f>
        <v/>
      </c>
      <c r="E2972">
        <f>Sources!F2972</f>
        <v/>
      </c>
      <c r="F2972">
        <f>Sources!H2972</f>
        <v/>
      </c>
      <c r="G2972">
        <f>IF(ABS(F2972-ROUND(F2972,0))&lt;0.001,1,0)</f>
        <v/>
      </c>
      <c r="H2972">
        <f>IF(G2972=1,F2972,CEILING(F2972,1))</f>
        <v/>
      </c>
      <c r="I2972">
        <f>IF(G2972=1,0,(H2972-F2972)*E2972)</f>
        <v/>
      </c>
      <c r="J2972">
        <f>E2972*F2972</f>
        <v/>
      </c>
    </row>
    <row r="2973">
      <c r="A2973">
        <f>Sources!A2973</f>
        <v/>
      </c>
      <c r="B2973">
        <f>Sources!B2973</f>
        <v/>
      </c>
      <c r="C2973">
        <f>Sources!D2973</f>
        <v/>
      </c>
      <c r="D2973">
        <f>Sources!E2973</f>
        <v/>
      </c>
      <c r="E2973">
        <f>Sources!F2973</f>
        <v/>
      </c>
      <c r="F2973">
        <f>Sources!H2973</f>
        <v/>
      </c>
      <c r="G2973">
        <f>IF(ABS(F2973-ROUND(F2973,0))&lt;0.001,1,0)</f>
        <v/>
      </c>
      <c r="H2973">
        <f>IF(G2973=1,F2973,CEILING(F2973,1))</f>
        <v/>
      </c>
      <c r="I2973">
        <f>IF(G2973=1,0,(H2973-F2973)*E2973)</f>
        <v/>
      </c>
      <c r="J2973">
        <f>E2973*F2973</f>
        <v/>
      </c>
    </row>
    <row r="2974">
      <c r="A2974">
        <f>Sources!A2974</f>
        <v/>
      </c>
      <c r="B2974">
        <f>Sources!B2974</f>
        <v/>
      </c>
      <c r="C2974">
        <f>Sources!D2974</f>
        <v/>
      </c>
      <c r="D2974">
        <f>Sources!E2974</f>
        <v/>
      </c>
      <c r="E2974">
        <f>Sources!F2974</f>
        <v/>
      </c>
      <c r="F2974">
        <f>Sources!H2974</f>
        <v/>
      </c>
      <c r="G2974">
        <f>IF(ABS(F2974-ROUND(F2974,0))&lt;0.001,1,0)</f>
        <v/>
      </c>
      <c r="H2974">
        <f>IF(G2974=1,F2974,CEILING(F2974,1))</f>
        <v/>
      </c>
      <c r="I2974">
        <f>IF(G2974=1,0,(H2974-F2974)*E2974)</f>
        <v/>
      </c>
      <c r="J2974">
        <f>E2974*F2974</f>
        <v/>
      </c>
    </row>
    <row r="2975">
      <c r="A2975">
        <f>Sources!A2975</f>
        <v/>
      </c>
      <c r="B2975">
        <f>Sources!B2975</f>
        <v/>
      </c>
      <c r="C2975">
        <f>Sources!D2975</f>
        <v/>
      </c>
      <c r="D2975">
        <f>Sources!E2975</f>
        <v/>
      </c>
      <c r="E2975">
        <f>Sources!F2975</f>
        <v/>
      </c>
      <c r="F2975">
        <f>Sources!H2975</f>
        <v/>
      </c>
      <c r="G2975">
        <f>IF(ABS(F2975-ROUND(F2975,0))&lt;0.001,1,0)</f>
        <v/>
      </c>
      <c r="H2975">
        <f>IF(G2975=1,F2975,CEILING(F2975,1))</f>
        <v/>
      </c>
      <c r="I2975">
        <f>IF(G2975=1,0,(H2975-F2975)*E2975)</f>
        <v/>
      </c>
      <c r="J2975">
        <f>E2975*F2975</f>
        <v/>
      </c>
    </row>
    <row r="2976">
      <c r="A2976">
        <f>Sources!A2976</f>
        <v/>
      </c>
      <c r="B2976">
        <f>Sources!B2976</f>
        <v/>
      </c>
      <c r="C2976">
        <f>Sources!D2976</f>
        <v/>
      </c>
      <c r="D2976">
        <f>Sources!E2976</f>
        <v/>
      </c>
      <c r="E2976">
        <f>Sources!F2976</f>
        <v/>
      </c>
      <c r="F2976">
        <f>Sources!H2976</f>
        <v/>
      </c>
      <c r="G2976">
        <f>IF(ABS(F2976-ROUND(F2976,0))&lt;0.001,1,0)</f>
        <v/>
      </c>
      <c r="H2976">
        <f>IF(G2976=1,F2976,CEILING(F2976,1))</f>
        <v/>
      </c>
      <c r="I2976">
        <f>IF(G2976=1,0,(H2976-F2976)*E2976)</f>
        <v/>
      </c>
      <c r="J2976">
        <f>E2976*F2976</f>
        <v/>
      </c>
    </row>
    <row r="2977">
      <c r="A2977">
        <f>Sources!A2977</f>
        <v/>
      </c>
      <c r="B2977">
        <f>Sources!B2977</f>
        <v/>
      </c>
      <c r="C2977">
        <f>Sources!D2977</f>
        <v/>
      </c>
      <c r="D2977">
        <f>Sources!E2977</f>
        <v/>
      </c>
      <c r="E2977">
        <f>Sources!F2977</f>
        <v/>
      </c>
      <c r="F2977">
        <f>Sources!H2977</f>
        <v/>
      </c>
      <c r="G2977">
        <f>IF(ABS(F2977-ROUND(F2977,0))&lt;0.001,1,0)</f>
        <v/>
      </c>
      <c r="H2977">
        <f>IF(G2977=1,F2977,CEILING(F2977,1))</f>
        <v/>
      </c>
      <c r="I2977">
        <f>IF(G2977=1,0,(H2977-F2977)*E2977)</f>
        <v/>
      </c>
      <c r="J2977">
        <f>E2977*F2977</f>
        <v/>
      </c>
    </row>
    <row r="2978">
      <c r="A2978">
        <f>Sources!A2978</f>
        <v/>
      </c>
      <c r="B2978">
        <f>Sources!B2978</f>
        <v/>
      </c>
      <c r="C2978">
        <f>Sources!D2978</f>
        <v/>
      </c>
      <c r="D2978">
        <f>Sources!E2978</f>
        <v/>
      </c>
      <c r="E2978">
        <f>Sources!F2978</f>
        <v/>
      </c>
      <c r="F2978">
        <f>Sources!H2978</f>
        <v/>
      </c>
      <c r="G2978">
        <f>IF(ABS(F2978-ROUND(F2978,0))&lt;0.001,1,0)</f>
        <v/>
      </c>
      <c r="H2978">
        <f>IF(G2978=1,F2978,CEILING(F2978,1))</f>
        <v/>
      </c>
      <c r="I2978">
        <f>IF(G2978=1,0,(H2978-F2978)*E2978)</f>
        <v/>
      </c>
      <c r="J2978">
        <f>E2978*F2978</f>
        <v/>
      </c>
    </row>
    <row r="2979">
      <c r="A2979">
        <f>Sources!A2979</f>
        <v/>
      </c>
      <c r="B2979">
        <f>Sources!B2979</f>
        <v/>
      </c>
      <c r="C2979">
        <f>Sources!D2979</f>
        <v/>
      </c>
      <c r="D2979">
        <f>Sources!E2979</f>
        <v/>
      </c>
      <c r="E2979">
        <f>Sources!F2979</f>
        <v/>
      </c>
      <c r="F2979">
        <f>Sources!H2979</f>
        <v/>
      </c>
      <c r="G2979">
        <f>IF(ABS(F2979-ROUND(F2979,0))&lt;0.001,1,0)</f>
        <v/>
      </c>
      <c r="H2979">
        <f>IF(G2979=1,F2979,CEILING(F2979,1))</f>
        <v/>
      </c>
      <c r="I2979">
        <f>IF(G2979=1,0,(H2979-F2979)*E2979)</f>
        <v/>
      </c>
      <c r="J2979">
        <f>E2979*F2979</f>
        <v/>
      </c>
    </row>
    <row r="2980">
      <c r="A2980">
        <f>Sources!A2980</f>
        <v/>
      </c>
      <c r="B2980">
        <f>Sources!B2980</f>
        <v/>
      </c>
      <c r="C2980">
        <f>Sources!D2980</f>
        <v/>
      </c>
      <c r="D2980">
        <f>Sources!E2980</f>
        <v/>
      </c>
      <c r="E2980">
        <f>Sources!F2980</f>
        <v/>
      </c>
      <c r="F2980">
        <f>Sources!H2980</f>
        <v/>
      </c>
      <c r="G2980">
        <f>IF(ABS(F2980-ROUND(F2980,0))&lt;0.001,1,0)</f>
        <v/>
      </c>
      <c r="H2980">
        <f>IF(G2980=1,F2980,CEILING(F2980,1))</f>
        <v/>
      </c>
      <c r="I2980">
        <f>IF(G2980=1,0,(H2980-F2980)*E2980)</f>
        <v/>
      </c>
      <c r="J2980">
        <f>E2980*F2980</f>
        <v/>
      </c>
    </row>
    <row r="2981">
      <c r="A2981">
        <f>Sources!A2981</f>
        <v/>
      </c>
      <c r="B2981">
        <f>Sources!B2981</f>
        <v/>
      </c>
      <c r="C2981">
        <f>Sources!D2981</f>
        <v/>
      </c>
      <c r="D2981">
        <f>Sources!E2981</f>
        <v/>
      </c>
      <c r="E2981">
        <f>Sources!F2981</f>
        <v/>
      </c>
      <c r="F2981">
        <f>Sources!H2981</f>
        <v/>
      </c>
      <c r="G2981">
        <f>IF(ABS(F2981-ROUND(F2981,0))&lt;0.001,1,0)</f>
        <v/>
      </c>
      <c r="H2981">
        <f>IF(G2981=1,F2981,CEILING(F2981,1))</f>
        <v/>
      </c>
      <c r="I2981">
        <f>IF(G2981=1,0,(H2981-F2981)*E2981)</f>
        <v/>
      </c>
      <c r="J2981">
        <f>E2981*F2981</f>
        <v/>
      </c>
    </row>
    <row r="2982">
      <c r="A2982">
        <f>Sources!A2982</f>
        <v/>
      </c>
      <c r="B2982">
        <f>Sources!B2982</f>
        <v/>
      </c>
      <c r="C2982">
        <f>Sources!D2982</f>
        <v/>
      </c>
      <c r="D2982">
        <f>Sources!E2982</f>
        <v/>
      </c>
      <c r="E2982">
        <f>Sources!F2982</f>
        <v/>
      </c>
      <c r="F2982">
        <f>Sources!H2982</f>
        <v/>
      </c>
      <c r="G2982">
        <f>IF(ABS(F2982-ROUND(F2982,0))&lt;0.001,1,0)</f>
        <v/>
      </c>
      <c r="H2982">
        <f>IF(G2982=1,F2982,CEILING(F2982,1))</f>
        <v/>
      </c>
      <c r="I2982">
        <f>IF(G2982=1,0,(H2982-F2982)*E2982)</f>
        <v/>
      </c>
      <c r="J2982">
        <f>E2982*F2982</f>
        <v/>
      </c>
    </row>
    <row r="2983">
      <c r="A2983">
        <f>Sources!A2983</f>
        <v/>
      </c>
      <c r="B2983">
        <f>Sources!B2983</f>
        <v/>
      </c>
      <c r="C2983">
        <f>Sources!D2983</f>
        <v/>
      </c>
      <c r="D2983">
        <f>Sources!E2983</f>
        <v/>
      </c>
      <c r="E2983">
        <f>Sources!F2983</f>
        <v/>
      </c>
      <c r="F2983">
        <f>Sources!H2983</f>
        <v/>
      </c>
      <c r="G2983">
        <f>IF(ABS(F2983-ROUND(F2983,0))&lt;0.001,1,0)</f>
        <v/>
      </c>
      <c r="H2983">
        <f>IF(G2983=1,F2983,CEILING(F2983,1))</f>
        <v/>
      </c>
      <c r="I2983">
        <f>IF(G2983=1,0,(H2983-F2983)*E2983)</f>
        <v/>
      </c>
      <c r="J2983">
        <f>E2983*F2983</f>
        <v/>
      </c>
    </row>
    <row r="2984">
      <c r="A2984">
        <f>Sources!A2984</f>
        <v/>
      </c>
      <c r="B2984">
        <f>Sources!B2984</f>
        <v/>
      </c>
      <c r="C2984">
        <f>Sources!D2984</f>
        <v/>
      </c>
      <c r="D2984">
        <f>Sources!E2984</f>
        <v/>
      </c>
      <c r="E2984">
        <f>Sources!F2984</f>
        <v/>
      </c>
      <c r="F2984">
        <f>Sources!H2984</f>
        <v/>
      </c>
      <c r="G2984">
        <f>IF(ABS(F2984-ROUND(F2984,0))&lt;0.001,1,0)</f>
        <v/>
      </c>
      <c r="H2984">
        <f>IF(G2984=1,F2984,CEILING(F2984,1))</f>
        <v/>
      </c>
      <c r="I2984">
        <f>IF(G2984=1,0,(H2984-F2984)*E2984)</f>
        <v/>
      </c>
      <c r="J2984">
        <f>E2984*F2984</f>
        <v/>
      </c>
    </row>
    <row r="2985">
      <c r="A2985">
        <f>Sources!A2985</f>
        <v/>
      </c>
      <c r="B2985">
        <f>Sources!B2985</f>
        <v/>
      </c>
      <c r="C2985">
        <f>Sources!D2985</f>
        <v/>
      </c>
      <c r="D2985">
        <f>Sources!E2985</f>
        <v/>
      </c>
      <c r="E2985">
        <f>Sources!F2985</f>
        <v/>
      </c>
      <c r="F2985">
        <f>Sources!H2985</f>
        <v/>
      </c>
      <c r="G2985">
        <f>IF(ABS(F2985-ROUND(F2985,0))&lt;0.001,1,0)</f>
        <v/>
      </c>
      <c r="H2985">
        <f>IF(G2985=1,F2985,CEILING(F2985,1))</f>
        <v/>
      </c>
      <c r="I2985">
        <f>IF(G2985=1,0,(H2985-F2985)*E2985)</f>
        <v/>
      </c>
      <c r="J2985">
        <f>E2985*F2985</f>
        <v/>
      </c>
    </row>
    <row r="2986">
      <c r="A2986">
        <f>Sources!A2986</f>
        <v/>
      </c>
      <c r="B2986">
        <f>Sources!B2986</f>
        <v/>
      </c>
      <c r="C2986">
        <f>Sources!D2986</f>
        <v/>
      </c>
      <c r="D2986">
        <f>Sources!E2986</f>
        <v/>
      </c>
      <c r="E2986">
        <f>Sources!F2986</f>
        <v/>
      </c>
      <c r="F2986">
        <f>Sources!H2986</f>
        <v/>
      </c>
      <c r="G2986">
        <f>IF(ABS(F2986-ROUND(F2986,0))&lt;0.001,1,0)</f>
        <v/>
      </c>
      <c r="H2986">
        <f>IF(G2986=1,F2986,CEILING(F2986,1))</f>
        <v/>
      </c>
      <c r="I2986">
        <f>IF(G2986=1,0,(H2986-F2986)*E2986)</f>
        <v/>
      </c>
      <c r="J2986">
        <f>E2986*F2986</f>
        <v/>
      </c>
    </row>
    <row r="2987">
      <c r="A2987">
        <f>Sources!A2987</f>
        <v/>
      </c>
      <c r="B2987">
        <f>Sources!B2987</f>
        <v/>
      </c>
      <c r="C2987">
        <f>Sources!D2987</f>
        <v/>
      </c>
      <c r="D2987">
        <f>Sources!E2987</f>
        <v/>
      </c>
      <c r="E2987">
        <f>Sources!F2987</f>
        <v/>
      </c>
      <c r="F2987">
        <f>Sources!H2987</f>
        <v/>
      </c>
      <c r="G2987">
        <f>IF(ABS(F2987-ROUND(F2987,0))&lt;0.001,1,0)</f>
        <v/>
      </c>
      <c r="H2987">
        <f>IF(G2987=1,F2987,CEILING(F2987,1))</f>
        <v/>
      </c>
      <c r="I2987">
        <f>IF(G2987=1,0,(H2987-F2987)*E2987)</f>
        <v/>
      </c>
      <c r="J2987">
        <f>E2987*F2987</f>
        <v/>
      </c>
    </row>
    <row r="2988">
      <c r="A2988">
        <f>Sources!A2988</f>
        <v/>
      </c>
      <c r="B2988">
        <f>Sources!B2988</f>
        <v/>
      </c>
      <c r="C2988">
        <f>Sources!D2988</f>
        <v/>
      </c>
      <c r="D2988">
        <f>Sources!E2988</f>
        <v/>
      </c>
      <c r="E2988">
        <f>Sources!F2988</f>
        <v/>
      </c>
      <c r="F2988">
        <f>Sources!H2988</f>
        <v/>
      </c>
      <c r="G2988">
        <f>IF(ABS(F2988-ROUND(F2988,0))&lt;0.001,1,0)</f>
        <v/>
      </c>
      <c r="H2988">
        <f>IF(G2988=1,F2988,CEILING(F2988,1))</f>
        <v/>
      </c>
      <c r="I2988">
        <f>IF(G2988=1,0,(H2988-F2988)*E2988)</f>
        <v/>
      </c>
      <c r="J2988">
        <f>E2988*F2988</f>
        <v/>
      </c>
    </row>
    <row r="2989">
      <c r="A2989">
        <f>Sources!A2989</f>
        <v/>
      </c>
      <c r="B2989">
        <f>Sources!B2989</f>
        <v/>
      </c>
      <c r="C2989">
        <f>Sources!D2989</f>
        <v/>
      </c>
      <c r="D2989">
        <f>Sources!E2989</f>
        <v/>
      </c>
      <c r="E2989">
        <f>Sources!F2989</f>
        <v/>
      </c>
      <c r="F2989">
        <f>Sources!H2989</f>
        <v/>
      </c>
      <c r="G2989">
        <f>IF(ABS(F2989-ROUND(F2989,0))&lt;0.001,1,0)</f>
        <v/>
      </c>
      <c r="H2989">
        <f>IF(G2989=1,F2989,CEILING(F2989,1))</f>
        <v/>
      </c>
      <c r="I2989">
        <f>IF(G2989=1,0,(H2989-F2989)*E2989)</f>
        <v/>
      </c>
      <c r="J2989">
        <f>E2989*F2989</f>
        <v/>
      </c>
    </row>
    <row r="2990">
      <c r="A2990">
        <f>Sources!A2990</f>
        <v/>
      </c>
      <c r="B2990">
        <f>Sources!B2990</f>
        <v/>
      </c>
      <c r="C2990">
        <f>Sources!D2990</f>
        <v/>
      </c>
      <c r="D2990">
        <f>Sources!E2990</f>
        <v/>
      </c>
      <c r="E2990">
        <f>Sources!F2990</f>
        <v/>
      </c>
      <c r="F2990">
        <f>Sources!H2990</f>
        <v/>
      </c>
      <c r="G2990">
        <f>IF(ABS(F2990-ROUND(F2990,0))&lt;0.001,1,0)</f>
        <v/>
      </c>
      <c r="H2990">
        <f>IF(G2990=1,F2990,CEILING(F2990,1))</f>
        <v/>
      </c>
      <c r="I2990">
        <f>IF(G2990=1,0,(H2990-F2990)*E2990)</f>
        <v/>
      </c>
      <c r="J2990">
        <f>E2990*F2990</f>
        <v/>
      </c>
    </row>
    <row r="2991">
      <c r="A2991">
        <f>Sources!A2991</f>
        <v/>
      </c>
      <c r="B2991">
        <f>Sources!B2991</f>
        <v/>
      </c>
      <c r="C2991">
        <f>Sources!D2991</f>
        <v/>
      </c>
      <c r="D2991">
        <f>Sources!E2991</f>
        <v/>
      </c>
      <c r="E2991">
        <f>Sources!F2991</f>
        <v/>
      </c>
      <c r="F2991">
        <f>Sources!H2991</f>
        <v/>
      </c>
      <c r="G2991">
        <f>IF(ABS(F2991-ROUND(F2991,0))&lt;0.001,1,0)</f>
        <v/>
      </c>
      <c r="H2991">
        <f>IF(G2991=1,F2991,CEILING(F2991,1))</f>
        <v/>
      </c>
      <c r="I2991">
        <f>IF(G2991=1,0,(H2991-F2991)*E2991)</f>
        <v/>
      </c>
      <c r="J2991">
        <f>E2991*F2991</f>
        <v/>
      </c>
    </row>
    <row r="2992">
      <c r="A2992">
        <f>Sources!A2992</f>
        <v/>
      </c>
      <c r="B2992">
        <f>Sources!B2992</f>
        <v/>
      </c>
      <c r="C2992">
        <f>Sources!D2992</f>
        <v/>
      </c>
      <c r="D2992">
        <f>Sources!E2992</f>
        <v/>
      </c>
      <c r="E2992">
        <f>Sources!F2992</f>
        <v/>
      </c>
      <c r="F2992">
        <f>Sources!H2992</f>
        <v/>
      </c>
      <c r="G2992">
        <f>IF(ABS(F2992-ROUND(F2992,0))&lt;0.001,1,0)</f>
        <v/>
      </c>
      <c r="H2992">
        <f>IF(G2992=1,F2992,CEILING(F2992,1))</f>
        <v/>
      </c>
      <c r="I2992">
        <f>IF(G2992=1,0,(H2992-F2992)*E2992)</f>
        <v/>
      </c>
      <c r="J2992">
        <f>E2992*F2992</f>
        <v/>
      </c>
    </row>
    <row r="2993">
      <c r="A2993">
        <f>Sources!A2993</f>
        <v/>
      </c>
      <c r="B2993">
        <f>Sources!B2993</f>
        <v/>
      </c>
      <c r="C2993">
        <f>Sources!D2993</f>
        <v/>
      </c>
      <c r="D2993">
        <f>Sources!E2993</f>
        <v/>
      </c>
      <c r="E2993">
        <f>Sources!F2993</f>
        <v/>
      </c>
      <c r="F2993">
        <f>Sources!H2993</f>
        <v/>
      </c>
      <c r="G2993">
        <f>IF(ABS(F2993-ROUND(F2993,0))&lt;0.001,1,0)</f>
        <v/>
      </c>
      <c r="H2993">
        <f>IF(G2993=1,F2993,CEILING(F2993,1))</f>
        <v/>
      </c>
      <c r="I2993">
        <f>IF(G2993=1,0,(H2993-F2993)*E2993)</f>
        <v/>
      </c>
      <c r="J2993">
        <f>E2993*F2993</f>
        <v/>
      </c>
    </row>
    <row r="2994">
      <c r="A2994">
        <f>Sources!A2994</f>
        <v/>
      </c>
      <c r="B2994">
        <f>Sources!B2994</f>
        <v/>
      </c>
      <c r="C2994">
        <f>Sources!D2994</f>
        <v/>
      </c>
      <c r="D2994">
        <f>Sources!E2994</f>
        <v/>
      </c>
      <c r="E2994">
        <f>Sources!F2994</f>
        <v/>
      </c>
      <c r="F2994">
        <f>Sources!H2994</f>
        <v/>
      </c>
      <c r="G2994">
        <f>IF(ABS(F2994-ROUND(F2994,0))&lt;0.001,1,0)</f>
        <v/>
      </c>
      <c r="H2994">
        <f>IF(G2994=1,F2994,CEILING(F2994,1))</f>
        <v/>
      </c>
      <c r="I2994">
        <f>IF(G2994=1,0,(H2994-F2994)*E2994)</f>
        <v/>
      </c>
      <c r="J2994">
        <f>E2994*F2994</f>
        <v/>
      </c>
    </row>
    <row r="2995">
      <c r="A2995">
        <f>Sources!A2995</f>
        <v/>
      </c>
      <c r="B2995">
        <f>Sources!B2995</f>
        <v/>
      </c>
      <c r="C2995">
        <f>Sources!D2995</f>
        <v/>
      </c>
      <c r="D2995">
        <f>Sources!E2995</f>
        <v/>
      </c>
      <c r="E2995">
        <f>Sources!F2995</f>
        <v/>
      </c>
      <c r="F2995">
        <f>Sources!H2995</f>
        <v/>
      </c>
      <c r="G2995">
        <f>IF(ABS(F2995-ROUND(F2995,0))&lt;0.001,1,0)</f>
        <v/>
      </c>
      <c r="H2995">
        <f>IF(G2995=1,F2995,CEILING(F2995,1))</f>
        <v/>
      </c>
      <c r="I2995">
        <f>IF(G2995=1,0,(H2995-F2995)*E2995)</f>
        <v/>
      </c>
      <c r="J2995">
        <f>E2995*F2995</f>
        <v/>
      </c>
    </row>
    <row r="2996">
      <c r="A2996">
        <f>Sources!A2996</f>
        <v/>
      </c>
      <c r="B2996">
        <f>Sources!B2996</f>
        <v/>
      </c>
      <c r="C2996">
        <f>Sources!D2996</f>
        <v/>
      </c>
      <c r="D2996">
        <f>Sources!E2996</f>
        <v/>
      </c>
      <c r="E2996">
        <f>Sources!F2996</f>
        <v/>
      </c>
      <c r="F2996">
        <f>Sources!H2996</f>
        <v/>
      </c>
      <c r="G2996">
        <f>IF(ABS(F2996-ROUND(F2996,0))&lt;0.001,1,0)</f>
        <v/>
      </c>
      <c r="H2996">
        <f>IF(G2996=1,F2996,CEILING(F2996,1))</f>
        <v/>
      </c>
      <c r="I2996">
        <f>IF(G2996=1,0,(H2996-F2996)*E2996)</f>
        <v/>
      </c>
      <c r="J2996">
        <f>E2996*F2996</f>
        <v/>
      </c>
    </row>
    <row r="2997">
      <c r="A2997">
        <f>Sources!A2997</f>
        <v/>
      </c>
      <c r="B2997">
        <f>Sources!B2997</f>
        <v/>
      </c>
      <c r="C2997">
        <f>Sources!D2997</f>
        <v/>
      </c>
      <c r="D2997">
        <f>Sources!E2997</f>
        <v/>
      </c>
      <c r="E2997">
        <f>Sources!F2997</f>
        <v/>
      </c>
      <c r="F2997">
        <f>Sources!H2997</f>
        <v/>
      </c>
      <c r="G2997">
        <f>IF(ABS(F2997-ROUND(F2997,0))&lt;0.001,1,0)</f>
        <v/>
      </c>
      <c r="H2997">
        <f>IF(G2997=1,F2997,CEILING(F2997,1))</f>
        <v/>
      </c>
      <c r="I2997">
        <f>IF(G2997=1,0,(H2997-F2997)*E2997)</f>
        <v/>
      </c>
      <c r="J2997">
        <f>E2997*F2997</f>
        <v/>
      </c>
    </row>
    <row r="2998">
      <c r="A2998">
        <f>Sources!A2998</f>
        <v/>
      </c>
      <c r="B2998">
        <f>Sources!B2998</f>
        <v/>
      </c>
      <c r="C2998">
        <f>Sources!D2998</f>
        <v/>
      </c>
      <c r="D2998">
        <f>Sources!E2998</f>
        <v/>
      </c>
      <c r="E2998">
        <f>Sources!F2998</f>
        <v/>
      </c>
      <c r="F2998">
        <f>Sources!H2998</f>
        <v/>
      </c>
      <c r="G2998">
        <f>IF(ABS(F2998-ROUND(F2998,0))&lt;0.001,1,0)</f>
        <v/>
      </c>
      <c r="H2998">
        <f>IF(G2998=1,F2998,CEILING(F2998,1))</f>
        <v/>
      </c>
      <c r="I2998">
        <f>IF(G2998=1,0,(H2998-F2998)*E2998)</f>
        <v/>
      </c>
      <c r="J2998">
        <f>E2998*F2998</f>
        <v/>
      </c>
    </row>
    <row r="2999">
      <c r="A2999">
        <f>Sources!A2999</f>
        <v/>
      </c>
      <c r="B2999">
        <f>Sources!B2999</f>
        <v/>
      </c>
      <c r="C2999">
        <f>Sources!D2999</f>
        <v/>
      </c>
      <c r="D2999">
        <f>Sources!E2999</f>
        <v/>
      </c>
      <c r="E2999">
        <f>Sources!F2999</f>
        <v/>
      </c>
      <c r="F2999">
        <f>Sources!H2999</f>
        <v/>
      </c>
      <c r="G2999">
        <f>IF(ABS(F2999-ROUND(F2999,0))&lt;0.001,1,0)</f>
        <v/>
      </c>
      <c r="H2999">
        <f>IF(G2999=1,F2999,CEILING(F2999,1))</f>
        <v/>
      </c>
      <c r="I2999">
        <f>IF(G2999=1,0,(H2999-F2999)*E2999)</f>
        <v/>
      </c>
      <c r="J2999">
        <f>E2999*F2999</f>
        <v/>
      </c>
    </row>
    <row r="3000">
      <c r="A3000">
        <f>Sources!A3000</f>
        <v/>
      </c>
      <c r="B3000">
        <f>Sources!B3000</f>
        <v/>
      </c>
      <c r="C3000">
        <f>Sources!D3000</f>
        <v/>
      </c>
      <c r="D3000">
        <f>Sources!E3000</f>
        <v/>
      </c>
      <c r="E3000">
        <f>Sources!F3000</f>
        <v/>
      </c>
      <c r="F3000">
        <f>Sources!H3000</f>
        <v/>
      </c>
      <c r="G3000">
        <f>IF(ABS(F3000-ROUND(F3000,0))&lt;0.001,1,0)</f>
        <v/>
      </c>
      <c r="H3000">
        <f>IF(G3000=1,F3000,CEILING(F3000,1))</f>
        <v/>
      </c>
      <c r="I3000">
        <f>IF(G3000=1,0,(H3000-F3000)*E3000)</f>
        <v/>
      </c>
      <c r="J3000">
        <f>E3000*F3000</f>
        <v/>
      </c>
    </row>
    <row r="3001">
      <c r="A3001">
        <f>Sources!A3001</f>
        <v/>
      </c>
      <c r="B3001">
        <f>Sources!B3001</f>
        <v/>
      </c>
      <c r="C3001">
        <f>Sources!D3001</f>
        <v/>
      </c>
      <c r="D3001">
        <f>Sources!E3001</f>
        <v/>
      </c>
      <c r="E3001">
        <f>Sources!F3001</f>
        <v/>
      </c>
      <c r="F3001">
        <f>Sources!H3001</f>
        <v/>
      </c>
      <c r="G3001">
        <f>IF(ABS(F3001-ROUND(F3001,0))&lt;0.001,1,0)</f>
        <v/>
      </c>
      <c r="H3001">
        <f>IF(G3001=1,F3001,CEILING(F3001,1))</f>
        <v/>
      </c>
      <c r="I3001">
        <f>IF(G3001=1,0,(H3001-F3001)*E3001)</f>
        <v/>
      </c>
      <c r="J3001">
        <f>E3001*F3001</f>
        <v/>
      </c>
    </row>
    <row r="3002">
      <c r="A3002">
        <f>Sources!A3002</f>
        <v/>
      </c>
      <c r="B3002">
        <f>Sources!B3002</f>
        <v/>
      </c>
      <c r="C3002">
        <f>Sources!D3002</f>
        <v/>
      </c>
      <c r="D3002">
        <f>Sources!E3002</f>
        <v/>
      </c>
      <c r="E3002">
        <f>Sources!F3002</f>
        <v/>
      </c>
      <c r="F3002">
        <f>Sources!H3002</f>
        <v/>
      </c>
      <c r="G3002">
        <f>IF(ABS(F3002-ROUND(F3002,0))&lt;0.001,1,0)</f>
        <v/>
      </c>
      <c r="H3002">
        <f>IF(G3002=1,F3002,CEILING(F3002,1))</f>
        <v/>
      </c>
      <c r="I3002">
        <f>IF(G3002=1,0,(H3002-F3002)*E3002)</f>
        <v/>
      </c>
      <c r="J3002">
        <f>E3002*F3002</f>
        <v/>
      </c>
    </row>
    <row r="3003">
      <c r="A3003">
        <f>Sources!A3003</f>
        <v/>
      </c>
      <c r="B3003">
        <f>Sources!B3003</f>
        <v/>
      </c>
      <c r="C3003">
        <f>Sources!D3003</f>
        <v/>
      </c>
      <c r="D3003">
        <f>Sources!E3003</f>
        <v/>
      </c>
      <c r="E3003">
        <f>Sources!F3003</f>
        <v/>
      </c>
      <c r="F3003">
        <f>Sources!H3003</f>
        <v/>
      </c>
      <c r="G3003">
        <f>IF(ABS(F3003-ROUND(F3003,0))&lt;0.001,1,0)</f>
        <v/>
      </c>
      <c r="H3003">
        <f>IF(G3003=1,F3003,CEILING(F3003,1))</f>
        <v/>
      </c>
      <c r="I3003">
        <f>IF(G3003=1,0,(H3003-F3003)*E3003)</f>
        <v/>
      </c>
      <c r="J3003">
        <f>E3003*F3003</f>
        <v/>
      </c>
    </row>
    <row r="3004">
      <c r="A3004">
        <f>Sources!A3004</f>
        <v/>
      </c>
      <c r="B3004">
        <f>Sources!B3004</f>
        <v/>
      </c>
      <c r="C3004">
        <f>Sources!D3004</f>
        <v/>
      </c>
      <c r="D3004">
        <f>Sources!E3004</f>
        <v/>
      </c>
      <c r="E3004">
        <f>Sources!F3004</f>
        <v/>
      </c>
      <c r="F3004">
        <f>Sources!H3004</f>
        <v/>
      </c>
      <c r="G3004">
        <f>IF(ABS(F3004-ROUND(F3004,0))&lt;0.001,1,0)</f>
        <v/>
      </c>
      <c r="H3004">
        <f>IF(G3004=1,F3004,CEILING(F3004,1))</f>
        <v/>
      </c>
      <c r="I3004">
        <f>IF(G3004=1,0,(H3004-F3004)*E3004)</f>
        <v/>
      </c>
      <c r="J3004">
        <f>E3004*F3004</f>
        <v/>
      </c>
    </row>
    <row r="3005">
      <c r="A3005">
        <f>Sources!A3005</f>
        <v/>
      </c>
      <c r="B3005">
        <f>Sources!B3005</f>
        <v/>
      </c>
      <c r="C3005">
        <f>Sources!D3005</f>
        <v/>
      </c>
      <c r="D3005">
        <f>Sources!E3005</f>
        <v/>
      </c>
      <c r="E3005">
        <f>Sources!F3005</f>
        <v/>
      </c>
      <c r="F3005">
        <f>Sources!H3005</f>
        <v/>
      </c>
      <c r="G3005">
        <f>IF(ABS(F3005-ROUND(F3005,0))&lt;0.001,1,0)</f>
        <v/>
      </c>
      <c r="H3005">
        <f>IF(G3005=1,F3005,CEILING(F3005,1))</f>
        <v/>
      </c>
      <c r="I3005">
        <f>IF(G3005=1,0,(H3005-F3005)*E3005)</f>
        <v/>
      </c>
      <c r="J3005">
        <f>E3005*F3005</f>
        <v/>
      </c>
    </row>
    <row r="3006">
      <c r="A3006">
        <f>Sources!A3006</f>
        <v/>
      </c>
      <c r="B3006">
        <f>Sources!B3006</f>
        <v/>
      </c>
      <c r="C3006">
        <f>Sources!D3006</f>
        <v/>
      </c>
      <c r="D3006">
        <f>Sources!E3006</f>
        <v/>
      </c>
      <c r="E3006">
        <f>Sources!F3006</f>
        <v/>
      </c>
      <c r="F3006">
        <f>Sources!H3006</f>
        <v/>
      </c>
      <c r="G3006">
        <f>IF(ABS(F3006-ROUND(F3006,0))&lt;0.001,1,0)</f>
        <v/>
      </c>
      <c r="H3006">
        <f>IF(G3006=1,F3006,CEILING(F3006,1))</f>
        <v/>
      </c>
      <c r="I3006">
        <f>IF(G3006=1,0,(H3006-F3006)*E3006)</f>
        <v/>
      </c>
      <c r="J3006">
        <f>E3006*F3006</f>
        <v/>
      </c>
    </row>
    <row r="3007">
      <c r="A3007">
        <f>Sources!A3007</f>
        <v/>
      </c>
      <c r="B3007">
        <f>Sources!B3007</f>
        <v/>
      </c>
      <c r="C3007">
        <f>Sources!D3007</f>
        <v/>
      </c>
      <c r="D3007">
        <f>Sources!E3007</f>
        <v/>
      </c>
      <c r="E3007">
        <f>Sources!F3007</f>
        <v/>
      </c>
      <c r="F3007">
        <f>Sources!H3007</f>
        <v/>
      </c>
      <c r="G3007">
        <f>IF(ABS(F3007-ROUND(F3007,0))&lt;0.001,1,0)</f>
        <v/>
      </c>
      <c r="H3007">
        <f>IF(G3007=1,F3007,CEILING(F3007,1))</f>
        <v/>
      </c>
      <c r="I3007">
        <f>IF(G3007=1,0,(H3007-F3007)*E3007)</f>
        <v/>
      </c>
      <c r="J3007">
        <f>E3007*F3007</f>
        <v/>
      </c>
    </row>
    <row r="3008">
      <c r="A3008">
        <f>Sources!A3008</f>
        <v/>
      </c>
      <c r="B3008">
        <f>Sources!B3008</f>
        <v/>
      </c>
      <c r="C3008">
        <f>Sources!D3008</f>
        <v/>
      </c>
      <c r="D3008">
        <f>Sources!E3008</f>
        <v/>
      </c>
      <c r="E3008">
        <f>Sources!F3008</f>
        <v/>
      </c>
      <c r="F3008">
        <f>Sources!H3008</f>
        <v/>
      </c>
      <c r="G3008">
        <f>IF(ABS(F3008-ROUND(F3008,0))&lt;0.001,1,0)</f>
        <v/>
      </c>
      <c r="H3008">
        <f>IF(G3008=1,F3008,CEILING(F3008,1))</f>
        <v/>
      </c>
      <c r="I3008">
        <f>IF(G3008=1,0,(H3008-F3008)*E3008)</f>
        <v/>
      </c>
      <c r="J3008">
        <f>E3008*F3008</f>
        <v/>
      </c>
    </row>
    <row r="3009">
      <c r="A3009">
        <f>Sources!A3009</f>
        <v/>
      </c>
      <c r="B3009">
        <f>Sources!B3009</f>
        <v/>
      </c>
      <c r="C3009">
        <f>Sources!D3009</f>
        <v/>
      </c>
      <c r="D3009">
        <f>Sources!E3009</f>
        <v/>
      </c>
      <c r="E3009">
        <f>Sources!F3009</f>
        <v/>
      </c>
      <c r="F3009">
        <f>Sources!H3009</f>
        <v/>
      </c>
      <c r="G3009">
        <f>IF(ABS(F3009-ROUND(F3009,0))&lt;0.001,1,0)</f>
        <v/>
      </c>
      <c r="H3009">
        <f>IF(G3009=1,F3009,CEILING(F3009,1))</f>
        <v/>
      </c>
      <c r="I3009">
        <f>IF(G3009=1,0,(H3009-F3009)*E3009)</f>
        <v/>
      </c>
      <c r="J3009">
        <f>E3009*F3009</f>
        <v/>
      </c>
    </row>
    <row r="3010">
      <c r="A3010">
        <f>Sources!A3010</f>
        <v/>
      </c>
      <c r="B3010">
        <f>Sources!B3010</f>
        <v/>
      </c>
      <c r="C3010">
        <f>Sources!D3010</f>
        <v/>
      </c>
      <c r="D3010">
        <f>Sources!E3010</f>
        <v/>
      </c>
      <c r="E3010">
        <f>Sources!F3010</f>
        <v/>
      </c>
      <c r="F3010">
        <f>Sources!H3010</f>
        <v/>
      </c>
      <c r="G3010">
        <f>IF(ABS(F3010-ROUND(F3010,0))&lt;0.001,1,0)</f>
        <v/>
      </c>
      <c r="H3010">
        <f>IF(G3010=1,F3010,CEILING(F3010,1))</f>
        <v/>
      </c>
      <c r="I3010">
        <f>IF(G3010=1,0,(H3010-F3010)*E3010)</f>
        <v/>
      </c>
      <c r="J3010">
        <f>E3010*F3010</f>
        <v/>
      </c>
    </row>
    <row r="3011">
      <c r="A3011">
        <f>Sources!A3011</f>
        <v/>
      </c>
      <c r="B3011">
        <f>Sources!B3011</f>
        <v/>
      </c>
      <c r="C3011">
        <f>Sources!D3011</f>
        <v/>
      </c>
      <c r="D3011">
        <f>Sources!E3011</f>
        <v/>
      </c>
      <c r="E3011">
        <f>Sources!F3011</f>
        <v/>
      </c>
      <c r="F3011">
        <f>Sources!H3011</f>
        <v/>
      </c>
      <c r="G3011">
        <f>IF(ABS(F3011-ROUND(F3011,0))&lt;0.001,1,0)</f>
        <v/>
      </c>
      <c r="H3011">
        <f>IF(G3011=1,F3011,CEILING(F3011,1))</f>
        <v/>
      </c>
      <c r="I3011">
        <f>IF(G3011=1,0,(H3011-F3011)*E3011)</f>
        <v/>
      </c>
      <c r="J3011">
        <f>E3011*F3011</f>
        <v/>
      </c>
    </row>
    <row r="3012">
      <c r="A3012">
        <f>Sources!A3012</f>
        <v/>
      </c>
      <c r="B3012">
        <f>Sources!B3012</f>
        <v/>
      </c>
      <c r="C3012">
        <f>Sources!D3012</f>
        <v/>
      </c>
      <c r="D3012">
        <f>Sources!E3012</f>
        <v/>
      </c>
      <c r="E3012">
        <f>Sources!F3012</f>
        <v/>
      </c>
      <c r="F3012">
        <f>Sources!H3012</f>
        <v/>
      </c>
      <c r="G3012">
        <f>IF(ABS(F3012-ROUND(F3012,0))&lt;0.001,1,0)</f>
        <v/>
      </c>
      <c r="H3012">
        <f>IF(G3012=1,F3012,CEILING(F3012,1))</f>
        <v/>
      </c>
      <c r="I3012">
        <f>IF(G3012=1,0,(H3012-F3012)*E3012)</f>
        <v/>
      </c>
      <c r="J3012">
        <f>E3012*F3012</f>
        <v/>
      </c>
    </row>
    <row r="3013">
      <c r="A3013">
        <f>Sources!A3013</f>
        <v/>
      </c>
      <c r="B3013">
        <f>Sources!B3013</f>
        <v/>
      </c>
      <c r="C3013">
        <f>Sources!D3013</f>
        <v/>
      </c>
      <c r="D3013">
        <f>Sources!E3013</f>
        <v/>
      </c>
      <c r="E3013">
        <f>Sources!F3013</f>
        <v/>
      </c>
      <c r="F3013">
        <f>Sources!H3013</f>
        <v/>
      </c>
      <c r="G3013">
        <f>IF(ABS(F3013-ROUND(F3013,0))&lt;0.001,1,0)</f>
        <v/>
      </c>
      <c r="H3013">
        <f>IF(G3013=1,F3013,CEILING(F3013,1))</f>
        <v/>
      </c>
      <c r="I3013">
        <f>IF(G3013=1,0,(H3013-F3013)*E3013)</f>
        <v/>
      </c>
      <c r="J3013">
        <f>E3013*F3013</f>
        <v/>
      </c>
    </row>
    <row r="3014">
      <c r="A3014">
        <f>Sources!A3014</f>
        <v/>
      </c>
      <c r="B3014">
        <f>Sources!B3014</f>
        <v/>
      </c>
      <c r="C3014">
        <f>Sources!D3014</f>
        <v/>
      </c>
      <c r="D3014">
        <f>Sources!E3014</f>
        <v/>
      </c>
      <c r="E3014">
        <f>Sources!F3014</f>
        <v/>
      </c>
      <c r="F3014">
        <f>Sources!H3014</f>
        <v/>
      </c>
      <c r="G3014">
        <f>IF(ABS(F3014-ROUND(F3014,0))&lt;0.001,1,0)</f>
        <v/>
      </c>
      <c r="H3014">
        <f>IF(G3014=1,F3014,CEILING(F3014,1))</f>
        <v/>
      </c>
      <c r="I3014">
        <f>IF(G3014=1,0,(H3014-F3014)*E3014)</f>
        <v/>
      </c>
      <c r="J3014">
        <f>E3014*F3014</f>
        <v/>
      </c>
    </row>
    <row r="3015">
      <c r="A3015">
        <f>Sources!A3015</f>
        <v/>
      </c>
      <c r="B3015">
        <f>Sources!B3015</f>
        <v/>
      </c>
      <c r="C3015">
        <f>Sources!D3015</f>
        <v/>
      </c>
      <c r="D3015">
        <f>Sources!E3015</f>
        <v/>
      </c>
      <c r="E3015">
        <f>Sources!F3015</f>
        <v/>
      </c>
      <c r="F3015">
        <f>Sources!H3015</f>
        <v/>
      </c>
      <c r="G3015">
        <f>IF(ABS(F3015-ROUND(F3015,0))&lt;0.001,1,0)</f>
        <v/>
      </c>
      <c r="H3015">
        <f>IF(G3015=1,F3015,CEILING(F3015,1))</f>
        <v/>
      </c>
      <c r="I3015">
        <f>IF(G3015=1,0,(H3015-F3015)*E3015)</f>
        <v/>
      </c>
      <c r="J3015">
        <f>E3015*F3015</f>
        <v/>
      </c>
    </row>
    <row r="3016">
      <c r="A3016">
        <f>Sources!A3016</f>
        <v/>
      </c>
      <c r="B3016">
        <f>Sources!B3016</f>
        <v/>
      </c>
      <c r="C3016">
        <f>Sources!D3016</f>
        <v/>
      </c>
      <c r="D3016">
        <f>Sources!E3016</f>
        <v/>
      </c>
      <c r="E3016">
        <f>Sources!F3016</f>
        <v/>
      </c>
      <c r="F3016">
        <f>Sources!H3016</f>
        <v/>
      </c>
      <c r="G3016">
        <f>IF(ABS(F3016-ROUND(F3016,0))&lt;0.001,1,0)</f>
        <v/>
      </c>
      <c r="H3016">
        <f>IF(G3016=1,F3016,CEILING(F3016,1))</f>
        <v/>
      </c>
      <c r="I3016">
        <f>IF(G3016=1,0,(H3016-F3016)*E3016)</f>
        <v/>
      </c>
      <c r="J3016">
        <f>E3016*F3016</f>
        <v/>
      </c>
    </row>
    <row r="3017">
      <c r="A3017">
        <f>Sources!A3017</f>
        <v/>
      </c>
      <c r="B3017">
        <f>Sources!B3017</f>
        <v/>
      </c>
      <c r="C3017">
        <f>Sources!D3017</f>
        <v/>
      </c>
      <c r="D3017">
        <f>Sources!E3017</f>
        <v/>
      </c>
      <c r="E3017">
        <f>Sources!F3017</f>
        <v/>
      </c>
      <c r="F3017">
        <f>Sources!H3017</f>
        <v/>
      </c>
      <c r="G3017">
        <f>IF(ABS(F3017-ROUND(F3017,0))&lt;0.001,1,0)</f>
        <v/>
      </c>
      <c r="H3017">
        <f>IF(G3017=1,F3017,CEILING(F3017,1))</f>
        <v/>
      </c>
      <c r="I3017">
        <f>IF(G3017=1,0,(H3017-F3017)*E3017)</f>
        <v/>
      </c>
      <c r="J3017">
        <f>E3017*F3017</f>
        <v/>
      </c>
    </row>
    <row r="3018">
      <c r="A3018">
        <f>Sources!A3018</f>
        <v/>
      </c>
      <c r="B3018">
        <f>Sources!B3018</f>
        <v/>
      </c>
      <c r="C3018">
        <f>Sources!D3018</f>
        <v/>
      </c>
      <c r="D3018">
        <f>Sources!E3018</f>
        <v/>
      </c>
      <c r="E3018">
        <f>Sources!F3018</f>
        <v/>
      </c>
      <c r="F3018">
        <f>Sources!H3018</f>
        <v/>
      </c>
      <c r="G3018">
        <f>IF(ABS(F3018-ROUND(F3018,0))&lt;0.001,1,0)</f>
        <v/>
      </c>
      <c r="H3018">
        <f>IF(G3018=1,F3018,CEILING(F3018,1))</f>
        <v/>
      </c>
      <c r="I3018">
        <f>IF(G3018=1,0,(H3018-F3018)*E3018)</f>
        <v/>
      </c>
      <c r="J3018">
        <f>E3018*F3018</f>
        <v/>
      </c>
    </row>
    <row r="3019">
      <c r="A3019">
        <f>Sources!A3019</f>
        <v/>
      </c>
      <c r="B3019">
        <f>Sources!B3019</f>
        <v/>
      </c>
      <c r="C3019">
        <f>Sources!D3019</f>
        <v/>
      </c>
      <c r="D3019">
        <f>Sources!E3019</f>
        <v/>
      </c>
      <c r="E3019">
        <f>Sources!F3019</f>
        <v/>
      </c>
      <c r="F3019">
        <f>Sources!H3019</f>
        <v/>
      </c>
      <c r="G3019">
        <f>IF(ABS(F3019-ROUND(F3019,0))&lt;0.001,1,0)</f>
        <v/>
      </c>
      <c r="H3019">
        <f>IF(G3019=1,F3019,CEILING(F3019,1))</f>
        <v/>
      </c>
      <c r="I3019">
        <f>IF(G3019=1,0,(H3019-F3019)*E3019)</f>
        <v/>
      </c>
      <c r="J3019">
        <f>E3019*F3019</f>
        <v/>
      </c>
    </row>
    <row r="3020">
      <c r="A3020">
        <f>Sources!A3020</f>
        <v/>
      </c>
      <c r="B3020">
        <f>Sources!B3020</f>
        <v/>
      </c>
      <c r="C3020">
        <f>Sources!D3020</f>
        <v/>
      </c>
      <c r="D3020">
        <f>Sources!E3020</f>
        <v/>
      </c>
      <c r="E3020">
        <f>Sources!F3020</f>
        <v/>
      </c>
      <c r="F3020">
        <f>Sources!H3020</f>
        <v/>
      </c>
      <c r="G3020">
        <f>IF(ABS(F3020-ROUND(F3020,0))&lt;0.001,1,0)</f>
        <v/>
      </c>
      <c r="H3020">
        <f>IF(G3020=1,F3020,CEILING(F3020,1))</f>
        <v/>
      </c>
      <c r="I3020">
        <f>IF(G3020=1,0,(H3020-F3020)*E3020)</f>
        <v/>
      </c>
      <c r="J3020">
        <f>E3020*F3020</f>
        <v/>
      </c>
    </row>
    <row r="3021">
      <c r="A3021">
        <f>Sources!A3021</f>
        <v/>
      </c>
      <c r="B3021">
        <f>Sources!B3021</f>
        <v/>
      </c>
      <c r="C3021">
        <f>Sources!D3021</f>
        <v/>
      </c>
      <c r="D3021">
        <f>Sources!E3021</f>
        <v/>
      </c>
      <c r="E3021">
        <f>Sources!F3021</f>
        <v/>
      </c>
      <c r="F3021">
        <f>Sources!H3021</f>
        <v/>
      </c>
      <c r="G3021">
        <f>IF(ABS(F3021-ROUND(F3021,0))&lt;0.001,1,0)</f>
        <v/>
      </c>
      <c r="H3021">
        <f>IF(G3021=1,F3021,CEILING(F3021,1))</f>
        <v/>
      </c>
      <c r="I3021">
        <f>IF(G3021=1,0,(H3021-F3021)*E3021)</f>
        <v/>
      </c>
      <c r="J3021">
        <f>E3021*F3021</f>
        <v/>
      </c>
    </row>
    <row r="3022">
      <c r="A3022">
        <f>Sources!A3022</f>
        <v/>
      </c>
      <c r="B3022">
        <f>Sources!B3022</f>
        <v/>
      </c>
      <c r="C3022">
        <f>Sources!D3022</f>
        <v/>
      </c>
      <c r="D3022">
        <f>Sources!E3022</f>
        <v/>
      </c>
      <c r="E3022">
        <f>Sources!F3022</f>
        <v/>
      </c>
      <c r="F3022">
        <f>Sources!H3022</f>
        <v/>
      </c>
      <c r="G3022">
        <f>IF(ABS(F3022-ROUND(F3022,0))&lt;0.001,1,0)</f>
        <v/>
      </c>
      <c r="H3022">
        <f>IF(G3022=1,F3022,CEILING(F3022,1))</f>
        <v/>
      </c>
      <c r="I3022">
        <f>IF(G3022=1,0,(H3022-F3022)*E3022)</f>
        <v/>
      </c>
      <c r="J3022">
        <f>E3022*F3022</f>
        <v/>
      </c>
    </row>
    <row r="3023">
      <c r="A3023">
        <f>Sources!A3023</f>
        <v/>
      </c>
      <c r="B3023">
        <f>Sources!B3023</f>
        <v/>
      </c>
      <c r="C3023">
        <f>Sources!D3023</f>
        <v/>
      </c>
      <c r="D3023">
        <f>Sources!E3023</f>
        <v/>
      </c>
      <c r="E3023">
        <f>Sources!F3023</f>
        <v/>
      </c>
      <c r="F3023">
        <f>Sources!H3023</f>
        <v/>
      </c>
      <c r="G3023">
        <f>IF(ABS(F3023-ROUND(F3023,0))&lt;0.001,1,0)</f>
        <v/>
      </c>
      <c r="H3023">
        <f>IF(G3023=1,F3023,CEILING(F3023,1))</f>
        <v/>
      </c>
      <c r="I3023">
        <f>IF(G3023=1,0,(H3023-F3023)*E3023)</f>
        <v/>
      </c>
      <c r="J3023">
        <f>E3023*F3023</f>
        <v/>
      </c>
    </row>
    <row r="3024">
      <c r="A3024">
        <f>Sources!A3024</f>
        <v/>
      </c>
      <c r="B3024">
        <f>Sources!B3024</f>
        <v/>
      </c>
      <c r="C3024">
        <f>Sources!D3024</f>
        <v/>
      </c>
      <c r="D3024">
        <f>Sources!E3024</f>
        <v/>
      </c>
      <c r="E3024">
        <f>Sources!F3024</f>
        <v/>
      </c>
      <c r="F3024">
        <f>Sources!H3024</f>
        <v/>
      </c>
      <c r="G3024">
        <f>IF(ABS(F3024-ROUND(F3024,0))&lt;0.001,1,0)</f>
        <v/>
      </c>
      <c r="H3024">
        <f>IF(G3024=1,F3024,CEILING(F3024,1))</f>
        <v/>
      </c>
      <c r="I3024">
        <f>IF(G3024=1,0,(H3024-F3024)*E3024)</f>
        <v/>
      </c>
      <c r="J3024">
        <f>E3024*F3024</f>
        <v/>
      </c>
    </row>
    <row r="3025">
      <c r="A3025">
        <f>Sources!A3025</f>
        <v/>
      </c>
      <c r="B3025">
        <f>Sources!B3025</f>
        <v/>
      </c>
      <c r="C3025">
        <f>Sources!D3025</f>
        <v/>
      </c>
      <c r="D3025">
        <f>Sources!E3025</f>
        <v/>
      </c>
      <c r="E3025">
        <f>Sources!F3025</f>
        <v/>
      </c>
      <c r="F3025">
        <f>Sources!H3025</f>
        <v/>
      </c>
      <c r="G3025">
        <f>IF(ABS(F3025-ROUND(F3025,0))&lt;0.001,1,0)</f>
        <v/>
      </c>
      <c r="H3025">
        <f>IF(G3025=1,F3025,CEILING(F3025,1))</f>
        <v/>
      </c>
      <c r="I3025">
        <f>IF(G3025=1,0,(H3025-F3025)*E3025)</f>
        <v/>
      </c>
      <c r="J3025">
        <f>E3025*F3025</f>
        <v/>
      </c>
    </row>
    <row r="3026">
      <c r="A3026">
        <f>Sources!A3026</f>
        <v/>
      </c>
      <c r="B3026">
        <f>Sources!B3026</f>
        <v/>
      </c>
      <c r="C3026">
        <f>Sources!D3026</f>
        <v/>
      </c>
      <c r="D3026">
        <f>Sources!E3026</f>
        <v/>
      </c>
      <c r="E3026">
        <f>Sources!F3026</f>
        <v/>
      </c>
      <c r="F3026">
        <f>Sources!H3026</f>
        <v/>
      </c>
      <c r="G3026">
        <f>IF(ABS(F3026-ROUND(F3026,0))&lt;0.001,1,0)</f>
        <v/>
      </c>
      <c r="H3026">
        <f>IF(G3026=1,F3026,CEILING(F3026,1))</f>
        <v/>
      </c>
      <c r="I3026">
        <f>IF(G3026=1,0,(H3026-F3026)*E3026)</f>
        <v/>
      </c>
      <c r="J3026">
        <f>E3026*F3026</f>
        <v/>
      </c>
    </row>
    <row r="3027">
      <c r="A3027">
        <f>Sources!A3027</f>
        <v/>
      </c>
      <c r="B3027">
        <f>Sources!B3027</f>
        <v/>
      </c>
      <c r="C3027">
        <f>Sources!D3027</f>
        <v/>
      </c>
      <c r="D3027">
        <f>Sources!E3027</f>
        <v/>
      </c>
      <c r="E3027">
        <f>Sources!F3027</f>
        <v/>
      </c>
      <c r="F3027">
        <f>Sources!H3027</f>
        <v/>
      </c>
      <c r="G3027">
        <f>IF(ABS(F3027-ROUND(F3027,0))&lt;0.001,1,0)</f>
        <v/>
      </c>
      <c r="H3027">
        <f>IF(G3027=1,F3027,CEILING(F3027,1))</f>
        <v/>
      </c>
      <c r="I3027">
        <f>IF(G3027=1,0,(H3027-F3027)*E3027)</f>
        <v/>
      </c>
      <c r="J3027">
        <f>E3027*F3027</f>
        <v/>
      </c>
    </row>
    <row r="3028">
      <c r="A3028">
        <f>Sources!A3028</f>
        <v/>
      </c>
      <c r="B3028">
        <f>Sources!B3028</f>
        <v/>
      </c>
      <c r="C3028">
        <f>Sources!D3028</f>
        <v/>
      </c>
      <c r="D3028">
        <f>Sources!E3028</f>
        <v/>
      </c>
      <c r="E3028">
        <f>Sources!F3028</f>
        <v/>
      </c>
      <c r="F3028">
        <f>Sources!H3028</f>
        <v/>
      </c>
      <c r="G3028">
        <f>IF(ABS(F3028-ROUND(F3028,0))&lt;0.001,1,0)</f>
        <v/>
      </c>
      <c r="H3028">
        <f>IF(G3028=1,F3028,CEILING(F3028,1))</f>
        <v/>
      </c>
      <c r="I3028">
        <f>IF(G3028=1,0,(H3028-F3028)*E3028)</f>
        <v/>
      </c>
      <c r="J3028">
        <f>E3028*F3028</f>
        <v/>
      </c>
    </row>
    <row r="3029">
      <c r="A3029">
        <f>Sources!A3029</f>
        <v/>
      </c>
      <c r="B3029">
        <f>Sources!B3029</f>
        <v/>
      </c>
      <c r="C3029">
        <f>Sources!D3029</f>
        <v/>
      </c>
      <c r="D3029">
        <f>Sources!E3029</f>
        <v/>
      </c>
      <c r="E3029">
        <f>Sources!F3029</f>
        <v/>
      </c>
      <c r="F3029">
        <f>Sources!H3029</f>
        <v/>
      </c>
      <c r="G3029">
        <f>IF(ABS(F3029-ROUND(F3029,0))&lt;0.001,1,0)</f>
        <v/>
      </c>
      <c r="H3029">
        <f>IF(G3029=1,F3029,CEILING(F3029,1))</f>
        <v/>
      </c>
      <c r="I3029">
        <f>IF(G3029=1,0,(H3029-F3029)*E3029)</f>
        <v/>
      </c>
      <c r="J3029">
        <f>E3029*F3029</f>
        <v/>
      </c>
    </row>
    <row r="3030">
      <c r="A3030">
        <f>Sources!A3030</f>
        <v/>
      </c>
      <c r="B3030">
        <f>Sources!B3030</f>
        <v/>
      </c>
      <c r="C3030">
        <f>Sources!D3030</f>
        <v/>
      </c>
      <c r="D3030">
        <f>Sources!E3030</f>
        <v/>
      </c>
      <c r="E3030">
        <f>Sources!F3030</f>
        <v/>
      </c>
      <c r="F3030">
        <f>Sources!H3030</f>
        <v/>
      </c>
      <c r="G3030">
        <f>IF(ABS(F3030-ROUND(F3030,0))&lt;0.001,1,0)</f>
        <v/>
      </c>
      <c r="H3030">
        <f>IF(G3030=1,F3030,CEILING(F3030,1))</f>
        <v/>
      </c>
      <c r="I3030">
        <f>IF(G3030=1,0,(H3030-F3030)*E3030)</f>
        <v/>
      </c>
      <c r="J3030">
        <f>E3030*F3030</f>
        <v/>
      </c>
    </row>
    <row r="3031">
      <c r="A3031">
        <f>Sources!A3031</f>
        <v/>
      </c>
      <c r="B3031">
        <f>Sources!B3031</f>
        <v/>
      </c>
      <c r="C3031">
        <f>Sources!D3031</f>
        <v/>
      </c>
      <c r="D3031">
        <f>Sources!E3031</f>
        <v/>
      </c>
      <c r="E3031">
        <f>Sources!F3031</f>
        <v/>
      </c>
      <c r="F3031">
        <f>Sources!H3031</f>
        <v/>
      </c>
      <c r="G3031">
        <f>IF(ABS(F3031-ROUND(F3031,0))&lt;0.001,1,0)</f>
        <v/>
      </c>
      <c r="H3031">
        <f>IF(G3031=1,F3031,CEILING(F3031,1))</f>
        <v/>
      </c>
      <c r="I3031">
        <f>IF(G3031=1,0,(H3031-F3031)*E3031)</f>
        <v/>
      </c>
      <c r="J3031">
        <f>E3031*F3031</f>
        <v/>
      </c>
    </row>
    <row r="3032">
      <c r="A3032">
        <f>Sources!A3032</f>
        <v/>
      </c>
      <c r="B3032">
        <f>Sources!B3032</f>
        <v/>
      </c>
      <c r="C3032">
        <f>Sources!D3032</f>
        <v/>
      </c>
      <c r="D3032">
        <f>Sources!E3032</f>
        <v/>
      </c>
      <c r="E3032">
        <f>Sources!F3032</f>
        <v/>
      </c>
      <c r="F3032">
        <f>Sources!H3032</f>
        <v/>
      </c>
      <c r="G3032">
        <f>IF(ABS(F3032-ROUND(F3032,0))&lt;0.001,1,0)</f>
        <v/>
      </c>
      <c r="H3032">
        <f>IF(G3032=1,F3032,CEILING(F3032,1))</f>
        <v/>
      </c>
      <c r="I3032">
        <f>IF(G3032=1,0,(H3032-F3032)*E3032)</f>
        <v/>
      </c>
      <c r="J3032">
        <f>E3032*F3032</f>
        <v/>
      </c>
    </row>
    <row r="3033">
      <c r="A3033">
        <f>Sources!A3033</f>
        <v/>
      </c>
      <c r="B3033">
        <f>Sources!B3033</f>
        <v/>
      </c>
      <c r="C3033">
        <f>Sources!D3033</f>
        <v/>
      </c>
      <c r="D3033">
        <f>Sources!E3033</f>
        <v/>
      </c>
      <c r="E3033">
        <f>Sources!F3033</f>
        <v/>
      </c>
      <c r="F3033">
        <f>Sources!H3033</f>
        <v/>
      </c>
      <c r="G3033">
        <f>IF(ABS(F3033-ROUND(F3033,0))&lt;0.001,1,0)</f>
        <v/>
      </c>
      <c r="H3033">
        <f>IF(G3033=1,F3033,CEILING(F3033,1))</f>
        <v/>
      </c>
      <c r="I3033">
        <f>IF(G3033=1,0,(H3033-F3033)*E3033)</f>
        <v/>
      </c>
      <c r="J3033">
        <f>E3033*F3033</f>
        <v/>
      </c>
    </row>
    <row r="3034">
      <c r="A3034">
        <f>Sources!A3034</f>
        <v/>
      </c>
      <c r="B3034">
        <f>Sources!B3034</f>
        <v/>
      </c>
      <c r="C3034">
        <f>Sources!D3034</f>
        <v/>
      </c>
      <c r="D3034">
        <f>Sources!E3034</f>
        <v/>
      </c>
      <c r="E3034">
        <f>Sources!F3034</f>
        <v/>
      </c>
      <c r="F3034">
        <f>Sources!H3034</f>
        <v/>
      </c>
      <c r="G3034">
        <f>IF(ABS(F3034-ROUND(F3034,0))&lt;0.001,1,0)</f>
        <v/>
      </c>
      <c r="H3034">
        <f>IF(G3034=1,F3034,CEILING(F3034,1))</f>
        <v/>
      </c>
      <c r="I3034">
        <f>IF(G3034=1,0,(H3034-F3034)*E3034)</f>
        <v/>
      </c>
      <c r="J3034">
        <f>E3034*F3034</f>
        <v/>
      </c>
    </row>
    <row r="3035">
      <c r="A3035">
        <f>Sources!A3035</f>
        <v/>
      </c>
      <c r="B3035">
        <f>Sources!B3035</f>
        <v/>
      </c>
      <c r="C3035">
        <f>Sources!D3035</f>
        <v/>
      </c>
      <c r="D3035">
        <f>Sources!E3035</f>
        <v/>
      </c>
      <c r="E3035">
        <f>Sources!F3035</f>
        <v/>
      </c>
      <c r="F3035">
        <f>Sources!H3035</f>
        <v/>
      </c>
      <c r="G3035">
        <f>IF(ABS(F3035-ROUND(F3035,0))&lt;0.001,1,0)</f>
        <v/>
      </c>
      <c r="H3035">
        <f>IF(G3035=1,F3035,CEILING(F3035,1))</f>
        <v/>
      </c>
      <c r="I3035">
        <f>IF(G3035=1,0,(H3035-F3035)*E3035)</f>
        <v/>
      </c>
      <c r="J3035">
        <f>E3035*F3035</f>
        <v/>
      </c>
    </row>
    <row r="3036">
      <c r="A3036">
        <f>Sources!A3036</f>
        <v/>
      </c>
      <c r="B3036">
        <f>Sources!B3036</f>
        <v/>
      </c>
      <c r="C3036">
        <f>Sources!D3036</f>
        <v/>
      </c>
      <c r="D3036">
        <f>Sources!E3036</f>
        <v/>
      </c>
      <c r="E3036">
        <f>Sources!F3036</f>
        <v/>
      </c>
      <c r="F3036">
        <f>Sources!H3036</f>
        <v/>
      </c>
      <c r="G3036">
        <f>IF(ABS(F3036-ROUND(F3036,0))&lt;0.001,1,0)</f>
        <v/>
      </c>
      <c r="H3036">
        <f>IF(G3036=1,F3036,CEILING(F3036,1))</f>
        <v/>
      </c>
      <c r="I3036">
        <f>IF(G3036=1,0,(H3036-F3036)*E3036)</f>
        <v/>
      </c>
      <c r="J3036">
        <f>E3036*F3036</f>
        <v/>
      </c>
    </row>
    <row r="3037">
      <c r="A3037">
        <f>Sources!A3037</f>
        <v/>
      </c>
      <c r="B3037">
        <f>Sources!B3037</f>
        <v/>
      </c>
      <c r="C3037">
        <f>Sources!D3037</f>
        <v/>
      </c>
      <c r="D3037">
        <f>Sources!E3037</f>
        <v/>
      </c>
      <c r="E3037">
        <f>Sources!F3037</f>
        <v/>
      </c>
      <c r="F3037">
        <f>Sources!H3037</f>
        <v/>
      </c>
      <c r="G3037">
        <f>IF(ABS(F3037-ROUND(F3037,0))&lt;0.001,1,0)</f>
        <v/>
      </c>
      <c r="H3037">
        <f>IF(G3037=1,F3037,CEILING(F3037,1))</f>
        <v/>
      </c>
      <c r="I3037">
        <f>IF(G3037=1,0,(H3037-F3037)*E3037)</f>
        <v/>
      </c>
      <c r="J3037">
        <f>E3037*F3037</f>
        <v/>
      </c>
    </row>
    <row r="3038">
      <c r="A3038">
        <f>Sources!A3038</f>
        <v/>
      </c>
      <c r="B3038">
        <f>Sources!B3038</f>
        <v/>
      </c>
      <c r="C3038">
        <f>Sources!D3038</f>
        <v/>
      </c>
      <c r="D3038">
        <f>Sources!E3038</f>
        <v/>
      </c>
      <c r="E3038">
        <f>Sources!F3038</f>
        <v/>
      </c>
      <c r="F3038">
        <f>Sources!H3038</f>
        <v/>
      </c>
      <c r="G3038">
        <f>IF(ABS(F3038-ROUND(F3038,0))&lt;0.001,1,0)</f>
        <v/>
      </c>
      <c r="H3038">
        <f>IF(G3038=1,F3038,CEILING(F3038,1))</f>
        <v/>
      </c>
      <c r="I3038">
        <f>IF(G3038=1,0,(H3038-F3038)*E3038)</f>
        <v/>
      </c>
      <c r="J3038">
        <f>E3038*F3038</f>
        <v/>
      </c>
    </row>
    <row r="3039">
      <c r="A3039">
        <f>Sources!A3039</f>
        <v/>
      </c>
      <c r="B3039">
        <f>Sources!B3039</f>
        <v/>
      </c>
      <c r="C3039">
        <f>Sources!D3039</f>
        <v/>
      </c>
      <c r="D3039">
        <f>Sources!E3039</f>
        <v/>
      </c>
      <c r="E3039">
        <f>Sources!F3039</f>
        <v/>
      </c>
      <c r="F3039">
        <f>Sources!H3039</f>
        <v/>
      </c>
      <c r="G3039">
        <f>IF(ABS(F3039-ROUND(F3039,0))&lt;0.001,1,0)</f>
        <v/>
      </c>
      <c r="H3039">
        <f>IF(G3039=1,F3039,CEILING(F3039,1))</f>
        <v/>
      </c>
      <c r="I3039">
        <f>IF(G3039=1,0,(H3039-F3039)*E3039)</f>
        <v/>
      </c>
      <c r="J3039">
        <f>E3039*F3039</f>
        <v/>
      </c>
    </row>
    <row r="3040">
      <c r="A3040">
        <f>Sources!A3040</f>
        <v/>
      </c>
      <c r="B3040">
        <f>Sources!B3040</f>
        <v/>
      </c>
      <c r="C3040">
        <f>Sources!D3040</f>
        <v/>
      </c>
      <c r="D3040">
        <f>Sources!E3040</f>
        <v/>
      </c>
      <c r="E3040">
        <f>Sources!F3040</f>
        <v/>
      </c>
      <c r="F3040">
        <f>Sources!H3040</f>
        <v/>
      </c>
      <c r="G3040">
        <f>IF(ABS(F3040-ROUND(F3040,0))&lt;0.001,1,0)</f>
        <v/>
      </c>
      <c r="H3040">
        <f>IF(G3040=1,F3040,CEILING(F3040,1))</f>
        <v/>
      </c>
      <c r="I3040">
        <f>IF(G3040=1,0,(H3040-F3040)*E3040)</f>
        <v/>
      </c>
      <c r="J3040">
        <f>E3040*F3040</f>
        <v/>
      </c>
    </row>
    <row r="3041">
      <c r="A3041">
        <f>Sources!A3041</f>
        <v/>
      </c>
      <c r="B3041">
        <f>Sources!B3041</f>
        <v/>
      </c>
      <c r="C3041">
        <f>Sources!D3041</f>
        <v/>
      </c>
      <c r="D3041">
        <f>Sources!E3041</f>
        <v/>
      </c>
      <c r="E3041">
        <f>Sources!F3041</f>
        <v/>
      </c>
      <c r="F3041">
        <f>Sources!H3041</f>
        <v/>
      </c>
      <c r="G3041">
        <f>IF(ABS(F3041-ROUND(F3041,0))&lt;0.001,1,0)</f>
        <v/>
      </c>
      <c r="H3041">
        <f>IF(G3041=1,F3041,CEILING(F3041,1))</f>
        <v/>
      </c>
      <c r="I3041">
        <f>IF(G3041=1,0,(H3041-F3041)*E3041)</f>
        <v/>
      </c>
      <c r="J3041">
        <f>E3041*F3041</f>
        <v/>
      </c>
    </row>
    <row r="3042">
      <c r="A3042">
        <f>Sources!A3042</f>
        <v/>
      </c>
      <c r="B3042">
        <f>Sources!B3042</f>
        <v/>
      </c>
      <c r="C3042">
        <f>Sources!D3042</f>
        <v/>
      </c>
      <c r="D3042">
        <f>Sources!E3042</f>
        <v/>
      </c>
      <c r="E3042">
        <f>Sources!F3042</f>
        <v/>
      </c>
      <c r="F3042">
        <f>Sources!H3042</f>
        <v/>
      </c>
      <c r="G3042">
        <f>IF(ABS(F3042-ROUND(F3042,0))&lt;0.001,1,0)</f>
        <v/>
      </c>
      <c r="H3042">
        <f>IF(G3042=1,F3042,CEILING(F3042,1))</f>
        <v/>
      </c>
      <c r="I3042">
        <f>IF(G3042=1,0,(H3042-F3042)*E3042)</f>
        <v/>
      </c>
      <c r="J3042">
        <f>E3042*F3042</f>
        <v/>
      </c>
    </row>
    <row r="3043">
      <c r="A3043">
        <f>Sources!A3043</f>
        <v/>
      </c>
      <c r="B3043">
        <f>Sources!B3043</f>
        <v/>
      </c>
      <c r="C3043">
        <f>Sources!D3043</f>
        <v/>
      </c>
      <c r="D3043">
        <f>Sources!E3043</f>
        <v/>
      </c>
      <c r="E3043">
        <f>Sources!F3043</f>
        <v/>
      </c>
      <c r="F3043">
        <f>Sources!H3043</f>
        <v/>
      </c>
      <c r="G3043">
        <f>IF(ABS(F3043-ROUND(F3043,0))&lt;0.001,1,0)</f>
        <v/>
      </c>
      <c r="H3043">
        <f>IF(G3043=1,F3043,CEILING(F3043,1))</f>
        <v/>
      </c>
      <c r="I3043">
        <f>IF(G3043=1,0,(H3043-F3043)*E3043)</f>
        <v/>
      </c>
      <c r="J3043">
        <f>E3043*F3043</f>
        <v/>
      </c>
    </row>
    <row r="3044">
      <c r="A3044">
        <f>Sources!A3044</f>
        <v/>
      </c>
      <c r="B3044">
        <f>Sources!B3044</f>
        <v/>
      </c>
      <c r="C3044">
        <f>Sources!D3044</f>
        <v/>
      </c>
      <c r="D3044">
        <f>Sources!E3044</f>
        <v/>
      </c>
      <c r="E3044">
        <f>Sources!F3044</f>
        <v/>
      </c>
      <c r="F3044">
        <f>Sources!H3044</f>
        <v/>
      </c>
      <c r="G3044">
        <f>IF(ABS(F3044-ROUND(F3044,0))&lt;0.001,1,0)</f>
        <v/>
      </c>
      <c r="H3044">
        <f>IF(G3044=1,F3044,CEILING(F3044,1))</f>
        <v/>
      </c>
      <c r="I3044">
        <f>IF(G3044=1,0,(H3044-F3044)*E3044)</f>
        <v/>
      </c>
      <c r="J3044">
        <f>E3044*F3044</f>
        <v/>
      </c>
    </row>
    <row r="3045">
      <c r="A3045">
        <f>Sources!A3045</f>
        <v/>
      </c>
      <c r="B3045">
        <f>Sources!B3045</f>
        <v/>
      </c>
      <c r="C3045">
        <f>Sources!D3045</f>
        <v/>
      </c>
      <c r="D3045">
        <f>Sources!E3045</f>
        <v/>
      </c>
      <c r="E3045">
        <f>Sources!F3045</f>
        <v/>
      </c>
      <c r="F3045">
        <f>Sources!H3045</f>
        <v/>
      </c>
      <c r="G3045">
        <f>IF(ABS(F3045-ROUND(F3045,0))&lt;0.001,1,0)</f>
        <v/>
      </c>
      <c r="H3045">
        <f>IF(G3045=1,F3045,CEILING(F3045,1))</f>
        <v/>
      </c>
      <c r="I3045">
        <f>IF(G3045=1,0,(H3045-F3045)*E3045)</f>
        <v/>
      </c>
      <c r="J3045">
        <f>E3045*F3045</f>
        <v/>
      </c>
    </row>
    <row r="3046">
      <c r="A3046">
        <f>Sources!A3046</f>
        <v/>
      </c>
      <c r="B3046">
        <f>Sources!B3046</f>
        <v/>
      </c>
      <c r="C3046">
        <f>Sources!D3046</f>
        <v/>
      </c>
      <c r="D3046">
        <f>Sources!E3046</f>
        <v/>
      </c>
      <c r="E3046">
        <f>Sources!F3046</f>
        <v/>
      </c>
      <c r="F3046">
        <f>Sources!H3046</f>
        <v/>
      </c>
      <c r="G3046">
        <f>IF(ABS(F3046-ROUND(F3046,0))&lt;0.001,1,0)</f>
        <v/>
      </c>
      <c r="H3046">
        <f>IF(G3046=1,F3046,CEILING(F3046,1))</f>
        <v/>
      </c>
      <c r="I3046">
        <f>IF(G3046=1,0,(H3046-F3046)*E3046)</f>
        <v/>
      </c>
      <c r="J3046">
        <f>E3046*F3046</f>
        <v/>
      </c>
    </row>
    <row r="3047">
      <c r="A3047">
        <f>Sources!A3047</f>
        <v/>
      </c>
      <c r="B3047">
        <f>Sources!B3047</f>
        <v/>
      </c>
      <c r="C3047">
        <f>Sources!D3047</f>
        <v/>
      </c>
      <c r="D3047">
        <f>Sources!E3047</f>
        <v/>
      </c>
      <c r="E3047">
        <f>Sources!F3047</f>
        <v/>
      </c>
      <c r="F3047">
        <f>Sources!H3047</f>
        <v/>
      </c>
      <c r="G3047">
        <f>IF(ABS(F3047-ROUND(F3047,0))&lt;0.001,1,0)</f>
        <v/>
      </c>
      <c r="H3047">
        <f>IF(G3047=1,F3047,CEILING(F3047,1))</f>
        <v/>
      </c>
      <c r="I3047">
        <f>IF(G3047=1,0,(H3047-F3047)*E3047)</f>
        <v/>
      </c>
      <c r="J3047">
        <f>E3047*F3047</f>
        <v/>
      </c>
    </row>
    <row r="3048">
      <c r="A3048">
        <f>Sources!A3048</f>
        <v/>
      </c>
      <c r="B3048">
        <f>Sources!B3048</f>
        <v/>
      </c>
      <c r="C3048">
        <f>Sources!D3048</f>
        <v/>
      </c>
      <c r="D3048">
        <f>Sources!E3048</f>
        <v/>
      </c>
      <c r="E3048">
        <f>Sources!F3048</f>
        <v/>
      </c>
      <c r="F3048">
        <f>Sources!H3048</f>
        <v/>
      </c>
      <c r="G3048">
        <f>IF(ABS(F3048-ROUND(F3048,0))&lt;0.001,1,0)</f>
        <v/>
      </c>
      <c r="H3048">
        <f>IF(G3048=1,F3048,CEILING(F3048,1))</f>
        <v/>
      </c>
      <c r="I3048">
        <f>IF(G3048=1,0,(H3048-F3048)*E3048)</f>
        <v/>
      </c>
      <c r="J3048">
        <f>E3048*F3048</f>
        <v/>
      </c>
    </row>
    <row r="3049">
      <c r="A3049">
        <f>Sources!A3049</f>
        <v/>
      </c>
      <c r="B3049">
        <f>Sources!B3049</f>
        <v/>
      </c>
      <c r="C3049">
        <f>Sources!D3049</f>
        <v/>
      </c>
      <c r="D3049">
        <f>Sources!E3049</f>
        <v/>
      </c>
      <c r="E3049">
        <f>Sources!F3049</f>
        <v/>
      </c>
      <c r="F3049">
        <f>Sources!H3049</f>
        <v/>
      </c>
      <c r="G3049">
        <f>IF(ABS(F3049-ROUND(F3049,0))&lt;0.001,1,0)</f>
        <v/>
      </c>
      <c r="H3049">
        <f>IF(G3049=1,F3049,CEILING(F3049,1))</f>
        <v/>
      </c>
      <c r="I3049">
        <f>IF(G3049=1,0,(H3049-F3049)*E3049)</f>
        <v/>
      </c>
      <c r="J3049">
        <f>E3049*F3049</f>
        <v/>
      </c>
    </row>
    <row r="3050">
      <c r="A3050">
        <f>Sources!A3050</f>
        <v/>
      </c>
      <c r="B3050">
        <f>Sources!B3050</f>
        <v/>
      </c>
      <c r="C3050">
        <f>Sources!D3050</f>
        <v/>
      </c>
      <c r="D3050">
        <f>Sources!E3050</f>
        <v/>
      </c>
      <c r="E3050">
        <f>Sources!F3050</f>
        <v/>
      </c>
      <c r="F3050">
        <f>Sources!H3050</f>
        <v/>
      </c>
      <c r="G3050">
        <f>IF(ABS(F3050-ROUND(F3050,0))&lt;0.001,1,0)</f>
        <v/>
      </c>
      <c r="H3050">
        <f>IF(G3050=1,F3050,CEILING(F3050,1))</f>
        <v/>
      </c>
      <c r="I3050">
        <f>IF(G3050=1,0,(H3050-F3050)*E3050)</f>
        <v/>
      </c>
      <c r="J3050">
        <f>E3050*F3050</f>
        <v/>
      </c>
    </row>
    <row r="3051">
      <c r="A3051">
        <f>Sources!A3051</f>
        <v/>
      </c>
      <c r="B3051">
        <f>Sources!B3051</f>
        <v/>
      </c>
      <c r="C3051">
        <f>Sources!D3051</f>
        <v/>
      </c>
      <c r="D3051">
        <f>Sources!E3051</f>
        <v/>
      </c>
      <c r="E3051">
        <f>Sources!F3051</f>
        <v/>
      </c>
      <c r="F3051">
        <f>Sources!H3051</f>
        <v/>
      </c>
      <c r="G3051">
        <f>IF(ABS(F3051-ROUND(F3051,0))&lt;0.001,1,0)</f>
        <v/>
      </c>
      <c r="H3051">
        <f>IF(G3051=1,F3051,CEILING(F3051,1))</f>
        <v/>
      </c>
      <c r="I3051">
        <f>IF(G3051=1,0,(H3051-F3051)*E3051)</f>
        <v/>
      </c>
      <c r="J3051">
        <f>E3051*F3051</f>
        <v/>
      </c>
    </row>
    <row r="3052">
      <c r="A3052">
        <f>Sources!A3052</f>
        <v/>
      </c>
      <c r="B3052">
        <f>Sources!B3052</f>
        <v/>
      </c>
      <c r="C3052">
        <f>Sources!D3052</f>
        <v/>
      </c>
      <c r="D3052">
        <f>Sources!E3052</f>
        <v/>
      </c>
      <c r="E3052">
        <f>Sources!F3052</f>
        <v/>
      </c>
      <c r="F3052">
        <f>Sources!H3052</f>
        <v/>
      </c>
      <c r="G3052">
        <f>IF(ABS(F3052-ROUND(F3052,0))&lt;0.001,1,0)</f>
        <v/>
      </c>
      <c r="H3052">
        <f>IF(G3052=1,F3052,CEILING(F3052,1))</f>
        <v/>
      </c>
      <c r="I3052">
        <f>IF(G3052=1,0,(H3052-F3052)*E3052)</f>
        <v/>
      </c>
      <c r="J3052">
        <f>E3052*F3052</f>
        <v/>
      </c>
    </row>
    <row r="3053">
      <c r="A3053">
        <f>Sources!A3053</f>
        <v/>
      </c>
      <c r="B3053">
        <f>Sources!B3053</f>
        <v/>
      </c>
      <c r="C3053">
        <f>Sources!D3053</f>
        <v/>
      </c>
      <c r="D3053">
        <f>Sources!E3053</f>
        <v/>
      </c>
      <c r="E3053">
        <f>Sources!F3053</f>
        <v/>
      </c>
      <c r="F3053">
        <f>Sources!H3053</f>
        <v/>
      </c>
      <c r="G3053">
        <f>IF(ABS(F3053-ROUND(F3053,0))&lt;0.001,1,0)</f>
        <v/>
      </c>
      <c r="H3053">
        <f>IF(G3053=1,F3053,CEILING(F3053,1))</f>
        <v/>
      </c>
      <c r="I3053">
        <f>IF(G3053=1,0,(H3053-F3053)*E3053)</f>
        <v/>
      </c>
      <c r="J3053">
        <f>E3053*F3053</f>
        <v/>
      </c>
    </row>
    <row r="3054">
      <c r="A3054">
        <f>Sources!A3054</f>
        <v/>
      </c>
      <c r="B3054">
        <f>Sources!B3054</f>
        <v/>
      </c>
      <c r="C3054">
        <f>Sources!D3054</f>
        <v/>
      </c>
      <c r="D3054">
        <f>Sources!E3054</f>
        <v/>
      </c>
      <c r="E3054">
        <f>Sources!F3054</f>
        <v/>
      </c>
      <c r="F3054">
        <f>Sources!H3054</f>
        <v/>
      </c>
      <c r="G3054">
        <f>IF(ABS(F3054-ROUND(F3054,0))&lt;0.001,1,0)</f>
        <v/>
      </c>
      <c r="H3054">
        <f>IF(G3054=1,F3054,CEILING(F3054,1))</f>
        <v/>
      </c>
      <c r="I3054">
        <f>IF(G3054=1,0,(H3054-F3054)*E3054)</f>
        <v/>
      </c>
      <c r="J3054">
        <f>E3054*F3054</f>
        <v/>
      </c>
    </row>
    <row r="3055">
      <c r="A3055">
        <f>Sources!A3055</f>
        <v/>
      </c>
      <c r="B3055">
        <f>Sources!B3055</f>
        <v/>
      </c>
      <c r="C3055">
        <f>Sources!D3055</f>
        <v/>
      </c>
      <c r="D3055">
        <f>Sources!E3055</f>
        <v/>
      </c>
      <c r="E3055">
        <f>Sources!F3055</f>
        <v/>
      </c>
      <c r="F3055">
        <f>Sources!H3055</f>
        <v/>
      </c>
      <c r="G3055">
        <f>IF(ABS(F3055-ROUND(F3055,0))&lt;0.001,1,0)</f>
        <v/>
      </c>
      <c r="H3055">
        <f>IF(G3055=1,F3055,CEILING(F3055,1))</f>
        <v/>
      </c>
      <c r="I3055">
        <f>IF(G3055=1,0,(H3055-F3055)*E3055)</f>
        <v/>
      </c>
      <c r="J3055">
        <f>E3055*F3055</f>
        <v/>
      </c>
    </row>
    <row r="3056">
      <c r="A3056">
        <f>Sources!A3056</f>
        <v/>
      </c>
      <c r="B3056">
        <f>Sources!B3056</f>
        <v/>
      </c>
      <c r="C3056">
        <f>Sources!D3056</f>
        <v/>
      </c>
      <c r="D3056">
        <f>Sources!E3056</f>
        <v/>
      </c>
      <c r="E3056">
        <f>Sources!F3056</f>
        <v/>
      </c>
      <c r="F3056">
        <f>Sources!H3056</f>
        <v/>
      </c>
      <c r="G3056">
        <f>IF(ABS(F3056-ROUND(F3056,0))&lt;0.001,1,0)</f>
        <v/>
      </c>
      <c r="H3056">
        <f>IF(G3056=1,F3056,CEILING(F3056,1))</f>
        <v/>
      </c>
      <c r="I3056">
        <f>IF(G3056=1,0,(H3056-F3056)*E3056)</f>
        <v/>
      </c>
      <c r="J3056">
        <f>E3056*F3056</f>
        <v/>
      </c>
    </row>
    <row r="3057">
      <c r="A3057">
        <f>Sources!A3057</f>
        <v/>
      </c>
      <c r="B3057">
        <f>Sources!B3057</f>
        <v/>
      </c>
      <c r="C3057">
        <f>Sources!D3057</f>
        <v/>
      </c>
      <c r="D3057">
        <f>Sources!E3057</f>
        <v/>
      </c>
      <c r="E3057">
        <f>Sources!F3057</f>
        <v/>
      </c>
      <c r="F3057">
        <f>Sources!H3057</f>
        <v/>
      </c>
      <c r="G3057">
        <f>IF(ABS(F3057-ROUND(F3057,0))&lt;0.001,1,0)</f>
        <v/>
      </c>
      <c r="H3057">
        <f>IF(G3057=1,F3057,CEILING(F3057,1))</f>
        <v/>
      </c>
      <c r="I3057">
        <f>IF(G3057=1,0,(H3057-F3057)*E3057)</f>
        <v/>
      </c>
      <c r="J3057">
        <f>E3057*F3057</f>
        <v/>
      </c>
    </row>
    <row r="3058">
      <c r="A3058">
        <f>Sources!A3058</f>
        <v/>
      </c>
      <c r="B3058">
        <f>Sources!B3058</f>
        <v/>
      </c>
      <c r="C3058">
        <f>Sources!D3058</f>
        <v/>
      </c>
      <c r="D3058">
        <f>Sources!E3058</f>
        <v/>
      </c>
      <c r="E3058">
        <f>Sources!F3058</f>
        <v/>
      </c>
      <c r="F3058">
        <f>Sources!H3058</f>
        <v/>
      </c>
      <c r="G3058">
        <f>IF(ABS(F3058-ROUND(F3058,0))&lt;0.001,1,0)</f>
        <v/>
      </c>
      <c r="H3058">
        <f>IF(G3058=1,F3058,CEILING(F3058,1))</f>
        <v/>
      </c>
      <c r="I3058">
        <f>IF(G3058=1,0,(H3058-F3058)*E3058)</f>
        <v/>
      </c>
      <c r="J3058">
        <f>E3058*F3058</f>
        <v/>
      </c>
    </row>
    <row r="3059">
      <c r="A3059">
        <f>Sources!A3059</f>
        <v/>
      </c>
      <c r="B3059">
        <f>Sources!B3059</f>
        <v/>
      </c>
      <c r="C3059">
        <f>Sources!D3059</f>
        <v/>
      </c>
      <c r="D3059">
        <f>Sources!E3059</f>
        <v/>
      </c>
      <c r="E3059">
        <f>Sources!F3059</f>
        <v/>
      </c>
      <c r="F3059">
        <f>Sources!H3059</f>
        <v/>
      </c>
      <c r="G3059">
        <f>IF(ABS(F3059-ROUND(F3059,0))&lt;0.001,1,0)</f>
        <v/>
      </c>
      <c r="H3059">
        <f>IF(G3059=1,F3059,CEILING(F3059,1))</f>
        <v/>
      </c>
      <c r="I3059">
        <f>IF(G3059=1,0,(H3059-F3059)*E3059)</f>
        <v/>
      </c>
      <c r="J3059">
        <f>E3059*F3059</f>
        <v/>
      </c>
    </row>
    <row r="3060">
      <c r="A3060">
        <f>Sources!A3060</f>
        <v/>
      </c>
      <c r="B3060">
        <f>Sources!B3060</f>
        <v/>
      </c>
      <c r="C3060">
        <f>Sources!D3060</f>
        <v/>
      </c>
      <c r="D3060">
        <f>Sources!E3060</f>
        <v/>
      </c>
      <c r="E3060">
        <f>Sources!F3060</f>
        <v/>
      </c>
      <c r="F3060">
        <f>Sources!H3060</f>
        <v/>
      </c>
      <c r="G3060">
        <f>IF(ABS(F3060-ROUND(F3060,0))&lt;0.001,1,0)</f>
        <v/>
      </c>
      <c r="H3060">
        <f>IF(G3060=1,F3060,CEILING(F3060,1))</f>
        <v/>
      </c>
      <c r="I3060">
        <f>IF(G3060=1,0,(H3060-F3060)*E3060)</f>
        <v/>
      </c>
      <c r="J3060">
        <f>E3060*F3060</f>
        <v/>
      </c>
    </row>
    <row r="3061">
      <c r="A3061">
        <f>Sources!A3061</f>
        <v/>
      </c>
      <c r="B3061">
        <f>Sources!B3061</f>
        <v/>
      </c>
      <c r="C3061">
        <f>Sources!D3061</f>
        <v/>
      </c>
      <c r="D3061">
        <f>Sources!E3061</f>
        <v/>
      </c>
      <c r="E3061">
        <f>Sources!F3061</f>
        <v/>
      </c>
      <c r="F3061">
        <f>Sources!H3061</f>
        <v/>
      </c>
      <c r="G3061">
        <f>IF(ABS(F3061-ROUND(F3061,0))&lt;0.001,1,0)</f>
        <v/>
      </c>
      <c r="H3061">
        <f>IF(G3061=1,F3061,CEILING(F3061,1))</f>
        <v/>
      </c>
      <c r="I3061">
        <f>IF(G3061=1,0,(H3061-F3061)*E3061)</f>
        <v/>
      </c>
      <c r="J3061">
        <f>E3061*F3061</f>
        <v/>
      </c>
    </row>
    <row r="3062">
      <c r="A3062">
        <f>Sources!A3062</f>
        <v/>
      </c>
      <c r="B3062">
        <f>Sources!B3062</f>
        <v/>
      </c>
      <c r="C3062">
        <f>Sources!D3062</f>
        <v/>
      </c>
      <c r="D3062">
        <f>Sources!E3062</f>
        <v/>
      </c>
      <c r="E3062">
        <f>Sources!F3062</f>
        <v/>
      </c>
      <c r="F3062">
        <f>Sources!H3062</f>
        <v/>
      </c>
      <c r="G3062">
        <f>IF(ABS(F3062-ROUND(F3062,0))&lt;0.001,1,0)</f>
        <v/>
      </c>
      <c r="H3062">
        <f>IF(G3062=1,F3062,CEILING(F3062,1))</f>
        <v/>
      </c>
      <c r="I3062">
        <f>IF(G3062=1,0,(H3062-F3062)*E3062)</f>
        <v/>
      </c>
      <c r="J3062">
        <f>E3062*F3062</f>
        <v/>
      </c>
    </row>
    <row r="3063">
      <c r="A3063">
        <f>Sources!A3063</f>
        <v/>
      </c>
      <c r="B3063">
        <f>Sources!B3063</f>
        <v/>
      </c>
      <c r="C3063">
        <f>Sources!D3063</f>
        <v/>
      </c>
      <c r="D3063">
        <f>Sources!E3063</f>
        <v/>
      </c>
      <c r="E3063">
        <f>Sources!F3063</f>
        <v/>
      </c>
      <c r="F3063">
        <f>Sources!H3063</f>
        <v/>
      </c>
      <c r="G3063">
        <f>IF(ABS(F3063-ROUND(F3063,0))&lt;0.001,1,0)</f>
        <v/>
      </c>
      <c r="H3063">
        <f>IF(G3063=1,F3063,CEILING(F3063,1))</f>
        <v/>
      </c>
      <c r="I3063">
        <f>IF(G3063=1,0,(H3063-F3063)*E3063)</f>
        <v/>
      </c>
      <c r="J3063">
        <f>E3063*F3063</f>
        <v/>
      </c>
    </row>
    <row r="3064">
      <c r="A3064">
        <f>Sources!A3064</f>
        <v/>
      </c>
      <c r="B3064">
        <f>Sources!B3064</f>
        <v/>
      </c>
      <c r="C3064">
        <f>Sources!D3064</f>
        <v/>
      </c>
      <c r="D3064">
        <f>Sources!E3064</f>
        <v/>
      </c>
      <c r="E3064">
        <f>Sources!F3064</f>
        <v/>
      </c>
      <c r="F3064">
        <f>Sources!H3064</f>
        <v/>
      </c>
      <c r="G3064">
        <f>IF(ABS(F3064-ROUND(F3064,0))&lt;0.001,1,0)</f>
        <v/>
      </c>
      <c r="H3064">
        <f>IF(G3064=1,F3064,CEILING(F3064,1))</f>
        <v/>
      </c>
      <c r="I3064">
        <f>IF(G3064=1,0,(H3064-F3064)*E3064)</f>
        <v/>
      </c>
      <c r="J3064">
        <f>E3064*F3064</f>
        <v/>
      </c>
    </row>
    <row r="3065">
      <c r="A3065">
        <f>Sources!A3065</f>
        <v/>
      </c>
      <c r="B3065">
        <f>Sources!B3065</f>
        <v/>
      </c>
      <c r="C3065">
        <f>Sources!D3065</f>
        <v/>
      </c>
      <c r="D3065">
        <f>Sources!E3065</f>
        <v/>
      </c>
      <c r="E3065">
        <f>Sources!F3065</f>
        <v/>
      </c>
      <c r="F3065">
        <f>Sources!H3065</f>
        <v/>
      </c>
      <c r="G3065">
        <f>IF(ABS(F3065-ROUND(F3065,0))&lt;0.001,1,0)</f>
        <v/>
      </c>
      <c r="H3065">
        <f>IF(G3065=1,F3065,CEILING(F3065,1))</f>
        <v/>
      </c>
      <c r="I3065">
        <f>IF(G3065=1,0,(H3065-F3065)*E3065)</f>
        <v/>
      </c>
      <c r="J3065">
        <f>E3065*F3065</f>
        <v/>
      </c>
    </row>
    <row r="3066">
      <c r="A3066">
        <f>Sources!A3066</f>
        <v/>
      </c>
      <c r="B3066">
        <f>Sources!B3066</f>
        <v/>
      </c>
      <c r="C3066">
        <f>Sources!D3066</f>
        <v/>
      </c>
      <c r="D3066">
        <f>Sources!E3066</f>
        <v/>
      </c>
      <c r="E3066">
        <f>Sources!F3066</f>
        <v/>
      </c>
      <c r="F3066">
        <f>Sources!H3066</f>
        <v/>
      </c>
      <c r="G3066">
        <f>IF(ABS(F3066-ROUND(F3066,0))&lt;0.001,1,0)</f>
        <v/>
      </c>
      <c r="H3066">
        <f>IF(G3066=1,F3066,CEILING(F3066,1))</f>
        <v/>
      </c>
      <c r="I3066">
        <f>IF(G3066=1,0,(H3066-F3066)*E3066)</f>
        <v/>
      </c>
      <c r="J3066">
        <f>E3066*F3066</f>
        <v/>
      </c>
    </row>
    <row r="3067">
      <c r="A3067">
        <f>Sources!A3067</f>
        <v/>
      </c>
      <c r="B3067">
        <f>Sources!B3067</f>
        <v/>
      </c>
      <c r="C3067">
        <f>Sources!D3067</f>
        <v/>
      </c>
      <c r="D3067">
        <f>Sources!E3067</f>
        <v/>
      </c>
      <c r="E3067">
        <f>Sources!F3067</f>
        <v/>
      </c>
      <c r="F3067">
        <f>Sources!H3067</f>
        <v/>
      </c>
      <c r="G3067">
        <f>IF(ABS(F3067-ROUND(F3067,0))&lt;0.001,1,0)</f>
        <v/>
      </c>
      <c r="H3067">
        <f>IF(G3067=1,F3067,CEILING(F3067,1))</f>
        <v/>
      </c>
      <c r="I3067">
        <f>IF(G3067=1,0,(H3067-F3067)*E3067)</f>
        <v/>
      </c>
      <c r="J3067">
        <f>E3067*F3067</f>
        <v/>
      </c>
    </row>
    <row r="3068">
      <c r="A3068">
        <f>Sources!A3068</f>
        <v/>
      </c>
      <c r="B3068">
        <f>Sources!B3068</f>
        <v/>
      </c>
      <c r="C3068">
        <f>Sources!D3068</f>
        <v/>
      </c>
      <c r="D3068">
        <f>Sources!E3068</f>
        <v/>
      </c>
      <c r="E3068">
        <f>Sources!F3068</f>
        <v/>
      </c>
      <c r="F3068">
        <f>Sources!H3068</f>
        <v/>
      </c>
      <c r="G3068">
        <f>IF(ABS(F3068-ROUND(F3068,0))&lt;0.001,1,0)</f>
        <v/>
      </c>
      <c r="H3068">
        <f>IF(G3068=1,F3068,CEILING(F3068,1))</f>
        <v/>
      </c>
      <c r="I3068">
        <f>IF(G3068=1,0,(H3068-F3068)*E3068)</f>
        <v/>
      </c>
      <c r="J3068">
        <f>E3068*F3068</f>
        <v/>
      </c>
    </row>
    <row r="3069">
      <c r="A3069">
        <f>Sources!A3069</f>
        <v/>
      </c>
      <c r="B3069">
        <f>Sources!B3069</f>
        <v/>
      </c>
      <c r="C3069">
        <f>Sources!D3069</f>
        <v/>
      </c>
      <c r="D3069">
        <f>Sources!E3069</f>
        <v/>
      </c>
      <c r="E3069">
        <f>Sources!F3069</f>
        <v/>
      </c>
      <c r="F3069">
        <f>Sources!H3069</f>
        <v/>
      </c>
      <c r="G3069">
        <f>IF(ABS(F3069-ROUND(F3069,0))&lt;0.001,1,0)</f>
        <v/>
      </c>
      <c r="H3069">
        <f>IF(G3069=1,F3069,CEILING(F3069,1))</f>
        <v/>
      </c>
      <c r="I3069">
        <f>IF(G3069=1,0,(H3069-F3069)*E3069)</f>
        <v/>
      </c>
      <c r="J3069">
        <f>E3069*F3069</f>
        <v/>
      </c>
    </row>
    <row r="3070">
      <c r="A3070">
        <f>Sources!A3070</f>
        <v/>
      </c>
      <c r="B3070">
        <f>Sources!B3070</f>
        <v/>
      </c>
      <c r="C3070">
        <f>Sources!D3070</f>
        <v/>
      </c>
      <c r="D3070">
        <f>Sources!E3070</f>
        <v/>
      </c>
      <c r="E3070">
        <f>Sources!F3070</f>
        <v/>
      </c>
      <c r="F3070">
        <f>Sources!H3070</f>
        <v/>
      </c>
      <c r="G3070">
        <f>IF(ABS(F3070-ROUND(F3070,0))&lt;0.001,1,0)</f>
        <v/>
      </c>
      <c r="H3070">
        <f>IF(G3070=1,F3070,CEILING(F3070,1))</f>
        <v/>
      </c>
      <c r="I3070">
        <f>IF(G3070=1,0,(H3070-F3070)*E3070)</f>
        <v/>
      </c>
      <c r="J3070">
        <f>E3070*F3070</f>
        <v/>
      </c>
    </row>
    <row r="3071">
      <c r="A3071">
        <f>Sources!A3071</f>
        <v/>
      </c>
      <c r="B3071">
        <f>Sources!B3071</f>
        <v/>
      </c>
      <c r="C3071">
        <f>Sources!D3071</f>
        <v/>
      </c>
      <c r="D3071">
        <f>Sources!E3071</f>
        <v/>
      </c>
      <c r="E3071">
        <f>Sources!F3071</f>
        <v/>
      </c>
      <c r="F3071">
        <f>Sources!H3071</f>
        <v/>
      </c>
      <c r="G3071">
        <f>IF(ABS(F3071-ROUND(F3071,0))&lt;0.001,1,0)</f>
        <v/>
      </c>
      <c r="H3071">
        <f>IF(G3071=1,F3071,CEILING(F3071,1))</f>
        <v/>
      </c>
      <c r="I3071">
        <f>IF(G3071=1,0,(H3071-F3071)*E3071)</f>
        <v/>
      </c>
      <c r="J3071">
        <f>E3071*F3071</f>
        <v/>
      </c>
    </row>
    <row r="3072">
      <c r="A3072">
        <f>Sources!A3072</f>
        <v/>
      </c>
      <c r="B3072">
        <f>Sources!B3072</f>
        <v/>
      </c>
      <c r="C3072">
        <f>Sources!D3072</f>
        <v/>
      </c>
      <c r="D3072">
        <f>Sources!E3072</f>
        <v/>
      </c>
      <c r="E3072">
        <f>Sources!F3072</f>
        <v/>
      </c>
      <c r="F3072">
        <f>Sources!H3072</f>
        <v/>
      </c>
      <c r="G3072">
        <f>IF(ABS(F3072-ROUND(F3072,0))&lt;0.001,1,0)</f>
        <v/>
      </c>
      <c r="H3072">
        <f>IF(G3072=1,F3072,CEILING(F3072,1))</f>
        <v/>
      </c>
      <c r="I3072">
        <f>IF(G3072=1,0,(H3072-F3072)*E3072)</f>
        <v/>
      </c>
      <c r="J3072">
        <f>E3072*F3072</f>
        <v/>
      </c>
    </row>
    <row r="3073">
      <c r="A3073">
        <f>Sources!A3073</f>
        <v/>
      </c>
      <c r="B3073">
        <f>Sources!B3073</f>
        <v/>
      </c>
      <c r="C3073">
        <f>Sources!D3073</f>
        <v/>
      </c>
      <c r="D3073">
        <f>Sources!E3073</f>
        <v/>
      </c>
      <c r="E3073">
        <f>Sources!F3073</f>
        <v/>
      </c>
      <c r="F3073">
        <f>Sources!H3073</f>
        <v/>
      </c>
      <c r="G3073">
        <f>IF(ABS(F3073-ROUND(F3073,0))&lt;0.001,1,0)</f>
        <v/>
      </c>
      <c r="H3073">
        <f>IF(G3073=1,F3073,CEILING(F3073,1))</f>
        <v/>
      </c>
      <c r="I3073">
        <f>IF(G3073=1,0,(H3073-F3073)*E3073)</f>
        <v/>
      </c>
      <c r="J3073">
        <f>E3073*F3073</f>
        <v/>
      </c>
    </row>
    <row r="3074">
      <c r="A3074">
        <f>Sources!A3074</f>
        <v/>
      </c>
      <c r="B3074">
        <f>Sources!B3074</f>
        <v/>
      </c>
      <c r="C3074">
        <f>Sources!D3074</f>
        <v/>
      </c>
      <c r="D3074">
        <f>Sources!E3074</f>
        <v/>
      </c>
      <c r="E3074">
        <f>Sources!F3074</f>
        <v/>
      </c>
      <c r="F3074">
        <f>Sources!H3074</f>
        <v/>
      </c>
      <c r="G3074">
        <f>IF(ABS(F3074-ROUND(F3074,0))&lt;0.001,1,0)</f>
        <v/>
      </c>
      <c r="H3074">
        <f>IF(G3074=1,F3074,CEILING(F3074,1))</f>
        <v/>
      </c>
      <c r="I3074">
        <f>IF(G3074=1,0,(H3074-F3074)*E3074)</f>
        <v/>
      </c>
      <c r="J3074">
        <f>E3074*F3074</f>
        <v/>
      </c>
    </row>
    <row r="3075">
      <c r="A3075">
        <f>Sources!A3075</f>
        <v/>
      </c>
      <c r="B3075">
        <f>Sources!B3075</f>
        <v/>
      </c>
      <c r="C3075">
        <f>Sources!D3075</f>
        <v/>
      </c>
      <c r="D3075">
        <f>Sources!E3075</f>
        <v/>
      </c>
      <c r="E3075">
        <f>Sources!F3075</f>
        <v/>
      </c>
      <c r="F3075">
        <f>Sources!H3075</f>
        <v/>
      </c>
      <c r="G3075">
        <f>IF(ABS(F3075-ROUND(F3075,0))&lt;0.001,1,0)</f>
        <v/>
      </c>
      <c r="H3075">
        <f>IF(G3075=1,F3075,CEILING(F3075,1))</f>
        <v/>
      </c>
      <c r="I3075">
        <f>IF(G3075=1,0,(H3075-F3075)*E3075)</f>
        <v/>
      </c>
      <c r="J3075">
        <f>E3075*F3075</f>
        <v/>
      </c>
    </row>
    <row r="3076">
      <c r="A3076">
        <f>Sources!A3076</f>
        <v/>
      </c>
      <c r="B3076">
        <f>Sources!B3076</f>
        <v/>
      </c>
      <c r="C3076">
        <f>Sources!D3076</f>
        <v/>
      </c>
      <c r="D3076">
        <f>Sources!E3076</f>
        <v/>
      </c>
      <c r="E3076">
        <f>Sources!F3076</f>
        <v/>
      </c>
      <c r="F3076">
        <f>Sources!H3076</f>
        <v/>
      </c>
      <c r="G3076">
        <f>IF(ABS(F3076-ROUND(F3076,0))&lt;0.001,1,0)</f>
        <v/>
      </c>
      <c r="H3076">
        <f>IF(G3076=1,F3076,CEILING(F3076,1))</f>
        <v/>
      </c>
      <c r="I3076">
        <f>IF(G3076=1,0,(H3076-F3076)*E3076)</f>
        <v/>
      </c>
      <c r="J3076">
        <f>E3076*F3076</f>
        <v/>
      </c>
    </row>
    <row r="3077">
      <c r="A3077">
        <f>Sources!A3077</f>
        <v/>
      </c>
      <c r="B3077">
        <f>Sources!B3077</f>
        <v/>
      </c>
      <c r="C3077">
        <f>Sources!D3077</f>
        <v/>
      </c>
      <c r="D3077">
        <f>Sources!E3077</f>
        <v/>
      </c>
      <c r="E3077">
        <f>Sources!F3077</f>
        <v/>
      </c>
      <c r="F3077">
        <f>Sources!H3077</f>
        <v/>
      </c>
      <c r="G3077">
        <f>IF(ABS(F3077-ROUND(F3077,0))&lt;0.001,1,0)</f>
        <v/>
      </c>
      <c r="H3077">
        <f>IF(G3077=1,F3077,CEILING(F3077,1))</f>
        <v/>
      </c>
      <c r="I3077">
        <f>IF(G3077=1,0,(H3077-F3077)*E3077)</f>
        <v/>
      </c>
      <c r="J3077">
        <f>E3077*F3077</f>
        <v/>
      </c>
    </row>
    <row r="3078">
      <c r="A3078">
        <f>Sources!A3078</f>
        <v/>
      </c>
      <c r="B3078">
        <f>Sources!B3078</f>
        <v/>
      </c>
      <c r="C3078">
        <f>Sources!D3078</f>
        <v/>
      </c>
      <c r="D3078">
        <f>Sources!E3078</f>
        <v/>
      </c>
      <c r="E3078">
        <f>Sources!F3078</f>
        <v/>
      </c>
      <c r="F3078">
        <f>Sources!H3078</f>
        <v/>
      </c>
      <c r="G3078">
        <f>IF(ABS(F3078-ROUND(F3078,0))&lt;0.001,1,0)</f>
        <v/>
      </c>
      <c r="H3078">
        <f>IF(G3078=1,F3078,CEILING(F3078,1))</f>
        <v/>
      </c>
      <c r="I3078">
        <f>IF(G3078=1,0,(H3078-F3078)*E3078)</f>
        <v/>
      </c>
      <c r="J3078">
        <f>E3078*F3078</f>
        <v/>
      </c>
    </row>
    <row r="3079">
      <c r="A3079">
        <f>Sources!A3079</f>
        <v/>
      </c>
      <c r="B3079">
        <f>Sources!B3079</f>
        <v/>
      </c>
      <c r="C3079">
        <f>Sources!D3079</f>
        <v/>
      </c>
      <c r="D3079">
        <f>Sources!E3079</f>
        <v/>
      </c>
      <c r="E3079">
        <f>Sources!F3079</f>
        <v/>
      </c>
      <c r="F3079">
        <f>Sources!H3079</f>
        <v/>
      </c>
      <c r="G3079">
        <f>IF(ABS(F3079-ROUND(F3079,0))&lt;0.001,1,0)</f>
        <v/>
      </c>
      <c r="H3079">
        <f>IF(G3079=1,F3079,CEILING(F3079,1))</f>
        <v/>
      </c>
      <c r="I3079">
        <f>IF(G3079=1,0,(H3079-F3079)*E3079)</f>
        <v/>
      </c>
      <c r="J3079">
        <f>E3079*F3079</f>
        <v/>
      </c>
    </row>
    <row r="3080">
      <c r="A3080">
        <f>Sources!A3080</f>
        <v/>
      </c>
      <c r="B3080">
        <f>Sources!B3080</f>
        <v/>
      </c>
      <c r="C3080">
        <f>Sources!D3080</f>
        <v/>
      </c>
      <c r="D3080">
        <f>Sources!E3080</f>
        <v/>
      </c>
      <c r="E3080">
        <f>Sources!F3080</f>
        <v/>
      </c>
      <c r="F3080">
        <f>Sources!H3080</f>
        <v/>
      </c>
      <c r="G3080">
        <f>IF(ABS(F3080-ROUND(F3080,0))&lt;0.001,1,0)</f>
        <v/>
      </c>
      <c r="H3080">
        <f>IF(G3080=1,F3080,CEILING(F3080,1))</f>
        <v/>
      </c>
      <c r="I3080">
        <f>IF(G3080=1,0,(H3080-F3080)*E3080)</f>
        <v/>
      </c>
      <c r="J3080">
        <f>E3080*F3080</f>
        <v/>
      </c>
    </row>
    <row r="3081">
      <c r="A3081">
        <f>Sources!A3081</f>
        <v/>
      </c>
      <c r="B3081">
        <f>Sources!B3081</f>
        <v/>
      </c>
      <c r="C3081">
        <f>Sources!D3081</f>
        <v/>
      </c>
      <c r="D3081">
        <f>Sources!E3081</f>
        <v/>
      </c>
      <c r="E3081">
        <f>Sources!F3081</f>
        <v/>
      </c>
      <c r="F3081">
        <f>Sources!H3081</f>
        <v/>
      </c>
      <c r="G3081">
        <f>IF(ABS(F3081-ROUND(F3081,0))&lt;0.001,1,0)</f>
        <v/>
      </c>
      <c r="H3081">
        <f>IF(G3081=1,F3081,CEILING(F3081,1))</f>
        <v/>
      </c>
      <c r="I3081">
        <f>IF(G3081=1,0,(H3081-F3081)*E3081)</f>
        <v/>
      </c>
      <c r="J3081">
        <f>E3081*F3081</f>
        <v/>
      </c>
    </row>
    <row r="3082">
      <c r="A3082">
        <f>Sources!A3082</f>
        <v/>
      </c>
      <c r="B3082">
        <f>Sources!B3082</f>
        <v/>
      </c>
      <c r="C3082">
        <f>Sources!D3082</f>
        <v/>
      </c>
      <c r="D3082">
        <f>Sources!E3082</f>
        <v/>
      </c>
      <c r="E3082">
        <f>Sources!F3082</f>
        <v/>
      </c>
      <c r="F3082">
        <f>Sources!H3082</f>
        <v/>
      </c>
      <c r="G3082">
        <f>IF(ABS(F3082-ROUND(F3082,0))&lt;0.001,1,0)</f>
        <v/>
      </c>
      <c r="H3082">
        <f>IF(G3082=1,F3082,CEILING(F3082,1))</f>
        <v/>
      </c>
      <c r="I3082">
        <f>IF(G3082=1,0,(H3082-F3082)*E3082)</f>
        <v/>
      </c>
      <c r="J3082">
        <f>E3082*F3082</f>
        <v/>
      </c>
    </row>
    <row r="3083">
      <c r="A3083">
        <f>Sources!A3083</f>
        <v/>
      </c>
      <c r="B3083">
        <f>Sources!B3083</f>
        <v/>
      </c>
      <c r="C3083">
        <f>Sources!D3083</f>
        <v/>
      </c>
      <c r="D3083">
        <f>Sources!E3083</f>
        <v/>
      </c>
      <c r="E3083">
        <f>Sources!F3083</f>
        <v/>
      </c>
      <c r="F3083">
        <f>Sources!H3083</f>
        <v/>
      </c>
      <c r="G3083">
        <f>IF(ABS(F3083-ROUND(F3083,0))&lt;0.001,1,0)</f>
        <v/>
      </c>
      <c r="H3083">
        <f>IF(G3083=1,F3083,CEILING(F3083,1))</f>
        <v/>
      </c>
      <c r="I3083">
        <f>IF(G3083=1,0,(H3083-F3083)*E3083)</f>
        <v/>
      </c>
      <c r="J3083">
        <f>E3083*F3083</f>
        <v/>
      </c>
    </row>
    <row r="3084">
      <c r="A3084">
        <f>Sources!A3084</f>
        <v/>
      </c>
      <c r="B3084">
        <f>Sources!B3084</f>
        <v/>
      </c>
      <c r="C3084">
        <f>Sources!D3084</f>
        <v/>
      </c>
      <c r="D3084">
        <f>Sources!E3084</f>
        <v/>
      </c>
      <c r="E3084">
        <f>Sources!F3084</f>
        <v/>
      </c>
      <c r="F3084">
        <f>Sources!H3084</f>
        <v/>
      </c>
      <c r="G3084">
        <f>IF(ABS(F3084-ROUND(F3084,0))&lt;0.001,1,0)</f>
        <v/>
      </c>
      <c r="H3084">
        <f>IF(G3084=1,F3084,CEILING(F3084,1))</f>
        <v/>
      </c>
      <c r="I3084">
        <f>IF(G3084=1,0,(H3084-F3084)*E3084)</f>
        <v/>
      </c>
      <c r="J3084">
        <f>E3084*F3084</f>
        <v/>
      </c>
    </row>
    <row r="3085">
      <c r="A3085">
        <f>Sources!A3085</f>
        <v/>
      </c>
      <c r="B3085">
        <f>Sources!B3085</f>
        <v/>
      </c>
      <c r="C3085">
        <f>Sources!D3085</f>
        <v/>
      </c>
      <c r="D3085">
        <f>Sources!E3085</f>
        <v/>
      </c>
      <c r="E3085">
        <f>Sources!F3085</f>
        <v/>
      </c>
      <c r="F3085">
        <f>Sources!H3085</f>
        <v/>
      </c>
      <c r="G3085">
        <f>IF(ABS(F3085-ROUND(F3085,0))&lt;0.001,1,0)</f>
        <v/>
      </c>
      <c r="H3085">
        <f>IF(G3085=1,F3085,CEILING(F3085,1))</f>
        <v/>
      </c>
      <c r="I3085">
        <f>IF(G3085=1,0,(H3085-F3085)*E3085)</f>
        <v/>
      </c>
      <c r="J3085">
        <f>E3085*F3085</f>
        <v/>
      </c>
    </row>
    <row r="3086">
      <c r="A3086">
        <f>Sources!A3086</f>
        <v/>
      </c>
      <c r="B3086">
        <f>Sources!B3086</f>
        <v/>
      </c>
      <c r="C3086">
        <f>Sources!D3086</f>
        <v/>
      </c>
      <c r="D3086">
        <f>Sources!E3086</f>
        <v/>
      </c>
      <c r="E3086">
        <f>Sources!F3086</f>
        <v/>
      </c>
      <c r="F3086">
        <f>Sources!H3086</f>
        <v/>
      </c>
      <c r="G3086">
        <f>IF(ABS(F3086-ROUND(F3086,0))&lt;0.001,1,0)</f>
        <v/>
      </c>
      <c r="H3086">
        <f>IF(G3086=1,F3086,CEILING(F3086,1))</f>
        <v/>
      </c>
      <c r="I3086">
        <f>IF(G3086=1,0,(H3086-F3086)*E3086)</f>
        <v/>
      </c>
      <c r="J3086">
        <f>E3086*F3086</f>
        <v/>
      </c>
    </row>
    <row r="3087">
      <c r="A3087">
        <f>Sources!A3087</f>
        <v/>
      </c>
      <c r="B3087">
        <f>Sources!B3087</f>
        <v/>
      </c>
      <c r="C3087">
        <f>Sources!D3087</f>
        <v/>
      </c>
      <c r="D3087">
        <f>Sources!E3087</f>
        <v/>
      </c>
      <c r="E3087">
        <f>Sources!F3087</f>
        <v/>
      </c>
      <c r="F3087">
        <f>Sources!H3087</f>
        <v/>
      </c>
      <c r="G3087">
        <f>IF(ABS(F3087-ROUND(F3087,0))&lt;0.001,1,0)</f>
        <v/>
      </c>
      <c r="H3087">
        <f>IF(G3087=1,F3087,CEILING(F3087,1))</f>
        <v/>
      </c>
      <c r="I3087">
        <f>IF(G3087=1,0,(H3087-F3087)*E3087)</f>
        <v/>
      </c>
      <c r="J3087">
        <f>E3087*F3087</f>
        <v/>
      </c>
    </row>
    <row r="3088">
      <c r="A3088">
        <f>Sources!A3088</f>
        <v/>
      </c>
      <c r="B3088">
        <f>Sources!B3088</f>
        <v/>
      </c>
      <c r="C3088">
        <f>Sources!D3088</f>
        <v/>
      </c>
      <c r="D3088">
        <f>Sources!E3088</f>
        <v/>
      </c>
      <c r="E3088">
        <f>Sources!F3088</f>
        <v/>
      </c>
      <c r="F3088">
        <f>Sources!H3088</f>
        <v/>
      </c>
      <c r="G3088">
        <f>IF(ABS(F3088-ROUND(F3088,0))&lt;0.001,1,0)</f>
        <v/>
      </c>
      <c r="H3088">
        <f>IF(G3088=1,F3088,CEILING(F3088,1))</f>
        <v/>
      </c>
      <c r="I3088">
        <f>IF(G3088=1,0,(H3088-F3088)*E3088)</f>
        <v/>
      </c>
      <c r="J3088">
        <f>E3088*F3088</f>
        <v/>
      </c>
    </row>
    <row r="3089">
      <c r="A3089">
        <f>Sources!A3089</f>
        <v/>
      </c>
      <c r="B3089">
        <f>Sources!B3089</f>
        <v/>
      </c>
      <c r="C3089">
        <f>Sources!D3089</f>
        <v/>
      </c>
      <c r="D3089">
        <f>Sources!E3089</f>
        <v/>
      </c>
      <c r="E3089">
        <f>Sources!F3089</f>
        <v/>
      </c>
      <c r="F3089">
        <f>Sources!H3089</f>
        <v/>
      </c>
      <c r="G3089">
        <f>IF(ABS(F3089-ROUND(F3089,0))&lt;0.001,1,0)</f>
        <v/>
      </c>
      <c r="H3089">
        <f>IF(G3089=1,F3089,CEILING(F3089,1))</f>
        <v/>
      </c>
      <c r="I3089">
        <f>IF(G3089=1,0,(H3089-F3089)*E3089)</f>
        <v/>
      </c>
      <c r="J3089">
        <f>E3089*F3089</f>
        <v/>
      </c>
    </row>
    <row r="3090">
      <c r="A3090">
        <f>Sources!A3090</f>
        <v/>
      </c>
      <c r="B3090">
        <f>Sources!B3090</f>
        <v/>
      </c>
      <c r="C3090">
        <f>Sources!D3090</f>
        <v/>
      </c>
      <c r="D3090">
        <f>Sources!E3090</f>
        <v/>
      </c>
      <c r="E3090">
        <f>Sources!F3090</f>
        <v/>
      </c>
      <c r="F3090">
        <f>Sources!H3090</f>
        <v/>
      </c>
      <c r="G3090">
        <f>IF(ABS(F3090-ROUND(F3090,0))&lt;0.001,1,0)</f>
        <v/>
      </c>
      <c r="H3090">
        <f>IF(G3090=1,F3090,CEILING(F3090,1))</f>
        <v/>
      </c>
      <c r="I3090">
        <f>IF(G3090=1,0,(H3090-F3090)*E3090)</f>
        <v/>
      </c>
      <c r="J3090">
        <f>E3090*F3090</f>
        <v/>
      </c>
    </row>
    <row r="3091">
      <c r="A3091">
        <f>Sources!A3091</f>
        <v/>
      </c>
      <c r="B3091">
        <f>Sources!B3091</f>
        <v/>
      </c>
      <c r="C3091">
        <f>Sources!D3091</f>
        <v/>
      </c>
      <c r="D3091">
        <f>Sources!E3091</f>
        <v/>
      </c>
      <c r="E3091">
        <f>Sources!F3091</f>
        <v/>
      </c>
      <c r="F3091">
        <f>Sources!H3091</f>
        <v/>
      </c>
      <c r="G3091">
        <f>IF(ABS(F3091-ROUND(F3091,0))&lt;0.001,1,0)</f>
        <v/>
      </c>
      <c r="H3091">
        <f>IF(G3091=1,F3091,CEILING(F3091,1))</f>
        <v/>
      </c>
      <c r="I3091">
        <f>IF(G3091=1,0,(H3091-F3091)*E3091)</f>
        <v/>
      </c>
      <c r="J3091">
        <f>E3091*F3091</f>
        <v/>
      </c>
    </row>
    <row r="3092">
      <c r="A3092">
        <f>Sources!A3092</f>
        <v/>
      </c>
      <c r="B3092">
        <f>Sources!B3092</f>
        <v/>
      </c>
      <c r="C3092">
        <f>Sources!D3092</f>
        <v/>
      </c>
      <c r="D3092">
        <f>Sources!E3092</f>
        <v/>
      </c>
      <c r="E3092">
        <f>Sources!F3092</f>
        <v/>
      </c>
      <c r="F3092">
        <f>Sources!H3092</f>
        <v/>
      </c>
      <c r="G3092">
        <f>IF(ABS(F3092-ROUND(F3092,0))&lt;0.001,1,0)</f>
        <v/>
      </c>
      <c r="H3092">
        <f>IF(G3092=1,F3092,CEILING(F3092,1))</f>
        <v/>
      </c>
      <c r="I3092">
        <f>IF(G3092=1,0,(H3092-F3092)*E3092)</f>
        <v/>
      </c>
      <c r="J3092">
        <f>E3092*F3092</f>
        <v/>
      </c>
    </row>
    <row r="3093">
      <c r="A3093">
        <f>Sources!A3093</f>
        <v/>
      </c>
      <c r="B3093">
        <f>Sources!B3093</f>
        <v/>
      </c>
      <c r="C3093">
        <f>Sources!D3093</f>
        <v/>
      </c>
      <c r="D3093">
        <f>Sources!E3093</f>
        <v/>
      </c>
      <c r="E3093">
        <f>Sources!F3093</f>
        <v/>
      </c>
      <c r="F3093">
        <f>Sources!H3093</f>
        <v/>
      </c>
      <c r="G3093">
        <f>IF(ABS(F3093-ROUND(F3093,0))&lt;0.001,1,0)</f>
        <v/>
      </c>
      <c r="H3093">
        <f>IF(G3093=1,F3093,CEILING(F3093,1))</f>
        <v/>
      </c>
      <c r="I3093">
        <f>IF(G3093=1,0,(H3093-F3093)*E3093)</f>
        <v/>
      </c>
      <c r="J3093">
        <f>E3093*F3093</f>
        <v/>
      </c>
    </row>
    <row r="3094">
      <c r="A3094">
        <f>Sources!A3094</f>
        <v/>
      </c>
      <c r="B3094">
        <f>Sources!B3094</f>
        <v/>
      </c>
      <c r="C3094">
        <f>Sources!D3094</f>
        <v/>
      </c>
      <c r="D3094">
        <f>Sources!E3094</f>
        <v/>
      </c>
      <c r="E3094">
        <f>Sources!F3094</f>
        <v/>
      </c>
      <c r="F3094">
        <f>Sources!H3094</f>
        <v/>
      </c>
      <c r="G3094">
        <f>IF(ABS(F3094-ROUND(F3094,0))&lt;0.001,1,0)</f>
        <v/>
      </c>
      <c r="H3094">
        <f>IF(G3094=1,F3094,CEILING(F3094,1))</f>
        <v/>
      </c>
      <c r="I3094">
        <f>IF(G3094=1,0,(H3094-F3094)*E3094)</f>
        <v/>
      </c>
      <c r="J3094">
        <f>E3094*F3094</f>
        <v/>
      </c>
    </row>
    <row r="3095">
      <c r="A3095">
        <f>Sources!A3095</f>
        <v/>
      </c>
      <c r="B3095">
        <f>Sources!B3095</f>
        <v/>
      </c>
      <c r="C3095">
        <f>Sources!D3095</f>
        <v/>
      </c>
      <c r="D3095">
        <f>Sources!E3095</f>
        <v/>
      </c>
      <c r="E3095">
        <f>Sources!F3095</f>
        <v/>
      </c>
      <c r="F3095">
        <f>Sources!H3095</f>
        <v/>
      </c>
      <c r="G3095">
        <f>IF(ABS(F3095-ROUND(F3095,0))&lt;0.001,1,0)</f>
        <v/>
      </c>
      <c r="H3095">
        <f>IF(G3095=1,F3095,CEILING(F3095,1))</f>
        <v/>
      </c>
      <c r="I3095">
        <f>IF(G3095=1,0,(H3095-F3095)*E3095)</f>
        <v/>
      </c>
      <c r="J3095">
        <f>E3095*F3095</f>
        <v/>
      </c>
    </row>
    <row r="3096">
      <c r="A3096">
        <f>Sources!A3096</f>
        <v/>
      </c>
      <c r="B3096">
        <f>Sources!B3096</f>
        <v/>
      </c>
      <c r="C3096">
        <f>Sources!D3096</f>
        <v/>
      </c>
      <c r="D3096">
        <f>Sources!E3096</f>
        <v/>
      </c>
      <c r="E3096">
        <f>Sources!F3096</f>
        <v/>
      </c>
      <c r="F3096">
        <f>Sources!H3096</f>
        <v/>
      </c>
      <c r="G3096">
        <f>IF(ABS(F3096-ROUND(F3096,0))&lt;0.001,1,0)</f>
        <v/>
      </c>
      <c r="H3096">
        <f>IF(G3096=1,F3096,CEILING(F3096,1))</f>
        <v/>
      </c>
      <c r="I3096">
        <f>IF(G3096=1,0,(H3096-F3096)*E3096)</f>
        <v/>
      </c>
      <c r="J3096">
        <f>E3096*F3096</f>
        <v/>
      </c>
    </row>
    <row r="3097">
      <c r="A3097">
        <f>Sources!A3097</f>
        <v/>
      </c>
      <c r="B3097">
        <f>Sources!B3097</f>
        <v/>
      </c>
      <c r="C3097">
        <f>Sources!D3097</f>
        <v/>
      </c>
      <c r="D3097">
        <f>Sources!E3097</f>
        <v/>
      </c>
      <c r="E3097">
        <f>Sources!F3097</f>
        <v/>
      </c>
      <c r="F3097">
        <f>Sources!H3097</f>
        <v/>
      </c>
      <c r="G3097">
        <f>IF(ABS(F3097-ROUND(F3097,0))&lt;0.001,1,0)</f>
        <v/>
      </c>
      <c r="H3097">
        <f>IF(G3097=1,F3097,CEILING(F3097,1))</f>
        <v/>
      </c>
      <c r="I3097">
        <f>IF(G3097=1,0,(H3097-F3097)*E3097)</f>
        <v/>
      </c>
      <c r="J3097">
        <f>E3097*F3097</f>
        <v/>
      </c>
    </row>
    <row r="3098">
      <c r="A3098">
        <f>Sources!A3098</f>
        <v/>
      </c>
      <c r="B3098">
        <f>Sources!B3098</f>
        <v/>
      </c>
      <c r="C3098">
        <f>Sources!D3098</f>
        <v/>
      </c>
      <c r="D3098">
        <f>Sources!E3098</f>
        <v/>
      </c>
      <c r="E3098">
        <f>Sources!F3098</f>
        <v/>
      </c>
      <c r="F3098">
        <f>Sources!H3098</f>
        <v/>
      </c>
      <c r="G3098">
        <f>IF(ABS(F3098-ROUND(F3098,0))&lt;0.001,1,0)</f>
        <v/>
      </c>
      <c r="H3098">
        <f>IF(G3098=1,F3098,CEILING(F3098,1))</f>
        <v/>
      </c>
      <c r="I3098">
        <f>IF(G3098=1,0,(H3098-F3098)*E3098)</f>
        <v/>
      </c>
      <c r="J3098">
        <f>E3098*F3098</f>
        <v/>
      </c>
    </row>
    <row r="3099">
      <c r="A3099">
        <f>Sources!A3099</f>
        <v/>
      </c>
      <c r="B3099">
        <f>Sources!B3099</f>
        <v/>
      </c>
      <c r="C3099">
        <f>Sources!D3099</f>
        <v/>
      </c>
      <c r="D3099">
        <f>Sources!E3099</f>
        <v/>
      </c>
      <c r="E3099">
        <f>Sources!F3099</f>
        <v/>
      </c>
      <c r="F3099">
        <f>Sources!H3099</f>
        <v/>
      </c>
      <c r="G3099">
        <f>IF(ABS(F3099-ROUND(F3099,0))&lt;0.001,1,0)</f>
        <v/>
      </c>
      <c r="H3099">
        <f>IF(G3099=1,F3099,CEILING(F3099,1))</f>
        <v/>
      </c>
      <c r="I3099">
        <f>IF(G3099=1,0,(H3099-F3099)*E3099)</f>
        <v/>
      </c>
      <c r="J3099">
        <f>E3099*F3099</f>
        <v/>
      </c>
    </row>
    <row r="3100">
      <c r="A3100">
        <f>Sources!A3100</f>
        <v/>
      </c>
      <c r="B3100">
        <f>Sources!B3100</f>
        <v/>
      </c>
      <c r="C3100">
        <f>Sources!D3100</f>
        <v/>
      </c>
      <c r="D3100">
        <f>Sources!E3100</f>
        <v/>
      </c>
      <c r="E3100">
        <f>Sources!F3100</f>
        <v/>
      </c>
      <c r="F3100">
        <f>Sources!H3100</f>
        <v/>
      </c>
      <c r="G3100">
        <f>IF(ABS(F3100-ROUND(F3100,0))&lt;0.001,1,0)</f>
        <v/>
      </c>
      <c r="H3100">
        <f>IF(G3100=1,F3100,CEILING(F3100,1))</f>
        <v/>
      </c>
      <c r="I3100">
        <f>IF(G3100=1,0,(H3100-F3100)*E3100)</f>
        <v/>
      </c>
      <c r="J3100">
        <f>E3100*F3100</f>
        <v/>
      </c>
    </row>
    <row r="3101">
      <c r="A3101">
        <f>Sources!A3101</f>
        <v/>
      </c>
      <c r="B3101">
        <f>Sources!B3101</f>
        <v/>
      </c>
      <c r="C3101">
        <f>Sources!D3101</f>
        <v/>
      </c>
      <c r="D3101">
        <f>Sources!E3101</f>
        <v/>
      </c>
      <c r="E3101">
        <f>Sources!F3101</f>
        <v/>
      </c>
      <c r="F3101">
        <f>Sources!H3101</f>
        <v/>
      </c>
      <c r="G3101">
        <f>IF(ABS(F3101-ROUND(F3101,0))&lt;0.001,1,0)</f>
        <v/>
      </c>
      <c r="H3101">
        <f>IF(G3101=1,F3101,CEILING(F3101,1))</f>
        <v/>
      </c>
      <c r="I3101">
        <f>IF(G3101=1,0,(H3101-F3101)*E3101)</f>
        <v/>
      </c>
      <c r="J3101">
        <f>E3101*F3101</f>
        <v/>
      </c>
    </row>
    <row r="3102">
      <c r="A3102">
        <f>Sources!A3102</f>
        <v/>
      </c>
      <c r="B3102">
        <f>Sources!B3102</f>
        <v/>
      </c>
      <c r="C3102">
        <f>Sources!D3102</f>
        <v/>
      </c>
      <c r="D3102">
        <f>Sources!E3102</f>
        <v/>
      </c>
      <c r="E3102">
        <f>Sources!F3102</f>
        <v/>
      </c>
      <c r="F3102">
        <f>Sources!H3102</f>
        <v/>
      </c>
      <c r="G3102">
        <f>IF(ABS(F3102-ROUND(F3102,0))&lt;0.001,1,0)</f>
        <v/>
      </c>
      <c r="H3102">
        <f>IF(G3102=1,F3102,CEILING(F3102,1))</f>
        <v/>
      </c>
      <c r="I3102">
        <f>IF(G3102=1,0,(H3102-F3102)*E3102)</f>
        <v/>
      </c>
      <c r="J3102">
        <f>E3102*F3102</f>
        <v/>
      </c>
    </row>
    <row r="3103">
      <c r="A3103">
        <f>Sources!A3103</f>
        <v/>
      </c>
      <c r="B3103">
        <f>Sources!B3103</f>
        <v/>
      </c>
      <c r="C3103">
        <f>Sources!D3103</f>
        <v/>
      </c>
      <c r="D3103">
        <f>Sources!E3103</f>
        <v/>
      </c>
      <c r="E3103">
        <f>Sources!F3103</f>
        <v/>
      </c>
      <c r="F3103">
        <f>Sources!H3103</f>
        <v/>
      </c>
      <c r="G3103">
        <f>IF(ABS(F3103-ROUND(F3103,0))&lt;0.001,1,0)</f>
        <v/>
      </c>
      <c r="H3103">
        <f>IF(G3103=1,F3103,CEILING(F3103,1))</f>
        <v/>
      </c>
      <c r="I3103">
        <f>IF(G3103=1,0,(H3103-F3103)*E3103)</f>
        <v/>
      </c>
      <c r="J3103">
        <f>E3103*F3103</f>
        <v/>
      </c>
    </row>
    <row r="3104">
      <c r="A3104">
        <f>Sources!A3104</f>
        <v/>
      </c>
      <c r="B3104">
        <f>Sources!B3104</f>
        <v/>
      </c>
      <c r="C3104">
        <f>Sources!D3104</f>
        <v/>
      </c>
      <c r="D3104">
        <f>Sources!E3104</f>
        <v/>
      </c>
      <c r="E3104">
        <f>Sources!F3104</f>
        <v/>
      </c>
      <c r="F3104">
        <f>Sources!H3104</f>
        <v/>
      </c>
      <c r="G3104">
        <f>IF(ABS(F3104-ROUND(F3104,0))&lt;0.001,1,0)</f>
        <v/>
      </c>
      <c r="H3104">
        <f>IF(G3104=1,F3104,CEILING(F3104,1))</f>
        <v/>
      </c>
      <c r="I3104">
        <f>IF(G3104=1,0,(H3104-F3104)*E3104)</f>
        <v/>
      </c>
      <c r="J3104">
        <f>E3104*F3104</f>
        <v/>
      </c>
    </row>
    <row r="3105">
      <c r="A3105">
        <f>Sources!A3105</f>
        <v/>
      </c>
      <c r="B3105">
        <f>Sources!B3105</f>
        <v/>
      </c>
      <c r="C3105">
        <f>Sources!D3105</f>
        <v/>
      </c>
      <c r="D3105">
        <f>Sources!E3105</f>
        <v/>
      </c>
      <c r="E3105">
        <f>Sources!F3105</f>
        <v/>
      </c>
      <c r="F3105">
        <f>Sources!H3105</f>
        <v/>
      </c>
      <c r="G3105">
        <f>IF(ABS(F3105-ROUND(F3105,0))&lt;0.001,1,0)</f>
        <v/>
      </c>
      <c r="H3105">
        <f>IF(G3105=1,F3105,CEILING(F3105,1))</f>
        <v/>
      </c>
      <c r="I3105">
        <f>IF(G3105=1,0,(H3105-F3105)*E3105)</f>
        <v/>
      </c>
      <c r="J3105">
        <f>E3105*F3105</f>
        <v/>
      </c>
    </row>
    <row r="3106">
      <c r="A3106">
        <f>Sources!A3106</f>
        <v/>
      </c>
      <c r="B3106">
        <f>Sources!B3106</f>
        <v/>
      </c>
      <c r="C3106">
        <f>Sources!D3106</f>
        <v/>
      </c>
      <c r="D3106">
        <f>Sources!E3106</f>
        <v/>
      </c>
      <c r="E3106">
        <f>Sources!F3106</f>
        <v/>
      </c>
      <c r="F3106">
        <f>Sources!H3106</f>
        <v/>
      </c>
      <c r="G3106">
        <f>IF(ABS(F3106-ROUND(F3106,0))&lt;0.001,1,0)</f>
        <v/>
      </c>
      <c r="H3106">
        <f>IF(G3106=1,F3106,CEILING(F3106,1))</f>
        <v/>
      </c>
      <c r="I3106">
        <f>IF(G3106=1,0,(H3106-F3106)*E3106)</f>
        <v/>
      </c>
      <c r="J3106">
        <f>E3106*F3106</f>
        <v/>
      </c>
    </row>
    <row r="3107">
      <c r="A3107">
        <f>Sources!A3107</f>
        <v/>
      </c>
      <c r="B3107">
        <f>Sources!B3107</f>
        <v/>
      </c>
      <c r="C3107">
        <f>Sources!D3107</f>
        <v/>
      </c>
      <c r="D3107">
        <f>Sources!E3107</f>
        <v/>
      </c>
      <c r="E3107">
        <f>Sources!F3107</f>
        <v/>
      </c>
      <c r="F3107">
        <f>Sources!H3107</f>
        <v/>
      </c>
      <c r="G3107">
        <f>IF(ABS(F3107-ROUND(F3107,0))&lt;0.001,1,0)</f>
        <v/>
      </c>
      <c r="H3107">
        <f>IF(G3107=1,F3107,CEILING(F3107,1))</f>
        <v/>
      </c>
      <c r="I3107">
        <f>IF(G3107=1,0,(H3107-F3107)*E3107)</f>
        <v/>
      </c>
      <c r="J3107">
        <f>E3107*F3107</f>
        <v/>
      </c>
    </row>
    <row r="3108">
      <c r="A3108">
        <f>Sources!A3108</f>
        <v/>
      </c>
      <c r="B3108">
        <f>Sources!B3108</f>
        <v/>
      </c>
      <c r="C3108">
        <f>Sources!D3108</f>
        <v/>
      </c>
      <c r="D3108">
        <f>Sources!E3108</f>
        <v/>
      </c>
      <c r="E3108">
        <f>Sources!F3108</f>
        <v/>
      </c>
      <c r="F3108">
        <f>Sources!H3108</f>
        <v/>
      </c>
      <c r="G3108">
        <f>IF(ABS(F3108-ROUND(F3108,0))&lt;0.001,1,0)</f>
        <v/>
      </c>
      <c r="H3108">
        <f>IF(G3108=1,F3108,CEILING(F3108,1))</f>
        <v/>
      </c>
      <c r="I3108">
        <f>IF(G3108=1,0,(H3108-F3108)*E3108)</f>
        <v/>
      </c>
      <c r="J3108">
        <f>E3108*F3108</f>
        <v/>
      </c>
    </row>
    <row r="3109">
      <c r="A3109">
        <f>Sources!A3109</f>
        <v/>
      </c>
      <c r="B3109">
        <f>Sources!B3109</f>
        <v/>
      </c>
      <c r="C3109">
        <f>Sources!D3109</f>
        <v/>
      </c>
      <c r="D3109">
        <f>Sources!E3109</f>
        <v/>
      </c>
      <c r="E3109">
        <f>Sources!F3109</f>
        <v/>
      </c>
      <c r="F3109">
        <f>Sources!H3109</f>
        <v/>
      </c>
      <c r="G3109">
        <f>IF(ABS(F3109-ROUND(F3109,0))&lt;0.001,1,0)</f>
        <v/>
      </c>
      <c r="H3109">
        <f>IF(G3109=1,F3109,CEILING(F3109,1))</f>
        <v/>
      </c>
      <c r="I3109">
        <f>IF(G3109=1,0,(H3109-F3109)*E3109)</f>
        <v/>
      </c>
      <c r="J3109">
        <f>E3109*F3109</f>
        <v/>
      </c>
    </row>
    <row r="3110">
      <c r="A3110">
        <f>Sources!A3110</f>
        <v/>
      </c>
      <c r="B3110">
        <f>Sources!B3110</f>
        <v/>
      </c>
      <c r="C3110">
        <f>Sources!D3110</f>
        <v/>
      </c>
      <c r="D3110">
        <f>Sources!E3110</f>
        <v/>
      </c>
      <c r="E3110">
        <f>Sources!F3110</f>
        <v/>
      </c>
      <c r="F3110">
        <f>Sources!H3110</f>
        <v/>
      </c>
      <c r="G3110">
        <f>IF(ABS(F3110-ROUND(F3110,0))&lt;0.001,1,0)</f>
        <v/>
      </c>
      <c r="H3110">
        <f>IF(G3110=1,F3110,CEILING(F3110,1))</f>
        <v/>
      </c>
      <c r="I3110">
        <f>IF(G3110=1,0,(H3110-F3110)*E3110)</f>
        <v/>
      </c>
      <c r="J3110">
        <f>E3110*F3110</f>
        <v/>
      </c>
    </row>
    <row r="3111">
      <c r="A3111">
        <f>Sources!A3111</f>
        <v/>
      </c>
      <c r="B3111">
        <f>Sources!B3111</f>
        <v/>
      </c>
      <c r="C3111">
        <f>Sources!D3111</f>
        <v/>
      </c>
      <c r="D3111">
        <f>Sources!E3111</f>
        <v/>
      </c>
      <c r="E3111">
        <f>Sources!F3111</f>
        <v/>
      </c>
      <c r="F3111">
        <f>Sources!H3111</f>
        <v/>
      </c>
      <c r="G3111">
        <f>IF(ABS(F3111-ROUND(F3111,0))&lt;0.001,1,0)</f>
        <v/>
      </c>
      <c r="H3111">
        <f>IF(G3111=1,F3111,CEILING(F3111,1))</f>
        <v/>
      </c>
      <c r="I3111">
        <f>IF(G3111=1,0,(H3111-F3111)*E3111)</f>
        <v/>
      </c>
      <c r="J3111">
        <f>E3111*F3111</f>
        <v/>
      </c>
    </row>
    <row r="3112">
      <c r="A3112">
        <f>Sources!A3112</f>
        <v/>
      </c>
      <c r="B3112">
        <f>Sources!B3112</f>
        <v/>
      </c>
      <c r="C3112">
        <f>Sources!D3112</f>
        <v/>
      </c>
      <c r="D3112">
        <f>Sources!E3112</f>
        <v/>
      </c>
      <c r="E3112">
        <f>Sources!F3112</f>
        <v/>
      </c>
      <c r="F3112">
        <f>Sources!H3112</f>
        <v/>
      </c>
      <c r="G3112">
        <f>IF(ABS(F3112-ROUND(F3112,0))&lt;0.001,1,0)</f>
        <v/>
      </c>
      <c r="H3112">
        <f>IF(G3112=1,F3112,CEILING(F3112,1))</f>
        <v/>
      </c>
      <c r="I3112">
        <f>IF(G3112=1,0,(H3112-F3112)*E3112)</f>
        <v/>
      </c>
      <c r="J3112">
        <f>E3112*F3112</f>
        <v/>
      </c>
    </row>
    <row r="3113">
      <c r="A3113">
        <f>Sources!A3113</f>
        <v/>
      </c>
      <c r="B3113">
        <f>Sources!B3113</f>
        <v/>
      </c>
      <c r="C3113">
        <f>Sources!D3113</f>
        <v/>
      </c>
      <c r="D3113">
        <f>Sources!E3113</f>
        <v/>
      </c>
      <c r="E3113">
        <f>Sources!F3113</f>
        <v/>
      </c>
      <c r="F3113">
        <f>Sources!H3113</f>
        <v/>
      </c>
      <c r="G3113">
        <f>IF(ABS(F3113-ROUND(F3113,0))&lt;0.001,1,0)</f>
        <v/>
      </c>
      <c r="H3113">
        <f>IF(G3113=1,F3113,CEILING(F3113,1))</f>
        <v/>
      </c>
      <c r="I3113">
        <f>IF(G3113=1,0,(H3113-F3113)*E3113)</f>
        <v/>
      </c>
      <c r="J3113">
        <f>E3113*F3113</f>
        <v/>
      </c>
    </row>
    <row r="3114">
      <c r="A3114">
        <f>Sources!A3114</f>
        <v/>
      </c>
      <c r="B3114">
        <f>Sources!B3114</f>
        <v/>
      </c>
      <c r="C3114">
        <f>Sources!D3114</f>
        <v/>
      </c>
      <c r="D3114">
        <f>Sources!E3114</f>
        <v/>
      </c>
      <c r="E3114">
        <f>Sources!F3114</f>
        <v/>
      </c>
      <c r="F3114">
        <f>Sources!H3114</f>
        <v/>
      </c>
      <c r="G3114">
        <f>IF(ABS(F3114-ROUND(F3114,0))&lt;0.001,1,0)</f>
        <v/>
      </c>
      <c r="H3114">
        <f>IF(G3114=1,F3114,CEILING(F3114,1))</f>
        <v/>
      </c>
      <c r="I3114">
        <f>IF(G3114=1,0,(H3114-F3114)*E3114)</f>
        <v/>
      </c>
      <c r="J3114">
        <f>E3114*F3114</f>
        <v/>
      </c>
    </row>
    <row r="3115">
      <c r="A3115">
        <f>Sources!A3115</f>
        <v/>
      </c>
      <c r="B3115">
        <f>Sources!B3115</f>
        <v/>
      </c>
      <c r="C3115">
        <f>Sources!D3115</f>
        <v/>
      </c>
      <c r="D3115">
        <f>Sources!E3115</f>
        <v/>
      </c>
      <c r="E3115">
        <f>Sources!F3115</f>
        <v/>
      </c>
      <c r="F3115">
        <f>Sources!H3115</f>
        <v/>
      </c>
      <c r="G3115">
        <f>IF(ABS(F3115-ROUND(F3115,0))&lt;0.001,1,0)</f>
        <v/>
      </c>
      <c r="H3115">
        <f>IF(G3115=1,F3115,CEILING(F3115,1))</f>
        <v/>
      </c>
      <c r="I3115">
        <f>IF(G3115=1,0,(H3115-F3115)*E3115)</f>
        <v/>
      </c>
      <c r="J3115">
        <f>E3115*F3115</f>
        <v/>
      </c>
    </row>
    <row r="3116">
      <c r="A3116">
        <f>Sources!A3116</f>
        <v/>
      </c>
      <c r="B3116">
        <f>Sources!B3116</f>
        <v/>
      </c>
      <c r="C3116">
        <f>Sources!D3116</f>
        <v/>
      </c>
      <c r="D3116">
        <f>Sources!E3116</f>
        <v/>
      </c>
      <c r="E3116">
        <f>Sources!F3116</f>
        <v/>
      </c>
      <c r="F3116">
        <f>Sources!H3116</f>
        <v/>
      </c>
      <c r="G3116">
        <f>IF(ABS(F3116-ROUND(F3116,0))&lt;0.001,1,0)</f>
        <v/>
      </c>
      <c r="H3116">
        <f>IF(G3116=1,F3116,CEILING(F3116,1))</f>
        <v/>
      </c>
      <c r="I3116">
        <f>IF(G3116=1,0,(H3116-F3116)*E3116)</f>
        <v/>
      </c>
      <c r="J3116">
        <f>E3116*F3116</f>
        <v/>
      </c>
    </row>
    <row r="3117">
      <c r="A3117">
        <f>Sources!A3117</f>
        <v/>
      </c>
      <c r="B3117">
        <f>Sources!B3117</f>
        <v/>
      </c>
      <c r="C3117">
        <f>Sources!D3117</f>
        <v/>
      </c>
      <c r="D3117">
        <f>Sources!E3117</f>
        <v/>
      </c>
      <c r="E3117">
        <f>Sources!F3117</f>
        <v/>
      </c>
      <c r="F3117">
        <f>Sources!H3117</f>
        <v/>
      </c>
      <c r="G3117">
        <f>IF(ABS(F3117-ROUND(F3117,0))&lt;0.001,1,0)</f>
        <v/>
      </c>
      <c r="H3117">
        <f>IF(G3117=1,F3117,CEILING(F3117,1))</f>
        <v/>
      </c>
      <c r="I3117">
        <f>IF(G3117=1,0,(H3117-F3117)*E3117)</f>
        <v/>
      </c>
      <c r="J3117">
        <f>E3117*F3117</f>
        <v/>
      </c>
    </row>
    <row r="3118">
      <c r="A3118">
        <f>Sources!A3118</f>
        <v/>
      </c>
      <c r="B3118">
        <f>Sources!B3118</f>
        <v/>
      </c>
      <c r="C3118">
        <f>Sources!D3118</f>
        <v/>
      </c>
      <c r="D3118">
        <f>Sources!E3118</f>
        <v/>
      </c>
      <c r="E3118">
        <f>Sources!F3118</f>
        <v/>
      </c>
      <c r="F3118">
        <f>Sources!H3118</f>
        <v/>
      </c>
      <c r="G3118">
        <f>IF(ABS(F3118-ROUND(F3118,0))&lt;0.001,1,0)</f>
        <v/>
      </c>
      <c r="H3118">
        <f>IF(G3118=1,F3118,CEILING(F3118,1))</f>
        <v/>
      </c>
      <c r="I3118">
        <f>IF(G3118=1,0,(H3118-F3118)*E3118)</f>
        <v/>
      </c>
      <c r="J3118">
        <f>E3118*F3118</f>
        <v/>
      </c>
    </row>
    <row r="3119">
      <c r="A3119">
        <f>Sources!A3119</f>
        <v/>
      </c>
      <c r="B3119">
        <f>Sources!B3119</f>
        <v/>
      </c>
      <c r="C3119">
        <f>Sources!D3119</f>
        <v/>
      </c>
      <c r="D3119">
        <f>Sources!E3119</f>
        <v/>
      </c>
      <c r="E3119">
        <f>Sources!F3119</f>
        <v/>
      </c>
      <c r="F3119">
        <f>Sources!H3119</f>
        <v/>
      </c>
      <c r="G3119">
        <f>IF(ABS(F3119-ROUND(F3119,0))&lt;0.001,1,0)</f>
        <v/>
      </c>
      <c r="H3119">
        <f>IF(G3119=1,F3119,CEILING(F3119,1))</f>
        <v/>
      </c>
      <c r="I3119">
        <f>IF(G3119=1,0,(H3119-F3119)*E3119)</f>
        <v/>
      </c>
      <c r="J3119">
        <f>E3119*F3119</f>
        <v/>
      </c>
    </row>
    <row r="3120">
      <c r="A3120">
        <f>Sources!A3120</f>
        <v/>
      </c>
      <c r="B3120">
        <f>Sources!B3120</f>
        <v/>
      </c>
      <c r="C3120">
        <f>Sources!D3120</f>
        <v/>
      </c>
      <c r="D3120">
        <f>Sources!E3120</f>
        <v/>
      </c>
      <c r="E3120">
        <f>Sources!F3120</f>
        <v/>
      </c>
      <c r="F3120">
        <f>Sources!H3120</f>
        <v/>
      </c>
      <c r="G3120">
        <f>IF(ABS(F3120-ROUND(F3120,0))&lt;0.001,1,0)</f>
        <v/>
      </c>
      <c r="H3120">
        <f>IF(G3120=1,F3120,CEILING(F3120,1))</f>
        <v/>
      </c>
      <c r="I3120">
        <f>IF(G3120=1,0,(H3120-F3120)*E3120)</f>
        <v/>
      </c>
      <c r="J3120">
        <f>E3120*F3120</f>
        <v/>
      </c>
    </row>
    <row r="3121">
      <c r="A3121">
        <f>Sources!A3121</f>
        <v/>
      </c>
      <c r="B3121">
        <f>Sources!B3121</f>
        <v/>
      </c>
      <c r="C3121">
        <f>Sources!D3121</f>
        <v/>
      </c>
      <c r="D3121">
        <f>Sources!E3121</f>
        <v/>
      </c>
      <c r="E3121">
        <f>Sources!F3121</f>
        <v/>
      </c>
      <c r="F3121">
        <f>Sources!H3121</f>
        <v/>
      </c>
      <c r="G3121">
        <f>IF(ABS(F3121-ROUND(F3121,0))&lt;0.001,1,0)</f>
        <v/>
      </c>
      <c r="H3121">
        <f>IF(G3121=1,F3121,CEILING(F3121,1))</f>
        <v/>
      </c>
      <c r="I3121">
        <f>IF(G3121=1,0,(H3121-F3121)*E3121)</f>
        <v/>
      </c>
      <c r="J3121">
        <f>E3121*F3121</f>
        <v/>
      </c>
    </row>
    <row r="3122">
      <c r="A3122">
        <f>Sources!A3122</f>
        <v/>
      </c>
      <c r="B3122">
        <f>Sources!B3122</f>
        <v/>
      </c>
      <c r="C3122">
        <f>Sources!D3122</f>
        <v/>
      </c>
      <c r="D3122">
        <f>Sources!E3122</f>
        <v/>
      </c>
      <c r="E3122">
        <f>Sources!F3122</f>
        <v/>
      </c>
      <c r="F3122">
        <f>Sources!H3122</f>
        <v/>
      </c>
      <c r="G3122">
        <f>IF(ABS(F3122-ROUND(F3122,0))&lt;0.001,1,0)</f>
        <v/>
      </c>
      <c r="H3122">
        <f>IF(G3122=1,F3122,CEILING(F3122,1))</f>
        <v/>
      </c>
      <c r="I3122">
        <f>IF(G3122=1,0,(H3122-F3122)*E3122)</f>
        <v/>
      </c>
      <c r="J3122">
        <f>E3122*F3122</f>
        <v/>
      </c>
    </row>
    <row r="3123">
      <c r="A3123">
        <f>Sources!A3123</f>
        <v/>
      </c>
      <c r="B3123">
        <f>Sources!B3123</f>
        <v/>
      </c>
      <c r="C3123">
        <f>Sources!D3123</f>
        <v/>
      </c>
      <c r="D3123">
        <f>Sources!E3123</f>
        <v/>
      </c>
      <c r="E3123">
        <f>Sources!F3123</f>
        <v/>
      </c>
      <c r="F3123">
        <f>Sources!H3123</f>
        <v/>
      </c>
      <c r="G3123">
        <f>IF(ABS(F3123-ROUND(F3123,0))&lt;0.001,1,0)</f>
        <v/>
      </c>
      <c r="H3123">
        <f>IF(G3123=1,F3123,CEILING(F3123,1))</f>
        <v/>
      </c>
      <c r="I3123">
        <f>IF(G3123=1,0,(H3123-F3123)*E3123)</f>
        <v/>
      </c>
      <c r="J3123">
        <f>E3123*F3123</f>
        <v/>
      </c>
    </row>
    <row r="3124">
      <c r="A3124">
        <f>Sources!A3124</f>
        <v/>
      </c>
      <c r="B3124">
        <f>Sources!B3124</f>
        <v/>
      </c>
      <c r="C3124">
        <f>Sources!D3124</f>
        <v/>
      </c>
      <c r="D3124">
        <f>Sources!E3124</f>
        <v/>
      </c>
      <c r="E3124">
        <f>Sources!F3124</f>
        <v/>
      </c>
      <c r="F3124">
        <f>Sources!H3124</f>
        <v/>
      </c>
      <c r="G3124">
        <f>IF(ABS(F3124-ROUND(F3124,0))&lt;0.001,1,0)</f>
        <v/>
      </c>
      <c r="H3124">
        <f>IF(G3124=1,F3124,CEILING(F3124,1))</f>
        <v/>
      </c>
      <c r="I3124">
        <f>IF(G3124=1,0,(H3124-F3124)*E3124)</f>
        <v/>
      </c>
      <c r="J3124">
        <f>E3124*F3124</f>
        <v/>
      </c>
    </row>
    <row r="3125">
      <c r="A3125">
        <f>Sources!A3125</f>
        <v/>
      </c>
      <c r="B3125">
        <f>Sources!B3125</f>
        <v/>
      </c>
      <c r="C3125">
        <f>Sources!D3125</f>
        <v/>
      </c>
      <c r="D3125">
        <f>Sources!E3125</f>
        <v/>
      </c>
      <c r="E3125">
        <f>Sources!F3125</f>
        <v/>
      </c>
      <c r="F3125">
        <f>Sources!H3125</f>
        <v/>
      </c>
      <c r="G3125">
        <f>IF(ABS(F3125-ROUND(F3125,0))&lt;0.001,1,0)</f>
        <v/>
      </c>
      <c r="H3125">
        <f>IF(G3125=1,F3125,CEILING(F3125,1))</f>
        <v/>
      </c>
      <c r="I3125">
        <f>IF(G3125=1,0,(H3125-F3125)*E3125)</f>
        <v/>
      </c>
      <c r="J3125">
        <f>E3125*F3125</f>
        <v/>
      </c>
    </row>
    <row r="3126">
      <c r="A3126">
        <f>Sources!A3126</f>
        <v/>
      </c>
      <c r="B3126">
        <f>Sources!B3126</f>
        <v/>
      </c>
      <c r="C3126">
        <f>Sources!D3126</f>
        <v/>
      </c>
      <c r="D3126">
        <f>Sources!E3126</f>
        <v/>
      </c>
      <c r="E3126">
        <f>Sources!F3126</f>
        <v/>
      </c>
      <c r="F3126">
        <f>Sources!H3126</f>
        <v/>
      </c>
      <c r="G3126">
        <f>IF(ABS(F3126-ROUND(F3126,0))&lt;0.001,1,0)</f>
        <v/>
      </c>
      <c r="H3126">
        <f>IF(G3126=1,F3126,CEILING(F3126,1))</f>
        <v/>
      </c>
      <c r="I3126">
        <f>IF(G3126=1,0,(H3126-F3126)*E3126)</f>
        <v/>
      </c>
      <c r="J3126">
        <f>E3126*F3126</f>
        <v/>
      </c>
    </row>
    <row r="3127">
      <c r="A3127">
        <f>Sources!A3127</f>
        <v/>
      </c>
      <c r="B3127">
        <f>Sources!B3127</f>
        <v/>
      </c>
      <c r="C3127">
        <f>Sources!D3127</f>
        <v/>
      </c>
      <c r="D3127">
        <f>Sources!E3127</f>
        <v/>
      </c>
      <c r="E3127">
        <f>Sources!F3127</f>
        <v/>
      </c>
      <c r="F3127">
        <f>Sources!H3127</f>
        <v/>
      </c>
      <c r="G3127">
        <f>IF(ABS(F3127-ROUND(F3127,0))&lt;0.001,1,0)</f>
        <v/>
      </c>
      <c r="H3127">
        <f>IF(G3127=1,F3127,CEILING(F3127,1))</f>
        <v/>
      </c>
      <c r="I3127">
        <f>IF(G3127=1,0,(H3127-F3127)*E3127)</f>
        <v/>
      </c>
      <c r="J3127">
        <f>E3127*F3127</f>
        <v/>
      </c>
    </row>
    <row r="3128">
      <c r="A3128">
        <f>Sources!A3128</f>
        <v/>
      </c>
      <c r="B3128">
        <f>Sources!B3128</f>
        <v/>
      </c>
      <c r="C3128">
        <f>Sources!D3128</f>
        <v/>
      </c>
      <c r="D3128">
        <f>Sources!E3128</f>
        <v/>
      </c>
      <c r="E3128">
        <f>Sources!F3128</f>
        <v/>
      </c>
      <c r="F3128">
        <f>Sources!H3128</f>
        <v/>
      </c>
      <c r="G3128">
        <f>IF(ABS(F3128-ROUND(F3128,0))&lt;0.001,1,0)</f>
        <v/>
      </c>
      <c r="H3128">
        <f>IF(G3128=1,F3128,CEILING(F3128,1))</f>
        <v/>
      </c>
      <c r="I3128">
        <f>IF(G3128=1,0,(H3128-F3128)*E3128)</f>
        <v/>
      </c>
      <c r="J3128">
        <f>E3128*F3128</f>
        <v/>
      </c>
    </row>
    <row r="3129">
      <c r="A3129">
        <f>Sources!A3129</f>
        <v/>
      </c>
      <c r="B3129">
        <f>Sources!B3129</f>
        <v/>
      </c>
      <c r="C3129">
        <f>Sources!D3129</f>
        <v/>
      </c>
      <c r="D3129">
        <f>Sources!E3129</f>
        <v/>
      </c>
      <c r="E3129">
        <f>Sources!F3129</f>
        <v/>
      </c>
      <c r="F3129">
        <f>Sources!H3129</f>
        <v/>
      </c>
      <c r="G3129">
        <f>IF(ABS(F3129-ROUND(F3129,0))&lt;0.001,1,0)</f>
        <v/>
      </c>
      <c r="H3129">
        <f>IF(G3129=1,F3129,CEILING(F3129,1))</f>
        <v/>
      </c>
      <c r="I3129">
        <f>IF(G3129=1,0,(H3129-F3129)*E3129)</f>
        <v/>
      </c>
      <c r="J3129">
        <f>E3129*F3129</f>
        <v/>
      </c>
    </row>
    <row r="3130">
      <c r="A3130">
        <f>Sources!A3130</f>
        <v/>
      </c>
      <c r="B3130">
        <f>Sources!B3130</f>
        <v/>
      </c>
      <c r="C3130">
        <f>Sources!D3130</f>
        <v/>
      </c>
      <c r="D3130">
        <f>Sources!E3130</f>
        <v/>
      </c>
      <c r="E3130">
        <f>Sources!F3130</f>
        <v/>
      </c>
      <c r="F3130">
        <f>Sources!H3130</f>
        <v/>
      </c>
      <c r="G3130">
        <f>IF(ABS(F3130-ROUND(F3130,0))&lt;0.001,1,0)</f>
        <v/>
      </c>
      <c r="H3130">
        <f>IF(G3130=1,F3130,CEILING(F3130,1))</f>
        <v/>
      </c>
      <c r="I3130">
        <f>IF(G3130=1,0,(H3130-F3130)*E3130)</f>
        <v/>
      </c>
      <c r="J3130">
        <f>E3130*F3130</f>
        <v/>
      </c>
    </row>
    <row r="3131">
      <c r="A3131">
        <f>Sources!A3131</f>
        <v/>
      </c>
      <c r="B3131">
        <f>Sources!B3131</f>
        <v/>
      </c>
      <c r="C3131">
        <f>Sources!D3131</f>
        <v/>
      </c>
      <c r="D3131">
        <f>Sources!E3131</f>
        <v/>
      </c>
      <c r="E3131">
        <f>Sources!F3131</f>
        <v/>
      </c>
      <c r="F3131">
        <f>Sources!H3131</f>
        <v/>
      </c>
      <c r="G3131">
        <f>IF(ABS(F3131-ROUND(F3131,0))&lt;0.001,1,0)</f>
        <v/>
      </c>
      <c r="H3131">
        <f>IF(G3131=1,F3131,CEILING(F3131,1))</f>
        <v/>
      </c>
      <c r="I3131">
        <f>IF(G3131=1,0,(H3131-F3131)*E3131)</f>
        <v/>
      </c>
      <c r="J3131">
        <f>E3131*F3131</f>
        <v/>
      </c>
    </row>
    <row r="3132">
      <c r="A3132">
        <f>Sources!A3132</f>
        <v/>
      </c>
      <c r="B3132">
        <f>Sources!B3132</f>
        <v/>
      </c>
      <c r="C3132">
        <f>Sources!D3132</f>
        <v/>
      </c>
      <c r="D3132">
        <f>Sources!E3132</f>
        <v/>
      </c>
      <c r="E3132">
        <f>Sources!F3132</f>
        <v/>
      </c>
      <c r="F3132">
        <f>Sources!H3132</f>
        <v/>
      </c>
      <c r="G3132">
        <f>IF(ABS(F3132-ROUND(F3132,0))&lt;0.001,1,0)</f>
        <v/>
      </c>
      <c r="H3132">
        <f>IF(G3132=1,F3132,CEILING(F3132,1))</f>
        <v/>
      </c>
      <c r="I3132">
        <f>IF(G3132=1,0,(H3132-F3132)*E3132)</f>
        <v/>
      </c>
      <c r="J3132">
        <f>E3132*F3132</f>
        <v/>
      </c>
    </row>
    <row r="3133">
      <c r="A3133">
        <f>Sources!A3133</f>
        <v/>
      </c>
      <c r="B3133">
        <f>Sources!B3133</f>
        <v/>
      </c>
      <c r="C3133">
        <f>Sources!D3133</f>
        <v/>
      </c>
      <c r="D3133">
        <f>Sources!E3133</f>
        <v/>
      </c>
      <c r="E3133">
        <f>Sources!F3133</f>
        <v/>
      </c>
      <c r="F3133">
        <f>Sources!H3133</f>
        <v/>
      </c>
      <c r="G3133">
        <f>IF(ABS(F3133-ROUND(F3133,0))&lt;0.001,1,0)</f>
        <v/>
      </c>
      <c r="H3133">
        <f>IF(G3133=1,F3133,CEILING(F3133,1))</f>
        <v/>
      </c>
      <c r="I3133">
        <f>IF(G3133=1,0,(H3133-F3133)*E3133)</f>
        <v/>
      </c>
      <c r="J3133">
        <f>E3133*F3133</f>
        <v/>
      </c>
    </row>
    <row r="3134">
      <c r="A3134">
        <f>Sources!A3134</f>
        <v/>
      </c>
      <c r="B3134">
        <f>Sources!B3134</f>
        <v/>
      </c>
      <c r="C3134">
        <f>Sources!D3134</f>
        <v/>
      </c>
      <c r="D3134">
        <f>Sources!E3134</f>
        <v/>
      </c>
      <c r="E3134">
        <f>Sources!F3134</f>
        <v/>
      </c>
      <c r="F3134">
        <f>Sources!H3134</f>
        <v/>
      </c>
      <c r="G3134">
        <f>IF(ABS(F3134-ROUND(F3134,0))&lt;0.001,1,0)</f>
        <v/>
      </c>
      <c r="H3134">
        <f>IF(G3134=1,F3134,CEILING(F3134,1))</f>
        <v/>
      </c>
      <c r="I3134">
        <f>IF(G3134=1,0,(H3134-F3134)*E3134)</f>
        <v/>
      </c>
      <c r="J3134">
        <f>E3134*F3134</f>
        <v/>
      </c>
    </row>
    <row r="3135">
      <c r="A3135">
        <f>Sources!A3135</f>
        <v/>
      </c>
      <c r="B3135">
        <f>Sources!B3135</f>
        <v/>
      </c>
      <c r="C3135">
        <f>Sources!D3135</f>
        <v/>
      </c>
      <c r="D3135">
        <f>Sources!E3135</f>
        <v/>
      </c>
      <c r="E3135">
        <f>Sources!F3135</f>
        <v/>
      </c>
      <c r="F3135">
        <f>Sources!H3135</f>
        <v/>
      </c>
      <c r="G3135">
        <f>IF(ABS(F3135-ROUND(F3135,0))&lt;0.001,1,0)</f>
        <v/>
      </c>
      <c r="H3135">
        <f>IF(G3135=1,F3135,CEILING(F3135,1))</f>
        <v/>
      </c>
      <c r="I3135">
        <f>IF(G3135=1,0,(H3135-F3135)*E3135)</f>
        <v/>
      </c>
      <c r="J3135">
        <f>E3135*F3135</f>
        <v/>
      </c>
    </row>
    <row r="3136">
      <c r="A3136">
        <f>Sources!A3136</f>
        <v/>
      </c>
      <c r="B3136">
        <f>Sources!B3136</f>
        <v/>
      </c>
      <c r="C3136">
        <f>Sources!D3136</f>
        <v/>
      </c>
      <c r="D3136">
        <f>Sources!E3136</f>
        <v/>
      </c>
      <c r="E3136">
        <f>Sources!F3136</f>
        <v/>
      </c>
      <c r="F3136">
        <f>Sources!H3136</f>
        <v/>
      </c>
      <c r="G3136">
        <f>IF(ABS(F3136-ROUND(F3136,0))&lt;0.001,1,0)</f>
        <v/>
      </c>
      <c r="H3136">
        <f>IF(G3136=1,F3136,CEILING(F3136,1))</f>
        <v/>
      </c>
      <c r="I3136">
        <f>IF(G3136=1,0,(H3136-F3136)*E3136)</f>
        <v/>
      </c>
      <c r="J3136">
        <f>E3136*F3136</f>
        <v/>
      </c>
    </row>
    <row r="3137">
      <c r="A3137">
        <f>Sources!A3137</f>
        <v/>
      </c>
      <c r="B3137">
        <f>Sources!B3137</f>
        <v/>
      </c>
      <c r="C3137">
        <f>Sources!D3137</f>
        <v/>
      </c>
      <c r="D3137">
        <f>Sources!E3137</f>
        <v/>
      </c>
      <c r="E3137">
        <f>Sources!F3137</f>
        <v/>
      </c>
      <c r="F3137">
        <f>Sources!H3137</f>
        <v/>
      </c>
      <c r="G3137">
        <f>IF(ABS(F3137-ROUND(F3137,0))&lt;0.001,1,0)</f>
        <v/>
      </c>
      <c r="H3137">
        <f>IF(G3137=1,F3137,CEILING(F3137,1))</f>
        <v/>
      </c>
      <c r="I3137">
        <f>IF(G3137=1,0,(H3137-F3137)*E3137)</f>
        <v/>
      </c>
      <c r="J3137">
        <f>E3137*F3137</f>
        <v/>
      </c>
    </row>
    <row r="3138">
      <c r="A3138">
        <f>Sources!A3138</f>
        <v/>
      </c>
      <c r="B3138">
        <f>Sources!B3138</f>
        <v/>
      </c>
      <c r="C3138">
        <f>Sources!D3138</f>
        <v/>
      </c>
      <c r="D3138">
        <f>Sources!E3138</f>
        <v/>
      </c>
      <c r="E3138">
        <f>Sources!F3138</f>
        <v/>
      </c>
      <c r="F3138">
        <f>Sources!H3138</f>
        <v/>
      </c>
      <c r="G3138">
        <f>IF(ABS(F3138-ROUND(F3138,0))&lt;0.001,1,0)</f>
        <v/>
      </c>
      <c r="H3138">
        <f>IF(G3138=1,F3138,CEILING(F3138,1))</f>
        <v/>
      </c>
      <c r="I3138">
        <f>IF(G3138=1,0,(H3138-F3138)*E3138)</f>
        <v/>
      </c>
      <c r="J3138">
        <f>E3138*F3138</f>
        <v/>
      </c>
    </row>
    <row r="3139">
      <c r="A3139">
        <f>Sources!A3139</f>
        <v/>
      </c>
      <c r="B3139">
        <f>Sources!B3139</f>
        <v/>
      </c>
      <c r="C3139">
        <f>Sources!D3139</f>
        <v/>
      </c>
      <c r="D3139">
        <f>Sources!E3139</f>
        <v/>
      </c>
      <c r="E3139">
        <f>Sources!F3139</f>
        <v/>
      </c>
      <c r="F3139">
        <f>Sources!H3139</f>
        <v/>
      </c>
      <c r="G3139">
        <f>IF(ABS(F3139-ROUND(F3139,0))&lt;0.001,1,0)</f>
        <v/>
      </c>
      <c r="H3139">
        <f>IF(G3139=1,F3139,CEILING(F3139,1))</f>
        <v/>
      </c>
      <c r="I3139">
        <f>IF(G3139=1,0,(H3139-F3139)*E3139)</f>
        <v/>
      </c>
      <c r="J3139">
        <f>E3139*F3139</f>
        <v/>
      </c>
    </row>
    <row r="3140">
      <c r="A3140">
        <f>Sources!A3140</f>
        <v/>
      </c>
      <c r="B3140">
        <f>Sources!B3140</f>
        <v/>
      </c>
      <c r="C3140">
        <f>Sources!D3140</f>
        <v/>
      </c>
      <c r="D3140">
        <f>Sources!E3140</f>
        <v/>
      </c>
      <c r="E3140">
        <f>Sources!F3140</f>
        <v/>
      </c>
      <c r="F3140">
        <f>Sources!H3140</f>
        <v/>
      </c>
      <c r="G3140">
        <f>IF(ABS(F3140-ROUND(F3140,0))&lt;0.001,1,0)</f>
        <v/>
      </c>
      <c r="H3140">
        <f>IF(G3140=1,F3140,CEILING(F3140,1))</f>
        <v/>
      </c>
      <c r="I3140">
        <f>IF(G3140=1,0,(H3140-F3140)*E3140)</f>
        <v/>
      </c>
      <c r="J3140">
        <f>E3140*F3140</f>
        <v/>
      </c>
    </row>
    <row r="3141">
      <c r="A3141">
        <f>Sources!A3141</f>
        <v/>
      </c>
      <c r="B3141">
        <f>Sources!B3141</f>
        <v/>
      </c>
      <c r="C3141">
        <f>Sources!D3141</f>
        <v/>
      </c>
      <c r="D3141">
        <f>Sources!E3141</f>
        <v/>
      </c>
      <c r="E3141">
        <f>Sources!F3141</f>
        <v/>
      </c>
      <c r="F3141">
        <f>Sources!H3141</f>
        <v/>
      </c>
      <c r="G3141">
        <f>IF(ABS(F3141-ROUND(F3141,0))&lt;0.001,1,0)</f>
        <v/>
      </c>
      <c r="H3141">
        <f>IF(G3141=1,F3141,CEILING(F3141,1))</f>
        <v/>
      </c>
      <c r="I3141">
        <f>IF(G3141=1,0,(H3141-F3141)*E3141)</f>
        <v/>
      </c>
      <c r="J3141">
        <f>E3141*F3141</f>
        <v/>
      </c>
    </row>
    <row r="3142">
      <c r="A3142">
        <f>Sources!A3142</f>
        <v/>
      </c>
      <c r="B3142">
        <f>Sources!B3142</f>
        <v/>
      </c>
      <c r="C3142">
        <f>Sources!D3142</f>
        <v/>
      </c>
      <c r="D3142">
        <f>Sources!E3142</f>
        <v/>
      </c>
      <c r="E3142">
        <f>Sources!F3142</f>
        <v/>
      </c>
      <c r="F3142">
        <f>Sources!H3142</f>
        <v/>
      </c>
      <c r="G3142">
        <f>IF(ABS(F3142-ROUND(F3142,0))&lt;0.001,1,0)</f>
        <v/>
      </c>
      <c r="H3142">
        <f>IF(G3142=1,F3142,CEILING(F3142,1))</f>
        <v/>
      </c>
      <c r="I3142">
        <f>IF(G3142=1,0,(H3142-F3142)*E3142)</f>
        <v/>
      </c>
      <c r="J3142">
        <f>E3142*F3142</f>
        <v/>
      </c>
    </row>
    <row r="3143">
      <c r="A3143">
        <f>Sources!A3143</f>
        <v/>
      </c>
      <c r="B3143">
        <f>Sources!B3143</f>
        <v/>
      </c>
      <c r="C3143">
        <f>Sources!D3143</f>
        <v/>
      </c>
      <c r="D3143">
        <f>Sources!E3143</f>
        <v/>
      </c>
      <c r="E3143">
        <f>Sources!F3143</f>
        <v/>
      </c>
      <c r="F3143">
        <f>Sources!H3143</f>
        <v/>
      </c>
      <c r="G3143">
        <f>IF(ABS(F3143-ROUND(F3143,0))&lt;0.001,1,0)</f>
        <v/>
      </c>
      <c r="H3143">
        <f>IF(G3143=1,F3143,CEILING(F3143,1))</f>
        <v/>
      </c>
      <c r="I3143">
        <f>IF(G3143=1,0,(H3143-F3143)*E3143)</f>
        <v/>
      </c>
      <c r="J3143">
        <f>E3143*F3143</f>
        <v/>
      </c>
    </row>
    <row r="3144">
      <c r="A3144">
        <f>Sources!A3144</f>
        <v/>
      </c>
      <c r="B3144">
        <f>Sources!B3144</f>
        <v/>
      </c>
      <c r="C3144">
        <f>Sources!D3144</f>
        <v/>
      </c>
      <c r="D3144">
        <f>Sources!E3144</f>
        <v/>
      </c>
      <c r="E3144">
        <f>Sources!F3144</f>
        <v/>
      </c>
      <c r="F3144">
        <f>Sources!H3144</f>
        <v/>
      </c>
      <c r="G3144">
        <f>IF(ABS(F3144-ROUND(F3144,0))&lt;0.001,1,0)</f>
        <v/>
      </c>
      <c r="H3144">
        <f>IF(G3144=1,F3144,CEILING(F3144,1))</f>
        <v/>
      </c>
      <c r="I3144">
        <f>IF(G3144=1,0,(H3144-F3144)*E3144)</f>
        <v/>
      </c>
      <c r="J3144">
        <f>E3144*F3144</f>
        <v/>
      </c>
    </row>
    <row r="3145">
      <c r="A3145">
        <f>Sources!A3145</f>
        <v/>
      </c>
      <c r="B3145">
        <f>Sources!B3145</f>
        <v/>
      </c>
      <c r="C3145">
        <f>Sources!D3145</f>
        <v/>
      </c>
      <c r="D3145">
        <f>Sources!E3145</f>
        <v/>
      </c>
      <c r="E3145">
        <f>Sources!F3145</f>
        <v/>
      </c>
      <c r="F3145">
        <f>Sources!H3145</f>
        <v/>
      </c>
      <c r="G3145">
        <f>IF(ABS(F3145-ROUND(F3145,0))&lt;0.001,1,0)</f>
        <v/>
      </c>
      <c r="H3145">
        <f>IF(G3145=1,F3145,CEILING(F3145,1))</f>
        <v/>
      </c>
      <c r="I3145">
        <f>IF(G3145=1,0,(H3145-F3145)*E3145)</f>
        <v/>
      </c>
      <c r="J3145">
        <f>E3145*F3145</f>
        <v/>
      </c>
    </row>
    <row r="3146">
      <c r="A3146">
        <f>Sources!A3146</f>
        <v/>
      </c>
      <c r="B3146">
        <f>Sources!B3146</f>
        <v/>
      </c>
      <c r="C3146">
        <f>Sources!D3146</f>
        <v/>
      </c>
      <c r="D3146">
        <f>Sources!E3146</f>
        <v/>
      </c>
      <c r="E3146">
        <f>Sources!F3146</f>
        <v/>
      </c>
      <c r="F3146">
        <f>Sources!H3146</f>
        <v/>
      </c>
      <c r="G3146">
        <f>IF(ABS(F3146-ROUND(F3146,0))&lt;0.001,1,0)</f>
        <v/>
      </c>
      <c r="H3146">
        <f>IF(G3146=1,F3146,CEILING(F3146,1))</f>
        <v/>
      </c>
      <c r="I3146">
        <f>IF(G3146=1,0,(H3146-F3146)*E3146)</f>
        <v/>
      </c>
      <c r="J3146">
        <f>E3146*F3146</f>
        <v/>
      </c>
    </row>
    <row r="3147">
      <c r="A3147">
        <f>Sources!A3147</f>
        <v/>
      </c>
      <c r="B3147">
        <f>Sources!B3147</f>
        <v/>
      </c>
      <c r="C3147">
        <f>Sources!D3147</f>
        <v/>
      </c>
      <c r="D3147">
        <f>Sources!E3147</f>
        <v/>
      </c>
      <c r="E3147">
        <f>Sources!F3147</f>
        <v/>
      </c>
      <c r="F3147">
        <f>Sources!H3147</f>
        <v/>
      </c>
      <c r="G3147">
        <f>IF(ABS(F3147-ROUND(F3147,0))&lt;0.001,1,0)</f>
        <v/>
      </c>
      <c r="H3147">
        <f>IF(G3147=1,F3147,CEILING(F3147,1))</f>
        <v/>
      </c>
      <c r="I3147">
        <f>IF(G3147=1,0,(H3147-F3147)*E3147)</f>
        <v/>
      </c>
      <c r="J3147">
        <f>E3147*F3147</f>
        <v/>
      </c>
    </row>
    <row r="3148">
      <c r="A3148">
        <f>Sources!A3148</f>
        <v/>
      </c>
      <c r="B3148">
        <f>Sources!B3148</f>
        <v/>
      </c>
      <c r="C3148">
        <f>Sources!D3148</f>
        <v/>
      </c>
      <c r="D3148">
        <f>Sources!E3148</f>
        <v/>
      </c>
      <c r="E3148">
        <f>Sources!F3148</f>
        <v/>
      </c>
      <c r="F3148">
        <f>Sources!H3148</f>
        <v/>
      </c>
      <c r="G3148">
        <f>IF(ABS(F3148-ROUND(F3148,0))&lt;0.001,1,0)</f>
        <v/>
      </c>
      <c r="H3148">
        <f>IF(G3148=1,F3148,CEILING(F3148,1))</f>
        <v/>
      </c>
      <c r="I3148">
        <f>IF(G3148=1,0,(H3148-F3148)*E3148)</f>
        <v/>
      </c>
      <c r="J3148">
        <f>E3148*F3148</f>
        <v/>
      </c>
    </row>
    <row r="3149">
      <c r="A3149">
        <f>Sources!A3149</f>
        <v/>
      </c>
      <c r="B3149">
        <f>Sources!B3149</f>
        <v/>
      </c>
      <c r="C3149">
        <f>Sources!D3149</f>
        <v/>
      </c>
      <c r="D3149">
        <f>Sources!E3149</f>
        <v/>
      </c>
      <c r="E3149">
        <f>Sources!F3149</f>
        <v/>
      </c>
      <c r="F3149">
        <f>Sources!H3149</f>
        <v/>
      </c>
      <c r="G3149">
        <f>IF(ABS(F3149-ROUND(F3149,0))&lt;0.001,1,0)</f>
        <v/>
      </c>
      <c r="H3149">
        <f>IF(G3149=1,F3149,CEILING(F3149,1))</f>
        <v/>
      </c>
      <c r="I3149">
        <f>IF(G3149=1,0,(H3149-F3149)*E3149)</f>
        <v/>
      </c>
      <c r="J3149">
        <f>E3149*F3149</f>
        <v/>
      </c>
    </row>
    <row r="3150">
      <c r="A3150">
        <f>Sources!A3150</f>
        <v/>
      </c>
      <c r="B3150">
        <f>Sources!B3150</f>
        <v/>
      </c>
      <c r="C3150">
        <f>Sources!D3150</f>
        <v/>
      </c>
      <c r="D3150">
        <f>Sources!E3150</f>
        <v/>
      </c>
      <c r="E3150">
        <f>Sources!F3150</f>
        <v/>
      </c>
      <c r="F3150">
        <f>Sources!H3150</f>
        <v/>
      </c>
      <c r="G3150">
        <f>IF(ABS(F3150-ROUND(F3150,0))&lt;0.001,1,0)</f>
        <v/>
      </c>
      <c r="H3150">
        <f>IF(G3150=1,F3150,CEILING(F3150,1))</f>
        <v/>
      </c>
      <c r="I3150">
        <f>IF(G3150=1,0,(H3150-F3150)*E3150)</f>
        <v/>
      </c>
      <c r="J3150">
        <f>E3150*F3150</f>
        <v/>
      </c>
    </row>
    <row r="3151">
      <c r="A3151">
        <f>Sources!A3151</f>
        <v/>
      </c>
      <c r="B3151">
        <f>Sources!B3151</f>
        <v/>
      </c>
      <c r="C3151">
        <f>Sources!D3151</f>
        <v/>
      </c>
      <c r="D3151">
        <f>Sources!E3151</f>
        <v/>
      </c>
      <c r="E3151">
        <f>Sources!F3151</f>
        <v/>
      </c>
      <c r="F3151">
        <f>Sources!H3151</f>
        <v/>
      </c>
      <c r="G3151">
        <f>IF(ABS(F3151-ROUND(F3151,0))&lt;0.001,1,0)</f>
        <v/>
      </c>
      <c r="H3151">
        <f>IF(G3151=1,F3151,CEILING(F3151,1))</f>
        <v/>
      </c>
      <c r="I3151">
        <f>IF(G3151=1,0,(H3151-F3151)*E3151)</f>
        <v/>
      </c>
      <c r="J3151">
        <f>E3151*F3151</f>
        <v/>
      </c>
    </row>
    <row r="3152">
      <c r="A3152">
        <f>Sources!A3152</f>
        <v/>
      </c>
      <c r="B3152">
        <f>Sources!B3152</f>
        <v/>
      </c>
      <c r="C3152">
        <f>Sources!D3152</f>
        <v/>
      </c>
      <c r="D3152">
        <f>Sources!E3152</f>
        <v/>
      </c>
      <c r="E3152">
        <f>Sources!F3152</f>
        <v/>
      </c>
      <c r="F3152">
        <f>Sources!H3152</f>
        <v/>
      </c>
      <c r="G3152">
        <f>IF(ABS(F3152-ROUND(F3152,0))&lt;0.001,1,0)</f>
        <v/>
      </c>
      <c r="H3152">
        <f>IF(G3152=1,F3152,CEILING(F3152,1))</f>
        <v/>
      </c>
      <c r="I3152">
        <f>IF(G3152=1,0,(H3152-F3152)*E3152)</f>
        <v/>
      </c>
      <c r="J3152">
        <f>E3152*F3152</f>
        <v/>
      </c>
    </row>
    <row r="3153">
      <c r="A3153">
        <f>Sources!A3153</f>
        <v/>
      </c>
      <c r="B3153">
        <f>Sources!B3153</f>
        <v/>
      </c>
      <c r="C3153">
        <f>Sources!D3153</f>
        <v/>
      </c>
      <c r="D3153">
        <f>Sources!E3153</f>
        <v/>
      </c>
      <c r="E3153">
        <f>Sources!F3153</f>
        <v/>
      </c>
      <c r="F3153">
        <f>Sources!H3153</f>
        <v/>
      </c>
      <c r="G3153">
        <f>IF(ABS(F3153-ROUND(F3153,0))&lt;0.001,1,0)</f>
        <v/>
      </c>
      <c r="H3153">
        <f>IF(G3153=1,F3153,CEILING(F3153,1))</f>
        <v/>
      </c>
      <c r="I3153">
        <f>IF(G3153=1,0,(H3153-F3153)*E3153)</f>
        <v/>
      </c>
      <c r="J3153">
        <f>E3153*F3153</f>
        <v/>
      </c>
    </row>
    <row r="3154">
      <c r="A3154">
        <f>Sources!A3154</f>
        <v/>
      </c>
      <c r="B3154">
        <f>Sources!B3154</f>
        <v/>
      </c>
      <c r="C3154">
        <f>Sources!D3154</f>
        <v/>
      </c>
      <c r="D3154">
        <f>Sources!E3154</f>
        <v/>
      </c>
      <c r="E3154">
        <f>Sources!F3154</f>
        <v/>
      </c>
      <c r="F3154">
        <f>Sources!H3154</f>
        <v/>
      </c>
      <c r="G3154">
        <f>IF(ABS(F3154-ROUND(F3154,0))&lt;0.001,1,0)</f>
        <v/>
      </c>
      <c r="H3154">
        <f>IF(G3154=1,F3154,CEILING(F3154,1))</f>
        <v/>
      </c>
      <c r="I3154">
        <f>IF(G3154=1,0,(H3154-F3154)*E3154)</f>
        <v/>
      </c>
      <c r="J3154">
        <f>E3154*F3154</f>
        <v/>
      </c>
    </row>
    <row r="3155">
      <c r="A3155">
        <f>Sources!A3155</f>
        <v/>
      </c>
      <c r="B3155">
        <f>Sources!B3155</f>
        <v/>
      </c>
      <c r="C3155">
        <f>Sources!D3155</f>
        <v/>
      </c>
      <c r="D3155">
        <f>Sources!E3155</f>
        <v/>
      </c>
      <c r="E3155">
        <f>Sources!F3155</f>
        <v/>
      </c>
      <c r="F3155">
        <f>Sources!H3155</f>
        <v/>
      </c>
      <c r="G3155">
        <f>IF(ABS(F3155-ROUND(F3155,0))&lt;0.001,1,0)</f>
        <v/>
      </c>
      <c r="H3155">
        <f>IF(G3155=1,F3155,CEILING(F3155,1))</f>
        <v/>
      </c>
      <c r="I3155">
        <f>IF(G3155=1,0,(H3155-F3155)*E3155)</f>
        <v/>
      </c>
      <c r="J3155">
        <f>E3155*F3155</f>
        <v/>
      </c>
    </row>
    <row r="3156">
      <c r="A3156">
        <f>Sources!A3156</f>
        <v/>
      </c>
      <c r="B3156">
        <f>Sources!B3156</f>
        <v/>
      </c>
      <c r="C3156">
        <f>Sources!D3156</f>
        <v/>
      </c>
      <c r="D3156">
        <f>Sources!E3156</f>
        <v/>
      </c>
      <c r="E3156">
        <f>Sources!F3156</f>
        <v/>
      </c>
      <c r="F3156">
        <f>Sources!H3156</f>
        <v/>
      </c>
      <c r="G3156">
        <f>IF(ABS(F3156-ROUND(F3156,0))&lt;0.001,1,0)</f>
        <v/>
      </c>
      <c r="H3156">
        <f>IF(G3156=1,F3156,CEILING(F3156,1))</f>
        <v/>
      </c>
      <c r="I3156">
        <f>IF(G3156=1,0,(H3156-F3156)*E3156)</f>
        <v/>
      </c>
      <c r="J3156">
        <f>E3156*F3156</f>
        <v/>
      </c>
    </row>
    <row r="3157">
      <c r="A3157">
        <f>Sources!A3157</f>
        <v/>
      </c>
      <c r="B3157">
        <f>Sources!B3157</f>
        <v/>
      </c>
      <c r="C3157">
        <f>Sources!D3157</f>
        <v/>
      </c>
      <c r="D3157">
        <f>Sources!E3157</f>
        <v/>
      </c>
      <c r="E3157">
        <f>Sources!F3157</f>
        <v/>
      </c>
      <c r="F3157">
        <f>Sources!H3157</f>
        <v/>
      </c>
      <c r="G3157">
        <f>IF(ABS(F3157-ROUND(F3157,0))&lt;0.001,1,0)</f>
        <v/>
      </c>
      <c r="H3157">
        <f>IF(G3157=1,F3157,CEILING(F3157,1))</f>
        <v/>
      </c>
      <c r="I3157">
        <f>IF(G3157=1,0,(H3157-F3157)*E3157)</f>
        <v/>
      </c>
      <c r="J3157">
        <f>E3157*F3157</f>
        <v/>
      </c>
    </row>
    <row r="3158">
      <c r="A3158">
        <f>Sources!A3158</f>
        <v/>
      </c>
      <c r="B3158">
        <f>Sources!B3158</f>
        <v/>
      </c>
      <c r="C3158">
        <f>Sources!D3158</f>
        <v/>
      </c>
      <c r="D3158">
        <f>Sources!E3158</f>
        <v/>
      </c>
      <c r="E3158">
        <f>Sources!F3158</f>
        <v/>
      </c>
      <c r="F3158">
        <f>Sources!H3158</f>
        <v/>
      </c>
      <c r="G3158">
        <f>IF(ABS(F3158-ROUND(F3158,0))&lt;0.001,1,0)</f>
        <v/>
      </c>
      <c r="H3158">
        <f>IF(G3158=1,F3158,CEILING(F3158,1))</f>
        <v/>
      </c>
      <c r="I3158">
        <f>IF(G3158=1,0,(H3158-F3158)*E3158)</f>
        <v/>
      </c>
      <c r="J3158">
        <f>E3158*F3158</f>
        <v/>
      </c>
    </row>
    <row r="3159">
      <c r="A3159">
        <f>Sources!A3159</f>
        <v/>
      </c>
      <c r="B3159">
        <f>Sources!B3159</f>
        <v/>
      </c>
      <c r="C3159">
        <f>Sources!D3159</f>
        <v/>
      </c>
      <c r="D3159">
        <f>Sources!E3159</f>
        <v/>
      </c>
      <c r="E3159">
        <f>Sources!F3159</f>
        <v/>
      </c>
      <c r="F3159">
        <f>Sources!H3159</f>
        <v/>
      </c>
      <c r="G3159">
        <f>IF(ABS(F3159-ROUND(F3159,0))&lt;0.001,1,0)</f>
        <v/>
      </c>
      <c r="H3159">
        <f>IF(G3159=1,F3159,CEILING(F3159,1))</f>
        <v/>
      </c>
      <c r="I3159">
        <f>IF(G3159=1,0,(H3159-F3159)*E3159)</f>
        <v/>
      </c>
      <c r="J3159">
        <f>E3159*F3159</f>
        <v/>
      </c>
    </row>
    <row r="3160">
      <c r="A3160">
        <f>Sources!A3160</f>
        <v/>
      </c>
      <c r="B3160">
        <f>Sources!B3160</f>
        <v/>
      </c>
      <c r="C3160">
        <f>Sources!D3160</f>
        <v/>
      </c>
      <c r="D3160">
        <f>Sources!E3160</f>
        <v/>
      </c>
      <c r="E3160">
        <f>Sources!F3160</f>
        <v/>
      </c>
      <c r="F3160">
        <f>Sources!H3160</f>
        <v/>
      </c>
      <c r="G3160">
        <f>IF(ABS(F3160-ROUND(F3160,0))&lt;0.001,1,0)</f>
        <v/>
      </c>
      <c r="H3160">
        <f>IF(G3160=1,F3160,CEILING(F3160,1))</f>
        <v/>
      </c>
      <c r="I3160">
        <f>IF(G3160=1,0,(H3160-F3160)*E3160)</f>
        <v/>
      </c>
      <c r="J3160">
        <f>E3160*F3160</f>
        <v/>
      </c>
    </row>
    <row r="3161">
      <c r="A3161">
        <f>Sources!A3161</f>
        <v/>
      </c>
      <c r="B3161">
        <f>Sources!B3161</f>
        <v/>
      </c>
      <c r="C3161">
        <f>Sources!D3161</f>
        <v/>
      </c>
      <c r="D3161">
        <f>Sources!E3161</f>
        <v/>
      </c>
      <c r="E3161">
        <f>Sources!F3161</f>
        <v/>
      </c>
      <c r="F3161">
        <f>Sources!H3161</f>
        <v/>
      </c>
      <c r="G3161">
        <f>IF(ABS(F3161-ROUND(F3161,0))&lt;0.001,1,0)</f>
        <v/>
      </c>
      <c r="H3161">
        <f>IF(G3161=1,F3161,CEILING(F3161,1))</f>
        <v/>
      </c>
      <c r="I3161">
        <f>IF(G3161=1,0,(H3161-F3161)*E3161)</f>
        <v/>
      </c>
      <c r="J3161">
        <f>E3161*F3161</f>
        <v/>
      </c>
    </row>
    <row r="3162">
      <c r="A3162">
        <f>Sources!A3162</f>
        <v/>
      </c>
      <c r="B3162">
        <f>Sources!B3162</f>
        <v/>
      </c>
      <c r="C3162">
        <f>Sources!D3162</f>
        <v/>
      </c>
      <c r="D3162">
        <f>Sources!E3162</f>
        <v/>
      </c>
      <c r="E3162">
        <f>Sources!F3162</f>
        <v/>
      </c>
      <c r="F3162">
        <f>Sources!H3162</f>
        <v/>
      </c>
      <c r="G3162">
        <f>IF(ABS(F3162-ROUND(F3162,0))&lt;0.001,1,0)</f>
        <v/>
      </c>
      <c r="H3162">
        <f>IF(G3162=1,F3162,CEILING(F3162,1))</f>
        <v/>
      </c>
      <c r="I3162">
        <f>IF(G3162=1,0,(H3162-F3162)*E3162)</f>
        <v/>
      </c>
      <c r="J3162">
        <f>E3162*F3162</f>
        <v/>
      </c>
    </row>
    <row r="3163">
      <c r="A3163">
        <f>Sources!A3163</f>
        <v/>
      </c>
      <c r="B3163">
        <f>Sources!B3163</f>
        <v/>
      </c>
      <c r="C3163">
        <f>Sources!D3163</f>
        <v/>
      </c>
      <c r="D3163">
        <f>Sources!E3163</f>
        <v/>
      </c>
      <c r="E3163">
        <f>Sources!F3163</f>
        <v/>
      </c>
      <c r="F3163">
        <f>Sources!H3163</f>
        <v/>
      </c>
      <c r="G3163">
        <f>IF(ABS(F3163-ROUND(F3163,0))&lt;0.001,1,0)</f>
        <v/>
      </c>
      <c r="H3163">
        <f>IF(G3163=1,F3163,CEILING(F3163,1))</f>
        <v/>
      </c>
      <c r="I3163">
        <f>IF(G3163=1,0,(H3163-F3163)*E3163)</f>
        <v/>
      </c>
      <c r="J3163">
        <f>E3163*F3163</f>
        <v/>
      </c>
    </row>
    <row r="3164">
      <c r="A3164">
        <f>Sources!A3164</f>
        <v/>
      </c>
      <c r="B3164">
        <f>Sources!B3164</f>
        <v/>
      </c>
      <c r="C3164">
        <f>Sources!D3164</f>
        <v/>
      </c>
      <c r="D3164">
        <f>Sources!E3164</f>
        <v/>
      </c>
      <c r="E3164">
        <f>Sources!F3164</f>
        <v/>
      </c>
      <c r="F3164">
        <f>Sources!H3164</f>
        <v/>
      </c>
      <c r="G3164">
        <f>IF(ABS(F3164-ROUND(F3164,0))&lt;0.001,1,0)</f>
        <v/>
      </c>
      <c r="H3164">
        <f>IF(G3164=1,F3164,CEILING(F3164,1))</f>
        <v/>
      </c>
      <c r="I3164">
        <f>IF(G3164=1,0,(H3164-F3164)*E3164)</f>
        <v/>
      </c>
      <c r="J3164">
        <f>E3164*F3164</f>
        <v/>
      </c>
    </row>
    <row r="3165">
      <c r="A3165">
        <f>Sources!A3165</f>
        <v/>
      </c>
      <c r="B3165">
        <f>Sources!B3165</f>
        <v/>
      </c>
      <c r="C3165">
        <f>Sources!D3165</f>
        <v/>
      </c>
      <c r="D3165">
        <f>Sources!E3165</f>
        <v/>
      </c>
      <c r="E3165">
        <f>Sources!F3165</f>
        <v/>
      </c>
      <c r="F3165">
        <f>Sources!H3165</f>
        <v/>
      </c>
      <c r="G3165">
        <f>IF(ABS(F3165-ROUND(F3165,0))&lt;0.001,1,0)</f>
        <v/>
      </c>
      <c r="H3165">
        <f>IF(G3165=1,F3165,CEILING(F3165,1))</f>
        <v/>
      </c>
      <c r="I3165">
        <f>IF(G3165=1,0,(H3165-F3165)*E3165)</f>
        <v/>
      </c>
      <c r="J3165">
        <f>E3165*F3165</f>
        <v/>
      </c>
    </row>
    <row r="3166">
      <c r="A3166">
        <f>Sources!A3166</f>
        <v/>
      </c>
      <c r="B3166">
        <f>Sources!B3166</f>
        <v/>
      </c>
      <c r="C3166">
        <f>Sources!D3166</f>
        <v/>
      </c>
      <c r="D3166">
        <f>Sources!E3166</f>
        <v/>
      </c>
      <c r="E3166">
        <f>Sources!F3166</f>
        <v/>
      </c>
      <c r="F3166">
        <f>Sources!H3166</f>
        <v/>
      </c>
      <c r="G3166">
        <f>IF(ABS(F3166-ROUND(F3166,0))&lt;0.001,1,0)</f>
        <v/>
      </c>
      <c r="H3166">
        <f>IF(G3166=1,F3166,CEILING(F3166,1))</f>
        <v/>
      </c>
      <c r="I3166">
        <f>IF(G3166=1,0,(H3166-F3166)*E3166)</f>
        <v/>
      </c>
      <c r="J3166">
        <f>E3166*F3166</f>
        <v/>
      </c>
    </row>
    <row r="3167">
      <c r="A3167">
        <f>Sources!A3167</f>
        <v/>
      </c>
      <c r="B3167">
        <f>Sources!B3167</f>
        <v/>
      </c>
      <c r="C3167">
        <f>Sources!D3167</f>
        <v/>
      </c>
      <c r="D3167">
        <f>Sources!E3167</f>
        <v/>
      </c>
      <c r="E3167">
        <f>Sources!F3167</f>
        <v/>
      </c>
      <c r="F3167">
        <f>Sources!H3167</f>
        <v/>
      </c>
      <c r="G3167">
        <f>IF(ABS(F3167-ROUND(F3167,0))&lt;0.001,1,0)</f>
        <v/>
      </c>
      <c r="H3167">
        <f>IF(G3167=1,F3167,CEILING(F3167,1))</f>
        <v/>
      </c>
      <c r="I3167">
        <f>IF(G3167=1,0,(H3167-F3167)*E3167)</f>
        <v/>
      </c>
      <c r="J3167">
        <f>E3167*F3167</f>
        <v/>
      </c>
    </row>
    <row r="3168">
      <c r="A3168">
        <f>Sources!A3168</f>
        <v/>
      </c>
      <c r="B3168">
        <f>Sources!B3168</f>
        <v/>
      </c>
      <c r="C3168">
        <f>Sources!D3168</f>
        <v/>
      </c>
      <c r="D3168">
        <f>Sources!E3168</f>
        <v/>
      </c>
      <c r="E3168">
        <f>Sources!F3168</f>
        <v/>
      </c>
      <c r="F3168">
        <f>Sources!H3168</f>
        <v/>
      </c>
      <c r="G3168">
        <f>IF(ABS(F3168-ROUND(F3168,0))&lt;0.001,1,0)</f>
        <v/>
      </c>
      <c r="H3168">
        <f>IF(G3168=1,F3168,CEILING(F3168,1))</f>
        <v/>
      </c>
      <c r="I3168">
        <f>IF(G3168=1,0,(H3168-F3168)*E3168)</f>
        <v/>
      </c>
      <c r="J3168">
        <f>E3168*F3168</f>
        <v/>
      </c>
    </row>
    <row r="3169">
      <c r="A3169">
        <f>Sources!A3169</f>
        <v/>
      </c>
      <c r="B3169">
        <f>Sources!B3169</f>
        <v/>
      </c>
      <c r="C3169">
        <f>Sources!D3169</f>
        <v/>
      </c>
      <c r="D3169">
        <f>Sources!E3169</f>
        <v/>
      </c>
      <c r="E3169">
        <f>Sources!F3169</f>
        <v/>
      </c>
      <c r="F3169">
        <f>Sources!H3169</f>
        <v/>
      </c>
      <c r="G3169">
        <f>IF(ABS(F3169-ROUND(F3169,0))&lt;0.001,1,0)</f>
        <v/>
      </c>
      <c r="H3169">
        <f>IF(G3169=1,F3169,CEILING(F3169,1))</f>
        <v/>
      </c>
      <c r="I3169">
        <f>IF(G3169=1,0,(H3169-F3169)*E3169)</f>
        <v/>
      </c>
      <c r="J3169">
        <f>E3169*F3169</f>
        <v/>
      </c>
    </row>
    <row r="3170">
      <c r="A3170">
        <f>Sources!A3170</f>
        <v/>
      </c>
      <c r="B3170">
        <f>Sources!B3170</f>
        <v/>
      </c>
      <c r="C3170">
        <f>Sources!D3170</f>
        <v/>
      </c>
      <c r="D3170">
        <f>Sources!E3170</f>
        <v/>
      </c>
      <c r="E3170">
        <f>Sources!F3170</f>
        <v/>
      </c>
      <c r="F3170">
        <f>Sources!H3170</f>
        <v/>
      </c>
      <c r="G3170">
        <f>IF(ABS(F3170-ROUND(F3170,0))&lt;0.001,1,0)</f>
        <v/>
      </c>
      <c r="H3170">
        <f>IF(G3170=1,F3170,CEILING(F3170,1))</f>
        <v/>
      </c>
      <c r="I3170">
        <f>IF(G3170=1,0,(H3170-F3170)*E3170)</f>
        <v/>
      </c>
      <c r="J3170">
        <f>E3170*F3170</f>
        <v/>
      </c>
    </row>
    <row r="3171">
      <c r="A3171">
        <f>Sources!A3171</f>
        <v/>
      </c>
      <c r="B3171">
        <f>Sources!B3171</f>
        <v/>
      </c>
      <c r="C3171">
        <f>Sources!D3171</f>
        <v/>
      </c>
      <c r="D3171">
        <f>Sources!E3171</f>
        <v/>
      </c>
      <c r="E3171">
        <f>Sources!F3171</f>
        <v/>
      </c>
      <c r="F3171">
        <f>Sources!H3171</f>
        <v/>
      </c>
      <c r="G3171">
        <f>IF(ABS(F3171-ROUND(F3171,0))&lt;0.001,1,0)</f>
        <v/>
      </c>
      <c r="H3171">
        <f>IF(G3171=1,F3171,CEILING(F3171,1))</f>
        <v/>
      </c>
      <c r="I3171">
        <f>IF(G3171=1,0,(H3171-F3171)*E3171)</f>
        <v/>
      </c>
      <c r="J3171">
        <f>E3171*F3171</f>
        <v/>
      </c>
    </row>
    <row r="3172">
      <c r="A3172">
        <f>Sources!A3172</f>
        <v/>
      </c>
      <c r="B3172">
        <f>Sources!B3172</f>
        <v/>
      </c>
      <c r="C3172">
        <f>Sources!D3172</f>
        <v/>
      </c>
      <c r="D3172">
        <f>Sources!E3172</f>
        <v/>
      </c>
      <c r="E3172">
        <f>Sources!F3172</f>
        <v/>
      </c>
      <c r="F3172">
        <f>Sources!H3172</f>
        <v/>
      </c>
      <c r="G3172">
        <f>IF(ABS(F3172-ROUND(F3172,0))&lt;0.001,1,0)</f>
        <v/>
      </c>
      <c r="H3172">
        <f>IF(G3172=1,F3172,CEILING(F3172,1))</f>
        <v/>
      </c>
      <c r="I3172">
        <f>IF(G3172=1,0,(H3172-F3172)*E3172)</f>
        <v/>
      </c>
      <c r="J3172">
        <f>E3172*F3172</f>
        <v/>
      </c>
    </row>
    <row r="3173">
      <c r="A3173">
        <f>Sources!A3173</f>
        <v/>
      </c>
      <c r="B3173">
        <f>Sources!B3173</f>
        <v/>
      </c>
      <c r="C3173">
        <f>Sources!D3173</f>
        <v/>
      </c>
      <c r="D3173">
        <f>Sources!E3173</f>
        <v/>
      </c>
      <c r="E3173">
        <f>Sources!F3173</f>
        <v/>
      </c>
      <c r="F3173">
        <f>Sources!H3173</f>
        <v/>
      </c>
      <c r="G3173">
        <f>IF(ABS(F3173-ROUND(F3173,0))&lt;0.001,1,0)</f>
        <v/>
      </c>
      <c r="H3173">
        <f>IF(G3173=1,F3173,CEILING(F3173,1))</f>
        <v/>
      </c>
      <c r="I3173">
        <f>IF(G3173=1,0,(H3173-F3173)*E3173)</f>
        <v/>
      </c>
      <c r="J3173">
        <f>E3173*F3173</f>
        <v/>
      </c>
    </row>
    <row r="3174">
      <c r="A3174">
        <f>Sources!A3174</f>
        <v/>
      </c>
      <c r="B3174">
        <f>Sources!B3174</f>
        <v/>
      </c>
      <c r="C3174">
        <f>Sources!D3174</f>
        <v/>
      </c>
      <c r="D3174">
        <f>Sources!E3174</f>
        <v/>
      </c>
      <c r="E3174">
        <f>Sources!F3174</f>
        <v/>
      </c>
      <c r="F3174">
        <f>Sources!H3174</f>
        <v/>
      </c>
      <c r="G3174">
        <f>IF(ABS(F3174-ROUND(F3174,0))&lt;0.001,1,0)</f>
        <v/>
      </c>
      <c r="H3174">
        <f>IF(G3174=1,F3174,CEILING(F3174,1))</f>
        <v/>
      </c>
      <c r="I3174">
        <f>IF(G3174=1,0,(H3174-F3174)*E3174)</f>
        <v/>
      </c>
      <c r="J3174">
        <f>E3174*F3174</f>
        <v/>
      </c>
    </row>
    <row r="3175">
      <c r="A3175">
        <f>Sources!A3175</f>
        <v/>
      </c>
      <c r="B3175">
        <f>Sources!B3175</f>
        <v/>
      </c>
      <c r="C3175">
        <f>Sources!D3175</f>
        <v/>
      </c>
      <c r="D3175">
        <f>Sources!E3175</f>
        <v/>
      </c>
      <c r="E3175">
        <f>Sources!F3175</f>
        <v/>
      </c>
      <c r="F3175">
        <f>Sources!H3175</f>
        <v/>
      </c>
      <c r="G3175">
        <f>IF(ABS(F3175-ROUND(F3175,0))&lt;0.001,1,0)</f>
        <v/>
      </c>
      <c r="H3175">
        <f>IF(G3175=1,F3175,CEILING(F3175,1))</f>
        <v/>
      </c>
      <c r="I3175">
        <f>IF(G3175=1,0,(H3175-F3175)*E3175)</f>
        <v/>
      </c>
      <c r="J3175">
        <f>E3175*F3175</f>
        <v/>
      </c>
    </row>
    <row r="3176">
      <c r="A3176">
        <f>Sources!A3176</f>
        <v/>
      </c>
      <c r="B3176">
        <f>Sources!B3176</f>
        <v/>
      </c>
      <c r="C3176">
        <f>Sources!D3176</f>
        <v/>
      </c>
      <c r="D3176">
        <f>Sources!E3176</f>
        <v/>
      </c>
      <c r="E3176">
        <f>Sources!F3176</f>
        <v/>
      </c>
      <c r="F3176">
        <f>Sources!H3176</f>
        <v/>
      </c>
      <c r="G3176">
        <f>IF(ABS(F3176-ROUND(F3176,0))&lt;0.001,1,0)</f>
        <v/>
      </c>
      <c r="H3176">
        <f>IF(G3176=1,F3176,CEILING(F3176,1))</f>
        <v/>
      </c>
      <c r="I3176">
        <f>IF(G3176=1,0,(H3176-F3176)*E3176)</f>
        <v/>
      </c>
      <c r="J3176">
        <f>E3176*F3176</f>
        <v/>
      </c>
    </row>
    <row r="3177">
      <c r="A3177">
        <f>Sources!A3177</f>
        <v/>
      </c>
      <c r="B3177">
        <f>Sources!B3177</f>
        <v/>
      </c>
      <c r="C3177">
        <f>Sources!D3177</f>
        <v/>
      </c>
      <c r="D3177">
        <f>Sources!E3177</f>
        <v/>
      </c>
      <c r="E3177">
        <f>Sources!F3177</f>
        <v/>
      </c>
      <c r="F3177">
        <f>Sources!H3177</f>
        <v/>
      </c>
      <c r="G3177">
        <f>IF(ABS(F3177-ROUND(F3177,0))&lt;0.001,1,0)</f>
        <v/>
      </c>
      <c r="H3177">
        <f>IF(G3177=1,F3177,CEILING(F3177,1))</f>
        <v/>
      </c>
      <c r="I3177">
        <f>IF(G3177=1,0,(H3177-F3177)*E3177)</f>
        <v/>
      </c>
      <c r="J3177">
        <f>E3177*F3177</f>
        <v/>
      </c>
    </row>
    <row r="3178">
      <c r="A3178">
        <f>Sources!A3178</f>
        <v/>
      </c>
      <c r="B3178">
        <f>Sources!B3178</f>
        <v/>
      </c>
      <c r="C3178">
        <f>Sources!D3178</f>
        <v/>
      </c>
      <c r="D3178">
        <f>Sources!E3178</f>
        <v/>
      </c>
      <c r="E3178">
        <f>Sources!F3178</f>
        <v/>
      </c>
      <c r="F3178">
        <f>Sources!H3178</f>
        <v/>
      </c>
      <c r="G3178">
        <f>IF(ABS(F3178-ROUND(F3178,0))&lt;0.001,1,0)</f>
        <v/>
      </c>
      <c r="H3178">
        <f>IF(G3178=1,F3178,CEILING(F3178,1))</f>
        <v/>
      </c>
      <c r="I3178">
        <f>IF(G3178=1,0,(H3178-F3178)*E3178)</f>
        <v/>
      </c>
      <c r="J3178">
        <f>E3178*F3178</f>
        <v/>
      </c>
    </row>
    <row r="3179">
      <c r="A3179">
        <f>Sources!A3179</f>
        <v/>
      </c>
      <c r="B3179">
        <f>Sources!B3179</f>
        <v/>
      </c>
      <c r="C3179">
        <f>Sources!D3179</f>
        <v/>
      </c>
      <c r="D3179">
        <f>Sources!E3179</f>
        <v/>
      </c>
      <c r="E3179">
        <f>Sources!F3179</f>
        <v/>
      </c>
      <c r="F3179">
        <f>Sources!H3179</f>
        <v/>
      </c>
      <c r="G3179">
        <f>IF(ABS(F3179-ROUND(F3179,0))&lt;0.001,1,0)</f>
        <v/>
      </c>
      <c r="H3179">
        <f>IF(G3179=1,F3179,CEILING(F3179,1))</f>
        <v/>
      </c>
      <c r="I3179">
        <f>IF(G3179=1,0,(H3179-F3179)*E3179)</f>
        <v/>
      </c>
      <c r="J3179">
        <f>E3179*F3179</f>
        <v/>
      </c>
    </row>
    <row r="3180">
      <c r="A3180">
        <f>Sources!A3180</f>
        <v/>
      </c>
      <c r="B3180">
        <f>Sources!B3180</f>
        <v/>
      </c>
      <c r="C3180">
        <f>Sources!D3180</f>
        <v/>
      </c>
      <c r="D3180">
        <f>Sources!E3180</f>
        <v/>
      </c>
      <c r="E3180">
        <f>Sources!F3180</f>
        <v/>
      </c>
      <c r="F3180">
        <f>Sources!H3180</f>
        <v/>
      </c>
      <c r="G3180">
        <f>IF(ABS(F3180-ROUND(F3180,0))&lt;0.001,1,0)</f>
        <v/>
      </c>
      <c r="H3180">
        <f>IF(G3180=1,F3180,CEILING(F3180,1))</f>
        <v/>
      </c>
      <c r="I3180">
        <f>IF(G3180=1,0,(H3180-F3180)*E3180)</f>
        <v/>
      </c>
      <c r="J3180">
        <f>E3180*F3180</f>
        <v/>
      </c>
    </row>
    <row r="3181">
      <c r="A3181">
        <f>Sources!A3181</f>
        <v/>
      </c>
      <c r="B3181">
        <f>Sources!B3181</f>
        <v/>
      </c>
      <c r="C3181">
        <f>Sources!D3181</f>
        <v/>
      </c>
      <c r="D3181">
        <f>Sources!E3181</f>
        <v/>
      </c>
      <c r="E3181">
        <f>Sources!F3181</f>
        <v/>
      </c>
      <c r="F3181">
        <f>Sources!H3181</f>
        <v/>
      </c>
      <c r="G3181">
        <f>IF(ABS(F3181-ROUND(F3181,0))&lt;0.001,1,0)</f>
        <v/>
      </c>
      <c r="H3181">
        <f>IF(G3181=1,F3181,CEILING(F3181,1))</f>
        <v/>
      </c>
      <c r="I3181">
        <f>IF(G3181=1,0,(H3181-F3181)*E3181)</f>
        <v/>
      </c>
      <c r="J3181">
        <f>E3181*F3181</f>
        <v/>
      </c>
    </row>
    <row r="3182">
      <c r="A3182">
        <f>Sources!A3182</f>
        <v/>
      </c>
      <c r="B3182">
        <f>Sources!B3182</f>
        <v/>
      </c>
      <c r="C3182">
        <f>Sources!D3182</f>
        <v/>
      </c>
      <c r="D3182">
        <f>Sources!E3182</f>
        <v/>
      </c>
      <c r="E3182">
        <f>Sources!F3182</f>
        <v/>
      </c>
      <c r="F3182">
        <f>Sources!H3182</f>
        <v/>
      </c>
      <c r="G3182">
        <f>IF(ABS(F3182-ROUND(F3182,0))&lt;0.001,1,0)</f>
        <v/>
      </c>
      <c r="H3182">
        <f>IF(G3182=1,F3182,CEILING(F3182,1))</f>
        <v/>
      </c>
      <c r="I3182">
        <f>IF(G3182=1,0,(H3182-F3182)*E3182)</f>
        <v/>
      </c>
      <c r="J3182">
        <f>E3182*F3182</f>
        <v/>
      </c>
    </row>
    <row r="3183">
      <c r="A3183">
        <f>Sources!A3183</f>
        <v/>
      </c>
      <c r="B3183">
        <f>Sources!B3183</f>
        <v/>
      </c>
      <c r="C3183">
        <f>Sources!D3183</f>
        <v/>
      </c>
      <c r="D3183">
        <f>Sources!E3183</f>
        <v/>
      </c>
      <c r="E3183">
        <f>Sources!F3183</f>
        <v/>
      </c>
      <c r="F3183">
        <f>Sources!H3183</f>
        <v/>
      </c>
      <c r="G3183">
        <f>IF(ABS(F3183-ROUND(F3183,0))&lt;0.001,1,0)</f>
        <v/>
      </c>
      <c r="H3183">
        <f>IF(G3183=1,F3183,CEILING(F3183,1))</f>
        <v/>
      </c>
      <c r="I3183">
        <f>IF(G3183=1,0,(H3183-F3183)*E3183)</f>
        <v/>
      </c>
      <c r="J3183">
        <f>E3183*F3183</f>
        <v/>
      </c>
    </row>
    <row r="3184">
      <c r="A3184">
        <f>Sources!A3184</f>
        <v/>
      </c>
      <c r="B3184">
        <f>Sources!B3184</f>
        <v/>
      </c>
      <c r="C3184">
        <f>Sources!D3184</f>
        <v/>
      </c>
      <c r="D3184">
        <f>Sources!E3184</f>
        <v/>
      </c>
      <c r="E3184">
        <f>Sources!F3184</f>
        <v/>
      </c>
      <c r="F3184">
        <f>Sources!H3184</f>
        <v/>
      </c>
      <c r="G3184">
        <f>IF(ABS(F3184-ROUND(F3184,0))&lt;0.001,1,0)</f>
        <v/>
      </c>
      <c r="H3184">
        <f>IF(G3184=1,F3184,CEILING(F3184,1))</f>
        <v/>
      </c>
      <c r="I3184">
        <f>IF(G3184=1,0,(H3184-F3184)*E3184)</f>
        <v/>
      </c>
      <c r="J3184">
        <f>E3184*F3184</f>
        <v/>
      </c>
    </row>
    <row r="3185">
      <c r="A3185">
        <f>Sources!A3185</f>
        <v/>
      </c>
      <c r="B3185">
        <f>Sources!B3185</f>
        <v/>
      </c>
      <c r="C3185">
        <f>Sources!D3185</f>
        <v/>
      </c>
      <c r="D3185">
        <f>Sources!E3185</f>
        <v/>
      </c>
      <c r="E3185">
        <f>Sources!F3185</f>
        <v/>
      </c>
      <c r="F3185">
        <f>Sources!H3185</f>
        <v/>
      </c>
      <c r="G3185">
        <f>IF(ABS(F3185-ROUND(F3185,0))&lt;0.001,1,0)</f>
        <v/>
      </c>
      <c r="H3185">
        <f>IF(G3185=1,F3185,CEILING(F3185,1))</f>
        <v/>
      </c>
      <c r="I3185">
        <f>IF(G3185=1,0,(H3185-F3185)*E3185)</f>
        <v/>
      </c>
      <c r="J3185">
        <f>E3185*F3185</f>
        <v/>
      </c>
    </row>
    <row r="3186">
      <c r="A3186">
        <f>Sources!A3186</f>
        <v/>
      </c>
      <c r="B3186">
        <f>Sources!B3186</f>
        <v/>
      </c>
      <c r="C3186">
        <f>Sources!D3186</f>
        <v/>
      </c>
      <c r="D3186">
        <f>Sources!E3186</f>
        <v/>
      </c>
      <c r="E3186">
        <f>Sources!F3186</f>
        <v/>
      </c>
      <c r="F3186">
        <f>Sources!H3186</f>
        <v/>
      </c>
      <c r="G3186">
        <f>IF(ABS(F3186-ROUND(F3186,0))&lt;0.001,1,0)</f>
        <v/>
      </c>
      <c r="H3186">
        <f>IF(G3186=1,F3186,CEILING(F3186,1))</f>
        <v/>
      </c>
      <c r="I3186">
        <f>IF(G3186=1,0,(H3186-F3186)*E3186)</f>
        <v/>
      </c>
      <c r="J3186">
        <f>E3186*F3186</f>
        <v/>
      </c>
    </row>
    <row r="3187">
      <c r="A3187">
        <f>Sources!A3187</f>
        <v/>
      </c>
      <c r="B3187">
        <f>Sources!B3187</f>
        <v/>
      </c>
      <c r="C3187">
        <f>Sources!D3187</f>
        <v/>
      </c>
      <c r="D3187">
        <f>Sources!E3187</f>
        <v/>
      </c>
      <c r="E3187">
        <f>Sources!F3187</f>
        <v/>
      </c>
      <c r="F3187">
        <f>Sources!H3187</f>
        <v/>
      </c>
      <c r="G3187">
        <f>IF(ABS(F3187-ROUND(F3187,0))&lt;0.001,1,0)</f>
        <v/>
      </c>
      <c r="H3187">
        <f>IF(G3187=1,F3187,CEILING(F3187,1))</f>
        <v/>
      </c>
      <c r="I3187">
        <f>IF(G3187=1,0,(H3187-F3187)*E3187)</f>
        <v/>
      </c>
      <c r="J3187">
        <f>E3187*F3187</f>
        <v/>
      </c>
    </row>
    <row r="3188">
      <c r="A3188">
        <f>Sources!A3188</f>
        <v/>
      </c>
      <c r="B3188">
        <f>Sources!B3188</f>
        <v/>
      </c>
      <c r="C3188">
        <f>Sources!D3188</f>
        <v/>
      </c>
      <c r="D3188">
        <f>Sources!E3188</f>
        <v/>
      </c>
      <c r="E3188">
        <f>Sources!F3188</f>
        <v/>
      </c>
      <c r="F3188">
        <f>Sources!H3188</f>
        <v/>
      </c>
      <c r="G3188">
        <f>IF(ABS(F3188-ROUND(F3188,0))&lt;0.001,1,0)</f>
        <v/>
      </c>
      <c r="H3188">
        <f>IF(G3188=1,F3188,CEILING(F3188,1))</f>
        <v/>
      </c>
      <c r="I3188">
        <f>IF(G3188=1,0,(H3188-F3188)*E3188)</f>
        <v/>
      </c>
      <c r="J3188">
        <f>E3188*F3188</f>
        <v/>
      </c>
    </row>
    <row r="3189">
      <c r="A3189">
        <f>Sources!A3189</f>
        <v/>
      </c>
      <c r="B3189">
        <f>Sources!B3189</f>
        <v/>
      </c>
      <c r="C3189">
        <f>Sources!D3189</f>
        <v/>
      </c>
      <c r="D3189">
        <f>Sources!E3189</f>
        <v/>
      </c>
      <c r="E3189">
        <f>Sources!F3189</f>
        <v/>
      </c>
      <c r="F3189">
        <f>Sources!H3189</f>
        <v/>
      </c>
      <c r="G3189">
        <f>IF(ABS(F3189-ROUND(F3189,0))&lt;0.001,1,0)</f>
        <v/>
      </c>
      <c r="H3189">
        <f>IF(G3189=1,F3189,CEILING(F3189,1))</f>
        <v/>
      </c>
      <c r="I3189">
        <f>IF(G3189=1,0,(H3189-F3189)*E3189)</f>
        <v/>
      </c>
      <c r="J3189">
        <f>E3189*F3189</f>
        <v/>
      </c>
    </row>
    <row r="3190">
      <c r="A3190">
        <f>Sources!A3190</f>
        <v/>
      </c>
      <c r="B3190">
        <f>Sources!B3190</f>
        <v/>
      </c>
      <c r="C3190">
        <f>Sources!D3190</f>
        <v/>
      </c>
      <c r="D3190">
        <f>Sources!E3190</f>
        <v/>
      </c>
      <c r="E3190">
        <f>Sources!F3190</f>
        <v/>
      </c>
      <c r="F3190">
        <f>Sources!H3190</f>
        <v/>
      </c>
      <c r="G3190">
        <f>IF(ABS(F3190-ROUND(F3190,0))&lt;0.001,1,0)</f>
        <v/>
      </c>
      <c r="H3190">
        <f>IF(G3190=1,F3190,CEILING(F3190,1))</f>
        <v/>
      </c>
      <c r="I3190">
        <f>IF(G3190=1,0,(H3190-F3190)*E3190)</f>
        <v/>
      </c>
      <c r="J3190">
        <f>E3190*F3190</f>
        <v/>
      </c>
    </row>
    <row r="3191">
      <c r="A3191">
        <f>Sources!A3191</f>
        <v/>
      </c>
      <c r="B3191">
        <f>Sources!B3191</f>
        <v/>
      </c>
      <c r="C3191">
        <f>Sources!D3191</f>
        <v/>
      </c>
      <c r="D3191">
        <f>Sources!E3191</f>
        <v/>
      </c>
      <c r="E3191">
        <f>Sources!F3191</f>
        <v/>
      </c>
      <c r="F3191">
        <f>Sources!H3191</f>
        <v/>
      </c>
      <c r="G3191">
        <f>IF(ABS(F3191-ROUND(F3191,0))&lt;0.001,1,0)</f>
        <v/>
      </c>
      <c r="H3191">
        <f>IF(G3191=1,F3191,CEILING(F3191,1))</f>
        <v/>
      </c>
      <c r="I3191">
        <f>IF(G3191=1,0,(H3191-F3191)*E3191)</f>
        <v/>
      </c>
      <c r="J3191">
        <f>E3191*F3191</f>
        <v/>
      </c>
    </row>
    <row r="3192">
      <c r="A3192">
        <f>Sources!A3192</f>
        <v/>
      </c>
      <c r="B3192">
        <f>Sources!B3192</f>
        <v/>
      </c>
      <c r="C3192">
        <f>Sources!D3192</f>
        <v/>
      </c>
      <c r="D3192">
        <f>Sources!E3192</f>
        <v/>
      </c>
      <c r="E3192">
        <f>Sources!F3192</f>
        <v/>
      </c>
      <c r="F3192">
        <f>Sources!H3192</f>
        <v/>
      </c>
      <c r="G3192">
        <f>IF(ABS(F3192-ROUND(F3192,0))&lt;0.001,1,0)</f>
        <v/>
      </c>
      <c r="H3192">
        <f>IF(G3192=1,F3192,CEILING(F3192,1))</f>
        <v/>
      </c>
      <c r="I3192">
        <f>IF(G3192=1,0,(H3192-F3192)*E3192)</f>
        <v/>
      </c>
      <c r="J3192">
        <f>E3192*F3192</f>
        <v/>
      </c>
    </row>
    <row r="3193">
      <c r="A3193">
        <f>Sources!A3193</f>
        <v/>
      </c>
      <c r="B3193">
        <f>Sources!B3193</f>
        <v/>
      </c>
      <c r="C3193">
        <f>Sources!D3193</f>
        <v/>
      </c>
      <c r="D3193">
        <f>Sources!E3193</f>
        <v/>
      </c>
      <c r="E3193">
        <f>Sources!F3193</f>
        <v/>
      </c>
      <c r="F3193">
        <f>Sources!H3193</f>
        <v/>
      </c>
      <c r="G3193">
        <f>IF(ABS(F3193-ROUND(F3193,0))&lt;0.001,1,0)</f>
        <v/>
      </c>
      <c r="H3193">
        <f>IF(G3193=1,F3193,CEILING(F3193,1))</f>
        <v/>
      </c>
      <c r="I3193">
        <f>IF(G3193=1,0,(H3193-F3193)*E3193)</f>
        <v/>
      </c>
      <c r="J3193">
        <f>E3193*F3193</f>
        <v/>
      </c>
    </row>
    <row r="3194">
      <c r="A3194">
        <f>Sources!A3194</f>
        <v/>
      </c>
      <c r="B3194">
        <f>Sources!B3194</f>
        <v/>
      </c>
      <c r="C3194">
        <f>Sources!D3194</f>
        <v/>
      </c>
      <c r="D3194">
        <f>Sources!E3194</f>
        <v/>
      </c>
      <c r="E3194">
        <f>Sources!F3194</f>
        <v/>
      </c>
      <c r="F3194">
        <f>Sources!H3194</f>
        <v/>
      </c>
      <c r="G3194">
        <f>IF(ABS(F3194-ROUND(F3194,0))&lt;0.001,1,0)</f>
        <v/>
      </c>
      <c r="H3194">
        <f>IF(G3194=1,F3194,CEILING(F3194,1))</f>
        <v/>
      </c>
      <c r="I3194">
        <f>IF(G3194=1,0,(H3194-F3194)*E3194)</f>
        <v/>
      </c>
      <c r="J3194">
        <f>E3194*F3194</f>
        <v/>
      </c>
    </row>
    <row r="3195">
      <c r="A3195">
        <f>Sources!A3195</f>
        <v/>
      </c>
      <c r="B3195">
        <f>Sources!B3195</f>
        <v/>
      </c>
      <c r="C3195">
        <f>Sources!D3195</f>
        <v/>
      </c>
      <c r="D3195">
        <f>Sources!E3195</f>
        <v/>
      </c>
      <c r="E3195">
        <f>Sources!F3195</f>
        <v/>
      </c>
      <c r="F3195">
        <f>Sources!H3195</f>
        <v/>
      </c>
      <c r="G3195">
        <f>IF(ABS(F3195-ROUND(F3195,0))&lt;0.001,1,0)</f>
        <v/>
      </c>
      <c r="H3195">
        <f>IF(G3195=1,F3195,CEILING(F3195,1))</f>
        <v/>
      </c>
      <c r="I3195">
        <f>IF(G3195=1,0,(H3195-F3195)*E3195)</f>
        <v/>
      </c>
      <c r="J3195">
        <f>E3195*F3195</f>
        <v/>
      </c>
    </row>
    <row r="3196">
      <c r="A3196">
        <f>Sources!A3196</f>
        <v/>
      </c>
      <c r="B3196">
        <f>Sources!B3196</f>
        <v/>
      </c>
      <c r="C3196">
        <f>Sources!D3196</f>
        <v/>
      </c>
      <c r="D3196">
        <f>Sources!E3196</f>
        <v/>
      </c>
      <c r="E3196">
        <f>Sources!F3196</f>
        <v/>
      </c>
      <c r="F3196">
        <f>Sources!H3196</f>
        <v/>
      </c>
      <c r="G3196">
        <f>IF(ABS(F3196-ROUND(F3196,0))&lt;0.001,1,0)</f>
        <v/>
      </c>
      <c r="H3196">
        <f>IF(G3196=1,F3196,CEILING(F3196,1))</f>
        <v/>
      </c>
      <c r="I3196">
        <f>IF(G3196=1,0,(H3196-F3196)*E3196)</f>
        <v/>
      </c>
      <c r="J3196">
        <f>E3196*F3196</f>
        <v/>
      </c>
    </row>
    <row r="3197">
      <c r="A3197">
        <f>Sources!A3197</f>
        <v/>
      </c>
      <c r="B3197">
        <f>Sources!B3197</f>
        <v/>
      </c>
      <c r="C3197">
        <f>Sources!D3197</f>
        <v/>
      </c>
      <c r="D3197">
        <f>Sources!E3197</f>
        <v/>
      </c>
      <c r="E3197">
        <f>Sources!F3197</f>
        <v/>
      </c>
      <c r="F3197">
        <f>Sources!H3197</f>
        <v/>
      </c>
      <c r="G3197">
        <f>IF(ABS(F3197-ROUND(F3197,0))&lt;0.001,1,0)</f>
        <v/>
      </c>
      <c r="H3197">
        <f>IF(G3197=1,F3197,CEILING(F3197,1))</f>
        <v/>
      </c>
      <c r="I3197">
        <f>IF(G3197=1,0,(H3197-F3197)*E3197)</f>
        <v/>
      </c>
      <c r="J3197">
        <f>E3197*F3197</f>
        <v/>
      </c>
    </row>
    <row r="3198">
      <c r="A3198">
        <f>Sources!A3198</f>
        <v/>
      </c>
      <c r="B3198">
        <f>Sources!B3198</f>
        <v/>
      </c>
      <c r="C3198">
        <f>Sources!D3198</f>
        <v/>
      </c>
      <c r="D3198">
        <f>Sources!E3198</f>
        <v/>
      </c>
      <c r="E3198">
        <f>Sources!F3198</f>
        <v/>
      </c>
      <c r="F3198">
        <f>Sources!H3198</f>
        <v/>
      </c>
      <c r="G3198">
        <f>IF(ABS(F3198-ROUND(F3198,0))&lt;0.001,1,0)</f>
        <v/>
      </c>
      <c r="H3198">
        <f>IF(G3198=1,F3198,CEILING(F3198,1))</f>
        <v/>
      </c>
      <c r="I3198">
        <f>IF(G3198=1,0,(H3198-F3198)*E3198)</f>
        <v/>
      </c>
      <c r="J3198">
        <f>E3198*F3198</f>
        <v/>
      </c>
    </row>
    <row r="3199">
      <c r="A3199">
        <f>Sources!A3199</f>
        <v/>
      </c>
      <c r="B3199">
        <f>Sources!B3199</f>
        <v/>
      </c>
      <c r="C3199">
        <f>Sources!D3199</f>
        <v/>
      </c>
      <c r="D3199">
        <f>Sources!E3199</f>
        <v/>
      </c>
      <c r="E3199">
        <f>Sources!F3199</f>
        <v/>
      </c>
      <c r="F3199">
        <f>Sources!H3199</f>
        <v/>
      </c>
      <c r="G3199">
        <f>IF(ABS(F3199-ROUND(F3199,0))&lt;0.001,1,0)</f>
        <v/>
      </c>
      <c r="H3199">
        <f>IF(G3199=1,F3199,CEILING(F3199,1))</f>
        <v/>
      </c>
      <c r="I3199">
        <f>IF(G3199=1,0,(H3199-F3199)*E3199)</f>
        <v/>
      </c>
      <c r="J3199">
        <f>E3199*F3199</f>
        <v/>
      </c>
    </row>
    <row r="3200">
      <c r="A3200">
        <f>Sources!A3200</f>
        <v/>
      </c>
      <c r="B3200">
        <f>Sources!B3200</f>
        <v/>
      </c>
      <c r="C3200">
        <f>Sources!D3200</f>
        <v/>
      </c>
      <c r="D3200">
        <f>Sources!E3200</f>
        <v/>
      </c>
      <c r="E3200">
        <f>Sources!F3200</f>
        <v/>
      </c>
      <c r="F3200">
        <f>Sources!H3200</f>
        <v/>
      </c>
      <c r="G3200">
        <f>IF(ABS(F3200-ROUND(F3200,0))&lt;0.001,1,0)</f>
        <v/>
      </c>
      <c r="H3200">
        <f>IF(G3200=1,F3200,CEILING(F3200,1))</f>
        <v/>
      </c>
      <c r="I3200">
        <f>IF(G3200=1,0,(H3200-F3200)*E3200)</f>
        <v/>
      </c>
      <c r="J3200">
        <f>E3200*F3200</f>
        <v/>
      </c>
    </row>
    <row r="3201">
      <c r="A3201">
        <f>Sources!A3201</f>
        <v/>
      </c>
      <c r="B3201">
        <f>Sources!B3201</f>
        <v/>
      </c>
      <c r="C3201">
        <f>Sources!D3201</f>
        <v/>
      </c>
      <c r="D3201">
        <f>Sources!E3201</f>
        <v/>
      </c>
      <c r="E3201">
        <f>Sources!F3201</f>
        <v/>
      </c>
      <c r="F3201">
        <f>Sources!H3201</f>
        <v/>
      </c>
      <c r="G3201">
        <f>IF(ABS(F3201-ROUND(F3201,0))&lt;0.001,1,0)</f>
        <v/>
      </c>
      <c r="H3201">
        <f>IF(G3201=1,F3201,CEILING(F3201,1))</f>
        <v/>
      </c>
      <c r="I3201">
        <f>IF(G3201=1,0,(H3201-F3201)*E3201)</f>
        <v/>
      </c>
      <c r="J3201">
        <f>E3201*F3201</f>
        <v/>
      </c>
    </row>
    <row r="3202">
      <c r="A3202">
        <f>Sources!A3202</f>
        <v/>
      </c>
      <c r="B3202">
        <f>Sources!B3202</f>
        <v/>
      </c>
      <c r="C3202">
        <f>Sources!D3202</f>
        <v/>
      </c>
      <c r="D3202">
        <f>Sources!E3202</f>
        <v/>
      </c>
      <c r="E3202">
        <f>Sources!F3202</f>
        <v/>
      </c>
      <c r="F3202">
        <f>Sources!H3202</f>
        <v/>
      </c>
      <c r="G3202">
        <f>IF(ABS(F3202-ROUND(F3202,0))&lt;0.001,1,0)</f>
        <v/>
      </c>
      <c r="H3202">
        <f>IF(G3202=1,F3202,CEILING(F3202,1))</f>
        <v/>
      </c>
      <c r="I3202">
        <f>IF(G3202=1,0,(H3202-F3202)*E3202)</f>
        <v/>
      </c>
      <c r="J3202">
        <f>E3202*F3202</f>
        <v/>
      </c>
    </row>
    <row r="3203">
      <c r="A3203">
        <f>Sources!A3203</f>
        <v/>
      </c>
      <c r="B3203">
        <f>Sources!B3203</f>
        <v/>
      </c>
      <c r="C3203">
        <f>Sources!D3203</f>
        <v/>
      </c>
      <c r="D3203">
        <f>Sources!E3203</f>
        <v/>
      </c>
      <c r="E3203">
        <f>Sources!F3203</f>
        <v/>
      </c>
      <c r="F3203">
        <f>Sources!H3203</f>
        <v/>
      </c>
      <c r="G3203">
        <f>IF(ABS(F3203-ROUND(F3203,0))&lt;0.001,1,0)</f>
        <v/>
      </c>
      <c r="H3203">
        <f>IF(G3203=1,F3203,CEILING(F3203,1))</f>
        <v/>
      </c>
      <c r="I3203">
        <f>IF(G3203=1,0,(H3203-F3203)*E3203)</f>
        <v/>
      </c>
      <c r="J3203">
        <f>E3203*F3203</f>
        <v/>
      </c>
    </row>
    <row r="3204">
      <c r="A3204">
        <f>Sources!A3204</f>
        <v/>
      </c>
      <c r="B3204">
        <f>Sources!B3204</f>
        <v/>
      </c>
      <c r="C3204">
        <f>Sources!D3204</f>
        <v/>
      </c>
      <c r="D3204">
        <f>Sources!E3204</f>
        <v/>
      </c>
      <c r="E3204">
        <f>Sources!F3204</f>
        <v/>
      </c>
      <c r="F3204">
        <f>Sources!H3204</f>
        <v/>
      </c>
      <c r="G3204">
        <f>IF(ABS(F3204-ROUND(F3204,0))&lt;0.001,1,0)</f>
        <v/>
      </c>
      <c r="H3204">
        <f>IF(G3204=1,F3204,CEILING(F3204,1))</f>
        <v/>
      </c>
      <c r="I3204">
        <f>IF(G3204=1,0,(H3204-F3204)*E3204)</f>
        <v/>
      </c>
      <c r="J3204">
        <f>E3204*F3204</f>
        <v/>
      </c>
    </row>
    <row r="3205">
      <c r="A3205">
        <f>Sources!A3205</f>
        <v/>
      </c>
      <c r="B3205">
        <f>Sources!B3205</f>
        <v/>
      </c>
      <c r="C3205">
        <f>Sources!D3205</f>
        <v/>
      </c>
      <c r="D3205">
        <f>Sources!E3205</f>
        <v/>
      </c>
      <c r="E3205">
        <f>Sources!F3205</f>
        <v/>
      </c>
      <c r="F3205">
        <f>Sources!H3205</f>
        <v/>
      </c>
      <c r="G3205">
        <f>IF(ABS(F3205-ROUND(F3205,0))&lt;0.001,1,0)</f>
        <v/>
      </c>
      <c r="H3205">
        <f>IF(G3205=1,F3205,CEILING(F3205,1))</f>
        <v/>
      </c>
      <c r="I3205">
        <f>IF(G3205=1,0,(H3205-F3205)*E3205)</f>
        <v/>
      </c>
      <c r="J3205">
        <f>E3205*F3205</f>
        <v/>
      </c>
    </row>
    <row r="3206">
      <c r="A3206">
        <f>Sources!A3206</f>
        <v/>
      </c>
      <c r="B3206">
        <f>Sources!B3206</f>
        <v/>
      </c>
      <c r="C3206">
        <f>Sources!D3206</f>
        <v/>
      </c>
      <c r="D3206">
        <f>Sources!E3206</f>
        <v/>
      </c>
      <c r="E3206">
        <f>Sources!F3206</f>
        <v/>
      </c>
      <c r="F3206">
        <f>Sources!H3206</f>
        <v/>
      </c>
      <c r="G3206">
        <f>IF(ABS(F3206-ROUND(F3206,0))&lt;0.001,1,0)</f>
        <v/>
      </c>
      <c r="H3206">
        <f>IF(G3206=1,F3206,CEILING(F3206,1))</f>
        <v/>
      </c>
      <c r="I3206">
        <f>IF(G3206=1,0,(H3206-F3206)*E3206)</f>
        <v/>
      </c>
      <c r="J3206">
        <f>E3206*F3206</f>
        <v/>
      </c>
    </row>
    <row r="3207">
      <c r="A3207">
        <f>Sources!A3207</f>
        <v/>
      </c>
      <c r="B3207">
        <f>Sources!B3207</f>
        <v/>
      </c>
      <c r="C3207">
        <f>Sources!D3207</f>
        <v/>
      </c>
      <c r="D3207">
        <f>Sources!E3207</f>
        <v/>
      </c>
      <c r="E3207">
        <f>Sources!F3207</f>
        <v/>
      </c>
      <c r="F3207">
        <f>Sources!H3207</f>
        <v/>
      </c>
      <c r="G3207">
        <f>IF(ABS(F3207-ROUND(F3207,0))&lt;0.001,1,0)</f>
        <v/>
      </c>
      <c r="H3207">
        <f>IF(G3207=1,F3207,CEILING(F3207,1))</f>
        <v/>
      </c>
      <c r="I3207">
        <f>IF(G3207=1,0,(H3207-F3207)*E3207)</f>
        <v/>
      </c>
      <c r="J3207">
        <f>E3207*F3207</f>
        <v/>
      </c>
    </row>
    <row r="3208">
      <c r="A3208">
        <f>Sources!A3208</f>
        <v/>
      </c>
      <c r="B3208">
        <f>Sources!B3208</f>
        <v/>
      </c>
      <c r="C3208">
        <f>Sources!D3208</f>
        <v/>
      </c>
      <c r="D3208">
        <f>Sources!E3208</f>
        <v/>
      </c>
      <c r="E3208">
        <f>Sources!F3208</f>
        <v/>
      </c>
      <c r="F3208">
        <f>Sources!H3208</f>
        <v/>
      </c>
      <c r="G3208">
        <f>IF(ABS(F3208-ROUND(F3208,0))&lt;0.001,1,0)</f>
        <v/>
      </c>
      <c r="H3208">
        <f>IF(G3208=1,F3208,CEILING(F3208,1))</f>
        <v/>
      </c>
      <c r="I3208">
        <f>IF(G3208=1,0,(H3208-F3208)*E3208)</f>
        <v/>
      </c>
      <c r="J3208">
        <f>E3208*F3208</f>
        <v/>
      </c>
    </row>
    <row r="3209">
      <c r="A3209">
        <f>Sources!A3209</f>
        <v/>
      </c>
      <c r="B3209">
        <f>Sources!B3209</f>
        <v/>
      </c>
      <c r="C3209">
        <f>Sources!D3209</f>
        <v/>
      </c>
      <c r="D3209">
        <f>Sources!E3209</f>
        <v/>
      </c>
      <c r="E3209">
        <f>Sources!F3209</f>
        <v/>
      </c>
      <c r="F3209">
        <f>Sources!H3209</f>
        <v/>
      </c>
      <c r="G3209">
        <f>IF(ABS(F3209-ROUND(F3209,0))&lt;0.001,1,0)</f>
        <v/>
      </c>
      <c r="H3209">
        <f>IF(G3209=1,F3209,CEILING(F3209,1))</f>
        <v/>
      </c>
      <c r="I3209">
        <f>IF(G3209=1,0,(H3209-F3209)*E3209)</f>
        <v/>
      </c>
      <c r="J3209">
        <f>E3209*F3209</f>
        <v/>
      </c>
    </row>
    <row r="3210">
      <c r="A3210">
        <f>Sources!A3210</f>
        <v/>
      </c>
      <c r="B3210">
        <f>Sources!B3210</f>
        <v/>
      </c>
      <c r="C3210">
        <f>Sources!D3210</f>
        <v/>
      </c>
      <c r="D3210">
        <f>Sources!E3210</f>
        <v/>
      </c>
      <c r="E3210">
        <f>Sources!F3210</f>
        <v/>
      </c>
      <c r="F3210">
        <f>Sources!H3210</f>
        <v/>
      </c>
      <c r="G3210">
        <f>IF(ABS(F3210-ROUND(F3210,0))&lt;0.001,1,0)</f>
        <v/>
      </c>
      <c r="H3210">
        <f>IF(G3210=1,F3210,CEILING(F3210,1))</f>
        <v/>
      </c>
      <c r="I3210">
        <f>IF(G3210=1,0,(H3210-F3210)*E3210)</f>
        <v/>
      </c>
      <c r="J3210">
        <f>E3210*F3210</f>
        <v/>
      </c>
    </row>
    <row r="3211">
      <c r="A3211">
        <f>Sources!A3211</f>
        <v/>
      </c>
      <c r="B3211">
        <f>Sources!B3211</f>
        <v/>
      </c>
      <c r="C3211">
        <f>Sources!D3211</f>
        <v/>
      </c>
      <c r="D3211">
        <f>Sources!E3211</f>
        <v/>
      </c>
      <c r="E3211">
        <f>Sources!F3211</f>
        <v/>
      </c>
      <c r="F3211">
        <f>Sources!H3211</f>
        <v/>
      </c>
      <c r="G3211">
        <f>IF(ABS(F3211-ROUND(F3211,0))&lt;0.001,1,0)</f>
        <v/>
      </c>
      <c r="H3211">
        <f>IF(G3211=1,F3211,CEILING(F3211,1))</f>
        <v/>
      </c>
      <c r="I3211">
        <f>IF(G3211=1,0,(H3211-F3211)*E3211)</f>
        <v/>
      </c>
      <c r="J3211">
        <f>E3211*F3211</f>
        <v/>
      </c>
    </row>
    <row r="3212">
      <c r="A3212">
        <f>Sources!A3212</f>
        <v/>
      </c>
      <c r="B3212">
        <f>Sources!B3212</f>
        <v/>
      </c>
      <c r="C3212">
        <f>Sources!D3212</f>
        <v/>
      </c>
      <c r="D3212">
        <f>Sources!E3212</f>
        <v/>
      </c>
      <c r="E3212">
        <f>Sources!F3212</f>
        <v/>
      </c>
      <c r="F3212">
        <f>Sources!H3212</f>
        <v/>
      </c>
      <c r="G3212">
        <f>IF(ABS(F3212-ROUND(F3212,0))&lt;0.001,1,0)</f>
        <v/>
      </c>
      <c r="H3212">
        <f>IF(G3212=1,F3212,CEILING(F3212,1))</f>
        <v/>
      </c>
      <c r="I3212">
        <f>IF(G3212=1,0,(H3212-F3212)*E3212)</f>
        <v/>
      </c>
      <c r="J3212">
        <f>E3212*F3212</f>
        <v/>
      </c>
    </row>
    <row r="3213">
      <c r="A3213">
        <f>Sources!A3213</f>
        <v/>
      </c>
      <c r="B3213">
        <f>Sources!B3213</f>
        <v/>
      </c>
      <c r="C3213">
        <f>Sources!D3213</f>
        <v/>
      </c>
      <c r="D3213">
        <f>Sources!E3213</f>
        <v/>
      </c>
      <c r="E3213">
        <f>Sources!F3213</f>
        <v/>
      </c>
      <c r="F3213">
        <f>Sources!H3213</f>
        <v/>
      </c>
      <c r="G3213">
        <f>IF(ABS(F3213-ROUND(F3213,0))&lt;0.001,1,0)</f>
        <v/>
      </c>
      <c r="H3213">
        <f>IF(G3213=1,F3213,CEILING(F3213,1))</f>
        <v/>
      </c>
      <c r="I3213">
        <f>IF(G3213=1,0,(H3213-F3213)*E3213)</f>
        <v/>
      </c>
      <c r="J3213">
        <f>E3213*F3213</f>
        <v/>
      </c>
    </row>
    <row r="3214">
      <c r="A3214">
        <f>Sources!A3214</f>
        <v/>
      </c>
      <c r="B3214">
        <f>Sources!B3214</f>
        <v/>
      </c>
      <c r="C3214">
        <f>Sources!D3214</f>
        <v/>
      </c>
      <c r="D3214">
        <f>Sources!E3214</f>
        <v/>
      </c>
      <c r="E3214">
        <f>Sources!F3214</f>
        <v/>
      </c>
      <c r="F3214">
        <f>Sources!H3214</f>
        <v/>
      </c>
      <c r="G3214">
        <f>IF(ABS(F3214-ROUND(F3214,0))&lt;0.001,1,0)</f>
        <v/>
      </c>
      <c r="H3214">
        <f>IF(G3214=1,F3214,CEILING(F3214,1))</f>
        <v/>
      </c>
      <c r="I3214">
        <f>IF(G3214=1,0,(H3214-F3214)*E3214)</f>
        <v/>
      </c>
      <c r="J3214">
        <f>E3214*F3214</f>
        <v/>
      </c>
    </row>
    <row r="3215">
      <c r="A3215">
        <f>Sources!A3215</f>
        <v/>
      </c>
      <c r="B3215">
        <f>Sources!B3215</f>
        <v/>
      </c>
      <c r="C3215">
        <f>Sources!D3215</f>
        <v/>
      </c>
      <c r="D3215">
        <f>Sources!E3215</f>
        <v/>
      </c>
      <c r="E3215">
        <f>Sources!F3215</f>
        <v/>
      </c>
      <c r="F3215">
        <f>Sources!H3215</f>
        <v/>
      </c>
      <c r="G3215">
        <f>IF(ABS(F3215-ROUND(F3215,0))&lt;0.001,1,0)</f>
        <v/>
      </c>
      <c r="H3215">
        <f>IF(G3215=1,F3215,CEILING(F3215,1))</f>
        <v/>
      </c>
      <c r="I3215">
        <f>IF(G3215=1,0,(H3215-F3215)*E3215)</f>
        <v/>
      </c>
      <c r="J3215">
        <f>E3215*F3215</f>
        <v/>
      </c>
    </row>
    <row r="3216">
      <c r="A3216">
        <f>Sources!A3216</f>
        <v/>
      </c>
      <c r="B3216">
        <f>Sources!B3216</f>
        <v/>
      </c>
      <c r="C3216">
        <f>Sources!D3216</f>
        <v/>
      </c>
      <c r="D3216">
        <f>Sources!E3216</f>
        <v/>
      </c>
      <c r="E3216">
        <f>Sources!F3216</f>
        <v/>
      </c>
      <c r="F3216">
        <f>Sources!H3216</f>
        <v/>
      </c>
      <c r="G3216">
        <f>IF(ABS(F3216-ROUND(F3216,0))&lt;0.001,1,0)</f>
        <v/>
      </c>
      <c r="H3216">
        <f>IF(G3216=1,F3216,CEILING(F3216,1))</f>
        <v/>
      </c>
      <c r="I3216">
        <f>IF(G3216=1,0,(H3216-F3216)*E3216)</f>
        <v/>
      </c>
      <c r="J3216">
        <f>E3216*F3216</f>
        <v/>
      </c>
    </row>
    <row r="3217">
      <c r="A3217">
        <f>Sources!A3217</f>
        <v/>
      </c>
      <c r="B3217">
        <f>Sources!B3217</f>
        <v/>
      </c>
      <c r="C3217">
        <f>Sources!D3217</f>
        <v/>
      </c>
      <c r="D3217">
        <f>Sources!E3217</f>
        <v/>
      </c>
      <c r="E3217">
        <f>Sources!F3217</f>
        <v/>
      </c>
      <c r="F3217">
        <f>Sources!H3217</f>
        <v/>
      </c>
      <c r="G3217">
        <f>IF(ABS(F3217-ROUND(F3217,0))&lt;0.001,1,0)</f>
        <v/>
      </c>
      <c r="H3217">
        <f>IF(G3217=1,F3217,CEILING(F3217,1))</f>
        <v/>
      </c>
      <c r="I3217">
        <f>IF(G3217=1,0,(H3217-F3217)*E3217)</f>
        <v/>
      </c>
      <c r="J3217">
        <f>E3217*F3217</f>
        <v/>
      </c>
    </row>
    <row r="3218">
      <c r="A3218">
        <f>Sources!A3218</f>
        <v/>
      </c>
      <c r="B3218">
        <f>Sources!B3218</f>
        <v/>
      </c>
      <c r="C3218">
        <f>Sources!D3218</f>
        <v/>
      </c>
      <c r="D3218">
        <f>Sources!E3218</f>
        <v/>
      </c>
      <c r="E3218">
        <f>Sources!F3218</f>
        <v/>
      </c>
      <c r="F3218">
        <f>Sources!H3218</f>
        <v/>
      </c>
      <c r="G3218">
        <f>IF(ABS(F3218-ROUND(F3218,0))&lt;0.001,1,0)</f>
        <v/>
      </c>
      <c r="H3218">
        <f>IF(G3218=1,F3218,CEILING(F3218,1))</f>
        <v/>
      </c>
      <c r="I3218">
        <f>IF(G3218=1,0,(H3218-F3218)*E3218)</f>
        <v/>
      </c>
      <c r="J3218">
        <f>E3218*F3218</f>
        <v/>
      </c>
    </row>
    <row r="3219">
      <c r="A3219">
        <f>Sources!A3219</f>
        <v/>
      </c>
      <c r="B3219">
        <f>Sources!B3219</f>
        <v/>
      </c>
      <c r="C3219">
        <f>Sources!D3219</f>
        <v/>
      </c>
      <c r="D3219">
        <f>Sources!E3219</f>
        <v/>
      </c>
      <c r="E3219">
        <f>Sources!F3219</f>
        <v/>
      </c>
      <c r="F3219">
        <f>Sources!H3219</f>
        <v/>
      </c>
      <c r="G3219">
        <f>IF(ABS(F3219-ROUND(F3219,0))&lt;0.001,1,0)</f>
        <v/>
      </c>
      <c r="H3219">
        <f>IF(G3219=1,F3219,CEILING(F3219,1))</f>
        <v/>
      </c>
      <c r="I3219">
        <f>IF(G3219=1,0,(H3219-F3219)*E3219)</f>
        <v/>
      </c>
      <c r="J3219">
        <f>E3219*F3219</f>
        <v/>
      </c>
    </row>
    <row r="3220">
      <c r="A3220">
        <f>Sources!A3220</f>
        <v/>
      </c>
      <c r="B3220">
        <f>Sources!B3220</f>
        <v/>
      </c>
      <c r="C3220">
        <f>Sources!D3220</f>
        <v/>
      </c>
      <c r="D3220">
        <f>Sources!E3220</f>
        <v/>
      </c>
      <c r="E3220">
        <f>Sources!F3220</f>
        <v/>
      </c>
      <c r="F3220">
        <f>Sources!H3220</f>
        <v/>
      </c>
      <c r="G3220">
        <f>IF(ABS(F3220-ROUND(F3220,0))&lt;0.001,1,0)</f>
        <v/>
      </c>
      <c r="H3220">
        <f>IF(G3220=1,F3220,CEILING(F3220,1))</f>
        <v/>
      </c>
      <c r="I3220">
        <f>IF(G3220=1,0,(H3220-F3220)*E3220)</f>
        <v/>
      </c>
      <c r="J3220">
        <f>E3220*F3220</f>
        <v/>
      </c>
    </row>
    <row r="3221">
      <c r="A3221">
        <f>Sources!A3221</f>
        <v/>
      </c>
      <c r="B3221">
        <f>Sources!B3221</f>
        <v/>
      </c>
      <c r="C3221">
        <f>Sources!D3221</f>
        <v/>
      </c>
      <c r="D3221">
        <f>Sources!E3221</f>
        <v/>
      </c>
      <c r="E3221">
        <f>Sources!F3221</f>
        <v/>
      </c>
      <c r="F3221">
        <f>Sources!H3221</f>
        <v/>
      </c>
      <c r="G3221">
        <f>IF(ABS(F3221-ROUND(F3221,0))&lt;0.001,1,0)</f>
        <v/>
      </c>
      <c r="H3221">
        <f>IF(G3221=1,F3221,CEILING(F3221,1))</f>
        <v/>
      </c>
      <c r="I3221">
        <f>IF(G3221=1,0,(H3221-F3221)*E3221)</f>
        <v/>
      </c>
      <c r="J3221">
        <f>E3221*F3221</f>
        <v/>
      </c>
    </row>
    <row r="3222">
      <c r="A3222">
        <f>Sources!A3222</f>
        <v/>
      </c>
      <c r="B3222">
        <f>Sources!B3222</f>
        <v/>
      </c>
      <c r="C3222">
        <f>Sources!D3222</f>
        <v/>
      </c>
      <c r="D3222">
        <f>Sources!E3222</f>
        <v/>
      </c>
      <c r="E3222">
        <f>Sources!F3222</f>
        <v/>
      </c>
      <c r="F3222">
        <f>Sources!H3222</f>
        <v/>
      </c>
      <c r="G3222">
        <f>IF(ABS(F3222-ROUND(F3222,0))&lt;0.001,1,0)</f>
        <v/>
      </c>
      <c r="H3222">
        <f>IF(G3222=1,F3222,CEILING(F3222,1))</f>
        <v/>
      </c>
      <c r="I3222">
        <f>IF(G3222=1,0,(H3222-F3222)*E3222)</f>
        <v/>
      </c>
      <c r="J3222">
        <f>E3222*F3222</f>
        <v/>
      </c>
    </row>
    <row r="3223">
      <c r="A3223">
        <f>Sources!A3223</f>
        <v/>
      </c>
      <c r="B3223">
        <f>Sources!B3223</f>
        <v/>
      </c>
      <c r="C3223">
        <f>Sources!D3223</f>
        <v/>
      </c>
      <c r="D3223">
        <f>Sources!E3223</f>
        <v/>
      </c>
      <c r="E3223">
        <f>Sources!F3223</f>
        <v/>
      </c>
      <c r="F3223">
        <f>Sources!H3223</f>
        <v/>
      </c>
      <c r="G3223">
        <f>IF(ABS(F3223-ROUND(F3223,0))&lt;0.001,1,0)</f>
        <v/>
      </c>
      <c r="H3223">
        <f>IF(G3223=1,F3223,CEILING(F3223,1))</f>
        <v/>
      </c>
      <c r="I3223">
        <f>IF(G3223=1,0,(H3223-F3223)*E3223)</f>
        <v/>
      </c>
      <c r="J3223">
        <f>E3223*F3223</f>
        <v/>
      </c>
    </row>
    <row r="3224">
      <c r="A3224">
        <f>Sources!A3224</f>
        <v/>
      </c>
      <c r="B3224">
        <f>Sources!B3224</f>
        <v/>
      </c>
      <c r="C3224">
        <f>Sources!D3224</f>
        <v/>
      </c>
      <c r="D3224">
        <f>Sources!E3224</f>
        <v/>
      </c>
      <c r="E3224">
        <f>Sources!F3224</f>
        <v/>
      </c>
      <c r="F3224">
        <f>Sources!H3224</f>
        <v/>
      </c>
      <c r="G3224">
        <f>IF(ABS(F3224-ROUND(F3224,0))&lt;0.001,1,0)</f>
        <v/>
      </c>
      <c r="H3224">
        <f>IF(G3224=1,F3224,CEILING(F3224,1))</f>
        <v/>
      </c>
      <c r="I3224">
        <f>IF(G3224=1,0,(H3224-F3224)*E3224)</f>
        <v/>
      </c>
      <c r="J3224">
        <f>E3224*F3224</f>
        <v/>
      </c>
    </row>
    <row r="3225">
      <c r="A3225">
        <f>Sources!A3225</f>
        <v/>
      </c>
      <c r="B3225">
        <f>Sources!B3225</f>
        <v/>
      </c>
      <c r="C3225">
        <f>Sources!D3225</f>
        <v/>
      </c>
      <c r="D3225">
        <f>Sources!E3225</f>
        <v/>
      </c>
      <c r="E3225">
        <f>Sources!F3225</f>
        <v/>
      </c>
      <c r="F3225">
        <f>Sources!H3225</f>
        <v/>
      </c>
      <c r="G3225">
        <f>IF(ABS(F3225-ROUND(F3225,0))&lt;0.001,1,0)</f>
        <v/>
      </c>
      <c r="H3225">
        <f>IF(G3225=1,F3225,CEILING(F3225,1))</f>
        <v/>
      </c>
      <c r="I3225">
        <f>IF(G3225=1,0,(H3225-F3225)*E3225)</f>
        <v/>
      </c>
      <c r="J3225">
        <f>E3225*F3225</f>
        <v/>
      </c>
    </row>
    <row r="3226">
      <c r="A3226">
        <f>Sources!A3226</f>
        <v/>
      </c>
      <c r="B3226">
        <f>Sources!B3226</f>
        <v/>
      </c>
      <c r="C3226">
        <f>Sources!D3226</f>
        <v/>
      </c>
      <c r="D3226">
        <f>Sources!E3226</f>
        <v/>
      </c>
      <c r="E3226">
        <f>Sources!F3226</f>
        <v/>
      </c>
      <c r="F3226">
        <f>Sources!H3226</f>
        <v/>
      </c>
      <c r="G3226">
        <f>IF(ABS(F3226-ROUND(F3226,0))&lt;0.001,1,0)</f>
        <v/>
      </c>
      <c r="H3226">
        <f>IF(G3226=1,F3226,CEILING(F3226,1))</f>
        <v/>
      </c>
      <c r="I3226">
        <f>IF(G3226=1,0,(H3226-F3226)*E3226)</f>
        <v/>
      </c>
      <c r="J3226">
        <f>E3226*F3226</f>
        <v/>
      </c>
    </row>
    <row r="3227">
      <c r="A3227">
        <f>Sources!A3227</f>
        <v/>
      </c>
      <c r="B3227">
        <f>Sources!B3227</f>
        <v/>
      </c>
      <c r="C3227">
        <f>Sources!D3227</f>
        <v/>
      </c>
      <c r="D3227">
        <f>Sources!E3227</f>
        <v/>
      </c>
      <c r="E3227">
        <f>Sources!F3227</f>
        <v/>
      </c>
      <c r="F3227">
        <f>Sources!H3227</f>
        <v/>
      </c>
      <c r="G3227">
        <f>IF(ABS(F3227-ROUND(F3227,0))&lt;0.001,1,0)</f>
        <v/>
      </c>
      <c r="H3227">
        <f>IF(G3227=1,F3227,CEILING(F3227,1))</f>
        <v/>
      </c>
      <c r="I3227">
        <f>IF(G3227=1,0,(H3227-F3227)*E3227)</f>
        <v/>
      </c>
      <c r="J3227">
        <f>E3227*F3227</f>
        <v/>
      </c>
    </row>
    <row r="3228">
      <c r="A3228">
        <f>Sources!A3228</f>
        <v/>
      </c>
      <c r="B3228">
        <f>Sources!B3228</f>
        <v/>
      </c>
      <c r="C3228">
        <f>Sources!D3228</f>
        <v/>
      </c>
      <c r="D3228">
        <f>Sources!E3228</f>
        <v/>
      </c>
      <c r="E3228">
        <f>Sources!F3228</f>
        <v/>
      </c>
      <c r="F3228">
        <f>Sources!H3228</f>
        <v/>
      </c>
      <c r="G3228">
        <f>IF(ABS(F3228-ROUND(F3228,0))&lt;0.001,1,0)</f>
        <v/>
      </c>
      <c r="H3228">
        <f>IF(G3228=1,F3228,CEILING(F3228,1))</f>
        <v/>
      </c>
      <c r="I3228">
        <f>IF(G3228=1,0,(H3228-F3228)*E3228)</f>
        <v/>
      </c>
      <c r="J3228">
        <f>E3228*F3228</f>
        <v/>
      </c>
    </row>
    <row r="3229">
      <c r="A3229">
        <f>Sources!A3229</f>
        <v/>
      </c>
      <c r="B3229">
        <f>Sources!B3229</f>
        <v/>
      </c>
      <c r="C3229">
        <f>Sources!D3229</f>
        <v/>
      </c>
      <c r="D3229">
        <f>Sources!E3229</f>
        <v/>
      </c>
      <c r="E3229">
        <f>Sources!F3229</f>
        <v/>
      </c>
      <c r="F3229">
        <f>Sources!H3229</f>
        <v/>
      </c>
      <c r="G3229">
        <f>IF(ABS(F3229-ROUND(F3229,0))&lt;0.001,1,0)</f>
        <v/>
      </c>
      <c r="H3229">
        <f>IF(G3229=1,F3229,CEILING(F3229,1))</f>
        <v/>
      </c>
      <c r="I3229">
        <f>IF(G3229=1,0,(H3229-F3229)*E3229)</f>
        <v/>
      </c>
      <c r="J3229">
        <f>E3229*F3229</f>
        <v/>
      </c>
    </row>
    <row r="3230">
      <c r="A3230">
        <f>Sources!A3230</f>
        <v/>
      </c>
      <c r="B3230">
        <f>Sources!B3230</f>
        <v/>
      </c>
      <c r="C3230">
        <f>Sources!D3230</f>
        <v/>
      </c>
      <c r="D3230">
        <f>Sources!E3230</f>
        <v/>
      </c>
      <c r="E3230">
        <f>Sources!F3230</f>
        <v/>
      </c>
      <c r="F3230">
        <f>Sources!H3230</f>
        <v/>
      </c>
      <c r="G3230">
        <f>IF(ABS(F3230-ROUND(F3230,0))&lt;0.001,1,0)</f>
        <v/>
      </c>
      <c r="H3230">
        <f>IF(G3230=1,F3230,CEILING(F3230,1))</f>
        <v/>
      </c>
      <c r="I3230">
        <f>IF(G3230=1,0,(H3230-F3230)*E3230)</f>
        <v/>
      </c>
      <c r="J3230">
        <f>E3230*F3230</f>
        <v/>
      </c>
    </row>
    <row r="3231">
      <c r="A3231">
        <f>Sources!A3231</f>
        <v/>
      </c>
      <c r="B3231">
        <f>Sources!B3231</f>
        <v/>
      </c>
      <c r="C3231">
        <f>Sources!D3231</f>
        <v/>
      </c>
      <c r="D3231">
        <f>Sources!E3231</f>
        <v/>
      </c>
      <c r="E3231">
        <f>Sources!F3231</f>
        <v/>
      </c>
      <c r="F3231">
        <f>Sources!H3231</f>
        <v/>
      </c>
      <c r="G3231">
        <f>IF(ABS(F3231-ROUND(F3231,0))&lt;0.001,1,0)</f>
        <v/>
      </c>
      <c r="H3231">
        <f>IF(G3231=1,F3231,CEILING(F3231,1))</f>
        <v/>
      </c>
      <c r="I3231">
        <f>IF(G3231=1,0,(H3231-F3231)*E3231)</f>
        <v/>
      </c>
      <c r="J3231">
        <f>E3231*F3231</f>
        <v/>
      </c>
    </row>
    <row r="3232">
      <c r="A3232">
        <f>Sources!A3232</f>
        <v/>
      </c>
      <c r="B3232">
        <f>Sources!B3232</f>
        <v/>
      </c>
      <c r="C3232">
        <f>Sources!D3232</f>
        <v/>
      </c>
      <c r="D3232">
        <f>Sources!E3232</f>
        <v/>
      </c>
      <c r="E3232">
        <f>Sources!F3232</f>
        <v/>
      </c>
      <c r="F3232">
        <f>Sources!H3232</f>
        <v/>
      </c>
      <c r="G3232">
        <f>IF(ABS(F3232-ROUND(F3232,0))&lt;0.001,1,0)</f>
        <v/>
      </c>
      <c r="H3232">
        <f>IF(G3232=1,F3232,CEILING(F3232,1))</f>
        <v/>
      </c>
      <c r="I3232">
        <f>IF(G3232=1,0,(H3232-F3232)*E3232)</f>
        <v/>
      </c>
      <c r="J3232">
        <f>E3232*F3232</f>
        <v/>
      </c>
    </row>
    <row r="3233">
      <c r="A3233">
        <f>Sources!A3233</f>
        <v/>
      </c>
      <c r="B3233">
        <f>Sources!B3233</f>
        <v/>
      </c>
      <c r="C3233">
        <f>Sources!D3233</f>
        <v/>
      </c>
      <c r="D3233">
        <f>Sources!E3233</f>
        <v/>
      </c>
      <c r="E3233">
        <f>Sources!F3233</f>
        <v/>
      </c>
      <c r="F3233">
        <f>Sources!H3233</f>
        <v/>
      </c>
      <c r="G3233">
        <f>IF(ABS(F3233-ROUND(F3233,0))&lt;0.001,1,0)</f>
        <v/>
      </c>
      <c r="H3233">
        <f>IF(G3233=1,F3233,CEILING(F3233,1))</f>
        <v/>
      </c>
      <c r="I3233">
        <f>IF(G3233=1,0,(H3233-F3233)*E3233)</f>
        <v/>
      </c>
      <c r="J3233">
        <f>E3233*F3233</f>
        <v/>
      </c>
    </row>
    <row r="3234">
      <c r="A3234">
        <f>Sources!A3234</f>
        <v/>
      </c>
      <c r="B3234">
        <f>Sources!B3234</f>
        <v/>
      </c>
      <c r="C3234">
        <f>Sources!D3234</f>
        <v/>
      </c>
      <c r="D3234">
        <f>Sources!E3234</f>
        <v/>
      </c>
      <c r="E3234">
        <f>Sources!F3234</f>
        <v/>
      </c>
      <c r="F3234">
        <f>Sources!H3234</f>
        <v/>
      </c>
      <c r="G3234">
        <f>IF(ABS(F3234-ROUND(F3234,0))&lt;0.001,1,0)</f>
        <v/>
      </c>
      <c r="H3234">
        <f>IF(G3234=1,F3234,CEILING(F3234,1))</f>
        <v/>
      </c>
      <c r="I3234">
        <f>IF(G3234=1,0,(H3234-F3234)*E3234)</f>
        <v/>
      </c>
      <c r="J3234">
        <f>E3234*F3234</f>
        <v/>
      </c>
    </row>
    <row r="3235">
      <c r="A3235">
        <f>Sources!A3235</f>
        <v/>
      </c>
      <c r="B3235">
        <f>Sources!B3235</f>
        <v/>
      </c>
      <c r="C3235">
        <f>Sources!D3235</f>
        <v/>
      </c>
      <c r="D3235">
        <f>Sources!E3235</f>
        <v/>
      </c>
      <c r="E3235">
        <f>Sources!F3235</f>
        <v/>
      </c>
      <c r="F3235">
        <f>Sources!H3235</f>
        <v/>
      </c>
      <c r="G3235">
        <f>IF(ABS(F3235-ROUND(F3235,0))&lt;0.001,1,0)</f>
        <v/>
      </c>
      <c r="H3235">
        <f>IF(G3235=1,F3235,CEILING(F3235,1))</f>
        <v/>
      </c>
      <c r="I3235">
        <f>IF(G3235=1,0,(H3235-F3235)*E3235)</f>
        <v/>
      </c>
      <c r="J3235">
        <f>E3235*F3235</f>
        <v/>
      </c>
    </row>
    <row r="3236">
      <c r="A3236">
        <f>Sources!A3236</f>
        <v/>
      </c>
      <c r="B3236">
        <f>Sources!B3236</f>
        <v/>
      </c>
      <c r="C3236">
        <f>Sources!D3236</f>
        <v/>
      </c>
      <c r="D3236">
        <f>Sources!E3236</f>
        <v/>
      </c>
      <c r="E3236">
        <f>Sources!F3236</f>
        <v/>
      </c>
      <c r="F3236">
        <f>Sources!H3236</f>
        <v/>
      </c>
      <c r="G3236">
        <f>IF(ABS(F3236-ROUND(F3236,0))&lt;0.001,1,0)</f>
        <v/>
      </c>
      <c r="H3236">
        <f>IF(G3236=1,F3236,CEILING(F3236,1))</f>
        <v/>
      </c>
      <c r="I3236">
        <f>IF(G3236=1,0,(H3236-F3236)*E3236)</f>
        <v/>
      </c>
      <c r="J3236">
        <f>E3236*F3236</f>
        <v/>
      </c>
    </row>
    <row r="3237">
      <c r="A3237">
        <f>Sources!A3237</f>
        <v/>
      </c>
      <c r="B3237">
        <f>Sources!B3237</f>
        <v/>
      </c>
      <c r="C3237">
        <f>Sources!D3237</f>
        <v/>
      </c>
      <c r="D3237">
        <f>Sources!E3237</f>
        <v/>
      </c>
      <c r="E3237">
        <f>Sources!F3237</f>
        <v/>
      </c>
      <c r="F3237">
        <f>Sources!H3237</f>
        <v/>
      </c>
      <c r="G3237">
        <f>IF(ABS(F3237-ROUND(F3237,0))&lt;0.001,1,0)</f>
        <v/>
      </c>
      <c r="H3237">
        <f>IF(G3237=1,F3237,CEILING(F3237,1))</f>
        <v/>
      </c>
      <c r="I3237">
        <f>IF(G3237=1,0,(H3237-F3237)*E3237)</f>
        <v/>
      </c>
      <c r="J3237">
        <f>E3237*F3237</f>
        <v/>
      </c>
    </row>
    <row r="3238">
      <c r="A3238">
        <f>Sources!A3238</f>
        <v/>
      </c>
      <c r="B3238">
        <f>Sources!B3238</f>
        <v/>
      </c>
      <c r="C3238">
        <f>Sources!D3238</f>
        <v/>
      </c>
      <c r="D3238">
        <f>Sources!E3238</f>
        <v/>
      </c>
      <c r="E3238">
        <f>Sources!F3238</f>
        <v/>
      </c>
      <c r="F3238">
        <f>Sources!H3238</f>
        <v/>
      </c>
      <c r="G3238">
        <f>IF(ABS(F3238-ROUND(F3238,0))&lt;0.001,1,0)</f>
        <v/>
      </c>
      <c r="H3238">
        <f>IF(G3238=1,F3238,CEILING(F3238,1))</f>
        <v/>
      </c>
      <c r="I3238">
        <f>IF(G3238=1,0,(H3238-F3238)*E3238)</f>
        <v/>
      </c>
      <c r="J3238">
        <f>E3238*F3238</f>
        <v/>
      </c>
    </row>
    <row r="3239">
      <c r="A3239">
        <f>Sources!A3239</f>
        <v/>
      </c>
      <c r="B3239">
        <f>Sources!B3239</f>
        <v/>
      </c>
      <c r="C3239">
        <f>Sources!D3239</f>
        <v/>
      </c>
      <c r="D3239">
        <f>Sources!E3239</f>
        <v/>
      </c>
      <c r="E3239">
        <f>Sources!F3239</f>
        <v/>
      </c>
      <c r="F3239">
        <f>Sources!H3239</f>
        <v/>
      </c>
      <c r="G3239">
        <f>IF(ABS(F3239-ROUND(F3239,0))&lt;0.001,1,0)</f>
        <v/>
      </c>
      <c r="H3239">
        <f>IF(G3239=1,F3239,CEILING(F3239,1))</f>
        <v/>
      </c>
      <c r="I3239">
        <f>IF(G3239=1,0,(H3239-F3239)*E3239)</f>
        <v/>
      </c>
      <c r="J3239">
        <f>E3239*F3239</f>
        <v/>
      </c>
    </row>
    <row r="3240">
      <c r="A3240">
        <f>Sources!A3240</f>
        <v/>
      </c>
      <c r="B3240">
        <f>Sources!B3240</f>
        <v/>
      </c>
      <c r="C3240">
        <f>Sources!D3240</f>
        <v/>
      </c>
      <c r="D3240">
        <f>Sources!E3240</f>
        <v/>
      </c>
      <c r="E3240">
        <f>Sources!F3240</f>
        <v/>
      </c>
      <c r="F3240">
        <f>Sources!H3240</f>
        <v/>
      </c>
      <c r="G3240">
        <f>IF(ABS(F3240-ROUND(F3240,0))&lt;0.001,1,0)</f>
        <v/>
      </c>
      <c r="H3240">
        <f>IF(G3240=1,F3240,CEILING(F3240,1))</f>
        <v/>
      </c>
      <c r="I3240">
        <f>IF(G3240=1,0,(H3240-F3240)*E3240)</f>
        <v/>
      </c>
      <c r="J3240">
        <f>E3240*F3240</f>
        <v/>
      </c>
    </row>
    <row r="3241">
      <c r="A3241">
        <f>Sources!A3241</f>
        <v/>
      </c>
      <c r="B3241">
        <f>Sources!B3241</f>
        <v/>
      </c>
      <c r="C3241">
        <f>Sources!D3241</f>
        <v/>
      </c>
      <c r="D3241">
        <f>Sources!E3241</f>
        <v/>
      </c>
      <c r="E3241">
        <f>Sources!F3241</f>
        <v/>
      </c>
      <c r="F3241">
        <f>Sources!H3241</f>
        <v/>
      </c>
      <c r="G3241">
        <f>IF(ABS(F3241-ROUND(F3241,0))&lt;0.001,1,0)</f>
        <v/>
      </c>
      <c r="H3241">
        <f>IF(G3241=1,F3241,CEILING(F3241,1))</f>
        <v/>
      </c>
      <c r="I3241">
        <f>IF(G3241=1,0,(H3241-F3241)*E3241)</f>
        <v/>
      </c>
      <c r="J3241">
        <f>E3241*F3241</f>
        <v/>
      </c>
    </row>
    <row r="3242">
      <c r="A3242">
        <f>Sources!A3242</f>
        <v/>
      </c>
      <c r="B3242">
        <f>Sources!B3242</f>
        <v/>
      </c>
      <c r="C3242">
        <f>Sources!D3242</f>
        <v/>
      </c>
      <c r="D3242">
        <f>Sources!E3242</f>
        <v/>
      </c>
      <c r="E3242">
        <f>Sources!F3242</f>
        <v/>
      </c>
      <c r="F3242">
        <f>Sources!H3242</f>
        <v/>
      </c>
      <c r="G3242">
        <f>IF(ABS(F3242-ROUND(F3242,0))&lt;0.001,1,0)</f>
        <v/>
      </c>
      <c r="H3242">
        <f>IF(G3242=1,F3242,CEILING(F3242,1))</f>
        <v/>
      </c>
      <c r="I3242">
        <f>IF(G3242=1,0,(H3242-F3242)*E3242)</f>
        <v/>
      </c>
      <c r="J3242">
        <f>E3242*F3242</f>
        <v/>
      </c>
    </row>
    <row r="3243">
      <c r="A3243">
        <f>Sources!A3243</f>
        <v/>
      </c>
      <c r="B3243">
        <f>Sources!B3243</f>
        <v/>
      </c>
      <c r="C3243">
        <f>Sources!D3243</f>
        <v/>
      </c>
      <c r="D3243">
        <f>Sources!E3243</f>
        <v/>
      </c>
      <c r="E3243">
        <f>Sources!F3243</f>
        <v/>
      </c>
      <c r="F3243">
        <f>Sources!H3243</f>
        <v/>
      </c>
      <c r="G3243">
        <f>IF(ABS(F3243-ROUND(F3243,0))&lt;0.001,1,0)</f>
        <v/>
      </c>
      <c r="H3243">
        <f>IF(G3243=1,F3243,CEILING(F3243,1))</f>
        <v/>
      </c>
      <c r="I3243">
        <f>IF(G3243=1,0,(H3243-F3243)*E3243)</f>
        <v/>
      </c>
      <c r="J3243">
        <f>E3243*F3243</f>
        <v/>
      </c>
    </row>
    <row r="3244">
      <c r="A3244">
        <f>Sources!A3244</f>
        <v/>
      </c>
      <c r="B3244">
        <f>Sources!B3244</f>
        <v/>
      </c>
      <c r="C3244">
        <f>Sources!D3244</f>
        <v/>
      </c>
      <c r="D3244">
        <f>Sources!E3244</f>
        <v/>
      </c>
      <c r="E3244">
        <f>Sources!F3244</f>
        <v/>
      </c>
      <c r="F3244">
        <f>Sources!H3244</f>
        <v/>
      </c>
      <c r="G3244">
        <f>IF(ABS(F3244-ROUND(F3244,0))&lt;0.001,1,0)</f>
        <v/>
      </c>
      <c r="H3244">
        <f>IF(G3244=1,F3244,CEILING(F3244,1))</f>
        <v/>
      </c>
      <c r="I3244">
        <f>IF(G3244=1,0,(H3244-F3244)*E3244)</f>
        <v/>
      </c>
      <c r="J3244">
        <f>E3244*F3244</f>
        <v/>
      </c>
    </row>
    <row r="3245">
      <c r="A3245">
        <f>Sources!A3245</f>
        <v/>
      </c>
      <c r="B3245">
        <f>Sources!B3245</f>
        <v/>
      </c>
      <c r="C3245">
        <f>Sources!D3245</f>
        <v/>
      </c>
      <c r="D3245">
        <f>Sources!E3245</f>
        <v/>
      </c>
      <c r="E3245">
        <f>Sources!F3245</f>
        <v/>
      </c>
      <c r="F3245">
        <f>Sources!H3245</f>
        <v/>
      </c>
      <c r="G3245">
        <f>IF(ABS(F3245-ROUND(F3245,0))&lt;0.001,1,0)</f>
        <v/>
      </c>
      <c r="H3245">
        <f>IF(G3245=1,F3245,CEILING(F3245,1))</f>
        <v/>
      </c>
      <c r="I3245">
        <f>IF(G3245=1,0,(H3245-F3245)*E3245)</f>
        <v/>
      </c>
      <c r="J3245">
        <f>E3245*F3245</f>
        <v/>
      </c>
    </row>
    <row r="3246">
      <c r="A3246">
        <f>Sources!A3246</f>
        <v/>
      </c>
      <c r="B3246">
        <f>Sources!B3246</f>
        <v/>
      </c>
      <c r="C3246">
        <f>Sources!D3246</f>
        <v/>
      </c>
      <c r="D3246">
        <f>Sources!E3246</f>
        <v/>
      </c>
      <c r="E3246">
        <f>Sources!F3246</f>
        <v/>
      </c>
      <c r="F3246">
        <f>Sources!H3246</f>
        <v/>
      </c>
      <c r="G3246">
        <f>IF(ABS(F3246-ROUND(F3246,0))&lt;0.001,1,0)</f>
        <v/>
      </c>
      <c r="H3246">
        <f>IF(G3246=1,F3246,CEILING(F3246,1))</f>
        <v/>
      </c>
      <c r="I3246">
        <f>IF(G3246=1,0,(H3246-F3246)*E3246)</f>
        <v/>
      </c>
      <c r="J3246">
        <f>E3246*F3246</f>
        <v/>
      </c>
    </row>
    <row r="3247">
      <c r="A3247">
        <f>Sources!A3247</f>
        <v/>
      </c>
      <c r="B3247">
        <f>Sources!B3247</f>
        <v/>
      </c>
      <c r="C3247">
        <f>Sources!D3247</f>
        <v/>
      </c>
      <c r="D3247">
        <f>Sources!E3247</f>
        <v/>
      </c>
      <c r="E3247">
        <f>Sources!F3247</f>
        <v/>
      </c>
      <c r="F3247">
        <f>Sources!H3247</f>
        <v/>
      </c>
      <c r="G3247">
        <f>IF(ABS(F3247-ROUND(F3247,0))&lt;0.001,1,0)</f>
        <v/>
      </c>
      <c r="H3247">
        <f>IF(G3247=1,F3247,CEILING(F3247,1))</f>
        <v/>
      </c>
      <c r="I3247">
        <f>IF(G3247=1,0,(H3247-F3247)*E3247)</f>
        <v/>
      </c>
      <c r="J3247">
        <f>E3247*F3247</f>
        <v/>
      </c>
    </row>
    <row r="3248">
      <c r="A3248">
        <f>Sources!A3248</f>
        <v/>
      </c>
      <c r="B3248">
        <f>Sources!B3248</f>
        <v/>
      </c>
      <c r="C3248">
        <f>Sources!D3248</f>
        <v/>
      </c>
      <c r="D3248">
        <f>Sources!E3248</f>
        <v/>
      </c>
      <c r="E3248">
        <f>Sources!F3248</f>
        <v/>
      </c>
      <c r="F3248">
        <f>Sources!H3248</f>
        <v/>
      </c>
      <c r="G3248">
        <f>IF(ABS(F3248-ROUND(F3248,0))&lt;0.001,1,0)</f>
        <v/>
      </c>
      <c r="H3248">
        <f>IF(G3248=1,F3248,CEILING(F3248,1))</f>
        <v/>
      </c>
      <c r="I3248">
        <f>IF(G3248=1,0,(H3248-F3248)*E3248)</f>
        <v/>
      </c>
      <c r="J3248">
        <f>E3248*F3248</f>
        <v/>
      </c>
    </row>
    <row r="3249">
      <c r="A3249">
        <f>Sources!A3249</f>
        <v/>
      </c>
      <c r="B3249">
        <f>Sources!B3249</f>
        <v/>
      </c>
      <c r="C3249">
        <f>Sources!D3249</f>
        <v/>
      </c>
      <c r="D3249">
        <f>Sources!E3249</f>
        <v/>
      </c>
      <c r="E3249">
        <f>Sources!F3249</f>
        <v/>
      </c>
      <c r="F3249">
        <f>Sources!H3249</f>
        <v/>
      </c>
      <c r="G3249">
        <f>IF(ABS(F3249-ROUND(F3249,0))&lt;0.001,1,0)</f>
        <v/>
      </c>
      <c r="H3249">
        <f>IF(G3249=1,F3249,CEILING(F3249,1))</f>
        <v/>
      </c>
      <c r="I3249">
        <f>IF(G3249=1,0,(H3249-F3249)*E3249)</f>
        <v/>
      </c>
      <c r="J3249">
        <f>E3249*F3249</f>
        <v/>
      </c>
    </row>
    <row r="3250">
      <c r="A3250">
        <f>Sources!A3250</f>
        <v/>
      </c>
      <c r="B3250">
        <f>Sources!B3250</f>
        <v/>
      </c>
      <c r="C3250">
        <f>Sources!D3250</f>
        <v/>
      </c>
      <c r="D3250">
        <f>Sources!E3250</f>
        <v/>
      </c>
      <c r="E3250">
        <f>Sources!F3250</f>
        <v/>
      </c>
      <c r="F3250">
        <f>Sources!H3250</f>
        <v/>
      </c>
      <c r="G3250">
        <f>IF(ABS(F3250-ROUND(F3250,0))&lt;0.001,1,0)</f>
        <v/>
      </c>
      <c r="H3250">
        <f>IF(G3250=1,F3250,CEILING(F3250,1))</f>
        <v/>
      </c>
      <c r="I3250">
        <f>IF(G3250=1,0,(H3250-F3250)*E3250)</f>
        <v/>
      </c>
      <c r="J3250">
        <f>E3250*F3250</f>
        <v/>
      </c>
    </row>
    <row r="3251">
      <c r="A3251">
        <f>Sources!A3251</f>
        <v/>
      </c>
      <c r="B3251">
        <f>Sources!B3251</f>
        <v/>
      </c>
      <c r="C3251">
        <f>Sources!D3251</f>
        <v/>
      </c>
      <c r="D3251">
        <f>Sources!E3251</f>
        <v/>
      </c>
      <c r="E3251">
        <f>Sources!F3251</f>
        <v/>
      </c>
      <c r="F3251">
        <f>Sources!H3251</f>
        <v/>
      </c>
      <c r="G3251">
        <f>IF(ABS(F3251-ROUND(F3251,0))&lt;0.001,1,0)</f>
        <v/>
      </c>
      <c r="H3251">
        <f>IF(G3251=1,F3251,CEILING(F3251,1))</f>
        <v/>
      </c>
      <c r="I3251">
        <f>IF(G3251=1,0,(H3251-F3251)*E3251)</f>
        <v/>
      </c>
      <c r="J3251">
        <f>E3251*F3251</f>
        <v/>
      </c>
    </row>
    <row r="3252">
      <c r="A3252">
        <f>Sources!A3252</f>
        <v/>
      </c>
      <c r="B3252">
        <f>Sources!B3252</f>
        <v/>
      </c>
      <c r="C3252">
        <f>Sources!D3252</f>
        <v/>
      </c>
      <c r="D3252">
        <f>Sources!E3252</f>
        <v/>
      </c>
      <c r="E3252">
        <f>Sources!F3252</f>
        <v/>
      </c>
      <c r="F3252">
        <f>Sources!H3252</f>
        <v/>
      </c>
      <c r="G3252">
        <f>IF(ABS(F3252-ROUND(F3252,0))&lt;0.001,1,0)</f>
        <v/>
      </c>
      <c r="H3252">
        <f>IF(G3252=1,F3252,CEILING(F3252,1))</f>
        <v/>
      </c>
      <c r="I3252">
        <f>IF(G3252=1,0,(H3252-F3252)*E3252)</f>
        <v/>
      </c>
      <c r="J3252">
        <f>E3252*F3252</f>
        <v/>
      </c>
    </row>
    <row r="3253">
      <c r="A3253">
        <f>Sources!A3253</f>
        <v/>
      </c>
      <c r="B3253">
        <f>Sources!B3253</f>
        <v/>
      </c>
      <c r="C3253">
        <f>Sources!D3253</f>
        <v/>
      </c>
      <c r="D3253">
        <f>Sources!E3253</f>
        <v/>
      </c>
      <c r="E3253">
        <f>Sources!F3253</f>
        <v/>
      </c>
      <c r="F3253">
        <f>Sources!H3253</f>
        <v/>
      </c>
      <c r="G3253">
        <f>IF(ABS(F3253-ROUND(F3253,0))&lt;0.001,1,0)</f>
        <v/>
      </c>
      <c r="H3253">
        <f>IF(G3253=1,F3253,CEILING(F3253,1))</f>
        <v/>
      </c>
      <c r="I3253">
        <f>IF(G3253=1,0,(H3253-F3253)*E3253)</f>
        <v/>
      </c>
      <c r="J3253">
        <f>E3253*F3253</f>
        <v/>
      </c>
    </row>
    <row r="3254">
      <c r="A3254">
        <f>Sources!A3254</f>
        <v/>
      </c>
      <c r="B3254">
        <f>Sources!B3254</f>
        <v/>
      </c>
      <c r="C3254">
        <f>Sources!D3254</f>
        <v/>
      </c>
      <c r="D3254">
        <f>Sources!E3254</f>
        <v/>
      </c>
      <c r="E3254">
        <f>Sources!F3254</f>
        <v/>
      </c>
      <c r="F3254">
        <f>Sources!H3254</f>
        <v/>
      </c>
      <c r="G3254">
        <f>IF(ABS(F3254-ROUND(F3254,0))&lt;0.001,1,0)</f>
        <v/>
      </c>
      <c r="H3254">
        <f>IF(G3254=1,F3254,CEILING(F3254,1))</f>
        <v/>
      </c>
      <c r="I3254">
        <f>IF(G3254=1,0,(H3254-F3254)*E3254)</f>
        <v/>
      </c>
      <c r="J3254">
        <f>E3254*F3254</f>
        <v/>
      </c>
    </row>
    <row r="3255">
      <c r="A3255">
        <f>Sources!A3255</f>
        <v/>
      </c>
      <c r="B3255">
        <f>Sources!B3255</f>
        <v/>
      </c>
      <c r="C3255">
        <f>Sources!D3255</f>
        <v/>
      </c>
      <c r="D3255">
        <f>Sources!E3255</f>
        <v/>
      </c>
      <c r="E3255">
        <f>Sources!F3255</f>
        <v/>
      </c>
      <c r="F3255">
        <f>Sources!H3255</f>
        <v/>
      </c>
      <c r="G3255">
        <f>IF(ABS(F3255-ROUND(F3255,0))&lt;0.001,1,0)</f>
        <v/>
      </c>
      <c r="H3255">
        <f>IF(G3255=1,F3255,CEILING(F3255,1))</f>
        <v/>
      </c>
      <c r="I3255">
        <f>IF(G3255=1,0,(H3255-F3255)*E3255)</f>
        <v/>
      </c>
      <c r="J3255">
        <f>E3255*F3255</f>
        <v/>
      </c>
    </row>
    <row r="3256">
      <c r="A3256">
        <f>Sources!A3256</f>
        <v/>
      </c>
      <c r="B3256">
        <f>Sources!B3256</f>
        <v/>
      </c>
      <c r="C3256">
        <f>Sources!D3256</f>
        <v/>
      </c>
      <c r="D3256">
        <f>Sources!E3256</f>
        <v/>
      </c>
      <c r="E3256">
        <f>Sources!F3256</f>
        <v/>
      </c>
      <c r="F3256">
        <f>Sources!H3256</f>
        <v/>
      </c>
      <c r="G3256">
        <f>IF(ABS(F3256-ROUND(F3256,0))&lt;0.001,1,0)</f>
        <v/>
      </c>
      <c r="H3256">
        <f>IF(G3256=1,F3256,CEILING(F3256,1))</f>
        <v/>
      </c>
      <c r="I3256">
        <f>IF(G3256=1,0,(H3256-F3256)*E3256)</f>
        <v/>
      </c>
      <c r="J3256">
        <f>E3256*F3256</f>
        <v/>
      </c>
    </row>
    <row r="3257">
      <c r="A3257">
        <f>Sources!A3257</f>
        <v/>
      </c>
      <c r="B3257">
        <f>Sources!B3257</f>
        <v/>
      </c>
      <c r="C3257">
        <f>Sources!D3257</f>
        <v/>
      </c>
      <c r="D3257">
        <f>Sources!E3257</f>
        <v/>
      </c>
      <c r="E3257">
        <f>Sources!F3257</f>
        <v/>
      </c>
      <c r="F3257">
        <f>Sources!H3257</f>
        <v/>
      </c>
      <c r="G3257">
        <f>IF(ABS(F3257-ROUND(F3257,0))&lt;0.001,1,0)</f>
        <v/>
      </c>
      <c r="H3257">
        <f>IF(G3257=1,F3257,CEILING(F3257,1))</f>
        <v/>
      </c>
      <c r="I3257">
        <f>IF(G3257=1,0,(H3257-F3257)*E3257)</f>
        <v/>
      </c>
      <c r="J3257">
        <f>E3257*F3257</f>
        <v/>
      </c>
    </row>
    <row r="3258">
      <c r="A3258">
        <f>Sources!A3258</f>
        <v/>
      </c>
      <c r="B3258">
        <f>Sources!B3258</f>
        <v/>
      </c>
      <c r="C3258">
        <f>Sources!D3258</f>
        <v/>
      </c>
      <c r="D3258">
        <f>Sources!E3258</f>
        <v/>
      </c>
      <c r="E3258">
        <f>Sources!F3258</f>
        <v/>
      </c>
      <c r="F3258">
        <f>Sources!H3258</f>
        <v/>
      </c>
      <c r="G3258">
        <f>IF(ABS(F3258-ROUND(F3258,0))&lt;0.001,1,0)</f>
        <v/>
      </c>
      <c r="H3258">
        <f>IF(G3258=1,F3258,CEILING(F3258,1))</f>
        <v/>
      </c>
      <c r="I3258">
        <f>IF(G3258=1,0,(H3258-F3258)*E3258)</f>
        <v/>
      </c>
      <c r="J3258">
        <f>E3258*F3258</f>
        <v/>
      </c>
    </row>
    <row r="3259">
      <c r="A3259">
        <f>Sources!A3259</f>
        <v/>
      </c>
      <c r="B3259">
        <f>Sources!B3259</f>
        <v/>
      </c>
      <c r="C3259">
        <f>Sources!D3259</f>
        <v/>
      </c>
      <c r="D3259">
        <f>Sources!E3259</f>
        <v/>
      </c>
      <c r="E3259">
        <f>Sources!F3259</f>
        <v/>
      </c>
      <c r="F3259">
        <f>Sources!H3259</f>
        <v/>
      </c>
      <c r="G3259">
        <f>IF(ABS(F3259-ROUND(F3259,0))&lt;0.001,1,0)</f>
        <v/>
      </c>
      <c r="H3259">
        <f>IF(G3259=1,F3259,CEILING(F3259,1))</f>
        <v/>
      </c>
      <c r="I3259">
        <f>IF(G3259=1,0,(H3259-F3259)*E3259)</f>
        <v/>
      </c>
      <c r="J3259">
        <f>E3259*F3259</f>
        <v/>
      </c>
    </row>
    <row r="3260">
      <c r="A3260">
        <f>Sources!A3260</f>
        <v/>
      </c>
      <c r="B3260">
        <f>Sources!B3260</f>
        <v/>
      </c>
      <c r="C3260">
        <f>Sources!D3260</f>
        <v/>
      </c>
      <c r="D3260">
        <f>Sources!E3260</f>
        <v/>
      </c>
      <c r="E3260">
        <f>Sources!F3260</f>
        <v/>
      </c>
      <c r="F3260">
        <f>Sources!H3260</f>
        <v/>
      </c>
      <c r="G3260">
        <f>IF(ABS(F3260-ROUND(F3260,0))&lt;0.001,1,0)</f>
        <v/>
      </c>
      <c r="H3260">
        <f>IF(G3260=1,F3260,CEILING(F3260,1))</f>
        <v/>
      </c>
      <c r="I3260">
        <f>IF(G3260=1,0,(H3260-F3260)*E3260)</f>
        <v/>
      </c>
      <c r="J3260">
        <f>E3260*F3260</f>
        <v/>
      </c>
    </row>
    <row r="3261">
      <c r="A3261">
        <f>Sources!A3261</f>
        <v/>
      </c>
      <c r="B3261">
        <f>Sources!B3261</f>
        <v/>
      </c>
      <c r="C3261">
        <f>Sources!D3261</f>
        <v/>
      </c>
      <c r="D3261">
        <f>Sources!E3261</f>
        <v/>
      </c>
      <c r="E3261">
        <f>Sources!F3261</f>
        <v/>
      </c>
      <c r="F3261">
        <f>Sources!H3261</f>
        <v/>
      </c>
      <c r="G3261">
        <f>IF(ABS(F3261-ROUND(F3261,0))&lt;0.001,1,0)</f>
        <v/>
      </c>
      <c r="H3261">
        <f>IF(G3261=1,F3261,CEILING(F3261,1))</f>
        <v/>
      </c>
      <c r="I3261">
        <f>IF(G3261=1,0,(H3261-F3261)*E3261)</f>
        <v/>
      </c>
      <c r="J3261">
        <f>E3261*F3261</f>
        <v/>
      </c>
    </row>
    <row r="3262">
      <c r="A3262">
        <f>Sources!A3262</f>
        <v/>
      </c>
      <c r="B3262">
        <f>Sources!B3262</f>
        <v/>
      </c>
      <c r="C3262">
        <f>Sources!D3262</f>
        <v/>
      </c>
      <c r="D3262">
        <f>Sources!E3262</f>
        <v/>
      </c>
      <c r="E3262">
        <f>Sources!F3262</f>
        <v/>
      </c>
      <c r="F3262">
        <f>Sources!H3262</f>
        <v/>
      </c>
      <c r="G3262">
        <f>IF(ABS(F3262-ROUND(F3262,0))&lt;0.001,1,0)</f>
        <v/>
      </c>
      <c r="H3262">
        <f>IF(G3262=1,F3262,CEILING(F3262,1))</f>
        <v/>
      </c>
      <c r="I3262">
        <f>IF(G3262=1,0,(H3262-F3262)*E3262)</f>
        <v/>
      </c>
      <c r="J3262">
        <f>E3262*F3262</f>
        <v/>
      </c>
    </row>
    <row r="3263">
      <c r="A3263">
        <f>Sources!A3263</f>
        <v/>
      </c>
      <c r="B3263">
        <f>Sources!B3263</f>
        <v/>
      </c>
      <c r="C3263">
        <f>Sources!D3263</f>
        <v/>
      </c>
      <c r="D3263">
        <f>Sources!E3263</f>
        <v/>
      </c>
      <c r="E3263">
        <f>Sources!F3263</f>
        <v/>
      </c>
      <c r="F3263">
        <f>Sources!H3263</f>
        <v/>
      </c>
      <c r="G3263">
        <f>IF(ABS(F3263-ROUND(F3263,0))&lt;0.001,1,0)</f>
        <v/>
      </c>
      <c r="H3263">
        <f>IF(G3263=1,F3263,CEILING(F3263,1))</f>
        <v/>
      </c>
      <c r="I3263">
        <f>IF(G3263=1,0,(H3263-F3263)*E3263)</f>
        <v/>
      </c>
      <c r="J3263">
        <f>E3263*F3263</f>
        <v/>
      </c>
    </row>
    <row r="3264">
      <c r="A3264">
        <f>Sources!A3264</f>
        <v/>
      </c>
      <c r="B3264">
        <f>Sources!B3264</f>
        <v/>
      </c>
      <c r="C3264">
        <f>Sources!D3264</f>
        <v/>
      </c>
      <c r="D3264">
        <f>Sources!E3264</f>
        <v/>
      </c>
      <c r="E3264">
        <f>Sources!F3264</f>
        <v/>
      </c>
      <c r="F3264">
        <f>Sources!H3264</f>
        <v/>
      </c>
      <c r="G3264">
        <f>IF(ABS(F3264-ROUND(F3264,0))&lt;0.001,1,0)</f>
        <v/>
      </c>
      <c r="H3264">
        <f>IF(G3264=1,F3264,CEILING(F3264,1))</f>
        <v/>
      </c>
      <c r="I3264">
        <f>IF(G3264=1,0,(H3264-F3264)*E3264)</f>
        <v/>
      </c>
      <c r="J3264">
        <f>E3264*F3264</f>
        <v/>
      </c>
    </row>
    <row r="3265">
      <c r="A3265">
        <f>Sources!A3265</f>
        <v/>
      </c>
      <c r="B3265">
        <f>Sources!B3265</f>
        <v/>
      </c>
      <c r="C3265">
        <f>Sources!D3265</f>
        <v/>
      </c>
      <c r="D3265">
        <f>Sources!E3265</f>
        <v/>
      </c>
      <c r="E3265">
        <f>Sources!F3265</f>
        <v/>
      </c>
      <c r="F3265">
        <f>Sources!H3265</f>
        <v/>
      </c>
      <c r="G3265">
        <f>IF(ABS(F3265-ROUND(F3265,0))&lt;0.001,1,0)</f>
        <v/>
      </c>
      <c r="H3265">
        <f>IF(G3265=1,F3265,CEILING(F3265,1))</f>
        <v/>
      </c>
      <c r="I3265">
        <f>IF(G3265=1,0,(H3265-F3265)*E3265)</f>
        <v/>
      </c>
      <c r="J3265">
        <f>E3265*F3265</f>
        <v/>
      </c>
    </row>
    <row r="3266">
      <c r="A3266">
        <f>Sources!A3266</f>
        <v/>
      </c>
      <c r="B3266">
        <f>Sources!B3266</f>
        <v/>
      </c>
      <c r="C3266">
        <f>Sources!D3266</f>
        <v/>
      </c>
      <c r="D3266">
        <f>Sources!E3266</f>
        <v/>
      </c>
      <c r="E3266">
        <f>Sources!F3266</f>
        <v/>
      </c>
      <c r="F3266">
        <f>Sources!H3266</f>
        <v/>
      </c>
      <c r="G3266">
        <f>IF(ABS(F3266-ROUND(F3266,0))&lt;0.001,1,0)</f>
        <v/>
      </c>
      <c r="H3266">
        <f>IF(G3266=1,F3266,CEILING(F3266,1))</f>
        <v/>
      </c>
      <c r="I3266">
        <f>IF(G3266=1,0,(H3266-F3266)*E3266)</f>
        <v/>
      </c>
      <c r="J3266">
        <f>E3266*F3266</f>
        <v/>
      </c>
    </row>
    <row r="3267">
      <c r="A3267">
        <f>Sources!A3267</f>
        <v/>
      </c>
      <c r="B3267">
        <f>Sources!B3267</f>
        <v/>
      </c>
      <c r="C3267">
        <f>Sources!D3267</f>
        <v/>
      </c>
      <c r="D3267">
        <f>Sources!E3267</f>
        <v/>
      </c>
      <c r="E3267">
        <f>Sources!F3267</f>
        <v/>
      </c>
      <c r="F3267">
        <f>Sources!H3267</f>
        <v/>
      </c>
      <c r="G3267">
        <f>IF(ABS(F3267-ROUND(F3267,0))&lt;0.001,1,0)</f>
        <v/>
      </c>
      <c r="H3267">
        <f>IF(G3267=1,F3267,CEILING(F3267,1))</f>
        <v/>
      </c>
      <c r="I3267">
        <f>IF(G3267=1,0,(H3267-F3267)*E3267)</f>
        <v/>
      </c>
      <c r="J3267">
        <f>E3267*F3267</f>
        <v/>
      </c>
    </row>
    <row r="3268">
      <c r="A3268">
        <f>Sources!A3268</f>
        <v/>
      </c>
      <c r="B3268">
        <f>Sources!B3268</f>
        <v/>
      </c>
      <c r="C3268">
        <f>Sources!D3268</f>
        <v/>
      </c>
      <c r="D3268">
        <f>Sources!E3268</f>
        <v/>
      </c>
      <c r="E3268">
        <f>Sources!F3268</f>
        <v/>
      </c>
      <c r="F3268">
        <f>Sources!H3268</f>
        <v/>
      </c>
      <c r="G3268">
        <f>IF(ABS(F3268-ROUND(F3268,0))&lt;0.001,1,0)</f>
        <v/>
      </c>
      <c r="H3268">
        <f>IF(G3268=1,F3268,CEILING(F3268,1))</f>
        <v/>
      </c>
      <c r="I3268">
        <f>IF(G3268=1,0,(H3268-F3268)*E3268)</f>
        <v/>
      </c>
      <c r="J3268">
        <f>E3268*F3268</f>
        <v/>
      </c>
    </row>
    <row r="3269">
      <c r="A3269">
        <f>Sources!A3269</f>
        <v/>
      </c>
      <c r="B3269">
        <f>Sources!B3269</f>
        <v/>
      </c>
      <c r="C3269">
        <f>Sources!D3269</f>
        <v/>
      </c>
      <c r="D3269">
        <f>Sources!E3269</f>
        <v/>
      </c>
      <c r="E3269">
        <f>Sources!F3269</f>
        <v/>
      </c>
      <c r="F3269">
        <f>Sources!H3269</f>
        <v/>
      </c>
      <c r="G3269">
        <f>IF(ABS(F3269-ROUND(F3269,0))&lt;0.001,1,0)</f>
        <v/>
      </c>
      <c r="H3269">
        <f>IF(G3269=1,F3269,CEILING(F3269,1))</f>
        <v/>
      </c>
      <c r="I3269">
        <f>IF(G3269=1,0,(H3269-F3269)*E3269)</f>
        <v/>
      </c>
      <c r="J3269">
        <f>E3269*F3269</f>
        <v/>
      </c>
    </row>
    <row r="3270">
      <c r="A3270">
        <f>Sources!A3270</f>
        <v/>
      </c>
      <c r="B3270">
        <f>Sources!B3270</f>
        <v/>
      </c>
      <c r="C3270">
        <f>Sources!D3270</f>
        <v/>
      </c>
      <c r="D3270">
        <f>Sources!E3270</f>
        <v/>
      </c>
      <c r="E3270">
        <f>Sources!F3270</f>
        <v/>
      </c>
      <c r="F3270">
        <f>Sources!H3270</f>
        <v/>
      </c>
      <c r="G3270">
        <f>IF(ABS(F3270-ROUND(F3270,0))&lt;0.001,1,0)</f>
        <v/>
      </c>
      <c r="H3270">
        <f>IF(G3270=1,F3270,CEILING(F3270,1))</f>
        <v/>
      </c>
      <c r="I3270">
        <f>IF(G3270=1,0,(H3270-F3270)*E3270)</f>
        <v/>
      </c>
      <c r="J3270">
        <f>E3270*F3270</f>
        <v/>
      </c>
    </row>
    <row r="3271">
      <c r="A3271">
        <f>Sources!A3271</f>
        <v/>
      </c>
      <c r="B3271">
        <f>Sources!B3271</f>
        <v/>
      </c>
      <c r="C3271">
        <f>Sources!D3271</f>
        <v/>
      </c>
      <c r="D3271">
        <f>Sources!E3271</f>
        <v/>
      </c>
      <c r="E3271">
        <f>Sources!F3271</f>
        <v/>
      </c>
      <c r="F3271">
        <f>Sources!H3271</f>
        <v/>
      </c>
      <c r="G3271">
        <f>IF(ABS(F3271-ROUND(F3271,0))&lt;0.001,1,0)</f>
        <v/>
      </c>
      <c r="H3271">
        <f>IF(G3271=1,F3271,CEILING(F3271,1))</f>
        <v/>
      </c>
      <c r="I3271">
        <f>IF(G3271=1,0,(H3271-F3271)*E3271)</f>
        <v/>
      </c>
      <c r="J3271">
        <f>E3271*F3271</f>
        <v/>
      </c>
    </row>
    <row r="3272">
      <c r="A3272">
        <f>Sources!A3272</f>
        <v/>
      </c>
      <c r="B3272">
        <f>Sources!B3272</f>
        <v/>
      </c>
      <c r="C3272">
        <f>Sources!D3272</f>
        <v/>
      </c>
      <c r="D3272">
        <f>Sources!E3272</f>
        <v/>
      </c>
      <c r="E3272">
        <f>Sources!F3272</f>
        <v/>
      </c>
      <c r="F3272">
        <f>Sources!H3272</f>
        <v/>
      </c>
      <c r="G3272">
        <f>IF(ABS(F3272-ROUND(F3272,0))&lt;0.001,1,0)</f>
        <v/>
      </c>
      <c r="H3272">
        <f>IF(G3272=1,F3272,CEILING(F3272,1))</f>
        <v/>
      </c>
      <c r="I3272">
        <f>IF(G3272=1,0,(H3272-F3272)*E3272)</f>
        <v/>
      </c>
      <c r="J3272">
        <f>E3272*F3272</f>
        <v/>
      </c>
    </row>
    <row r="3273">
      <c r="A3273">
        <f>Sources!A3273</f>
        <v/>
      </c>
      <c r="B3273">
        <f>Sources!B3273</f>
        <v/>
      </c>
      <c r="C3273">
        <f>Sources!D3273</f>
        <v/>
      </c>
      <c r="D3273">
        <f>Sources!E3273</f>
        <v/>
      </c>
      <c r="E3273">
        <f>Sources!F3273</f>
        <v/>
      </c>
      <c r="F3273">
        <f>Sources!H3273</f>
        <v/>
      </c>
      <c r="G3273">
        <f>IF(ABS(F3273-ROUND(F3273,0))&lt;0.001,1,0)</f>
        <v/>
      </c>
      <c r="H3273">
        <f>IF(G3273=1,F3273,CEILING(F3273,1))</f>
        <v/>
      </c>
      <c r="I3273">
        <f>IF(G3273=1,0,(H3273-F3273)*E3273)</f>
        <v/>
      </c>
      <c r="J3273">
        <f>E3273*F3273</f>
        <v/>
      </c>
    </row>
    <row r="3274">
      <c r="A3274">
        <f>Sources!A3274</f>
        <v/>
      </c>
      <c r="B3274">
        <f>Sources!B3274</f>
        <v/>
      </c>
      <c r="C3274">
        <f>Sources!D3274</f>
        <v/>
      </c>
      <c r="D3274">
        <f>Sources!E3274</f>
        <v/>
      </c>
      <c r="E3274">
        <f>Sources!F3274</f>
        <v/>
      </c>
      <c r="F3274">
        <f>Sources!H3274</f>
        <v/>
      </c>
      <c r="G3274">
        <f>IF(ABS(F3274-ROUND(F3274,0))&lt;0.001,1,0)</f>
        <v/>
      </c>
      <c r="H3274">
        <f>IF(G3274=1,F3274,CEILING(F3274,1))</f>
        <v/>
      </c>
      <c r="I3274">
        <f>IF(G3274=1,0,(H3274-F3274)*E3274)</f>
        <v/>
      </c>
      <c r="J3274">
        <f>E3274*F3274</f>
        <v/>
      </c>
    </row>
    <row r="3275">
      <c r="A3275">
        <f>Sources!A3275</f>
        <v/>
      </c>
      <c r="B3275">
        <f>Sources!B3275</f>
        <v/>
      </c>
      <c r="C3275">
        <f>Sources!D3275</f>
        <v/>
      </c>
      <c r="D3275">
        <f>Sources!E3275</f>
        <v/>
      </c>
      <c r="E3275">
        <f>Sources!F3275</f>
        <v/>
      </c>
      <c r="F3275">
        <f>Sources!H3275</f>
        <v/>
      </c>
      <c r="G3275">
        <f>IF(ABS(F3275-ROUND(F3275,0))&lt;0.001,1,0)</f>
        <v/>
      </c>
      <c r="H3275">
        <f>IF(G3275=1,F3275,CEILING(F3275,1))</f>
        <v/>
      </c>
      <c r="I3275">
        <f>IF(G3275=1,0,(H3275-F3275)*E3275)</f>
        <v/>
      </c>
      <c r="J3275">
        <f>E3275*F3275</f>
        <v/>
      </c>
    </row>
    <row r="3276">
      <c r="A3276">
        <f>Sources!A3276</f>
        <v/>
      </c>
      <c r="B3276">
        <f>Sources!B3276</f>
        <v/>
      </c>
      <c r="C3276">
        <f>Sources!D3276</f>
        <v/>
      </c>
      <c r="D3276">
        <f>Sources!E3276</f>
        <v/>
      </c>
      <c r="E3276">
        <f>Sources!F3276</f>
        <v/>
      </c>
      <c r="F3276">
        <f>Sources!H3276</f>
        <v/>
      </c>
      <c r="G3276">
        <f>IF(ABS(F3276-ROUND(F3276,0))&lt;0.001,1,0)</f>
        <v/>
      </c>
      <c r="H3276">
        <f>IF(G3276=1,F3276,CEILING(F3276,1))</f>
        <v/>
      </c>
      <c r="I3276">
        <f>IF(G3276=1,0,(H3276-F3276)*E3276)</f>
        <v/>
      </c>
      <c r="J3276">
        <f>E3276*F3276</f>
        <v/>
      </c>
    </row>
    <row r="3277">
      <c r="A3277">
        <f>Sources!A3277</f>
        <v/>
      </c>
      <c r="B3277">
        <f>Sources!B3277</f>
        <v/>
      </c>
      <c r="C3277">
        <f>Sources!D3277</f>
        <v/>
      </c>
      <c r="D3277">
        <f>Sources!E3277</f>
        <v/>
      </c>
      <c r="E3277">
        <f>Sources!F3277</f>
        <v/>
      </c>
      <c r="F3277">
        <f>Sources!H3277</f>
        <v/>
      </c>
      <c r="G3277">
        <f>IF(ABS(F3277-ROUND(F3277,0))&lt;0.001,1,0)</f>
        <v/>
      </c>
      <c r="H3277">
        <f>IF(G3277=1,F3277,CEILING(F3277,1))</f>
        <v/>
      </c>
      <c r="I3277">
        <f>IF(G3277=1,0,(H3277-F3277)*E3277)</f>
        <v/>
      </c>
      <c r="J3277">
        <f>E3277*F3277</f>
        <v/>
      </c>
    </row>
    <row r="3278">
      <c r="A3278">
        <f>Sources!A3278</f>
        <v/>
      </c>
      <c r="B3278">
        <f>Sources!B3278</f>
        <v/>
      </c>
      <c r="C3278">
        <f>Sources!D3278</f>
        <v/>
      </c>
      <c r="D3278">
        <f>Sources!E3278</f>
        <v/>
      </c>
      <c r="E3278">
        <f>Sources!F3278</f>
        <v/>
      </c>
      <c r="F3278">
        <f>Sources!H3278</f>
        <v/>
      </c>
      <c r="G3278">
        <f>IF(ABS(F3278-ROUND(F3278,0))&lt;0.001,1,0)</f>
        <v/>
      </c>
      <c r="H3278">
        <f>IF(G3278=1,F3278,CEILING(F3278,1))</f>
        <v/>
      </c>
      <c r="I3278">
        <f>IF(G3278=1,0,(H3278-F3278)*E3278)</f>
        <v/>
      </c>
      <c r="J3278">
        <f>E3278*F3278</f>
        <v/>
      </c>
    </row>
    <row r="3279">
      <c r="A3279">
        <f>Sources!A3279</f>
        <v/>
      </c>
      <c r="B3279">
        <f>Sources!B3279</f>
        <v/>
      </c>
      <c r="C3279">
        <f>Sources!D3279</f>
        <v/>
      </c>
      <c r="D3279">
        <f>Sources!E3279</f>
        <v/>
      </c>
      <c r="E3279">
        <f>Sources!F3279</f>
        <v/>
      </c>
      <c r="F3279">
        <f>Sources!H3279</f>
        <v/>
      </c>
      <c r="G3279">
        <f>IF(ABS(F3279-ROUND(F3279,0))&lt;0.001,1,0)</f>
        <v/>
      </c>
      <c r="H3279">
        <f>IF(G3279=1,F3279,CEILING(F3279,1))</f>
        <v/>
      </c>
      <c r="I3279">
        <f>IF(G3279=1,0,(H3279-F3279)*E3279)</f>
        <v/>
      </c>
      <c r="J3279">
        <f>E3279*F3279</f>
        <v/>
      </c>
    </row>
    <row r="3280">
      <c r="A3280">
        <f>Sources!A3280</f>
        <v/>
      </c>
      <c r="B3280">
        <f>Sources!B3280</f>
        <v/>
      </c>
      <c r="C3280">
        <f>Sources!D3280</f>
        <v/>
      </c>
      <c r="D3280">
        <f>Sources!E3280</f>
        <v/>
      </c>
      <c r="E3280">
        <f>Sources!F3280</f>
        <v/>
      </c>
      <c r="F3280">
        <f>Sources!H3280</f>
        <v/>
      </c>
      <c r="G3280">
        <f>IF(ABS(F3280-ROUND(F3280,0))&lt;0.001,1,0)</f>
        <v/>
      </c>
      <c r="H3280">
        <f>IF(G3280=1,F3280,CEILING(F3280,1))</f>
        <v/>
      </c>
      <c r="I3280">
        <f>IF(G3280=1,0,(H3280-F3280)*E3280)</f>
        <v/>
      </c>
      <c r="J3280">
        <f>E3280*F3280</f>
        <v/>
      </c>
    </row>
    <row r="3281">
      <c r="A3281">
        <f>Sources!A3281</f>
        <v/>
      </c>
      <c r="B3281">
        <f>Sources!B3281</f>
        <v/>
      </c>
      <c r="C3281">
        <f>Sources!D3281</f>
        <v/>
      </c>
      <c r="D3281">
        <f>Sources!E3281</f>
        <v/>
      </c>
      <c r="E3281">
        <f>Sources!F3281</f>
        <v/>
      </c>
      <c r="F3281">
        <f>Sources!H3281</f>
        <v/>
      </c>
      <c r="G3281">
        <f>IF(ABS(F3281-ROUND(F3281,0))&lt;0.001,1,0)</f>
        <v/>
      </c>
      <c r="H3281">
        <f>IF(G3281=1,F3281,CEILING(F3281,1))</f>
        <v/>
      </c>
      <c r="I3281">
        <f>IF(G3281=1,0,(H3281-F3281)*E3281)</f>
        <v/>
      </c>
      <c r="J3281">
        <f>E3281*F3281</f>
        <v/>
      </c>
    </row>
    <row r="3282">
      <c r="A3282">
        <f>Sources!A3282</f>
        <v/>
      </c>
      <c r="B3282">
        <f>Sources!B3282</f>
        <v/>
      </c>
      <c r="C3282">
        <f>Sources!D3282</f>
        <v/>
      </c>
      <c r="D3282">
        <f>Sources!E3282</f>
        <v/>
      </c>
      <c r="E3282">
        <f>Sources!F3282</f>
        <v/>
      </c>
      <c r="F3282">
        <f>Sources!H3282</f>
        <v/>
      </c>
      <c r="G3282">
        <f>IF(ABS(F3282-ROUND(F3282,0))&lt;0.001,1,0)</f>
        <v/>
      </c>
      <c r="H3282">
        <f>IF(G3282=1,F3282,CEILING(F3282,1))</f>
        <v/>
      </c>
      <c r="I3282">
        <f>IF(G3282=1,0,(H3282-F3282)*E3282)</f>
        <v/>
      </c>
      <c r="J3282">
        <f>E3282*F3282</f>
        <v/>
      </c>
    </row>
    <row r="3283">
      <c r="A3283">
        <f>Sources!A3283</f>
        <v/>
      </c>
      <c r="B3283">
        <f>Sources!B3283</f>
        <v/>
      </c>
      <c r="C3283">
        <f>Sources!D3283</f>
        <v/>
      </c>
      <c r="D3283">
        <f>Sources!E3283</f>
        <v/>
      </c>
      <c r="E3283">
        <f>Sources!F3283</f>
        <v/>
      </c>
      <c r="F3283">
        <f>Sources!H3283</f>
        <v/>
      </c>
      <c r="G3283">
        <f>IF(ABS(F3283-ROUND(F3283,0))&lt;0.001,1,0)</f>
        <v/>
      </c>
      <c r="H3283">
        <f>IF(G3283=1,F3283,CEILING(F3283,1))</f>
        <v/>
      </c>
      <c r="I3283">
        <f>IF(G3283=1,0,(H3283-F3283)*E3283)</f>
        <v/>
      </c>
      <c r="J3283">
        <f>E3283*F3283</f>
        <v/>
      </c>
    </row>
    <row r="3284">
      <c r="A3284">
        <f>Sources!A3284</f>
        <v/>
      </c>
      <c r="B3284">
        <f>Sources!B3284</f>
        <v/>
      </c>
      <c r="C3284">
        <f>Sources!D3284</f>
        <v/>
      </c>
      <c r="D3284">
        <f>Sources!E3284</f>
        <v/>
      </c>
      <c r="E3284">
        <f>Sources!F3284</f>
        <v/>
      </c>
      <c r="F3284">
        <f>Sources!H3284</f>
        <v/>
      </c>
      <c r="G3284">
        <f>IF(ABS(F3284-ROUND(F3284,0))&lt;0.001,1,0)</f>
        <v/>
      </c>
      <c r="H3284">
        <f>IF(G3284=1,F3284,CEILING(F3284,1))</f>
        <v/>
      </c>
      <c r="I3284">
        <f>IF(G3284=1,0,(H3284-F3284)*E3284)</f>
        <v/>
      </c>
      <c r="J3284">
        <f>E3284*F3284</f>
        <v/>
      </c>
    </row>
    <row r="3285">
      <c r="A3285">
        <f>Sources!A3285</f>
        <v/>
      </c>
      <c r="B3285">
        <f>Sources!B3285</f>
        <v/>
      </c>
      <c r="C3285">
        <f>Sources!D3285</f>
        <v/>
      </c>
      <c r="D3285">
        <f>Sources!E3285</f>
        <v/>
      </c>
      <c r="E3285">
        <f>Sources!F3285</f>
        <v/>
      </c>
      <c r="F3285">
        <f>Sources!H3285</f>
        <v/>
      </c>
      <c r="G3285">
        <f>IF(ABS(F3285-ROUND(F3285,0))&lt;0.001,1,0)</f>
        <v/>
      </c>
      <c r="H3285">
        <f>IF(G3285=1,F3285,CEILING(F3285,1))</f>
        <v/>
      </c>
      <c r="I3285">
        <f>IF(G3285=1,0,(H3285-F3285)*E3285)</f>
        <v/>
      </c>
      <c r="J3285">
        <f>E3285*F3285</f>
        <v/>
      </c>
    </row>
    <row r="3286">
      <c r="A3286">
        <f>Sources!A3286</f>
        <v/>
      </c>
      <c r="B3286">
        <f>Sources!B3286</f>
        <v/>
      </c>
      <c r="C3286">
        <f>Sources!D3286</f>
        <v/>
      </c>
      <c r="D3286">
        <f>Sources!E3286</f>
        <v/>
      </c>
      <c r="E3286">
        <f>Sources!F3286</f>
        <v/>
      </c>
      <c r="F3286">
        <f>Sources!H3286</f>
        <v/>
      </c>
      <c r="G3286">
        <f>IF(ABS(F3286-ROUND(F3286,0))&lt;0.001,1,0)</f>
        <v/>
      </c>
      <c r="H3286">
        <f>IF(G3286=1,F3286,CEILING(F3286,1))</f>
        <v/>
      </c>
      <c r="I3286">
        <f>IF(G3286=1,0,(H3286-F3286)*E3286)</f>
        <v/>
      </c>
      <c r="J3286">
        <f>E3286*F3286</f>
        <v/>
      </c>
    </row>
    <row r="3287">
      <c r="A3287">
        <f>Sources!A3287</f>
        <v/>
      </c>
      <c r="B3287">
        <f>Sources!B3287</f>
        <v/>
      </c>
      <c r="C3287">
        <f>Sources!D3287</f>
        <v/>
      </c>
      <c r="D3287">
        <f>Sources!E3287</f>
        <v/>
      </c>
      <c r="E3287">
        <f>Sources!F3287</f>
        <v/>
      </c>
      <c r="F3287">
        <f>Sources!H3287</f>
        <v/>
      </c>
      <c r="G3287">
        <f>IF(ABS(F3287-ROUND(F3287,0))&lt;0.001,1,0)</f>
        <v/>
      </c>
      <c r="H3287">
        <f>IF(G3287=1,F3287,CEILING(F3287,1))</f>
        <v/>
      </c>
      <c r="I3287">
        <f>IF(G3287=1,0,(H3287-F3287)*E3287)</f>
        <v/>
      </c>
      <c r="J3287">
        <f>E3287*F3287</f>
        <v/>
      </c>
    </row>
    <row r="3288">
      <c r="A3288">
        <f>Sources!A3288</f>
        <v/>
      </c>
      <c r="B3288">
        <f>Sources!B3288</f>
        <v/>
      </c>
      <c r="C3288">
        <f>Sources!D3288</f>
        <v/>
      </c>
      <c r="D3288">
        <f>Sources!E3288</f>
        <v/>
      </c>
      <c r="E3288">
        <f>Sources!F3288</f>
        <v/>
      </c>
      <c r="F3288">
        <f>Sources!H3288</f>
        <v/>
      </c>
      <c r="G3288">
        <f>IF(ABS(F3288-ROUND(F3288,0))&lt;0.001,1,0)</f>
        <v/>
      </c>
      <c r="H3288">
        <f>IF(G3288=1,F3288,CEILING(F3288,1))</f>
        <v/>
      </c>
      <c r="I3288">
        <f>IF(G3288=1,0,(H3288-F3288)*E3288)</f>
        <v/>
      </c>
      <c r="J3288">
        <f>E3288*F3288</f>
        <v/>
      </c>
    </row>
    <row r="3289">
      <c r="A3289">
        <f>Sources!A3289</f>
        <v/>
      </c>
      <c r="B3289">
        <f>Sources!B3289</f>
        <v/>
      </c>
      <c r="C3289">
        <f>Sources!D3289</f>
        <v/>
      </c>
      <c r="D3289">
        <f>Sources!E3289</f>
        <v/>
      </c>
      <c r="E3289">
        <f>Sources!F3289</f>
        <v/>
      </c>
      <c r="F3289">
        <f>Sources!H3289</f>
        <v/>
      </c>
      <c r="G3289">
        <f>IF(ABS(F3289-ROUND(F3289,0))&lt;0.001,1,0)</f>
        <v/>
      </c>
      <c r="H3289">
        <f>IF(G3289=1,F3289,CEILING(F3289,1))</f>
        <v/>
      </c>
      <c r="I3289">
        <f>IF(G3289=1,0,(H3289-F3289)*E3289)</f>
        <v/>
      </c>
      <c r="J3289">
        <f>E3289*F3289</f>
        <v/>
      </c>
    </row>
    <row r="3290">
      <c r="A3290">
        <f>Sources!A3290</f>
        <v/>
      </c>
      <c r="B3290">
        <f>Sources!B3290</f>
        <v/>
      </c>
      <c r="C3290">
        <f>Sources!D3290</f>
        <v/>
      </c>
      <c r="D3290">
        <f>Sources!E3290</f>
        <v/>
      </c>
      <c r="E3290">
        <f>Sources!F3290</f>
        <v/>
      </c>
      <c r="F3290">
        <f>Sources!H3290</f>
        <v/>
      </c>
      <c r="G3290">
        <f>IF(ABS(F3290-ROUND(F3290,0))&lt;0.001,1,0)</f>
        <v/>
      </c>
      <c r="H3290">
        <f>IF(G3290=1,F3290,CEILING(F3290,1))</f>
        <v/>
      </c>
      <c r="I3290">
        <f>IF(G3290=1,0,(H3290-F3290)*E3290)</f>
        <v/>
      </c>
      <c r="J3290">
        <f>E3290*F3290</f>
        <v/>
      </c>
    </row>
    <row r="3291">
      <c r="A3291">
        <f>Sources!A3291</f>
        <v/>
      </c>
      <c r="B3291">
        <f>Sources!B3291</f>
        <v/>
      </c>
      <c r="C3291">
        <f>Sources!D3291</f>
        <v/>
      </c>
      <c r="D3291">
        <f>Sources!E3291</f>
        <v/>
      </c>
      <c r="E3291">
        <f>Sources!F3291</f>
        <v/>
      </c>
      <c r="F3291">
        <f>Sources!H3291</f>
        <v/>
      </c>
      <c r="G3291">
        <f>IF(ABS(F3291-ROUND(F3291,0))&lt;0.001,1,0)</f>
        <v/>
      </c>
      <c r="H3291">
        <f>IF(G3291=1,F3291,CEILING(F3291,1))</f>
        <v/>
      </c>
      <c r="I3291">
        <f>IF(G3291=1,0,(H3291-F3291)*E3291)</f>
        <v/>
      </c>
      <c r="J3291">
        <f>E3291*F3291</f>
        <v/>
      </c>
    </row>
    <row r="3292">
      <c r="A3292">
        <f>Sources!A3292</f>
        <v/>
      </c>
      <c r="B3292">
        <f>Sources!B3292</f>
        <v/>
      </c>
      <c r="C3292">
        <f>Sources!D3292</f>
        <v/>
      </c>
      <c r="D3292">
        <f>Sources!E3292</f>
        <v/>
      </c>
      <c r="E3292">
        <f>Sources!F3292</f>
        <v/>
      </c>
      <c r="F3292">
        <f>Sources!H3292</f>
        <v/>
      </c>
      <c r="G3292">
        <f>IF(ABS(F3292-ROUND(F3292,0))&lt;0.001,1,0)</f>
        <v/>
      </c>
      <c r="H3292">
        <f>IF(G3292=1,F3292,CEILING(F3292,1))</f>
        <v/>
      </c>
      <c r="I3292">
        <f>IF(G3292=1,0,(H3292-F3292)*E3292)</f>
        <v/>
      </c>
      <c r="J3292">
        <f>E3292*F3292</f>
        <v/>
      </c>
    </row>
    <row r="3293">
      <c r="A3293">
        <f>Sources!A3293</f>
        <v/>
      </c>
      <c r="B3293">
        <f>Sources!B3293</f>
        <v/>
      </c>
      <c r="C3293">
        <f>Sources!D3293</f>
        <v/>
      </c>
      <c r="D3293">
        <f>Sources!E3293</f>
        <v/>
      </c>
      <c r="E3293">
        <f>Sources!F3293</f>
        <v/>
      </c>
      <c r="F3293">
        <f>Sources!H3293</f>
        <v/>
      </c>
      <c r="G3293">
        <f>IF(ABS(F3293-ROUND(F3293,0))&lt;0.001,1,0)</f>
        <v/>
      </c>
      <c r="H3293">
        <f>IF(G3293=1,F3293,CEILING(F3293,1))</f>
        <v/>
      </c>
      <c r="I3293">
        <f>IF(G3293=1,0,(H3293-F3293)*E3293)</f>
        <v/>
      </c>
      <c r="J3293">
        <f>E3293*F3293</f>
        <v/>
      </c>
    </row>
    <row r="3294">
      <c r="A3294">
        <f>Sources!A3294</f>
        <v/>
      </c>
      <c r="B3294">
        <f>Sources!B3294</f>
        <v/>
      </c>
      <c r="C3294">
        <f>Sources!D3294</f>
        <v/>
      </c>
      <c r="D3294">
        <f>Sources!E3294</f>
        <v/>
      </c>
      <c r="E3294">
        <f>Sources!F3294</f>
        <v/>
      </c>
      <c r="F3294">
        <f>Sources!H3294</f>
        <v/>
      </c>
      <c r="G3294">
        <f>IF(ABS(F3294-ROUND(F3294,0))&lt;0.001,1,0)</f>
        <v/>
      </c>
      <c r="H3294">
        <f>IF(G3294=1,F3294,CEILING(F3294,1))</f>
        <v/>
      </c>
      <c r="I3294">
        <f>IF(G3294=1,0,(H3294-F3294)*E3294)</f>
        <v/>
      </c>
      <c r="J3294">
        <f>E3294*F3294</f>
        <v/>
      </c>
    </row>
    <row r="3295">
      <c r="A3295">
        <f>Sources!A3295</f>
        <v/>
      </c>
      <c r="B3295">
        <f>Sources!B3295</f>
        <v/>
      </c>
      <c r="C3295">
        <f>Sources!D3295</f>
        <v/>
      </c>
      <c r="D3295">
        <f>Sources!E3295</f>
        <v/>
      </c>
      <c r="E3295">
        <f>Sources!F3295</f>
        <v/>
      </c>
      <c r="F3295">
        <f>Sources!H3295</f>
        <v/>
      </c>
      <c r="G3295">
        <f>IF(ABS(F3295-ROUND(F3295,0))&lt;0.001,1,0)</f>
        <v/>
      </c>
      <c r="H3295">
        <f>IF(G3295=1,F3295,CEILING(F3295,1))</f>
        <v/>
      </c>
      <c r="I3295">
        <f>IF(G3295=1,0,(H3295-F3295)*E3295)</f>
        <v/>
      </c>
      <c r="J3295">
        <f>E3295*F3295</f>
        <v/>
      </c>
    </row>
    <row r="3296">
      <c r="A3296">
        <f>Sources!A3296</f>
        <v/>
      </c>
      <c r="B3296">
        <f>Sources!B3296</f>
        <v/>
      </c>
      <c r="C3296">
        <f>Sources!D3296</f>
        <v/>
      </c>
      <c r="D3296">
        <f>Sources!E3296</f>
        <v/>
      </c>
      <c r="E3296">
        <f>Sources!F3296</f>
        <v/>
      </c>
      <c r="F3296">
        <f>Sources!H3296</f>
        <v/>
      </c>
      <c r="G3296">
        <f>IF(ABS(F3296-ROUND(F3296,0))&lt;0.001,1,0)</f>
        <v/>
      </c>
      <c r="H3296">
        <f>IF(G3296=1,F3296,CEILING(F3296,1))</f>
        <v/>
      </c>
      <c r="I3296">
        <f>IF(G3296=1,0,(H3296-F3296)*E3296)</f>
        <v/>
      </c>
      <c r="J3296">
        <f>E3296*F3296</f>
        <v/>
      </c>
    </row>
    <row r="3297">
      <c r="A3297">
        <f>Sources!A3297</f>
        <v/>
      </c>
      <c r="B3297">
        <f>Sources!B3297</f>
        <v/>
      </c>
      <c r="C3297">
        <f>Sources!D3297</f>
        <v/>
      </c>
      <c r="D3297">
        <f>Sources!E3297</f>
        <v/>
      </c>
      <c r="E3297">
        <f>Sources!F3297</f>
        <v/>
      </c>
      <c r="F3297">
        <f>Sources!H3297</f>
        <v/>
      </c>
      <c r="G3297">
        <f>IF(ABS(F3297-ROUND(F3297,0))&lt;0.001,1,0)</f>
        <v/>
      </c>
      <c r="H3297">
        <f>IF(G3297=1,F3297,CEILING(F3297,1))</f>
        <v/>
      </c>
      <c r="I3297">
        <f>IF(G3297=1,0,(H3297-F3297)*E3297)</f>
        <v/>
      </c>
      <c r="J3297">
        <f>E3297*F3297</f>
        <v/>
      </c>
    </row>
    <row r="3298">
      <c r="A3298">
        <f>Sources!A3298</f>
        <v/>
      </c>
      <c r="B3298">
        <f>Sources!B3298</f>
        <v/>
      </c>
      <c r="C3298">
        <f>Sources!D3298</f>
        <v/>
      </c>
      <c r="D3298">
        <f>Sources!E3298</f>
        <v/>
      </c>
      <c r="E3298">
        <f>Sources!F3298</f>
        <v/>
      </c>
      <c r="F3298">
        <f>Sources!H3298</f>
        <v/>
      </c>
      <c r="G3298">
        <f>IF(ABS(F3298-ROUND(F3298,0))&lt;0.001,1,0)</f>
        <v/>
      </c>
      <c r="H3298">
        <f>IF(G3298=1,F3298,CEILING(F3298,1))</f>
        <v/>
      </c>
      <c r="I3298">
        <f>IF(G3298=1,0,(H3298-F3298)*E3298)</f>
        <v/>
      </c>
      <c r="J3298">
        <f>E3298*F3298</f>
        <v/>
      </c>
    </row>
    <row r="3299">
      <c r="A3299">
        <f>Sources!A3299</f>
        <v/>
      </c>
      <c r="B3299">
        <f>Sources!B3299</f>
        <v/>
      </c>
      <c r="C3299">
        <f>Sources!D3299</f>
        <v/>
      </c>
      <c r="D3299">
        <f>Sources!E3299</f>
        <v/>
      </c>
      <c r="E3299">
        <f>Sources!F3299</f>
        <v/>
      </c>
      <c r="F3299">
        <f>Sources!H3299</f>
        <v/>
      </c>
      <c r="G3299">
        <f>IF(ABS(F3299-ROUND(F3299,0))&lt;0.001,1,0)</f>
        <v/>
      </c>
      <c r="H3299">
        <f>IF(G3299=1,F3299,CEILING(F3299,1))</f>
        <v/>
      </c>
      <c r="I3299">
        <f>IF(G3299=1,0,(H3299-F3299)*E3299)</f>
        <v/>
      </c>
      <c r="J3299">
        <f>E3299*F3299</f>
        <v/>
      </c>
    </row>
    <row r="3300">
      <c r="A3300">
        <f>Sources!A3300</f>
        <v/>
      </c>
      <c r="B3300">
        <f>Sources!B3300</f>
        <v/>
      </c>
      <c r="C3300">
        <f>Sources!D3300</f>
        <v/>
      </c>
      <c r="D3300">
        <f>Sources!E3300</f>
        <v/>
      </c>
      <c r="E3300">
        <f>Sources!F3300</f>
        <v/>
      </c>
      <c r="F3300">
        <f>Sources!H3300</f>
        <v/>
      </c>
      <c r="G3300">
        <f>IF(ABS(F3300-ROUND(F3300,0))&lt;0.001,1,0)</f>
        <v/>
      </c>
      <c r="H3300">
        <f>IF(G3300=1,F3300,CEILING(F3300,1))</f>
        <v/>
      </c>
      <c r="I3300">
        <f>IF(G3300=1,0,(H3300-F3300)*E3300)</f>
        <v/>
      </c>
      <c r="J3300">
        <f>E3300*F3300</f>
        <v/>
      </c>
    </row>
    <row r="3301">
      <c r="A3301">
        <f>Sources!A3301</f>
        <v/>
      </c>
      <c r="B3301">
        <f>Sources!B3301</f>
        <v/>
      </c>
      <c r="C3301">
        <f>Sources!D3301</f>
        <v/>
      </c>
      <c r="D3301">
        <f>Sources!E3301</f>
        <v/>
      </c>
      <c r="E3301">
        <f>Sources!F3301</f>
        <v/>
      </c>
      <c r="F3301">
        <f>Sources!H3301</f>
        <v/>
      </c>
      <c r="G3301">
        <f>IF(ABS(F3301-ROUND(F3301,0))&lt;0.001,1,0)</f>
        <v/>
      </c>
      <c r="H3301">
        <f>IF(G3301=1,F3301,CEILING(F3301,1))</f>
        <v/>
      </c>
      <c r="I3301">
        <f>IF(G3301=1,0,(H3301-F3301)*E3301)</f>
        <v/>
      </c>
      <c r="J3301">
        <f>E3301*F3301</f>
        <v/>
      </c>
    </row>
    <row r="3302">
      <c r="A3302">
        <f>Sources!A3302</f>
        <v/>
      </c>
      <c r="B3302">
        <f>Sources!B3302</f>
        <v/>
      </c>
      <c r="C3302">
        <f>Sources!D3302</f>
        <v/>
      </c>
      <c r="D3302">
        <f>Sources!E3302</f>
        <v/>
      </c>
      <c r="E3302">
        <f>Sources!F3302</f>
        <v/>
      </c>
      <c r="F3302">
        <f>Sources!H3302</f>
        <v/>
      </c>
      <c r="G3302">
        <f>IF(ABS(F3302-ROUND(F3302,0))&lt;0.001,1,0)</f>
        <v/>
      </c>
      <c r="H3302">
        <f>IF(G3302=1,F3302,CEILING(F3302,1))</f>
        <v/>
      </c>
      <c r="I3302">
        <f>IF(G3302=1,0,(H3302-F3302)*E3302)</f>
        <v/>
      </c>
      <c r="J3302">
        <f>E3302*F3302</f>
        <v/>
      </c>
    </row>
    <row r="3303">
      <c r="A3303">
        <f>Sources!A3303</f>
        <v/>
      </c>
      <c r="B3303">
        <f>Sources!B3303</f>
        <v/>
      </c>
      <c r="C3303">
        <f>Sources!D3303</f>
        <v/>
      </c>
      <c r="D3303">
        <f>Sources!E3303</f>
        <v/>
      </c>
      <c r="E3303">
        <f>Sources!F3303</f>
        <v/>
      </c>
      <c r="F3303">
        <f>Sources!H3303</f>
        <v/>
      </c>
      <c r="G3303">
        <f>IF(ABS(F3303-ROUND(F3303,0))&lt;0.001,1,0)</f>
        <v/>
      </c>
      <c r="H3303">
        <f>IF(G3303=1,F3303,CEILING(F3303,1))</f>
        <v/>
      </c>
      <c r="I3303">
        <f>IF(G3303=1,0,(H3303-F3303)*E3303)</f>
        <v/>
      </c>
      <c r="J3303">
        <f>E3303*F3303</f>
        <v/>
      </c>
    </row>
    <row r="3304">
      <c r="A3304">
        <f>Sources!A3304</f>
        <v/>
      </c>
      <c r="B3304">
        <f>Sources!B3304</f>
        <v/>
      </c>
      <c r="C3304">
        <f>Sources!D3304</f>
        <v/>
      </c>
      <c r="D3304">
        <f>Sources!E3304</f>
        <v/>
      </c>
      <c r="E3304">
        <f>Sources!F3304</f>
        <v/>
      </c>
      <c r="F3304">
        <f>Sources!H3304</f>
        <v/>
      </c>
      <c r="G3304">
        <f>IF(ABS(F3304-ROUND(F3304,0))&lt;0.001,1,0)</f>
        <v/>
      </c>
      <c r="H3304">
        <f>IF(G3304=1,F3304,CEILING(F3304,1))</f>
        <v/>
      </c>
      <c r="I3304">
        <f>IF(G3304=1,0,(H3304-F3304)*E3304)</f>
        <v/>
      </c>
      <c r="J3304">
        <f>E3304*F3304</f>
        <v/>
      </c>
    </row>
    <row r="3305">
      <c r="A3305">
        <f>Sources!A3305</f>
        <v/>
      </c>
      <c r="B3305">
        <f>Sources!B3305</f>
        <v/>
      </c>
      <c r="C3305">
        <f>Sources!D3305</f>
        <v/>
      </c>
      <c r="D3305">
        <f>Sources!E3305</f>
        <v/>
      </c>
      <c r="E3305">
        <f>Sources!F3305</f>
        <v/>
      </c>
      <c r="F3305">
        <f>Sources!H3305</f>
        <v/>
      </c>
      <c r="G3305">
        <f>IF(ABS(F3305-ROUND(F3305,0))&lt;0.001,1,0)</f>
        <v/>
      </c>
      <c r="H3305">
        <f>IF(G3305=1,F3305,CEILING(F3305,1))</f>
        <v/>
      </c>
      <c r="I3305">
        <f>IF(G3305=1,0,(H3305-F3305)*E3305)</f>
        <v/>
      </c>
      <c r="J3305">
        <f>E3305*F3305</f>
        <v/>
      </c>
    </row>
    <row r="3306">
      <c r="A3306">
        <f>Sources!A3306</f>
        <v/>
      </c>
      <c r="B3306">
        <f>Sources!B3306</f>
        <v/>
      </c>
      <c r="C3306">
        <f>Sources!D3306</f>
        <v/>
      </c>
      <c r="D3306">
        <f>Sources!E3306</f>
        <v/>
      </c>
      <c r="E3306">
        <f>Sources!F3306</f>
        <v/>
      </c>
      <c r="F3306">
        <f>Sources!H3306</f>
        <v/>
      </c>
      <c r="G3306">
        <f>IF(ABS(F3306-ROUND(F3306,0))&lt;0.001,1,0)</f>
        <v/>
      </c>
      <c r="H3306">
        <f>IF(G3306=1,F3306,CEILING(F3306,1))</f>
        <v/>
      </c>
      <c r="I3306">
        <f>IF(G3306=1,0,(H3306-F3306)*E3306)</f>
        <v/>
      </c>
      <c r="J3306">
        <f>E3306*F3306</f>
        <v/>
      </c>
    </row>
    <row r="3307">
      <c r="A3307">
        <f>Sources!A3307</f>
        <v/>
      </c>
      <c r="B3307">
        <f>Sources!B3307</f>
        <v/>
      </c>
      <c r="C3307">
        <f>Sources!D3307</f>
        <v/>
      </c>
      <c r="D3307">
        <f>Sources!E3307</f>
        <v/>
      </c>
      <c r="E3307">
        <f>Sources!F3307</f>
        <v/>
      </c>
      <c r="F3307">
        <f>Sources!H3307</f>
        <v/>
      </c>
      <c r="G3307">
        <f>IF(ABS(F3307-ROUND(F3307,0))&lt;0.001,1,0)</f>
        <v/>
      </c>
      <c r="H3307">
        <f>IF(G3307=1,F3307,CEILING(F3307,1))</f>
        <v/>
      </c>
      <c r="I3307">
        <f>IF(G3307=1,0,(H3307-F3307)*E3307)</f>
        <v/>
      </c>
      <c r="J3307">
        <f>E3307*F3307</f>
        <v/>
      </c>
    </row>
    <row r="3308">
      <c r="A3308">
        <f>Sources!A3308</f>
        <v/>
      </c>
      <c r="B3308">
        <f>Sources!B3308</f>
        <v/>
      </c>
      <c r="C3308">
        <f>Sources!D3308</f>
        <v/>
      </c>
      <c r="D3308">
        <f>Sources!E3308</f>
        <v/>
      </c>
      <c r="E3308">
        <f>Sources!F3308</f>
        <v/>
      </c>
      <c r="F3308">
        <f>Sources!H3308</f>
        <v/>
      </c>
      <c r="G3308">
        <f>IF(ABS(F3308-ROUND(F3308,0))&lt;0.001,1,0)</f>
        <v/>
      </c>
      <c r="H3308">
        <f>IF(G3308=1,F3308,CEILING(F3308,1))</f>
        <v/>
      </c>
      <c r="I3308">
        <f>IF(G3308=1,0,(H3308-F3308)*E3308)</f>
        <v/>
      </c>
      <c r="J3308">
        <f>E3308*F3308</f>
        <v/>
      </c>
    </row>
    <row r="3309">
      <c r="A3309">
        <f>Sources!A3309</f>
        <v/>
      </c>
      <c r="B3309">
        <f>Sources!B3309</f>
        <v/>
      </c>
      <c r="C3309">
        <f>Sources!D3309</f>
        <v/>
      </c>
      <c r="D3309">
        <f>Sources!E3309</f>
        <v/>
      </c>
      <c r="E3309">
        <f>Sources!F3309</f>
        <v/>
      </c>
      <c r="F3309">
        <f>Sources!H3309</f>
        <v/>
      </c>
      <c r="G3309">
        <f>IF(ABS(F3309-ROUND(F3309,0))&lt;0.001,1,0)</f>
        <v/>
      </c>
      <c r="H3309">
        <f>IF(G3309=1,F3309,CEILING(F3309,1))</f>
        <v/>
      </c>
      <c r="I3309">
        <f>IF(G3309=1,0,(H3309-F3309)*E3309)</f>
        <v/>
      </c>
      <c r="J3309">
        <f>E3309*F3309</f>
        <v/>
      </c>
    </row>
    <row r="3310">
      <c r="A3310">
        <f>Sources!A3310</f>
        <v/>
      </c>
      <c r="B3310">
        <f>Sources!B3310</f>
        <v/>
      </c>
      <c r="C3310">
        <f>Sources!D3310</f>
        <v/>
      </c>
      <c r="D3310">
        <f>Sources!E3310</f>
        <v/>
      </c>
      <c r="E3310">
        <f>Sources!F3310</f>
        <v/>
      </c>
      <c r="F3310">
        <f>Sources!H3310</f>
        <v/>
      </c>
      <c r="G3310">
        <f>IF(ABS(F3310-ROUND(F3310,0))&lt;0.001,1,0)</f>
        <v/>
      </c>
      <c r="H3310">
        <f>IF(G3310=1,F3310,CEILING(F3310,1))</f>
        <v/>
      </c>
      <c r="I3310">
        <f>IF(G3310=1,0,(H3310-F3310)*E3310)</f>
        <v/>
      </c>
      <c r="J3310">
        <f>E3310*F3310</f>
        <v/>
      </c>
    </row>
    <row r="3311">
      <c r="A3311">
        <f>Sources!A3311</f>
        <v/>
      </c>
      <c r="B3311">
        <f>Sources!B3311</f>
        <v/>
      </c>
      <c r="C3311">
        <f>Sources!D3311</f>
        <v/>
      </c>
      <c r="D3311">
        <f>Sources!E3311</f>
        <v/>
      </c>
      <c r="E3311">
        <f>Sources!F3311</f>
        <v/>
      </c>
      <c r="F3311">
        <f>Sources!H3311</f>
        <v/>
      </c>
      <c r="G3311">
        <f>IF(ABS(F3311-ROUND(F3311,0))&lt;0.001,1,0)</f>
        <v/>
      </c>
      <c r="H3311">
        <f>IF(G3311=1,F3311,CEILING(F3311,1))</f>
        <v/>
      </c>
      <c r="I3311">
        <f>IF(G3311=1,0,(H3311-F3311)*E3311)</f>
        <v/>
      </c>
      <c r="J3311">
        <f>E3311*F3311</f>
        <v/>
      </c>
    </row>
    <row r="3312">
      <c r="A3312">
        <f>Sources!A3312</f>
        <v/>
      </c>
      <c r="B3312">
        <f>Sources!B3312</f>
        <v/>
      </c>
      <c r="C3312">
        <f>Sources!D3312</f>
        <v/>
      </c>
      <c r="D3312">
        <f>Sources!E3312</f>
        <v/>
      </c>
      <c r="E3312">
        <f>Sources!F3312</f>
        <v/>
      </c>
      <c r="F3312">
        <f>Sources!H3312</f>
        <v/>
      </c>
      <c r="G3312">
        <f>IF(ABS(F3312-ROUND(F3312,0))&lt;0.001,1,0)</f>
        <v/>
      </c>
      <c r="H3312">
        <f>IF(G3312=1,F3312,CEILING(F3312,1))</f>
        <v/>
      </c>
      <c r="I3312">
        <f>IF(G3312=1,0,(H3312-F3312)*E3312)</f>
        <v/>
      </c>
      <c r="J3312">
        <f>E3312*F3312</f>
        <v/>
      </c>
    </row>
    <row r="3313">
      <c r="A3313">
        <f>Sources!A3313</f>
        <v/>
      </c>
      <c r="B3313">
        <f>Sources!B3313</f>
        <v/>
      </c>
      <c r="C3313">
        <f>Sources!D3313</f>
        <v/>
      </c>
      <c r="D3313">
        <f>Sources!E3313</f>
        <v/>
      </c>
      <c r="E3313">
        <f>Sources!F3313</f>
        <v/>
      </c>
      <c r="F3313">
        <f>Sources!H3313</f>
        <v/>
      </c>
      <c r="G3313">
        <f>IF(ABS(F3313-ROUND(F3313,0))&lt;0.001,1,0)</f>
        <v/>
      </c>
      <c r="H3313">
        <f>IF(G3313=1,F3313,CEILING(F3313,1))</f>
        <v/>
      </c>
      <c r="I3313">
        <f>IF(G3313=1,0,(H3313-F3313)*E3313)</f>
        <v/>
      </c>
      <c r="J3313">
        <f>E3313*F3313</f>
        <v/>
      </c>
    </row>
    <row r="3314">
      <c r="A3314">
        <f>Sources!A3314</f>
        <v/>
      </c>
      <c r="B3314">
        <f>Sources!B3314</f>
        <v/>
      </c>
      <c r="C3314">
        <f>Sources!D3314</f>
        <v/>
      </c>
      <c r="D3314">
        <f>Sources!E3314</f>
        <v/>
      </c>
      <c r="E3314">
        <f>Sources!F3314</f>
        <v/>
      </c>
      <c r="F3314">
        <f>Sources!H3314</f>
        <v/>
      </c>
      <c r="G3314">
        <f>IF(ABS(F3314-ROUND(F3314,0))&lt;0.001,1,0)</f>
        <v/>
      </c>
      <c r="H3314">
        <f>IF(G3314=1,F3314,CEILING(F3314,1))</f>
        <v/>
      </c>
      <c r="I3314">
        <f>IF(G3314=1,0,(H3314-F3314)*E3314)</f>
        <v/>
      </c>
      <c r="J3314">
        <f>E3314*F3314</f>
        <v/>
      </c>
    </row>
    <row r="3315">
      <c r="A3315">
        <f>Sources!A3315</f>
        <v/>
      </c>
      <c r="B3315">
        <f>Sources!B3315</f>
        <v/>
      </c>
      <c r="C3315">
        <f>Sources!D3315</f>
        <v/>
      </c>
      <c r="D3315">
        <f>Sources!E3315</f>
        <v/>
      </c>
      <c r="E3315">
        <f>Sources!F3315</f>
        <v/>
      </c>
      <c r="F3315">
        <f>Sources!H3315</f>
        <v/>
      </c>
      <c r="G3315">
        <f>IF(ABS(F3315-ROUND(F3315,0))&lt;0.001,1,0)</f>
        <v/>
      </c>
      <c r="H3315">
        <f>IF(G3315=1,F3315,CEILING(F3315,1))</f>
        <v/>
      </c>
      <c r="I3315">
        <f>IF(G3315=1,0,(H3315-F3315)*E3315)</f>
        <v/>
      </c>
      <c r="J3315">
        <f>E3315*F3315</f>
        <v/>
      </c>
    </row>
    <row r="3316">
      <c r="A3316">
        <f>Sources!A3316</f>
        <v/>
      </c>
      <c r="B3316">
        <f>Sources!B3316</f>
        <v/>
      </c>
      <c r="C3316">
        <f>Sources!D3316</f>
        <v/>
      </c>
      <c r="D3316">
        <f>Sources!E3316</f>
        <v/>
      </c>
      <c r="E3316">
        <f>Sources!F3316</f>
        <v/>
      </c>
      <c r="F3316">
        <f>Sources!H3316</f>
        <v/>
      </c>
      <c r="G3316">
        <f>IF(ABS(F3316-ROUND(F3316,0))&lt;0.001,1,0)</f>
        <v/>
      </c>
      <c r="H3316">
        <f>IF(G3316=1,F3316,CEILING(F3316,1))</f>
        <v/>
      </c>
      <c r="I3316">
        <f>IF(G3316=1,0,(H3316-F3316)*E3316)</f>
        <v/>
      </c>
      <c r="J3316">
        <f>E3316*F3316</f>
        <v/>
      </c>
    </row>
    <row r="3317">
      <c r="A3317">
        <f>Sources!A3317</f>
        <v/>
      </c>
      <c r="B3317">
        <f>Sources!B3317</f>
        <v/>
      </c>
      <c r="C3317">
        <f>Sources!D3317</f>
        <v/>
      </c>
      <c r="D3317">
        <f>Sources!E3317</f>
        <v/>
      </c>
      <c r="E3317">
        <f>Sources!F3317</f>
        <v/>
      </c>
      <c r="F3317">
        <f>Sources!H3317</f>
        <v/>
      </c>
      <c r="G3317">
        <f>IF(ABS(F3317-ROUND(F3317,0))&lt;0.001,1,0)</f>
        <v/>
      </c>
      <c r="H3317">
        <f>IF(G3317=1,F3317,CEILING(F3317,1))</f>
        <v/>
      </c>
      <c r="I3317">
        <f>IF(G3317=1,0,(H3317-F3317)*E3317)</f>
        <v/>
      </c>
      <c r="J3317">
        <f>E3317*F3317</f>
        <v/>
      </c>
    </row>
    <row r="3318">
      <c r="A3318">
        <f>Sources!A3318</f>
        <v/>
      </c>
      <c r="B3318">
        <f>Sources!B3318</f>
        <v/>
      </c>
      <c r="C3318">
        <f>Sources!D3318</f>
        <v/>
      </c>
      <c r="D3318">
        <f>Sources!E3318</f>
        <v/>
      </c>
      <c r="E3318">
        <f>Sources!F3318</f>
        <v/>
      </c>
      <c r="F3318">
        <f>Sources!H3318</f>
        <v/>
      </c>
      <c r="G3318">
        <f>IF(ABS(F3318-ROUND(F3318,0))&lt;0.001,1,0)</f>
        <v/>
      </c>
      <c r="H3318">
        <f>IF(G3318=1,F3318,CEILING(F3318,1))</f>
        <v/>
      </c>
      <c r="I3318">
        <f>IF(G3318=1,0,(H3318-F3318)*E3318)</f>
        <v/>
      </c>
      <c r="J3318">
        <f>E3318*F3318</f>
        <v/>
      </c>
    </row>
    <row r="3319">
      <c r="A3319">
        <f>Sources!A3319</f>
        <v/>
      </c>
      <c r="B3319">
        <f>Sources!B3319</f>
        <v/>
      </c>
      <c r="C3319">
        <f>Sources!D3319</f>
        <v/>
      </c>
      <c r="D3319">
        <f>Sources!E3319</f>
        <v/>
      </c>
      <c r="E3319">
        <f>Sources!F3319</f>
        <v/>
      </c>
      <c r="F3319">
        <f>Sources!H3319</f>
        <v/>
      </c>
      <c r="G3319">
        <f>IF(ABS(F3319-ROUND(F3319,0))&lt;0.001,1,0)</f>
        <v/>
      </c>
      <c r="H3319">
        <f>IF(G3319=1,F3319,CEILING(F3319,1))</f>
        <v/>
      </c>
      <c r="I3319">
        <f>IF(G3319=1,0,(H3319-F3319)*E3319)</f>
        <v/>
      </c>
      <c r="J3319">
        <f>E3319*F3319</f>
        <v/>
      </c>
    </row>
    <row r="3320">
      <c r="A3320">
        <f>Sources!A3320</f>
        <v/>
      </c>
      <c r="B3320">
        <f>Sources!B3320</f>
        <v/>
      </c>
      <c r="C3320">
        <f>Sources!D3320</f>
        <v/>
      </c>
      <c r="D3320">
        <f>Sources!E3320</f>
        <v/>
      </c>
      <c r="E3320">
        <f>Sources!F3320</f>
        <v/>
      </c>
      <c r="F3320">
        <f>Sources!H3320</f>
        <v/>
      </c>
      <c r="G3320">
        <f>IF(ABS(F3320-ROUND(F3320,0))&lt;0.001,1,0)</f>
        <v/>
      </c>
      <c r="H3320">
        <f>IF(G3320=1,F3320,CEILING(F3320,1))</f>
        <v/>
      </c>
      <c r="I3320">
        <f>IF(G3320=1,0,(H3320-F3320)*E3320)</f>
        <v/>
      </c>
      <c r="J3320">
        <f>E3320*F3320</f>
        <v/>
      </c>
    </row>
    <row r="3321">
      <c r="A3321">
        <f>Sources!A3321</f>
        <v/>
      </c>
      <c r="B3321">
        <f>Sources!B3321</f>
        <v/>
      </c>
      <c r="C3321">
        <f>Sources!D3321</f>
        <v/>
      </c>
      <c r="D3321">
        <f>Sources!E3321</f>
        <v/>
      </c>
      <c r="E3321">
        <f>Sources!F3321</f>
        <v/>
      </c>
      <c r="F3321">
        <f>Sources!H3321</f>
        <v/>
      </c>
      <c r="G3321">
        <f>IF(ABS(F3321-ROUND(F3321,0))&lt;0.001,1,0)</f>
        <v/>
      </c>
      <c r="H3321">
        <f>IF(G3321=1,F3321,CEILING(F3321,1))</f>
        <v/>
      </c>
      <c r="I3321">
        <f>IF(G3321=1,0,(H3321-F3321)*E3321)</f>
        <v/>
      </c>
      <c r="J3321">
        <f>E3321*F3321</f>
        <v/>
      </c>
    </row>
    <row r="3322">
      <c r="A3322">
        <f>Sources!A3322</f>
        <v/>
      </c>
      <c r="B3322">
        <f>Sources!B3322</f>
        <v/>
      </c>
      <c r="C3322">
        <f>Sources!D3322</f>
        <v/>
      </c>
      <c r="D3322">
        <f>Sources!E3322</f>
        <v/>
      </c>
      <c r="E3322">
        <f>Sources!F3322</f>
        <v/>
      </c>
      <c r="F3322">
        <f>Sources!H3322</f>
        <v/>
      </c>
      <c r="G3322">
        <f>IF(ABS(F3322-ROUND(F3322,0))&lt;0.001,1,0)</f>
        <v/>
      </c>
      <c r="H3322">
        <f>IF(G3322=1,F3322,CEILING(F3322,1))</f>
        <v/>
      </c>
      <c r="I3322">
        <f>IF(G3322=1,0,(H3322-F3322)*E3322)</f>
        <v/>
      </c>
      <c r="J3322">
        <f>E3322*F3322</f>
        <v/>
      </c>
    </row>
    <row r="3323">
      <c r="A3323">
        <f>Sources!A3323</f>
        <v/>
      </c>
      <c r="B3323">
        <f>Sources!B3323</f>
        <v/>
      </c>
      <c r="C3323">
        <f>Sources!D3323</f>
        <v/>
      </c>
      <c r="D3323">
        <f>Sources!E3323</f>
        <v/>
      </c>
      <c r="E3323">
        <f>Sources!F3323</f>
        <v/>
      </c>
      <c r="F3323">
        <f>Sources!H3323</f>
        <v/>
      </c>
      <c r="G3323">
        <f>IF(ABS(F3323-ROUND(F3323,0))&lt;0.001,1,0)</f>
        <v/>
      </c>
      <c r="H3323">
        <f>IF(G3323=1,F3323,CEILING(F3323,1))</f>
        <v/>
      </c>
      <c r="I3323">
        <f>IF(G3323=1,0,(H3323-F3323)*E3323)</f>
        <v/>
      </c>
      <c r="J3323">
        <f>E3323*F3323</f>
        <v/>
      </c>
    </row>
    <row r="3324">
      <c r="A3324">
        <f>Sources!A3324</f>
        <v/>
      </c>
      <c r="B3324">
        <f>Sources!B3324</f>
        <v/>
      </c>
      <c r="C3324">
        <f>Sources!D3324</f>
        <v/>
      </c>
      <c r="D3324">
        <f>Sources!E3324</f>
        <v/>
      </c>
      <c r="E3324">
        <f>Sources!F3324</f>
        <v/>
      </c>
      <c r="F3324">
        <f>Sources!H3324</f>
        <v/>
      </c>
      <c r="G3324">
        <f>IF(ABS(F3324-ROUND(F3324,0))&lt;0.001,1,0)</f>
        <v/>
      </c>
      <c r="H3324">
        <f>IF(G3324=1,F3324,CEILING(F3324,1))</f>
        <v/>
      </c>
      <c r="I3324">
        <f>IF(G3324=1,0,(H3324-F3324)*E3324)</f>
        <v/>
      </c>
      <c r="J3324">
        <f>E3324*F3324</f>
        <v/>
      </c>
    </row>
    <row r="3325">
      <c r="A3325">
        <f>Sources!A3325</f>
        <v/>
      </c>
      <c r="B3325">
        <f>Sources!B3325</f>
        <v/>
      </c>
      <c r="C3325">
        <f>Sources!D3325</f>
        <v/>
      </c>
      <c r="D3325">
        <f>Sources!E3325</f>
        <v/>
      </c>
      <c r="E3325">
        <f>Sources!F3325</f>
        <v/>
      </c>
      <c r="F3325">
        <f>Sources!H3325</f>
        <v/>
      </c>
      <c r="G3325">
        <f>IF(ABS(F3325-ROUND(F3325,0))&lt;0.001,1,0)</f>
        <v/>
      </c>
      <c r="H3325">
        <f>IF(G3325=1,F3325,CEILING(F3325,1))</f>
        <v/>
      </c>
      <c r="I3325">
        <f>IF(G3325=1,0,(H3325-F3325)*E3325)</f>
        <v/>
      </c>
      <c r="J3325">
        <f>E3325*F3325</f>
        <v/>
      </c>
    </row>
    <row r="3326">
      <c r="A3326">
        <f>Sources!A3326</f>
        <v/>
      </c>
      <c r="B3326">
        <f>Sources!B3326</f>
        <v/>
      </c>
      <c r="C3326">
        <f>Sources!D3326</f>
        <v/>
      </c>
      <c r="D3326">
        <f>Sources!E3326</f>
        <v/>
      </c>
      <c r="E3326">
        <f>Sources!F3326</f>
        <v/>
      </c>
      <c r="F3326">
        <f>Sources!H3326</f>
        <v/>
      </c>
      <c r="G3326">
        <f>IF(ABS(F3326-ROUND(F3326,0))&lt;0.001,1,0)</f>
        <v/>
      </c>
      <c r="H3326">
        <f>IF(G3326=1,F3326,CEILING(F3326,1))</f>
        <v/>
      </c>
      <c r="I3326">
        <f>IF(G3326=1,0,(H3326-F3326)*E3326)</f>
        <v/>
      </c>
      <c r="J3326">
        <f>E3326*F3326</f>
        <v/>
      </c>
    </row>
    <row r="3327">
      <c r="A3327">
        <f>Sources!A3327</f>
        <v/>
      </c>
      <c r="B3327">
        <f>Sources!B3327</f>
        <v/>
      </c>
      <c r="C3327">
        <f>Sources!D3327</f>
        <v/>
      </c>
      <c r="D3327">
        <f>Sources!E3327</f>
        <v/>
      </c>
      <c r="E3327">
        <f>Sources!F3327</f>
        <v/>
      </c>
      <c r="F3327">
        <f>Sources!H3327</f>
        <v/>
      </c>
      <c r="G3327">
        <f>IF(ABS(F3327-ROUND(F3327,0))&lt;0.001,1,0)</f>
        <v/>
      </c>
      <c r="H3327">
        <f>IF(G3327=1,F3327,CEILING(F3327,1))</f>
        <v/>
      </c>
      <c r="I3327">
        <f>IF(G3327=1,0,(H3327-F3327)*E3327)</f>
        <v/>
      </c>
      <c r="J3327">
        <f>E3327*F3327</f>
        <v/>
      </c>
    </row>
    <row r="3328">
      <c r="A3328">
        <f>Sources!A3328</f>
        <v/>
      </c>
      <c r="B3328">
        <f>Sources!B3328</f>
        <v/>
      </c>
      <c r="C3328">
        <f>Sources!D3328</f>
        <v/>
      </c>
      <c r="D3328">
        <f>Sources!E3328</f>
        <v/>
      </c>
      <c r="E3328">
        <f>Sources!F3328</f>
        <v/>
      </c>
      <c r="F3328">
        <f>Sources!H3328</f>
        <v/>
      </c>
      <c r="G3328">
        <f>IF(ABS(F3328-ROUND(F3328,0))&lt;0.001,1,0)</f>
        <v/>
      </c>
      <c r="H3328">
        <f>IF(G3328=1,F3328,CEILING(F3328,1))</f>
        <v/>
      </c>
      <c r="I3328">
        <f>IF(G3328=1,0,(H3328-F3328)*E3328)</f>
        <v/>
      </c>
      <c r="J3328">
        <f>E3328*F3328</f>
        <v/>
      </c>
    </row>
    <row r="3329">
      <c r="A3329">
        <f>Sources!A3329</f>
        <v/>
      </c>
      <c r="B3329">
        <f>Sources!B3329</f>
        <v/>
      </c>
      <c r="C3329">
        <f>Sources!D3329</f>
        <v/>
      </c>
      <c r="D3329">
        <f>Sources!E3329</f>
        <v/>
      </c>
      <c r="E3329">
        <f>Sources!F3329</f>
        <v/>
      </c>
      <c r="F3329">
        <f>Sources!H3329</f>
        <v/>
      </c>
      <c r="G3329">
        <f>IF(ABS(F3329-ROUND(F3329,0))&lt;0.001,1,0)</f>
        <v/>
      </c>
      <c r="H3329">
        <f>IF(G3329=1,F3329,CEILING(F3329,1))</f>
        <v/>
      </c>
      <c r="I3329">
        <f>IF(G3329=1,0,(H3329-F3329)*E3329)</f>
        <v/>
      </c>
      <c r="J3329">
        <f>E3329*F3329</f>
        <v/>
      </c>
    </row>
    <row r="3330">
      <c r="A3330">
        <f>Sources!A3330</f>
        <v/>
      </c>
      <c r="B3330">
        <f>Sources!B3330</f>
        <v/>
      </c>
      <c r="C3330">
        <f>Sources!D3330</f>
        <v/>
      </c>
      <c r="D3330">
        <f>Sources!E3330</f>
        <v/>
      </c>
      <c r="E3330">
        <f>Sources!F3330</f>
        <v/>
      </c>
      <c r="F3330">
        <f>Sources!H3330</f>
        <v/>
      </c>
      <c r="G3330">
        <f>IF(ABS(F3330-ROUND(F3330,0))&lt;0.001,1,0)</f>
        <v/>
      </c>
      <c r="H3330">
        <f>IF(G3330=1,F3330,CEILING(F3330,1))</f>
        <v/>
      </c>
      <c r="I3330">
        <f>IF(G3330=1,0,(H3330-F3330)*E3330)</f>
        <v/>
      </c>
      <c r="J3330">
        <f>E3330*F3330</f>
        <v/>
      </c>
    </row>
    <row r="3331">
      <c r="A3331">
        <f>Sources!A3331</f>
        <v/>
      </c>
      <c r="B3331">
        <f>Sources!B3331</f>
        <v/>
      </c>
      <c r="C3331">
        <f>Sources!D3331</f>
        <v/>
      </c>
      <c r="D3331">
        <f>Sources!E3331</f>
        <v/>
      </c>
      <c r="E3331">
        <f>Sources!F3331</f>
        <v/>
      </c>
      <c r="F3331">
        <f>Sources!H3331</f>
        <v/>
      </c>
      <c r="G3331">
        <f>IF(ABS(F3331-ROUND(F3331,0))&lt;0.001,1,0)</f>
        <v/>
      </c>
      <c r="H3331">
        <f>IF(G3331=1,F3331,CEILING(F3331,1))</f>
        <v/>
      </c>
      <c r="I3331">
        <f>IF(G3331=1,0,(H3331-F3331)*E3331)</f>
        <v/>
      </c>
      <c r="J3331">
        <f>E3331*F3331</f>
        <v/>
      </c>
    </row>
    <row r="3332">
      <c r="A3332">
        <f>Sources!A3332</f>
        <v/>
      </c>
      <c r="B3332">
        <f>Sources!B3332</f>
        <v/>
      </c>
      <c r="C3332">
        <f>Sources!D3332</f>
        <v/>
      </c>
      <c r="D3332">
        <f>Sources!E3332</f>
        <v/>
      </c>
      <c r="E3332">
        <f>Sources!F3332</f>
        <v/>
      </c>
      <c r="F3332">
        <f>Sources!H3332</f>
        <v/>
      </c>
      <c r="G3332">
        <f>IF(ABS(F3332-ROUND(F3332,0))&lt;0.001,1,0)</f>
        <v/>
      </c>
      <c r="H3332">
        <f>IF(G3332=1,F3332,CEILING(F3332,1))</f>
        <v/>
      </c>
      <c r="I3332">
        <f>IF(G3332=1,0,(H3332-F3332)*E3332)</f>
        <v/>
      </c>
      <c r="J3332">
        <f>E3332*F3332</f>
        <v/>
      </c>
    </row>
    <row r="3333">
      <c r="A3333">
        <f>Sources!A3333</f>
        <v/>
      </c>
      <c r="B3333">
        <f>Sources!B3333</f>
        <v/>
      </c>
      <c r="C3333">
        <f>Sources!D3333</f>
        <v/>
      </c>
      <c r="D3333">
        <f>Sources!E3333</f>
        <v/>
      </c>
      <c r="E3333">
        <f>Sources!F3333</f>
        <v/>
      </c>
      <c r="F3333">
        <f>Sources!H3333</f>
        <v/>
      </c>
      <c r="G3333">
        <f>IF(ABS(F3333-ROUND(F3333,0))&lt;0.001,1,0)</f>
        <v/>
      </c>
      <c r="H3333">
        <f>IF(G3333=1,F3333,CEILING(F3333,1))</f>
        <v/>
      </c>
      <c r="I3333">
        <f>IF(G3333=1,0,(H3333-F3333)*E3333)</f>
        <v/>
      </c>
      <c r="J3333">
        <f>E3333*F3333</f>
        <v/>
      </c>
    </row>
    <row r="3334">
      <c r="A3334">
        <f>Sources!A3334</f>
        <v/>
      </c>
      <c r="B3334">
        <f>Sources!B3334</f>
        <v/>
      </c>
      <c r="C3334">
        <f>Sources!D3334</f>
        <v/>
      </c>
      <c r="D3334">
        <f>Sources!E3334</f>
        <v/>
      </c>
      <c r="E3334">
        <f>Sources!F3334</f>
        <v/>
      </c>
      <c r="F3334">
        <f>Sources!H3334</f>
        <v/>
      </c>
      <c r="G3334">
        <f>IF(ABS(F3334-ROUND(F3334,0))&lt;0.001,1,0)</f>
        <v/>
      </c>
      <c r="H3334">
        <f>IF(G3334=1,F3334,CEILING(F3334,1))</f>
        <v/>
      </c>
      <c r="I3334">
        <f>IF(G3334=1,0,(H3334-F3334)*E3334)</f>
        <v/>
      </c>
      <c r="J3334">
        <f>E3334*F3334</f>
        <v/>
      </c>
    </row>
    <row r="3335">
      <c r="A3335">
        <f>Sources!A3335</f>
        <v/>
      </c>
      <c r="B3335">
        <f>Sources!B3335</f>
        <v/>
      </c>
      <c r="C3335">
        <f>Sources!D3335</f>
        <v/>
      </c>
      <c r="D3335">
        <f>Sources!E3335</f>
        <v/>
      </c>
      <c r="E3335">
        <f>Sources!F3335</f>
        <v/>
      </c>
      <c r="F3335">
        <f>Sources!H3335</f>
        <v/>
      </c>
      <c r="G3335">
        <f>IF(ABS(F3335-ROUND(F3335,0))&lt;0.001,1,0)</f>
        <v/>
      </c>
      <c r="H3335">
        <f>IF(G3335=1,F3335,CEILING(F3335,1))</f>
        <v/>
      </c>
      <c r="I3335">
        <f>IF(G3335=1,0,(H3335-F3335)*E3335)</f>
        <v/>
      </c>
      <c r="J3335">
        <f>E3335*F3335</f>
        <v/>
      </c>
    </row>
    <row r="3336">
      <c r="A3336">
        <f>Sources!A3336</f>
        <v/>
      </c>
      <c r="B3336">
        <f>Sources!B3336</f>
        <v/>
      </c>
      <c r="C3336">
        <f>Sources!D3336</f>
        <v/>
      </c>
      <c r="D3336">
        <f>Sources!E3336</f>
        <v/>
      </c>
      <c r="E3336">
        <f>Sources!F3336</f>
        <v/>
      </c>
      <c r="F3336">
        <f>Sources!H3336</f>
        <v/>
      </c>
      <c r="G3336">
        <f>IF(ABS(F3336-ROUND(F3336,0))&lt;0.001,1,0)</f>
        <v/>
      </c>
      <c r="H3336">
        <f>IF(G3336=1,F3336,CEILING(F3336,1))</f>
        <v/>
      </c>
      <c r="I3336">
        <f>IF(G3336=1,0,(H3336-F3336)*E3336)</f>
        <v/>
      </c>
      <c r="J3336">
        <f>E3336*F3336</f>
        <v/>
      </c>
    </row>
    <row r="3337">
      <c r="A3337">
        <f>Sources!A3337</f>
        <v/>
      </c>
      <c r="B3337">
        <f>Sources!B3337</f>
        <v/>
      </c>
      <c r="C3337">
        <f>Sources!D3337</f>
        <v/>
      </c>
      <c r="D3337">
        <f>Sources!E3337</f>
        <v/>
      </c>
      <c r="E3337">
        <f>Sources!F3337</f>
        <v/>
      </c>
      <c r="F3337">
        <f>Sources!H3337</f>
        <v/>
      </c>
      <c r="G3337">
        <f>IF(ABS(F3337-ROUND(F3337,0))&lt;0.001,1,0)</f>
        <v/>
      </c>
      <c r="H3337">
        <f>IF(G3337=1,F3337,CEILING(F3337,1))</f>
        <v/>
      </c>
      <c r="I3337">
        <f>IF(G3337=1,0,(H3337-F3337)*E3337)</f>
        <v/>
      </c>
      <c r="J3337">
        <f>E3337*F3337</f>
        <v/>
      </c>
    </row>
    <row r="3338">
      <c r="A3338">
        <f>Sources!A3338</f>
        <v/>
      </c>
      <c r="B3338">
        <f>Sources!B3338</f>
        <v/>
      </c>
      <c r="C3338">
        <f>Sources!D3338</f>
        <v/>
      </c>
      <c r="D3338">
        <f>Sources!E3338</f>
        <v/>
      </c>
      <c r="E3338">
        <f>Sources!F3338</f>
        <v/>
      </c>
      <c r="F3338">
        <f>Sources!H3338</f>
        <v/>
      </c>
      <c r="G3338">
        <f>IF(ABS(F3338-ROUND(F3338,0))&lt;0.001,1,0)</f>
        <v/>
      </c>
      <c r="H3338">
        <f>IF(G3338=1,F3338,CEILING(F3338,1))</f>
        <v/>
      </c>
      <c r="I3338">
        <f>IF(G3338=1,0,(H3338-F3338)*E3338)</f>
        <v/>
      </c>
      <c r="J3338">
        <f>E3338*F3338</f>
        <v/>
      </c>
    </row>
    <row r="3339">
      <c r="A3339">
        <f>Sources!A3339</f>
        <v/>
      </c>
      <c r="B3339">
        <f>Sources!B3339</f>
        <v/>
      </c>
      <c r="C3339">
        <f>Sources!D3339</f>
        <v/>
      </c>
      <c r="D3339">
        <f>Sources!E3339</f>
        <v/>
      </c>
      <c r="E3339">
        <f>Sources!F3339</f>
        <v/>
      </c>
      <c r="F3339">
        <f>Sources!H3339</f>
        <v/>
      </c>
      <c r="G3339">
        <f>IF(ABS(F3339-ROUND(F3339,0))&lt;0.001,1,0)</f>
        <v/>
      </c>
      <c r="H3339">
        <f>IF(G3339=1,F3339,CEILING(F3339,1))</f>
        <v/>
      </c>
      <c r="I3339">
        <f>IF(G3339=1,0,(H3339-F3339)*E3339)</f>
        <v/>
      </c>
      <c r="J3339">
        <f>E3339*F3339</f>
        <v/>
      </c>
    </row>
    <row r="3340">
      <c r="A3340">
        <f>Sources!A3340</f>
        <v/>
      </c>
      <c r="B3340">
        <f>Sources!B3340</f>
        <v/>
      </c>
      <c r="C3340">
        <f>Sources!D3340</f>
        <v/>
      </c>
      <c r="D3340">
        <f>Sources!E3340</f>
        <v/>
      </c>
      <c r="E3340">
        <f>Sources!F3340</f>
        <v/>
      </c>
      <c r="F3340">
        <f>Sources!H3340</f>
        <v/>
      </c>
      <c r="G3340">
        <f>IF(ABS(F3340-ROUND(F3340,0))&lt;0.001,1,0)</f>
        <v/>
      </c>
      <c r="H3340">
        <f>IF(G3340=1,F3340,CEILING(F3340,1))</f>
        <v/>
      </c>
      <c r="I3340">
        <f>IF(G3340=1,0,(H3340-F3340)*E3340)</f>
        <v/>
      </c>
      <c r="J3340">
        <f>E3340*F3340</f>
        <v/>
      </c>
    </row>
    <row r="3341">
      <c r="A3341">
        <f>Sources!A3341</f>
        <v/>
      </c>
      <c r="B3341">
        <f>Sources!B3341</f>
        <v/>
      </c>
      <c r="C3341">
        <f>Sources!D3341</f>
        <v/>
      </c>
      <c r="D3341">
        <f>Sources!E3341</f>
        <v/>
      </c>
      <c r="E3341">
        <f>Sources!F3341</f>
        <v/>
      </c>
      <c r="F3341">
        <f>Sources!H3341</f>
        <v/>
      </c>
      <c r="G3341">
        <f>IF(ABS(F3341-ROUND(F3341,0))&lt;0.001,1,0)</f>
        <v/>
      </c>
      <c r="H3341">
        <f>IF(G3341=1,F3341,CEILING(F3341,1))</f>
        <v/>
      </c>
      <c r="I3341">
        <f>IF(G3341=1,0,(H3341-F3341)*E3341)</f>
        <v/>
      </c>
      <c r="J3341">
        <f>E3341*F3341</f>
        <v/>
      </c>
    </row>
    <row r="3342">
      <c r="A3342">
        <f>Sources!A3342</f>
        <v/>
      </c>
      <c r="B3342">
        <f>Sources!B3342</f>
        <v/>
      </c>
      <c r="C3342">
        <f>Sources!D3342</f>
        <v/>
      </c>
      <c r="D3342">
        <f>Sources!E3342</f>
        <v/>
      </c>
      <c r="E3342">
        <f>Sources!F3342</f>
        <v/>
      </c>
      <c r="F3342">
        <f>Sources!H3342</f>
        <v/>
      </c>
      <c r="G3342">
        <f>IF(ABS(F3342-ROUND(F3342,0))&lt;0.001,1,0)</f>
        <v/>
      </c>
      <c r="H3342">
        <f>IF(G3342=1,F3342,CEILING(F3342,1))</f>
        <v/>
      </c>
      <c r="I3342">
        <f>IF(G3342=1,0,(H3342-F3342)*E3342)</f>
        <v/>
      </c>
      <c r="J3342">
        <f>E3342*F3342</f>
        <v/>
      </c>
    </row>
    <row r="3343">
      <c r="A3343">
        <f>Sources!A3343</f>
        <v/>
      </c>
      <c r="B3343">
        <f>Sources!B3343</f>
        <v/>
      </c>
      <c r="C3343">
        <f>Sources!D3343</f>
        <v/>
      </c>
      <c r="D3343">
        <f>Sources!E3343</f>
        <v/>
      </c>
      <c r="E3343">
        <f>Sources!F3343</f>
        <v/>
      </c>
      <c r="F3343">
        <f>Sources!H3343</f>
        <v/>
      </c>
      <c r="G3343">
        <f>IF(ABS(F3343-ROUND(F3343,0))&lt;0.001,1,0)</f>
        <v/>
      </c>
      <c r="H3343">
        <f>IF(G3343=1,F3343,CEILING(F3343,1))</f>
        <v/>
      </c>
      <c r="I3343">
        <f>IF(G3343=1,0,(H3343-F3343)*E3343)</f>
        <v/>
      </c>
      <c r="J3343">
        <f>E3343*F3343</f>
        <v/>
      </c>
    </row>
    <row r="3344">
      <c r="A3344">
        <f>Sources!A3344</f>
        <v/>
      </c>
      <c r="B3344">
        <f>Sources!B3344</f>
        <v/>
      </c>
      <c r="C3344">
        <f>Sources!D3344</f>
        <v/>
      </c>
      <c r="D3344">
        <f>Sources!E3344</f>
        <v/>
      </c>
      <c r="E3344">
        <f>Sources!F3344</f>
        <v/>
      </c>
      <c r="F3344">
        <f>Sources!H3344</f>
        <v/>
      </c>
      <c r="G3344">
        <f>IF(ABS(F3344-ROUND(F3344,0))&lt;0.001,1,0)</f>
        <v/>
      </c>
      <c r="H3344">
        <f>IF(G3344=1,F3344,CEILING(F3344,1))</f>
        <v/>
      </c>
      <c r="I3344">
        <f>IF(G3344=1,0,(H3344-F3344)*E3344)</f>
        <v/>
      </c>
      <c r="J3344">
        <f>E3344*F3344</f>
        <v/>
      </c>
    </row>
    <row r="3345">
      <c r="A3345">
        <f>Sources!A3345</f>
        <v/>
      </c>
      <c r="B3345">
        <f>Sources!B3345</f>
        <v/>
      </c>
      <c r="C3345">
        <f>Sources!D3345</f>
        <v/>
      </c>
      <c r="D3345">
        <f>Sources!E3345</f>
        <v/>
      </c>
      <c r="E3345">
        <f>Sources!F3345</f>
        <v/>
      </c>
      <c r="F3345">
        <f>Sources!H3345</f>
        <v/>
      </c>
      <c r="G3345">
        <f>IF(ABS(F3345-ROUND(F3345,0))&lt;0.001,1,0)</f>
        <v/>
      </c>
      <c r="H3345">
        <f>IF(G3345=1,F3345,CEILING(F3345,1))</f>
        <v/>
      </c>
      <c r="I3345">
        <f>IF(G3345=1,0,(H3345-F3345)*E3345)</f>
        <v/>
      </c>
      <c r="J3345">
        <f>E3345*F3345</f>
        <v/>
      </c>
    </row>
    <row r="3346">
      <c r="A3346">
        <f>Sources!A3346</f>
        <v/>
      </c>
      <c r="B3346">
        <f>Sources!B3346</f>
        <v/>
      </c>
      <c r="C3346">
        <f>Sources!D3346</f>
        <v/>
      </c>
      <c r="D3346">
        <f>Sources!E3346</f>
        <v/>
      </c>
      <c r="E3346">
        <f>Sources!F3346</f>
        <v/>
      </c>
      <c r="F3346">
        <f>Sources!H3346</f>
        <v/>
      </c>
      <c r="G3346">
        <f>IF(ABS(F3346-ROUND(F3346,0))&lt;0.001,1,0)</f>
        <v/>
      </c>
      <c r="H3346">
        <f>IF(G3346=1,F3346,CEILING(F3346,1))</f>
        <v/>
      </c>
      <c r="I3346">
        <f>IF(G3346=1,0,(H3346-F3346)*E3346)</f>
        <v/>
      </c>
      <c r="J3346">
        <f>E3346*F3346</f>
        <v/>
      </c>
    </row>
    <row r="3347">
      <c r="A3347">
        <f>Sources!A3347</f>
        <v/>
      </c>
      <c r="B3347">
        <f>Sources!B3347</f>
        <v/>
      </c>
      <c r="C3347">
        <f>Sources!D3347</f>
        <v/>
      </c>
      <c r="D3347">
        <f>Sources!E3347</f>
        <v/>
      </c>
      <c r="E3347">
        <f>Sources!F3347</f>
        <v/>
      </c>
      <c r="F3347">
        <f>Sources!H3347</f>
        <v/>
      </c>
      <c r="G3347">
        <f>IF(ABS(F3347-ROUND(F3347,0))&lt;0.001,1,0)</f>
        <v/>
      </c>
      <c r="H3347">
        <f>IF(G3347=1,F3347,CEILING(F3347,1))</f>
        <v/>
      </c>
      <c r="I3347">
        <f>IF(G3347=1,0,(H3347-F3347)*E3347)</f>
        <v/>
      </c>
      <c r="J3347">
        <f>E3347*F3347</f>
        <v/>
      </c>
    </row>
    <row r="3348">
      <c r="A3348">
        <f>Sources!A3348</f>
        <v/>
      </c>
      <c r="B3348">
        <f>Sources!B3348</f>
        <v/>
      </c>
      <c r="C3348">
        <f>Sources!D3348</f>
        <v/>
      </c>
      <c r="D3348">
        <f>Sources!E3348</f>
        <v/>
      </c>
      <c r="E3348">
        <f>Sources!F3348</f>
        <v/>
      </c>
      <c r="F3348">
        <f>Sources!H3348</f>
        <v/>
      </c>
      <c r="G3348">
        <f>IF(ABS(F3348-ROUND(F3348,0))&lt;0.001,1,0)</f>
        <v/>
      </c>
      <c r="H3348">
        <f>IF(G3348=1,F3348,CEILING(F3348,1))</f>
        <v/>
      </c>
      <c r="I3348">
        <f>IF(G3348=1,0,(H3348-F3348)*E3348)</f>
        <v/>
      </c>
      <c r="J3348">
        <f>E3348*F3348</f>
        <v/>
      </c>
    </row>
    <row r="3349">
      <c r="A3349">
        <f>Sources!A3349</f>
        <v/>
      </c>
      <c r="B3349">
        <f>Sources!B3349</f>
        <v/>
      </c>
      <c r="C3349">
        <f>Sources!D3349</f>
        <v/>
      </c>
      <c r="D3349">
        <f>Sources!E3349</f>
        <v/>
      </c>
      <c r="E3349">
        <f>Sources!F3349</f>
        <v/>
      </c>
      <c r="F3349">
        <f>Sources!H3349</f>
        <v/>
      </c>
      <c r="G3349">
        <f>IF(ABS(F3349-ROUND(F3349,0))&lt;0.001,1,0)</f>
        <v/>
      </c>
      <c r="H3349">
        <f>IF(G3349=1,F3349,CEILING(F3349,1))</f>
        <v/>
      </c>
      <c r="I3349">
        <f>IF(G3349=1,0,(H3349-F3349)*E3349)</f>
        <v/>
      </c>
      <c r="J3349">
        <f>E3349*F3349</f>
        <v/>
      </c>
    </row>
    <row r="3350">
      <c r="A3350">
        <f>Sources!A3350</f>
        <v/>
      </c>
      <c r="B3350">
        <f>Sources!B3350</f>
        <v/>
      </c>
      <c r="C3350">
        <f>Sources!D3350</f>
        <v/>
      </c>
      <c r="D3350">
        <f>Sources!E3350</f>
        <v/>
      </c>
      <c r="E3350">
        <f>Sources!F3350</f>
        <v/>
      </c>
      <c r="F3350">
        <f>Sources!H3350</f>
        <v/>
      </c>
      <c r="G3350">
        <f>IF(ABS(F3350-ROUND(F3350,0))&lt;0.001,1,0)</f>
        <v/>
      </c>
      <c r="H3350">
        <f>IF(G3350=1,F3350,CEILING(F3350,1))</f>
        <v/>
      </c>
      <c r="I3350">
        <f>IF(G3350=1,0,(H3350-F3350)*E3350)</f>
        <v/>
      </c>
      <c r="J3350">
        <f>E3350*F3350</f>
        <v/>
      </c>
    </row>
    <row r="3351">
      <c r="A3351">
        <f>Sources!A3351</f>
        <v/>
      </c>
      <c r="B3351">
        <f>Sources!B3351</f>
        <v/>
      </c>
      <c r="C3351">
        <f>Sources!D3351</f>
        <v/>
      </c>
      <c r="D3351">
        <f>Sources!E3351</f>
        <v/>
      </c>
      <c r="E3351">
        <f>Sources!F3351</f>
        <v/>
      </c>
      <c r="F3351">
        <f>Sources!H3351</f>
        <v/>
      </c>
      <c r="G3351">
        <f>IF(ABS(F3351-ROUND(F3351,0))&lt;0.001,1,0)</f>
        <v/>
      </c>
      <c r="H3351">
        <f>IF(G3351=1,F3351,CEILING(F3351,1))</f>
        <v/>
      </c>
      <c r="I3351">
        <f>IF(G3351=1,0,(H3351-F3351)*E3351)</f>
        <v/>
      </c>
      <c r="J3351">
        <f>E3351*F3351</f>
        <v/>
      </c>
    </row>
    <row r="3352">
      <c r="A3352">
        <f>Sources!A3352</f>
        <v/>
      </c>
      <c r="B3352">
        <f>Sources!B3352</f>
        <v/>
      </c>
      <c r="C3352">
        <f>Sources!D3352</f>
        <v/>
      </c>
      <c r="D3352">
        <f>Sources!E3352</f>
        <v/>
      </c>
      <c r="E3352">
        <f>Sources!F3352</f>
        <v/>
      </c>
      <c r="F3352">
        <f>Sources!H3352</f>
        <v/>
      </c>
      <c r="G3352">
        <f>IF(ABS(F3352-ROUND(F3352,0))&lt;0.001,1,0)</f>
        <v/>
      </c>
      <c r="H3352">
        <f>IF(G3352=1,F3352,CEILING(F3352,1))</f>
        <v/>
      </c>
      <c r="I3352">
        <f>IF(G3352=1,0,(H3352-F3352)*E3352)</f>
        <v/>
      </c>
      <c r="J3352">
        <f>E3352*F3352</f>
        <v/>
      </c>
    </row>
    <row r="3353">
      <c r="A3353">
        <f>Sources!A3353</f>
        <v/>
      </c>
      <c r="B3353">
        <f>Sources!B3353</f>
        <v/>
      </c>
      <c r="C3353">
        <f>Sources!D3353</f>
        <v/>
      </c>
      <c r="D3353">
        <f>Sources!E3353</f>
        <v/>
      </c>
      <c r="E3353">
        <f>Sources!F3353</f>
        <v/>
      </c>
      <c r="F3353">
        <f>Sources!H3353</f>
        <v/>
      </c>
      <c r="G3353">
        <f>IF(ABS(F3353-ROUND(F3353,0))&lt;0.001,1,0)</f>
        <v/>
      </c>
      <c r="H3353">
        <f>IF(G3353=1,F3353,CEILING(F3353,1))</f>
        <v/>
      </c>
      <c r="I3353">
        <f>IF(G3353=1,0,(H3353-F3353)*E3353)</f>
        <v/>
      </c>
      <c r="J3353">
        <f>E3353*F3353</f>
        <v/>
      </c>
    </row>
    <row r="3354">
      <c r="A3354">
        <f>Sources!A3354</f>
        <v/>
      </c>
      <c r="B3354">
        <f>Sources!B3354</f>
        <v/>
      </c>
      <c r="C3354">
        <f>Sources!D3354</f>
        <v/>
      </c>
      <c r="D3354">
        <f>Sources!E3354</f>
        <v/>
      </c>
      <c r="E3354">
        <f>Sources!F3354</f>
        <v/>
      </c>
      <c r="F3354">
        <f>Sources!H3354</f>
        <v/>
      </c>
      <c r="G3354">
        <f>IF(ABS(F3354-ROUND(F3354,0))&lt;0.001,1,0)</f>
        <v/>
      </c>
      <c r="H3354">
        <f>IF(G3354=1,F3354,CEILING(F3354,1))</f>
        <v/>
      </c>
      <c r="I3354">
        <f>IF(G3354=1,0,(H3354-F3354)*E3354)</f>
        <v/>
      </c>
      <c r="J3354">
        <f>E3354*F3354</f>
        <v/>
      </c>
    </row>
    <row r="3355">
      <c r="A3355">
        <f>Sources!A3355</f>
        <v/>
      </c>
      <c r="B3355">
        <f>Sources!B3355</f>
        <v/>
      </c>
      <c r="C3355">
        <f>Sources!D3355</f>
        <v/>
      </c>
      <c r="D3355">
        <f>Sources!E3355</f>
        <v/>
      </c>
      <c r="E3355">
        <f>Sources!F3355</f>
        <v/>
      </c>
      <c r="F3355">
        <f>Sources!H3355</f>
        <v/>
      </c>
      <c r="G3355">
        <f>IF(ABS(F3355-ROUND(F3355,0))&lt;0.001,1,0)</f>
        <v/>
      </c>
      <c r="H3355">
        <f>IF(G3355=1,F3355,CEILING(F3355,1))</f>
        <v/>
      </c>
      <c r="I3355">
        <f>IF(G3355=1,0,(H3355-F3355)*E3355)</f>
        <v/>
      </c>
      <c r="J3355">
        <f>E3355*F3355</f>
        <v/>
      </c>
    </row>
    <row r="3356">
      <c r="A3356">
        <f>Sources!A3356</f>
        <v/>
      </c>
      <c r="B3356">
        <f>Sources!B3356</f>
        <v/>
      </c>
      <c r="C3356">
        <f>Sources!D3356</f>
        <v/>
      </c>
      <c r="D3356">
        <f>Sources!E3356</f>
        <v/>
      </c>
      <c r="E3356">
        <f>Sources!F3356</f>
        <v/>
      </c>
      <c r="F3356">
        <f>Sources!H3356</f>
        <v/>
      </c>
      <c r="G3356">
        <f>IF(ABS(F3356-ROUND(F3356,0))&lt;0.001,1,0)</f>
        <v/>
      </c>
      <c r="H3356">
        <f>IF(G3356=1,F3356,CEILING(F3356,1))</f>
        <v/>
      </c>
      <c r="I3356">
        <f>IF(G3356=1,0,(H3356-F3356)*E3356)</f>
        <v/>
      </c>
      <c r="J3356">
        <f>E3356*F3356</f>
        <v/>
      </c>
    </row>
    <row r="3357">
      <c r="A3357">
        <f>Sources!A3357</f>
        <v/>
      </c>
      <c r="B3357">
        <f>Sources!B3357</f>
        <v/>
      </c>
      <c r="C3357">
        <f>Sources!D3357</f>
        <v/>
      </c>
      <c r="D3357">
        <f>Sources!E3357</f>
        <v/>
      </c>
      <c r="E3357">
        <f>Sources!F3357</f>
        <v/>
      </c>
      <c r="F3357">
        <f>Sources!H3357</f>
        <v/>
      </c>
      <c r="G3357">
        <f>IF(ABS(F3357-ROUND(F3357,0))&lt;0.001,1,0)</f>
        <v/>
      </c>
      <c r="H3357">
        <f>IF(G3357=1,F3357,CEILING(F3357,1))</f>
        <v/>
      </c>
      <c r="I3357">
        <f>IF(G3357=1,0,(H3357-F3357)*E3357)</f>
        <v/>
      </c>
      <c r="J3357">
        <f>E3357*F3357</f>
        <v/>
      </c>
    </row>
    <row r="3358">
      <c r="A3358">
        <f>Sources!A3358</f>
        <v/>
      </c>
      <c r="B3358">
        <f>Sources!B3358</f>
        <v/>
      </c>
      <c r="C3358">
        <f>Sources!D3358</f>
        <v/>
      </c>
      <c r="D3358">
        <f>Sources!E3358</f>
        <v/>
      </c>
      <c r="E3358">
        <f>Sources!F3358</f>
        <v/>
      </c>
      <c r="F3358">
        <f>Sources!H3358</f>
        <v/>
      </c>
      <c r="G3358">
        <f>IF(ABS(F3358-ROUND(F3358,0))&lt;0.001,1,0)</f>
        <v/>
      </c>
      <c r="H3358">
        <f>IF(G3358=1,F3358,CEILING(F3358,1))</f>
        <v/>
      </c>
      <c r="I3358">
        <f>IF(G3358=1,0,(H3358-F3358)*E3358)</f>
        <v/>
      </c>
      <c r="J3358">
        <f>E3358*F3358</f>
        <v/>
      </c>
    </row>
    <row r="3359">
      <c r="A3359">
        <f>Sources!A3359</f>
        <v/>
      </c>
      <c r="B3359">
        <f>Sources!B3359</f>
        <v/>
      </c>
      <c r="C3359">
        <f>Sources!D3359</f>
        <v/>
      </c>
      <c r="D3359">
        <f>Sources!E3359</f>
        <v/>
      </c>
      <c r="E3359">
        <f>Sources!F3359</f>
        <v/>
      </c>
      <c r="F3359">
        <f>Sources!H3359</f>
        <v/>
      </c>
      <c r="G3359">
        <f>IF(ABS(F3359-ROUND(F3359,0))&lt;0.001,1,0)</f>
        <v/>
      </c>
      <c r="H3359">
        <f>IF(G3359=1,F3359,CEILING(F3359,1))</f>
        <v/>
      </c>
      <c r="I3359">
        <f>IF(G3359=1,0,(H3359-F3359)*E3359)</f>
        <v/>
      </c>
      <c r="J3359">
        <f>E3359*F3359</f>
        <v/>
      </c>
    </row>
    <row r="3360">
      <c r="A3360">
        <f>Sources!A3360</f>
        <v/>
      </c>
      <c r="B3360">
        <f>Sources!B3360</f>
        <v/>
      </c>
      <c r="C3360">
        <f>Sources!D3360</f>
        <v/>
      </c>
      <c r="D3360">
        <f>Sources!E3360</f>
        <v/>
      </c>
      <c r="E3360">
        <f>Sources!F3360</f>
        <v/>
      </c>
      <c r="F3360">
        <f>Sources!H3360</f>
        <v/>
      </c>
      <c r="G3360">
        <f>IF(ABS(F3360-ROUND(F3360,0))&lt;0.001,1,0)</f>
        <v/>
      </c>
      <c r="H3360">
        <f>IF(G3360=1,F3360,CEILING(F3360,1))</f>
        <v/>
      </c>
      <c r="I3360">
        <f>IF(G3360=1,0,(H3360-F3360)*E3360)</f>
        <v/>
      </c>
      <c r="J3360">
        <f>E3360*F3360</f>
        <v/>
      </c>
    </row>
    <row r="3361">
      <c r="A3361">
        <f>Sources!A3361</f>
        <v/>
      </c>
      <c r="B3361">
        <f>Sources!B3361</f>
        <v/>
      </c>
      <c r="C3361">
        <f>Sources!D3361</f>
        <v/>
      </c>
      <c r="D3361">
        <f>Sources!E3361</f>
        <v/>
      </c>
      <c r="E3361">
        <f>Sources!F3361</f>
        <v/>
      </c>
      <c r="F3361">
        <f>Sources!H3361</f>
        <v/>
      </c>
      <c r="G3361">
        <f>IF(ABS(F3361-ROUND(F3361,0))&lt;0.001,1,0)</f>
        <v/>
      </c>
      <c r="H3361">
        <f>IF(G3361=1,F3361,CEILING(F3361,1))</f>
        <v/>
      </c>
      <c r="I3361">
        <f>IF(G3361=1,0,(H3361-F3361)*E3361)</f>
        <v/>
      </c>
      <c r="J3361">
        <f>E3361*F3361</f>
        <v/>
      </c>
    </row>
    <row r="3362">
      <c r="A3362">
        <f>Sources!A3362</f>
        <v/>
      </c>
      <c r="B3362">
        <f>Sources!B3362</f>
        <v/>
      </c>
      <c r="C3362">
        <f>Sources!D3362</f>
        <v/>
      </c>
      <c r="D3362">
        <f>Sources!E3362</f>
        <v/>
      </c>
      <c r="E3362">
        <f>Sources!F3362</f>
        <v/>
      </c>
      <c r="F3362">
        <f>Sources!H3362</f>
        <v/>
      </c>
      <c r="G3362">
        <f>IF(ABS(F3362-ROUND(F3362,0))&lt;0.001,1,0)</f>
        <v/>
      </c>
      <c r="H3362">
        <f>IF(G3362=1,F3362,CEILING(F3362,1))</f>
        <v/>
      </c>
      <c r="I3362">
        <f>IF(G3362=1,0,(H3362-F3362)*E3362)</f>
        <v/>
      </c>
      <c r="J3362">
        <f>E3362*F3362</f>
        <v/>
      </c>
    </row>
    <row r="3363">
      <c r="A3363">
        <f>Sources!A3363</f>
        <v/>
      </c>
      <c r="B3363">
        <f>Sources!B3363</f>
        <v/>
      </c>
      <c r="C3363">
        <f>Sources!D3363</f>
        <v/>
      </c>
      <c r="D3363">
        <f>Sources!E3363</f>
        <v/>
      </c>
      <c r="E3363">
        <f>Sources!F3363</f>
        <v/>
      </c>
      <c r="F3363">
        <f>Sources!H3363</f>
        <v/>
      </c>
      <c r="G3363">
        <f>IF(ABS(F3363-ROUND(F3363,0))&lt;0.001,1,0)</f>
        <v/>
      </c>
      <c r="H3363">
        <f>IF(G3363=1,F3363,CEILING(F3363,1))</f>
        <v/>
      </c>
      <c r="I3363">
        <f>IF(G3363=1,0,(H3363-F3363)*E3363)</f>
        <v/>
      </c>
      <c r="J3363">
        <f>E3363*F3363</f>
        <v/>
      </c>
    </row>
    <row r="3364">
      <c r="A3364">
        <f>Sources!A3364</f>
        <v/>
      </c>
      <c r="B3364">
        <f>Sources!B3364</f>
        <v/>
      </c>
      <c r="C3364">
        <f>Sources!D3364</f>
        <v/>
      </c>
      <c r="D3364">
        <f>Sources!E3364</f>
        <v/>
      </c>
      <c r="E3364">
        <f>Sources!F3364</f>
        <v/>
      </c>
      <c r="F3364">
        <f>Sources!H3364</f>
        <v/>
      </c>
      <c r="G3364">
        <f>IF(ABS(F3364-ROUND(F3364,0))&lt;0.001,1,0)</f>
        <v/>
      </c>
      <c r="H3364">
        <f>IF(G3364=1,F3364,CEILING(F3364,1))</f>
        <v/>
      </c>
      <c r="I3364">
        <f>IF(G3364=1,0,(H3364-F3364)*E3364)</f>
        <v/>
      </c>
      <c r="J3364">
        <f>E3364*F3364</f>
        <v/>
      </c>
    </row>
    <row r="3365">
      <c r="A3365">
        <f>Sources!A3365</f>
        <v/>
      </c>
      <c r="B3365">
        <f>Sources!B3365</f>
        <v/>
      </c>
      <c r="C3365">
        <f>Sources!D3365</f>
        <v/>
      </c>
      <c r="D3365">
        <f>Sources!E3365</f>
        <v/>
      </c>
      <c r="E3365">
        <f>Sources!F3365</f>
        <v/>
      </c>
      <c r="F3365">
        <f>Sources!H3365</f>
        <v/>
      </c>
      <c r="G3365">
        <f>IF(ABS(F3365-ROUND(F3365,0))&lt;0.001,1,0)</f>
        <v/>
      </c>
      <c r="H3365">
        <f>IF(G3365=1,F3365,CEILING(F3365,1))</f>
        <v/>
      </c>
      <c r="I3365">
        <f>IF(G3365=1,0,(H3365-F3365)*E3365)</f>
        <v/>
      </c>
      <c r="J3365">
        <f>E3365*F3365</f>
        <v/>
      </c>
    </row>
    <row r="3366">
      <c r="A3366">
        <f>Sources!A3366</f>
        <v/>
      </c>
      <c r="B3366">
        <f>Sources!B3366</f>
        <v/>
      </c>
      <c r="C3366">
        <f>Sources!D3366</f>
        <v/>
      </c>
      <c r="D3366">
        <f>Sources!E3366</f>
        <v/>
      </c>
      <c r="E3366">
        <f>Sources!F3366</f>
        <v/>
      </c>
      <c r="F3366">
        <f>Sources!H3366</f>
        <v/>
      </c>
      <c r="G3366">
        <f>IF(ABS(F3366-ROUND(F3366,0))&lt;0.001,1,0)</f>
        <v/>
      </c>
      <c r="H3366">
        <f>IF(G3366=1,F3366,CEILING(F3366,1))</f>
        <v/>
      </c>
      <c r="I3366">
        <f>IF(G3366=1,0,(H3366-F3366)*E3366)</f>
        <v/>
      </c>
      <c r="J3366">
        <f>E3366*F3366</f>
        <v/>
      </c>
    </row>
    <row r="3367">
      <c r="A3367">
        <f>Sources!A3367</f>
        <v/>
      </c>
      <c r="B3367">
        <f>Sources!B3367</f>
        <v/>
      </c>
      <c r="C3367">
        <f>Sources!D3367</f>
        <v/>
      </c>
      <c r="D3367">
        <f>Sources!E3367</f>
        <v/>
      </c>
      <c r="E3367">
        <f>Sources!F3367</f>
        <v/>
      </c>
      <c r="F3367">
        <f>Sources!H3367</f>
        <v/>
      </c>
      <c r="G3367">
        <f>IF(ABS(F3367-ROUND(F3367,0))&lt;0.001,1,0)</f>
        <v/>
      </c>
      <c r="H3367">
        <f>IF(G3367=1,F3367,CEILING(F3367,1))</f>
        <v/>
      </c>
      <c r="I3367">
        <f>IF(G3367=1,0,(H3367-F3367)*E3367)</f>
        <v/>
      </c>
      <c r="J3367">
        <f>E3367*F3367</f>
        <v/>
      </c>
    </row>
    <row r="3368">
      <c r="A3368">
        <f>Sources!A3368</f>
        <v/>
      </c>
      <c r="B3368">
        <f>Sources!B3368</f>
        <v/>
      </c>
      <c r="C3368">
        <f>Sources!D3368</f>
        <v/>
      </c>
      <c r="D3368">
        <f>Sources!E3368</f>
        <v/>
      </c>
      <c r="E3368">
        <f>Sources!F3368</f>
        <v/>
      </c>
      <c r="F3368">
        <f>Sources!H3368</f>
        <v/>
      </c>
      <c r="G3368">
        <f>IF(ABS(F3368-ROUND(F3368,0))&lt;0.001,1,0)</f>
        <v/>
      </c>
      <c r="H3368">
        <f>IF(G3368=1,F3368,CEILING(F3368,1))</f>
        <v/>
      </c>
      <c r="I3368">
        <f>IF(G3368=1,0,(H3368-F3368)*E3368)</f>
        <v/>
      </c>
      <c r="J3368">
        <f>E3368*F3368</f>
        <v/>
      </c>
    </row>
    <row r="3369">
      <c r="A3369">
        <f>Sources!A3369</f>
        <v/>
      </c>
      <c r="B3369">
        <f>Sources!B3369</f>
        <v/>
      </c>
      <c r="C3369">
        <f>Sources!D3369</f>
        <v/>
      </c>
      <c r="D3369">
        <f>Sources!E3369</f>
        <v/>
      </c>
      <c r="E3369">
        <f>Sources!F3369</f>
        <v/>
      </c>
      <c r="F3369">
        <f>Sources!H3369</f>
        <v/>
      </c>
      <c r="G3369">
        <f>IF(ABS(F3369-ROUND(F3369,0))&lt;0.001,1,0)</f>
        <v/>
      </c>
      <c r="H3369">
        <f>IF(G3369=1,F3369,CEILING(F3369,1))</f>
        <v/>
      </c>
      <c r="I3369">
        <f>IF(G3369=1,0,(H3369-F3369)*E3369)</f>
        <v/>
      </c>
      <c r="J3369">
        <f>E3369*F3369</f>
        <v/>
      </c>
    </row>
    <row r="3370">
      <c r="A3370">
        <f>Sources!A3370</f>
        <v/>
      </c>
      <c r="B3370">
        <f>Sources!B3370</f>
        <v/>
      </c>
      <c r="C3370">
        <f>Sources!D3370</f>
        <v/>
      </c>
      <c r="D3370">
        <f>Sources!E3370</f>
        <v/>
      </c>
      <c r="E3370">
        <f>Sources!F3370</f>
        <v/>
      </c>
      <c r="F3370">
        <f>Sources!H3370</f>
        <v/>
      </c>
      <c r="G3370">
        <f>IF(ABS(F3370-ROUND(F3370,0))&lt;0.001,1,0)</f>
        <v/>
      </c>
      <c r="H3370">
        <f>IF(G3370=1,F3370,CEILING(F3370,1))</f>
        <v/>
      </c>
      <c r="I3370">
        <f>IF(G3370=1,0,(H3370-F3370)*E3370)</f>
        <v/>
      </c>
      <c r="J3370">
        <f>E3370*F3370</f>
        <v/>
      </c>
    </row>
    <row r="3371">
      <c r="A3371">
        <f>Sources!A3371</f>
        <v/>
      </c>
      <c r="B3371">
        <f>Sources!B3371</f>
        <v/>
      </c>
      <c r="C3371">
        <f>Sources!D3371</f>
        <v/>
      </c>
      <c r="D3371">
        <f>Sources!E3371</f>
        <v/>
      </c>
      <c r="E3371">
        <f>Sources!F3371</f>
        <v/>
      </c>
      <c r="F3371">
        <f>Sources!H3371</f>
        <v/>
      </c>
      <c r="G3371">
        <f>IF(ABS(F3371-ROUND(F3371,0))&lt;0.001,1,0)</f>
        <v/>
      </c>
      <c r="H3371">
        <f>IF(G3371=1,F3371,CEILING(F3371,1))</f>
        <v/>
      </c>
      <c r="I3371">
        <f>IF(G3371=1,0,(H3371-F3371)*E3371)</f>
        <v/>
      </c>
      <c r="J3371">
        <f>E3371*F3371</f>
        <v/>
      </c>
    </row>
    <row r="3372">
      <c r="A3372">
        <f>Sources!A3372</f>
        <v/>
      </c>
      <c r="B3372">
        <f>Sources!B3372</f>
        <v/>
      </c>
      <c r="C3372">
        <f>Sources!D3372</f>
        <v/>
      </c>
      <c r="D3372">
        <f>Sources!E3372</f>
        <v/>
      </c>
      <c r="E3372">
        <f>Sources!F3372</f>
        <v/>
      </c>
      <c r="F3372">
        <f>Sources!H3372</f>
        <v/>
      </c>
      <c r="G3372">
        <f>IF(ABS(F3372-ROUND(F3372,0))&lt;0.001,1,0)</f>
        <v/>
      </c>
      <c r="H3372">
        <f>IF(G3372=1,F3372,CEILING(F3372,1))</f>
        <v/>
      </c>
      <c r="I3372">
        <f>IF(G3372=1,0,(H3372-F3372)*E3372)</f>
        <v/>
      </c>
      <c r="J3372">
        <f>E3372*F3372</f>
        <v/>
      </c>
    </row>
    <row r="3373">
      <c r="A3373">
        <f>Sources!A3373</f>
        <v/>
      </c>
      <c r="B3373">
        <f>Sources!B3373</f>
        <v/>
      </c>
      <c r="C3373">
        <f>Sources!D3373</f>
        <v/>
      </c>
      <c r="D3373">
        <f>Sources!E3373</f>
        <v/>
      </c>
      <c r="E3373">
        <f>Sources!F3373</f>
        <v/>
      </c>
      <c r="F3373">
        <f>Sources!H3373</f>
        <v/>
      </c>
      <c r="G3373">
        <f>IF(ABS(F3373-ROUND(F3373,0))&lt;0.001,1,0)</f>
        <v/>
      </c>
      <c r="H3373">
        <f>IF(G3373=1,F3373,CEILING(F3373,1))</f>
        <v/>
      </c>
      <c r="I3373">
        <f>IF(G3373=1,0,(H3373-F3373)*E3373)</f>
        <v/>
      </c>
      <c r="J3373">
        <f>E3373*F3373</f>
        <v/>
      </c>
    </row>
    <row r="3374">
      <c r="A3374">
        <f>Sources!A3374</f>
        <v/>
      </c>
      <c r="B3374">
        <f>Sources!B3374</f>
        <v/>
      </c>
      <c r="C3374">
        <f>Sources!D3374</f>
        <v/>
      </c>
      <c r="D3374">
        <f>Sources!E3374</f>
        <v/>
      </c>
      <c r="E3374">
        <f>Sources!F3374</f>
        <v/>
      </c>
      <c r="F3374">
        <f>Sources!H3374</f>
        <v/>
      </c>
      <c r="G3374">
        <f>IF(ABS(F3374-ROUND(F3374,0))&lt;0.001,1,0)</f>
        <v/>
      </c>
      <c r="H3374">
        <f>IF(G3374=1,F3374,CEILING(F3374,1))</f>
        <v/>
      </c>
      <c r="I3374">
        <f>IF(G3374=1,0,(H3374-F3374)*E3374)</f>
        <v/>
      </c>
      <c r="J3374">
        <f>E3374*F3374</f>
        <v/>
      </c>
    </row>
    <row r="3375">
      <c r="A3375">
        <f>Sources!A3375</f>
        <v/>
      </c>
      <c r="B3375">
        <f>Sources!B3375</f>
        <v/>
      </c>
      <c r="C3375">
        <f>Sources!D3375</f>
        <v/>
      </c>
      <c r="D3375">
        <f>Sources!E3375</f>
        <v/>
      </c>
      <c r="E3375">
        <f>Sources!F3375</f>
        <v/>
      </c>
      <c r="F3375">
        <f>Sources!H3375</f>
        <v/>
      </c>
      <c r="G3375">
        <f>IF(ABS(F3375-ROUND(F3375,0))&lt;0.001,1,0)</f>
        <v/>
      </c>
      <c r="H3375">
        <f>IF(G3375=1,F3375,CEILING(F3375,1))</f>
        <v/>
      </c>
      <c r="I3375">
        <f>IF(G3375=1,0,(H3375-F3375)*E3375)</f>
        <v/>
      </c>
      <c r="J3375">
        <f>E3375*F3375</f>
        <v/>
      </c>
    </row>
    <row r="3376">
      <c r="A3376">
        <f>Sources!A3376</f>
        <v/>
      </c>
      <c r="B3376">
        <f>Sources!B3376</f>
        <v/>
      </c>
      <c r="C3376">
        <f>Sources!D3376</f>
        <v/>
      </c>
      <c r="D3376">
        <f>Sources!E3376</f>
        <v/>
      </c>
      <c r="E3376">
        <f>Sources!F3376</f>
        <v/>
      </c>
      <c r="F3376">
        <f>Sources!H3376</f>
        <v/>
      </c>
      <c r="G3376">
        <f>IF(ABS(F3376-ROUND(F3376,0))&lt;0.001,1,0)</f>
        <v/>
      </c>
      <c r="H3376">
        <f>IF(G3376=1,F3376,CEILING(F3376,1))</f>
        <v/>
      </c>
      <c r="I3376">
        <f>IF(G3376=1,0,(H3376-F3376)*E3376)</f>
        <v/>
      </c>
      <c r="J3376">
        <f>E3376*F3376</f>
        <v/>
      </c>
    </row>
    <row r="3377">
      <c r="A3377">
        <f>Sources!A3377</f>
        <v/>
      </c>
      <c r="B3377">
        <f>Sources!B3377</f>
        <v/>
      </c>
      <c r="C3377">
        <f>Sources!D3377</f>
        <v/>
      </c>
      <c r="D3377">
        <f>Sources!E3377</f>
        <v/>
      </c>
      <c r="E3377">
        <f>Sources!F3377</f>
        <v/>
      </c>
      <c r="F3377">
        <f>Sources!H3377</f>
        <v/>
      </c>
      <c r="G3377">
        <f>IF(ABS(F3377-ROUND(F3377,0))&lt;0.001,1,0)</f>
        <v/>
      </c>
      <c r="H3377">
        <f>IF(G3377=1,F3377,CEILING(F3377,1))</f>
        <v/>
      </c>
      <c r="I3377">
        <f>IF(G3377=1,0,(H3377-F3377)*E3377)</f>
        <v/>
      </c>
      <c r="J3377">
        <f>E3377*F3377</f>
        <v/>
      </c>
    </row>
    <row r="3378">
      <c r="A3378">
        <f>Sources!A3378</f>
        <v/>
      </c>
      <c r="B3378">
        <f>Sources!B3378</f>
        <v/>
      </c>
      <c r="C3378">
        <f>Sources!D3378</f>
        <v/>
      </c>
      <c r="D3378">
        <f>Sources!E3378</f>
        <v/>
      </c>
      <c r="E3378">
        <f>Sources!F3378</f>
        <v/>
      </c>
      <c r="F3378">
        <f>Sources!H3378</f>
        <v/>
      </c>
      <c r="G3378">
        <f>IF(ABS(F3378-ROUND(F3378,0))&lt;0.001,1,0)</f>
        <v/>
      </c>
      <c r="H3378">
        <f>IF(G3378=1,F3378,CEILING(F3378,1))</f>
        <v/>
      </c>
      <c r="I3378">
        <f>IF(G3378=1,0,(H3378-F3378)*E3378)</f>
        <v/>
      </c>
      <c r="J3378">
        <f>E3378*F3378</f>
        <v/>
      </c>
    </row>
    <row r="3379">
      <c r="A3379">
        <f>Sources!A3379</f>
        <v/>
      </c>
      <c r="B3379">
        <f>Sources!B3379</f>
        <v/>
      </c>
      <c r="C3379">
        <f>Sources!D3379</f>
        <v/>
      </c>
      <c r="D3379">
        <f>Sources!E3379</f>
        <v/>
      </c>
      <c r="E3379">
        <f>Sources!F3379</f>
        <v/>
      </c>
      <c r="F3379">
        <f>Sources!H3379</f>
        <v/>
      </c>
      <c r="G3379">
        <f>IF(ABS(F3379-ROUND(F3379,0))&lt;0.001,1,0)</f>
        <v/>
      </c>
      <c r="H3379">
        <f>IF(G3379=1,F3379,CEILING(F3379,1))</f>
        <v/>
      </c>
      <c r="I3379">
        <f>IF(G3379=1,0,(H3379-F3379)*E3379)</f>
        <v/>
      </c>
      <c r="J3379">
        <f>E3379*F3379</f>
        <v/>
      </c>
    </row>
    <row r="3380">
      <c r="A3380">
        <f>Sources!A3380</f>
        <v/>
      </c>
      <c r="B3380">
        <f>Sources!B3380</f>
        <v/>
      </c>
      <c r="C3380">
        <f>Sources!D3380</f>
        <v/>
      </c>
      <c r="D3380">
        <f>Sources!E3380</f>
        <v/>
      </c>
      <c r="E3380">
        <f>Sources!F3380</f>
        <v/>
      </c>
      <c r="F3380">
        <f>Sources!H3380</f>
        <v/>
      </c>
      <c r="G3380">
        <f>IF(ABS(F3380-ROUND(F3380,0))&lt;0.001,1,0)</f>
        <v/>
      </c>
      <c r="H3380">
        <f>IF(G3380=1,F3380,CEILING(F3380,1))</f>
        <v/>
      </c>
      <c r="I3380">
        <f>IF(G3380=1,0,(H3380-F3380)*E3380)</f>
        <v/>
      </c>
      <c r="J3380">
        <f>E3380*F3380</f>
        <v/>
      </c>
    </row>
    <row r="3381">
      <c r="A3381">
        <f>Sources!A3381</f>
        <v/>
      </c>
      <c r="B3381">
        <f>Sources!B3381</f>
        <v/>
      </c>
      <c r="C3381">
        <f>Sources!D3381</f>
        <v/>
      </c>
      <c r="D3381">
        <f>Sources!E3381</f>
        <v/>
      </c>
      <c r="E3381">
        <f>Sources!F3381</f>
        <v/>
      </c>
      <c r="F3381">
        <f>Sources!H3381</f>
        <v/>
      </c>
      <c r="G3381">
        <f>IF(ABS(F3381-ROUND(F3381,0))&lt;0.001,1,0)</f>
        <v/>
      </c>
      <c r="H3381">
        <f>IF(G3381=1,F3381,CEILING(F3381,1))</f>
        <v/>
      </c>
      <c r="I3381">
        <f>IF(G3381=1,0,(H3381-F3381)*E3381)</f>
        <v/>
      </c>
      <c r="J3381">
        <f>E3381*F3381</f>
        <v/>
      </c>
    </row>
    <row r="3382">
      <c r="A3382">
        <f>Sources!A3382</f>
        <v/>
      </c>
      <c r="B3382">
        <f>Sources!B3382</f>
        <v/>
      </c>
      <c r="C3382">
        <f>Sources!D3382</f>
        <v/>
      </c>
      <c r="D3382">
        <f>Sources!E3382</f>
        <v/>
      </c>
      <c r="E3382">
        <f>Sources!F3382</f>
        <v/>
      </c>
      <c r="F3382">
        <f>Sources!H3382</f>
        <v/>
      </c>
      <c r="G3382">
        <f>IF(ABS(F3382-ROUND(F3382,0))&lt;0.001,1,0)</f>
        <v/>
      </c>
      <c r="H3382">
        <f>IF(G3382=1,F3382,CEILING(F3382,1))</f>
        <v/>
      </c>
      <c r="I3382">
        <f>IF(G3382=1,0,(H3382-F3382)*E3382)</f>
        <v/>
      </c>
      <c r="J3382">
        <f>E3382*F3382</f>
        <v/>
      </c>
    </row>
    <row r="3383">
      <c r="A3383">
        <f>Sources!A3383</f>
        <v/>
      </c>
      <c r="B3383">
        <f>Sources!B3383</f>
        <v/>
      </c>
      <c r="C3383">
        <f>Sources!D3383</f>
        <v/>
      </c>
      <c r="D3383">
        <f>Sources!E3383</f>
        <v/>
      </c>
      <c r="E3383">
        <f>Sources!F3383</f>
        <v/>
      </c>
      <c r="F3383">
        <f>Sources!H3383</f>
        <v/>
      </c>
      <c r="G3383">
        <f>IF(ABS(F3383-ROUND(F3383,0))&lt;0.001,1,0)</f>
        <v/>
      </c>
      <c r="H3383">
        <f>IF(G3383=1,F3383,CEILING(F3383,1))</f>
        <v/>
      </c>
      <c r="I3383">
        <f>IF(G3383=1,0,(H3383-F3383)*E3383)</f>
        <v/>
      </c>
      <c r="J3383">
        <f>E3383*F3383</f>
        <v/>
      </c>
    </row>
    <row r="3384">
      <c r="A3384">
        <f>Sources!A3384</f>
        <v/>
      </c>
      <c r="B3384">
        <f>Sources!B3384</f>
        <v/>
      </c>
      <c r="C3384">
        <f>Sources!D3384</f>
        <v/>
      </c>
      <c r="D3384">
        <f>Sources!E3384</f>
        <v/>
      </c>
      <c r="E3384">
        <f>Sources!F3384</f>
        <v/>
      </c>
      <c r="F3384">
        <f>Sources!H3384</f>
        <v/>
      </c>
      <c r="G3384">
        <f>IF(ABS(F3384-ROUND(F3384,0))&lt;0.001,1,0)</f>
        <v/>
      </c>
      <c r="H3384">
        <f>IF(G3384=1,F3384,CEILING(F3384,1))</f>
        <v/>
      </c>
      <c r="I3384">
        <f>IF(G3384=1,0,(H3384-F3384)*E3384)</f>
        <v/>
      </c>
      <c r="J3384">
        <f>E3384*F3384</f>
        <v/>
      </c>
    </row>
    <row r="3385">
      <c r="A3385">
        <f>Sources!A3385</f>
        <v/>
      </c>
      <c r="B3385">
        <f>Sources!B3385</f>
        <v/>
      </c>
      <c r="C3385">
        <f>Sources!D3385</f>
        <v/>
      </c>
      <c r="D3385">
        <f>Sources!E3385</f>
        <v/>
      </c>
      <c r="E3385">
        <f>Sources!F3385</f>
        <v/>
      </c>
      <c r="F3385">
        <f>Sources!H3385</f>
        <v/>
      </c>
      <c r="G3385">
        <f>IF(ABS(F3385-ROUND(F3385,0))&lt;0.001,1,0)</f>
        <v/>
      </c>
      <c r="H3385">
        <f>IF(G3385=1,F3385,CEILING(F3385,1))</f>
        <v/>
      </c>
      <c r="I3385">
        <f>IF(G3385=1,0,(H3385-F3385)*E3385)</f>
        <v/>
      </c>
      <c r="J3385">
        <f>E3385*F3385</f>
        <v/>
      </c>
    </row>
    <row r="3386">
      <c r="A3386">
        <f>Sources!A3386</f>
        <v/>
      </c>
      <c r="B3386">
        <f>Sources!B3386</f>
        <v/>
      </c>
      <c r="C3386">
        <f>Sources!D3386</f>
        <v/>
      </c>
      <c r="D3386">
        <f>Sources!E3386</f>
        <v/>
      </c>
      <c r="E3386">
        <f>Sources!F3386</f>
        <v/>
      </c>
      <c r="F3386">
        <f>Sources!H3386</f>
        <v/>
      </c>
      <c r="G3386">
        <f>IF(ABS(F3386-ROUND(F3386,0))&lt;0.001,1,0)</f>
        <v/>
      </c>
      <c r="H3386">
        <f>IF(G3386=1,F3386,CEILING(F3386,1))</f>
        <v/>
      </c>
      <c r="I3386">
        <f>IF(G3386=1,0,(H3386-F3386)*E3386)</f>
        <v/>
      </c>
      <c r="J3386">
        <f>E3386*F3386</f>
        <v/>
      </c>
    </row>
    <row r="3387">
      <c r="A3387">
        <f>Sources!A3387</f>
        <v/>
      </c>
      <c r="B3387">
        <f>Sources!B3387</f>
        <v/>
      </c>
      <c r="C3387">
        <f>Sources!D3387</f>
        <v/>
      </c>
      <c r="D3387">
        <f>Sources!E3387</f>
        <v/>
      </c>
      <c r="E3387">
        <f>Sources!F3387</f>
        <v/>
      </c>
      <c r="F3387">
        <f>Sources!H3387</f>
        <v/>
      </c>
      <c r="G3387">
        <f>IF(ABS(F3387-ROUND(F3387,0))&lt;0.001,1,0)</f>
        <v/>
      </c>
      <c r="H3387">
        <f>IF(G3387=1,F3387,CEILING(F3387,1))</f>
        <v/>
      </c>
      <c r="I3387">
        <f>IF(G3387=1,0,(H3387-F3387)*E3387)</f>
        <v/>
      </c>
      <c r="J3387">
        <f>E3387*F3387</f>
        <v/>
      </c>
    </row>
    <row r="3388">
      <c r="A3388">
        <f>Sources!A3388</f>
        <v/>
      </c>
      <c r="B3388">
        <f>Sources!B3388</f>
        <v/>
      </c>
      <c r="C3388">
        <f>Sources!D3388</f>
        <v/>
      </c>
      <c r="D3388">
        <f>Sources!E3388</f>
        <v/>
      </c>
      <c r="E3388">
        <f>Sources!F3388</f>
        <v/>
      </c>
      <c r="F3388">
        <f>Sources!H3388</f>
        <v/>
      </c>
      <c r="G3388">
        <f>IF(ABS(F3388-ROUND(F3388,0))&lt;0.001,1,0)</f>
        <v/>
      </c>
      <c r="H3388">
        <f>IF(G3388=1,F3388,CEILING(F3388,1))</f>
        <v/>
      </c>
      <c r="I3388">
        <f>IF(G3388=1,0,(H3388-F3388)*E3388)</f>
        <v/>
      </c>
      <c r="J3388">
        <f>E3388*F3388</f>
        <v/>
      </c>
    </row>
    <row r="3389">
      <c r="A3389">
        <f>Sources!A3389</f>
        <v/>
      </c>
      <c r="B3389">
        <f>Sources!B3389</f>
        <v/>
      </c>
      <c r="C3389">
        <f>Sources!D3389</f>
        <v/>
      </c>
      <c r="D3389">
        <f>Sources!E3389</f>
        <v/>
      </c>
      <c r="E3389">
        <f>Sources!F3389</f>
        <v/>
      </c>
      <c r="F3389">
        <f>Sources!H3389</f>
        <v/>
      </c>
      <c r="G3389">
        <f>IF(ABS(F3389-ROUND(F3389,0))&lt;0.001,1,0)</f>
        <v/>
      </c>
      <c r="H3389">
        <f>IF(G3389=1,F3389,CEILING(F3389,1))</f>
        <v/>
      </c>
      <c r="I3389">
        <f>IF(G3389=1,0,(H3389-F3389)*E3389)</f>
        <v/>
      </c>
      <c r="J3389">
        <f>E3389*F3389</f>
        <v/>
      </c>
    </row>
    <row r="3390">
      <c r="A3390">
        <f>Sources!A3390</f>
        <v/>
      </c>
      <c r="B3390">
        <f>Sources!B3390</f>
        <v/>
      </c>
      <c r="C3390">
        <f>Sources!D3390</f>
        <v/>
      </c>
      <c r="D3390">
        <f>Sources!E3390</f>
        <v/>
      </c>
      <c r="E3390">
        <f>Sources!F3390</f>
        <v/>
      </c>
      <c r="F3390">
        <f>Sources!H3390</f>
        <v/>
      </c>
      <c r="G3390">
        <f>IF(ABS(F3390-ROUND(F3390,0))&lt;0.001,1,0)</f>
        <v/>
      </c>
      <c r="H3390">
        <f>IF(G3390=1,F3390,CEILING(F3390,1))</f>
        <v/>
      </c>
      <c r="I3390">
        <f>IF(G3390=1,0,(H3390-F3390)*E3390)</f>
        <v/>
      </c>
      <c r="J3390">
        <f>E3390*F3390</f>
        <v/>
      </c>
    </row>
    <row r="3391">
      <c r="A3391">
        <f>Sources!A3391</f>
        <v/>
      </c>
      <c r="B3391">
        <f>Sources!B3391</f>
        <v/>
      </c>
      <c r="C3391">
        <f>Sources!D3391</f>
        <v/>
      </c>
      <c r="D3391">
        <f>Sources!E3391</f>
        <v/>
      </c>
      <c r="E3391">
        <f>Sources!F3391</f>
        <v/>
      </c>
      <c r="F3391">
        <f>Sources!H3391</f>
        <v/>
      </c>
      <c r="G3391">
        <f>IF(ABS(F3391-ROUND(F3391,0))&lt;0.001,1,0)</f>
        <v/>
      </c>
      <c r="H3391">
        <f>IF(G3391=1,F3391,CEILING(F3391,1))</f>
        <v/>
      </c>
      <c r="I3391">
        <f>IF(G3391=1,0,(H3391-F3391)*E3391)</f>
        <v/>
      </c>
      <c r="J3391">
        <f>E3391*F3391</f>
        <v/>
      </c>
    </row>
    <row r="3392">
      <c r="A3392">
        <f>Sources!A3392</f>
        <v/>
      </c>
      <c r="B3392">
        <f>Sources!B3392</f>
        <v/>
      </c>
      <c r="C3392">
        <f>Sources!D3392</f>
        <v/>
      </c>
      <c r="D3392">
        <f>Sources!E3392</f>
        <v/>
      </c>
      <c r="E3392">
        <f>Sources!F3392</f>
        <v/>
      </c>
      <c r="F3392">
        <f>Sources!H3392</f>
        <v/>
      </c>
      <c r="G3392">
        <f>IF(ABS(F3392-ROUND(F3392,0))&lt;0.001,1,0)</f>
        <v/>
      </c>
      <c r="H3392">
        <f>IF(G3392=1,F3392,CEILING(F3392,1))</f>
        <v/>
      </c>
      <c r="I3392">
        <f>IF(G3392=1,0,(H3392-F3392)*E3392)</f>
        <v/>
      </c>
      <c r="J3392">
        <f>E3392*F3392</f>
        <v/>
      </c>
    </row>
    <row r="3393">
      <c r="A3393">
        <f>Sources!A3393</f>
        <v/>
      </c>
      <c r="B3393">
        <f>Sources!B3393</f>
        <v/>
      </c>
      <c r="C3393">
        <f>Sources!D3393</f>
        <v/>
      </c>
      <c r="D3393">
        <f>Sources!E3393</f>
        <v/>
      </c>
      <c r="E3393">
        <f>Sources!F3393</f>
        <v/>
      </c>
      <c r="F3393">
        <f>Sources!H3393</f>
        <v/>
      </c>
      <c r="G3393">
        <f>IF(ABS(F3393-ROUND(F3393,0))&lt;0.001,1,0)</f>
        <v/>
      </c>
      <c r="H3393">
        <f>IF(G3393=1,F3393,CEILING(F3393,1))</f>
        <v/>
      </c>
      <c r="I3393">
        <f>IF(G3393=1,0,(H3393-F3393)*E3393)</f>
        <v/>
      </c>
      <c r="J3393">
        <f>E3393*F3393</f>
        <v/>
      </c>
    </row>
    <row r="3394">
      <c r="A3394">
        <f>Sources!A3394</f>
        <v/>
      </c>
      <c r="B3394">
        <f>Sources!B3394</f>
        <v/>
      </c>
      <c r="C3394">
        <f>Sources!D3394</f>
        <v/>
      </c>
      <c r="D3394">
        <f>Sources!E3394</f>
        <v/>
      </c>
      <c r="E3394">
        <f>Sources!F3394</f>
        <v/>
      </c>
      <c r="F3394">
        <f>Sources!H3394</f>
        <v/>
      </c>
      <c r="G3394">
        <f>IF(ABS(F3394-ROUND(F3394,0))&lt;0.001,1,0)</f>
        <v/>
      </c>
      <c r="H3394">
        <f>IF(G3394=1,F3394,CEILING(F3394,1))</f>
        <v/>
      </c>
      <c r="I3394">
        <f>IF(G3394=1,0,(H3394-F3394)*E3394)</f>
        <v/>
      </c>
      <c r="J3394">
        <f>E3394*F3394</f>
        <v/>
      </c>
    </row>
    <row r="3395">
      <c r="A3395">
        <f>Sources!A3395</f>
        <v/>
      </c>
      <c r="B3395">
        <f>Sources!B3395</f>
        <v/>
      </c>
      <c r="C3395">
        <f>Sources!D3395</f>
        <v/>
      </c>
      <c r="D3395">
        <f>Sources!E3395</f>
        <v/>
      </c>
      <c r="E3395">
        <f>Sources!F3395</f>
        <v/>
      </c>
      <c r="F3395">
        <f>Sources!H3395</f>
        <v/>
      </c>
      <c r="G3395">
        <f>IF(ABS(F3395-ROUND(F3395,0))&lt;0.001,1,0)</f>
        <v/>
      </c>
      <c r="H3395">
        <f>IF(G3395=1,F3395,CEILING(F3395,1))</f>
        <v/>
      </c>
      <c r="I3395">
        <f>IF(G3395=1,0,(H3395-F3395)*E3395)</f>
        <v/>
      </c>
      <c r="J3395">
        <f>E3395*F3395</f>
        <v/>
      </c>
    </row>
    <row r="3396">
      <c r="A3396">
        <f>Sources!A3396</f>
        <v/>
      </c>
      <c r="B3396">
        <f>Sources!B3396</f>
        <v/>
      </c>
      <c r="C3396">
        <f>Sources!D3396</f>
        <v/>
      </c>
      <c r="D3396">
        <f>Sources!E3396</f>
        <v/>
      </c>
      <c r="E3396">
        <f>Sources!F3396</f>
        <v/>
      </c>
      <c r="F3396">
        <f>Sources!H3396</f>
        <v/>
      </c>
      <c r="G3396">
        <f>IF(ABS(F3396-ROUND(F3396,0))&lt;0.001,1,0)</f>
        <v/>
      </c>
      <c r="H3396">
        <f>IF(G3396=1,F3396,CEILING(F3396,1))</f>
        <v/>
      </c>
      <c r="I3396">
        <f>IF(G3396=1,0,(H3396-F3396)*E3396)</f>
        <v/>
      </c>
      <c r="J3396">
        <f>E3396*F3396</f>
        <v/>
      </c>
    </row>
    <row r="3397">
      <c r="A3397">
        <f>Sources!A3397</f>
        <v/>
      </c>
      <c r="B3397">
        <f>Sources!B3397</f>
        <v/>
      </c>
      <c r="C3397">
        <f>Sources!D3397</f>
        <v/>
      </c>
      <c r="D3397">
        <f>Sources!E3397</f>
        <v/>
      </c>
      <c r="E3397">
        <f>Sources!F3397</f>
        <v/>
      </c>
      <c r="F3397">
        <f>Sources!H3397</f>
        <v/>
      </c>
      <c r="G3397">
        <f>IF(ABS(F3397-ROUND(F3397,0))&lt;0.001,1,0)</f>
        <v/>
      </c>
      <c r="H3397">
        <f>IF(G3397=1,F3397,CEILING(F3397,1))</f>
        <v/>
      </c>
      <c r="I3397">
        <f>IF(G3397=1,0,(H3397-F3397)*E3397)</f>
        <v/>
      </c>
      <c r="J3397">
        <f>E3397*F3397</f>
        <v/>
      </c>
    </row>
    <row r="3398">
      <c r="A3398">
        <f>Sources!A3398</f>
        <v/>
      </c>
      <c r="B3398">
        <f>Sources!B3398</f>
        <v/>
      </c>
      <c r="C3398">
        <f>Sources!D3398</f>
        <v/>
      </c>
      <c r="D3398">
        <f>Sources!E3398</f>
        <v/>
      </c>
      <c r="E3398">
        <f>Sources!F3398</f>
        <v/>
      </c>
      <c r="F3398">
        <f>Sources!H3398</f>
        <v/>
      </c>
      <c r="G3398">
        <f>IF(ABS(F3398-ROUND(F3398,0))&lt;0.001,1,0)</f>
        <v/>
      </c>
      <c r="H3398">
        <f>IF(G3398=1,F3398,CEILING(F3398,1))</f>
        <v/>
      </c>
      <c r="I3398">
        <f>IF(G3398=1,0,(H3398-F3398)*E3398)</f>
        <v/>
      </c>
      <c r="J3398">
        <f>E3398*F3398</f>
        <v/>
      </c>
    </row>
    <row r="3399">
      <c r="A3399">
        <f>Sources!A3399</f>
        <v/>
      </c>
      <c r="B3399">
        <f>Sources!B3399</f>
        <v/>
      </c>
      <c r="C3399">
        <f>Sources!D3399</f>
        <v/>
      </c>
      <c r="D3399">
        <f>Sources!E3399</f>
        <v/>
      </c>
      <c r="E3399">
        <f>Sources!F3399</f>
        <v/>
      </c>
      <c r="F3399">
        <f>Sources!H3399</f>
        <v/>
      </c>
      <c r="G3399">
        <f>IF(ABS(F3399-ROUND(F3399,0))&lt;0.001,1,0)</f>
        <v/>
      </c>
      <c r="H3399">
        <f>IF(G3399=1,F3399,CEILING(F3399,1))</f>
        <v/>
      </c>
      <c r="I3399">
        <f>IF(G3399=1,0,(H3399-F3399)*E3399)</f>
        <v/>
      </c>
      <c r="J3399">
        <f>E3399*F3399</f>
        <v/>
      </c>
    </row>
    <row r="3400">
      <c r="A3400">
        <f>Sources!A3400</f>
        <v/>
      </c>
      <c r="B3400">
        <f>Sources!B3400</f>
        <v/>
      </c>
      <c r="C3400">
        <f>Sources!D3400</f>
        <v/>
      </c>
      <c r="D3400">
        <f>Sources!E3400</f>
        <v/>
      </c>
      <c r="E3400">
        <f>Sources!F3400</f>
        <v/>
      </c>
      <c r="F3400">
        <f>Sources!H3400</f>
        <v/>
      </c>
      <c r="G3400">
        <f>IF(ABS(F3400-ROUND(F3400,0))&lt;0.001,1,0)</f>
        <v/>
      </c>
      <c r="H3400">
        <f>IF(G3400=1,F3400,CEILING(F3400,1))</f>
        <v/>
      </c>
      <c r="I3400">
        <f>IF(G3400=1,0,(H3400-F3400)*E3400)</f>
        <v/>
      </c>
      <c r="J3400">
        <f>E3400*F3400</f>
        <v/>
      </c>
    </row>
    <row r="3401">
      <c r="A3401">
        <f>Sources!A3401</f>
        <v/>
      </c>
      <c r="B3401">
        <f>Sources!B3401</f>
        <v/>
      </c>
      <c r="C3401">
        <f>Sources!D3401</f>
        <v/>
      </c>
      <c r="D3401">
        <f>Sources!E3401</f>
        <v/>
      </c>
      <c r="E3401">
        <f>Sources!F3401</f>
        <v/>
      </c>
      <c r="F3401">
        <f>Sources!H3401</f>
        <v/>
      </c>
      <c r="G3401">
        <f>IF(ABS(F3401-ROUND(F3401,0))&lt;0.001,1,0)</f>
        <v/>
      </c>
      <c r="H3401">
        <f>IF(G3401=1,F3401,CEILING(F3401,1))</f>
        <v/>
      </c>
      <c r="I3401">
        <f>IF(G3401=1,0,(H3401-F3401)*E3401)</f>
        <v/>
      </c>
      <c r="J3401">
        <f>E3401*F3401</f>
        <v/>
      </c>
    </row>
    <row r="3402">
      <c r="A3402">
        <f>Sources!A3402</f>
        <v/>
      </c>
      <c r="B3402">
        <f>Sources!B3402</f>
        <v/>
      </c>
      <c r="C3402">
        <f>Sources!D3402</f>
        <v/>
      </c>
      <c r="D3402">
        <f>Sources!E3402</f>
        <v/>
      </c>
      <c r="E3402">
        <f>Sources!F3402</f>
        <v/>
      </c>
      <c r="F3402">
        <f>Sources!H3402</f>
        <v/>
      </c>
      <c r="G3402">
        <f>IF(ABS(F3402-ROUND(F3402,0))&lt;0.001,1,0)</f>
        <v/>
      </c>
      <c r="H3402">
        <f>IF(G3402=1,F3402,CEILING(F3402,1))</f>
        <v/>
      </c>
      <c r="I3402">
        <f>IF(G3402=1,0,(H3402-F3402)*E3402)</f>
        <v/>
      </c>
      <c r="J3402">
        <f>E3402*F3402</f>
        <v/>
      </c>
    </row>
    <row r="3403">
      <c r="A3403">
        <f>Sources!A3403</f>
        <v/>
      </c>
      <c r="B3403">
        <f>Sources!B3403</f>
        <v/>
      </c>
      <c r="C3403">
        <f>Sources!D3403</f>
        <v/>
      </c>
      <c r="D3403">
        <f>Sources!E3403</f>
        <v/>
      </c>
      <c r="E3403">
        <f>Sources!F3403</f>
        <v/>
      </c>
      <c r="F3403">
        <f>Sources!H3403</f>
        <v/>
      </c>
      <c r="G3403">
        <f>IF(ABS(F3403-ROUND(F3403,0))&lt;0.001,1,0)</f>
        <v/>
      </c>
      <c r="H3403">
        <f>IF(G3403=1,F3403,CEILING(F3403,1))</f>
        <v/>
      </c>
      <c r="I3403">
        <f>IF(G3403=1,0,(H3403-F3403)*E3403)</f>
        <v/>
      </c>
      <c r="J3403">
        <f>E3403*F3403</f>
        <v/>
      </c>
    </row>
    <row r="3404">
      <c r="A3404">
        <f>Sources!A3404</f>
        <v/>
      </c>
      <c r="B3404">
        <f>Sources!B3404</f>
        <v/>
      </c>
      <c r="C3404">
        <f>Sources!D3404</f>
        <v/>
      </c>
      <c r="D3404">
        <f>Sources!E3404</f>
        <v/>
      </c>
      <c r="E3404">
        <f>Sources!F3404</f>
        <v/>
      </c>
      <c r="F3404">
        <f>Sources!H3404</f>
        <v/>
      </c>
      <c r="G3404">
        <f>IF(ABS(F3404-ROUND(F3404,0))&lt;0.001,1,0)</f>
        <v/>
      </c>
      <c r="H3404">
        <f>IF(G3404=1,F3404,CEILING(F3404,1))</f>
        <v/>
      </c>
      <c r="I3404">
        <f>IF(G3404=1,0,(H3404-F3404)*E3404)</f>
        <v/>
      </c>
      <c r="J3404">
        <f>E3404*F3404</f>
        <v/>
      </c>
    </row>
    <row r="3405">
      <c r="A3405">
        <f>Sources!A3405</f>
        <v/>
      </c>
      <c r="B3405">
        <f>Sources!B3405</f>
        <v/>
      </c>
      <c r="C3405">
        <f>Sources!D3405</f>
        <v/>
      </c>
      <c r="D3405">
        <f>Sources!E3405</f>
        <v/>
      </c>
      <c r="E3405">
        <f>Sources!F3405</f>
        <v/>
      </c>
      <c r="F3405">
        <f>Sources!H3405</f>
        <v/>
      </c>
      <c r="G3405">
        <f>IF(ABS(F3405-ROUND(F3405,0))&lt;0.001,1,0)</f>
        <v/>
      </c>
      <c r="H3405">
        <f>IF(G3405=1,F3405,CEILING(F3405,1))</f>
        <v/>
      </c>
      <c r="I3405">
        <f>IF(G3405=1,0,(H3405-F3405)*E3405)</f>
        <v/>
      </c>
      <c r="J3405">
        <f>E3405*F3405</f>
        <v/>
      </c>
    </row>
    <row r="3406">
      <c r="A3406">
        <f>Sources!A3406</f>
        <v/>
      </c>
      <c r="B3406">
        <f>Sources!B3406</f>
        <v/>
      </c>
      <c r="C3406">
        <f>Sources!D3406</f>
        <v/>
      </c>
      <c r="D3406">
        <f>Sources!E3406</f>
        <v/>
      </c>
      <c r="E3406">
        <f>Sources!F3406</f>
        <v/>
      </c>
      <c r="F3406">
        <f>Sources!H3406</f>
        <v/>
      </c>
      <c r="G3406">
        <f>IF(ABS(F3406-ROUND(F3406,0))&lt;0.001,1,0)</f>
        <v/>
      </c>
      <c r="H3406">
        <f>IF(G3406=1,F3406,CEILING(F3406,1))</f>
        <v/>
      </c>
      <c r="I3406">
        <f>IF(G3406=1,0,(H3406-F3406)*E3406)</f>
        <v/>
      </c>
      <c r="J3406">
        <f>E3406*F3406</f>
        <v/>
      </c>
    </row>
    <row r="3407">
      <c r="A3407">
        <f>Sources!A3407</f>
        <v/>
      </c>
      <c r="B3407">
        <f>Sources!B3407</f>
        <v/>
      </c>
      <c r="C3407">
        <f>Sources!D3407</f>
        <v/>
      </c>
      <c r="D3407">
        <f>Sources!E3407</f>
        <v/>
      </c>
      <c r="E3407">
        <f>Sources!F3407</f>
        <v/>
      </c>
      <c r="F3407">
        <f>Sources!H3407</f>
        <v/>
      </c>
      <c r="G3407">
        <f>IF(ABS(F3407-ROUND(F3407,0))&lt;0.001,1,0)</f>
        <v/>
      </c>
      <c r="H3407">
        <f>IF(G3407=1,F3407,CEILING(F3407,1))</f>
        <v/>
      </c>
      <c r="I3407">
        <f>IF(G3407=1,0,(H3407-F3407)*E3407)</f>
        <v/>
      </c>
      <c r="J3407">
        <f>E3407*F3407</f>
        <v/>
      </c>
    </row>
    <row r="3408">
      <c r="A3408">
        <f>Sources!A3408</f>
        <v/>
      </c>
      <c r="B3408">
        <f>Sources!B3408</f>
        <v/>
      </c>
      <c r="C3408">
        <f>Sources!D3408</f>
        <v/>
      </c>
      <c r="D3408">
        <f>Sources!E3408</f>
        <v/>
      </c>
      <c r="E3408">
        <f>Sources!F3408</f>
        <v/>
      </c>
      <c r="F3408">
        <f>Sources!H3408</f>
        <v/>
      </c>
      <c r="G3408">
        <f>IF(ABS(F3408-ROUND(F3408,0))&lt;0.001,1,0)</f>
        <v/>
      </c>
      <c r="H3408">
        <f>IF(G3408=1,F3408,CEILING(F3408,1))</f>
        <v/>
      </c>
      <c r="I3408">
        <f>IF(G3408=1,0,(H3408-F3408)*E3408)</f>
        <v/>
      </c>
      <c r="J3408">
        <f>E3408*F3408</f>
        <v/>
      </c>
    </row>
    <row r="3409">
      <c r="A3409">
        <f>Sources!A3409</f>
        <v/>
      </c>
      <c r="B3409">
        <f>Sources!B3409</f>
        <v/>
      </c>
      <c r="C3409">
        <f>Sources!D3409</f>
        <v/>
      </c>
      <c r="D3409">
        <f>Sources!E3409</f>
        <v/>
      </c>
      <c r="E3409">
        <f>Sources!F3409</f>
        <v/>
      </c>
      <c r="F3409">
        <f>Sources!H3409</f>
        <v/>
      </c>
      <c r="G3409">
        <f>IF(ABS(F3409-ROUND(F3409,0))&lt;0.001,1,0)</f>
        <v/>
      </c>
      <c r="H3409">
        <f>IF(G3409=1,F3409,CEILING(F3409,1))</f>
        <v/>
      </c>
      <c r="I3409">
        <f>IF(G3409=1,0,(H3409-F3409)*E3409)</f>
        <v/>
      </c>
      <c r="J3409">
        <f>E3409*F3409</f>
        <v/>
      </c>
    </row>
    <row r="3410">
      <c r="A3410">
        <f>Sources!A3410</f>
        <v/>
      </c>
      <c r="B3410">
        <f>Sources!B3410</f>
        <v/>
      </c>
      <c r="C3410">
        <f>Sources!D3410</f>
        <v/>
      </c>
      <c r="D3410">
        <f>Sources!E3410</f>
        <v/>
      </c>
      <c r="E3410">
        <f>Sources!F3410</f>
        <v/>
      </c>
      <c r="F3410">
        <f>Sources!H3410</f>
        <v/>
      </c>
      <c r="G3410">
        <f>IF(ABS(F3410-ROUND(F3410,0))&lt;0.001,1,0)</f>
        <v/>
      </c>
      <c r="H3410">
        <f>IF(G3410=1,F3410,CEILING(F3410,1))</f>
        <v/>
      </c>
      <c r="I3410">
        <f>IF(G3410=1,0,(H3410-F3410)*E3410)</f>
        <v/>
      </c>
      <c r="J3410">
        <f>E3410*F3410</f>
        <v/>
      </c>
    </row>
    <row r="3411">
      <c r="A3411">
        <f>Sources!A3411</f>
        <v/>
      </c>
      <c r="B3411">
        <f>Sources!B3411</f>
        <v/>
      </c>
      <c r="C3411">
        <f>Sources!D3411</f>
        <v/>
      </c>
      <c r="D3411">
        <f>Sources!E3411</f>
        <v/>
      </c>
      <c r="E3411">
        <f>Sources!F3411</f>
        <v/>
      </c>
      <c r="F3411">
        <f>Sources!H3411</f>
        <v/>
      </c>
      <c r="G3411">
        <f>IF(ABS(F3411-ROUND(F3411,0))&lt;0.001,1,0)</f>
        <v/>
      </c>
      <c r="H3411">
        <f>IF(G3411=1,F3411,CEILING(F3411,1))</f>
        <v/>
      </c>
      <c r="I3411">
        <f>IF(G3411=1,0,(H3411-F3411)*E3411)</f>
        <v/>
      </c>
      <c r="J3411">
        <f>E3411*F3411</f>
        <v/>
      </c>
    </row>
    <row r="3412">
      <c r="A3412">
        <f>Sources!A3412</f>
        <v/>
      </c>
      <c r="B3412">
        <f>Sources!B3412</f>
        <v/>
      </c>
      <c r="C3412">
        <f>Sources!D3412</f>
        <v/>
      </c>
      <c r="D3412">
        <f>Sources!E3412</f>
        <v/>
      </c>
      <c r="E3412">
        <f>Sources!F3412</f>
        <v/>
      </c>
      <c r="F3412">
        <f>Sources!H3412</f>
        <v/>
      </c>
      <c r="G3412">
        <f>IF(ABS(F3412-ROUND(F3412,0))&lt;0.001,1,0)</f>
        <v/>
      </c>
      <c r="H3412">
        <f>IF(G3412=1,F3412,CEILING(F3412,1))</f>
        <v/>
      </c>
      <c r="I3412">
        <f>IF(G3412=1,0,(H3412-F3412)*E3412)</f>
        <v/>
      </c>
      <c r="J3412">
        <f>E3412*F3412</f>
        <v/>
      </c>
    </row>
    <row r="3413">
      <c r="A3413">
        <f>Sources!A3413</f>
        <v/>
      </c>
      <c r="B3413">
        <f>Sources!B3413</f>
        <v/>
      </c>
      <c r="C3413">
        <f>Sources!D3413</f>
        <v/>
      </c>
      <c r="D3413">
        <f>Sources!E3413</f>
        <v/>
      </c>
      <c r="E3413">
        <f>Sources!F3413</f>
        <v/>
      </c>
      <c r="F3413">
        <f>Sources!H3413</f>
        <v/>
      </c>
      <c r="G3413">
        <f>IF(ABS(F3413-ROUND(F3413,0))&lt;0.001,1,0)</f>
        <v/>
      </c>
      <c r="H3413">
        <f>IF(G3413=1,F3413,CEILING(F3413,1))</f>
        <v/>
      </c>
      <c r="I3413">
        <f>IF(G3413=1,0,(H3413-F3413)*E3413)</f>
        <v/>
      </c>
      <c r="J3413">
        <f>E3413*F3413</f>
        <v/>
      </c>
    </row>
    <row r="3414">
      <c r="A3414">
        <f>Sources!A3414</f>
        <v/>
      </c>
      <c r="B3414">
        <f>Sources!B3414</f>
        <v/>
      </c>
      <c r="C3414">
        <f>Sources!D3414</f>
        <v/>
      </c>
      <c r="D3414">
        <f>Sources!E3414</f>
        <v/>
      </c>
      <c r="E3414">
        <f>Sources!F3414</f>
        <v/>
      </c>
      <c r="F3414">
        <f>Sources!H3414</f>
        <v/>
      </c>
      <c r="G3414">
        <f>IF(ABS(F3414-ROUND(F3414,0))&lt;0.001,1,0)</f>
        <v/>
      </c>
      <c r="H3414">
        <f>IF(G3414=1,F3414,CEILING(F3414,1))</f>
        <v/>
      </c>
      <c r="I3414">
        <f>IF(G3414=1,0,(H3414-F3414)*E3414)</f>
        <v/>
      </c>
      <c r="J3414">
        <f>E3414*F3414</f>
        <v/>
      </c>
    </row>
    <row r="3415">
      <c r="A3415">
        <f>Sources!A3415</f>
        <v/>
      </c>
      <c r="B3415">
        <f>Sources!B3415</f>
        <v/>
      </c>
      <c r="C3415">
        <f>Sources!D3415</f>
        <v/>
      </c>
      <c r="D3415">
        <f>Sources!E3415</f>
        <v/>
      </c>
      <c r="E3415">
        <f>Sources!F3415</f>
        <v/>
      </c>
      <c r="F3415">
        <f>Sources!H3415</f>
        <v/>
      </c>
      <c r="G3415">
        <f>IF(ABS(F3415-ROUND(F3415,0))&lt;0.001,1,0)</f>
        <v/>
      </c>
      <c r="H3415">
        <f>IF(G3415=1,F3415,CEILING(F3415,1))</f>
        <v/>
      </c>
      <c r="I3415">
        <f>IF(G3415=1,0,(H3415-F3415)*E3415)</f>
        <v/>
      </c>
      <c r="J3415">
        <f>E3415*F3415</f>
        <v/>
      </c>
    </row>
    <row r="3416">
      <c r="A3416">
        <f>Sources!A3416</f>
        <v/>
      </c>
      <c r="B3416">
        <f>Sources!B3416</f>
        <v/>
      </c>
      <c r="C3416">
        <f>Sources!D3416</f>
        <v/>
      </c>
      <c r="D3416">
        <f>Sources!E3416</f>
        <v/>
      </c>
      <c r="E3416">
        <f>Sources!F3416</f>
        <v/>
      </c>
      <c r="F3416">
        <f>Sources!H3416</f>
        <v/>
      </c>
      <c r="G3416">
        <f>IF(ABS(F3416-ROUND(F3416,0))&lt;0.001,1,0)</f>
        <v/>
      </c>
      <c r="H3416">
        <f>IF(G3416=1,F3416,CEILING(F3416,1))</f>
        <v/>
      </c>
      <c r="I3416">
        <f>IF(G3416=1,0,(H3416-F3416)*E3416)</f>
        <v/>
      </c>
      <c r="J3416">
        <f>E3416*F3416</f>
        <v/>
      </c>
    </row>
    <row r="3417">
      <c r="A3417">
        <f>Sources!A3417</f>
        <v/>
      </c>
      <c r="B3417">
        <f>Sources!B3417</f>
        <v/>
      </c>
      <c r="C3417">
        <f>Sources!D3417</f>
        <v/>
      </c>
      <c r="D3417">
        <f>Sources!E3417</f>
        <v/>
      </c>
      <c r="E3417">
        <f>Sources!F3417</f>
        <v/>
      </c>
      <c r="F3417">
        <f>Sources!H3417</f>
        <v/>
      </c>
      <c r="G3417">
        <f>IF(ABS(F3417-ROUND(F3417,0))&lt;0.001,1,0)</f>
        <v/>
      </c>
      <c r="H3417">
        <f>IF(G3417=1,F3417,CEILING(F3417,1))</f>
        <v/>
      </c>
      <c r="I3417">
        <f>IF(G3417=1,0,(H3417-F3417)*E3417)</f>
        <v/>
      </c>
      <c r="J3417">
        <f>E3417*F3417</f>
        <v/>
      </c>
    </row>
    <row r="3418">
      <c r="A3418">
        <f>Sources!A3418</f>
        <v/>
      </c>
      <c r="B3418">
        <f>Sources!B3418</f>
        <v/>
      </c>
      <c r="C3418">
        <f>Sources!D3418</f>
        <v/>
      </c>
      <c r="D3418">
        <f>Sources!E3418</f>
        <v/>
      </c>
      <c r="E3418">
        <f>Sources!F3418</f>
        <v/>
      </c>
      <c r="F3418">
        <f>Sources!H3418</f>
        <v/>
      </c>
      <c r="G3418">
        <f>IF(ABS(F3418-ROUND(F3418,0))&lt;0.001,1,0)</f>
        <v/>
      </c>
      <c r="H3418">
        <f>IF(G3418=1,F3418,CEILING(F3418,1))</f>
        <v/>
      </c>
      <c r="I3418">
        <f>IF(G3418=1,0,(H3418-F3418)*E3418)</f>
        <v/>
      </c>
      <c r="J3418">
        <f>E3418*F3418</f>
        <v/>
      </c>
    </row>
    <row r="3419">
      <c r="A3419">
        <f>Sources!A3419</f>
        <v/>
      </c>
      <c r="B3419">
        <f>Sources!B3419</f>
        <v/>
      </c>
      <c r="C3419">
        <f>Sources!D3419</f>
        <v/>
      </c>
      <c r="D3419">
        <f>Sources!E3419</f>
        <v/>
      </c>
      <c r="E3419">
        <f>Sources!F3419</f>
        <v/>
      </c>
      <c r="F3419">
        <f>Sources!H3419</f>
        <v/>
      </c>
      <c r="G3419">
        <f>IF(ABS(F3419-ROUND(F3419,0))&lt;0.001,1,0)</f>
        <v/>
      </c>
      <c r="H3419">
        <f>IF(G3419=1,F3419,CEILING(F3419,1))</f>
        <v/>
      </c>
      <c r="I3419">
        <f>IF(G3419=1,0,(H3419-F3419)*E3419)</f>
        <v/>
      </c>
      <c r="J3419">
        <f>E3419*F3419</f>
        <v/>
      </c>
    </row>
    <row r="3420">
      <c r="A3420">
        <f>Sources!A3420</f>
        <v/>
      </c>
      <c r="B3420">
        <f>Sources!B3420</f>
        <v/>
      </c>
      <c r="C3420">
        <f>Sources!D3420</f>
        <v/>
      </c>
      <c r="D3420">
        <f>Sources!E3420</f>
        <v/>
      </c>
      <c r="E3420">
        <f>Sources!F3420</f>
        <v/>
      </c>
      <c r="F3420">
        <f>Sources!H3420</f>
        <v/>
      </c>
      <c r="G3420">
        <f>IF(ABS(F3420-ROUND(F3420,0))&lt;0.001,1,0)</f>
        <v/>
      </c>
      <c r="H3420">
        <f>IF(G3420=1,F3420,CEILING(F3420,1))</f>
        <v/>
      </c>
      <c r="I3420">
        <f>IF(G3420=1,0,(H3420-F3420)*E3420)</f>
        <v/>
      </c>
      <c r="J3420">
        <f>E3420*F3420</f>
        <v/>
      </c>
    </row>
    <row r="3421">
      <c r="A3421">
        <f>Sources!A3421</f>
        <v/>
      </c>
      <c r="B3421">
        <f>Sources!B3421</f>
        <v/>
      </c>
      <c r="C3421">
        <f>Sources!D3421</f>
        <v/>
      </c>
      <c r="D3421">
        <f>Sources!E3421</f>
        <v/>
      </c>
      <c r="E3421">
        <f>Sources!F3421</f>
        <v/>
      </c>
      <c r="F3421">
        <f>Sources!H3421</f>
        <v/>
      </c>
      <c r="G3421">
        <f>IF(ABS(F3421-ROUND(F3421,0))&lt;0.001,1,0)</f>
        <v/>
      </c>
      <c r="H3421">
        <f>IF(G3421=1,F3421,CEILING(F3421,1))</f>
        <v/>
      </c>
      <c r="I3421">
        <f>IF(G3421=1,0,(H3421-F3421)*E3421)</f>
        <v/>
      </c>
      <c r="J3421">
        <f>E3421*F3421</f>
        <v/>
      </c>
    </row>
    <row r="3422">
      <c r="A3422">
        <f>Sources!A3422</f>
        <v/>
      </c>
      <c r="B3422">
        <f>Sources!B3422</f>
        <v/>
      </c>
      <c r="C3422">
        <f>Sources!D3422</f>
        <v/>
      </c>
      <c r="D3422">
        <f>Sources!E3422</f>
        <v/>
      </c>
      <c r="E3422">
        <f>Sources!F3422</f>
        <v/>
      </c>
      <c r="F3422">
        <f>Sources!H3422</f>
        <v/>
      </c>
      <c r="G3422">
        <f>IF(ABS(F3422-ROUND(F3422,0))&lt;0.001,1,0)</f>
        <v/>
      </c>
      <c r="H3422">
        <f>IF(G3422=1,F3422,CEILING(F3422,1))</f>
        <v/>
      </c>
      <c r="I3422">
        <f>IF(G3422=1,0,(H3422-F3422)*E3422)</f>
        <v/>
      </c>
      <c r="J3422">
        <f>E3422*F3422</f>
        <v/>
      </c>
    </row>
    <row r="3423">
      <c r="A3423">
        <f>Sources!A3423</f>
        <v/>
      </c>
      <c r="B3423">
        <f>Sources!B3423</f>
        <v/>
      </c>
      <c r="C3423">
        <f>Sources!D3423</f>
        <v/>
      </c>
      <c r="D3423">
        <f>Sources!E3423</f>
        <v/>
      </c>
      <c r="E3423">
        <f>Sources!F3423</f>
        <v/>
      </c>
      <c r="F3423">
        <f>Sources!H3423</f>
        <v/>
      </c>
      <c r="G3423">
        <f>IF(ABS(F3423-ROUND(F3423,0))&lt;0.001,1,0)</f>
        <v/>
      </c>
      <c r="H3423">
        <f>IF(G3423=1,F3423,CEILING(F3423,1))</f>
        <v/>
      </c>
      <c r="I3423">
        <f>IF(G3423=1,0,(H3423-F3423)*E3423)</f>
        <v/>
      </c>
      <c r="J3423">
        <f>E3423*F3423</f>
        <v/>
      </c>
    </row>
    <row r="3424">
      <c r="A3424">
        <f>Sources!A3424</f>
        <v/>
      </c>
      <c r="B3424">
        <f>Sources!B3424</f>
        <v/>
      </c>
      <c r="C3424">
        <f>Sources!D3424</f>
        <v/>
      </c>
      <c r="D3424">
        <f>Sources!E3424</f>
        <v/>
      </c>
      <c r="E3424">
        <f>Sources!F3424</f>
        <v/>
      </c>
      <c r="F3424">
        <f>Sources!H3424</f>
        <v/>
      </c>
      <c r="G3424">
        <f>IF(ABS(F3424-ROUND(F3424,0))&lt;0.001,1,0)</f>
        <v/>
      </c>
      <c r="H3424">
        <f>IF(G3424=1,F3424,CEILING(F3424,1))</f>
        <v/>
      </c>
      <c r="I3424">
        <f>IF(G3424=1,0,(H3424-F3424)*E3424)</f>
        <v/>
      </c>
      <c r="J3424">
        <f>E3424*F3424</f>
        <v/>
      </c>
    </row>
    <row r="3425">
      <c r="A3425">
        <f>Sources!A3425</f>
        <v/>
      </c>
      <c r="B3425">
        <f>Sources!B3425</f>
        <v/>
      </c>
      <c r="C3425">
        <f>Sources!D3425</f>
        <v/>
      </c>
      <c r="D3425">
        <f>Sources!E3425</f>
        <v/>
      </c>
      <c r="E3425">
        <f>Sources!F3425</f>
        <v/>
      </c>
      <c r="F3425">
        <f>Sources!H3425</f>
        <v/>
      </c>
      <c r="G3425">
        <f>IF(ABS(F3425-ROUND(F3425,0))&lt;0.001,1,0)</f>
        <v/>
      </c>
      <c r="H3425">
        <f>IF(G3425=1,F3425,CEILING(F3425,1))</f>
        <v/>
      </c>
      <c r="I3425">
        <f>IF(G3425=1,0,(H3425-F3425)*E3425)</f>
        <v/>
      </c>
      <c r="J3425">
        <f>E3425*F3425</f>
        <v/>
      </c>
    </row>
    <row r="3426">
      <c r="A3426">
        <f>Sources!A3426</f>
        <v/>
      </c>
      <c r="B3426">
        <f>Sources!B3426</f>
        <v/>
      </c>
      <c r="C3426">
        <f>Sources!D3426</f>
        <v/>
      </c>
      <c r="D3426">
        <f>Sources!E3426</f>
        <v/>
      </c>
      <c r="E3426">
        <f>Sources!F3426</f>
        <v/>
      </c>
      <c r="F3426">
        <f>Sources!H3426</f>
        <v/>
      </c>
      <c r="G3426">
        <f>IF(ABS(F3426-ROUND(F3426,0))&lt;0.001,1,0)</f>
        <v/>
      </c>
      <c r="H3426">
        <f>IF(G3426=1,F3426,CEILING(F3426,1))</f>
        <v/>
      </c>
      <c r="I3426">
        <f>IF(G3426=1,0,(H3426-F3426)*E3426)</f>
        <v/>
      </c>
      <c r="J3426">
        <f>E3426*F3426</f>
        <v/>
      </c>
    </row>
    <row r="3427">
      <c r="A3427">
        <f>Sources!A3427</f>
        <v/>
      </c>
      <c r="B3427">
        <f>Sources!B3427</f>
        <v/>
      </c>
      <c r="C3427">
        <f>Sources!D3427</f>
        <v/>
      </c>
      <c r="D3427">
        <f>Sources!E3427</f>
        <v/>
      </c>
      <c r="E3427">
        <f>Sources!F3427</f>
        <v/>
      </c>
      <c r="F3427">
        <f>Sources!H3427</f>
        <v/>
      </c>
      <c r="G3427">
        <f>IF(ABS(F3427-ROUND(F3427,0))&lt;0.001,1,0)</f>
        <v/>
      </c>
      <c r="H3427">
        <f>IF(G3427=1,F3427,CEILING(F3427,1))</f>
        <v/>
      </c>
      <c r="I3427">
        <f>IF(G3427=1,0,(H3427-F3427)*E3427)</f>
        <v/>
      </c>
      <c r="J3427">
        <f>E3427*F3427</f>
        <v/>
      </c>
    </row>
    <row r="3428">
      <c r="A3428">
        <f>Sources!A3428</f>
        <v/>
      </c>
      <c r="B3428">
        <f>Sources!B3428</f>
        <v/>
      </c>
      <c r="C3428">
        <f>Sources!D3428</f>
        <v/>
      </c>
      <c r="D3428">
        <f>Sources!E3428</f>
        <v/>
      </c>
      <c r="E3428">
        <f>Sources!F3428</f>
        <v/>
      </c>
      <c r="F3428">
        <f>Sources!H3428</f>
        <v/>
      </c>
      <c r="G3428">
        <f>IF(ABS(F3428-ROUND(F3428,0))&lt;0.001,1,0)</f>
        <v/>
      </c>
      <c r="H3428">
        <f>IF(G3428=1,F3428,CEILING(F3428,1))</f>
        <v/>
      </c>
      <c r="I3428">
        <f>IF(G3428=1,0,(H3428-F3428)*E3428)</f>
        <v/>
      </c>
      <c r="J3428">
        <f>E3428*F3428</f>
        <v/>
      </c>
    </row>
    <row r="3429">
      <c r="A3429">
        <f>Sources!A3429</f>
        <v/>
      </c>
      <c r="B3429">
        <f>Sources!B3429</f>
        <v/>
      </c>
      <c r="C3429">
        <f>Sources!D3429</f>
        <v/>
      </c>
      <c r="D3429">
        <f>Sources!E3429</f>
        <v/>
      </c>
      <c r="E3429">
        <f>Sources!F3429</f>
        <v/>
      </c>
      <c r="F3429">
        <f>Sources!H3429</f>
        <v/>
      </c>
      <c r="G3429">
        <f>IF(ABS(F3429-ROUND(F3429,0))&lt;0.001,1,0)</f>
        <v/>
      </c>
      <c r="H3429">
        <f>IF(G3429=1,F3429,CEILING(F3429,1))</f>
        <v/>
      </c>
      <c r="I3429">
        <f>IF(G3429=1,0,(H3429-F3429)*E3429)</f>
        <v/>
      </c>
      <c r="J3429">
        <f>E3429*F3429</f>
        <v/>
      </c>
    </row>
    <row r="3430">
      <c r="A3430">
        <f>Sources!A3430</f>
        <v/>
      </c>
      <c r="B3430">
        <f>Sources!B3430</f>
        <v/>
      </c>
      <c r="C3430">
        <f>Sources!D3430</f>
        <v/>
      </c>
      <c r="D3430">
        <f>Sources!E3430</f>
        <v/>
      </c>
      <c r="E3430">
        <f>Sources!F3430</f>
        <v/>
      </c>
      <c r="F3430">
        <f>Sources!H3430</f>
        <v/>
      </c>
      <c r="G3430">
        <f>IF(ABS(F3430-ROUND(F3430,0))&lt;0.001,1,0)</f>
        <v/>
      </c>
      <c r="H3430">
        <f>IF(G3430=1,F3430,CEILING(F3430,1))</f>
        <v/>
      </c>
      <c r="I3430">
        <f>IF(G3430=1,0,(H3430-F3430)*E3430)</f>
        <v/>
      </c>
      <c r="J3430">
        <f>E3430*F3430</f>
        <v/>
      </c>
    </row>
    <row r="3431">
      <c r="A3431">
        <f>Sources!A3431</f>
        <v/>
      </c>
      <c r="B3431">
        <f>Sources!B3431</f>
        <v/>
      </c>
      <c r="C3431">
        <f>Sources!D3431</f>
        <v/>
      </c>
      <c r="D3431">
        <f>Sources!E3431</f>
        <v/>
      </c>
      <c r="E3431">
        <f>Sources!F3431</f>
        <v/>
      </c>
      <c r="F3431">
        <f>Sources!H3431</f>
        <v/>
      </c>
      <c r="G3431">
        <f>IF(ABS(F3431-ROUND(F3431,0))&lt;0.001,1,0)</f>
        <v/>
      </c>
      <c r="H3431">
        <f>IF(G3431=1,F3431,CEILING(F3431,1))</f>
        <v/>
      </c>
      <c r="I3431">
        <f>IF(G3431=1,0,(H3431-F3431)*E3431)</f>
        <v/>
      </c>
      <c r="J3431">
        <f>E3431*F3431</f>
        <v/>
      </c>
    </row>
    <row r="3432">
      <c r="A3432">
        <f>Sources!A3432</f>
        <v/>
      </c>
      <c r="B3432">
        <f>Sources!B3432</f>
        <v/>
      </c>
      <c r="C3432">
        <f>Sources!D3432</f>
        <v/>
      </c>
      <c r="D3432">
        <f>Sources!E3432</f>
        <v/>
      </c>
      <c r="E3432">
        <f>Sources!F3432</f>
        <v/>
      </c>
      <c r="F3432">
        <f>Sources!H3432</f>
        <v/>
      </c>
      <c r="G3432">
        <f>IF(ABS(F3432-ROUND(F3432,0))&lt;0.001,1,0)</f>
        <v/>
      </c>
      <c r="H3432">
        <f>IF(G3432=1,F3432,CEILING(F3432,1))</f>
        <v/>
      </c>
      <c r="I3432">
        <f>IF(G3432=1,0,(H3432-F3432)*E3432)</f>
        <v/>
      </c>
      <c r="J3432">
        <f>E3432*F3432</f>
        <v/>
      </c>
    </row>
    <row r="3433">
      <c r="A3433">
        <f>Sources!A3433</f>
        <v/>
      </c>
      <c r="B3433">
        <f>Sources!B3433</f>
        <v/>
      </c>
      <c r="C3433">
        <f>Sources!D3433</f>
        <v/>
      </c>
      <c r="D3433">
        <f>Sources!E3433</f>
        <v/>
      </c>
      <c r="E3433">
        <f>Sources!F3433</f>
        <v/>
      </c>
      <c r="F3433">
        <f>Sources!H3433</f>
        <v/>
      </c>
      <c r="G3433">
        <f>IF(ABS(F3433-ROUND(F3433,0))&lt;0.001,1,0)</f>
        <v/>
      </c>
      <c r="H3433">
        <f>IF(G3433=1,F3433,CEILING(F3433,1))</f>
        <v/>
      </c>
      <c r="I3433">
        <f>IF(G3433=1,0,(H3433-F3433)*E3433)</f>
        <v/>
      </c>
      <c r="J3433">
        <f>E3433*F3433</f>
        <v/>
      </c>
    </row>
    <row r="3434">
      <c r="A3434">
        <f>Sources!A3434</f>
        <v/>
      </c>
      <c r="B3434">
        <f>Sources!B3434</f>
        <v/>
      </c>
      <c r="C3434">
        <f>Sources!D3434</f>
        <v/>
      </c>
      <c r="D3434">
        <f>Sources!E3434</f>
        <v/>
      </c>
      <c r="E3434">
        <f>Sources!F3434</f>
        <v/>
      </c>
      <c r="F3434">
        <f>Sources!H3434</f>
        <v/>
      </c>
      <c r="G3434">
        <f>IF(ABS(F3434-ROUND(F3434,0))&lt;0.001,1,0)</f>
        <v/>
      </c>
      <c r="H3434">
        <f>IF(G3434=1,F3434,CEILING(F3434,1))</f>
        <v/>
      </c>
      <c r="I3434">
        <f>IF(G3434=1,0,(H3434-F3434)*E3434)</f>
        <v/>
      </c>
      <c r="J3434">
        <f>E3434*F3434</f>
        <v/>
      </c>
    </row>
    <row r="3435">
      <c r="A3435">
        <f>Sources!A3435</f>
        <v/>
      </c>
      <c r="B3435">
        <f>Sources!B3435</f>
        <v/>
      </c>
      <c r="C3435">
        <f>Sources!D3435</f>
        <v/>
      </c>
      <c r="D3435">
        <f>Sources!E3435</f>
        <v/>
      </c>
      <c r="E3435">
        <f>Sources!F3435</f>
        <v/>
      </c>
      <c r="F3435">
        <f>Sources!H3435</f>
        <v/>
      </c>
      <c r="G3435">
        <f>IF(ABS(F3435-ROUND(F3435,0))&lt;0.001,1,0)</f>
        <v/>
      </c>
      <c r="H3435">
        <f>IF(G3435=1,F3435,CEILING(F3435,1))</f>
        <v/>
      </c>
      <c r="I3435">
        <f>IF(G3435=1,0,(H3435-F3435)*E3435)</f>
        <v/>
      </c>
      <c r="J3435">
        <f>E3435*F3435</f>
        <v/>
      </c>
    </row>
    <row r="3436">
      <c r="A3436">
        <f>Sources!A3436</f>
        <v/>
      </c>
      <c r="B3436">
        <f>Sources!B3436</f>
        <v/>
      </c>
      <c r="C3436">
        <f>Sources!D3436</f>
        <v/>
      </c>
      <c r="D3436">
        <f>Sources!E3436</f>
        <v/>
      </c>
      <c r="E3436">
        <f>Sources!F3436</f>
        <v/>
      </c>
      <c r="F3436">
        <f>Sources!H3436</f>
        <v/>
      </c>
      <c r="G3436">
        <f>IF(ABS(F3436-ROUND(F3436,0))&lt;0.001,1,0)</f>
        <v/>
      </c>
      <c r="H3436">
        <f>IF(G3436=1,F3436,CEILING(F3436,1))</f>
        <v/>
      </c>
      <c r="I3436">
        <f>IF(G3436=1,0,(H3436-F3436)*E3436)</f>
        <v/>
      </c>
      <c r="J3436">
        <f>E3436*F3436</f>
        <v/>
      </c>
    </row>
    <row r="3437">
      <c r="A3437">
        <f>Sources!A3437</f>
        <v/>
      </c>
      <c r="B3437">
        <f>Sources!B3437</f>
        <v/>
      </c>
      <c r="C3437">
        <f>Sources!D3437</f>
        <v/>
      </c>
      <c r="D3437">
        <f>Sources!E3437</f>
        <v/>
      </c>
      <c r="E3437">
        <f>Sources!F3437</f>
        <v/>
      </c>
      <c r="F3437">
        <f>Sources!H3437</f>
        <v/>
      </c>
      <c r="G3437">
        <f>IF(ABS(F3437-ROUND(F3437,0))&lt;0.001,1,0)</f>
        <v/>
      </c>
      <c r="H3437">
        <f>IF(G3437=1,F3437,CEILING(F3437,1))</f>
        <v/>
      </c>
      <c r="I3437">
        <f>IF(G3437=1,0,(H3437-F3437)*E3437)</f>
        <v/>
      </c>
      <c r="J3437">
        <f>E3437*F3437</f>
        <v/>
      </c>
    </row>
    <row r="3438">
      <c r="A3438">
        <f>Sources!A3438</f>
        <v/>
      </c>
      <c r="B3438">
        <f>Sources!B3438</f>
        <v/>
      </c>
      <c r="C3438">
        <f>Sources!D3438</f>
        <v/>
      </c>
      <c r="D3438">
        <f>Sources!E3438</f>
        <v/>
      </c>
      <c r="E3438">
        <f>Sources!F3438</f>
        <v/>
      </c>
      <c r="F3438">
        <f>Sources!H3438</f>
        <v/>
      </c>
      <c r="G3438">
        <f>IF(ABS(F3438-ROUND(F3438,0))&lt;0.001,1,0)</f>
        <v/>
      </c>
      <c r="H3438">
        <f>IF(G3438=1,F3438,CEILING(F3438,1))</f>
        <v/>
      </c>
      <c r="I3438">
        <f>IF(G3438=1,0,(H3438-F3438)*E3438)</f>
        <v/>
      </c>
      <c r="J3438">
        <f>E3438*F3438</f>
        <v/>
      </c>
    </row>
    <row r="3439">
      <c r="A3439">
        <f>Sources!A3439</f>
        <v/>
      </c>
      <c r="B3439">
        <f>Sources!B3439</f>
        <v/>
      </c>
      <c r="C3439">
        <f>Sources!D3439</f>
        <v/>
      </c>
      <c r="D3439">
        <f>Sources!E3439</f>
        <v/>
      </c>
      <c r="E3439">
        <f>Sources!F3439</f>
        <v/>
      </c>
      <c r="F3439">
        <f>Sources!H3439</f>
        <v/>
      </c>
      <c r="G3439">
        <f>IF(ABS(F3439-ROUND(F3439,0))&lt;0.001,1,0)</f>
        <v/>
      </c>
      <c r="H3439">
        <f>IF(G3439=1,F3439,CEILING(F3439,1))</f>
        <v/>
      </c>
      <c r="I3439">
        <f>IF(G3439=1,0,(H3439-F3439)*E3439)</f>
        <v/>
      </c>
      <c r="J3439">
        <f>E3439*F3439</f>
        <v/>
      </c>
    </row>
    <row r="3440">
      <c r="A3440">
        <f>Sources!A3440</f>
        <v/>
      </c>
      <c r="B3440">
        <f>Sources!B3440</f>
        <v/>
      </c>
      <c r="C3440">
        <f>Sources!D3440</f>
        <v/>
      </c>
      <c r="D3440">
        <f>Sources!E3440</f>
        <v/>
      </c>
      <c r="E3440">
        <f>Sources!F3440</f>
        <v/>
      </c>
      <c r="F3440">
        <f>Sources!H3440</f>
        <v/>
      </c>
      <c r="G3440">
        <f>IF(ABS(F3440-ROUND(F3440,0))&lt;0.001,1,0)</f>
        <v/>
      </c>
      <c r="H3440">
        <f>IF(G3440=1,F3440,CEILING(F3440,1))</f>
        <v/>
      </c>
      <c r="I3440">
        <f>IF(G3440=1,0,(H3440-F3440)*E3440)</f>
        <v/>
      </c>
      <c r="J3440">
        <f>E3440*F3440</f>
        <v/>
      </c>
    </row>
    <row r="3441">
      <c r="A3441">
        <f>Sources!A3441</f>
        <v/>
      </c>
      <c r="B3441">
        <f>Sources!B3441</f>
        <v/>
      </c>
      <c r="C3441">
        <f>Sources!D3441</f>
        <v/>
      </c>
      <c r="D3441">
        <f>Sources!E3441</f>
        <v/>
      </c>
      <c r="E3441">
        <f>Sources!F3441</f>
        <v/>
      </c>
      <c r="F3441">
        <f>Sources!H3441</f>
        <v/>
      </c>
      <c r="G3441">
        <f>IF(ABS(F3441-ROUND(F3441,0))&lt;0.001,1,0)</f>
        <v/>
      </c>
      <c r="H3441">
        <f>IF(G3441=1,F3441,CEILING(F3441,1))</f>
        <v/>
      </c>
      <c r="I3441">
        <f>IF(G3441=1,0,(H3441-F3441)*E3441)</f>
        <v/>
      </c>
      <c r="J3441">
        <f>E3441*F3441</f>
        <v/>
      </c>
    </row>
    <row r="3442">
      <c r="A3442">
        <f>Sources!A3442</f>
        <v/>
      </c>
      <c r="B3442">
        <f>Sources!B3442</f>
        <v/>
      </c>
      <c r="C3442">
        <f>Sources!D3442</f>
        <v/>
      </c>
      <c r="D3442">
        <f>Sources!E3442</f>
        <v/>
      </c>
      <c r="E3442">
        <f>Sources!F3442</f>
        <v/>
      </c>
      <c r="F3442">
        <f>Sources!H3442</f>
        <v/>
      </c>
      <c r="G3442">
        <f>IF(ABS(F3442-ROUND(F3442,0))&lt;0.001,1,0)</f>
        <v/>
      </c>
      <c r="H3442">
        <f>IF(G3442=1,F3442,CEILING(F3442,1))</f>
        <v/>
      </c>
      <c r="I3442">
        <f>IF(G3442=1,0,(H3442-F3442)*E3442)</f>
        <v/>
      </c>
      <c r="J3442">
        <f>E3442*F3442</f>
        <v/>
      </c>
    </row>
    <row r="3443">
      <c r="A3443">
        <f>Sources!A3443</f>
        <v/>
      </c>
      <c r="B3443">
        <f>Sources!B3443</f>
        <v/>
      </c>
      <c r="C3443">
        <f>Sources!D3443</f>
        <v/>
      </c>
      <c r="D3443">
        <f>Sources!E3443</f>
        <v/>
      </c>
      <c r="E3443">
        <f>Sources!F3443</f>
        <v/>
      </c>
      <c r="F3443">
        <f>Sources!H3443</f>
        <v/>
      </c>
      <c r="G3443">
        <f>IF(ABS(F3443-ROUND(F3443,0))&lt;0.001,1,0)</f>
        <v/>
      </c>
      <c r="H3443">
        <f>IF(G3443=1,F3443,CEILING(F3443,1))</f>
        <v/>
      </c>
      <c r="I3443">
        <f>IF(G3443=1,0,(H3443-F3443)*E3443)</f>
        <v/>
      </c>
      <c r="J3443">
        <f>E3443*F3443</f>
        <v/>
      </c>
    </row>
    <row r="3444">
      <c r="A3444">
        <f>Sources!A3444</f>
        <v/>
      </c>
      <c r="B3444">
        <f>Sources!B3444</f>
        <v/>
      </c>
      <c r="C3444">
        <f>Sources!D3444</f>
        <v/>
      </c>
      <c r="D3444">
        <f>Sources!E3444</f>
        <v/>
      </c>
      <c r="E3444">
        <f>Sources!F3444</f>
        <v/>
      </c>
      <c r="F3444">
        <f>Sources!H3444</f>
        <v/>
      </c>
      <c r="G3444">
        <f>IF(ABS(F3444-ROUND(F3444,0))&lt;0.001,1,0)</f>
        <v/>
      </c>
      <c r="H3444">
        <f>IF(G3444=1,F3444,CEILING(F3444,1))</f>
        <v/>
      </c>
      <c r="I3444">
        <f>IF(G3444=1,0,(H3444-F3444)*E3444)</f>
        <v/>
      </c>
      <c r="J3444">
        <f>E3444*F3444</f>
        <v/>
      </c>
    </row>
    <row r="3445">
      <c r="A3445">
        <f>Sources!A3445</f>
        <v/>
      </c>
      <c r="B3445">
        <f>Sources!B3445</f>
        <v/>
      </c>
      <c r="C3445">
        <f>Sources!D3445</f>
        <v/>
      </c>
      <c r="D3445">
        <f>Sources!E3445</f>
        <v/>
      </c>
      <c r="E3445">
        <f>Sources!F3445</f>
        <v/>
      </c>
      <c r="F3445">
        <f>Sources!H3445</f>
        <v/>
      </c>
      <c r="G3445">
        <f>IF(ABS(F3445-ROUND(F3445,0))&lt;0.001,1,0)</f>
        <v/>
      </c>
      <c r="H3445">
        <f>IF(G3445=1,F3445,CEILING(F3445,1))</f>
        <v/>
      </c>
      <c r="I3445">
        <f>IF(G3445=1,0,(H3445-F3445)*E3445)</f>
        <v/>
      </c>
      <c r="J3445">
        <f>E3445*F3445</f>
        <v/>
      </c>
    </row>
    <row r="3446">
      <c r="A3446">
        <f>Sources!A3446</f>
        <v/>
      </c>
      <c r="B3446">
        <f>Sources!B3446</f>
        <v/>
      </c>
      <c r="C3446">
        <f>Sources!D3446</f>
        <v/>
      </c>
      <c r="D3446">
        <f>Sources!E3446</f>
        <v/>
      </c>
      <c r="E3446">
        <f>Sources!F3446</f>
        <v/>
      </c>
      <c r="F3446">
        <f>Sources!H3446</f>
        <v/>
      </c>
      <c r="G3446">
        <f>IF(ABS(F3446-ROUND(F3446,0))&lt;0.001,1,0)</f>
        <v/>
      </c>
      <c r="H3446">
        <f>IF(G3446=1,F3446,CEILING(F3446,1))</f>
        <v/>
      </c>
      <c r="I3446">
        <f>IF(G3446=1,0,(H3446-F3446)*E3446)</f>
        <v/>
      </c>
      <c r="J3446">
        <f>E3446*F3446</f>
        <v/>
      </c>
    </row>
    <row r="3447">
      <c r="A3447">
        <f>Sources!A3447</f>
        <v/>
      </c>
      <c r="B3447">
        <f>Sources!B3447</f>
        <v/>
      </c>
      <c r="C3447">
        <f>Sources!D3447</f>
        <v/>
      </c>
      <c r="D3447">
        <f>Sources!E3447</f>
        <v/>
      </c>
      <c r="E3447">
        <f>Sources!F3447</f>
        <v/>
      </c>
      <c r="F3447">
        <f>Sources!H3447</f>
        <v/>
      </c>
      <c r="G3447">
        <f>IF(ABS(F3447-ROUND(F3447,0))&lt;0.001,1,0)</f>
        <v/>
      </c>
      <c r="H3447">
        <f>IF(G3447=1,F3447,CEILING(F3447,1))</f>
        <v/>
      </c>
      <c r="I3447">
        <f>IF(G3447=1,0,(H3447-F3447)*E3447)</f>
        <v/>
      </c>
      <c r="J3447">
        <f>E3447*F3447</f>
        <v/>
      </c>
    </row>
    <row r="3448">
      <c r="A3448">
        <f>Sources!A3448</f>
        <v/>
      </c>
      <c r="B3448">
        <f>Sources!B3448</f>
        <v/>
      </c>
      <c r="C3448">
        <f>Sources!D3448</f>
        <v/>
      </c>
      <c r="D3448">
        <f>Sources!E3448</f>
        <v/>
      </c>
      <c r="E3448">
        <f>Sources!F3448</f>
        <v/>
      </c>
      <c r="F3448">
        <f>Sources!H3448</f>
        <v/>
      </c>
      <c r="G3448">
        <f>IF(ABS(F3448-ROUND(F3448,0))&lt;0.001,1,0)</f>
        <v/>
      </c>
      <c r="H3448">
        <f>IF(G3448=1,F3448,CEILING(F3448,1))</f>
        <v/>
      </c>
      <c r="I3448">
        <f>IF(G3448=1,0,(H3448-F3448)*E3448)</f>
        <v/>
      </c>
      <c r="J3448">
        <f>E3448*F3448</f>
        <v/>
      </c>
    </row>
    <row r="3449">
      <c r="A3449">
        <f>Sources!A3449</f>
        <v/>
      </c>
      <c r="B3449">
        <f>Sources!B3449</f>
        <v/>
      </c>
      <c r="C3449">
        <f>Sources!D3449</f>
        <v/>
      </c>
      <c r="D3449">
        <f>Sources!E3449</f>
        <v/>
      </c>
      <c r="E3449">
        <f>Sources!F3449</f>
        <v/>
      </c>
      <c r="F3449">
        <f>Sources!H3449</f>
        <v/>
      </c>
      <c r="G3449">
        <f>IF(ABS(F3449-ROUND(F3449,0))&lt;0.001,1,0)</f>
        <v/>
      </c>
      <c r="H3449">
        <f>IF(G3449=1,F3449,CEILING(F3449,1))</f>
        <v/>
      </c>
      <c r="I3449">
        <f>IF(G3449=1,0,(H3449-F3449)*E3449)</f>
        <v/>
      </c>
      <c r="J3449">
        <f>E3449*F3449</f>
        <v/>
      </c>
    </row>
    <row r="3450">
      <c r="A3450">
        <f>Sources!A3450</f>
        <v/>
      </c>
      <c r="B3450">
        <f>Sources!B3450</f>
        <v/>
      </c>
      <c r="C3450">
        <f>Sources!D3450</f>
        <v/>
      </c>
      <c r="D3450">
        <f>Sources!E3450</f>
        <v/>
      </c>
      <c r="E3450">
        <f>Sources!F3450</f>
        <v/>
      </c>
      <c r="F3450">
        <f>Sources!H3450</f>
        <v/>
      </c>
      <c r="G3450">
        <f>IF(ABS(F3450-ROUND(F3450,0))&lt;0.001,1,0)</f>
        <v/>
      </c>
      <c r="H3450">
        <f>IF(G3450=1,F3450,CEILING(F3450,1))</f>
        <v/>
      </c>
      <c r="I3450">
        <f>IF(G3450=1,0,(H3450-F3450)*E3450)</f>
        <v/>
      </c>
      <c r="J3450">
        <f>E3450*F3450</f>
        <v/>
      </c>
    </row>
    <row r="3451">
      <c r="A3451">
        <f>Sources!A3451</f>
        <v/>
      </c>
      <c r="B3451">
        <f>Sources!B3451</f>
        <v/>
      </c>
      <c r="C3451">
        <f>Sources!D3451</f>
        <v/>
      </c>
      <c r="D3451">
        <f>Sources!E3451</f>
        <v/>
      </c>
      <c r="E3451">
        <f>Sources!F3451</f>
        <v/>
      </c>
      <c r="F3451">
        <f>Sources!H3451</f>
        <v/>
      </c>
      <c r="G3451">
        <f>IF(ABS(F3451-ROUND(F3451,0))&lt;0.001,1,0)</f>
        <v/>
      </c>
      <c r="H3451">
        <f>IF(G3451=1,F3451,CEILING(F3451,1))</f>
        <v/>
      </c>
      <c r="I3451">
        <f>IF(G3451=1,0,(H3451-F3451)*E3451)</f>
        <v/>
      </c>
      <c r="J3451">
        <f>E3451*F3451</f>
        <v/>
      </c>
    </row>
    <row r="3452">
      <c r="A3452">
        <f>Sources!A3452</f>
        <v/>
      </c>
      <c r="B3452">
        <f>Sources!B3452</f>
        <v/>
      </c>
      <c r="C3452">
        <f>Sources!D3452</f>
        <v/>
      </c>
      <c r="D3452">
        <f>Sources!E3452</f>
        <v/>
      </c>
      <c r="E3452">
        <f>Sources!F3452</f>
        <v/>
      </c>
      <c r="F3452">
        <f>Sources!H3452</f>
        <v/>
      </c>
      <c r="G3452">
        <f>IF(ABS(F3452-ROUND(F3452,0))&lt;0.001,1,0)</f>
        <v/>
      </c>
      <c r="H3452">
        <f>IF(G3452=1,F3452,CEILING(F3452,1))</f>
        <v/>
      </c>
      <c r="I3452">
        <f>IF(G3452=1,0,(H3452-F3452)*E3452)</f>
        <v/>
      </c>
      <c r="J3452">
        <f>E3452*F3452</f>
        <v/>
      </c>
    </row>
    <row r="3453">
      <c r="A3453">
        <f>Sources!A3453</f>
        <v/>
      </c>
      <c r="B3453">
        <f>Sources!B3453</f>
        <v/>
      </c>
      <c r="C3453">
        <f>Sources!D3453</f>
        <v/>
      </c>
      <c r="D3453">
        <f>Sources!E3453</f>
        <v/>
      </c>
      <c r="E3453">
        <f>Sources!F3453</f>
        <v/>
      </c>
      <c r="F3453">
        <f>Sources!H3453</f>
        <v/>
      </c>
      <c r="G3453">
        <f>IF(ABS(F3453-ROUND(F3453,0))&lt;0.001,1,0)</f>
        <v/>
      </c>
      <c r="H3453">
        <f>IF(G3453=1,F3453,CEILING(F3453,1))</f>
        <v/>
      </c>
      <c r="I3453">
        <f>IF(G3453=1,0,(H3453-F3453)*E3453)</f>
        <v/>
      </c>
      <c r="J3453">
        <f>E3453*F3453</f>
        <v/>
      </c>
    </row>
    <row r="3454">
      <c r="A3454">
        <f>Sources!A3454</f>
        <v/>
      </c>
      <c r="B3454">
        <f>Sources!B3454</f>
        <v/>
      </c>
      <c r="C3454">
        <f>Sources!D3454</f>
        <v/>
      </c>
      <c r="D3454">
        <f>Sources!E3454</f>
        <v/>
      </c>
      <c r="E3454">
        <f>Sources!F3454</f>
        <v/>
      </c>
      <c r="F3454">
        <f>Sources!H3454</f>
        <v/>
      </c>
      <c r="G3454">
        <f>IF(ABS(F3454-ROUND(F3454,0))&lt;0.001,1,0)</f>
        <v/>
      </c>
      <c r="H3454">
        <f>IF(G3454=1,F3454,CEILING(F3454,1))</f>
        <v/>
      </c>
      <c r="I3454">
        <f>IF(G3454=1,0,(H3454-F3454)*E3454)</f>
        <v/>
      </c>
      <c r="J3454">
        <f>E3454*F3454</f>
        <v/>
      </c>
    </row>
    <row r="3455">
      <c r="A3455">
        <f>Sources!A3455</f>
        <v/>
      </c>
      <c r="B3455">
        <f>Sources!B3455</f>
        <v/>
      </c>
      <c r="C3455">
        <f>Sources!D3455</f>
        <v/>
      </c>
      <c r="D3455">
        <f>Sources!E3455</f>
        <v/>
      </c>
      <c r="E3455">
        <f>Sources!F3455</f>
        <v/>
      </c>
      <c r="F3455">
        <f>Sources!H3455</f>
        <v/>
      </c>
      <c r="G3455">
        <f>IF(ABS(F3455-ROUND(F3455,0))&lt;0.001,1,0)</f>
        <v/>
      </c>
      <c r="H3455">
        <f>IF(G3455=1,F3455,CEILING(F3455,1))</f>
        <v/>
      </c>
      <c r="I3455">
        <f>IF(G3455=1,0,(H3455-F3455)*E3455)</f>
        <v/>
      </c>
      <c r="J3455">
        <f>E3455*F3455</f>
        <v/>
      </c>
    </row>
    <row r="3456">
      <c r="A3456">
        <f>Sources!A3456</f>
        <v/>
      </c>
      <c r="B3456">
        <f>Sources!B3456</f>
        <v/>
      </c>
      <c r="C3456">
        <f>Sources!D3456</f>
        <v/>
      </c>
      <c r="D3456">
        <f>Sources!E3456</f>
        <v/>
      </c>
      <c r="E3456">
        <f>Sources!F3456</f>
        <v/>
      </c>
      <c r="F3456">
        <f>Sources!H3456</f>
        <v/>
      </c>
      <c r="G3456">
        <f>IF(ABS(F3456-ROUND(F3456,0))&lt;0.001,1,0)</f>
        <v/>
      </c>
      <c r="H3456">
        <f>IF(G3456=1,F3456,CEILING(F3456,1))</f>
        <v/>
      </c>
      <c r="I3456">
        <f>IF(G3456=1,0,(H3456-F3456)*E3456)</f>
        <v/>
      </c>
      <c r="J3456">
        <f>E3456*F3456</f>
        <v/>
      </c>
    </row>
    <row r="3457">
      <c r="A3457">
        <f>Sources!A3457</f>
        <v/>
      </c>
      <c r="B3457">
        <f>Sources!B3457</f>
        <v/>
      </c>
      <c r="C3457">
        <f>Sources!D3457</f>
        <v/>
      </c>
      <c r="D3457">
        <f>Sources!E3457</f>
        <v/>
      </c>
      <c r="E3457">
        <f>Sources!F3457</f>
        <v/>
      </c>
      <c r="F3457">
        <f>Sources!H3457</f>
        <v/>
      </c>
      <c r="G3457">
        <f>IF(ABS(F3457-ROUND(F3457,0))&lt;0.001,1,0)</f>
        <v/>
      </c>
      <c r="H3457">
        <f>IF(G3457=1,F3457,CEILING(F3457,1))</f>
        <v/>
      </c>
      <c r="I3457">
        <f>IF(G3457=1,0,(H3457-F3457)*E3457)</f>
        <v/>
      </c>
      <c r="J3457">
        <f>E3457*F3457</f>
        <v/>
      </c>
    </row>
    <row r="3458">
      <c r="A3458">
        <f>Sources!A3458</f>
        <v/>
      </c>
      <c r="B3458">
        <f>Sources!B3458</f>
        <v/>
      </c>
      <c r="C3458">
        <f>Sources!D3458</f>
        <v/>
      </c>
      <c r="D3458">
        <f>Sources!E3458</f>
        <v/>
      </c>
      <c r="E3458">
        <f>Sources!F3458</f>
        <v/>
      </c>
      <c r="F3458">
        <f>Sources!H3458</f>
        <v/>
      </c>
      <c r="G3458">
        <f>IF(ABS(F3458-ROUND(F3458,0))&lt;0.001,1,0)</f>
        <v/>
      </c>
      <c r="H3458">
        <f>IF(G3458=1,F3458,CEILING(F3458,1))</f>
        <v/>
      </c>
      <c r="I3458">
        <f>IF(G3458=1,0,(H3458-F3458)*E3458)</f>
        <v/>
      </c>
      <c r="J3458">
        <f>E3458*F3458</f>
        <v/>
      </c>
    </row>
    <row r="3459">
      <c r="A3459">
        <f>Sources!A3459</f>
        <v/>
      </c>
      <c r="B3459">
        <f>Sources!B3459</f>
        <v/>
      </c>
      <c r="C3459">
        <f>Sources!D3459</f>
        <v/>
      </c>
      <c r="D3459">
        <f>Sources!E3459</f>
        <v/>
      </c>
      <c r="E3459">
        <f>Sources!F3459</f>
        <v/>
      </c>
      <c r="F3459">
        <f>Sources!H3459</f>
        <v/>
      </c>
      <c r="G3459">
        <f>IF(ABS(F3459-ROUND(F3459,0))&lt;0.001,1,0)</f>
        <v/>
      </c>
      <c r="H3459">
        <f>IF(G3459=1,F3459,CEILING(F3459,1))</f>
        <v/>
      </c>
      <c r="I3459">
        <f>IF(G3459=1,0,(H3459-F3459)*E3459)</f>
        <v/>
      </c>
      <c r="J3459">
        <f>E3459*F3459</f>
        <v/>
      </c>
    </row>
    <row r="3460">
      <c r="A3460">
        <f>Sources!A3460</f>
        <v/>
      </c>
      <c r="B3460">
        <f>Sources!B3460</f>
        <v/>
      </c>
      <c r="C3460">
        <f>Sources!D3460</f>
        <v/>
      </c>
      <c r="D3460">
        <f>Sources!E3460</f>
        <v/>
      </c>
      <c r="E3460">
        <f>Sources!F3460</f>
        <v/>
      </c>
      <c r="F3460">
        <f>Sources!H3460</f>
        <v/>
      </c>
      <c r="G3460">
        <f>IF(ABS(F3460-ROUND(F3460,0))&lt;0.001,1,0)</f>
        <v/>
      </c>
      <c r="H3460">
        <f>IF(G3460=1,F3460,CEILING(F3460,1))</f>
        <v/>
      </c>
      <c r="I3460">
        <f>IF(G3460=1,0,(H3460-F3460)*E3460)</f>
        <v/>
      </c>
      <c r="J3460">
        <f>E3460*F3460</f>
        <v/>
      </c>
    </row>
    <row r="3461">
      <c r="A3461">
        <f>Sources!A3461</f>
        <v/>
      </c>
      <c r="B3461">
        <f>Sources!B3461</f>
        <v/>
      </c>
      <c r="C3461">
        <f>Sources!D3461</f>
        <v/>
      </c>
      <c r="D3461">
        <f>Sources!E3461</f>
        <v/>
      </c>
      <c r="E3461">
        <f>Sources!F3461</f>
        <v/>
      </c>
      <c r="F3461">
        <f>Sources!H3461</f>
        <v/>
      </c>
      <c r="G3461">
        <f>IF(ABS(F3461-ROUND(F3461,0))&lt;0.001,1,0)</f>
        <v/>
      </c>
      <c r="H3461">
        <f>IF(G3461=1,F3461,CEILING(F3461,1))</f>
        <v/>
      </c>
      <c r="I3461">
        <f>IF(G3461=1,0,(H3461-F3461)*E3461)</f>
        <v/>
      </c>
      <c r="J3461">
        <f>E3461*F3461</f>
        <v/>
      </c>
    </row>
    <row r="3462">
      <c r="A3462">
        <f>Sources!A3462</f>
        <v/>
      </c>
      <c r="B3462">
        <f>Sources!B3462</f>
        <v/>
      </c>
      <c r="C3462">
        <f>Sources!D3462</f>
        <v/>
      </c>
      <c r="D3462">
        <f>Sources!E3462</f>
        <v/>
      </c>
      <c r="E3462">
        <f>Sources!F3462</f>
        <v/>
      </c>
      <c r="F3462">
        <f>Sources!H3462</f>
        <v/>
      </c>
      <c r="G3462">
        <f>IF(ABS(F3462-ROUND(F3462,0))&lt;0.001,1,0)</f>
        <v/>
      </c>
      <c r="H3462">
        <f>IF(G3462=1,F3462,CEILING(F3462,1))</f>
        <v/>
      </c>
      <c r="I3462">
        <f>IF(G3462=1,0,(H3462-F3462)*E3462)</f>
        <v/>
      </c>
      <c r="J3462">
        <f>E3462*F3462</f>
        <v/>
      </c>
    </row>
    <row r="3463">
      <c r="A3463">
        <f>Sources!A3463</f>
        <v/>
      </c>
      <c r="B3463">
        <f>Sources!B3463</f>
        <v/>
      </c>
      <c r="C3463">
        <f>Sources!D3463</f>
        <v/>
      </c>
      <c r="D3463">
        <f>Sources!E3463</f>
        <v/>
      </c>
      <c r="E3463">
        <f>Sources!F3463</f>
        <v/>
      </c>
      <c r="F3463">
        <f>Sources!H3463</f>
        <v/>
      </c>
      <c r="G3463">
        <f>IF(ABS(F3463-ROUND(F3463,0))&lt;0.001,1,0)</f>
        <v/>
      </c>
      <c r="H3463">
        <f>IF(G3463=1,F3463,CEILING(F3463,1))</f>
        <v/>
      </c>
      <c r="I3463">
        <f>IF(G3463=1,0,(H3463-F3463)*E3463)</f>
        <v/>
      </c>
      <c r="J3463">
        <f>E3463*F3463</f>
        <v/>
      </c>
    </row>
    <row r="3464">
      <c r="A3464">
        <f>Sources!A3464</f>
        <v/>
      </c>
      <c r="B3464">
        <f>Sources!B3464</f>
        <v/>
      </c>
      <c r="C3464">
        <f>Sources!D3464</f>
        <v/>
      </c>
      <c r="D3464">
        <f>Sources!E3464</f>
        <v/>
      </c>
      <c r="E3464">
        <f>Sources!F3464</f>
        <v/>
      </c>
      <c r="F3464">
        <f>Sources!H3464</f>
        <v/>
      </c>
      <c r="G3464">
        <f>IF(ABS(F3464-ROUND(F3464,0))&lt;0.001,1,0)</f>
        <v/>
      </c>
      <c r="H3464">
        <f>IF(G3464=1,F3464,CEILING(F3464,1))</f>
        <v/>
      </c>
      <c r="I3464">
        <f>IF(G3464=1,0,(H3464-F3464)*E3464)</f>
        <v/>
      </c>
      <c r="J3464">
        <f>E3464*F3464</f>
        <v/>
      </c>
    </row>
    <row r="3465">
      <c r="A3465">
        <f>Sources!A3465</f>
        <v/>
      </c>
      <c r="B3465">
        <f>Sources!B3465</f>
        <v/>
      </c>
      <c r="C3465">
        <f>Sources!D3465</f>
        <v/>
      </c>
      <c r="D3465">
        <f>Sources!E3465</f>
        <v/>
      </c>
      <c r="E3465">
        <f>Sources!F3465</f>
        <v/>
      </c>
      <c r="F3465">
        <f>Sources!H3465</f>
        <v/>
      </c>
      <c r="G3465">
        <f>IF(ABS(F3465-ROUND(F3465,0))&lt;0.001,1,0)</f>
        <v/>
      </c>
      <c r="H3465">
        <f>IF(G3465=1,F3465,CEILING(F3465,1))</f>
        <v/>
      </c>
      <c r="I3465">
        <f>IF(G3465=1,0,(H3465-F3465)*E3465)</f>
        <v/>
      </c>
      <c r="J3465">
        <f>E3465*F3465</f>
        <v/>
      </c>
    </row>
    <row r="3466">
      <c r="A3466">
        <f>Sources!A3466</f>
        <v/>
      </c>
      <c r="B3466">
        <f>Sources!B3466</f>
        <v/>
      </c>
      <c r="C3466">
        <f>Sources!D3466</f>
        <v/>
      </c>
      <c r="D3466">
        <f>Sources!E3466</f>
        <v/>
      </c>
      <c r="E3466">
        <f>Sources!F3466</f>
        <v/>
      </c>
      <c r="F3466">
        <f>Sources!H3466</f>
        <v/>
      </c>
      <c r="G3466">
        <f>IF(ABS(F3466-ROUND(F3466,0))&lt;0.001,1,0)</f>
        <v/>
      </c>
      <c r="H3466">
        <f>IF(G3466=1,F3466,CEILING(F3466,1))</f>
        <v/>
      </c>
      <c r="I3466">
        <f>IF(G3466=1,0,(H3466-F3466)*E3466)</f>
        <v/>
      </c>
      <c r="J3466">
        <f>E3466*F3466</f>
        <v/>
      </c>
    </row>
    <row r="3467">
      <c r="A3467">
        <f>Sources!A3467</f>
        <v/>
      </c>
      <c r="B3467">
        <f>Sources!B3467</f>
        <v/>
      </c>
      <c r="C3467">
        <f>Sources!D3467</f>
        <v/>
      </c>
      <c r="D3467">
        <f>Sources!E3467</f>
        <v/>
      </c>
      <c r="E3467">
        <f>Sources!F3467</f>
        <v/>
      </c>
      <c r="F3467">
        <f>Sources!H3467</f>
        <v/>
      </c>
      <c r="G3467">
        <f>IF(ABS(F3467-ROUND(F3467,0))&lt;0.001,1,0)</f>
        <v/>
      </c>
      <c r="H3467">
        <f>IF(G3467=1,F3467,CEILING(F3467,1))</f>
        <v/>
      </c>
      <c r="I3467">
        <f>IF(G3467=1,0,(H3467-F3467)*E3467)</f>
        <v/>
      </c>
      <c r="J3467">
        <f>E3467*F3467</f>
        <v/>
      </c>
    </row>
    <row r="3468">
      <c r="A3468">
        <f>Sources!A3468</f>
        <v/>
      </c>
      <c r="B3468">
        <f>Sources!B3468</f>
        <v/>
      </c>
      <c r="C3468">
        <f>Sources!D3468</f>
        <v/>
      </c>
      <c r="D3468">
        <f>Sources!E3468</f>
        <v/>
      </c>
      <c r="E3468">
        <f>Sources!F3468</f>
        <v/>
      </c>
      <c r="F3468">
        <f>Sources!H3468</f>
        <v/>
      </c>
      <c r="G3468">
        <f>IF(ABS(F3468-ROUND(F3468,0))&lt;0.001,1,0)</f>
        <v/>
      </c>
      <c r="H3468">
        <f>IF(G3468=1,F3468,CEILING(F3468,1))</f>
        <v/>
      </c>
      <c r="I3468">
        <f>IF(G3468=1,0,(H3468-F3468)*E3468)</f>
        <v/>
      </c>
      <c r="J3468">
        <f>E3468*F3468</f>
        <v/>
      </c>
    </row>
    <row r="3469">
      <c r="A3469">
        <f>Sources!A3469</f>
        <v/>
      </c>
      <c r="B3469">
        <f>Sources!B3469</f>
        <v/>
      </c>
      <c r="C3469">
        <f>Sources!D3469</f>
        <v/>
      </c>
      <c r="D3469">
        <f>Sources!E3469</f>
        <v/>
      </c>
      <c r="E3469">
        <f>Sources!F3469</f>
        <v/>
      </c>
      <c r="F3469">
        <f>Sources!H3469</f>
        <v/>
      </c>
      <c r="G3469">
        <f>IF(ABS(F3469-ROUND(F3469,0))&lt;0.001,1,0)</f>
        <v/>
      </c>
      <c r="H3469">
        <f>IF(G3469=1,F3469,CEILING(F3469,1))</f>
        <v/>
      </c>
      <c r="I3469">
        <f>IF(G3469=1,0,(H3469-F3469)*E3469)</f>
        <v/>
      </c>
      <c r="J3469">
        <f>E3469*F3469</f>
        <v/>
      </c>
    </row>
    <row r="3470">
      <c r="A3470">
        <f>Sources!A3470</f>
        <v/>
      </c>
      <c r="B3470">
        <f>Sources!B3470</f>
        <v/>
      </c>
      <c r="C3470">
        <f>Sources!D3470</f>
        <v/>
      </c>
      <c r="D3470">
        <f>Sources!E3470</f>
        <v/>
      </c>
      <c r="E3470">
        <f>Sources!F3470</f>
        <v/>
      </c>
      <c r="F3470">
        <f>Sources!H3470</f>
        <v/>
      </c>
      <c r="G3470">
        <f>IF(ABS(F3470-ROUND(F3470,0))&lt;0.001,1,0)</f>
        <v/>
      </c>
      <c r="H3470">
        <f>IF(G3470=1,F3470,CEILING(F3470,1))</f>
        <v/>
      </c>
      <c r="I3470">
        <f>IF(G3470=1,0,(H3470-F3470)*E3470)</f>
        <v/>
      </c>
      <c r="J3470">
        <f>E3470*F3470</f>
        <v/>
      </c>
    </row>
    <row r="3471">
      <c r="A3471">
        <f>Sources!A3471</f>
        <v/>
      </c>
      <c r="B3471">
        <f>Sources!B3471</f>
        <v/>
      </c>
      <c r="C3471">
        <f>Sources!D3471</f>
        <v/>
      </c>
      <c r="D3471">
        <f>Sources!E3471</f>
        <v/>
      </c>
      <c r="E3471">
        <f>Sources!F3471</f>
        <v/>
      </c>
      <c r="F3471">
        <f>Sources!H3471</f>
        <v/>
      </c>
      <c r="G3471">
        <f>IF(ABS(F3471-ROUND(F3471,0))&lt;0.001,1,0)</f>
        <v/>
      </c>
      <c r="H3471">
        <f>IF(G3471=1,F3471,CEILING(F3471,1))</f>
        <v/>
      </c>
      <c r="I3471">
        <f>IF(G3471=1,0,(H3471-F3471)*E3471)</f>
        <v/>
      </c>
      <c r="J3471">
        <f>E3471*F3471</f>
        <v/>
      </c>
    </row>
    <row r="3472">
      <c r="A3472">
        <f>Sources!A3472</f>
        <v/>
      </c>
      <c r="B3472">
        <f>Sources!B3472</f>
        <v/>
      </c>
      <c r="C3472">
        <f>Sources!D3472</f>
        <v/>
      </c>
      <c r="D3472">
        <f>Sources!E3472</f>
        <v/>
      </c>
      <c r="E3472">
        <f>Sources!F3472</f>
        <v/>
      </c>
      <c r="F3472">
        <f>Sources!H3472</f>
        <v/>
      </c>
      <c r="G3472">
        <f>IF(ABS(F3472-ROUND(F3472,0))&lt;0.001,1,0)</f>
        <v/>
      </c>
      <c r="H3472">
        <f>IF(G3472=1,F3472,CEILING(F3472,1))</f>
        <v/>
      </c>
      <c r="I3472">
        <f>IF(G3472=1,0,(H3472-F3472)*E3472)</f>
        <v/>
      </c>
      <c r="J3472">
        <f>E3472*F3472</f>
        <v/>
      </c>
    </row>
    <row r="3473">
      <c r="A3473">
        <f>Sources!A3473</f>
        <v/>
      </c>
      <c r="B3473">
        <f>Sources!B3473</f>
        <v/>
      </c>
      <c r="C3473">
        <f>Sources!D3473</f>
        <v/>
      </c>
      <c r="D3473">
        <f>Sources!E3473</f>
        <v/>
      </c>
      <c r="E3473">
        <f>Sources!F3473</f>
        <v/>
      </c>
      <c r="F3473">
        <f>Sources!H3473</f>
        <v/>
      </c>
      <c r="G3473">
        <f>IF(ABS(F3473-ROUND(F3473,0))&lt;0.001,1,0)</f>
        <v/>
      </c>
      <c r="H3473">
        <f>IF(G3473=1,F3473,CEILING(F3473,1))</f>
        <v/>
      </c>
      <c r="I3473">
        <f>IF(G3473=1,0,(H3473-F3473)*E3473)</f>
        <v/>
      </c>
      <c r="J3473">
        <f>E3473*F3473</f>
        <v/>
      </c>
    </row>
    <row r="3474">
      <c r="A3474">
        <f>Sources!A3474</f>
        <v/>
      </c>
      <c r="B3474">
        <f>Sources!B3474</f>
        <v/>
      </c>
      <c r="C3474">
        <f>Sources!D3474</f>
        <v/>
      </c>
      <c r="D3474">
        <f>Sources!E3474</f>
        <v/>
      </c>
      <c r="E3474">
        <f>Sources!F3474</f>
        <v/>
      </c>
      <c r="F3474">
        <f>Sources!H3474</f>
        <v/>
      </c>
      <c r="G3474">
        <f>IF(ABS(F3474-ROUND(F3474,0))&lt;0.001,1,0)</f>
        <v/>
      </c>
      <c r="H3474">
        <f>IF(G3474=1,F3474,CEILING(F3474,1))</f>
        <v/>
      </c>
      <c r="I3474">
        <f>IF(G3474=1,0,(H3474-F3474)*E3474)</f>
        <v/>
      </c>
      <c r="J3474">
        <f>E3474*F3474</f>
        <v/>
      </c>
    </row>
    <row r="3475">
      <c r="A3475">
        <f>Sources!A3475</f>
        <v/>
      </c>
      <c r="B3475">
        <f>Sources!B3475</f>
        <v/>
      </c>
      <c r="C3475">
        <f>Sources!D3475</f>
        <v/>
      </c>
      <c r="D3475">
        <f>Sources!E3475</f>
        <v/>
      </c>
      <c r="E3475">
        <f>Sources!F3475</f>
        <v/>
      </c>
      <c r="F3475">
        <f>Sources!H3475</f>
        <v/>
      </c>
      <c r="G3475">
        <f>IF(ABS(F3475-ROUND(F3475,0))&lt;0.001,1,0)</f>
        <v/>
      </c>
      <c r="H3475">
        <f>IF(G3475=1,F3475,CEILING(F3475,1))</f>
        <v/>
      </c>
      <c r="I3475">
        <f>IF(G3475=1,0,(H3475-F3475)*E3475)</f>
        <v/>
      </c>
      <c r="J3475">
        <f>E3475*F3475</f>
        <v/>
      </c>
    </row>
    <row r="3476">
      <c r="A3476">
        <f>Sources!A3476</f>
        <v/>
      </c>
      <c r="B3476">
        <f>Sources!B3476</f>
        <v/>
      </c>
      <c r="C3476">
        <f>Sources!D3476</f>
        <v/>
      </c>
      <c r="D3476">
        <f>Sources!E3476</f>
        <v/>
      </c>
      <c r="E3476">
        <f>Sources!F3476</f>
        <v/>
      </c>
      <c r="F3476">
        <f>Sources!H3476</f>
        <v/>
      </c>
      <c r="G3476">
        <f>IF(ABS(F3476-ROUND(F3476,0))&lt;0.001,1,0)</f>
        <v/>
      </c>
      <c r="H3476">
        <f>IF(G3476=1,F3476,CEILING(F3476,1))</f>
        <v/>
      </c>
      <c r="I3476">
        <f>IF(G3476=1,0,(H3476-F3476)*E3476)</f>
        <v/>
      </c>
      <c r="J3476">
        <f>E3476*F3476</f>
        <v/>
      </c>
    </row>
    <row r="3477">
      <c r="A3477">
        <f>Sources!A3477</f>
        <v/>
      </c>
      <c r="B3477">
        <f>Sources!B3477</f>
        <v/>
      </c>
      <c r="C3477">
        <f>Sources!D3477</f>
        <v/>
      </c>
      <c r="D3477">
        <f>Sources!E3477</f>
        <v/>
      </c>
      <c r="E3477">
        <f>Sources!F3477</f>
        <v/>
      </c>
      <c r="F3477">
        <f>Sources!H3477</f>
        <v/>
      </c>
      <c r="G3477">
        <f>IF(ABS(F3477-ROUND(F3477,0))&lt;0.001,1,0)</f>
        <v/>
      </c>
      <c r="H3477">
        <f>IF(G3477=1,F3477,CEILING(F3477,1))</f>
        <v/>
      </c>
      <c r="I3477">
        <f>IF(G3477=1,0,(H3477-F3477)*E3477)</f>
        <v/>
      </c>
      <c r="J3477">
        <f>E3477*F3477</f>
        <v/>
      </c>
    </row>
    <row r="3478">
      <c r="A3478">
        <f>Sources!A3478</f>
        <v/>
      </c>
      <c r="B3478">
        <f>Sources!B3478</f>
        <v/>
      </c>
      <c r="C3478">
        <f>Sources!D3478</f>
        <v/>
      </c>
      <c r="D3478">
        <f>Sources!E3478</f>
        <v/>
      </c>
      <c r="E3478">
        <f>Sources!F3478</f>
        <v/>
      </c>
      <c r="F3478">
        <f>Sources!H3478</f>
        <v/>
      </c>
      <c r="G3478">
        <f>IF(ABS(F3478-ROUND(F3478,0))&lt;0.001,1,0)</f>
        <v/>
      </c>
      <c r="H3478">
        <f>IF(G3478=1,F3478,CEILING(F3478,1))</f>
        <v/>
      </c>
      <c r="I3478">
        <f>IF(G3478=1,0,(H3478-F3478)*E3478)</f>
        <v/>
      </c>
      <c r="J3478">
        <f>E3478*F3478</f>
        <v/>
      </c>
    </row>
    <row r="3479">
      <c r="A3479">
        <f>Sources!A3479</f>
        <v/>
      </c>
      <c r="B3479">
        <f>Sources!B3479</f>
        <v/>
      </c>
      <c r="C3479">
        <f>Sources!D3479</f>
        <v/>
      </c>
      <c r="D3479">
        <f>Sources!E3479</f>
        <v/>
      </c>
      <c r="E3479">
        <f>Sources!F3479</f>
        <v/>
      </c>
      <c r="F3479">
        <f>Sources!H3479</f>
        <v/>
      </c>
      <c r="G3479">
        <f>IF(ABS(F3479-ROUND(F3479,0))&lt;0.001,1,0)</f>
        <v/>
      </c>
      <c r="H3479">
        <f>IF(G3479=1,F3479,CEILING(F3479,1))</f>
        <v/>
      </c>
      <c r="I3479">
        <f>IF(G3479=1,0,(H3479-F3479)*E3479)</f>
        <v/>
      </c>
      <c r="J3479">
        <f>E3479*F3479</f>
        <v/>
      </c>
    </row>
    <row r="3480">
      <c r="A3480">
        <f>Sources!A3480</f>
        <v/>
      </c>
      <c r="B3480">
        <f>Sources!B3480</f>
        <v/>
      </c>
      <c r="C3480">
        <f>Sources!D3480</f>
        <v/>
      </c>
      <c r="D3480">
        <f>Sources!E3480</f>
        <v/>
      </c>
      <c r="E3480">
        <f>Sources!F3480</f>
        <v/>
      </c>
      <c r="F3480">
        <f>Sources!H3480</f>
        <v/>
      </c>
      <c r="G3480">
        <f>IF(ABS(F3480-ROUND(F3480,0))&lt;0.001,1,0)</f>
        <v/>
      </c>
      <c r="H3480">
        <f>IF(G3480=1,F3480,CEILING(F3480,1))</f>
        <v/>
      </c>
      <c r="I3480">
        <f>IF(G3480=1,0,(H3480-F3480)*E3480)</f>
        <v/>
      </c>
      <c r="J3480">
        <f>E3480*F3480</f>
        <v/>
      </c>
    </row>
    <row r="3481">
      <c r="A3481">
        <f>Sources!A3481</f>
        <v/>
      </c>
      <c r="B3481">
        <f>Sources!B3481</f>
        <v/>
      </c>
      <c r="C3481">
        <f>Sources!D3481</f>
        <v/>
      </c>
      <c r="D3481">
        <f>Sources!E3481</f>
        <v/>
      </c>
      <c r="E3481">
        <f>Sources!F3481</f>
        <v/>
      </c>
      <c r="F3481">
        <f>Sources!H3481</f>
        <v/>
      </c>
      <c r="G3481">
        <f>IF(ABS(F3481-ROUND(F3481,0))&lt;0.001,1,0)</f>
        <v/>
      </c>
      <c r="H3481">
        <f>IF(G3481=1,F3481,CEILING(F3481,1))</f>
        <v/>
      </c>
      <c r="I3481">
        <f>IF(G3481=1,0,(H3481-F3481)*E3481)</f>
        <v/>
      </c>
      <c r="J3481">
        <f>E3481*F3481</f>
        <v/>
      </c>
    </row>
    <row r="3482">
      <c r="A3482">
        <f>Sources!A3482</f>
        <v/>
      </c>
      <c r="B3482">
        <f>Sources!B3482</f>
        <v/>
      </c>
      <c r="C3482">
        <f>Sources!D3482</f>
        <v/>
      </c>
      <c r="D3482">
        <f>Sources!E3482</f>
        <v/>
      </c>
      <c r="E3482">
        <f>Sources!F3482</f>
        <v/>
      </c>
      <c r="F3482">
        <f>Sources!H3482</f>
        <v/>
      </c>
      <c r="G3482">
        <f>IF(ABS(F3482-ROUND(F3482,0))&lt;0.001,1,0)</f>
        <v/>
      </c>
      <c r="H3482">
        <f>IF(G3482=1,F3482,CEILING(F3482,1))</f>
        <v/>
      </c>
      <c r="I3482">
        <f>IF(G3482=1,0,(H3482-F3482)*E3482)</f>
        <v/>
      </c>
      <c r="J3482">
        <f>E3482*F3482</f>
        <v/>
      </c>
    </row>
    <row r="3483">
      <c r="A3483">
        <f>Sources!A3483</f>
        <v/>
      </c>
      <c r="B3483">
        <f>Sources!B3483</f>
        <v/>
      </c>
      <c r="C3483">
        <f>Sources!D3483</f>
        <v/>
      </c>
      <c r="D3483">
        <f>Sources!E3483</f>
        <v/>
      </c>
      <c r="E3483">
        <f>Sources!F3483</f>
        <v/>
      </c>
      <c r="F3483">
        <f>Sources!H3483</f>
        <v/>
      </c>
      <c r="G3483">
        <f>IF(ABS(F3483-ROUND(F3483,0))&lt;0.001,1,0)</f>
        <v/>
      </c>
      <c r="H3483">
        <f>IF(G3483=1,F3483,CEILING(F3483,1))</f>
        <v/>
      </c>
      <c r="I3483">
        <f>IF(G3483=1,0,(H3483-F3483)*E3483)</f>
        <v/>
      </c>
      <c r="J3483">
        <f>E3483*F3483</f>
        <v/>
      </c>
    </row>
    <row r="3484">
      <c r="A3484">
        <f>Sources!A3484</f>
        <v/>
      </c>
      <c r="B3484">
        <f>Sources!B3484</f>
        <v/>
      </c>
      <c r="C3484">
        <f>Sources!D3484</f>
        <v/>
      </c>
      <c r="D3484">
        <f>Sources!E3484</f>
        <v/>
      </c>
      <c r="E3484">
        <f>Sources!F3484</f>
        <v/>
      </c>
      <c r="F3484">
        <f>Sources!H3484</f>
        <v/>
      </c>
      <c r="G3484">
        <f>IF(ABS(F3484-ROUND(F3484,0))&lt;0.001,1,0)</f>
        <v/>
      </c>
      <c r="H3484">
        <f>IF(G3484=1,F3484,CEILING(F3484,1))</f>
        <v/>
      </c>
      <c r="I3484">
        <f>IF(G3484=1,0,(H3484-F3484)*E3484)</f>
        <v/>
      </c>
      <c r="J3484">
        <f>E3484*F3484</f>
        <v/>
      </c>
    </row>
    <row r="3485">
      <c r="A3485">
        <f>Sources!A3485</f>
        <v/>
      </c>
      <c r="B3485">
        <f>Sources!B3485</f>
        <v/>
      </c>
      <c r="C3485">
        <f>Sources!D3485</f>
        <v/>
      </c>
      <c r="D3485">
        <f>Sources!E3485</f>
        <v/>
      </c>
      <c r="E3485">
        <f>Sources!F3485</f>
        <v/>
      </c>
      <c r="F3485">
        <f>Sources!H3485</f>
        <v/>
      </c>
      <c r="G3485">
        <f>IF(ABS(F3485-ROUND(F3485,0))&lt;0.001,1,0)</f>
        <v/>
      </c>
      <c r="H3485">
        <f>IF(G3485=1,F3485,CEILING(F3485,1))</f>
        <v/>
      </c>
      <c r="I3485">
        <f>IF(G3485=1,0,(H3485-F3485)*E3485)</f>
        <v/>
      </c>
      <c r="J3485">
        <f>E3485*F3485</f>
        <v/>
      </c>
    </row>
    <row r="3486">
      <c r="A3486">
        <f>Sources!A3486</f>
        <v/>
      </c>
      <c r="B3486">
        <f>Sources!B3486</f>
        <v/>
      </c>
      <c r="C3486">
        <f>Sources!D3486</f>
        <v/>
      </c>
      <c r="D3486">
        <f>Sources!E3486</f>
        <v/>
      </c>
      <c r="E3486">
        <f>Sources!F3486</f>
        <v/>
      </c>
      <c r="F3486">
        <f>Sources!H3486</f>
        <v/>
      </c>
      <c r="G3486">
        <f>IF(ABS(F3486-ROUND(F3486,0))&lt;0.001,1,0)</f>
        <v/>
      </c>
      <c r="H3486">
        <f>IF(G3486=1,F3486,CEILING(F3486,1))</f>
        <v/>
      </c>
      <c r="I3486">
        <f>IF(G3486=1,0,(H3486-F3486)*E3486)</f>
        <v/>
      </c>
      <c r="J3486">
        <f>E3486*F3486</f>
        <v/>
      </c>
    </row>
    <row r="3487">
      <c r="A3487">
        <f>Sources!A3487</f>
        <v/>
      </c>
      <c r="B3487">
        <f>Sources!B3487</f>
        <v/>
      </c>
      <c r="C3487">
        <f>Sources!D3487</f>
        <v/>
      </c>
      <c r="D3487">
        <f>Sources!E3487</f>
        <v/>
      </c>
      <c r="E3487">
        <f>Sources!F3487</f>
        <v/>
      </c>
      <c r="F3487">
        <f>Sources!H3487</f>
        <v/>
      </c>
      <c r="G3487">
        <f>IF(ABS(F3487-ROUND(F3487,0))&lt;0.001,1,0)</f>
        <v/>
      </c>
      <c r="H3487">
        <f>IF(G3487=1,F3487,CEILING(F3487,1))</f>
        <v/>
      </c>
      <c r="I3487">
        <f>IF(G3487=1,0,(H3487-F3487)*E3487)</f>
        <v/>
      </c>
      <c r="J3487">
        <f>E3487*F3487</f>
        <v/>
      </c>
    </row>
    <row r="3488">
      <c r="A3488">
        <f>Sources!A3488</f>
        <v/>
      </c>
      <c r="B3488">
        <f>Sources!B3488</f>
        <v/>
      </c>
      <c r="C3488">
        <f>Sources!D3488</f>
        <v/>
      </c>
      <c r="D3488">
        <f>Sources!E3488</f>
        <v/>
      </c>
      <c r="E3488">
        <f>Sources!F3488</f>
        <v/>
      </c>
      <c r="F3488">
        <f>Sources!H3488</f>
        <v/>
      </c>
      <c r="G3488">
        <f>IF(ABS(F3488-ROUND(F3488,0))&lt;0.001,1,0)</f>
        <v/>
      </c>
      <c r="H3488">
        <f>IF(G3488=1,F3488,CEILING(F3488,1))</f>
        <v/>
      </c>
      <c r="I3488">
        <f>IF(G3488=1,0,(H3488-F3488)*E3488)</f>
        <v/>
      </c>
      <c r="J3488">
        <f>E3488*F3488</f>
        <v/>
      </c>
    </row>
    <row r="3489">
      <c r="A3489">
        <f>Sources!A3489</f>
        <v/>
      </c>
      <c r="B3489">
        <f>Sources!B3489</f>
        <v/>
      </c>
      <c r="C3489">
        <f>Sources!D3489</f>
        <v/>
      </c>
      <c r="D3489">
        <f>Sources!E3489</f>
        <v/>
      </c>
      <c r="E3489">
        <f>Sources!F3489</f>
        <v/>
      </c>
      <c r="F3489">
        <f>Sources!H3489</f>
        <v/>
      </c>
      <c r="G3489">
        <f>IF(ABS(F3489-ROUND(F3489,0))&lt;0.001,1,0)</f>
        <v/>
      </c>
      <c r="H3489">
        <f>IF(G3489=1,F3489,CEILING(F3489,1))</f>
        <v/>
      </c>
      <c r="I3489">
        <f>IF(G3489=1,0,(H3489-F3489)*E3489)</f>
        <v/>
      </c>
      <c r="J3489">
        <f>E3489*F3489</f>
        <v/>
      </c>
    </row>
    <row r="3490">
      <c r="A3490">
        <f>Sources!A3490</f>
        <v/>
      </c>
      <c r="B3490">
        <f>Sources!B3490</f>
        <v/>
      </c>
      <c r="C3490">
        <f>Sources!D3490</f>
        <v/>
      </c>
      <c r="D3490">
        <f>Sources!E3490</f>
        <v/>
      </c>
      <c r="E3490">
        <f>Sources!F3490</f>
        <v/>
      </c>
      <c r="F3490">
        <f>Sources!H3490</f>
        <v/>
      </c>
      <c r="G3490">
        <f>IF(ABS(F3490-ROUND(F3490,0))&lt;0.001,1,0)</f>
        <v/>
      </c>
      <c r="H3490">
        <f>IF(G3490=1,F3490,CEILING(F3490,1))</f>
        <v/>
      </c>
      <c r="I3490">
        <f>IF(G3490=1,0,(H3490-F3490)*E3490)</f>
        <v/>
      </c>
      <c r="J3490">
        <f>E3490*F3490</f>
        <v/>
      </c>
    </row>
    <row r="3491">
      <c r="A3491">
        <f>Sources!A3491</f>
        <v/>
      </c>
      <c r="B3491">
        <f>Sources!B3491</f>
        <v/>
      </c>
      <c r="C3491">
        <f>Sources!D3491</f>
        <v/>
      </c>
      <c r="D3491">
        <f>Sources!E3491</f>
        <v/>
      </c>
      <c r="E3491">
        <f>Sources!F3491</f>
        <v/>
      </c>
      <c r="F3491">
        <f>Sources!H3491</f>
        <v/>
      </c>
      <c r="G3491">
        <f>IF(ABS(F3491-ROUND(F3491,0))&lt;0.001,1,0)</f>
        <v/>
      </c>
      <c r="H3491">
        <f>IF(G3491=1,F3491,CEILING(F3491,1))</f>
        <v/>
      </c>
      <c r="I3491">
        <f>IF(G3491=1,0,(H3491-F3491)*E3491)</f>
        <v/>
      </c>
      <c r="J3491">
        <f>E3491*F3491</f>
        <v/>
      </c>
    </row>
    <row r="3492">
      <c r="A3492">
        <f>Sources!A3492</f>
        <v/>
      </c>
      <c r="B3492">
        <f>Sources!B3492</f>
        <v/>
      </c>
      <c r="C3492">
        <f>Sources!D3492</f>
        <v/>
      </c>
      <c r="D3492">
        <f>Sources!E3492</f>
        <v/>
      </c>
      <c r="E3492">
        <f>Sources!F3492</f>
        <v/>
      </c>
      <c r="F3492">
        <f>Sources!H3492</f>
        <v/>
      </c>
      <c r="G3492">
        <f>IF(ABS(F3492-ROUND(F3492,0))&lt;0.001,1,0)</f>
        <v/>
      </c>
      <c r="H3492">
        <f>IF(G3492=1,F3492,CEILING(F3492,1))</f>
        <v/>
      </c>
      <c r="I3492">
        <f>IF(G3492=1,0,(H3492-F3492)*E3492)</f>
        <v/>
      </c>
      <c r="J3492">
        <f>E3492*F3492</f>
        <v/>
      </c>
    </row>
    <row r="3493">
      <c r="A3493">
        <f>Sources!A3493</f>
        <v/>
      </c>
      <c r="B3493">
        <f>Sources!B3493</f>
        <v/>
      </c>
      <c r="C3493">
        <f>Sources!D3493</f>
        <v/>
      </c>
      <c r="D3493">
        <f>Sources!E3493</f>
        <v/>
      </c>
      <c r="E3493">
        <f>Sources!F3493</f>
        <v/>
      </c>
      <c r="F3493">
        <f>Sources!H3493</f>
        <v/>
      </c>
      <c r="G3493">
        <f>IF(ABS(F3493-ROUND(F3493,0))&lt;0.001,1,0)</f>
        <v/>
      </c>
      <c r="H3493">
        <f>IF(G3493=1,F3493,CEILING(F3493,1))</f>
        <v/>
      </c>
      <c r="I3493">
        <f>IF(G3493=1,0,(H3493-F3493)*E3493)</f>
        <v/>
      </c>
      <c r="J3493">
        <f>E3493*F3493</f>
        <v/>
      </c>
    </row>
    <row r="3494">
      <c r="A3494">
        <f>Sources!A3494</f>
        <v/>
      </c>
      <c r="B3494">
        <f>Sources!B3494</f>
        <v/>
      </c>
      <c r="C3494">
        <f>Sources!D3494</f>
        <v/>
      </c>
      <c r="D3494">
        <f>Sources!E3494</f>
        <v/>
      </c>
      <c r="E3494">
        <f>Sources!F3494</f>
        <v/>
      </c>
      <c r="F3494">
        <f>Sources!H3494</f>
        <v/>
      </c>
      <c r="G3494">
        <f>IF(ABS(F3494-ROUND(F3494,0))&lt;0.001,1,0)</f>
        <v/>
      </c>
      <c r="H3494">
        <f>IF(G3494=1,F3494,CEILING(F3494,1))</f>
        <v/>
      </c>
      <c r="I3494">
        <f>IF(G3494=1,0,(H3494-F3494)*E3494)</f>
        <v/>
      </c>
      <c r="J3494">
        <f>E3494*F3494</f>
        <v/>
      </c>
    </row>
    <row r="3495">
      <c r="A3495">
        <f>Sources!A3495</f>
        <v/>
      </c>
      <c r="B3495">
        <f>Sources!B3495</f>
        <v/>
      </c>
      <c r="C3495">
        <f>Sources!D3495</f>
        <v/>
      </c>
      <c r="D3495">
        <f>Sources!E3495</f>
        <v/>
      </c>
      <c r="E3495">
        <f>Sources!F3495</f>
        <v/>
      </c>
      <c r="F3495">
        <f>Sources!H3495</f>
        <v/>
      </c>
      <c r="G3495">
        <f>IF(ABS(F3495-ROUND(F3495,0))&lt;0.001,1,0)</f>
        <v/>
      </c>
      <c r="H3495">
        <f>IF(G3495=1,F3495,CEILING(F3495,1))</f>
        <v/>
      </c>
      <c r="I3495">
        <f>IF(G3495=1,0,(H3495-F3495)*E3495)</f>
        <v/>
      </c>
      <c r="J3495">
        <f>E3495*F3495</f>
        <v/>
      </c>
    </row>
    <row r="3496">
      <c r="A3496">
        <f>Sources!A3496</f>
        <v/>
      </c>
      <c r="B3496">
        <f>Sources!B3496</f>
        <v/>
      </c>
      <c r="C3496">
        <f>Sources!D3496</f>
        <v/>
      </c>
      <c r="D3496">
        <f>Sources!E3496</f>
        <v/>
      </c>
      <c r="E3496">
        <f>Sources!F3496</f>
        <v/>
      </c>
      <c r="F3496">
        <f>Sources!H3496</f>
        <v/>
      </c>
      <c r="G3496">
        <f>IF(ABS(F3496-ROUND(F3496,0))&lt;0.001,1,0)</f>
        <v/>
      </c>
      <c r="H3496">
        <f>IF(G3496=1,F3496,CEILING(F3496,1))</f>
        <v/>
      </c>
      <c r="I3496">
        <f>IF(G3496=1,0,(H3496-F3496)*E3496)</f>
        <v/>
      </c>
      <c r="J3496">
        <f>E3496*F3496</f>
        <v/>
      </c>
    </row>
    <row r="3497">
      <c r="A3497">
        <f>Sources!A3497</f>
        <v/>
      </c>
      <c r="B3497">
        <f>Sources!B3497</f>
        <v/>
      </c>
      <c r="C3497">
        <f>Sources!D3497</f>
        <v/>
      </c>
      <c r="D3497">
        <f>Sources!E3497</f>
        <v/>
      </c>
      <c r="E3497">
        <f>Sources!F3497</f>
        <v/>
      </c>
      <c r="F3497">
        <f>Sources!H3497</f>
        <v/>
      </c>
      <c r="G3497">
        <f>IF(ABS(F3497-ROUND(F3497,0))&lt;0.001,1,0)</f>
        <v/>
      </c>
      <c r="H3497">
        <f>IF(G3497=1,F3497,CEILING(F3497,1))</f>
        <v/>
      </c>
      <c r="I3497">
        <f>IF(G3497=1,0,(H3497-F3497)*E3497)</f>
        <v/>
      </c>
      <c r="J3497">
        <f>E3497*F3497</f>
        <v/>
      </c>
    </row>
    <row r="3498">
      <c r="A3498">
        <f>Sources!A3498</f>
        <v/>
      </c>
      <c r="B3498">
        <f>Sources!B3498</f>
        <v/>
      </c>
      <c r="C3498">
        <f>Sources!D3498</f>
        <v/>
      </c>
      <c r="D3498">
        <f>Sources!E3498</f>
        <v/>
      </c>
      <c r="E3498">
        <f>Sources!F3498</f>
        <v/>
      </c>
      <c r="F3498">
        <f>Sources!H3498</f>
        <v/>
      </c>
      <c r="G3498">
        <f>IF(ABS(F3498-ROUND(F3498,0))&lt;0.001,1,0)</f>
        <v/>
      </c>
      <c r="H3498">
        <f>IF(G3498=1,F3498,CEILING(F3498,1))</f>
        <v/>
      </c>
      <c r="I3498">
        <f>IF(G3498=1,0,(H3498-F3498)*E3498)</f>
        <v/>
      </c>
      <c r="J3498">
        <f>E3498*F3498</f>
        <v/>
      </c>
    </row>
    <row r="3499">
      <c r="A3499">
        <f>Sources!A3499</f>
        <v/>
      </c>
      <c r="B3499">
        <f>Sources!B3499</f>
        <v/>
      </c>
      <c r="C3499">
        <f>Sources!D3499</f>
        <v/>
      </c>
      <c r="D3499">
        <f>Sources!E3499</f>
        <v/>
      </c>
      <c r="E3499">
        <f>Sources!F3499</f>
        <v/>
      </c>
      <c r="F3499">
        <f>Sources!H3499</f>
        <v/>
      </c>
      <c r="G3499">
        <f>IF(ABS(F3499-ROUND(F3499,0))&lt;0.001,1,0)</f>
        <v/>
      </c>
      <c r="H3499">
        <f>IF(G3499=1,F3499,CEILING(F3499,1))</f>
        <v/>
      </c>
      <c r="I3499">
        <f>IF(G3499=1,0,(H3499-F3499)*E3499)</f>
        <v/>
      </c>
      <c r="J3499">
        <f>E3499*F3499</f>
        <v/>
      </c>
    </row>
    <row r="3500">
      <c r="A3500">
        <f>Sources!A3500</f>
        <v/>
      </c>
      <c r="B3500">
        <f>Sources!B3500</f>
        <v/>
      </c>
      <c r="C3500">
        <f>Sources!D3500</f>
        <v/>
      </c>
      <c r="D3500">
        <f>Sources!E3500</f>
        <v/>
      </c>
      <c r="E3500">
        <f>Sources!F3500</f>
        <v/>
      </c>
      <c r="F3500">
        <f>Sources!H3500</f>
        <v/>
      </c>
      <c r="G3500">
        <f>IF(ABS(F3500-ROUND(F3500,0))&lt;0.001,1,0)</f>
        <v/>
      </c>
      <c r="H3500">
        <f>IF(G3500=1,F3500,CEILING(F3500,1))</f>
        <v/>
      </c>
      <c r="I3500">
        <f>IF(G3500=1,0,(H3500-F3500)*E3500)</f>
        <v/>
      </c>
      <c r="J3500">
        <f>E3500*F3500</f>
        <v/>
      </c>
    </row>
    <row r="3501">
      <c r="A3501">
        <f>Sources!A3501</f>
        <v/>
      </c>
      <c r="B3501">
        <f>Sources!B3501</f>
        <v/>
      </c>
      <c r="C3501">
        <f>Sources!D3501</f>
        <v/>
      </c>
      <c r="D3501">
        <f>Sources!E3501</f>
        <v/>
      </c>
      <c r="E3501">
        <f>Sources!F3501</f>
        <v/>
      </c>
      <c r="F3501">
        <f>Sources!H3501</f>
        <v/>
      </c>
      <c r="G3501">
        <f>IF(ABS(F3501-ROUND(F3501,0))&lt;0.001,1,0)</f>
        <v/>
      </c>
      <c r="H3501">
        <f>IF(G3501=1,F3501,CEILING(F3501,1))</f>
        <v/>
      </c>
      <c r="I3501">
        <f>IF(G3501=1,0,(H3501-F3501)*E3501)</f>
        <v/>
      </c>
      <c r="J3501">
        <f>E3501*F3501</f>
        <v/>
      </c>
    </row>
    <row r="3502">
      <c r="A3502">
        <f>Sources!A3502</f>
        <v/>
      </c>
      <c r="B3502">
        <f>Sources!B3502</f>
        <v/>
      </c>
      <c r="C3502">
        <f>Sources!D3502</f>
        <v/>
      </c>
      <c r="D3502">
        <f>Sources!E3502</f>
        <v/>
      </c>
      <c r="E3502">
        <f>Sources!F3502</f>
        <v/>
      </c>
      <c r="F3502">
        <f>Sources!H3502</f>
        <v/>
      </c>
      <c r="G3502">
        <f>IF(ABS(F3502-ROUND(F3502,0))&lt;0.001,1,0)</f>
        <v/>
      </c>
      <c r="H3502">
        <f>IF(G3502=1,F3502,CEILING(F3502,1))</f>
        <v/>
      </c>
      <c r="I3502">
        <f>IF(G3502=1,0,(H3502-F3502)*E3502)</f>
        <v/>
      </c>
      <c r="J3502">
        <f>E3502*F3502</f>
        <v/>
      </c>
    </row>
    <row r="3503">
      <c r="A3503">
        <f>Sources!A3503</f>
        <v/>
      </c>
      <c r="B3503">
        <f>Sources!B3503</f>
        <v/>
      </c>
      <c r="C3503">
        <f>Sources!D3503</f>
        <v/>
      </c>
      <c r="D3503">
        <f>Sources!E3503</f>
        <v/>
      </c>
      <c r="E3503">
        <f>Sources!F3503</f>
        <v/>
      </c>
      <c r="F3503">
        <f>Sources!H3503</f>
        <v/>
      </c>
      <c r="G3503">
        <f>IF(ABS(F3503-ROUND(F3503,0))&lt;0.001,1,0)</f>
        <v/>
      </c>
      <c r="H3503">
        <f>IF(G3503=1,F3503,CEILING(F3503,1))</f>
        <v/>
      </c>
      <c r="I3503">
        <f>IF(G3503=1,0,(H3503-F3503)*E3503)</f>
        <v/>
      </c>
      <c r="J3503">
        <f>E3503*F3503</f>
        <v/>
      </c>
    </row>
    <row r="3504">
      <c r="A3504">
        <f>Sources!A3504</f>
        <v/>
      </c>
      <c r="B3504">
        <f>Sources!B3504</f>
        <v/>
      </c>
      <c r="C3504">
        <f>Sources!D3504</f>
        <v/>
      </c>
      <c r="D3504">
        <f>Sources!E3504</f>
        <v/>
      </c>
      <c r="E3504">
        <f>Sources!F3504</f>
        <v/>
      </c>
      <c r="F3504">
        <f>Sources!H3504</f>
        <v/>
      </c>
      <c r="G3504">
        <f>IF(ABS(F3504-ROUND(F3504,0))&lt;0.001,1,0)</f>
        <v/>
      </c>
      <c r="H3504">
        <f>IF(G3504=1,F3504,CEILING(F3504,1))</f>
        <v/>
      </c>
      <c r="I3504">
        <f>IF(G3504=1,0,(H3504-F3504)*E3504)</f>
        <v/>
      </c>
      <c r="J3504">
        <f>E3504*F3504</f>
        <v/>
      </c>
    </row>
    <row r="3505">
      <c r="A3505">
        <f>Sources!A3505</f>
        <v/>
      </c>
      <c r="B3505">
        <f>Sources!B3505</f>
        <v/>
      </c>
      <c r="C3505">
        <f>Sources!D3505</f>
        <v/>
      </c>
      <c r="D3505">
        <f>Sources!E3505</f>
        <v/>
      </c>
      <c r="E3505">
        <f>Sources!F3505</f>
        <v/>
      </c>
      <c r="F3505">
        <f>Sources!H3505</f>
        <v/>
      </c>
      <c r="G3505">
        <f>IF(ABS(F3505-ROUND(F3505,0))&lt;0.001,1,0)</f>
        <v/>
      </c>
      <c r="H3505">
        <f>IF(G3505=1,F3505,CEILING(F3505,1))</f>
        <v/>
      </c>
      <c r="I3505">
        <f>IF(G3505=1,0,(H3505-F3505)*E3505)</f>
        <v/>
      </c>
      <c r="J3505">
        <f>E3505*F3505</f>
        <v/>
      </c>
    </row>
    <row r="3506">
      <c r="A3506">
        <f>Sources!A3506</f>
        <v/>
      </c>
      <c r="B3506">
        <f>Sources!B3506</f>
        <v/>
      </c>
      <c r="C3506">
        <f>Sources!D3506</f>
        <v/>
      </c>
      <c r="D3506">
        <f>Sources!E3506</f>
        <v/>
      </c>
      <c r="E3506">
        <f>Sources!F3506</f>
        <v/>
      </c>
      <c r="F3506">
        <f>Sources!H3506</f>
        <v/>
      </c>
      <c r="G3506">
        <f>IF(ABS(F3506-ROUND(F3506,0))&lt;0.001,1,0)</f>
        <v/>
      </c>
      <c r="H3506">
        <f>IF(G3506=1,F3506,CEILING(F3506,1))</f>
        <v/>
      </c>
      <c r="I3506">
        <f>IF(G3506=1,0,(H3506-F3506)*E3506)</f>
        <v/>
      </c>
      <c r="J3506">
        <f>E3506*F3506</f>
        <v/>
      </c>
    </row>
    <row r="3507">
      <c r="A3507">
        <f>Sources!A3507</f>
        <v/>
      </c>
      <c r="B3507">
        <f>Sources!B3507</f>
        <v/>
      </c>
      <c r="C3507">
        <f>Sources!D3507</f>
        <v/>
      </c>
      <c r="D3507">
        <f>Sources!E3507</f>
        <v/>
      </c>
      <c r="E3507">
        <f>Sources!F3507</f>
        <v/>
      </c>
      <c r="F3507">
        <f>Sources!H3507</f>
        <v/>
      </c>
      <c r="G3507">
        <f>IF(ABS(F3507-ROUND(F3507,0))&lt;0.001,1,0)</f>
        <v/>
      </c>
      <c r="H3507">
        <f>IF(G3507=1,F3507,CEILING(F3507,1))</f>
        <v/>
      </c>
      <c r="I3507">
        <f>IF(G3507=1,0,(H3507-F3507)*E3507)</f>
        <v/>
      </c>
      <c r="J3507">
        <f>E3507*F3507</f>
        <v/>
      </c>
    </row>
    <row r="3508">
      <c r="A3508">
        <f>Sources!A3508</f>
        <v/>
      </c>
      <c r="B3508">
        <f>Sources!B3508</f>
        <v/>
      </c>
      <c r="C3508">
        <f>Sources!D3508</f>
        <v/>
      </c>
      <c r="D3508">
        <f>Sources!E3508</f>
        <v/>
      </c>
      <c r="E3508">
        <f>Sources!F3508</f>
        <v/>
      </c>
      <c r="F3508">
        <f>Sources!H3508</f>
        <v/>
      </c>
      <c r="G3508">
        <f>IF(ABS(F3508-ROUND(F3508,0))&lt;0.001,1,0)</f>
        <v/>
      </c>
      <c r="H3508">
        <f>IF(G3508=1,F3508,CEILING(F3508,1))</f>
        <v/>
      </c>
      <c r="I3508">
        <f>IF(G3508=1,0,(H3508-F3508)*E3508)</f>
        <v/>
      </c>
      <c r="J3508">
        <f>E3508*F3508</f>
        <v/>
      </c>
    </row>
    <row r="3509">
      <c r="A3509">
        <f>Sources!A3509</f>
        <v/>
      </c>
      <c r="B3509">
        <f>Sources!B3509</f>
        <v/>
      </c>
      <c r="C3509">
        <f>Sources!D3509</f>
        <v/>
      </c>
      <c r="D3509">
        <f>Sources!E3509</f>
        <v/>
      </c>
      <c r="E3509">
        <f>Sources!F3509</f>
        <v/>
      </c>
      <c r="F3509">
        <f>Sources!H3509</f>
        <v/>
      </c>
      <c r="G3509">
        <f>IF(ABS(F3509-ROUND(F3509,0))&lt;0.001,1,0)</f>
        <v/>
      </c>
      <c r="H3509">
        <f>IF(G3509=1,F3509,CEILING(F3509,1))</f>
        <v/>
      </c>
      <c r="I3509">
        <f>IF(G3509=1,0,(H3509-F3509)*E3509)</f>
        <v/>
      </c>
      <c r="J3509">
        <f>E3509*F3509</f>
        <v/>
      </c>
    </row>
    <row r="3510">
      <c r="A3510">
        <f>Sources!A3510</f>
        <v/>
      </c>
      <c r="B3510">
        <f>Sources!B3510</f>
        <v/>
      </c>
      <c r="C3510">
        <f>Sources!D3510</f>
        <v/>
      </c>
      <c r="D3510">
        <f>Sources!E3510</f>
        <v/>
      </c>
      <c r="E3510">
        <f>Sources!F3510</f>
        <v/>
      </c>
      <c r="F3510">
        <f>Sources!H3510</f>
        <v/>
      </c>
      <c r="G3510">
        <f>IF(ABS(F3510-ROUND(F3510,0))&lt;0.001,1,0)</f>
        <v/>
      </c>
      <c r="H3510">
        <f>IF(G3510=1,F3510,CEILING(F3510,1))</f>
        <v/>
      </c>
      <c r="I3510">
        <f>IF(G3510=1,0,(H3510-F3510)*E3510)</f>
        <v/>
      </c>
      <c r="J3510">
        <f>E3510*F3510</f>
        <v/>
      </c>
    </row>
    <row r="3511">
      <c r="A3511">
        <f>Sources!A3511</f>
        <v/>
      </c>
      <c r="B3511">
        <f>Sources!B3511</f>
        <v/>
      </c>
      <c r="C3511">
        <f>Sources!D3511</f>
        <v/>
      </c>
      <c r="D3511">
        <f>Sources!E3511</f>
        <v/>
      </c>
      <c r="E3511">
        <f>Sources!F3511</f>
        <v/>
      </c>
      <c r="F3511">
        <f>Sources!H3511</f>
        <v/>
      </c>
      <c r="G3511">
        <f>IF(ABS(F3511-ROUND(F3511,0))&lt;0.001,1,0)</f>
        <v/>
      </c>
      <c r="H3511">
        <f>IF(G3511=1,F3511,CEILING(F3511,1))</f>
        <v/>
      </c>
      <c r="I3511">
        <f>IF(G3511=1,0,(H3511-F3511)*E3511)</f>
        <v/>
      </c>
      <c r="J3511">
        <f>E3511*F3511</f>
        <v/>
      </c>
    </row>
    <row r="3512">
      <c r="A3512">
        <f>Sources!A3512</f>
        <v/>
      </c>
      <c r="B3512">
        <f>Sources!B3512</f>
        <v/>
      </c>
      <c r="C3512">
        <f>Sources!D3512</f>
        <v/>
      </c>
      <c r="D3512">
        <f>Sources!E3512</f>
        <v/>
      </c>
      <c r="E3512">
        <f>Sources!F3512</f>
        <v/>
      </c>
      <c r="F3512">
        <f>Sources!H3512</f>
        <v/>
      </c>
      <c r="G3512">
        <f>IF(ABS(F3512-ROUND(F3512,0))&lt;0.001,1,0)</f>
        <v/>
      </c>
      <c r="H3512">
        <f>IF(G3512=1,F3512,CEILING(F3512,1))</f>
        <v/>
      </c>
      <c r="I3512">
        <f>IF(G3512=1,0,(H3512-F3512)*E3512)</f>
        <v/>
      </c>
      <c r="J3512">
        <f>E3512*F3512</f>
        <v/>
      </c>
    </row>
    <row r="3513">
      <c r="A3513">
        <f>Sources!A3513</f>
        <v/>
      </c>
      <c r="B3513">
        <f>Sources!B3513</f>
        <v/>
      </c>
      <c r="C3513">
        <f>Sources!D3513</f>
        <v/>
      </c>
      <c r="D3513">
        <f>Sources!E3513</f>
        <v/>
      </c>
      <c r="E3513">
        <f>Sources!F3513</f>
        <v/>
      </c>
      <c r="F3513">
        <f>Sources!H3513</f>
        <v/>
      </c>
      <c r="G3513">
        <f>IF(ABS(F3513-ROUND(F3513,0))&lt;0.001,1,0)</f>
        <v/>
      </c>
      <c r="H3513">
        <f>IF(G3513=1,F3513,CEILING(F3513,1))</f>
        <v/>
      </c>
      <c r="I3513">
        <f>IF(G3513=1,0,(H3513-F3513)*E3513)</f>
        <v/>
      </c>
      <c r="J3513">
        <f>E3513*F3513</f>
        <v/>
      </c>
    </row>
    <row r="3514">
      <c r="A3514">
        <f>Sources!A3514</f>
        <v/>
      </c>
      <c r="B3514">
        <f>Sources!B3514</f>
        <v/>
      </c>
      <c r="C3514">
        <f>Sources!D3514</f>
        <v/>
      </c>
      <c r="D3514">
        <f>Sources!E3514</f>
        <v/>
      </c>
      <c r="E3514">
        <f>Sources!F3514</f>
        <v/>
      </c>
      <c r="F3514">
        <f>Sources!H3514</f>
        <v/>
      </c>
      <c r="G3514">
        <f>IF(ABS(F3514-ROUND(F3514,0))&lt;0.001,1,0)</f>
        <v/>
      </c>
      <c r="H3514">
        <f>IF(G3514=1,F3514,CEILING(F3514,1))</f>
        <v/>
      </c>
      <c r="I3514">
        <f>IF(G3514=1,0,(H3514-F3514)*E3514)</f>
        <v/>
      </c>
      <c r="J3514">
        <f>E3514*F3514</f>
        <v/>
      </c>
    </row>
    <row r="3515">
      <c r="A3515">
        <f>Sources!A3515</f>
        <v/>
      </c>
      <c r="B3515">
        <f>Sources!B3515</f>
        <v/>
      </c>
      <c r="C3515">
        <f>Sources!D3515</f>
        <v/>
      </c>
      <c r="D3515">
        <f>Sources!E3515</f>
        <v/>
      </c>
      <c r="E3515">
        <f>Sources!F3515</f>
        <v/>
      </c>
      <c r="F3515">
        <f>Sources!H3515</f>
        <v/>
      </c>
      <c r="G3515">
        <f>IF(ABS(F3515-ROUND(F3515,0))&lt;0.001,1,0)</f>
        <v/>
      </c>
      <c r="H3515">
        <f>IF(G3515=1,F3515,CEILING(F3515,1))</f>
        <v/>
      </c>
      <c r="I3515">
        <f>IF(G3515=1,0,(H3515-F3515)*E3515)</f>
        <v/>
      </c>
      <c r="J3515">
        <f>E3515*F3515</f>
        <v/>
      </c>
    </row>
    <row r="3516">
      <c r="A3516">
        <f>Sources!A3516</f>
        <v/>
      </c>
      <c r="B3516">
        <f>Sources!B3516</f>
        <v/>
      </c>
      <c r="C3516">
        <f>Sources!D3516</f>
        <v/>
      </c>
      <c r="D3516">
        <f>Sources!E3516</f>
        <v/>
      </c>
      <c r="E3516">
        <f>Sources!F3516</f>
        <v/>
      </c>
      <c r="F3516">
        <f>Sources!H3516</f>
        <v/>
      </c>
      <c r="G3516">
        <f>IF(ABS(F3516-ROUND(F3516,0))&lt;0.001,1,0)</f>
        <v/>
      </c>
      <c r="H3516">
        <f>IF(G3516=1,F3516,CEILING(F3516,1))</f>
        <v/>
      </c>
      <c r="I3516">
        <f>IF(G3516=1,0,(H3516-F3516)*E3516)</f>
        <v/>
      </c>
      <c r="J3516">
        <f>E3516*F3516</f>
        <v/>
      </c>
    </row>
    <row r="3517">
      <c r="A3517">
        <f>Sources!A3517</f>
        <v/>
      </c>
      <c r="B3517">
        <f>Sources!B3517</f>
        <v/>
      </c>
      <c r="C3517">
        <f>Sources!D3517</f>
        <v/>
      </c>
      <c r="D3517">
        <f>Sources!E3517</f>
        <v/>
      </c>
      <c r="E3517">
        <f>Sources!F3517</f>
        <v/>
      </c>
      <c r="F3517">
        <f>Sources!H3517</f>
        <v/>
      </c>
      <c r="G3517">
        <f>IF(ABS(F3517-ROUND(F3517,0))&lt;0.001,1,0)</f>
        <v/>
      </c>
      <c r="H3517">
        <f>IF(G3517=1,F3517,CEILING(F3517,1))</f>
        <v/>
      </c>
      <c r="I3517">
        <f>IF(G3517=1,0,(H3517-F3517)*E3517)</f>
        <v/>
      </c>
      <c r="J3517">
        <f>E3517*F3517</f>
        <v/>
      </c>
    </row>
    <row r="3518">
      <c r="A3518">
        <f>Sources!A3518</f>
        <v/>
      </c>
      <c r="B3518">
        <f>Sources!B3518</f>
        <v/>
      </c>
      <c r="C3518">
        <f>Sources!D3518</f>
        <v/>
      </c>
      <c r="D3518">
        <f>Sources!E3518</f>
        <v/>
      </c>
      <c r="E3518">
        <f>Sources!F3518</f>
        <v/>
      </c>
      <c r="F3518">
        <f>Sources!H3518</f>
        <v/>
      </c>
      <c r="G3518">
        <f>IF(ABS(F3518-ROUND(F3518,0))&lt;0.001,1,0)</f>
        <v/>
      </c>
      <c r="H3518">
        <f>IF(G3518=1,F3518,CEILING(F3518,1))</f>
        <v/>
      </c>
      <c r="I3518">
        <f>IF(G3518=1,0,(H3518-F3518)*E3518)</f>
        <v/>
      </c>
      <c r="J3518">
        <f>E3518*F3518</f>
        <v/>
      </c>
    </row>
    <row r="3519">
      <c r="A3519">
        <f>Sources!A3519</f>
        <v/>
      </c>
      <c r="B3519">
        <f>Sources!B3519</f>
        <v/>
      </c>
      <c r="C3519">
        <f>Sources!D3519</f>
        <v/>
      </c>
      <c r="D3519">
        <f>Sources!E3519</f>
        <v/>
      </c>
      <c r="E3519">
        <f>Sources!F3519</f>
        <v/>
      </c>
      <c r="F3519">
        <f>Sources!H3519</f>
        <v/>
      </c>
      <c r="G3519">
        <f>IF(ABS(F3519-ROUND(F3519,0))&lt;0.001,1,0)</f>
        <v/>
      </c>
      <c r="H3519">
        <f>IF(G3519=1,F3519,CEILING(F3519,1))</f>
        <v/>
      </c>
      <c r="I3519">
        <f>IF(G3519=1,0,(H3519-F3519)*E3519)</f>
        <v/>
      </c>
      <c r="J3519">
        <f>E3519*F3519</f>
        <v/>
      </c>
    </row>
    <row r="3520">
      <c r="A3520">
        <f>Sources!A3520</f>
        <v/>
      </c>
      <c r="B3520">
        <f>Sources!B3520</f>
        <v/>
      </c>
      <c r="C3520">
        <f>Sources!D3520</f>
        <v/>
      </c>
      <c r="D3520">
        <f>Sources!E3520</f>
        <v/>
      </c>
      <c r="E3520">
        <f>Sources!F3520</f>
        <v/>
      </c>
      <c r="F3520">
        <f>Sources!H3520</f>
        <v/>
      </c>
      <c r="G3520">
        <f>IF(ABS(F3520-ROUND(F3520,0))&lt;0.001,1,0)</f>
        <v/>
      </c>
      <c r="H3520">
        <f>IF(G3520=1,F3520,CEILING(F3520,1))</f>
        <v/>
      </c>
      <c r="I3520">
        <f>IF(G3520=1,0,(H3520-F3520)*E3520)</f>
        <v/>
      </c>
      <c r="J3520">
        <f>E3520*F3520</f>
        <v/>
      </c>
    </row>
    <row r="3521">
      <c r="A3521">
        <f>Sources!A3521</f>
        <v/>
      </c>
      <c r="B3521">
        <f>Sources!B3521</f>
        <v/>
      </c>
      <c r="C3521">
        <f>Sources!D3521</f>
        <v/>
      </c>
      <c r="D3521">
        <f>Sources!E3521</f>
        <v/>
      </c>
      <c r="E3521">
        <f>Sources!F3521</f>
        <v/>
      </c>
      <c r="F3521">
        <f>Sources!H3521</f>
        <v/>
      </c>
      <c r="G3521">
        <f>IF(ABS(F3521-ROUND(F3521,0))&lt;0.001,1,0)</f>
        <v/>
      </c>
      <c r="H3521">
        <f>IF(G3521=1,F3521,CEILING(F3521,1))</f>
        <v/>
      </c>
      <c r="I3521">
        <f>IF(G3521=1,0,(H3521-F3521)*E3521)</f>
        <v/>
      </c>
      <c r="J3521">
        <f>E3521*F3521</f>
        <v/>
      </c>
    </row>
    <row r="3522">
      <c r="A3522">
        <f>Sources!A3522</f>
        <v/>
      </c>
      <c r="B3522">
        <f>Sources!B3522</f>
        <v/>
      </c>
      <c r="C3522">
        <f>Sources!D3522</f>
        <v/>
      </c>
      <c r="D3522">
        <f>Sources!E3522</f>
        <v/>
      </c>
      <c r="E3522">
        <f>Sources!F3522</f>
        <v/>
      </c>
      <c r="F3522">
        <f>Sources!H3522</f>
        <v/>
      </c>
      <c r="G3522">
        <f>IF(ABS(F3522-ROUND(F3522,0))&lt;0.001,1,0)</f>
        <v/>
      </c>
      <c r="H3522">
        <f>IF(G3522=1,F3522,CEILING(F3522,1))</f>
        <v/>
      </c>
      <c r="I3522">
        <f>IF(G3522=1,0,(H3522-F3522)*E3522)</f>
        <v/>
      </c>
      <c r="J3522">
        <f>E3522*F3522</f>
        <v/>
      </c>
    </row>
    <row r="3523">
      <c r="A3523">
        <f>Sources!A3523</f>
        <v/>
      </c>
      <c r="B3523">
        <f>Sources!B3523</f>
        <v/>
      </c>
      <c r="C3523">
        <f>Sources!D3523</f>
        <v/>
      </c>
      <c r="D3523">
        <f>Sources!E3523</f>
        <v/>
      </c>
      <c r="E3523">
        <f>Sources!F3523</f>
        <v/>
      </c>
      <c r="F3523">
        <f>Sources!H3523</f>
        <v/>
      </c>
      <c r="G3523">
        <f>IF(ABS(F3523-ROUND(F3523,0))&lt;0.001,1,0)</f>
        <v/>
      </c>
      <c r="H3523">
        <f>IF(G3523=1,F3523,CEILING(F3523,1))</f>
        <v/>
      </c>
      <c r="I3523">
        <f>IF(G3523=1,0,(H3523-F3523)*E3523)</f>
        <v/>
      </c>
      <c r="J3523">
        <f>E3523*F3523</f>
        <v/>
      </c>
    </row>
    <row r="3524">
      <c r="A3524">
        <f>Sources!A3524</f>
        <v/>
      </c>
      <c r="B3524">
        <f>Sources!B3524</f>
        <v/>
      </c>
      <c r="C3524">
        <f>Sources!D3524</f>
        <v/>
      </c>
      <c r="D3524">
        <f>Sources!E3524</f>
        <v/>
      </c>
      <c r="E3524">
        <f>Sources!F3524</f>
        <v/>
      </c>
      <c r="F3524">
        <f>Sources!H3524</f>
        <v/>
      </c>
      <c r="G3524">
        <f>IF(ABS(F3524-ROUND(F3524,0))&lt;0.001,1,0)</f>
        <v/>
      </c>
      <c r="H3524">
        <f>IF(G3524=1,F3524,CEILING(F3524,1))</f>
        <v/>
      </c>
      <c r="I3524">
        <f>IF(G3524=1,0,(H3524-F3524)*E3524)</f>
        <v/>
      </c>
      <c r="J3524">
        <f>E3524*F3524</f>
        <v/>
      </c>
    </row>
    <row r="3525">
      <c r="A3525">
        <f>Sources!A3525</f>
        <v/>
      </c>
      <c r="B3525">
        <f>Sources!B3525</f>
        <v/>
      </c>
      <c r="C3525">
        <f>Sources!D3525</f>
        <v/>
      </c>
      <c r="D3525">
        <f>Sources!E3525</f>
        <v/>
      </c>
      <c r="E3525">
        <f>Sources!F3525</f>
        <v/>
      </c>
      <c r="F3525">
        <f>Sources!H3525</f>
        <v/>
      </c>
      <c r="G3525">
        <f>IF(ABS(F3525-ROUND(F3525,0))&lt;0.001,1,0)</f>
        <v/>
      </c>
      <c r="H3525">
        <f>IF(G3525=1,F3525,CEILING(F3525,1))</f>
        <v/>
      </c>
      <c r="I3525">
        <f>IF(G3525=1,0,(H3525-F3525)*E3525)</f>
        <v/>
      </c>
      <c r="J3525">
        <f>E3525*F3525</f>
        <v/>
      </c>
    </row>
    <row r="3526">
      <c r="A3526">
        <f>Sources!A3526</f>
        <v/>
      </c>
      <c r="B3526">
        <f>Sources!B3526</f>
        <v/>
      </c>
      <c r="C3526">
        <f>Sources!D3526</f>
        <v/>
      </c>
      <c r="D3526">
        <f>Sources!E3526</f>
        <v/>
      </c>
      <c r="E3526">
        <f>Sources!F3526</f>
        <v/>
      </c>
      <c r="F3526">
        <f>Sources!H3526</f>
        <v/>
      </c>
      <c r="G3526">
        <f>IF(ABS(F3526-ROUND(F3526,0))&lt;0.001,1,0)</f>
        <v/>
      </c>
      <c r="H3526">
        <f>IF(G3526=1,F3526,CEILING(F3526,1))</f>
        <v/>
      </c>
      <c r="I3526">
        <f>IF(G3526=1,0,(H3526-F3526)*E3526)</f>
        <v/>
      </c>
      <c r="J3526">
        <f>E3526*F3526</f>
        <v/>
      </c>
    </row>
    <row r="3527">
      <c r="A3527">
        <f>Sources!A3527</f>
        <v/>
      </c>
      <c r="B3527">
        <f>Sources!B3527</f>
        <v/>
      </c>
      <c r="C3527">
        <f>Sources!D3527</f>
        <v/>
      </c>
      <c r="D3527">
        <f>Sources!E3527</f>
        <v/>
      </c>
      <c r="E3527">
        <f>Sources!F3527</f>
        <v/>
      </c>
      <c r="F3527">
        <f>Sources!H3527</f>
        <v/>
      </c>
      <c r="G3527">
        <f>IF(ABS(F3527-ROUND(F3527,0))&lt;0.001,1,0)</f>
        <v/>
      </c>
      <c r="H3527">
        <f>IF(G3527=1,F3527,CEILING(F3527,1))</f>
        <v/>
      </c>
      <c r="I3527">
        <f>IF(G3527=1,0,(H3527-F3527)*E3527)</f>
        <v/>
      </c>
      <c r="J3527">
        <f>E3527*F3527</f>
        <v/>
      </c>
    </row>
    <row r="3528">
      <c r="A3528">
        <f>Sources!A3528</f>
        <v/>
      </c>
      <c r="B3528">
        <f>Sources!B3528</f>
        <v/>
      </c>
      <c r="C3528">
        <f>Sources!D3528</f>
        <v/>
      </c>
      <c r="D3528">
        <f>Sources!E3528</f>
        <v/>
      </c>
      <c r="E3528">
        <f>Sources!F3528</f>
        <v/>
      </c>
      <c r="F3528">
        <f>Sources!H3528</f>
        <v/>
      </c>
      <c r="G3528">
        <f>IF(ABS(F3528-ROUND(F3528,0))&lt;0.001,1,0)</f>
        <v/>
      </c>
      <c r="H3528">
        <f>IF(G3528=1,F3528,CEILING(F3528,1))</f>
        <v/>
      </c>
      <c r="I3528">
        <f>IF(G3528=1,0,(H3528-F3528)*E3528)</f>
        <v/>
      </c>
      <c r="J3528">
        <f>E3528*F3528</f>
        <v/>
      </c>
    </row>
    <row r="3529">
      <c r="A3529">
        <f>Sources!A3529</f>
        <v/>
      </c>
      <c r="B3529">
        <f>Sources!B3529</f>
        <v/>
      </c>
      <c r="C3529">
        <f>Sources!D3529</f>
        <v/>
      </c>
      <c r="D3529">
        <f>Sources!E3529</f>
        <v/>
      </c>
      <c r="E3529">
        <f>Sources!F3529</f>
        <v/>
      </c>
      <c r="F3529">
        <f>Sources!H3529</f>
        <v/>
      </c>
      <c r="G3529">
        <f>IF(ABS(F3529-ROUND(F3529,0))&lt;0.001,1,0)</f>
        <v/>
      </c>
      <c r="H3529">
        <f>IF(G3529=1,F3529,CEILING(F3529,1))</f>
        <v/>
      </c>
      <c r="I3529">
        <f>IF(G3529=1,0,(H3529-F3529)*E3529)</f>
        <v/>
      </c>
      <c r="J3529">
        <f>E3529*F3529</f>
        <v/>
      </c>
    </row>
    <row r="3530">
      <c r="A3530">
        <f>Sources!A3530</f>
        <v/>
      </c>
      <c r="B3530">
        <f>Sources!B3530</f>
        <v/>
      </c>
      <c r="C3530">
        <f>Sources!D3530</f>
        <v/>
      </c>
      <c r="D3530">
        <f>Sources!E3530</f>
        <v/>
      </c>
      <c r="E3530">
        <f>Sources!F3530</f>
        <v/>
      </c>
      <c r="F3530">
        <f>Sources!H3530</f>
        <v/>
      </c>
      <c r="G3530">
        <f>IF(ABS(F3530-ROUND(F3530,0))&lt;0.001,1,0)</f>
        <v/>
      </c>
      <c r="H3530">
        <f>IF(G3530=1,F3530,CEILING(F3530,1))</f>
        <v/>
      </c>
      <c r="I3530">
        <f>IF(G3530=1,0,(H3530-F3530)*E3530)</f>
        <v/>
      </c>
      <c r="J3530">
        <f>E3530*F3530</f>
        <v/>
      </c>
    </row>
    <row r="3531">
      <c r="A3531">
        <f>Sources!A3531</f>
        <v/>
      </c>
      <c r="B3531">
        <f>Sources!B3531</f>
        <v/>
      </c>
      <c r="C3531">
        <f>Sources!D3531</f>
        <v/>
      </c>
      <c r="D3531">
        <f>Sources!E3531</f>
        <v/>
      </c>
      <c r="E3531">
        <f>Sources!F3531</f>
        <v/>
      </c>
      <c r="F3531">
        <f>Sources!H3531</f>
        <v/>
      </c>
      <c r="G3531">
        <f>IF(ABS(F3531-ROUND(F3531,0))&lt;0.001,1,0)</f>
        <v/>
      </c>
      <c r="H3531">
        <f>IF(G3531=1,F3531,CEILING(F3531,1))</f>
        <v/>
      </c>
      <c r="I3531">
        <f>IF(G3531=1,0,(H3531-F3531)*E3531)</f>
        <v/>
      </c>
      <c r="J3531">
        <f>E3531*F3531</f>
        <v/>
      </c>
    </row>
    <row r="3532">
      <c r="A3532">
        <f>Sources!A3532</f>
        <v/>
      </c>
      <c r="B3532">
        <f>Sources!B3532</f>
        <v/>
      </c>
      <c r="C3532">
        <f>Sources!D3532</f>
        <v/>
      </c>
      <c r="D3532">
        <f>Sources!E3532</f>
        <v/>
      </c>
      <c r="E3532">
        <f>Sources!F3532</f>
        <v/>
      </c>
      <c r="F3532">
        <f>Sources!H3532</f>
        <v/>
      </c>
      <c r="G3532">
        <f>IF(ABS(F3532-ROUND(F3532,0))&lt;0.001,1,0)</f>
        <v/>
      </c>
      <c r="H3532">
        <f>IF(G3532=1,F3532,CEILING(F3532,1))</f>
        <v/>
      </c>
      <c r="I3532">
        <f>IF(G3532=1,0,(H3532-F3532)*E3532)</f>
        <v/>
      </c>
      <c r="J3532">
        <f>E3532*F3532</f>
        <v/>
      </c>
    </row>
    <row r="3533">
      <c r="A3533">
        <f>Sources!A3533</f>
        <v/>
      </c>
      <c r="B3533">
        <f>Sources!B3533</f>
        <v/>
      </c>
      <c r="C3533">
        <f>Sources!D3533</f>
        <v/>
      </c>
      <c r="D3533">
        <f>Sources!E3533</f>
        <v/>
      </c>
      <c r="E3533">
        <f>Sources!F3533</f>
        <v/>
      </c>
      <c r="F3533">
        <f>Sources!H3533</f>
        <v/>
      </c>
      <c r="G3533">
        <f>IF(ABS(F3533-ROUND(F3533,0))&lt;0.001,1,0)</f>
        <v/>
      </c>
      <c r="H3533">
        <f>IF(G3533=1,F3533,CEILING(F3533,1))</f>
        <v/>
      </c>
      <c r="I3533">
        <f>IF(G3533=1,0,(H3533-F3533)*E3533)</f>
        <v/>
      </c>
      <c r="J3533">
        <f>E3533*F3533</f>
        <v/>
      </c>
    </row>
    <row r="3534">
      <c r="A3534">
        <f>Sources!A3534</f>
        <v/>
      </c>
      <c r="B3534">
        <f>Sources!B3534</f>
        <v/>
      </c>
      <c r="C3534">
        <f>Sources!D3534</f>
        <v/>
      </c>
      <c r="D3534">
        <f>Sources!E3534</f>
        <v/>
      </c>
      <c r="E3534">
        <f>Sources!F3534</f>
        <v/>
      </c>
      <c r="F3534">
        <f>Sources!H3534</f>
        <v/>
      </c>
      <c r="G3534">
        <f>IF(ABS(F3534-ROUND(F3534,0))&lt;0.001,1,0)</f>
        <v/>
      </c>
      <c r="H3534">
        <f>IF(G3534=1,F3534,CEILING(F3534,1))</f>
        <v/>
      </c>
      <c r="I3534">
        <f>IF(G3534=1,0,(H3534-F3534)*E3534)</f>
        <v/>
      </c>
      <c r="J3534">
        <f>E3534*F3534</f>
        <v/>
      </c>
    </row>
    <row r="3535">
      <c r="A3535">
        <f>Sources!A3535</f>
        <v/>
      </c>
      <c r="B3535">
        <f>Sources!B3535</f>
        <v/>
      </c>
      <c r="C3535">
        <f>Sources!D3535</f>
        <v/>
      </c>
      <c r="D3535">
        <f>Sources!E3535</f>
        <v/>
      </c>
      <c r="E3535">
        <f>Sources!F3535</f>
        <v/>
      </c>
      <c r="F3535">
        <f>Sources!H3535</f>
        <v/>
      </c>
      <c r="G3535">
        <f>IF(ABS(F3535-ROUND(F3535,0))&lt;0.001,1,0)</f>
        <v/>
      </c>
      <c r="H3535">
        <f>IF(G3535=1,F3535,CEILING(F3535,1))</f>
        <v/>
      </c>
      <c r="I3535">
        <f>IF(G3535=1,0,(H3535-F3535)*E3535)</f>
        <v/>
      </c>
      <c r="J3535">
        <f>E3535*F3535</f>
        <v/>
      </c>
    </row>
    <row r="3536">
      <c r="A3536">
        <f>Sources!A3536</f>
        <v/>
      </c>
      <c r="B3536">
        <f>Sources!B3536</f>
        <v/>
      </c>
      <c r="C3536">
        <f>Sources!D3536</f>
        <v/>
      </c>
      <c r="D3536">
        <f>Sources!E3536</f>
        <v/>
      </c>
      <c r="E3536">
        <f>Sources!F3536</f>
        <v/>
      </c>
      <c r="F3536">
        <f>Sources!H3536</f>
        <v/>
      </c>
      <c r="G3536">
        <f>IF(ABS(F3536-ROUND(F3536,0))&lt;0.001,1,0)</f>
        <v/>
      </c>
      <c r="H3536">
        <f>IF(G3536=1,F3536,CEILING(F3536,1))</f>
        <v/>
      </c>
      <c r="I3536">
        <f>IF(G3536=1,0,(H3536-F3536)*E3536)</f>
        <v/>
      </c>
      <c r="J3536">
        <f>E3536*F3536</f>
        <v/>
      </c>
    </row>
    <row r="3537">
      <c r="A3537">
        <f>Sources!A3537</f>
        <v/>
      </c>
      <c r="B3537">
        <f>Sources!B3537</f>
        <v/>
      </c>
      <c r="C3537">
        <f>Sources!D3537</f>
        <v/>
      </c>
      <c r="D3537">
        <f>Sources!E3537</f>
        <v/>
      </c>
      <c r="E3537">
        <f>Sources!F3537</f>
        <v/>
      </c>
      <c r="F3537">
        <f>Sources!H3537</f>
        <v/>
      </c>
      <c r="G3537">
        <f>IF(ABS(F3537-ROUND(F3537,0))&lt;0.001,1,0)</f>
        <v/>
      </c>
      <c r="H3537">
        <f>IF(G3537=1,F3537,CEILING(F3537,1))</f>
        <v/>
      </c>
      <c r="I3537">
        <f>IF(G3537=1,0,(H3537-F3537)*E3537)</f>
        <v/>
      </c>
      <c r="J3537">
        <f>E3537*F3537</f>
        <v/>
      </c>
    </row>
    <row r="3538">
      <c r="A3538">
        <f>Sources!A3538</f>
        <v/>
      </c>
      <c r="B3538">
        <f>Sources!B3538</f>
        <v/>
      </c>
      <c r="C3538">
        <f>Sources!D3538</f>
        <v/>
      </c>
      <c r="D3538">
        <f>Sources!E3538</f>
        <v/>
      </c>
      <c r="E3538">
        <f>Sources!F3538</f>
        <v/>
      </c>
      <c r="F3538">
        <f>Sources!H3538</f>
        <v/>
      </c>
      <c r="G3538">
        <f>IF(ABS(F3538-ROUND(F3538,0))&lt;0.001,1,0)</f>
        <v/>
      </c>
      <c r="H3538">
        <f>IF(G3538=1,F3538,CEILING(F3538,1))</f>
        <v/>
      </c>
      <c r="I3538">
        <f>IF(G3538=1,0,(H3538-F3538)*E3538)</f>
        <v/>
      </c>
      <c r="J3538">
        <f>E3538*F3538</f>
        <v/>
      </c>
    </row>
    <row r="3539">
      <c r="A3539">
        <f>Sources!A3539</f>
        <v/>
      </c>
      <c r="B3539">
        <f>Sources!B3539</f>
        <v/>
      </c>
      <c r="C3539">
        <f>Sources!D3539</f>
        <v/>
      </c>
      <c r="D3539">
        <f>Sources!E3539</f>
        <v/>
      </c>
      <c r="E3539">
        <f>Sources!F3539</f>
        <v/>
      </c>
      <c r="F3539">
        <f>Sources!H3539</f>
        <v/>
      </c>
      <c r="G3539">
        <f>IF(ABS(F3539-ROUND(F3539,0))&lt;0.001,1,0)</f>
        <v/>
      </c>
      <c r="H3539">
        <f>IF(G3539=1,F3539,CEILING(F3539,1))</f>
        <v/>
      </c>
      <c r="I3539">
        <f>IF(G3539=1,0,(H3539-F3539)*E3539)</f>
        <v/>
      </c>
      <c r="J3539">
        <f>E3539*F3539</f>
        <v/>
      </c>
    </row>
    <row r="3540">
      <c r="A3540">
        <f>Sources!A3540</f>
        <v/>
      </c>
      <c r="B3540">
        <f>Sources!B3540</f>
        <v/>
      </c>
      <c r="C3540">
        <f>Sources!D3540</f>
        <v/>
      </c>
      <c r="D3540">
        <f>Sources!E3540</f>
        <v/>
      </c>
      <c r="E3540">
        <f>Sources!F3540</f>
        <v/>
      </c>
      <c r="F3540">
        <f>Sources!H3540</f>
        <v/>
      </c>
      <c r="G3540">
        <f>IF(ABS(F3540-ROUND(F3540,0))&lt;0.001,1,0)</f>
        <v/>
      </c>
      <c r="H3540">
        <f>IF(G3540=1,F3540,CEILING(F3540,1))</f>
        <v/>
      </c>
      <c r="I3540">
        <f>IF(G3540=1,0,(H3540-F3540)*E3540)</f>
        <v/>
      </c>
      <c r="J3540">
        <f>E3540*F3540</f>
        <v/>
      </c>
    </row>
    <row r="3541">
      <c r="A3541">
        <f>Sources!A3541</f>
        <v/>
      </c>
      <c r="B3541">
        <f>Sources!B3541</f>
        <v/>
      </c>
      <c r="C3541">
        <f>Sources!D3541</f>
        <v/>
      </c>
      <c r="D3541">
        <f>Sources!E3541</f>
        <v/>
      </c>
      <c r="E3541">
        <f>Sources!F3541</f>
        <v/>
      </c>
      <c r="F3541">
        <f>Sources!H3541</f>
        <v/>
      </c>
      <c r="G3541">
        <f>IF(ABS(F3541-ROUND(F3541,0))&lt;0.001,1,0)</f>
        <v/>
      </c>
      <c r="H3541">
        <f>IF(G3541=1,F3541,CEILING(F3541,1))</f>
        <v/>
      </c>
      <c r="I3541">
        <f>IF(G3541=1,0,(H3541-F3541)*E3541)</f>
        <v/>
      </c>
      <c r="J3541">
        <f>E3541*F3541</f>
        <v/>
      </c>
    </row>
    <row r="3542">
      <c r="A3542">
        <f>Sources!A3542</f>
        <v/>
      </c>
      <c r="B3542">
        <f>Sources!B3542</f>
        <v/>
      </c>
      <c r="C3542">
        <f>Sources!D3542</f>
        <v/>
      </c>
      <c r="D3542">
        <f>Sources!E3542</f>
        <v/>
      </c>
      <c r="E3542">
        <f>Sources!F3542</f>
        <v/>
      </c>
      <c r="F3542">
        <f>Sources!H3542</f>
        <v/>
      </c>
      <c r="G3542">
        <f>IF(ABS(F3542-ROUND(F3542,0))&lt;0.001,1,0)</f>
        <v/>
      </c>
      <c r="H3542">
        <f>IF(G3542=1,F3542,CEILING(F3542,1))</f>
        <v/>
      </c>
      <c r="I3542">
        <f>IF(G3542=1,0,(H3542-F3542)*E3542)</f>
        <v/>
      </c>
      <c r="J3542">
        <f>E3542*F3542</f>
        <v/>
      </c>
    </row>
    <row r="3543">
      <c r="A3543">
        <f>Sources!A3543</f>
        <v/>
      </c>
      <c r="B3543">
        <f>Sources!B3543</f>
        <v/>
      </c>
      <c r="C3543">
        <f>Sources!D3543</f>
        <v/>
      </c>
      <c r="D3543">
        <f>Sources!E3543</f>
        <v/>
      </c>
      <c r="E3543">
        <f>Sources!F3543</f>
        <v/>
      </c>
      <c r="F3543">
        <f>Sources!H3543</f>
        <v/>
      </c>
      <c r="G3543">
        <f>IF(ABS(F3543-ROUND(F3543,0))&lt;0.001,1,0)</f>
        <v/>
      </c>
      <c r="H3543">
        <f>IF(G3543=1,F3543,CEILING(F3543,1))</f>
        <v/>
      </c>
      <c r="I3543">
        <f>IF(G3543=1,0,(H3543-F3543)*E3543)</f>
        <v/>
      </c>
      <c r="J3543">
        <f>E3543*F3543</f>
        <v/>
      </c>
    </row>
    <row r="3544">
      <c r="A3544">
        <f>Sources!A3544</f>
        <v/>
      </c>
      <c r="B3544">
        <f>Sources!B3544</f>
        <v/>
      </c>
      <c r="C3544">
        <f>Sources!D3544</f>
        <v/>
      </c>
      <c r="D3544">
        <f>Sources!E3544</f>
        <v/>
      </c>
      <c r="E3544">
        <f>Sources!F3544</f>
        <v/>
      </c>
      <c r="F3544">
        <f>Sources!H3544</f>
        <v/>
      </c>
      <c r="G3544">
        <f>IF(ABS(F3544-ROUND(F3544,0))&lt;0.001,1,0)</f>
        <v/>
      </c>
      <c r="H3544">
        <f>IF(G3544=1,F3544,CEILING(F3544,1))</f>
        <v/>
      </c>
      <c r="I3544">
        <f>IF(G3544=1,0,(H3544-F3544)*E3544)</f>
        <v/>
      </c>
      <c r="J3544">
        <f>E3544*F3544</f>
        <v/>
      </c>
    </row>
    <row r="3545">
      <c r="A3545">
        <f>Sources!A3545</f>
        <v/>
      </c>
      <c r="B3545">
        <f>Sources!B3545</f>
        <v/>
      </c>
      <c r="C3545">
        <f>Sources!D3545</f>
        <v/>
      </c>
      <c r="D3545">
        <f>Sources!E3545</f>
        <v/>
      </c>
      <c r="E3545">
        <f>Sources!F3545</f>
        <v/>
      </c>
      <c r="F3545">
        <f>Sources!H3545</f>
        <v/>
      </c>
      <c r="G3545">
        <f>IF(ABS(F3545-ROUND(F3545,0))&lt;0.001,1,0)</f>
        <v/>
      </c>
      <c r="H3545">
        <f>IF(G3545=1,F3545,CEILING(F3545,1))</f>
        <v/>
      </c>
      <c r="I3545">
        <f>IF(G3545=1,0,(H3545-F3545)*E3545)</f>
        <v/>
      </c>
      <c r="J3545">
        <f>E3545*F3545</f>
        <v/>
      </c>
    </row>
    <row r="3546">
      <c r="A3546">
        <f>Sources!A3546</f>
        <v/>
      </c>
      <c r="B3546">
        <f>Sources!B3546</f>
        <v/>
      </c>
      <c r="C3546">
        <f>Sources!D3546</f>
        <v/>
      </c>
      <c r="D3546">
        <f>Sources!E3546</f>
        <v/>
      </c>
      <c r="E3546">
        <f>Sources!F3546</f>
        <v/>
      </c>
      <c r="F3546">
        <f>Sources!H3546</f>
        <v/>
      </c>
      <c r="G3546">
        <f>IF(ABS(F3546-ROUND(F3546,0))&lt;0.001,1,0)</f>
        <v/>
      </c>
      <c r="H3546">
        <f>IF(G3546=1,F3546,CEILING(F3546,1))</f>
        <v/>
      </c>
      <c r="I3546">
        <f>IF(G3546=1,0,(H3546-F3546)*E3546)</f>
        <v/>
      </c>
      <c r="J3546">
        <f>E3546*F3546</f>
        <v/>
      </c>
    </row>
    <row r="3547">
      <c r="A3547">
        <f>Sources!A3547</f>
        <v/>
      </c>
      <c r="B3547">
        <f>Sources!B3547</f>
        <v/>
      </c>
      <c r="C3547">
        <f>Sources!D3547</f>
        <v/>
      </c>
      <c r="D3547">
        <f>Sources!E3547</f>
        <v/>
      </c>
      <c r="E3547">
        <f>Sources!F3547</f>
        <v/>
      </c>
      <c r="F3547">
        <f>Sources!H3547</f>
        <v/>
      </c>
      <c r="G3547">
        <f>IF(ABS(F3547-ROUND(F3547,0))&lt;0.001,1,0)</f>
        <v/>
      </c>
      <c r="H3547">
        <f>IF(G3547=1,F3547,CEILING(F3547,1))</f>
        <v/>
      </c>
      <c r="I3547">
        <f>IF(G3547=1,0,(H3547-F3547)*E3547)</f>
        <v/>
      </c>
      <c r="J3547">
        <f>E3547*F3547</f>
        <v/>
      </c>
    </row>
    <row r="3548">
      <c r="A3548">
        <f>Sources!A3548</f>
        <v/>
      </c>
      <c r="B3548">
        <f>Sources!B3548</f>
        <v/>
      </c>
      <c r="C3548">
        <f>Sources!D3548</f>
        <v/>
      </c>
      <c r="D3548">
        <f>Sources!E3548</f>
        <v/>
      </c>
      <c r="E3548">
        <f>Sources!F3548</f>
        <v/>
      </c>
      <c r="F3548">
        <f>Sources!H3548</f>
        <v/>
      </c>
      <c r="G3548">
        <f>IF(ABS(F3548-ROUND(F3548,0))&lt;0.001,1,0)</f>
        <v/>
      </c>
      <c r="H3548">
        <f>IF(G3548=1,F3548,CEILING(F3548,1))</f>
        <v/>
      </c>
      <c r="I3548">
        <f>IF(G3548=1,0,(H3548-F3548)*E3548)</f>
        <v/>
      </c>
      <c r="J3548">
        <f>E3548*F3548</f>
        <v/>
      </c>
    </row>
    <row r="3549">
      <c r="A3549">
        <f>Sources!A3549</f>
        <v/>
      </c>
      <c r="B3549">
        <f>Sources!B3549</f>
        <v/>
      </c>
      <c r="C3549">
        <f>Sources!D3549</f>
        <v/>
      </c>
      <c r="D3549">
        <f>Sources!E3549</f>
        <v/>
      </c>
      <c r="E3549">
        <f>Sources!F3549</f>
        <v/>
      </c>
      <c r="F3549">
        <f>Sources!H3549</f>
        <v/>
      </c>
      <c r="G3549">
        <f>IF(ABS(F3549-ROUND(F3549,0))&lt;0.001,1,0)</f>
        <v/>
      </c>
      <c r="H3549">
        <f>IF(G3549=1,F3549,CEILING(F3549,1))</f>
        <v/>
      </c>
      <c r="I3549">
        <f>IF(G3549=1,0,(H3549-F3549)*E3549)</f>
        <v/>
      </c>
      <c r="J3549">
        <f>E3549*F3549</f>
        <v/>
      </c>
    </row>
    <row r="3550">
      <c r="A3550">
        <f>Sources!A3550</f>
        <v/>
      </c>
      <c r="B3550">
        <f>Sources!B3550</f>
        <v/>
      </c>
      <c r="C3550">
        <f>Sources!D3550</f>
        <v/>
      </c>
      <c r="D3550">
        <f>Sources!E3550</f>
        <v/>
      </c>
      <c r="E3550">
        <f>Sources!F3550</f>
        <v/>
      </c>
      <c r="F3550">
        <f>Sources!H3550</f>
        <v/>
      </c>
      <c r="G3550">
        <f>IF(ABS(F3550-ROUND(F3550,0))&lt;0.001,1,0)</f>
        <v/>
      </c>
      <c r="H3550">
        <f>IF(G3550=1,F3550,CEILING(F3550,1))</f>
        <v/>
      </c>
      <c r="I3550">
        <f>IF(G3550=1,0,(H3550-F3550)*E3550)</f>
        <v/>
      </c>
      <c r="J3550">
        <f>E3550*F3550</f>
        <v/>
      </c>
    </row>
    <row r="3551">
      <c r="A3551">
        <f>Sources!A3551</f>
        <v/>
      </c>
      <c r="B3551">
        <f>Sources!B3551</f>
        <v/>
      </c>
      <c r="C3551">
        <f>Sources!D3551</f>
        <v/>
      </c>
      <c r="D3551">
        <f>Sources!E3551</f>
        <v/>
      </c>
      <c r="E3551">
        <f>Sources!F3551</f>
        <v/>
      </c>
      <c r="F3551">
        <f>Sources!H3551</f>
        <v/>
      </c>
      <c r="G3551">
        <f>IF(ABS(F3551-ROUND(F3551,0))&lt;0.001,1,0)</f>
        <v/>
      </c>
      <c r="H3551">
        <f>IF(G3551=1,F3551,CEILING(F3551,1))</f>
        <v/>
      </c>
      <c r="I3551">
        <f>IF(G3551=1,0,(H3551-F3551)*E3551)</f>
        <v/>
      </c>
      <c r="J3551">
        <f>E3551*F3551</f>
        <v/>
      </c>
    </row>
    <row r="3552">
      <c r="A3552">
        <f>Sources!A3552</f>
        <v/>
      </c>
      <c r="B3552">
        <f>Sources!B3552</f>
        <v/>
      </c>
      <c r="C3552">
        <f>Sources!D3552</f>
        <v/>
      </c>
      <c r="D3552">
        <f>Sources!E3552</f>
        <v/>
      </c>
      <c r="E3552">
        <f>Sources!F3552</f>
        <v/>
      </c>
      <c r="F3552">
        <f>Sources!H3552</f>
        <v/>
      </c>
      <c r="G3552">
        <f>IF(ABS(F3552-ROUND(F3552,0))&lt;0.001,1,0)</f>
        <v/>
      </c>
      <c r="H3552">
        <f>IF(G3552=1,F3552,CEILING(F3552,1))</f>
        <v/>
      </c>
      <c r="I3552">
        <f>IF(G3552=1,0,(H3552-F3552)*E3552)</f>
        <v/>
      </c>
      <c r="J3552">
        <f>E3552*F3552</f>
        <v/>
      </c>
    </row>
    <row r="3553">
      <c r="A3553">
        <f>Sources!A3553</f>
        <v/>
      </c>
      <c r="B3553">
        <f>Sources!B3553</f>
        <v/>
      </c>
      <c r="C3553">
        <f>Sources!D3553</f>
        <v/>
      </c>
      <c r="D3553">
        <f>Sources!E3553</f>
        <v/>
      </c>
      <c r="E3553">
        <f>Sources!F3553</f>
        <v/>
      </c>
      <c r="F3553">
        <f>Sources!H3553</f>
        <v/>
      </c>
      <c r="G3553">
        <f>IF(ABS(F3553-ROUND(F3553,0))&lt;0.001,1,0)</f>
        <v/>
      </c>
      <c r="H3553">
        <f>IF(G3553=1,F3553,CEILING(F3553,1))</f>
        <v/>
      </c>
      <c r="I3553">
        <f>IF(G3553=1,0,(H3553-F3553)*E3553)</f>
        <v/>
      </c>
      <c r="J3553">
        <f>E3553*F3553</f>
        <v/>
      </c>
    </row>
    <row r="3554">
      <c r="A3554">
        <f>Sources!A3554</f>
        <v/>
      </c>
      <c r="B3554">
        <f>Sources!B3554</f>
        <v/>
      </c>
      <c r="C3554">
        <f>Sources!D3554</f>
        <v/>
      </c>
      <c r="D3554">
        <f>Sources!E3554</f>
        <v/>
      </c>
      <c r="E3554">
        <f>Sources!F3554</f>
        <v/>
      </c>
      <c r="F3554">
        <f>Sources!H3554</f>
        <v/>
      </c>
      <c r="G3554">
        <f>IF(ABS(F3554-ROUND(F3554,0))&lt;0.001,1,0)</f>
        <v/>
      </c>
      <c r="H3554">
        <f>IF(G3554=1,F3554,CEILING(F3554,1))</f>
        <v/>
      </c>
      <c r="I3554">
        <f>IF(G3554=1,0,(H3554-F3554)*E3554)</f>
        <v/>
      </c>
      <c r="J3554">
        <f>E3554*F3554</f>
        <v/>
      </c>
    </row>
    <row r="3555">
      <c r="A3555">
        <f>Sources!A3555</f>
        <v/>
      </c>
      <c r="B3555">
        <f>Sources!B3555</f>
        <v/>
      </c>
      <c r="C3555">
        <f>Sources!D3555</f>
        <v/>
      </c>
      <c r="D3555">
        <f>Sources!E3555</f>
        <v/>
      </c>
      <c r="E3555">
        <f>Sources!F3555</f>
        <v/>
      </c>
      <c r="F3555">
        <f>Sources!H3555</f>
        <v/>
      </c>
      <c r="G3555">
        <f>IF(ABS(F3555-ROUND(F3555,0))&lt;0.001,1,0)</f>
        <v/>
      </c>
      <c r="H3555">
        <f>IF(G3555=1,F3555,CEILING(F3555,1))</f>
        <v/>
      </c>
      <c r="I3555">
        <f>IF(G3555=1,0,(H3555-F3555)*E3555)</f>
        <v/>
      </c>
      <c r="J3555">
        <f>E3555*F3555</f>
        <v/>
      </c>
    </row>
    <row r="3556">
      <c r="A3556">
        <f>Sources!A3556</f>
        <v/>
      </c>
      <c r="B3556">
        <f>Sources!B3556</f>
        <v/>
      </c>
      <c r="C3556">
        <f>Sources!D3556</f>
        <v/>
      </c>
      <c r="D3556">
        <f>Sources!E3556</f>
        <v/>
      </c>
      <c r="E3556">
        <f>Sources!F3556</f>
        <v/>
      </c>
      <c r="F3556">
        <f>Sources!H3556</f>
        <v/>
      </c>
      <c r="G3556">
        <f>IF(ABS(F3556-ROUND(F3556,0))&lt;0.001,1,0)</f>
        <v/>
      </c>
      <c r="H3556">
        <f>IF(G3556=1,F3556,CEILING(F3556,1))</f>
        <v/>
      </c>
      <c r="I3556">
        <f>IF(G3556=1,0,(H3556-F3556)*E3556)</f>
        <v/>
      </c>
      <c r="J3556">
        <f>E3556*F3556</f>
        <v/>
      </c>
    </row>
    <row r="3557">
      <c r="A3557">
        <f>Sources!A3557</f>
        <v/>
      </c>
      <c r="B3557">
        <f>Sources!B3557</f>
        <v/>
      </c>
      <c r="C3557">
        <f>Sources!D3557</f>
        <v/>
      </c>
      <c r="D3557">
        <f>Sources!E3557</f>
        <v/>
      </c>
      <c r="E3557">
        <f>Sources!F3557</f>
        <v/>
      </c>
      <c r="F3557">
        <f>Sources!H3557</f>
        <v/>
      </c>
      <c r="G3557">
        <f>IF(ABS(F3557-ROUND(F3557,0))&lt;0.001,1,0)</f>
        <v/>
      </c>
      <c r="H3557">
        <f>IF(G3557=1,F3557,CEILING(F3557,1))</f>
        <v/>
      </c>
      <c r="I3557">
        <f>IF(G3557=1,0,(H3557-F3557)*E3557)</f>
        <v/>
      </c>
      <c r="J3557">
        <f>E3557*F3557</f>
        <v/>
      </c>
    </row>
    <row r="3558">
      <c r="A3558">
        <f>Sources!A3558</f>
        <v/>
      </c>
      <c r="B3558">
        <f>Sources!B3558</f>
        <v/>
      </c>
      <c r="C3558">
        <f>Sources!D3558</f>
        <v/>
      </c>
      <c r="D3558">
        <f>Sources!E3558</f>
        <v/>
      </c>
      <c r="E3558">
        <f>Sources!F3558</f>
        <v/>
      </c>
      <c r="F3558">
        <f>Sources!H3558</f>
        <v/>
      </c>
      <c r="G3558">
        <f>IF(ABS(F3558-ROUND(F3558,0))&lt;0.001,1,0)</f>
        <v/>
      </c>
      <c r="H3558">
        <f>IF(G3558=1,F3558,CEILING(F3558,1))</f>
        <v/>
      </c>
      <c r="I3558">
        <f>IF(G3558=1,0,(H3558-F3558)*E3558)</f>
        <v/>
      </c>
      <c r="J3558">
        <f>E3558*F3558</f>
        <v/>
      </c>
    </row>
    <row r="3559">
      <c r="A3559">
        <f>Sources!A3559</f>
        <v/>
      </c>
      <c r="B3559">
        <f>Sources!B3559</f>
        <v/>
      </c>
      <c r="C3559">
        <f>Sources!D3559</f>
        <v/>
      </c>
      <c r="D3559">
        <f>Sources!E3559</f>
        <v/>
      </c>
      <c r="E3559">
        <f>Sources!F3559</f>
        <v/>
      </c>
      <c r="F3559">
        <f>Sources!H3559</f>
        <v/>
      </c>
      <c r="G3559">
        <f>IF(ABS(F3559-ROUND(F3559,0))&lt;0.001,1,0)</f>
        <v/>
      </c>
      <c r="H3559">
        <f>IF(G3559=1,F3559,CEILING(F3559,1))</f>
        <v/>
      </c>
      <c r="I3559">
        <f>IF(G3559=1,0,(H3559-F3559)*E3559)</f>
        <v/>
      </c>
      <c r="J3559">
        <f>E3559*F3559</f>
        <v/>
      </c>
    </row>
    <row r="3560">
      <c r="A3560">
        <f>Sources!A3560</f>
        <v/>
      </c>
      <c r="B3560">
        <f>Sources!B3560</f>
        <v/>
      </c>
      <c r="C3560">
        <f>Sources!D3560</f>
        <v/>
      </c>
      <c r="D3560">
        <f>Sources!E3560</f>
        <v/>
      </c>
      <c r="E3560">
        <f>Sources!F3560</f>
        <v/>
      </c>
      <c r="F3560">
        <f>Sources!H3560</f>
        <v/>
      </c>
      <c r="G3560">
        <f>IF(ABS(F3560-ROUND(F3560,0))&lt;0.001,1,0)</f>
        <v/>
      </c>
      <c r="H3560">
        <f>IF(G3560=1,F3560,CEILING(F3560,1))</f>
        <v/>
      </c>
      <c r="I3560">
        <f>IF(G3560=1,0,(H3560-F3560)*E3560)</f>
        <v/>
      </c>
      <c r="J3560">
        <f>E3560*F3560</f>
        <v/>
      </c>
    </row>
    <row r="3561">
      <c r="A3561">
        <f>Sources!A3561</f>
        <v/>
      </c>
      <c r="B3561">
        <f>Sources!B3561</f>
        <v/>
      </c>
      <c r="C3561">
        <f>Sources!D3561</f>
        <v/>
      </c>
      <c r="D3561">
        <f>Sources!E3561</f>
        <v/>
      </c>
      <c r="E3561">
        <f>Sources!F3561</f>
        <v/>
      </c>
      <c r="F3561">
        <f>Sources!H3561</f>
        <v/>
      </c>
      <c r="G3561">
        <f>IF(ABS(F3561-ROUND(F3561,0))&lt;0.001,1,0)</f>
        <v/>
      </c>
      <c r="H3561">
        <f>IF(G3561=1,F3561,CEILING(F3561,1))</f>
        <v/>
      </c>
      <c r="I3561">
        <f>IF(G3561=1,0,(H3561-F3561)*E3561)</f>
        <v/>
      </c>
      <c r="J3561">
        <f>E3561*F3561</f>
        <v/>
      </c>
    </row>
    <row r="3562">
      <c r="A3562">
        <f>Sources!A3562</f>
        <v/>
      </c>
      <c r="B3562">
        <f>Sources!B3562</f>
        <v/>
      </c>
      <c r="C3562">
        <f>Sources!D3562</f>
        <v/>
      </c>
      <c r="D3562">
        <f>Sources!E3562</f>
        <v/>
      </c>
      <c r="E3562">
        <f>Sources!F3562</f>
        <v/>
      </c>
      <c r="F3562">
        <f>Sources!H3562</f>
        <v/>
      </c>
      <c r="G3562">
        <f>IF(ABS(F3562-ROUND(F3562,0))&lt;0.001,1,0)</f>
        <v/>
      </c>
      <c r="H3562">
        <f>IF(G3562=1,F3562,CEILING(F3562,1))</f>
        <v/>
      </c>
      <c r="I3562">
        <f>IF(G3562=1,0,(H3562-F3562)*E3562)</f>
        <v/>
      </c>
      <c r="J3562">
        <f>E3562*F3562</f>
        <v/>
      </c>
    </row>
    <row r="3563">
      <c r="A3563">
        <f>Sources!A3563</f>
        <v/>
      </c>
      <c r="B3563">
        <f>Sources!B3563</f>
        <v/>
      </c>
      <c r="C3563">
        <f>Sources!D3563</f>
        <v/>
      </c>
      <c r="D3563">
        <f>Sources!E3563</f>
        <v/>
      </c>
      <c r="E3563">
        <f>Sources!F3563</f>
        <v/>
      </c>
      <c r="F3563">
        <f>Sources!H3563</f>
        <v/>
      </c>
      <c r="G3563">
        <f>IF(ABS(F3563-ROUND(F3563,0))&lt;0.001,1,0)</f>
        <v/>
      </c>
      <c r="H3563">
        <f>IF(G3563=1,F3563,CEILING(F3563,1))</f>
        <v/>
      </c>
      <c r="I3563">
        <f>IF(G3563=1,0,(H3563-F3563)*E3563)</f>
        <v/>
      </c>
      <c r="J3563">
        <f>E3563*F3563</f>
        <v/>
      </c>
    </row>
    <row r="3564">
      <c r="A3564">
        <f>Sources!A3564</f>
        <v/>
      </c>
      <c r="B3564">
        <f>Sources!B3564</f>
        <v/>
      </c>
      <c r="C3564">
        <f>Sources!D3564</f>
        <v/>
      </c>
      <c r="D3564">
        <f>Sources!E3564</f>
        <v/>
      </c>
      <c r="E3564">
        <f>Sources!F3564</f>
        <v/>
      </c>
      <c r="F3564">
        <f>Sources!H3564</f>
        <v/>
      </c>
      <c r="G3564">
        <f>IF(ABS(F3564-ROUND(F3564,0))&lt;0.001,1,0)</f>
        <v/>
      </c>
      <c r="H3564">
        <f>IF(G3564=1,F3564,CEILING(F3564,1))</f>
        <v/>
      </c>
      <c r="I3564">
        <f>IF(G3564=1,0,(H3564-F3564)*E3564)</f>
        <v/>
      </c>
      <c r="J3564">
        <f>E3564*F3564</f>
        <v/>
      </c>
    </row>
    <row r="3565">
      <c r="A3565">
        <f>Sources!A3565</f>
        <v/>
      </c>
      <c r="B3565">
        <f>Sources!B3565</f>
        <v/>
      </c>
      <c r="C3565">
        <f>Sources!D3565</f>
        <v/>
      </c>
      <c r="D3565">
        <f>Sources!E3565</f>
        <v/>
      </c>
      <c r="E3565">
        <f>Sources!F3565</f>
        <v/>
      </c>
      <c r="F3565">
        <f>Sources!H3565</f>
        <v/>
      </c>
      <c r="G3565">
        <f>IF(ABS(F3565-ROUND(F3565,0))&lt;0.001,1,0)</f>
        <v/>
      </c>
      <c r="H3565">
        <f>IF(G3565=1,F3565,CEILING(F3565,1))</f>
        <v/>
      </c>
      <c r="I3565">
        <f>IF(G3565=1,0,(H3565-F3565)*E3565)</f>
        <v/>
      </c>
      <c r="J3565">
        <f>E3565*F3565</f>
        <v/>
      </c>
    </row>
    <row r="3566">
      <c r="A3566">
        <f>Sources!A3566</f>
        <v/>
      </c>
      <c r="B3566">
        <f>Sources!B3566</f>
        <v/>
      </c>
      <c r="C3566">
        <f>Sources!D3566</f>
        <v/>
      </c>
      <c r="D3566">
        <f>Sources!E3566</f>
        <v/>
      </c>
      <c r="E3566">
        <f>Sources!F3566</f>
        <v/>
      </c>
      <c r="F3566">
        <f>Sources!H3566</f>
        <v/>
      </c>
      <c r="G3566">
        <f>IF(ABS(F3566-ROUND(F3566,0))&lt;0.001,1,0)</f>
        <v/>
      </c>
      <c r="H3566">
        <f>IF(G3566=1,F3566,CEILING(F3566,1))</f>
        <v/>
      </c>
      <c r="I3566">
        <f>IF(G3566=1,0,(H3566-F3566)*E3566)</f>
        <v/>
      </c>
      <c r="J3566">
        <f>E3566*F3566</f>
        <v/>
      </c>
    </row>
    <row r="3567">
      <c r="A3567">
        <f>Sources!A3567</f>
        <v/>
      </c>
      <c r="B3567">
        <f>Sources!B3567</f>
        <v/>
      </c>
      <c r="C3567">
        <f>Sources!D3567</f>
        <v/>
      </c>
      <c r="D3567">
        <f>Sources!E3567</f>
        <v/>
      </c>
      <c r="E3567">
        <f>Sources!F3567</f>
        <v/>
      </c>
      <c r="F3567">
        <f>Sources!H3567</f>
        <v/>
      </c>
      <c r="G3567">
        <f>IF(ABS(F3567-ROUND(F3567,0))&lt;0.001,1,0)</f>
        <v/>
      </c>
      <c r="H3567">
        <f>IF(G3567=1,F3567,CEILING(F3567,1))</f>
        <v/>
      </c>
      <c r="I3567">
        <f>IF(G3567=1,0,(H3567-F3567)*E3567)</f>
        <v/>
      </c>
      <c r="J3567">
        <f>E3567*F3567</f>
        <v/>
      </c>
    </row>
    <row r="3568">
      <c r="A3568">
        <f>Sources!A3568</f>
        <v/>
      </c>
      <c r="B3568">
        <f>Sources!B3568</f>
        <v/>
      </c>
      <c r="C3568">
        <f>Sources!D3568</f>
        <v/>
      </c>
      <c r="D3568">
        <f>Sources!E3568</f>
        <v/>
      </c>
      <c r="E3568">
        <f>Sources!F3568</f>
        <v/>
      </c>
      <c r="F3568">
        <f>Sources!H3568</f>
        <v/>
      </c>
      <c r="G3568">
        <f>IF(ABS(F3568-ROUND(F3568,0))&lt;0.001,1,0)</f>
        <v/>
      </c>
      <c r="H3568">
        <f>IF(G3568=1,F3568,CEILING(F3568,1))</f>
        <v/>
      </c>
      <c r="I3568">
        <f>IF(G3568=1,0,(H3568-F3568)*E3568)</f>
        <v/>
      </c>
      <c r="J3568">
        <f>E3568*F3568</f>
        <v/>
      </c>
    </row>
    <row r="3569">
      <c r="A3569">
        <f>Sources!A3569</f>
        <v/>
      </c>
      <c r="B3569">
        <f>Sources!B3569</f>
        <v/>
      </c>
      <c r="C3569">
        <f>Sources!D3569</f>
        <v/>
      </c>
      <c r="D3569">
        <f>Sources!E3569</f>
        <v/>
      </c>
      <c r="E3569">
        <f>Sources!F3569</f>
        <v/>
      </c>
      <c r="F3569">
        <f>Sources!H3569</f>
        <v/>
      </c>
      <c r="G3569">
        <f>IF(ABS(F3569-ROUND(F3569,0))&lt;0.001,1,0)</f>
        <v/>
      </c>
      <c r="H3569">
        <f>IF(G3569=1,F3569,CEILING(F3569,1))</f>
        <v/>
      </c>
      <c r="I3569">
        <f>IF(G3569=1,0,(H3569-F3569)*E3569)</f>
        <v/>
      </c>
      <c r="J3569">
        <f>E3569*F3569</f>
        <v/>
      </c>
    </row>
    <row r="3570">
      <c r="A3570">
        <f>Sources!A3570</f>
        <v/>
      </c>
      <c r="B3570">
        <f>Sources!B3570</f>
        <v/>
      </c>
      <c r="C3570">
        <f>Sources!D3570</f>
        <v/>
      </c>
      <c r="D3570">
        <f>Sources!E3570</f>
        <v/>
      </c>
      <c r="E3570">
        <f>Sources!F3570</f>
        <v/>
      </c>
      <c r="F3570">
        <f>Sources!H3570</f>
        <v/>
      </c>
      <c r="G3570">
        <f>IF(ABS(F3570-ROUND(F3570,0))&lt;0.001,1,0)</f>
        <v/>
      </c>
      <c r="H3570">
        <f>IF(G3570=1,F3570,CEILING(F3570,1))</f>
        <v/>
      </c>
      <c r="I3570">
        <f>IF(G3570=1,0,(H3570-F3570)*E3570)</f>
        <v/>
      </c>
      <c r="J3570">
        <f>E3570*F3570</f>
        <v/>
      </c>
    </row>
    <row r="3571">
      <c r="A3571">
        <f>Sources!A3571</f>
        <v/>
      </c>
      <c r="B3571">
        <f>Sources!B3571</f>
        <v/>
      </c>
      <c r="C3571">
        <f>Sources!D3571</f>
        <v/>
      </c>
      <c r="D3571">
        <f>Sources!E3571</f>
        <v/>
      </c>
      <c r="E3571">
        <f>Sources!F3571</f>
        <v/>
      </c>
      <c r="F3571">
        <f>Sources!H3571</f>
        <v/>
      </c>
      <c r="G3571">
        <f>IF(ABS(F3571-ROUND(F3571,0))&lt;0.001,1,0)</f>
        <v/>
      </c>
      <c r="H3571">
        <f>IF(G3571=1,F3571,CEILING(F3571,1))</f>
        <v/>
      </c>
      <c r="I3571">
        <f>IF(G3571=1,0,(H3571-F3571)*E3571)</f>
        <v/>
      </c>
      <c r="J3571">
        <f>E3571*F3571</f>
        <v/>
      </c>
    </row>
    <row r="3572">
      <c r="A3572">
        <f>Sources!A3572</f>
        <v/>
      </c>
      <c r="B3572">
        <f>Sources!B3572</f>
        <v/>
      </c>
      <c r="C3572">
        <f>Sources!D3572</f>
        <v/>
      </c>
      <c r="D3572">
        <f>Sources!E3572</f>
        <v/>
      </c>
      <c r="E3572">
        <f>Sources!F3572</f>
        <v/>
      </c>
      <c r="F3572">
        <f>Sources!H3572</f>
        <v/>
      </c>
      <c r="G3572">
        <f>IF(ABS(F3572-ROUND(F3572,0))&lt;0.001,1,0)</f>
        <v/>
      </c>
      <c r="H3572">
        <f>IF(G3572=1,F3572,CEILING(F3572,1))</f>
        <v/>
      </c>
      <c r="I3572">
        <f>IF(G3572=1,0,(H3572-F3572)*E3572)</f>
        <v/>
      </c>
      <c r="J3572">
        <f>E3572*F3572</f>
        <v/>
      </c>
    </row>
    <row r="3573">
      <c r="A3573">
        <f>Sources!A3573</f>
        <v/>
      </c>
      <c r="B3573">
        <f>Sources!B3573</f>
        <v/>
      </c>
      <c r="C3573">
        <f>Sources!D3573</f>
        <v/>
      </c>
      <c r="D3573">
        <f>Sources!E3573</f>
        <v/>
      </c>
      <c r="E3573">
        <f>Sources!F3573</f>
        <v/>
      </c>
      <c r="F3573">
        <f>Sources!H3573</f>
        <v/>
      </c>
      <c r="G3573">
        <f>IF(ABS(F3573-ROUND(F3573,0))&lt;0.001,1,0)</f>
        <v/>
      </c>
      <c r="H3573">
        <f>IF(G3573=1,F3573,CEILING(F3573,1))</f>
        <v/>
      </c>
      <c r="I3573">
        <f>IF(G3573=1,0,(H3573-F3573)*E3573)</f>
        <v/>
      </c>
      <c r="J3573">
        <f>E3573*F3573</f>
        <v/>
      </c>
    </row>
    <row r="3574">
      <c r="A3574">
        <f>Sources!A3574</f>
        <v/>
      </c>
      <c r="B3574">
        <f>Sources!B3574</f>
        <v/>
      </c>
      <c r="C3574">
        <f>Sources!D3574</f>
        <v/>
      </c>
      <c r="D3574">
        <f>Sources!E3574</f>
        <v/>
      </c>
      <c r="E3574">
        <f>Sources!F3574</f>
        <v/>
      </c>
      <c r="F3574">
        <f>Sources!H3574</f>
        <v/>
      </c>
      <c r="G3574">
        <f>IF(ABS(F3574-ROUND(F3574,0))&lt;0.001,1,0)</f>
        <v/>
      </c>
      <c r="H3574">
        <f>IF(G3574=1,F3574,CEILING(F3574,1))</f>
        <v/>
      </c>
      <c r="I3574">
        <f>IF(G3574=1,0,(H3574-F3574)*E3574)</f>
        <v/>
      </c>
      <c r="J3574">
        <f>E3574*F3574</f>
        <v/>
      </c>
    </row>
    <row r="3575">
      <c r="A3575">
        <f>Sources!A3575</f>
        <v/>
      </c>
      <c r="B3575">
        <f>Sources!B3575</f>
        <v/>
      </c>
      <c r="C3575">
        <f>Sources!D3575</f>
        <v/>
      </c>
      <c r="D3575">
        <f>Sources!E3575</f>
        <v/>
      </c>
      <c r="E3575">
        <f>Sources!F3575</f>
        <v/>
      </c>
      <c r="F3575">
        <f>Sources!H3575</f>
        <v/>
      </c>
      <c r="G3575">
        <f>IF(ABS(F3575-ROUND(F3575,0))&lt;0.001,1,0)</f>
        <v/>
      </c>
      <c r="H3575">
        <f>IF(G3575=1,F3575,CEILING(F3575,1))</f>
        <v/>
      </c>
      <c r="I3575">
        <f>IF(G3575=1,0,(H3575-F3575)*E3575)</f>
        <v/>
      </c>
      <c r="J3575">
        <f>E3575*F3575</f>
        <v/>
      </c>
    </row>
    <row r="3576">
      <c r="A3576">
        <f>Sources!A3576</f>
        <v/>
      </c>
      <c r="B3576">
        <f>Sources!B3576</f>
        <v/>
      </c>
      <c r="C3576">
        <f>Sources!D3576</f>
        <v/>
      </c>
      <c r="D3576">
        <f>Sources!E3576</f>
        <v/>
      </c>
      <c r="E3576">
        <f>Sources!F3576</f>
        <v/>
      </c>
      <c r="F3576">
        <f>Sources!H3576</f>
        <v/>
      </c>
      <c r="G3576">
        <f>IF(ABS(F3576-ROUND(F3576,0))&lt;0.001,1,0)</f>
        <v/>
      </c>
      <c r="H3576">
        <f>IF(G3576=1,F3576,CEILING(F3576,1))</f>
        <v/>
      </c>
      <c r="I3576">
        <f>IF(G3576=1,0,(H3576-F3576)*E3576)</f>
        <v/>
      </c>
      <c r="J3576">
        <f>E3576*F3576</f>
        <v/>
      </c>
    </row>
    <row r="3577">
      <c r="A3577">
        <f>Sources!A3577</f>
        <v/>
      </c>
      <c r="B3577">
        <f>Sources!B3577</f>
        <v/>
      </c>
      <c r="C3577">
        <f>Sources!D3577</f>
        <v/>
      </c>
      <c r="D3577">
        <f>Sources!E3577</f>
        <v/>
      </c>
      <c r="E3577">
        <f>Sources!F3577</f>
        <v/>
      </c>
      <c r="F3577">
        <f>Sources!H3577</f>
        <v/>
      </c>
      <c r="G3577">
        <f>IF(ABS(F3577-ROUND(F3577,0))&lt;0.001,1,0)</f>
        <v/>
      </c>
      <c r="H3577">
        <f>IF(G3577=1,F3577,CEILING(F3577,1))</f>
        <v/>
      </c>
      <c r="I3577">
        <f>IF(G3577=1,0,(H3577-F3577)*E3577)</f>
        <v/>
      </c>
      <c r="J3577">
        <f>E3577*F3577</f>
        <v/>
      </c>
    </row>
    <row r="3578">
      <c r="A3578">
        <f>Sources!A3578</f>
        <v/>
      </c>
      <c r="B3578">
        <f>Sources!B3578</f>
        <v/>
      </c>
      <c r="C3578">
        <f>Sources!D3578</f>
        <v/>
      </c>
      <c r="D3578">
        <f>Sources!E3578</f>
        <v/>
      </c>
      <c r="E3578">
        <f>Sources!F3578</f>
        <v/>
      </c>
      <c r="F3578">
        <f>Sources!H3578</f>
        <v/>
      </c>
      <c r="G3578">
        <f>IF(ABS(F3578-ROUND(F3578,0))&lt;0.001,1,0)</f>
        <v/>
      </c>
      <c r="H3578">
        <f>IF(G3578=1,F3578,CEILING(F3578,1))</f>
        <v/>
      </c>
      <c r="I3578">
        <f>IF(G3578=1,0,(H3578-F3578)*E3578)</f>
        <v/>
      </c>
      <c r="J3578">
        <f>E3578*F3578</f>
        <v/>
      </c>
    </row>
    <row r="3579">
      <c r="A3579">
        <f>Sources!A3579</f>
        <v/>
      </c>
      <c r="B3579">
        <f>Sources!B3579</f>
        <v/>
      </c>
      <c r="C3579">
        <f>Sources!D3579</f>
        <v/>
      </c>
      <c r="D3579">
        <f>Sources!E3579</f>
        <v/>
      </c>
      <c r="E3579">
        <f>Sources!F3579</f>
        <v/>
      </c>
      <c r="F3579">
        <f>Sources!H3579</f>
        <v/>
      </c>
      <c r="G3579">
        <f>IF(ABS(F3579-ROUND(F3579,0))&lt;0.001,1,0)</f>
        <v/>
      </c>
      <c r="H3579">
        <f>IF(G3579=1,F3579,CEILING(F3579,1))</f>
        <v/>
      </c>
      <c r="I3579">
        <f>IF(G3579=1,0,(H3579-F3579)*E3579)</f>
        <v/>
      </c>
      <c r="J3579">
        <f>E3579*F3579</f>
        <v/>
      </c>
    </row>
    <row r="3580">
      <c r="A3580">
        <f>Sources!A3580</f>
        <v/>
      </c>
      <c r="B3580">
        <f>Sources!B3580</f>
        <v/>
      </c>
      <c r="C3580">
        <f>Sources!D3580</f>
        <v/>
      </c>
      <c r="D3580">
        <f>Sources!E3580</f>
        <v/>
      </c>
      <c r="E3580">
        <f>Sources!F3580</f>
        <v/>
      </c>
      <c r="F3580">
        <f>Sources!H3580</f>
        <v/>
      </c>
      <c r="G3580">
        <f>IF(ABS(F3580-ROUND(F3580,0))&lt;0.001,1,0)</f>
        <v/>
      </c>
      <c r="H3580">
        <f>IF(G3580=1,F3580,CEILING(F3580,1))</f>
        <v/>
      </c>
      <c r="I3580">
        <f>IF(G3580=1,0,(H3580-F3580)*E3580)</f>
        <v/>
      </c>
      <c r="J3580">
        <f>E3580*F3580</f>
        <v/>
      </c>
    </row>
    <row r="3581">
      <c r="A3581">
        <f>Sources!A3581</f>
        <v/>
      </c>
      <c r="B3581">
        <f>Sources!B3581</f>
        <v/>
      </c>
      <c r="C3581">
        <f>Sources!D3581</f>
        <v/>
      </c>
      <c r="D3581">
        <f>Sources!E3581</f>
        <v/>
      </c>
      <c r="E3581">
        <f>Sources!F3581</f>
        <v/>
      </c>
      <c r="F3581">
        <f>Sources!H3581</f>
        <v/>
      </c>
      <c r="G3581">
        <f>IF(ABS(F3581-ROUND(F3581,0))&lt;0.001,1,0)</f>
        <v/>
      </c>
      <c r="H3581">
        <f>IF(G3581=1,F3581,CEILING(F3581,1))</f>
        <v/>
      </c>
      <c r="I3581">
        <f>IF(G3581=1,0,(H3581-F3581)*E3581)</f>
        <v/>
      </c>
      <c r="J3581">
        <f>E3581*F3581</f>
        <v/>
      </c>
    </row>
    <row r="3582">
      <c r="A3582">
        <f>Sources!A3582</f>
        <v/>
      </c>
      <c r="B3582">
        <f>Sources!B3582</f>
        <v/>
      </c>
      <c r="C3582">
        <f>Sources!D3582</f>
        <v/>
      </c>
      <c r="D3582">
        <f>Sources!E3582</f>
        <v/>
      </c>
      <c r="E3582">
        <f>Sources!F3582</f>
        <v/>
      </c>
      <c r="F3582">
        <f>Sources!H3582</f>
        <v/>
      </c>
      <c r="G3582">
        <f>IF(ABS(F3582-ROUND(F3582,0))&lt;0.001,1,0)</f>
        <v/>
      </c>
      <c r="H3582">
        <f>IF(G3582=1,F3582,CEILING(F3582,1))</f>
        <v/>
      </c>
      <c r="I3582">
        <f>IF(G3582=1,0,(H3582-F3582)*E3582)</f>
        <v/>
      </c>
      <c r="J3582">
        <f>E3582*F3582</f>
        <v/>
      </c>
    </row>
    <row r="3583">
      <c r="A3583">
        <f>Sources!A3583</f>
        <v/>
      </c>
      <c r="B3583">
        <f>Sources!B3583</f>
        <v/>
      </c>
      <c r="C3583">
        <f>Sources!D3583</f>
        <v/>
      </c>
      <c r="D3583">
        <f>Sources!E3583</f>
        <v/>
      </c>
      <c r="E3583">
        <f>Sources!F3583</f>
        <v/>
      </c>
      <c r="F3583">
        <f>Sources!H3583</f>
        <v/>
      </c>
      <c r="G3583">
        <f>IF(ABS(F3583-ROUND(F3583,0))&lt;0.001,1,0)</f>
        <v/>
      </c>
      <c r="H3583">
        <f>IF(G3583=1,F3583,CEILING(F3583,1))</f>
        <v/>
      </c>
      <c r="I3583">
        <f>IF(G3583=1,0,(H3583-F3583)*E3583)</f>
        <v/>
      </c>
      <c r="J3583">
        <f>E3583*F3583</f>
        <v/>
      </c>
    </row>
    <row r="3584">
      <c r="A3584">
        <f>Sources!A3584</f>
        <v/>
      </c>
      <c r="B3584">
        <f>Sources!B3584</f>
        <v/>
      </c>
      <c r="C3584">
        <f>Sources!D3584</f>
        <v/>
      </c>
      <c r="D3584">
        <f>Sources!E3584</f>
        <v/>
      </c>
      <c r="E3584">
        <f>Sources!F3584</f>
        <v/>
      </c>
      <c r="F3584">
        <f>Sources!H3584</f>
        <v/>
      </c>
      <c r="G3584">
        <f>IF(ABS(F3584-ROUND(F3584,0))&lt;0.001,1,0)</f>
        <v/>
      </c>
      <c r="H3584">
        <f>IF(G3584=1,F3584,CEILING(F3584,1))</f>
        <v/>
      </c>
      <c r="I3584">
        <f>IF(G3584=1,0,(H3584-F3584)*E3584)</f>
        <v/>
      </c>
      <c r="J3584">
        <f>E3584*F3584</f>
        <v/>
      </c>
    </row>
    <row r="3585">
      <c r="A3585">
        <f>Sources!A3585</f>
        <v/>
      </c>
      <c r="B3585">
        <f>Sources!B3585</f>
        <v/>
      </c>
      <c r="C3585">
        <f>Sources!D3585</f>
        <v/>
      </c>
      <c r="D3585">
        <f>Sources!E3585</f>
        <v/>
      </c>
      <c r="E3585">
        <f>Sources!F3585</f>
        <v/>
      </c>
      <c r="F3585">
        <f>Sources!H3585</f>
        <v/>
      </c>
      <c r="G3585">
        <f>IF(ABS(F3585-ROUND(F3585,0))&lt;0.001,1,0)</f>
        <v/>
      </c>
      <c r="H3585">
        <f>IF(G3585=1,F3585,CEILING(F3585,1))</f>
        <v/>
      </c>
      <c r="I3585">
        <f>IF(G3585=1,0,(H3585-F3585)*E3585)</f>
        <v/>
      </c>
      <c r="J3585">
        <f>E3585*F3585</f>
        <v/>
      </c>
    </row>
    <row r="3586">
      <c r="A3586">
        <f>Sources!A3586</f>
        <v/>
      </c>
      <c r="B3586">
        <f>Sources!B3586</f>
        <v/>
      </c>
      <c r="C3586">
        <f>Sources!D3586</f>
        <v/>
      </c>
      <c r="D3586">
        <f>Sources!E3586</f>
        <v/>
      </c>
      <c r="E3586">
        <f>Sources!F3586</f>
        <v/>
      </c>
      <c r="F3586">
        <f>Sources!H3586</f>
        <v/>
      </c>
      <c r="G3586">
        <f>IF(ABS(F3586-ROUND(F3586,0))&lt;0.001,1,0)</f>
        <v/>
      </c>
      <c r="H3586">
        <f>IF(G3586=1,F3586,CEILING(F3586,1))</f>
        <v/>
      </c>
      <c r="I3586">
        <f>IF(G3586=1,0,(H3586-F3586)*E3586)</f>
        <v/>
      </c>
      <c r="J3586">
        <f>E3586*F3586</f>
        <v/>
      </c>
    </row>
    <row r="3587">
      <c r="A3587">
        <f>Sources!A3587</f>
        <v/>
      </c>
      <c r="B3587">
        <f>Sources!B3587</f>
        <v/>
      </c>
      <c r="C3587">
        <f>Sources!D3587</f>
        <v/>
      </c>
      <c r="D3587">
        <f>Sources!E3587</f>
        <v/>
      </c>
      <c r="E3587">
        <f>Sources!F3587</f>
        <v/>
      </c>
      <c r="F3587">
        <f>Sources!H3587</f>
        <v/>
      </c>
      <c r="G3587">
        <f>IF(ABS(F3587-ROUND(F3587,0))&lt;0.001,1,0)</f>
        <v/>
      </c>
      <c r="H3587">
        <f>IF(G3587=1,F3587,CEILING(F3587,1))</f>
        <v/>
      </c>
      <c r="I3587">
        <f>IF(G3587=1,0,(H3587-F3587)*E3587)</f>
        <v/>
      </c>
      <c r="J3587">
        <f>E3587*F3587</f>
        <v/>
      </c>
    </row>
    <row r="3588">
      <c r="A3588">
        <f>Sources!A3588</f>
        <v/>
      </c>
      <c r="B3588">
        <f>Sources!B3588</f>
        <v/>
      </c>
      <c r="C3588">
        <f>Sources!D3588</f>
        <v/>
      </c>
      <c r="D3588">
        <f>Sources!E3588</f>
        <v/>
      </c>
      <c r="E3588">
        <f>Sources!F3588</f>
        <v/>
      </c>
      <c r="F3588">
        <f>Sources!H3588</f>
        <v/>
      </c>
      <c r="G3588">
        <f>IF(ABS(F3588-ROUND(F3588,0))&lt;0.001,1,0)</f>
        <v/>
      </c>
      <c r="H3588">
        <f>IF(G3588=1,F3588,CEILING(F3588,1))</f>
        <v/>
      </c>
      <c r="I3588">
        <f>IF(G3588=1,0,(H3588-F3588)*E3588)</f>
        <v/>
      </c>
      <c r="J3588">
        <f>E3588*F3588</f>
        <v/>
      </c>
    </row>
    <row r="3589">
      <c r="A3589">
        <f>Sources!A3589</f>
        <v/>
      </c>
      <c r="B3589">
        <f>Sources!B3589</f>
        <v/>
      </c>
      <c r="C3589">
        <f>Sources!D3589</f>
        <v/>
      </c>
      <c r="D3589">
        <f>Sources!E3589</f>
        <v/>
      </c>
      <c r="E3589">
        <f>Sources!F3589</f>
        <v/>
      </c>
      <c r="F3589">
        <f>Sources!H3589</f>
        <v/>
      </c>
      <c r="G3589">
        <f>IF(ABS(F3589-ROUND(F3589,0))&lt;0.001,1,0)</f>
        <v/>
      </c>
      <c r="H3589">
        <f>IF(G3589=1,F3589,CEILING(F3589,1))</f>
        <v/>
      </c>
      <c r="I3589">
        <f>IF(G3589=1,0,(H3589-F3589)*E3589)</f>
        <v/>
      </c>
      <c r="J3589">
        <f>E3589*F3589</f>
        <v/>
      </c>
    </row>
    <row r="3590">
      <c r="A3590">
        <f>Sources!A3590</f>
        <v/>
      </c>
      <c r="B3590">
        <f>Sources!B3590</f>
        <v/>
      </c>
      <c r="C3590">
        <f>Sources!D3590</f>
        <v/>
      </c>
      <c r="D3590">
        <f>Sources!E3590</f>
        <v/>
      </c>
      <c r="E3590">
        <f>Sources!F3590</f>
        <v/>
      </c>
      <c r="F3590">
        <f>Sources!H3590</f>
        <v/>
      </c>
      <c r="G3590">
        <f>IF(ABS(F3590-ROUND(F3590,0))&lt;0.001,1,0)</f>
        <v/>
      </c>
      <c r="H3590">
        <f>IF(G3590=1,F3590,CEILING(F3590,1))</f>
        <v/>
      </c>
      <c r="I3590">
        <f>IF(G3590=1,0,(H3590-F3590)*E3590)</f>
        <v/>
      </c>
      <c r="J3590">
        <f>E3590*F3590</f>
        <v/>
      </c>
    </row>
    <row r="3591">
      <c r="A3591">
        <f>Sources!A3591</f>
        <v/>
      </c>
      <c r="B3591">
        <f>Sources!B3591</f>
        <v/>
      </c>
      <c r="C3591">
        <f>Sources!D3591</f>
        <v/>
      </c>
      <c r="D3591">
        <f>Sources!E3591</f>
        <v/>
      </c>
      <c r="E3591">
        <f>Sources!F3591</f>
        <v/>
      </c>
      <c r="F3591">
        <f>Sources!H3591</f>
        <v/>
      </c>
      <c r="G3591">
        <f>IF(ABS(F3591-ROUND(F3591,0))&lt;0.001,1,0)</f>
        <v/>
      </c>
      <c r="H3591">
        <f>IF(G3591=1,F3591,CEILING(F3591,1))</f>
        <v/>
      </c>
      <c r="I3591">
        <f>IF(G3591=1,0,(H3591-F3591)*E3591)</f>
        <v/>
      </c>
      <c r="J3591">
        <f>E3591*F3591</f>
        <v/>
      </c>
    </row>
    <row r="3592">
      <c r="A3592">
        <f>Sources!A3592</f>
        <v/>
      </c>
      <c r="B3592">
        <f>Sources!B3592</f>
        <v/>
      </c>
      <c r="C3592">
        <f>Sources!D3592</f>
        <v/>
      </c>
      <c r="D3592">
        <f>Sources!E3592</f>
        <v/>
      </c>
      <c r="E3592">
        <f>Sources!F3592</f>
        <v/>
      </c>
      <c r="F3592">
        <f>Sources!H3592</f>
        <v/>
      </c>
      <c r="G3592">
        <f>IF(ABS(F3592-ROUND(F3592,0))&lt;0.001,1,0)</f>
        <v/>
      </c>
      <c r="H3592">
        <f>IF(G3592=1,F3592,CEILING(F3592,1))</f>
        <v/>
      </c>
      <c r="I3592">
        <f>IF(G3592=1,0,(H3592-F3592)*E3592)</f>
        <v/>
      </c>
      <c r="J3592">
        <f>E3592*F3592</f>
        <v/>
      </c>
    </row>
    <row r="3593">
      <c r="A3593">
        <f>Sources!A3593</f>
        <v/>
      </c>
      <c r="B3593">
        <f>Sources!B3593</f>
        <v/>
      </c>
      <c r="C3593">
        <f>Sources!D3593</f>
        <v/>
      </c>
      <c r="D3593">
        <f>Sources!E3593</f>
        <v/>
      </c>
      <c r="E3593">
        <f>Sources!F3593</f>
        <v/>
      </c>
      <c r="F3593">
        <f>Sources!H3593</f>
        <v/>
      </c>
      <c r="G3593">
        <f>IF(ABS(F3593-ROUND(F3593,0))&lt;0.001,1,0)</f>
        <v/>
      </c>
      <c r="H3593">
        <f>IF(G3593=1,F3593,CEILING(F3593,1))</f>
        <v/>
      </c>
      <c r="I3593">
        <f>IF(G3593=1,0,(H3593-F3593)*E3593)</f>
        <v/>
      </c>
      <c r="J3593">
        <f>E3593*F3593</f>
        <v/>
      </c>
    </row>
    <row r="3594">
      <c r="A3594">
        <f>Sources!A3594</f>
        <v/>
      </c>
      <c r="B3594">
        <f>Sources!B3594</f>
        <v/>
      </c>
      <c r="C3594">
        <f>Sources!D3594</f>
        <v/>
      </c>
      <c r="D3594">
        <f>Sources!E3594</f>
        <v/>
      </c>
      <c r="E3594">
        <f>Sources!F3594</f>
        <v/>
      </c>
      <c r="F3594">
        <f>Sources!H3594</f>
        <v/>
      </c>
      <c r="G3594">
        <f>IF(ABS(F3594-ROUND(F3594,0))&lt;0.001,1,0)</f>
        <v/>
      </c>
      <c r="H3594">
        <f>IF(G3594=1,F3594,CEILING(F3594,1))</f>
        <v/>
      </c>
      <c r="I3594">
        <f>IF(G3594=1,0,(H3594-F3594)*E3594)</f>
        <v/>
      </c>
      <c r="J3594">
        <f>E3594*F3594</f>
        <v/>
      </c>
    </row>
    <row r="3595">
      <c r="A3595">
        <f>Sources!A3595</f>
        <v/>
      </c>
      <c r="B3595">
        <f>Sources!B3595</f>
        <v/>
      </c>
      <c r="C3595">
        <f>Sources!D3595</f>
        <v/>
      </c>
      <c r="D3595">
        <f>Sources!E3595</f>
        <v/>
      </c>
      <c r="E3595">
        <f>Sources!F3595</f>
        <v/>
      </c>
      <c r="F3595">
        <f>Sources!H3595</f>
        <v/>
      </c>
      <c r="G3595">
        <f>IF(ABS(F3595-ROUND(F3595,0))&lt;0.001,1,0)</f>
        <v/>
      </c>
      <c r="H3595">
        <f>IF(G3595=1,F3595,CEILING(F3595,1))</f>
        <v/>
      </c>
      <c r="I3595">
        <f>IF(G3595=1,0,(H3595-F3595)*E3595)</f>
        <v/>
      </c>
      <c r="J3595">
        <f>E3595*F3595</f>
        <v/>
      </c>
    </row>
    <row r="3596">
      <c r="A3596">
        <f>Sources!A3596</f>
        <v/>
      </c>
      <c r="B3596">
        <f>Sources!B3596</f>
        <v/>
      </c>
      <c r="C3596">
        <f>Sources!D3596</f>
        <v/>
      </c>
      <c r="D3596">
        <f>Sources!E3596</f>
        <v/>
      </c>
      <c r="E3596">
        <f>Sources!F3596</f>
        <v/>
      </c>
      <c r="F3596">
        <f>Sources!H3596</f>
        <v/>
      </c>
      <c r="G3596">
        <f>IF(ABS(F3596-ROUND(F3596,0))&lt;0.001,1,0)</f>
        <v/>
      </c>
      <c r="H3596">
        <f>IF(G3596=1,F3596,CEILING(F3596,1))</f>
        <v/>
      </c>
      <c r="I3596">
        <f>IF(G3596=1,0,(H3596-F3596)*E3596)</f>
        <v/>
      </c>
      <c r="J3596">
        <f>E3596*F3596</f>
        <v/>
      </c>
    </row>
    <row r="3597">
      <c r="A3597">
        <f>Sources!A3597</f>
        <v/>
      </c>
      <c r="B3597">
        <f>Sources!B3597</f>
        <v/>
      </c>
      <c r="C3597">
        <f>Sources!D3597</f>
        <v/>
      </c>
      <c r="D3597">
        <f>Sources!E3597</f>
        <v/>
      </c>
      <c r="E3597">
        <f>Sources!F3597</f>
        <v/>
      </c>
      <c r="F3597">
        <f>Sources!H3597</f>
        <v/>
      </c>
      <c r="G3597">
        <f>IF(ABS(F3597-ROUND(F3597,0))&lt;0.001,1,0)</f>
        <v/>
      </c>
      <c r="H3597">
        <f>IF(G3597=1,F3597,CEILING(F3597,1))</f>
        <v/>
      </c>
      <c r="I3597">
        <f>IF(G3597=1,0,(H3597-F3597)*E3597)</f>
        <v/>
      </c>
      <c r="J3597">
        <f>E3597*F3597</f>
        <v/>
      </c>
    </row>
    <row r="3598">
      <c r="A3598">
        <f>Sources!A3598</f>
        <v/>
      </c>
      <c r="B3598">
        <f>Sources!B3598</f>
        <v/>
      </c>
      <c r="C3598">
        <f>Sources!D3598</f>
        <v/>
      </c>
      <c r="D3598">
        <f>Sources!E3598</f>
        <v/>
      </c>
      <c r="E3598">
        <f>Sources!F3598</f>
        <v/>
      </c>
      <c r="F3598">
        <f>Sources!H3598</f>
        <v/>
      </c>
      <c r="G3598">
        <f>IF(ABS(F3598-ROUND(F3598,0))&lt;0.001,1,0)</f>
        <v/>
      </c>
      <c r="H3598">
        <f>IF(G3598=1,F3598,CEILING(F3598,1))</f>
        <v/>
      </c>
      <c r="I3598">
        <f>IF(G3598=1,0,(H3598-F3598)*E3598)</f>
        <v/>
      </c>
      <c r="J3598">
        <f>E3598*F3598</f>
        <v/>
      </c>
    </row>
    <row r="3599">
      <c r="A3599">
        <f>Sources!A3599</f>
        <v/>
      </c>
      <c r="B3599">
        <f>Sources!B3599</f>
        <v/>
      </c>
      <c r="C3599">
        <f>Sources!D3599</f>
        <v/>
      </c>
      <c r="D3599">
        <f>Sources!E3599</f>
        <v/>
      </c>
      <c r="E3599">
        <f>Sources!F3599</f>
        <v/>
      </c>
      <c r="F3599">
        <f>Sources!H3599</f>
        <v/>
      </c>
      <c r="G3599">
        <f>IF(ABS(F3599-ROUND(F3599,0))&lt;0.001,1,0)</f>
        <v/>
      </c>
      <c r="H3599">
        <f>IF(G3599=1,F3599,CEILING(F3599,1))</f>
        <v/>
      </c>
      <c r="I3599">
        <f>IF(G3599=1,0,(H3599-F3599)*E3599)</f>
        <v/>
      </c>
      <c r="J3599">
        <f>E3599*F3599</f>
        <v/>
      </c>
    </row>
    <row r="3600">
      <c r="A3600">
        <f>Sources!A3600</f>
        <v/>
      </c>
      <c r="B3600">
        <f>Sources!B3600</f>
        <v/>
      </c>
      <c r="C3600">
        <f>Sources!D3600</f>
        <v/>
      </c>
      <c r="D3600">
        <f>Sources!E3600</f>
        <v/>
      </c>
      <c r="E3600">
        <f>Sources!F3600</f>
        <v/>
      </c>
      <c r="F3600">
        <f>Sources!H3600</f>
        <v/>
      </c>
      <c r="G3600">
        <f>IF(ABS(F3600-ROUND(F3600,0))&lt;0.001,1,0)</f>
        <v/>
      </c>
      <c r="H3600">
        <f>IF(G3600=1,F3600,CEILING(F3600,1))</f>
        <v/>
      </c>
      <c r="I3600">
        <f>IF(G3600=1,0,(H3600-F3600)*E3600)</f>
        <v/>
      </c>
      <c r="J3600">
        <f>E3600*F3600</f>
        <v/>
      </c>
    </row>
    <row r="3601">
      <c r="A3601">
        <f>Sources!A3601</f>
        <v/>
      </c>
      <c r="B3601">
        <f>Sources!B3601</f>
        <v/>
      </c>
      <c r="C3601">
        <f>Sources!D3601</f>
        <v/>
      </c>
      <c r="D3601">
        <f>Sources!E3601</f>
        <v/>
      </c>
      <c r="E3601">
        <f>Sources!F3601</f>
        <v/>
      </c>
      <c r="F3601">
        <f>Sources!H3601</f>
        <v/>
      </c>
      <c r="G3601">
        <f>IF(ABS(F3601-ROUND(F3601,0))&lt;0.001,1,0)</f>
        <v/>
      </c>
      <c r="H3601">
        <f>IF(G3601=1,F3601,CEILING(F3601,1))</f>
        <v/>
      </c>
      <c r="I3601">
        <f>IF(G3601=1,0,(H3601-F3601)*E3601)</f>
        <v/>
      </c>
      <c r="J3601">
        <f>E3601*F3601</f>
        <v/>
      </c>
    </row>
    <row r="3602">
      <c r="A3602">
        <f>Sources!A3602</f>
        <v/>
      </c>
      <c r="B3602">
        <f>Sources!B3602</f>
        <v/>
      </c>
      <c r="C3602">
        <f>Sources!D3602</f>
        <v/>
      </c>
      <c r="D3602">
        <f>Sources!E3602</f>
        <v/>
      </c>
      <c r="E3602">
        <f>Sources!F3602</f>
        <v/>
      </c>
      <c r="F3602">
        <f>Sources!H3602</f>
        <v/>
      </c>
      <c r="G3602">
        <f>IF(ABS(F3602-ROUND(F3602,0))&lt;0.001,1,0)</f>
        <v/>
      </c>
      <c r="H3602">
        <f>IF(G3602=1,F3602,CEILING(F3602,1))</f>
        <v/>
      </c>
      <c r="I3602">
        <f>IF(G3602=1,0,(H3602-F3602)*E3602)</f>
        <v/>
      </c>
      <c r="J3602">
        <f>E3602*F3602</f>
        <v/>
      </c>
    </row>
    <row r="3603">
      <c r="A3603">
        <f>Sources!A3603</f>
        <v/>
      </c>
      <c r="B3603">
        <f>Sources!B3603</f>
        <v/>
      </c>
      <c r="C3603">
        <f>Sources!D3603</f>
        <v/>
      </c>
      <c r="D3603">
        <f>Sources!E3603</f>
        <v/>
      </c>
      <c r="E3603">
        <f>Sources!F3603</f>
        <v/>
      </c>
      <c r="F3603">
        <f>Sources!H3603</f>
        <v/>
      </c>
      <c r="G3603">
        <f>IF(ABS(F3603-ROUND(F3603,0))&lt;0.001,1,0)</f>
        <v/>
      </c>
      <c r="H3603">
        <f>IF(G3603=1,F3603,CEILING(F3603,1))</f>
        <v/>
      </c>
      <c r="I3603">
        <f>IF(G3603=1,0,(H3603-F3603)*E3603)</f>
        <v/>
      </c>
      <c r="J3603">
        <f>E3603*F3603</f>
        <v/>
      </c>
    </row>
    <row r="3604">
      <c r="A3604">
        <f>Sources!A3604</f>
        <v/>
      </c>
      <c r="B3604">
        <f>Sources!B3604</f>
        <v/>
      </c>
      <c r="C3604">
        <f>Sources!D3604</f>
        <v/>
      </c>
      <c r="D3604">
        <f>Sources!E3604</f>
        <v/>
      </c>
      <c r="E3604">
        <f>Sources!F3604</f>
        <v/>
      </c>
      <c r="F3604">
        <f>Sources!H3604</f>
        <v/>
      </c>
      <c r="G3604">
        <f>IF(ABS(F3604-ROUND(F3604,0))&lt;0.001,1,0)</f>
        <v/>
      </c>
      <c r="H3604">
        <f>IF(G3604=1,F3604,CEILING(F3604,1))</f>
        <v/>
      </c>
      <c r="I3604">
        <f>IF(G3604=1,0,(H3604-F3604)*E3604)</f>
        <v/>
      </c>
      <c r="J3604">
        <f>E3604*F3604</f>
        <v/>
      </c>
    </row>
    <row r="3605">
      <c r="A3605">
        <f>Sources!A3605</f>
        <v/>
      </c>
      <c r="B3605">
        <f>Sources!B3605</f>
        <v/>
      </c>
      <c r="C3605">
        <f>Sources!D3605</f>
        <v/>
      </c>
      <c r="D3605">
        <f>Sources!E3605</f>
        <v/>
      </c>
      <c r="E3605">
        <f>Sources!F3605</f>
        <v/>
      </c>
      <c r="F3605">
        <f>Sources!H3605</f>
        <v/>
      </c>
      <c r="G3605">
        <f>IF(ABS(F3605-ROUND(F3605,0))&lt;0.001,1,0)</f>
        <v/>
      </c>
      <c r="H3605">
        <f>IF(G3605=1,F3605,CEILING(F3605,1))</f>
        <v/>
      </c>
      <c r="I3605">
        <f>IF(G3605=1,0,(H3605-F3605)*E3605)</f>
        <v/>
      </c>
      <c r="J3605">
        <f>E3605*F3605</f>
        <v/>
      </c>
    </row>
    <row r="3606">
      <c r="A3606">
        <f>Sources!A3606</f>
        <v/>
      </c>
      <c r="B3606">
        <f>Sources!B3606</f>
        <v/>
      </c>
      <c r="C3606">
        <f>Sources!D3606</f>
        <v/>
      </c>
      <c r="D3606">
        <f>Sources!E3606</f>
        <v/>
      </c>
      <c r="E3606">
        <f>Sources!F3606</f>
        <v/>
      </c>
      <c r="F3606">
        <f>Sources!H3606</f>
        <v/>
      </c>
      <c r="G3606">
        <f>IF(ABS(F3606-ROUND(F3606,0))&lt;0.001,1,0)</f>
        <v/>
      </c>
      <c r="H3606">
        <f>IF(G3606=1,F3606,CEILING(F3606,1))</f>
        <v/>
      </c>
      <c r="I3606">
        <f>IF(G3606=1,0,(H3606-F3606)*E3606)</f>
        <v/>
      </c>
      <c r="J3606">
        <f>E3606*F3606</f>
        <v/>
      </c>
    </row>
    <row r="3607">
      <c r="A3607">
        <f>Sources!A3607</f>
        <v/>
      </c>
      <c r="B3607">
        <f>Sources!B3607</f>
        <v/>
      </c>
      <c r="C3607">
        <f>Sources!D3607</f>
        <v/>
      </c>
      <c r="D3607">
        <f>Sources!E3607</f>
        <v/>
      </c>
      <c r="E3607">
        <f>Sources!F3607</f>
        <v/>
      </c>
      <c r="F3607">
        <f>Sources!H3607</f>
        <v/>
      </c>
      <c r="G3607">
        <f>IF(ABS(F3607-ROUND(F3607,0))&lt;0.001,1,0)</f>
        <v/>
      </c>
      <c r="H3607">
        <f>IF(G3607=1,F3607,CEILING(F3607,1))</f>
        <v/>
      </c>
      <c r="I3607">
        <f>IF(G3607=1,0,(H3607-F3607)*E3607)</f>
        <v/>
      </c>
      <c r="J3607">
        <f>E3607*F3607</f>
        <v/>
      </c>
    </row>
    <row r="3608">
      <c r="A3608">
        <f>Sources!A3608</f>
        <v/>
      </c>
      <c r="B3608">
        <f>Sources!B3608</f>
        <v/>
      </c>
      <c r="C3608">
        <f>Sources!D3608</f>
        <v/>
      </c>
      <c r="D3608">
        <f>Sources!E3608</f>
        <v/>
      </c>
      <c r="E3608">
        <f>Sources!F3608</f>
        <v/>
      </c>
      <c r="F3608">
        <f>Sources!H3608</f>
        <v/>
      </c>
      <c r="G3608">
        <f>IF(ABS(F3608-ROUND(F3608,0))&lt;0.001,1,0)</f>
        <v/>
      </c>
      <c r="H3608">
        <f>IF(G3608=1,F3608,CEILING(F3608,1))</f>
        <v/>
      </c>
      <c r="I3608">
        <f>IF(G3608=1,0,(H3608-F3608)*E3608)</f>
        <v/>
      </c>
      <c r="J3608">
        <f>E3608*F3608</f>
        <v/>
      </c>
    </row>
    <row r="3609">
      <c r="A3609">
        <f>Sources!A3609</f>
        <v/>
      </c>
      <c r="B3609">
        <f>Sources!B3609</f>
        <v/>
      </c>
      <c r="C3609">
        <f>Sources!D3609</f>
        <v/>
      </c>
      <c r="D3609">
        <f>Sources!E3609</f>
        <v/>
      </c>
      <c r="E3609">
        <f>Sources!F3609</f>
        <v/>
      </c>
      <c r="F3609">
        <f>Sources!H3609</f>
        <v/>
      </c>
      <c r="G3609">
        <f>IF(ABS(F3609-ROUND(F3609,0))&lt;0.001,1,0)</f>
        <v/>
      </c>
      <c r="H3609">
        <f>IF(G3609=1,F3609,CEILING(F3609,1))</f>
        <v/>
      </c>
      <c r="I3609">
        <f>IF(G3609=1,0,(H3609-F3609)*E3609)</f>
        <v/>
      </c>
      <c r="J3609">
        <f>E3609*F3609</f>
        <v/>
      </c>
    </row>
    <row r="3610">
      <c r="A3610">
        <f>Sources!A3610</f>
        <v/>
      </c>
      <c r="B3610">
        <f>Sources!B3610</f>
        <v/>
      </c>
      <c r="C3610">
        <f>Sources!D3610</f>
        <v/>
      </c>
      <c r="D3610">
        <f>Sources!E3610</f>
        <v/>
      </c>
      <c r="E3610">
        <f>Sources!F3610</f>
        <v/>
      </c>
      <c r="F3610">
        <f>Sources!H3610</f>
        <v/>
      </c>
      <c r="G3610">
        <f>IF(ABS(F3610-ROUND(F3610,0))&lt;0.001,1,0)</f>
        <v/>
      </c>
      <c r="H3610">
        <f>IF(G3610=1,F3610,CEILING(F3610,1))</f>
        <v/>
      </c>
      <c r="I3610">
        <f>IF(G3610=1,0,(H3610-F3610)*E3610)</f>
        <v/>
      </c>
      <c r="J3610">
        <f>E3610*F3610</f>
        <v/>
      </c>
    </row>
    <row r="3611">
      <c r="A3611">
        <f>Sources!A3611</f>
        <v/>
      </c>
      <c r="B3611">
        <f>Sources!B3611</f>
        <v/>
      </c>
      <c r="C3611">
        <f>Sources!D3611</f>
        <v/>
      </c>
      <c r="D3611">
        <f>Sources!E3611</f>
        <v/>
      </c>
      <c r="E3611">
        <f>Sources!F3611</f>
        <v/>
      </c>
      <c r="F3611">
        <f>Sources!H3611</f>
        <v/>
      </c>
      <c r="G3611">
        <f>IF(ABS(F3611-ROUND(F3611,0))&lt;0.001,1,0)</f>
        <v/>
      </c>
      <c r="H3611">
        <f>IF(G3611=1,F3611,CEILING(F3611,1))</f>
        <v/>
      </c>
      <c r="I3611">
        <f>IF(G3611=1,0,(H3611-F3611)*E3611)</f>
        <v/>
      </c>
      <c r="J3611">
        <f>E3611*F3611</f>
        <v/>
      </c>
    </row>
    <row r="3612">
      <c r="A3612">
        <f>Sources!A3612</f>
        <v/>
      </c>
      <c r="B3612">
        <f>Sources!B3612</f>
        <v/>
      </c>
      <c r="C3612">
        <f>Sources!D3612</f>
        <v/>
      </c>
      <c r="D3612">
        <f>Sources!E3612</f>
        <v/>
      </c>
      <c r="E3612">
        <f>Sources!F3612</f>
        <v/>
      </c>
      <c r="F3612">
        <f>Sources!H3612</f>
        <v/>
      </c>
      <c r="G3612">
        <f>IF(ABS(F3612-ROUND(F3612,0))&lt;0.001,1,0)</f>
        <v/>
      </c>
      <c r="H3612">
        <f>IF(G3612=1,F3612,CEILING(F3612,1))</f>
        <v/>
      </c>
      <c r="I3612">
        <f>IF(G3612=1,0,(H3612-F3612)*E3612)</f>
        <v/>
      </c>
      <c r="J3612">
        <f>E3612*F3612</f>
        <v/>
      </c>
    </row>
    <row r="3613">
      <c r="A3613">
        <f>Sources!A3613</f>
        <v/>
      </c>
      <c r="B3613">
        <f>Sources!B3613</f>
        <v/>
      </c>
      <c r="C3613">
        <f>Sources!D3613</f>
        <v/>
      </c>
      <c r="D3613">
        <f>Sources!E3613</f>
        <v/>
      </c>
      <c r="E3613">
        <f>Sources!F3613</f>
        <v/>
      </c>
      <c r="F3613">
        <f>Sources!H3613</f>
        <v/>
      </c>
      <c r="G3613">
        <f>IF(ABS(F3613-ROUND(F3613,0))&lt;0.001,1,0)</f>
        <v/>
      </c>
      <c r="H3613">
        <f>IF(G3613=1,F3613,CEILING(F3613,1))</f>
        <v/>
      </c>
      <c r="I3613">
        <f>IF(G3613=1,0,(H3613-F3613)*E3613)</f>
        <v/>
      </c>
      <c r="J3613">
        <f>E3613*F3613</f>
        <v/>
      </c>
    </row>
    <row r="3614">
      <c r="A3614">
        <f>Sources!A3614</f>
        <v/>
      </c>
      <c r="B3614">
        <f>Sources!B3614</f>
        <v/>
      </c>
      <c r="C3614">
        <f>Sources!D3614</f>
        <v/>
      </c>
      <c r="D3614">
        <f>Sources!E3614</f>
        <v/>
      </c>
      <c r="E3614">
        <f>Sources!F3614</f>
        <v/>
      </c>
      <c r="F3614">
        <f>Sources!H3614</f>
        <v/>
      </c>
      <c r="G3614">
        <f>IF(ABS(F3614-ROUND(F3614,0))&lt;0.001,1,0)</f>
        <v/>
      </c>
      <c r="H3614">
        <f>IF(G3614=1,F3614,CEILING(F3614,1))</f>
        <v/>
      </c>
      <c r="I3614">
        <f>IF(G3614=1,0,(H3614-F3614)*E3614)</f>
        <v/>
      </c>
      <c r="J3614">
        <f>E3614*F3614</f>
        <v/>
      </c>
    </row>
    <row r="3615">
      <c r="A3615">
        <f>Sources!A3615</f>
        <v/>
      </c>
      <c r="B3615">
        <f>Sources!B3615</f>
        <v/>
      </c>
      <c r="C3615">
        <f>Sources!D3615</f>
        <v/>
      </c>
      <c r="D3615">
        <f>Sources!E3615</f>
        <v/>
      </c>
      <c r="E3615">
        <f>Sources!F3615</f>
        <v/>
      </c>
      <c r="F3615">
        <f>Sources!H3615</f>
        <v/>
      </c>
      <c r="G3615">
        <f>IF(ABS(F3615-ROUND(F3615,0))&lt;0.001,1,0)</f>
        <v/>
      </c>
      <c r="H3615">
        <f>IF(G3615=1,F3615,CEILING(F3615,1))</f>
        <v/>
      </c>
      <c r="I3615">
        <f>IF(G3615=1,0,(H3615-F3615)*E3615)</f>
        <v/>
      </c>
      <c r="J3615">
        <f>E3615*F3615</f>
        <v/>
      </c>
    </row>
    <row r="3616">
      <c r="A3616">
        <f>Sources!A3616</f>
        <v/>
      </c>
      <c r="B3616">
        <f>Sources!B3616</f>
        <v/>
      </c>
      <c r="C3616">
        <f>Sources!D3616</f>
        <v/>
      </c>
      <c r="D3616">
        <f>Sources!E3616</f>
        <v/>
      </c>
      <c r="E3616">
        <f>Sources!F3616</f>
        <v/>
      </c>
      <c r="F3616">
        <f>Sources!H3616</f>
        <v/>
      </c>
      <c r="G3616">
        <f>IF(ABS(F3616-ROUND(F3616,0))&lt;0.001,1,0)</f>
        <v/>
      </c>
      <c r="H3616">
        <f>IF(G3616=1,F3616,CEILING(F3616,1))</f>
        <v/>
      </c>
      <c r="I3616">
        <f>IF(G3616=1,0,(H3616-F3616)*E3616)</f>
        <v/>
      </c>
      <c r="J3616">
        <f>E3616*F3616</f>
        <v/>
      </c>
    </row>
    <row r="3617">
      <c r="A3617">
        <f>Sources!A3617</f>
        <v/>
      </c>
      <c r="B3617">
        <f>Sources!B3617</f>
        <v/>
      </c>
      <c r="C3617">
        <f>Sources!D3617</f>
        <v/>
      </c>
      <c r="D3617">
        <f>Sources!E3617</f>
        <v/>
      </c>
      <c r="E3617">
        <f>Sources!F3617</f>
        <v/>
      </c>
      <c r="F3617">
        <f>Sources!H3617</f>
        <v/>
      </c>
      <c r="G3617">
        <f>IF(ABS(F3617-ROUND(F3617,0))&lt;0.001,1,0)</f>
        <v/>
      </c>
      <c r="H3617">
        <f>IF(G3617=1,F3617,CEILING(F3617,1))</f>
        <v/>
      </c>
      <c r="I3617">
        <f>IF(G3617=1,0,(H3617-F3617)*E3617)</f>
        <v/>
      </c>
      <c r="J3617">
        <f>E3617*F3617</f>
        <v/>
      </c>
    </row>
    <row r="3618">
      <c r="A3618">
        <f>Sources!A3618</f>
        <v/>
      </c>
      <c r="B3618">
        <f>Sources!B3618</f>
        <v/>
      </c>
      <c r="C3618">
        <f>Sources!D3618</f>
        <v/>
      </c>
      <c r="D3618">
        <f>Sources!E3618</f>
        <v/>
      </c>
      <c r="E3618">
        <f>Sources!F3618</f>
        <v/>
      </c>
      <c r="F3618">
        <f>Sources!H3618</f>
        <v/>
      </c>
      <c r="G3618">
        <f>IF(ABS(F3618-ROUND(F3618,0))&lt;0.001,1,0)</f>
        <v/>
      </c>
      <c r="H3618">
        <f>IF(G3618=1,F3618,CEILING(F3618,1))</f>
        <v/>
      </c>
      <c r="I3618">
        <f>IF(G3618=1,0,(H3618-F3618)*E3618)</f>
        <v/>
      </c>
      <c r="J3618">
        <f>E3618*F3618</f>
        <v/>
      </c>
    </row>
    <row r="3619">
      <c r="A3619">
        <f>Sources!A3619</f>
        <v/>
      </c>
      <c r="B3619">
        <f>Sources!B3619</f>
        <v/>
      </c>
      <c r="C3619">
        <f>Sources!D3619</f>
        <v/>
      </c>
      <c r="D3619">
        <f>Sources!E3619</f>
        <v/>
      </c>
      <c r="E3619">
        <f>Sources!F3619</f>
        <v/>
      </c>
      <c r="F3619">
        <f>Sources!H3619</f>
        <v/>
      </c>
      <c r="G3619">
        <f>IF(ABS(F3619-ROUND(F3619,0))&lt;0.001,1,0)</f>
        <v/>
      </c>
      <c r="H3619">
        <f>IF(G3619=1,F3619,CEILING(F3619,1))</f>
        <v/>
      </c>
      <c r="I3619">
        <f>IF(G3619=1,0,(H3619-F3619)*E3619)</f>
        <v/>
      </c>
      <c r="J3619">
        <f>E3619*F3619</f>
        <v/>
      </c>
    </row>
    <row r="3620">
      <c r="A3620">
        <f>Sources!A3620</f>
        <v/>
      </c>
      <c r="B3620">
        <f>Sources!B3620</f>
        <v/>
      </c>
      <c r="C3620">
        <f>Sources!D3620</f>
        <v/>
      </c>
      <c r="D3620">
        <f>Sources!E3620</f>
        <v/>
      </c>
      <c r="E3620">
        <f>Sources!F3620</f>
        <v/>
      </c>
      <c r="F3620">
        <f>Sources!H3620</f>
        <v/>
      </c>
      <c r="G3620">
        <f>IF(ABS(F3620-ROUND(F3620,0))&lt;0.001,1,0)</f>
        <v/>
      </c>
      <c r="H3620">
        <f>IF(G3620=1,F3620,CEILING(F3620,1))</f>
        <v/>
      </c>
      <c r="I3620">
        <f>IF(G3620=1,0,(H3620-F3620)*E3620)</f>
        <v/>
      </c>
      <c r="J3620">
        <f>E3620*F3620</f>
        <v/>
      </c>
    </row>
    <row r="3621">
      <c r="A3621">
        <f>Sources!A3621</f>
        <v/>
      </c>
      <c r="B3621">
        <f>Sources!B3621</f>
        <v/>
      </c>
      <c r="C3621">
        <f>Sources!D3621</f>
        <v/>
      </c>
      <c r="D3621">
        <f>Sources!E3621</f>
        <v/>
      </c>
      <c r="E3621">
        <f>Sources!F3621</f>
        <v/>
      </c>
      <c r="F3621">
        <f>Sources!H3621</f>
        <v/>
      </c>
      <c r="G3621">
        <f>IF(ABS(F3621-ROUND(F3621,0))&lt;0.001,1,0)</f>
        <v/>
      </c>
      <c r="H3621">
        <f>IF(G3621=1,F3621,CEILING(F3621,1))</f>
        <v/>
      </c>
      <c r="I3621">
        <f>IF(G3621=1,0,(H3621-F3621)*E3621)</f>
        <v/>
      </c>
      <c r="J3621">
        <f>E3621*F3621</f>
        <v/>
      </c>
    </row>
    <row r="3622">
      <c r="A3622">
        <f>Sources!A3622</f>
        <v/>
      </c>
      <c r="B3622">
        <f>Sources!B3622</f>
        <v/>
      </c>
      <c r="C3622">
        <f>Sources!D3622</f>
        <v/>
      </c>
      <c r="D3622">
        <f>Sources!E3622</f>
        <v/>
      </c>
      <c r="E3622">
        <f>Sources!F3622</f>
        <v/>
      </c>
      <c r="F3622">
        <f>Sources!H3622</f>
        <v/>
      </c>
      <c r="G3622">
        <f>IF(ABS(F3622-ROUND(F3622,0))&lt;0.001,1,0)</f>
        <v/>
      </c>
      <c r="H3622">
        <f>IF(G3622=1,F3622,CEILING(F3622,1))</f>
        <v/>
      </c>
      <c r="I3622">
        <f>IF(G3622=1,0,(H3622-F3622)*E3622)</f>
        <v/>
      </c>
      <c r="J3622">
        <f>E3622*F3622</f>
        <v/>
      </c>
    </row>
    <row r="3623">
      <c r="A3623">
        <f>Sources!A3623</f>
        <v/>
      </c>
      <c r="B3623">
        <f>Sources!B3623</f>
        <v/>
      </c>
      <c r="C3623">
        <f>Sources!D3623</f>
        <v/>
      </c>
      <c r="D3623">
        <f>Sources!E3623</f>
        <v/>
      </c>
      <c r="E3623">
        <f>Sources!F3623</f>
        <v/>
      </c>
      <c r="F3623">
        <f>Sources!H3623</f>
        <v/>
      </c>
      <c r="G3623">
        <f>IF(ABS(F3623-ROUND(F3623,0))&lt;0.001,1,0)</f>
        <v/>
      </c>
      <c r="H3623">
        <f>IF(G3623=1,F3623,CEILING(F3623,1))</f>
        <v/>
      </c>
      <c r="I3623">
        <f>IF(G3623=1,0,(H3623-F3623)*E3623)</f>
        <v/>
      </c>
      <c r="J3623">
        <f>E3623*F3623</f>
        <v/>
      </c>
    </row>
    <row r="3624">
      <c r="A3624">
        <f>Sources!A3624</f>
        <v/>
      </c>
      <c r="B3624">
        <f>Sources!B3624</f>
        <v/>
      </c>
      <c r="C3624">
        <f>Sources!D3624</f>
        <v/>
      </c>
      <c r="D3624">
        <f>Sources!E3624</f>
        <v/>
      </c>
      <c r="E3624">
        <f>Sources!F3624</f>
        <v/>
      </c>
      <c r="F3624">
        <f>Sources!H3624</f>
        <v/>
      </c>
      <c r="G3624">
        <f>IF(ABS(F3624-ROUND(F3624,0))&lt;0.001,1,0)</f>
        <v/>
      </c>
      <c r="H3624">
        <f>IF(G3624=1,F3624,CEILING(F3624,1))</f>
        <v/>
      </c>
      <c r="I3624">
        <f>IF(G3624=1,0,(H3624-F3624)*E3624)</f>
        <v/>
      </c>
      <c r="J3624">
        <f>E3624*F3624</f>
        <v/>
      </c>
    </row>
    <row r="3625">
      <c r="A3625">
        <f>Sources!A3625</f>
        <v/>
      </c>
      <c r="B3625">
        <f>Sources!B3625</f>
        <v/>
      </c>
      <c r="C3625">
        <f>Sources!D3625</f>
        <v/>
      </c>
      <c r="D3625">
        <f>Sources!E3625</f>
        <v/>
      </c>
      <c r="E3625">
        <f>Sources!F3625</f>
        <v/>
      </c>
      <c r="F3625">
        <f>Sources!H3625</f>
        <v/>
      </c>
      <c r="G3625">
        <f>IF(ABS(F3625-ROUND(F3625,0))&lt;0.001,1,0)</f>
        <v/>
      </c>
      <c r="H3625">
        <f>IF(G3625=1,F3625,CEILING(F3625,1))</f>
        <v/>
      </c>
      <c r="I3625">
        <f>IF(G3625=1,0,(H3625-F3625)*E3625)</f>
        <v/>
      </c>
      <c r="J3625">
        <f>E3625*F3625</f>
        <v/>
      </c>
    </row>
    <row r="3626">
      <c r="A3626">
        <f>Sources!A3626</f>
        <v/>
      </c>
      <c r="B3626">
        <f>Sources!B3626</f>
        <v/>
      </c>
      <c r="C3626">
        <f>Sources!D3626</f>
        <v/>
      </c>
      <c r="D3626">
        <f>Sources!E3626</f>
        <v/>
      </c>
      <c r="E3626">
        <f>Sources!F3626</f>
        <v/>
      </c>
      <c r="F3626">
        <f>Sources!H3626</f>
        <v/>
      </c>
      <c r="G3626">
        <f>IF(ABS(F3626-ROUND(F3626,0))&lt;0.001,1,0)</f>
        <v/>
      </c>
      <c r="H3626">
        <f>IF(G3626=1,F3626,CEILING(F3626,1))</f>
        <v/>
      </c>
      <c r="I3626">
        <f>IF(G3626=1,0,(H3626-F3626)*E3626)</f>
        <v/>
      </c>
      <c r="J3626">
        <f>E3626*F3626</f>
        <v/>
      </c>
    </row>
    <row r="3627">
      <c r="A3627">
        <f>Sources!A3627</f>
        <v/>
      </c>
      <c r="B3627">
        <f>Sources!B3627</f>
        <v/>
      </c>
      <c r="C3627">
        <f>Sources!D3627</f>
        <v/>
      </c>
      <c r="D3627">
        <f>Sources!E3627</f>
        <v/>
      </c>
      <c r="E3627">
        <f>Sources!F3627</f>
        <v/>
      </c>
      <c r="F3627">
        <f>Sources!H3627</f>
        <v/>
      </c>
      <c r="G3627">
        <f>IF(ABS(F3627-ROUND(F3627,0))&lt;0.001,1,0)</f>
        <v/>
      </c>
      <c r="H3627">
        <f>IF(G3627=1,F3627,CEILING(F3627,1))</f>
        <v/>
      </c>
      <c r="I3627">
        <f>IF(G3627=1,0,(H3627-F3627)*E3627)</f>
        <v/>
      </c>
      <c r="J3627">
        <f>E3627*F3627</f>
        <v/>
      </c>
    </row>
    <row r="3628">
      <c r="A3628">
        <f>Sources!A3628</f>
        <v/>
      </c>
      <c r="B3628">
        <f>Sources!B3628</f>
        <v/>
      </c>
      <c r="C3628">
        <f>Sources!D3628</f>
        <v/>
      </c>
      <c r="D3628">
        <f>Sources!E3628</f>
        <v/>
      </c>
      <c r="E3628">
        <f>Sources!F3628</f>
        <v/>
      </c>
      <c r="F3628">
        <f>Sources!H3628</f>
        <v/>
      </c>
      <c r="G3628">
        <f>IF(ABS(F3628-ROUND(F3628,0))&lt;0.001,1,0)</f>
        <v/>
      </c>
      <c r="H3628">
        <f>IF(G3628=1,F3628,CEILING(F3628,1))</f>
        <v/>
      </c>
      <c r="I3628">
        <f>IF(G3628=1,0,(H3628-F3628)*E3628)</f>
        <v/>
      </c>
      <c r="J3628">
        <f>E3628*F3628</f>
        <v/>
      </c>
    </row>
    <row r="3629">
      <c r="A3629">
        <f>Sources!A3629</f>
        <v/>
      </c>
      <c r="B3629">
        <f>Sources!B3629</f>
        <v/>
      </c>
      <c r="C3629">
        <f>Sources!D3629</f>
        <v/>
      </c>
      <c r="D3629">
        <f>Sources!E3629</f>
        <v/>
      </c>
      <c r="E3629">
        <f>Sources!F3629</f>
        <v/>
      </c>
      <c r="F3629">
        <f>Sources!H3629</f>
        <v/>
      </c>
      <c r="G3629">
        <f>IF(ABS(F3629-ROUND(F3629,0))&lt;0.001,1,0)</f>
        <v/>
      </c>
      <c r="H3629">
        <f>IF(G3629=1,F3629,CEILING(F3629,1))</f>
        <v/>
      </c>
      <c r="I3629">
        <f>IF(G3629=1,0,(H3629-F3629)*E3629)</f>
        <v/>
      </c>
      <c r="J3629">
        <f>E3629*F3629</f>
        <v/>
      </c>
    </row>
    <row r="3630">
      <c r="A3630">
        <f>Sources!A3630</f>
        <v/>
      </c>
      <c r="B3630">
        <f>Sources!B3630</f>
        <v/>
      </c>
      <c r="C3630">
        <f>Sources!D3630</f>
        <v/>
      </c>
      <c r="D3630">
        <f>Sources!E3630</f>
        <v/>
      </c>
      <c r="E3630">
        <f>Sources!F3630</f>
        <v/>
      </c>
      <c r="F3630">
        <f>Sources!H3630</f>
        <v/>
      </c>
      <c r="G3630">
        <f>IF(ABS(F3630-ROUND(F3630,0))&lt;0.001,1,0)</f>
        <v/>
      </c>
      <c r="H3630">
        <f>IF(G3630=1,F3630,CEILING(F3630,1))</f>
        <v/>
      </c>
      <c r="I3630">
        <f>IF(G3630=1,0,(H3630-F3630)*E3630)</f>
        <v/>
      </c>
      <c r="J3630">
        <f>E3630*F3630</f>
        <v/>
      </c>
    </row>
    <row r="3631">
      <c r="A3631">
        <f>Sources!A3631</f>
        <v/>
      </c>
      <c r="B3631">
        <f>Sources!B3631</f>
        <v/>
      </c>
      <c r="C3631">
        <f>Sources!D3631</f>
        <v/>
      </c>
      <c r="D3631">
        <f>Sources!E3631</f>
        <v/>
      </c>
      <c r="E3631">
        <f>Sources!F3631</f>
        <v/>
      </c>
      <c r="F3631">
        <f>Sources!H3631</f>
        <v/>
      </c>
      <c r="G3631">
        <f>IF(ABS(F3631-ROUND(F3631,0))&lt;0.001,1,0)</f>
        <v/>
      </c>
      <c r="H3631">
        <f>IF(G3631=1,F3631,CEILING(F3631,1))</f>
        <v/>
      </c>
      <c r="I3631">
        <f>IF(G3631=1,0,(H3631-F3631)*E3631)</f>
        <v/>
      </c>
      <c r="J3631">
        <f>E3631*F3631</f>
        <v/>
      </c>
    </row>
    <row r="3632">
      <c r="A3632">
        <f>Sources!A3632</f>
        <v/>
      </c>
      <c r="B3632">
        <f>Sources!B3632</f>
        <v/>
      </c>
      <c r="C3632">
        <f>Sources!D3632</f>
        <v/>
      </c>
      <c r="D3632">
        <f>Sources!E3632</f>
        <v/>
      </c>
      <c r="E3632">
        <f>Sources!F3632</f>
        <v/>
      </c>
      <c r="F3632">
        <f>Sources!H3632</f>
        <v/>
      </c>
      <c r="G3632">
        <f>IF(ABS(F3632-ROUND(F3632,0))&lt;0.001,1,0)</f>
        <v/>
      </c>
      <c r="H3632">
        <f>IF(G3632=1,F3632,CEILING(F3632,1))</f>
        <v/>
      </c>
      <c r="I3632">
        <f>IF(G3632=1,0,(H3632-F3632)*E3632)</f>
        <v/>
      </c>
      <c r="J3632">
        <f>E3632*F3632</f>
        <v/>
      </c>
    </row>
    <row r="3633">
      <c r="A3633">
        <f>Sources!A3633</f>
        <v/>
      </c>
      <c r="B3633">
        <f>Sources!B3633</f>
        <v/>
      </c>
      <c r="C3633">
        <f>Sources!D3633</f>
        <v/>
      </c>
      <c r="D3633">
        <f>Sources!E3633</f>
        <v/>
      </c>
      <c r="E3633">
        <f>Sources!F3633</f>
        <v/>
      </c>
      <c r="F3633">
        <f>Sources!H3633</f>
        <v/>
      </c>
      <c r="G3633">
        <f>IF(ABS(F3633-ROUND(F3633,0))&lt;0.001,1,0)</f>
        <v/>
      </c>
      <c r="H3633">
        <f>IF(G3633=1,F3633,CEILING(F3633,1))</f>
        <v/>
      </c>
      <c r="I3633">
        <f>IF(G3633=1,0,(H3633-F3633)*E3633)</f>
        <v/>
      </c>
      <c r="J3633">
        <f>E3633*F3633</f>
        <v/>
      </c>
    </row>
    <row r="3634">
      <c r="A3634">
        <f>Sources!A3634</f>
        <v/>
      </c>
      <c r="B3634">
        <f>Sources!B3634</f>
        <v/>
      </c>
      <c r="C3634">
        <f>Sources!D3634</f>
        <v/>
      </c>
      <c r="D3634">
        <f>Sources!E3634</f>
        <v/>
      </c>
      <c r="E3634">
        <f>Sources!F3634</f>
        <v/>
      </c>
      <c r="F3634">
        <f>Sources!H3634</f>
        <v/>
      </c>
      <c r="G3634">
        <f>IF(ABS(F3634-ROUND(F3634,0))&lt;0.001,1,0)</f>
        <v/>
      </c>
      <c r="H3634">
        <f>IF(G3634=1,F3634,CEILING(F3634,1))</f>
        <v/>
      </c>
      <c r="I3634">
        <f>IF(G3634=1,0,(H3634-F3634)*E3634)</f>
        <v/>
      </c>
      <c r="J3634">
        <f>E3634*F3634</f>
        <v/>
      </c>
    </row>
    <row r="3635">
      <c r="A3635">
        <f>Sources!A3635</f>
        <v/>
      </c>
      <c r="B3635">
        <f>Sources!B3635</f>
        <v/>
      </c>
      <c r="C3635">
        <f>Sources!D3635</f>
        <v/>
      </c>
      <c r="D3635">
        <f>Sources!E3635</f>
        <v/>
      </c>
      <c r="E3635">
        <f>Sources!F3635</f>
        <v/>
      </c>
      <c r="F3635">
        <f>Sources!H3635</f>
        <v/>
      </c>
      <c r="G3635">
        <f>IF(ABS(F3635-ROUND(F3635,0))&lt;0.001,1,0)</f>
        <v/>
      </c>
      <c r="H3635">
        <f>IF(G3635=1,F3635,CEILING(F3635,1))</f>
        <v/>
      </c>
      <c r="I3635">
        <f>IF(G3635=1,0,(H3635-F3635)*E3635)</f>
        <v/>
      </c>
      <c r="J3635">
        <f>E3635*F3635</f>
        <v/>
      </c>
    </row>
    <row r="3636">
      <c r="A3636">
        <f>Sources!A3636</f>
        <v/>
      </c>
      <c r="B3636">
        <f>Sources!B3636</f>
        <v/>
      </c>
      <c r="C3636">
        <f>Sources!D3636</f>
        <v/>
      </c>
      <c r="D3636">
        <f>Sources!E3636</f>
        <v/>
      </c>
      <c r="E3636">
        <f>Sources!F3636</f>
        <v/>
      </c>
      <c r="F3636">
        <f>Sources!H3636</f>
        <v/>
      </c>
      <c r="G3636">
        <f>IF(ABS(F3636-ROUND(F3636,0))&lt;0.001,1,0)</f>
        <v/>
      </c>
      <c r="H3636">
        <f>IF(G3636=1,F3636,CEILING(F3636,1))</f>
        <v/>
      </c>
      <c r="I3636">
        <f>IF(G3636=1,0,(H3636-F3636)*E3636)</f>
        <v/>
      </c>
      <c r="J3636">
        <f>E3636*F3636</f>
        <v/>
      </c>
    </row>
    <row r="3637">
      <c r="A3637">
        <f>Sources!A3637</f>
        <v/>
      </c>
      <c r="B3637">
        <f>Sources!B3637</f>
        <v/>
      </c>
      <c r="C3637">
        <f>Sources!D3637</f>
        <v/>
      </c>
      <c r="D3637">
        <f>Sources!E3637</f>
        <v/>
      </c>
      <c r="E3637">
        <f>Sources!F3637</f>
        <v/>
      </c>
      <c r="F3637">
        <f>Sources!H3637</f>
        <v/>
      </c>
      <c r="G3637">
        <f>IF(ABS(F3637-ROUND(F3637,0))&lt;0.001,1,0)</f>
        <v/>
      </c>
      <c r="H3637">
        <f>IF(G3637=1,F3637,CEILING(F3637,1))</f>
        <v/>
      </c>
      <c r="I3637">
        <f>IF(G3637=1,0,(H3637-F3637)*E3637)</f>
        <v/>
      </c>
      <c r="J3637">
        <f>E3637*F3637</f>
        <v/>
      </c>
    </row>
    <row r="3638">
      <c r="A3638">
        <f>Sources!A3638</f>
        <v/>
      </c>
      <c r="B3638">
        <f>Sources!B3638</f>
        <v/>
      </c>
      <c r="C3638">
        <f>Sources!D3638</f>
        <v/>
      </c>
      <c r="D3638">
        <f>Sources!E3638</f>
        <v/>
      </c>
      <c r="E3638">
        <f>Sources!F3638</f>
        <v/>
      </c>
      <c r="F3638">
        <f>Sources!H3638</f>
        <v/>
      </c>
      <c r="G3638">
        <f>IF(ABS(F3638-ROUND(F3638,0))&lt;0.001,1,0)</f>
        <v/>
      </c>
      <c r="H3638">
        <f>IF(G3638=1,F3638,CEILING(F3638,1))</f>
        <v/>
      </c>
      <c r="I3638">
        <f>IF(G3638=1,0,(H3638-F3638)*E3638)</f>
        <v/>
      </c>
      <c r="J3638">
        <f>E3638*F3638</f>
        <v/>
      </c>
    </row>
    <row r="3639">
      <c r="A3639">
        <f>Sources!A3639</f>
        <v/>
      </c>
      <c r="B3639">
        <f>Sources!B3639</f>
        <v/>
      </c>
      <c r="C3639">
        <f>Sources!D3639</f>
        <v/>
      </c>
      <c r="D3639">
        <f>Sources!E3639</f>
        <v/>
      </c>
      <c r="E3639">
        <f>Sources!F3639</f>
        <v/>
      </c>
      <c r="F3639">
        <f>Sources!H3639</f>
        <v/>
      </c>
      <c r="G3639">
        <f>IF(ABS(F3639-ROUND(F3639,0))&lt;0.001,1,0)</f>
        <v/>
      </c>
      <c r="H3639">
        <f>IF(G3639=1,F3639,CEILING(F3639,1))</f>
        <v/>
      </c>
      <c r="I3639">
        <f>IF(G3639=1,0,(H3639-F3639)*E3639)</f>
        <v/>
      </c>
      <c r="J3639">
        <f>E3639*F3639</f>
        <v/>
      </c>
    </row>
    <row r="3640">
      <c r="A3640">
        <f>Sources!A3640</f>
        <v/>
      </c>
      <c r="B3640">
        <f>Sources!B3640</f>
        <v/>
      </c>
      <c r="C3640">
        <f>Sources!D3640</f>
        <v/>
      </c>
      <c r="D3640">
        <f>Sources!E3640</f>
        <v/>
      </c>
      <c r="E3640">
        <f>Sources!F3640</f>
        <v/>
      </c>
      <c r="F3640">
        <f>Sources!H3640</f>
        <v/>
      </c>
      <c r="G3640">
        <f>IF(ABS(F3640-ROUND(F3640,0))&lt;0.001,1,0)</f>
        <v/>
      </c>
      <c r="H3640">
        <f>IF(G3640=1,F3640,CEILING(F3640,1))</f>
        <v/>
      </c>
      <c r="I3640">
        <f>IF(G3640=1,0,(H3640-F3640)*E3640)</f>
        <v/>
      </c>
      <c r="J3640">
        <f>E3640*F3640</f>
        <v/>
      </c>
    </row>
    <row r="3641">
      <c r="A3641">
        <f>Sources!A3641</f>
        <v/>
      </c>
      <c r="B3641">
        <f>Sources!B3641</f>
        <v/>
      </c>
      <c r="C3641">
        <f>Sources!D3641</f>
        <v/>
      </c>
      <c r="D3641">
        <f>Sources!E3641</f>
        <v/>
      </c>
      <c r="E3641">
        <f>Sources!F3641</f>
        <v/>
      </c>
      <c r="F3641">
        <f>Sources!H3641</f>
        <v/>
      </c>
      <c r="G3641">
        <f>IF(ABS(F3641-ROUND(F3641,0))&lt;0.001,1,0)</f>
        <v/>
      </c>
      <c r="H3641">
        <f>IF(G3641=1,F3641,CEILING(F3641,1))</f>
        <v/>
      </c>
      <c r="I3641">
        <f>IF(G3641=1,0,(H3641-F3641)*E3641)</f>
        <v/>
      </c>
      <c r="J3641">
        <f>E3641*F3641</f>
        <v/>
      </c>
    </row>
    <row r="3642">
      <c r="A3642">
        <f>Sources!A3642</f>
        <v/>
      </c>
      <c r="B3642">
        <f>Sources!B3642</f>
        <v/>
      </c>
      <c r="C3642">
        <f>Sources!D3642</f>
        <v/>
      </c>
      <c r="D3642">
        <f>Sources!E3642</f>
        <v/>
      </c>
      <c r="E3642">
        <f>Sources!F3642</f>
        <v/>
      </c>
      <c r="F3642">
        <f>Sources!H3642</f>
        <v/>
      </c>
      <c r="G3642">
        <f>IF(ABS(F3642-ROUND(F3642,0))&lt;0.001,1,0)</f>
        <v/>
      </c>
      <c r="H3642">
        <f>IF(G3642=1,F3642,CEILING(F3642,1))</f>
        <v/>
      </c>
      <c r="I3642">
        <f>IF(G3642=1,0,(H3642-F3642)*E3642)</f>
        <v/>
      </c>
      <c r="J3642">
        <f>E3642*F3642</f>
        <v/>
      </c>
    </row>
    <row r="3643">
      <c r="A3643">
        <f>Sources!A3643</f>
        <v/>
      </c>
      <c r="B3643">
        <f>Sources!B3643</f>
        <v/>
      </c>
      <c r="C3643">
        <f>Sources!D3643</f>
        <v/>
      </c>
      <c r="D3643">
        <f>Sources!E3643</f>
        <v/>
      </c>
      <c r="E3643">
        <f>Sources!F3643</f>
        <v/>
      </c>
      <c r="F3643">
        <f>Sources!H3643</f>
        <v/>
      </c>
      <c r="G3643">
        <f>IF(ABS(F3643-ROUND(F3643,0))&lt;0.001,1,0)</f>
        <v/>
      </c>
      <c r="H3643">
        <f>IF(G3643=1,F3643,CEILING(F3643,1))</f>
        <v/>
      </c>
      <c r="I3643">
        <f>IF(G3643=1,0,(H3643-F3643)*E3643)</f>
        <v/>
      </c>
      <c r="J3643">
        <f>E3643*F3643</f>
        <v/>
      </c>
    </row>
    <row r="3644">
      <c r="A3644">
        <f>Sources!A3644</f>
        <v/>
      </c>
      <c r="B3644">
        <f>Sources!B3644</f>
        <v/>
      </c>
      <c r="C3644">
        <f>Sources!D3644</f>
        <v/>
      </c>
      <c r="D3644">
        <f>Sources!E3644</f>
        <v/>
      </c>
      <c r="E3644">
        <f>Sources!F3644</f>
        <v/>
      </c>
      <c r="F3644">
        <f>Sources!H3644</f>
        <v/>
      </c>
      <c r="G3644">
        <f>IF(ABS(F3644-ROUND(F3644,0))&lt;0.001,1,0)</f>
        <v/>
      </c>
      <c r="H3644">
        <f>IF(G3644=1,F3644,CEILING(F3644,1))</f>
        <v/>
      </c>
      <c r="I3644">
        <f>IF(G3644=1,0,(H3644-F3644)*E3644)</f>
        <v/>
      </c>
      <c r="J3644">
        <f>E3644*F3644</f>
        <v/>
      </c>
    </row>
    <row r="3645">
      <c r="A3645">
        <f>Sources!A3645</f>
        <v/>
      </c>
      <c r="B3645">
        <f>Sources!B3645</f>
        <v/>
      </c>
      <c r="C3645">
        <f>Sources!D3645</f>
        <v/>
      </c>
      <c r="D3645">
        <f>Sources!E3645</f>
        <v/>
      </c>
      <c r="E3645">
        <f>Sources!F3645</f>
        <v/>
      </c>
      <c r="F3645">
        <f>Sources!H3645</f>
        <v/>
      </c>
      <c r="G3645">
        <f>IF(ABS(F3645-ROUND(F3645,0))&lt;0.001,1,0)</f>
        <v/>
      </c>
      <c r="H3645">
        <f>IF(G3645=1,F3645,CEILING(F3645,1))</f>
        <v/>
      </c>
      <c r="I3645">
        <f>IF(G3645=1,0,(H3645-F3645)*E3645)</f>
        <v/>
      </c>
      <c r="J3645">
        <f>E3645*F3645</f>
        <v/>
      </c>
    </row>
    <row r="3646">
      <c r="A3646">
        <f>Sources!A3646</f>
        <v/>
      </c>
      <c r="B3646">
        <f>Sources!B3646</f>
        <v/>
      </c>
      <c r="C3646">
        <f>Sources!D3646</f>
        <v/>
      </c>
      <c r="D3646">
        <f>Sources!E3646</f>
        <v/>
      </c>
      <c r="E3646">
        <f>Sources!F3646</f>
        <v/>
      </c>
      <c r="F3646">
        <f>Sources!H3646</f>
        <v/>
      </c>
      <c r="G3646">
        <f>IF(ABS(F3646-ROUND(F3646,0))&lt;0.001,1,0)</f>
        <v/>
      </c>
      <c r="H3646">
        <f>IF(G3646=1,F3646,CEILING(F3646,1))</f>
        <v/>
      </c>
      <c r="I3646">
        <f>IF(G3646=1,0,(H3646-F3646)*E3646)</f>
        <v/>
      </c>
      <c r="J3646">
        <f>E3646*F3646</f>
        <v/>
      </c>
    </row>
    <row r="3647">
      <c r="A3647">
        <f>Sources!A3647</f>
        <v/>
      </c>
      <c r="B3647">
        <f>Sources!B3647</f>
        <v/>
      </c>
      <c r="C3647">
        <f>Sources!D3647</f>
        <v/>
      </c>
      <c r="D3647">
        <f>Sources!E3647</f>
        <v/>
      </c>
      <c r="E3647">
        <f>Sources!F3647</f>
        <v/>
      </c>
      <c r="F3647">
        <f>Sources!H3647</f>
        <v/>
      </c>
      <c r="G3647">
        <f>IF(ABS(F3647-ROUND(F3647,0))&lt;0.001,1,0)</f>
        <v/>
      </c>
      <c r="H3647">
        <f>IF(G3647=1,F3647,CEILING(F3647,1))</f>
        <v/>
      </c>
      <c r="I3647">
        <f>IF(G3647=1,0,(H3647-F3647)*E3647)</f>
        <v/>
      </c>
      <c r="J3647">
        <f>E3647*F3647</f>
        <v/>
      </c>
    </row>
    <row r="3648">
      <c r="A3648">
        <f>Sources!A3648</f>
        <v/>
      </c>
      <c r="B3648">
        <f>Sources!B3648</f>
        <v/>
      </c>
      <c r="C3648">
        <f>Sources!D3648</f>
        <v/>
      </c>
      <c r="D3648">
        <f>Sources!E3648</f>
        <v/>
      </c>
      <c r="E3648">
        <f>Sources!F3648</f>
        <v/>
      </c>
      <c r="F3648">
        <f>Sources!H3648</f>
        <v/>
      </c>
      <c r="G3648">
        <f>IF(ABS(F3648-ROUND(F3648,0))&lt;0.001,1,0)</f>
        <v/>
      </c>
      <c r="H3648">
        <f>IF(G3648=1,F3648,CEILING(F3648,1))</f>
        <v/>
      </c>
      <c r="I3648">
        <f>IF(G3648=1,0,(H3648-F3648)*E3648)</f>
        <v/>
      </c>
      <c r="J3648">
        <f>E3648*F3648</f>
        <v/>
      </c>
    </row>
    <row r="3649">
      <c r="A3649">
        <f>Sources!A3649</f>
        <v/>
      </c>
      <c r="B3649">
        <f>Sources!B3649</f>
        <v/>
      </c>
      <c r="C3649">
        <f>Sources!D3649</f>
        <v/>
      </c>
      <c r="D3649">
        <f>Sources!E3649</f>
        <v/>
      </c>
      <c r="E3649">
        <f>Sources!F3649</f>
        <v/>
      </c>
      <c r="F3649">
        <f>Sources!H3649</f>
        <v/>
      </c>
      <c r="G3649">
        <f>IF(ABS(F3649-ROUND(F3649,0))&lt;0.001,1,0)</f>
        <v/>
      </c>
      <c r="H3649">
        <f>IF(G3649=1,F3649,CEILING(F3649,1))</f>
        <v/>
      </c>
      <c r="I3649">
        <f>IF(G3649=1,0,(H3649-F3649)*E3649)</f>
        <v/>
      </c>
      <c r="J3649">
        <f>E3649*F3649</f>
        <v/>
      </c>
    </row>
    <row r="3650">
      <c r="A3650">
        <f>Sources!A3650</f>
        <v/>
      </c>
      <c r="B3650">
        <f>Sources!B3650</f>
        <v/>
      </c>
      <c r="C3650">
        <f>Sources!D3650</f>
        <v/>
      </c>
      <c r="D3650">
        <f>Sources!E3650</f>
        <v/>
      </c>
      <c r="E3650">
        <f>Sources!F3650</f>
        <v/>
      </c>
      <c r="F3650">
        <f>Sources!H3650</f>
        <v/>
      </c>
      <c r="G3650">
        <f>IF(ABS(F3650-ROUND(F3650,0))&lt;0.001,1,0)</f>
        <v/>
      </c>
      <c r="H3650">
        <f>IF(G3650=1,F3650,CEILING(F3650,1))</f>
        <v/>
      </c>
      <c r="I3650">
        <f>IF(G3650=1,0,(H3650-F3650)*E3650)</f>
        <v/>
      </c>
      <c r="J3650">
        <f>E3650*F3650</f>
        <v/>
      </c>
    </row>
    <row r="3651">
      <c r="A3651">
        <f>Sources!A3651</f>
        <v/>
      </c>
      <c r="B3651">
        <f>Sources!B3651</f>
        <v/>
      </c>
      <c r="C3651">
        <f>Sources!D3651</f>
        <v/>
      </c>
      <c r="D3651">
        <f>Sources!E3651</f>
        <v/>
      </c>
      <c r="E3651">
        <f>Sources!F3651</f>
        <v/>
      </c>
      <c r="F3651">
        <f>Sources!H3651</f>
        <v/>
      </c>
      <c r="G3651">
        <f>IF(ABS(F3651-ROUND(F3651,0))&lt;0.001,1,0)</f>
        <v/>
      </c>
      <c r="H3651">
        <f>IF(G3651=1,F3651,CEILING(F3651,1))</f>
        <v/>
      </c>
      <c r="I3651">
        <f>IF(G3651=1,0,(H3651-F3651)*E3651)</f>
        <v/>
      </c>
      <c r="J3651">
        <f>E3651*F3651</f>
        <v/>
      </c>
    </row>
    <row r="3652">
      <c r="A3652">
        <f>Sources!A3652</f>
        <v/>
      </c>
      <c r="B3652">
        <f>Sources!B3652</f>
        <v/>
      </c>
      <c r="C3652">
        <f>Sources!D3652</f>
        <v/>
      </c>
      <c r="D3652">
        <f>Sources!E3652</f>
        <v/>
      </c>
      <c r="E3652">
        <f>Sources!F3652</f>
        <v/>
      </c>
      <c r="F3652">
        <f>Sources!H3652</f>
        <v/>
      </c>
      <c r="G3652">
        <f>IF(ABS(F3652-ROUND(F3652,0))&lt;0.001,1,0)</f>
        <v/>
      </c>
      <c r="H3652">
        <f>IF(G3652=1,F3652,CEILING(F3652,1))</f>
        <v/>
      </c>
      <c r="I3652">
        <f>IF(G3652=1,0,(H3652-F3652)*E3652)</f>
        <v/>
      </c>
      <c r="J3652">
        <f>E3652*F3652</f>
        <v/>
      </c>
    </row>
    <row r="3653">
      <c r="A3653">
        <f>Sources!A3653</f>
        <v/>
      </c>
      <c r="B3653">
        <f>Sources!B3653</f>
        <v/>
      </c>
      <c r="C3653">
        <f>Sources!D3653</f>
        <v/>
      </c>
      <c r="D3653">
        <f>Sources!E3653</f>
        <v/>
      </c>
      <c r="E3653">
        <f>Sources!F3653</f>
        <v/>
      </c>
      <c r="F3653">
        <f>Sources!H3653</f>
        <v/>
      </c>
      <c r="G3653">
        <f>IF(ABS(F3653-ROUND(F3653,0))&lt;0.001,1,0)</f>
        <v/>
      </c>
      <c r="H3653">
        <f>IF(G3653=1,F3653,CEILING(F3653,1))</f>
        <v/>
      </c>
      <c r="I3653">
        <f>IF(G3653=1,0,(H3653-F3653)*E3653)</f>
        <v/>
      </c>
      <c r="J3653">
        <f>E3653*F3653</f>
        <v/>
      </c>
    </row>
    <row r="3654">
      <c r="A3654">
        <f>Sources!A3654</f>
        <v/>
      </c>
      <c r="B3654">
        <f>Sources!B3654</f>
        <v/>
      </c>
      <c r="C3654">
        <f>Sources!D3654</f>
        <v/>
      </c>
      <c r="D3654">
        <f>Sources!E3654</f>
        <v/>
      </c>
      <c r="E3654">
        <f>Sources!F3654</f>
        <v/>
      </c>
      <c r="F3654">
        <f>Sources!H3654</f>
        <v/>
      </c>
      <c r="G3654">
        <f>IF(ABS(F3654-ROUND(F3654,0))&lt;0.001,1,0)</f>
        <v/>
      </c>
      <c r="H3654">
        <f>IF(G3654=1,F3654,CEILING(F3654,1))</f>
        <v/>
      </c>
      <c r="I3654">
        <f>IF(G3654=1,0,(H3654-F3654)*E3654)</f>
        <v/>
      </c>
      <c r="J3654">
        <f>E3654*F3654</f>
        <v/>
      </c>
    </row>
    <row r="3655">
      <c r="A3655">
        <f>Sources!A3655</f>
        <v/>
      </c>
      <c r="B3655">
        <f>Sources!B3655</f>
        <v/>
      </c>
      <c r="C3655">
        <f>Sources!D3655</f>
        <v/>
      </c>
      <c r="D3655">
        <f>Sources!E3655</f>
        <v/>
      </c>
      <c r="E3655">
        <f>Sources!F3655</f>
        <v/>
      </c>
      <c r="F3655">
        <f>Sources!H3655</f>
        <v/>
      </c>
      <c r="G3655">
        <f>IF(ABS(F3655-ROUND(F3655,0))&lt;0.001,1,0)</f>
        <v/>
      </c>
      <c r="H3655">
        <f>IF(G3655=1,F3655,CEILING(F3655,1))</f>
        <v/>
      </c>
      <c r="I3655">
        <f>IF(G3655=1,0,(H3655-F3655)*E3655)</f>
        <v/>
      </c>
      <c r="J3655">
        <f>E3655*F3655</f>
        <v/>
      </c>
    </row>
    <row r="3656">
      <c r="A3656">
        <f>Sources!A3656</f>
        <v/>
      </c>
      <c r="B3656">
        <f>Sources!B3656</f>
        <v/>
      </c>
      <c r="C3656">
        <f>Sources!D3656</f>
        <v/>
      </c>
      <c r="D3656">
        <f>Sources!E3656</f>
        <v/>
      </c>
      <c r="E3656">
        <f>Sources!F3656</f>
        <v/>
      </c>
      <c r="F3656">
        <f>Sources!H3656</f>
        <v/>
      </c>
      <c r="G3656">
        <f>IF(ABS(F3656-ROUND(F3656,0))&lt;0.001,1,0)</f>
        <v/>
      </c>
      <c r="H3656">
        <f>IF(G3656=1,F3656,CEILING(F3656,1))</f>
        <v/>
      </c>
      <c r="I3656">
        <f>IF(G3656=1,0,(H3656-F3656)*E3656)</f>
        <v/>
      </c>
      <c r="J3656">
        <f>E3656*F3656</f>
        <v/>
      </c>
    </row>
    <row r="3657">
      <c r="A3657">
        <f>Sources!A3657</f>
        <v/>
      </c>
      <c r="B3657">
        <f>Sources!B3657</f>
        <v/>
      </c>
      <c r="C3657">
        <f>Sources!D3657</f>
        <v/>
      </c>
      <c r="D3657">
        <f>Sources!E3657</f>
        <v/>
      </c>
      <c r="E3657">
        <f>Sources!F3657</f>
        <v/>
      </c>
      <c r="F3657">
        <f>Sources!H3657</f>
        <v/>
      </c>
      <c r="G3657">
        <f>IF(ABS(F3657-ROUND(F3657,0))&lt;0.001,1,0)</f>
        <v/>
      </c>
      <c r="H3657">
        <f>IF(G3657=1,F3657,CEILING(F3657,1))</f>
        <v/>
      </c>
      <c r="I3657">
        <f>IF(G3657=1,0,(H3657-F3657)*E3657)</f>
        <v/>
      </c>
      <c r="J3657">
        <f>E3657*F3657</f>
        <v/>
      </c>
    </row>
    <row r="3658">
      <c r="A3658">
        <f>Sources!A3658</f>
        <v/>
      </c>
      <c r="B3658">
        <f>Sources!B3658</f>
        <v/>
      </c>
      <c r="C3658">
        <f>Sources!D3658</f>
        <v/>
      </c>
      <c r="D3658">
        <f>Sources!E3658</f>
        <v/>
      </c>
      <c r="E3658">
        <f>Sources!F3658</f>
        <v/>
      </c>
      <c r="F3658">
        <f>Sources!H3658</f>
        <v/>
      </c>
      <c r="G3658">
        <f>IF(ABS(F3658-ROUND(F3658,0))&lt;0.001,1,0)</f>
        <v/>
      </c>
      <c r="H3658">
        <f>IF(G3658=1,F3658,CEILING(F3658,1))</f>
        <v/>
      </c>
      <c r="I3658">
        <f>IF(G3658=1,0,(H3658-F3658)*E3658)</f>
        <v/>
      </c>
      <c r="J3658">
        <f>E3658*F3658</f>
        <v/>
      </c>
    </row>
    <row r="3659">
      <c r="A3659">
        <f>Sources!A3659</f>
        <v/>
      </c>
      <c r="B3659">
        <f>Sources!B3659</f>
        <v/>
      </c>
      <c r="C3659">
        <f>Sources!D3659</f>
        <v/>
      </c>
      <c r="D3659">
        <f>Sources!E3659</f>
        <v/>
      </c>
      <c r="E3659">
        <f>Sources!F3659</f>
        <v/>
      </c>
      <c r="F3659">
        <f>Sources!H3659</f>
        <v/>
      </c>
      <c r="G3659">
        <f>IF(ABS(F3659-ROUND(F3659,0))&lt;0.001,1,0)</f>
        <v/>
      </c>
      <c r="H3659">
        <f>IF(G3659=1,F3659,CEILING(F3659,1))</f>
        <v/>
      </c>
      <c r="I3659">
        <f>IF(G3659=1,0,(H3659-F3659)*E3659)</f>
        <v/>
      </c>
      <c r="J3659">
        <f>E3659*F3659</f>
        <v/>
      </c>
    </row>
    <row r="3660">
      <c r="A3660">
        <f>Sources!A3660</f>
        <v/>
      </c>
      <c r="B3660">
        <f>Sources!B3660</f>
        <v/>
      </c>
      <c r="C3660">
        <f>Sources!D3660</f>
        <v/>
      </c>
      <c r="D3660">
        <f>Sources!E3660</f>
        <v/>
      </c>
      <c r="E3660">
        <f>Sources!F3660</f>
        <v/>
      </c>
      <c r="F3660">
        <f>Sources!H3660</f>
        <v/>
      </c>
      <c r="G3660">
        <f>IF(ABS(F3660-ROUND(F3660,0))&lt;0.001,1,0)</f>
        <v/>
      </c>
      <c r="H3660">
        <f>IF(G3660=1,F3660,CEILING(F3660,1))</f>
        <v/>
      </c>
      <c r="I3660">
        <f>IF(G3660=1,0,(H3660-F3660)*E3660)</f>
        <v/>
      </c>
      <c r="J3660">
        <f>E3660*F3660</f>
        <v/>
      </c>
    </row>
    <row r="3661">
      <c r="A3661">
        <f>Sources!A3661</f>
        <v/>
      </c>
      <c r="B3661">
        <f>Sources!B3661</f>
        <v/>
      </c>
      <c r="C3661">
        <f>Sources!D3661</f>
        <v/>
      </c>
      <c r="D3661">
        <f>Sources!E3661</f>
        <v/>
      </c>
      <c r="E3661">
        <f>Sources!F3661</f>
        <v/>
      </c>
      <c r="F3661">
        <f>Sources!H3661</f>
        <v/>
      </c>
      <c r="G3661">
        <f>IF(ABS(F3661-ROUND(F3661,0))&lt;0.001,1,0)</f>
        <v/>
      </c>
      <c r="H3661">
        <f>IF(G3661=1,F3661,CEILING(F3661,1))</f>
        <v/>
      </c>
      <c r="I3661">
        <f>IF(G3661=1,0,(H3661-F3661)*E3661)</f>
        <v/>
      </c>
      <c r="J3661">
        <f>E3661*F3661</f>
        <v/>
      </c>
    </row>
    <row r="3662">
      <c r="A3662">
        <f>Sources!A3662</f>
        <v/>
      </c>
      <c r="B3662">
        <f>Sources!B3662</f>
        <v/>
      </c>
      <c r="C3662">
        <f>Sources!D3662</f>
        <v/>
      </c>
      <c r="D3662">
        <f>Sources!E3662</f>
        <v/>
      </c>
      <c r="E3662">
        <f>Sources!F3662</f>
        <v/>
      </c>
      <c r="F3662">
        <f>Sources!H3662</f>
        <v/>
      </c>
      <c r="G3662">
        <f>IF(ABS(F3662-ROUND(F3662,0))&lt;0.001,1,0)</f>
        <v/>
      </c>
      <c r="H3662">
        <f>IF(G3662=1,F3662,CEILING(F3662,1))</f>
        <v/>
      </c>
      <c r="I3662">
        <f>IF(G3662=1,0,(H3662-F3662)*E3662)</f>
        <v/>
      </c>
      <c r="J3662">
        <f>E3662*F3662</f>
        <v/>
      </c>
    </row>
    <row r="3663">
      <c r="A3663">
        <f>Sources!A3663</f>
        <v/>
      </c>
      <c r="B3663">
        <f>Sources!B3663</f>
        <v/>
      </c>
      <c r="C3663">
        <f>Sources!D3663</f>
        <v/>
      </c>
      <c r="D3663">
        <f>Sources!E3663</f>
        <v/>
      </c>
      <c r="E3663">
        <f>Sources!F3663</f>
        <v/>
      </c>
      <c r="F3663">
        <f>Sources!H3663</f>
        <v/>
      </c>
      <c r="G3663">
        <f>IF(ABS(F3663-ROUND(F3663,0))&lt;0.001,1,0)</f>
        <v/>
      </c>
      <c r="H3663">
        <f>IF(G3663=1,F3663,CEILING(F3663,1))</f>
        <v/>
      </c>
      <c r="I3663">
        <f>IF(G3663=1,0,(H3663-F3663)*E3663)</f>
        <v/>
      </c>
      <c r="J3663">
        <f>E3663*F3663</f>
        <v/>
      </c>
    </row>
    <row r="3664">
      <c r="A3664">
        <f>Sources!A3664</f>
        <v/>
      </c>
      <c r="B3664">
        <f>Sources!B3664</f>
        <v/>
      </c>
      <c r="C3664">
        <f>Sources!D3664</f>
        <v/>
      </c>
      <c r="D3664">
        <f>Sources!E3664</f>
        <v/>
      </c>
      <c r="E3664">
        <f>Sources!F3664</f>
        <v/>
      </c>
      <c r="F3664">
        <f>Sources!H3664</f>
        <v/>
      </c>
      <c r="G3664">
        <f>IF(ABS(F3664-ROUND(F3664,0))&lt;0.001,1,0)</f>
        <v/>
      </c>
      <c r="H3664">
        <f>IF(G3664=1,F3664,CEILING(F3664,1))</f>
        <v/>
      </c>
      <c r="I3664">
        <f>IF(G3664=1,0,(H3664-F3664)*E3664)</f>
        <v/>
      </c>
      <c r="J3664">
        <f>E3664*F3664</f>
        <v/>
      </c>
    </row>
    <row r="3665">
      <c r="A3665">
        <f>Sources!A3665</f>
        <v/>
      </c>
      <c r="B3665">
        <f>Sources!B3665</f>
        <v/>
      </c>
      <c r="C3665">
        <f>Sources!D3665</f>
        <v/>
      </c>
      <c r="D3665">
        <f>Sources!E3665</f>
        <v/>
      </c>
      <c r="E3665">
        <f>Sources!F3665</f>
        <v/>
      </c>
      <c r="F3665">
        <f>Sources!H3665</f>
        <v/>
      </c>
      <c r="G3665">
        <f>IF(ABS(F3665-ROUND(F3665,0))&lt;0.001,1,0)</f>
        <v/>
      </c>
      <c r="H3665">
        <f>IF(G3665=1,F3665,CEILING(F3665,1))</f>
        <v/>
      </c>
      <c r="I3665">
        <f>IF(G3665=1,0,(H3665-F3665)*E3665)</f>
        <v/>
      </c>
      <c r="J3665">
        <f>E3665*F3665</f>
        <v/>
      </c>
    </row>
    <row r="3666">
      <c r="A3666">
        <f>Sources!A3666</f>
        <v/>
      </c>
      <c r="B3666">
        <f>Sources!B3666</f>
        <v/>
      </c>
      <c r="C3666">
        <f>Sources!D3666</f>
        <v/>
      </c>
      <c r="D3666">
        <f>Sources!E3666</f>
        <v/>
      </c>
      <c r="E3666">
        <f>Sources!F3666</f>
        <v/>
      </c>
      <c r="F3666">
        <f>Sources!H3666</f>
        <v/>
      </c>
      <c r="G3666">
        <f>IF(ABS(F3666-ROUND(F3666,0))&lt;0.001,1,0)</f>
        <v/>
      </c>
      <c r="H3666">
        <f>IF(G3666=1,F3666,CEILING(F3666,1))</f>
        <v/>
      </c>
      <c r="I3666">
        <f>IF(G3666=1,0,(H3666-F3666)*E3666)</f>
        <v/>
      </c>
      <c r="J3666">
        <f>E3666*F3666</f>
        <v/>
      </c>
    </row>
    <row r="3667">
      <c r="A3667">
        <f>Sources!A3667</f>
        <v/>
      </c>
      <c r="B3667">
        <f>Sources!B3667</f>
        <v/>
      </c>
      <c r="C3667">
        <f>Sources!D3667</f>
        <v/>
      </c>
      <c r="D3667">
        <f>Sources!E3667</f>
        <v/>
      </c>
      <c r="E3667">
        <f>Sources!F3667</f>
        <v/>
      </c>
      <c r="F3667">
        <f>Sources!H3667</f>
        <v/>
      </c>
      <c r="G3667">
        <f>IF(ABS(F3667-ROUND(F3667,0))&lt;0.001,1,0)</f>
        <v/>
      </c>
      <c r="H3667">
        <f>IF(G3667=1,F3667,CEILING(F3667,1))</f>
        <v/>
      </c>
      <c r="I3667">
        <f>IF(G3667=1,0,(H3667-F3667)*E3667)</f>
        <v/>
      </c>
      <c r="J3667">
        <f>E3667*F3667</f>
        <v/>
      </c>
    </row>
    <row r="3668">
      <c r="A3668">
        <f>Sources!A3668</f>
        <v/>
      </c>
      <c r="B3668">
        <f>Sources!B3668</f>
        <v/>
      </c>
      <c r="C3668">
        <f>Sources!D3668</f>
        <v/>
      </c>
      <c r="D3668">
        <f>Sources!E3668</f>
        <v/>
      </c>
      <c r="E3668">
        <f>Sources!F3668</f>
        <v/>
      </c>
      <c r="F3668">
        <f>Sources!H3668</f>
        <v/>
      </c>
      <c r="G3668">
        <f>IF(ABS(F3668-ROUND(F3668,0))&lt;0.001,1,0)</f>
        <v/>
      </c>
      <c r="H3668">
        <f>IF(G3668=1,F3668,CEILING(F3668,1))</f>
        <v/>
      </c>
      <c r="I3668">
        <f>IF(G3668=1,0,(H3668-F3668)*E3668)</f>
        <v/>
      </c>
      <c r="J3668">
        <f>E3668*F3668</f>
        <v/>
      </c>
    </row>
    <row r="3669">
      <c r="A3669">
        <f>Sources!A3669</f>
        <v/>
      </c>
      <c r="B3669">
        <f>Sources!B3669</f>
        <v/>
      </c>
      <c r="C3669">
        <f>Sources!D3669</f>
        <v/>
      </c>
      <c r="D3669">
        <f>Sources!E3669</f>
        <v/>
      </c>
      <c r="E3669">
        <f>Sources!F3669</f>
        <v/>
      </c>
      <c r="F3669">
        <f>Sources!H3669</f>
        <v/>
      </c>
      <c r="G3669">
        <f>IF(ABS(F3669-ROUND(F3669,0))&lt;0.001,1,0)</f>
        <v/>
      </c>
      <c r="H3669">
        <f>IF(G3669=1,F3669,CEILING(F3669,1))</f>
        <v/>
      </c>
      <c r="I3669">
        <f>IF(G3669=1,0,(H3669-F3669)*E3669)</f>
        <v/>
      </c>
      <c r="J3669">
        <f>E3669*F3669</f>
        <v/>
      </c>
    </row>
    <row r="3670">
      <c r="A3670">
        <f>Sources!A3670</f>
        <v/>
      </c>
      <c r="B3670">
        <f>Sources!B3670</f>
        <v/>
      </c>
      <c r="C3670">
        <f>Sources!D3670</f>
        <v/>
      </c>
      <c r="D3670">
        <f>Sources!E3670</f>
        <v/>
      </c>
      <c r="E3670">
        <f>Sources!F3670</f>
        <v/>
      </c>
      <c r="F3670">
        <f>Sources!H3670</f>
        <v/>
      </c>
      <c r="G3670">
        <f>IF(ABS(F3670-ROUND(F3670,0))&lt;0.001,1,0)</f>
        <v/>
      </c>
      <c r="H3670">
        <f>IF(G3670=1,F3670,CEILING(F3670,1))</f>
        <v/>
      </c>
      <c r="I3670">
        <f>IF(G3670=1,0,(H3670-F3670)*E3670)</f>
        <v/>
      </c>
      <c r="J3670">
        <f>E3670*F3670</f>
        <v/>
      </c>
    </row>
    <row r="3671">
      <c r="A3671">
        <f>Sources!A3671</f>
        <v/>
      </c>
      <c r="B3671">
        <f>Sources!B3671</f>
        <v/>
      </c>
      <c r="C3671">
        <f>Sources!D3671</f>
        <v/>
      </c>
      <c r="D3671">
        <f>Sources!E3671</f>
        <v/>
      </c>
      <c r="E3671">
        <f>Sources!F3671</f>
        <v/>
      </c>
      <c r="F3671">
        <f>Sources!H3671</f>
        <v/>
      </c>
      <c r="G3671">
        <f>IF(ABS(F3671-ROUND(F3671,0))&lt;0.001,1,0)</f>
        <v/>
      </c>
      <c r="H3671">
        <f>IF(G3671=1,F3671,CEILING(F3671,1))</f>
        <v/>
      </c>
      <c r="I3671">
        <f>IF(G3671=1,0,(H3671-F3671)*E3671)</f>
        <v/>
      </c>
      <c r="J3671">
        <f>E3671*F3671</f>
        <v/>
      </c>
    </row>
    <row r="3672">
      <c r="A3672">
        <f>Sources!A3672</f>
        <v/>
      </c>
      <c r="B3672">
        <f>Sources!B3672</f>
        <v/>
      </c>
      <c r="C3672">
        <f>Sources!D3672</f>
        <v/>
      </c>
      <c r="D3672">
        <f>Sources!E3672</f>
        <v/>
      </c>
      <c r="E3672">
        <f>Sources!F3672</f>
        <v/>
      </c>
      <c r="F3672">
        <f>Sources!H3672</f>
        <v/>
      </c>
      <c r="G3672">
        <f>IF(ABS(F3672-ROUND(F3672,0))&lt;0.001,1,0)</f>
        <v/>
      </c>
      <c r="H3672">
        <f>IF(G3672=1,F3672,CEILING(F3672,1))</f>
        <v/>
      </c>
      <c r="I3672">
        <f>IF(G3672=1,0,(H3672-F3672)*E3672)</f>
        <v/>
      </c>
      <c r="J3672">
        <f>E3672*F3672</f>
        <v/>
      </c>
    </row>
    <row r="3673">
      <c r="A3673">
        <f>Sources!A3673</f>
        <v/>
      </c>
      <c r="B3673">
        <f>Sources!B3673</f>
        <v/>
      </c>
      <c r="C3673">
        <f>Sources!D3673</f>
        <v/>
      </c>
      <c r="D3673">
        <f>Sources!E3673</f>
        <v/>
      </c>
      <c r="E3673">
        <f>Sources!F3673</f>
        <v/>
      </c>
      <c r="F3673">
        <f>Sources!H3673</f>
        <v/>
      </c>
      <c r="G3673">
        <f>IF(ABS(F3673-ROUND(F3673,0))&lt;0.001,1,0)</f>
        <v/>
      </c>
      <c r="H3673">
        <f>IF(G3673=1,F3673,CEILING(F3673,1))</f>
        <v/>
      </c>
      <c r="I3673">
        <f>IF(G3673=1,0,(H3673-F3673)*E3673)</f>
        <v/>
      </c>
      <c r="J3673">
        <f>E3673*F3673</f>
        <v/>
      </c>
    </row>
    <row r="3674">
      <c r="A3674">
        <f>Sources!A3674</f>
        <v/>
      </c>
      <c r="B3674">
        <f>Sources!B3674</f>
        <v/>
      </c>
      <c r="C3674">
        <f>Sources!D3674</f>
        <v/>
      </c>
      <c r="D3674">
        <f>Sources!E3674</f>
        <v/>
      </c>
      <c r="E3674">
        <f>Sources!F3674</f>
        <v/>
      </c>
      <c r="F3674">
        <f>Sources!H3674</f>
        <v/>
      </c>
      <c r="G3674">
        <f>IF(ABS(F3674-ROUND(F3674,0))&lt;0.001,1,0)</f>
        <v/>
      </c>
      <c r="H3674">
        <f>IF(G3674=1,F3674,CEILING(F3674,1))</f>
        <v/>
      </c>
      <c r="I3674">
        <f>IF(G3674=1,0,(H3674-F3674)*E3674)</f>
        <v/>
      </c>
      <c r="J3674">
        <f>E3674*F3674</f>
        <v/>
      </c>
    </row>
    <row r="3675">
      <c r="A3675">
        <f>Sources!A3675</f>
        <v/>
      </c>
      <c r="B3675">
        <f>Sources!B3675</f>
        <v/>
      </c>
      <c r="C3675">
        <f>Sources!D3675</f>
        <v/>
      </c>
      <c r="D3675">
        <f>Sources!E3675</f>
        <v/>
      </c>
      <c r="E3675">
        <f>Sources!F3675</f>
        <v/>
      </c>
      <c r="F3675">
        <f>Sources!H3675</f>
        <v/>
      </c>
      <c r="G3675">
        <f>IF(ABS(F3675-ROUND(F3675,0))&lt;0.001,1,0)</f>
        <v/>
      </c>
      <c r="H3675">
        <f>IF(G3675=1,F3675,CEILING(F3675,1))</f>
        <v/>
      </c>
      <c r="I3675">
        <f>IF(G3675=1,0,(H3675-F3675)*E3675)</f>
        <v/>
      </c>
      <c r="J3675">
        <f>E3675*F3675</f>
        <v/>
      </c>
    </row>
    <row r="3676">
      <c r="A3676">
        <f>Sources!A3676</f>
        <v/>
      </c>
      <c r="B3676">
        <f>Sources!B3676</f>
        <v/>
      </c>
      <c r="C3676">
        <f>Sources!D3676</f>
        <v/>
      </c>
      <c r="D3676">
        <f>Sources!E3676</f>
        <v/>
      </c>
      <c r="E3676">
        <f>Sources!F3676</f>
        <v/>
      </c>
      <c r="F3676">
        <f>Sources!H3676</f>
        <v/>
      </c>
      <c r="G3676">
        <f>IF(ABS(F3676-ROUND(F3676,0))&lt;0.001,1,0)</f>
        <v/>
      </c>
      <c r="H3676">
        <f>IF(G3676=1,F3676,CEILING(F3676,1))</f>
        <v/>
      </c>
      <c r="I3676">
        <f>IF(G3676=1,0,(H3676-F3676)*E3676)</f>
        <v/>
      </c>
      <c r="J3676">
        <f>E3676*F3676</f>
        <v/>
      </c>
    </row>
    <row r="3677">
      <c r="A3677">
        <f>Sources!A3677</f>
        <v/>
      </c>
      <c r="B3677">
        <f>Sources!B3677</f>
        <v/>
      </c>
      <c r="C3677">
        <f>Sources!D3677</f>
        <v/>
      </c>
      <c r="D3677">
        <f>Sources!E3677</f>
        <v/>
      </c>
      <c r="E3677">
        <f>Sources!F3677</f>
        <v/>
      </c>
      <c r="F3677">
        <f>Sources!H3677</f>
        <v/>
      </c>
      <c r="G3677">
        <f>IF(ABS(F3677-ROUND(F3677,0))&lt;0.001,1,0)</f>
        <v/>
      </c>
      <c r="H3677">
        <f>IF(G3677=1,F3677,CEILING(F3677,1))</f>
        <v/>
      </c>
      <c r="I3677">
        <f>IF(G3677=1,0,(H3677-F3677)*E3677)</f>
        <v/>
      </c>
      <c r="J3677">
        <f>E3677*F3677</f>
        <v/>
      </c>
    </row>
    <row r="3678">
      <c r="A3678">
        <f>Sources!A3678</f>
        <v/>
      </c>
      <c r="B3678">
        <f>Sources!B3678</f>
        <v/>
      </c>
      <c r="C3678">
        <f>Sources!D3678</f>
        <v/>
      </c>
      <c r="D3678">
        <f>Sources!E3678</f>
        <v/>
      </c>
      <c r="E3678">
        <f>Sources!F3678</f>
        <v/>
      </c>
      <c r="F3678">
        <f>Sources!H3678</f>
        <v/>
      </c>
      <c r="G3678">
        <f>IF(ABS(F3678-ROUND(F3678,0))&lt;0.001,1,0)</f>
        <v/>
      </c>
      <c r="H3678">
        <f>IF(G3678=1,F3678,CEILING(F3678,1))</f>
        <v/>
      </c>
      <c r="I3678">
        <f>IF(G3678=1,0,(H3678-F3678)*E3678)</f>
        <v/>
      </c>
      <c r="J3678">
        <f>E3678*F3678</f>
        <v/>
      </c>
    </row>
    <row r="3679">
      <c r="A3679">
        <f>Sources!A3679</f>
        <v/>
      </c>
      <c r="B3679">
        <f>Sources!B3679</f>
        <v/>
      </c>
      <c r="C3679">
        <f>Sources!D3679</f>
        <v/>
      </c>
      <c r="D3679">
        <f>Sources!E3679</f>
        <v/>
      </c>
      <c r="E3679">
        <f>Sources!F3679</f>
        <v/>
      </c>
      <c r="F3679">
        <f>Sources!H3679</f>
        <v/>
      </c>
      <c r="G3679">
        <f>IF(ABS(F3679-ROUND(F3679,0))&lt;0.001,1,0)</f>
        <v/>
      </c>
      <c r="H3679">
        <f>IF(G3679=1,F3679,CEILING(F3679,1))</f>
        <v/>
      </c>
      <c r="I3679">
        <f>IF(G3679=1,0,(H3679-F3679)*E3679)</f>
        <v/>
      </c>
      <c r="J3679">
        <f>E3679*F3679</f>
        <v/>
      </c>
    </row>
    <row r="3680">
      <c r="A3680">
        <f>Sources!A3680</f>
        <v/>
      </c>
      <c r="B3680">
        <f>Sources!B3680</f>
        <v/>
      </c>
      <c r="C3680">
        <f>Sources!D3680</f>
        <v/>
      </c>
      <c r="D3680">
        <f>Sources!E3680</f>
        <v/>
      </c>
      <c r="E3680">
        <f>Sources!F3680</f>
        <v/>
      </c>
      <c r="F3680">
        <f>Sources!H3680</f>
        <v/>
      </c>
      <c r="G3680">
        <f>IF(ABS(F3680-ROUND(F3680,0))&lt;0.001,1,0)</f>
        <v/>
      </c>
      <c r="H3680">
        <f>IF(G3680=1,F3680,CEILING(F3680,1))</f>
        <v/>
      </c>
      <c r="I3680">
        <f>IF(G3680=1,0,(H3680-F3680)*E3680)</f>
        <v/>
      </c>
      <c r="J3680">
        <f>E3680*F3680</f>
        <v/>
      </c>
    </row>
    <row r="3681">
      <c r="A3681">
        <f>Sources!A3681</f>
        <v/>
      </c>
      <c r="B3681">
        <f>Sources!B3681</f>
        <v/>
      </c>
      <c r="C3681">
        <f>Sources!D3681</f>
        <v/>
      </c>
      <c r="D3681">
        <f>Sources!E3681</f>
        <v/>
      </c>
      <c r="E3681">
        <f>Sources!F3681</f>
        <v/>
      </c>
      <c r="F3681">
        <f>Sources!H3681</f>
        <v/>
      </c>
      <c r="G3681">
        <f>IF(ABS(F3681-ROUND(F3681,0))&lt;0.001,1,0)</f>
        <v/>
      </c>
      <c r="H3681">
        <f>IF(G3681=1,F3681,CEILING(F3681,1))</f>
        <v/>
      </c>
      <c r="I3681">
        <f>IF(G3681=1,0,(H3681-F3681)*E3681)</f>
        <v/>
      </c>
      <c r="J3681">
        <f>E3681*F3681</f>
        <v/>
      </c>
    </row>
    <row r="3682">
      <c r="A3682">
        <f>Sources!A3682</f>
        <v/>
      </c>
      <c r="B3682">
        <f>Sources!B3682</f>
        <v/>
      </c>
      <c r="C3682">
        <f>Sources!D3682</f>
        <v/>
      </c>
      <c r="D3682">
        <f>Sources!E3682</f>
        <v/>
      </c>
      <c r="E3682">
        <f>Sources!F3682</f>
        <v/>
      </c>
      <c r="F3682">
        <f>Sources!H3682</f>
        <v/>
      </c>
      <c r="G3682">
        <f>IF(ABS(F3682-ROUND(F3682,0))&lt;0.001,1,0)</f>
        <v/>
      </c>
      <c r="H3682">
        <f>IF(G3682=1,F3682,CEILING(F3682,1))</f>
        <v/>
      </c>
      <c r="I3682">
        <f>IF(G3682=1,0,(H3682-F3682)*E3682)</f>
        <v/>
      </c>
      <c r="J3682">
        <f>E3682*F3682</f>
        <v/>
      </c>
    </row>
    <row r="3683">
      <c r="A3683">
        <f>Sources!A3683</f>
        <v/>
      </c>
      <c r="B3683">
        <f>Sources!B3683</f>
        <v/>
      </c>
      <c r="C3683">
        <f>Sources!D3683</f>
        <v/>
      </c>
      <c r="D3683">
        <f>Sources!E3683</f>
        <v/>
      </c>
      <c r="E3683">
        <f>Sources!F3683</f>
        <v/>
      </c>
      <c r="F3683">
        <f>Sources!H3683</f>
        <v/>
      </c>
      <c r="G3683">
        <f>IF(ABS(F3683-ROUND(F3683,0))&lt;0.001,1,0)</f>
        <v/>
      </c>
      <c r="H3683">
        <f>IF(G3683=1,F3683,CEILING(F3683,1))</f>
        <v/>
      </c>
      <c r="I3683">
        <f>IF(G3683=1,0,(H3683-F3683)*E3683)</f>
        <v/>
      </c>
      <c r="J3683">
        <f>E3683*F3683</f>
        <v/>
      </c>
    </row>
    <row r="3684">
      <c r="A3684">
        <f>Sources!A3684</f>
        <v/>
      </c>
      <c r="B3684">
        <f>Sources!B3684</f>
        <v/>
      </c>
      <c r="C3684">
        <f>Sources!D3684</f>
        <v/>
      </c>
      <c r="D3684">
        <f>Sources!E3684</f>
        <v/>
      </c>
      <c r="E3684">
        <f>Sources!F3684</f>
        <v/>
      </c>
      <c r="F3684">
        <f>Sources!H3684</f>
        <v/>
      </c>
      <c r="G3684">
        <f>IF(ABS(F3684-ROUND(F3684,0))&lt;0.001,1,0)</f>
        <v/>
      </c>
      <c r="H3684">
        <f>IF(G3684=1,F3684,CEILING(F3684,1))</f>
        <v/>
      </c>
      <c r="I3684">
        <f>IF(G3684=1,0,(H3684-F3684)*E3684)</f>
        <v/>
      </c>
      <c r="J3684">
        <f>E3684*F3684</f>
        <v/>
      </c>
    </row>
    <row r="3685">
      <c r="A3685">
        <f>Sources!A3685</f>
        <v/>
      </c>
      <c r="B3685">
        <f>Sources!B3685</f>
        <v/>
      </c>
      <c r="C3685">
        <f>Sources!D3685</f>
        <v/>
      </c>
      <c r="D3685">
        <f>Sources!E3685</f>
        <v/>
      </c>
      <c r="E3685">
        <f>Sources!F3685</f>
        <v/>
      </c>
      <c r="F3685">
        <f>Sources!H3685</f>
        <v/>
      </c>
      <c r="G3685">
        <f>IF(ABS(F3685-ROUND(F3685,0))&lt;0.001,1,0)</f>
        <v/>
      </c>
      <c r="H3685">
        <f>IF(G3685=1,F3685,CEILING(F3685,1))</f>
        <v/>
      </c>
      <c r="I3685">
        <f>IF(G3685=1,0,(H3685-F3685)*E3685)</f>
        <v/>
      </c>
      <c r="J3685">
        <f>E3685*F3685</f>
        <v/>
      </c>
    </row>
    <row r="3686">
      <c r="A3686">
        <f>Sources!A3686</f>
        <v/>
      </c>
      <c r="B3686">
        <f>Sources!B3686</f>
        <v/>
      </c>
      <c r="C3686">
        <f>Sources!D3686</f>
        <v/>
      </c>
      <c r="D3686">
        <f>Sources!E3686</f>
        <v/>
      </c>
      <c r="E3686">
        <f>Sources!F3686</f>
        <v/>
      </c>
      <c r="F3686">
        <f>Sources!H3686</f>
        <v/>
      </c>
      <c r="G3686">
        <f>IF(ABS(F3686-ROUND(F3686,0))&lt;0.001,1,0)</f>
        <v/>
      </c>
      <c r="H3686">
        <f>IF(G3686=1,F3686,CEILING(F3686,1))</f>
        <v/>
      </c>
      <c r="I3686">
        <f>IF(G3686=1,0,(H3686-F3686)*E3686)</f>
        <v/>
      </c>
      <c r="J3686">
        <f>E3686*F3686</f>
        <v/>
      </c>
    </row>
    <row r="3687">
      <c r="A3687">
        <f>Sources!A3687</f>
        <v/>
      </c>
      <c r="B3687">
        <f>Sources!B3687</f>
        <v/>
      </c>
      <c r="C3687">
        <f>Sources!D3687</f>
        <v/>
      </c>
      <c r="D3687">
        <f>Sources!E3687</f>
        <v/>
      </c>
      <c r="E3687">
        <f>Sources!F3687</f>
        <v/>
      </c>
      <c r="F3687">
        <f>Sources!H3687</f>
        <v/>
      </c>
      <c r="G3687">
        <f>IF(ABS(F3687-ROUND(F3687,0))&lt;0.001,1,0)</f>
        <v/>
      </c>
      <c r="H3687">
        <f>IF(G3687=1,F3687,CEILING(F3687,1))</f>
        <v/>
      </c>
      <c r="I3687">
        <f>IF(G3687=1,0,(H3687-F3687)*E3687)</f>
        <v/>
      </c>
      <c r="J3687">
        <f>E3687*F3687</f>
        <v/>
      </c>
    </row>
    <row r="3688">
      <c r="A3688">
        <f>Sources!A3688</f>
        <v/>
      </c>
      <c r="B3688">
        <f>Sources!B3688</f>
        <v/>
      </c>
      <c r="C3688">
        <f>Sources!D3688</f>
        <v/>
      </c>
      <c r="D3688">
        <f>Sources!E3688</f>
        <v/>
      </c>
      <c r="E3688">
        <f>Sources!F3688</f>
        <v/>
      </c>
      <c r="F3688">
        <f>Sources!H3688</f>
        <v/>
      </c>
      <c r="G3688">
        <f>IF(ABS(F3688-ROUND(F3688,0))&lt;0.001,1,0)</f>
        <v/>
      </c>
      <c r="H3688">
        <f>IF(G3688=1,F3688,CEILING(F3688,1))</f>
        <v/>
      </c>
      <c r="I3688">
        <f>IF(G3688=1,0,(H3688-F3688)*E3688)</f>
        <v/>
      </c>
      <c r="J3688">
        <f>E3688*F3688</f>
        <v/>
      </c>
    </row>
    <row r="3689">
      <c r="A3689">
        <f>Sources!A3689</f>
        <v/>
      </c>
      <c r="B3689">
        <f>Sources!B3689</f>
        <v/>
      </c>
      <c r="C3689">
        <f>Sources!D3689</f>
        <v/>
      </c>
      <c r="D3689">
        <f>Sources!E3689</f>
        <v/>
      </c>
      <c r="E3689">
        <f>Sources!F3689</f>
        <v/>
      </c>
      <c r="F3689">
        <f>Sources!H3689</f>
        <v/>
      </c>
      <c r="G3689">
        <f>IF(ABS(F3689-ROUND(F3689,0))&lt;0.001,1,0)</f>
        <v/>
      </c>
      <c r="H3689">
        <f>IF(G3689=1,F3689,CEILING(F3689,1))</f>
        <v/>
      </c>
      <c r="I3689">
        <f>IF(G3689=1,0,(H3689-F3689)*E3689)</f>
        <v/>
      </c>
      <c r="J3689">
        <f>E3689*F3689</f>
        <v/>
      </c>
    </row>
    <row r="3690">
      <c r="A3690">
        <f>Sources!A3690</f>
        <v/>
      </c>
      <c r="B3690">
        <f>Sources!B3690</f>
        <v/>
      </c>
      <c r="C3690">
        <f>Sources!D3690</f>
        <v/>
      </c>
      <c r="D3690">
        <f>Sources!E3690</f>
        <v/>
      </c>
      <c r="E3690">
        <f>Sources!F3690</f>
        <v/>
      </c>
      <c r="F3690">
        <f>Sources!H3690</f>
        <v/>
      </c>
      <c r="G3690">
        <f>IF(ABS(F3690-ROUND(F3690,0))&lt;0.001,1,0)</f>
        <v/>
      </c>
      <c r="H3690">
        <f>IF(G3690=1,F3690,CEILING(F3690,1))</f>
        <v/>
      </c>
      <c r="I3690">
        <f>IF(G3690=1,0,(H3690-F3690)*E3690)</f>
        <v/>
      </c>
      <c r="J3690">
        <f>E3690*F3690</f>
        <v/>
      </c>
    </row>
    <row r="3691">
      <c r="A3691">
        <f>Sources!A3691</f>
        <v/>
      </c>
      <c r="B3691">
        <f>Sources!B3691</f>
        <v/>
      </c>
      <c r="C3691">
        <f>Sources!D3691</f>
        <v/>
      </c>
      <c r="D3691">
        <f>Sources!E3691</f>
        <v/>
      </c>
      <c r="E3691">
        <f>Sources!F3691</f>
        <v/>
      </c>
      <c r="F3691">
        <f>Sources!H3691</f>
        <v/>
      </c>
      <c r="G3691">
        <f>IF(ABS(F3691-ROUND(F3691,0))&lt;0.001,1,0)</f>
        <v/>
      </c>
      <c r="H3691">
        <f>IF(G3691=1,F3691,CEILING(F3691,1))</f>
        <v/>
      </c>
      <c r="I3691">
        <f>IF(G3691=1,0,(H3691-F3691)*E3691)</f>
        <v/>
      </c>
      <c r="J3691">
        <f>E3691*F3691</f>
        <v/>
      </c>
    </row>
    <row r="3692">
      <c r="A3692">
        <f>Sources!A3692</f>
        <v/>
      </c>
      <c r="B3692">
        <f>Sources!B3692</f>
        <v/>
      </c>
      <c r="C3692">
        <f>Sources!D3692</f>
        <v/>
      </c>
      <c r="D3692">
        <f>Sources!E3692</f>
        <v/>
      </c>
      <c r="E3692">
        <f>Sources!F3692</f>
        <v/>
      </c>
      <c r="F3692">
        <f>Sources!H3692</f>
        <v/>
      </c>
      <c r="G3692">
        <f>IF(ABS(F3692-ROUND(F3692,0))&lt;0.001,1,0)</f>
        <v/>
      </c>
      <c r="H3692">
        <f>IF(G3692=1,F3692,CEILING(F3692,1))</f>
        <v/>
      </c>
      <c r="I3692">
        <f>IF(G3692=1,0,(H3692-F3692)*E3692)</f>
        <v/>
      </c>
      <c r="J3692">
        <f>E3692*F3692</f>
        <v/>
      </c>
    </row>
    <row r="3693">
      <c r="A3693">
        <f>Sources!A3693</f>
        <v/>
      </c>
      <c r="B3693">
        <f>Sources!B3693</f>
        <v/>
      </c>
      <c r="C3693">
        <f>Sources!D3693</f>
        <v/>
      </c>
      <c r="D3693">
        <f>Sources!E3693</f>
        <v/>
      </c>
      <c r="E3693">
        <f>Sources!F3693</f>
        <v/>
      </c>
      <c r="F3693">
        <f>Sources!H3693</f>
        <v/>
      </c>
      <c r="G3693">
        <f>IF(ABS(F3693-ROUND(F3693,0))&lt;0.001,1,0)</f>
        <v/>
      </c>
      <c r="H3693">
        <f>IF(G3693=1,F3693,CEILING(F3693,1))</f>
        <v/>
      </c>
      <c r="I3693">
        <f>IF(G3693=1,0,(H3693-F3693)*E3693)</f>
        <v/>
      </c>
      <c r="J3693">
        <f>E3693*F3693</f>
        <v/>
      </c>
    </row>
    <row r="3694">
      <c r="A3694">
        <f>Sources!A3694</f>
        <v/>
      </c>
      <c r="B3694">
        <f>Sources!B3694</f>
        <v/>
      </c>
      <c r="C3694">
        <f>Sources!D3694</f>
        <v/>
      </c>
      <c r="D3694">
        <f>Sources!E3694</f>
        <v/>
      </c>
      <c r="E3694">
        <f>Sources!F3694</f>
        <v/>
      </c>
      <c r="F3694">
        <f>Sources!H3694</f>
        <v/>
      </c>
      <c r="G3694">
        <f>IF(ABS(F3694-ROUND(F3694,0))&lt;0.001,1,0)</f>
        <v/>
      </c>
      <c r="H3694">
        <f>IF(G3694=1,F3694,CEILING(F3694,1))</f>
        <v/>
      </c>
      <c r="I3694">
        <f>IF(G3694=1,0,(H3694-F3694)*E3694)</f>
        <v/>
      </c>
      <c r="J3694">
        <f>E3694*F3694</f>
        <v/>
      </c>
    </row>
    <row r="3695">
      <c r="A3695">
        <f>Sources!A3695</f>
        <v/>
      </c>
      <c r="B3695">
        <f>Sources!B3695</f>
        <v/>
      </c>
      <c r="C3695">
        <f>Sources!D3695</f>
        <v/>
      </c>
      <c r="D3695">
        <f>Sources!E3695</f>
        <v/>
      </c>
      <c r="E3695">
        <f>Sources!F3695</f>
        <v/>
      </c>
      <c r="F3695">
        <f>Sources!H3695</f>
        <v/>
      </c>
      <c r="G3695">
        <f>IF(ABS(F3695-ROUND(F3695,0))&lt;0.001,1,0)</f>
        <v/>
      </c>
      <c r="H3695">
        <f>IF(G3695=1,F3695,CEILING(F3695,1))</f>
        <v/>
      </c>
      <c r="I3695">
        <f>IF(G3695=1,0,(H3695-F3695)*E3695)</f>
        <v/>
      </c>
      <c r="J3695">
        <f>E3695*F3695</f>
        <v/>
      </c>
    </row>
    <row r="3696">
      <c r="A3696">
        <f>Sources!A3696</f>
        <v/>
      </c>
      <c r="B3696">
        <f>Sources!B3696</f>
        <v/>
      </c>
      <c r="C3696">
        <f>Sources!D3696</f>
        <v/>
      </c>
      <c r="D3696">
        <f>Sources!E3696</f>
        <v/>
      </c>
      <c r="E3696">
        <f>Sources!F3696</f>
        <v/>
      </c>
      <c r="F3696">
        <f>Sources!H3696</f>
        <v/>
      </c>
      <c r="G3696">
        <f>IF(ABS(F3696-ROUND(F3696,0))&lt;0.001,1,0)</f>
        <v/>
      </c>
      <c r="H3696">
        <f>IF(G3696=1,F3696,CEILING(F3696,1))</f>
        <v/>
      </c>
      <c r="I3696">
        <f>IF(G3696=1,0,(H3696-F3696)*E3696)</f>
        <v/>
      </c>
      <c r="J3696">
        <f>E3696*F3696</f>
        <v/>
      </c>
    </row>
    <row r="3697">
      <c r="A3697">
        <f>Sources!A3697</f>
        <v/>
      </c>
      <c r="B3697">
        <f>Sources!B3697</f>
        <v/>
      </c>
      <c r="C3697">
        <f>Sources!D3697</f>
        <v/>
      </c>
      <c r="D3697">
        <f>Sources!E3697</f>
        <v/>
      </c>
      <c r="E3697">
        <f>Sources!F3697</f>
        <v/>
      </c>
      <c r="F3697">
        <f>Sources!H3697</f>
        <v/>
      </c>
      <c r="G3697">
        <f>IF(ABS(F3697-ROUND(F3697,0))&lt;0.001,1,0)</f>
        <v/>
      </c>
      <c r="H3697">
        <f>IF(G3697=1,F3697,CEILING(F3697,1))</f>
        <v/>
      </c>
      <c r="I3697">
        <f>IF(G3697=1,0,(H3697-F3697)*E3697)</f>
        <v/>
      </c>
      <c r="J3697">
        <f>E3697*F3697</f>
        <v/>
      </c>
    </row>
    <row r="3698">
      <c r="A3698">
        <f>Sources!A3698</f>
        <v/>
      </c>
      <c r="B3698">
        <f>Sources!B3698</f>
        <v/>
      </c>
      <c r="C3698">
        <f>Sources!D3698</f>
        <v/>
      </c>
      <c r="D3698">
        <f>Sources!E3698</f>
        <v/>
      </c>
      <c r="E3698">
        <f>Sources!F3698</f>
        <v/>
      </c>
      <c r="F3698">
        <f>Sources!H3698</f>
        <v/>
      </c>
      <c r="G3698">
        <f>IF(ABS(F3698-ROUND(F3698,0))&lt;0.001,1,0)</f>
        <v/>
      </c>
      <c r="H3698">
        <f>IF(G3698=1,F3698,CEILING(F3698,1))</f>
        <v/>
      </c>
      <c r="I3698">
        <f>IF(G3698=1,0,(H3698-F3698)*E3698)</f>
        <v/>
      </c>
      <c r="J3698">
        <f>E3698*F3698</f>
        <v/>
      </c>
    </row>
    <row r="3699">
      <c r="A3699">
        <f>Sources!A3699</f>
        <v/>
      </c>
      <c r="B3699">
        <f>Sources!B3699</f>
        <v/>
      </c>
      <c r="C3699">
        <f>Sources!D3699</f>
        <v/>
      </c>
      <c r="D3699">
        <f>Sources!E3699</f>
        <v/>
      </c>
      <c r="E3699">
        <f>Sources!F3699</f>
        <v/>
      </c>
      <c r="F3699">
        <f>Sources!H3699</f>
        <v/>
      </c>
      <c r="G3699">
        <f>IF(ABS(F3699-ROUND(F3699,0))&lt;0.001,1,0)</f>
        <v/>
      </c>
      <c r="H3699">
        <f>IF(G3699=1,F3699,CEILING(F3699,1))</f>
        <v/>
      </c>
      <c r="I3699">
        <f>IF(G3699=1,0,(H3699-F3699)*E3699)</f>
        <v/>
      </c>
      <c r="J3699">
        <f>E3699*F3699</f>
        <v/>
      </c>
    </row>
    <row r="3700">
      <c r="A3700">
        <f>Sources!A3700</f>
        <v/>
      </c>
      <c r="B3700">
        <f>Sources!B3700</f>
        <v/>
      </c>
      <c r="C3700">
        <f>Sources!D3700</f>
        <v/>
      </c>
      <c r="D3700">
        <f>Sources!E3700</f>
        <v/>
      </c>
      <c r="E3700">
        <f>Sources!F3700</f>
        <v/>
      </c>
      <c r="F3700">
        <f>Sources!H3700</f>
        <v/>
      </c>
      <c r="G3700">
        <f>IF(ABS(F3700-ROUND(F3700,0))&lt;0.001,1,0)</f>
        <v/>
      </c>
      <c r="H3700">
        <f>IF(G3700=1,F3700,CEILING(F3700,1))</f>
        <v/>
      </c>
      <c r="I3700">
        <f>IF(G3700=1,0,(H3700-F3700)*E3700)</f>
        <v/>
      </c>
      <c r="J3700">
        <f>E3700*F3700</f>
        <v/>
      </c>
    </row>
    <row r="3701">
      <c r="A3701">
        <f>Sources!A3701</f>
        <v/>
      </c>
      <c r="B3701">
        <f>Sources!B3701</f>
        <v/>
      </c>
      <c r="C3701">
        <f>Sources!D3701</f>
        <v/>
      </c>
      <c r="D3701">
        <f>Sources!E3701</f>
        <v/>
      </c>
      <c r="E3701">
        <f>Sources!F3701</f>
        <v/>
      </c>
      <c r="F3701">
        <f>Sources!H3701</f>
        <v/>
      </c>
      <c r="G3701">
        <f>IF(ABS(F3701-ROUND(F3701,0))&lt;0.001,1,0)</f>
        <v/>
      </c>
      <c r="H3701">
        <f>IF(G3701=1,F3701,CEILING(F3701,1))</f>
        <v/>
      </c>
      <c r="I3701">
        <f>IF(G3701=1,0,(H3701-F3701)*E3701)</f>
        <v/>
      </c>
      <c r="J3701">
        <f>E3701*F3701</f>
        <v/>
      </c>
    </row>
    <row r="3702">
      <c r="A3702">
        <f>Sources!A3702</f>
        <v/>
      </c>
      <c r="B3702">
        <f>Sources!B3702</f>
        <v/>
      </c>
      <c r="C3702">
        <f>Sources!D3702</f>
        <v/>
      </c>
      <c r="D3702">
        <f>Sources!E3702</f>
        <v/>
      </c>
      <c r="E3702">
        <f>Sources!F3702</f>
        <v/>
      </c>
      <c r="F3702">
        <f>Sources!H3702</f>
        <v/>
      </c>
      <c r="G3702">
        <f>IF(ABS(F3702-ROUND(F3702,0))&lt;0.001,1,0)</f>
        <v/>
      </c>
      <c r="H3702">
        <f>IF(G3702=1,F3702,CEILING(F3702,1))</f>
        <v/>
      </c>
      <c r="I3702">
        <f>IF(G3702=1,0,(H3702-F3702)*E3702)</f>
        <v/>
      </c>
      <c r="J3702">
        <f>E3702*F3702</f>
        <v/>
      </c>
    </row>
    <row r="3703">
      <c r="A3703">
        <f>Sources!A3703</f>
        <v/>
      </c>
      <c r="B3703">
        <f>Sources!B3703</f>
        <v/>
      </c>
      <c r="C3703">
        <f>Sources!D3703</f>
        <v/>
      </c>
      <c r="D3703">
        <f>Sources!E3703</f>
        <v/>
      </c>
      <c r="E3703">
        <f>Sources!F3703</f>
        <v/>
      </c>
      <c r="F3703">
        <f>Sources!H3703</f>
        <v/>
      </c>
      <c r="G3703">
        <f>IF(ABS(F3703-ROUND(F3703,0))&lt;0.001,1,0)</f>
        <v/>
      </c>
      <c r="H3703">
        <f>IF(G3703=1,F3703,CEILING(F3703,1))</f>
        <v/>
      </c>
      <c r="I3703">
        <f>IF(G3703=1,0,(H3703-F3703)*E3703)</f>
        <v/>
      </c>
      <c r="J3703">
        <f>E3703*F3703</f>
        <v/>
      </c>
    </row>
    <row r="3704">
      <c r="A3704">
        <f>Sources!A3704</f>
        <v/>
      </c>
      <c r="B3704">
        <f>Sources!B3704</f>
        <v/>
      </c>
      <c r="C3704">
        <f>Sources!D3704</f>
        <v/>
      </c>
      <c r="D3704">
        <f>Sources!E3704</f>
        <v/>
      </c>
      <c r="E3704">
        <f>Sources!F3704</f>
        <v/>
      </c>
      <c r="F3704">
        <f>Sources!H3704</f>
        <v/>
      </c>
      <c r="G3704">
        <f>IF(ABS(F3704-ROUND(F3704,0))&lt;0.001,1,0)</f>
        <v/>
      </c>
      <c r="H3704">
        <f>IF(G3704=1,F3704,CEILING(F3704,1))</f>
        <v/>
      </c>
      <c r="I3704">
        <f>IF(G3704=1,0,(H3704-F3704)*E3704)</f>
        <v/>
      </c>
      <c r="J3704">
        <f>E3704*F3704</f>
        <v/>
      </c>
    </row>
    <row r="3705">
      <c r="A3705">
        <f>Sources!A3705</f>
        <v/>
      </c>
      <c r="B3705">
        <f>Sources!B3705</f>
        <v/>
      </c>
      <c r="C3705">
        <f>Sources!D3705</f>
        <v/>
      </c>
      <c r="D3705">
        <f>Sources!E3705</f>
        <v/>
      </c>
      <c r="E3705">
        <f>Sources!F3705</f>
        <v/>
      </c>
      <c r="F3705">
        <f>Sources!H3705</f>
        <v/>
      </c>
      <c r="G3705">
        <f>IF(ABS(F3705-ROUND(F3705,0))&lt;0.001,1,0)</f>
        <v/>
      </c>
      <c r="H3705">
        <f>IF(G3705=1,F3705,CEILING(F3705,1))</f>
        <v/>
      </c>
      <c r="I3705">
        <f>IF(G3705=1,0,(H3705-F3705)*E3705)</f>
        <v/>
      </c>
      <c r="J3705">
        <f>E3705*F3705</f>
        <v/>
      </c>
    </row>
    <row r="3706">
      <c r="A3706">
        <f>Sources!A3706</f>
        <v/>
      </c>
      <c r="B3706">
        <f>Sources!B3706</f>
        <v/>
      </c>
      <c r="C3706">
        <f>Sources!D3706</f>
        <v/>
      </c>
      <c r="D3706">
        <f>Sources!E3706</f>
        <v/>
      </c>
      <c r="E3706">
        <f>Sources!F3706</f>
        <v/>
      </c>
      <c r="F3706">
        <f>Sources!H3706</f>
        <v/>
      </c>
      <c r="G3706">
        <f>IF(ABS(F3706-ROUND(F3706,0))&lt;0.001,1,0)</f>
        <v/>
      </c>
      <c r="H3706">
        <f>IF(G3706=1,F3706,CEILING(F3706,1))</f>
        <v/>
      </c>
      <c r="I3706">
        <f>IF(G3706=1,0,(H3706-F3706)*E3706)</f>
        <v/>
      </c>
      <c r="J3706">
        <f>E3706*F3706</f>
        <v/>
      </c>
    </row>
    <row r="3707">
      <c r="A3707">
        <f>Sources!A3707</f>
        <v/>
      </c>
      <c r="B3707">
        <f>Sources!B3707</f>
        <v/>
      </c>
      <c r="C3707">
        <f>Sources!D3707</f>
        <v/>
      </c>
      <c r="D3707">
        <f>Sources!E3707</f>
        <v/>
      </c>
      <c r="E3707">
        <f>Sources!F3707</f>
        <v/>
      </c>
      <c r="F3707">
        <f>Sources!H3707</f>
        <v/>
      </c>
      <c r="G3707">
        <f>IF(ABS(F3707-ROUND(F3707,0))&lt;0.001,1,0)</f>
        <v/>
      </c>
      <c r="H3707">
        <f>IF(G3707=1,F3707,CEILING(F3707,1))</f>
        <v/>
      </c>
      <c r="I3707">
        <f>IF(G3707=1,0,(H3707-F3707)*E3707)</f>
        <v/>
      </c>
      <c r="J3707">
        <f>E3707*F3707</f>
        <v/>
      </c>
    </row>
    <row r="3708">
      <c r="A3708">
        <f>Sources!A3708</f>
        <v/>
      </c>
      <c r="B3708">
        <f>Sources!B3708</f>
        <v/>
      </c>
      <c r="C3708">
        <f>Sources!D3708</f>
        <v/>
      </c>
      <c r="D3708">
        <f>Sources!E3708</f>
        <v/>
      </c>
      <c r="E3708">
        <f>Sources!F3708</f>
        <v/>
      </c>
      <c r="F3708">
        <f>Sources!H3708</f>
        <v/>
      </c>
      <c r="G3708">
        <f>IF(ABS(F3708-ROUND(F3708,0))&lt;0.001,1,0)</f>
        <v/>
      </c>
      <c r="H3708">
        <f>IF(G3708=1,F3708,CEILING(F3708,1))</f>
        <v/>
      </c>
      <c r="I3708">
        <f>IF(G3708=1,0,(H3708-F3708)*E3708)</f>
        <v/>
      </c>
      <c r="J3708">
        <f>E3708*F3708</f>
        <v/>
      </c>
    </row>
    <row r="3709">
      <c r="A3709">
        <f>Sources!A3709</f>
        <v/>
      </c>
      <c r="B3709">
        <f>Sources!B3709</f>
        <v/>
      </c>
      <c r="C3709">
        <f>Sources!D3709</f>
        <v/>
      </c>
      <c r="D3709">
        <f>Sources!E3709</f>
        <v/>
      </c>
      <c r="E3709">
        <f>Sources!F3709</f>
        <v/>
      </c>
      <c r="F3709">
        <f>Sources!H3709</f>
        <v/>
      </c>
      <c r="G3709">
        <f>IF(ABS(F3709-ROUND(F3709,0))&lt;0.001,1,0)</f>
        <v/>
      </c>
      <c r="H3709">
        <f>IF(G3709=1,F3709,CEILING(F3709,1))</f>
        <v/>
      </c>
      <c r="I3709">
        <f>IF(G3709=1,0,(H3709-F3709)*E3709)</f>
        <v/>
      </c>
      <c r="J3709">
        <f>E3709*F3709</f>
        <v/>
      </c>
    </row>
    <row r="3710">
      <c r="A3710">
        <f>Sources!A3710</f>
        <v/>
      </c>
      <c r="B3710">
        <f>Sources!B3710</f>
        <v/>
      </c>
      <c r="C3710">
        <f>Sources!D3710</f>
        <v/>
      </c>
      <c r="D3710">
        <f>Sources!E3710</f>
        <v/>
      </c>
      <c r="E3710">
        <f>Sources!F3710</f>
        <v/>
      </c>
      <c r="F3710">
        <f>Sources!H3710</f>
        <v/>
      </c>
      <c r="G3710">
        <f>IF(ABS(F3710-ROUND(F3710,0))&lt;0.001,1,0)</f>
        <v/>
      </c>
      <c r="H3710">
        <f>IF(G3710=1,F3710,CEILING(F3710,1))</f>
        <v/>
      </c>
      <c r="I3710">
        <f>IF(G3710=1,0,(H3710-F3710)*E3710)</f>
        <v/>
      </c>
      <c r="J3710">
        <f>E3710*F3710</f>
        <v/>
      </c>
    </row>
    <row r="3711">
      <c r="A3711">
        <f>Sources!A3711</f>
        <v/>
      </c>
      <c r="B3711">
        <f>Sources!B3711</f>
        <v/>
      </c>
      <c r="C3711">
        <f>Sources!D3711</f>
        <v/>
      </c>
      <c r="D3711">
        <f>Sources!E3711</f>
        <v/>
      </c>
      <c r="E3711">
        <f>Sources!F3711</f>
        <v/>
      </c>
      <c r="F3711">
        <f>Sources!H3711</f>
        <v/>
      </c>
      <c r="G3711">
        <f>IF(ABS(F3711-ROUND(F3711,0))&lt;0.001,1,0)</f>
        <v/>
      </c>
      <c r="H3711">
        <f>IF(G3711=1,F3711,CEILING(F3711,1))</f>
        <v/>
      </c>
      <c r="I3711">
        <f>IF(G3711=1,0,(H3711-F3711)*E3711)</f>
        <v/>
      </c>
      <c r="J3711">
        <f>E3711*F3711</f>
        <v/>
      </c>
    </row>
    <row r="3712">
      <c r="A3712">
        <f>Sources!A3712</f>
        <v/>
      </c>
      <c r="B3712">
        <f>Sources!B3712</f>
        <v/>
      </c>
      <c r="C3712">
        <f>Sources!D3712</f>
        <v/>
      </c>
      <c r="D3712">
        <f>Sources!E3712</f>
        <v/>
      </c>
      <c r="E3712">
        <f>Sources!F3712</f>
        <v/>
      </c>
      <c r="F3712">
        <f>Sources!H3712</f>
        <v/>
      </c>
      <c r="G3712">
        <f>IF(ABS(F3712-ROUND(F3712,0))&lt;0.001,1,0)</f>
        <v/>
      </c>
      <c r="H3712">
        <f>IF(G3712=1,F3712,CEILING(F3712,1))</f>
        <v/>
      </c>
      <c r="I3712">
        <f>IF(G3712=1,0,(H3712-F3712)*E3712)</f>
        <v/>
      </c>
      <c r="J3712">
        <f>E3712*F3712</f>
        <v/>
      </c>
    </row>
    <row r="3713">
      <c r="A3713">
        <f>Sources!A3713</f>
        <v/>
      </c>
      <c r="B3713">
        <f>Sources!B3713</f>
        <v/>
      </c>
      <c r="C3713">
        <f>Sources!D3713</f>
        <v/>
      </c>
      <c r="D3713">
        <f>Sources!E3713</f>
        <v/>
      </c>
      <c r="E3713">
        <f>Sources!F3713</f>
        <v/>
      </c>
      <c r="F3713">
        <f>Sources!H3713</f>
        <v/>
      </c>
      <c r="G3713">
        <f>IF(ABS(F3713-ROUND(F3713,0))&lt;0.001,1,0)</f>
        <v/>
      </c>
      <c r="H3713">
        <f>IF(G3713=1,F3713,CEILING(F3713,1))</f>
        <v/>
      </c>
      <c r="I3713">
        <f>IF(G3713=1,0,(H3713-F3713)*E3713)</f>
        <v/>
      </c>
      <c r="J3713">
        <f>E3713*F3713</f>
        <v/>
      </c>
    </row>
    <row r="3714">
      <c r="A3714">
        <f>Sources!A3714</f>
        <v/>
      </c>
      <c r="B3714">
        <f>Sources!B3714</f>
        <v/>
      </c>
      <c r="C3714">
        <f>Sources!D3714</f>
        <v/>
      </c>
      <c r="D3714">
        <f>Sources!E3714</f>
        <v/>
      </c>
      <c r="E3714">
        <f>Sources!F3714</f>
        <v/>
      </c>
      <c r="F3714">
        <f>Sources!H3714</f>
        <v/>
      </c>
      <c r="G3714">
        <f>IF(ABS(F3714-ROUND(F3714,0))&lt;0.001,1,0)</f>
        <v/>
      </c>
      <c r="H3714">
        <f>IF(G3714=1,F3714,CEILING(F3714,1))</f>
        <v/>
      </c>
      <c r="I3714">
        <f>IF(G3714=1,0,(H3714-F3714)*E3714)</f>
        <v/>
      </c>
      <c r="J3714">
        <f>E3714*F3714</f>
        <v/>
      </c>
    </row>
    <row r="3715">
      <c r="A3715">
        <f>Sources!A3715</f>
        <v/>
      </c>
      <c r="B3715">
        <f>Sources!B3715</f>
        <v/>
      </c>
      <c r="C3715">
        <f>Sources!D3715</f>
        <v/>
      </c>
      <c r="D3715">
        <f>Sources!E3715</f>
        <v/>
      </c>
      <c r="E3715">
        <f>Sources!F3715</f>
        <v/>
      </c>
      <c r="F3715">
        <f>Sources!H3715</f>
        <v/>
      </c>
      <c r="G3715">
        <f>IF(ABS(F3715-ROUND(F3715,0))&lt;0.001,1,0)</f>
        <v/>
      </c>
      <c r="H3715">
        <f>IF(G3715=1,F3715,CEILING(F3715,1))</f>
        <v/>
      </c>
      <c r="I3715">
        <f>IF(G3715=1,0,(H3715-F3715)*E3715)</f>
        <v/>
      </c>
      <c r="J3715">
        <f>E3715*F3715</f>
        <v/>
      </c>
    </row>
    <row r="3716">
      <c r="A3716">
        <f>Sources!A3716</f>
        <v/>
      </c>
      <c r="B3716">
        <f>Sources!B3716</f>
        <v/>
      </c>
      <c r="C3716">
        <f>Sources!D3716</f>
        <v/>
      </c>
      <c r="D3716">
        <f>Sources!E3716</f>
        <v/>
      </c>
      <c r="E3716">
        <f>Sources!F3716</f>
        <v/>
      </c>
      <c r="F3716">
        <f>Sources!H3716</f>
        <v/>
      </c>
      <c r="G3716">
        <f>IF(ABS(F3716-ROUND(F3716,0))&lt;0.001,1,0)</f>
        <v/>
      </c>
      <c r="H3716">
        <f>IF(G3716=1,F3716,CEILING(F3716,1))</f>
        <v/>
      </c>
      <c r="I3716">
        <f>IF(G3716=1,0,(H3716-F3716)*E3716)</f>
        <v/>
      </c>
      <c r="J3716">
        <f>E3716*F3716</f>
        <v/>
      </c>
    </row>
    <row r="3717">
      <c r="A3717">
        <f>Sources!A3717</f>
        <v/>
      </c>
      <c r="B3717">
        <f>Sources!B3717</f>
        <v/>
      </c>
      <c r="C3717">
        <f>Sources!D3717</f>
        <v/>
      </c>
      <c r="D3717">
        <f>Sources!E3717</f>
        <v/>
      </c>
      <c r="E3717">
        <f>Sources!F3717</f>
        <v/>
      </c>
      <c r="F3717">
        <f>Sources!H3717</f>
        <v/>
      </c>
      <c r="G3717">
        <f>IF(ABS(F3717-ROUND(F3717,0))&lt;0.001,1,0)</f>
        <v/>
      </c>
      <c r="H3717">
        <f>IF(G3717=1,F3717,CEILING(F3717,1))</f>
        <v/>
      </c>
      <c r="I3717">
        <f>IF(G3717=1,0,(H3717-F3717)*E3717)</f>
        <v/>
      </c>
      <c r="J3717">
        <f>E3717*F3717</f>
        <v/>
      </c>
    </row>
    <row r="3718">
      <c r="A3718">
        <f>Sources!A3718</f>
        <v/>
      </c>
      <c r="B3718">
        <f>Sources!B3718</f>
        <v/>
      </c>
      <c r="C3718">
        <f>Sources!D3718</f>
        <v/>
      </c>
      <c r="D3718">
        <f>Sources!E3718</f>
        <v/>
      </c>
      <c r="E3718">
        <f>Sources!F3718</f>
        <v/>
      </c>
      <c r="F3718">
        <f>Sources!H3718</f>
        <v/>
      </c>
      <c r="G3718">
        <f>IF(ABS(F3718-ROUND(F3718,0))&lt;0.001,1,0)</f>
        <v/>
      </c>
      <c r="H3718">
        <f>IF(G3718=1,F3718,CEILING(F3718,1))</f>
        <v/>
      </c>
      <c r="I3718">
        <f>IF(G3718=1,0,(H3718-F3718)*E3718)</f>
        <v/>
      </c>
      <c r="J3718">
        <f>E3718*F3718</f>
        <v/>
      </c>
    </row>
    <row r="3719">
      <c r="A3719">
        <f>Sources!A3719</f>
        <v/>
      </c>
      <c r="B3719">
        <f>Sources!B3719</f>
        <v/>
      </c>
      <c r="C3719">
        <f>Sources!D3719</f>
        <v/>
      </c>
      <c r="D3719">
        <f>Sources!E3719</f>
        <v/>
      </c>
      <c r="E3719">
        <f>Sources!F3719</f>
        <v/>
      </c>
      <c r="F3719">
        <f>Sources!H3719</f>
        <v/>
      </c>
      <c r="G3719">
        <f>IF(ABS(F3719-ROUND(F3719,0))&lt;0.001,1,0)</f>
        <v/>
      </c>
      <c r="H3719">
        <f>IF(G3719=1,F3719,CEILING(F3719,1))</f>
        <v/>
      </c>
      <c r="I3719">
        <f>IF(G3719=1,0,(H3719-F3719)*E3719)</f>
        <v/>
      </c>
      <c r="J3719">
        <f>E3719*F3719</f>
        <v/>
      </c>
    </row>
    <row r="3720">
      <c r="A3720">
        <f>Sources!A3720</f>
        <v/>
      </c>
      <c r="B3720">
        <f>Sources!B3720</f>
        <v/>
      </c>
      <c r="C3720">
        <f>Sources!D3720</f>
        <v/>
      </c>
      <c r="D3720">
        <f>Sources!E3720</f>
        <v/>
      </c>
      <c r="E3720">
        <f>Sources!F3720</f>
        <v/>
      </c>
      <c r="F3720">
        <f>Sources!H3720</f>
        <v/>
      </c>
      <c r="G3720">
        <f>IF(ABS(F3720-ROUND(F3720,0))&lt;0.001,1,0)</f>
        <v/>
      </c>
      <c r="H3720">
        <f>IF(G3720=1,F3720,CEILING(F3720,1))</f>
        <v/>
      </c>
      <c r="I3720">
        <f>IF(G3720=1,0,(H3720-F3720)*E3720)</f>
        <v/>
      </c>
      <c r="J3720">
        <f>E3720*F3720</f>
        <v/>
      </c>
    </row>
    <row r="3721">
      <c r="A3721">
        <f>Sources!A3721</f>
        <v/>
      </c>
      <c r="B3721">
        <f>Sources!B3721</f>
        <v/>
      </c>
      <c r="C3721">
        <f>Sources!D3721</f>
        <v/>
      </c>
      <c r="D3721">
        <f>Sources!E3721</f>
        <v/>
      </c>
      <c r="E3721">
        <f>Sources!F3721</f>
        <v/>
      </c>
      <c r="F3721">
        <f>Sources!H3721</f>
        <v/>
      </c>
      <c r="G3721">
        <f>IF(ABS(F3721-ROUND(F3721,0))&lt;0.001,1,0)</f>
        <v/>
      </c>
      <c r="H3721">
        <f>IF(G3721=1,F3721,CEILING(F3721,1))</f>
        <v/>
      </c>
      <c r="I3721">
        <f>IF(G3721=1,0,(H3721-F3721)*E3721)</f>
        <v/>
      </c>
      <c r="J3721">
        <f>E3721*F3721</f>
        <v/>
      </c>
    </row>
    <row r="3722">
      <c r="A3722">
        <f>Sources!A3722</f>
        <v/>
      </c>
      <c r="B3722">
        <f>Sources!B3722</f>
        <v/>
      </c>
      <c r="C3722">
        <f>Sources!D3722</f>
        <v/>
      </c>
      <c r="D3722">
        <f>Sources!E3722</f>
        <v/>
      </c>
      <c r="E3722">
        <f>Sources!F3722</f>
        <v/>
      </c>
      <c r="F3722">
        <f>Sources!H3722</f>
        <v/>
      </c>
      <c r="G3722">
        <f>IF(ABS(F3722-ROUND(F3722,0))&lt;0.001,1,0)</f>
        <v/>
      </c>
      <c r="H3722">
        <f>IF(G3722=1,F3722,CEILING(F3722,1))</f>
        <v/>
      </c>
      <c r="I3722">
        <f>IF(G3722=1,0,(H3722-F3722)*E3722)</f>
        <v/>
      </c>
      <c r="J3722">
        <f>E3722*F3722</f>
        <v/>
      </c>
    </row>
    <row r="3723">
      <c r="A3723">
        <f>Sources!A3723</f>
        <v/>
      </c>
      <c r="B3723">
        <f>Sources!B3723</f>
        <v/>
      </c>
      <c r="C3723">
        <f>Sources!D3723</f>
        <v/>
      </c>
      <c r="D3723">
        <f>Sources!E3723</f>
        <v/>
      </c>
      <c r="E3723">
        <f>Sources!F3723</f>
        <v/>
      </c>
      <c r="F3723">
        <f>Sources!H3723</f>
        <v/>
      </c>
      <c r="G3723">
        <f>IF(ABS(F3723-ROUND(F3723,0))&lt;0.001,1,0)</f>
        <v/>
      </c>
      <c r="H3723">
        <f>IF(G3723=1,F3723,CEILING(F3723,1))</f>
        <v/>
      </c>
      <c r="I3723">
        <f>IF(G3723=1,0,(H3723-F3723)*E3723)</f>
        <v/>
      </c>
      <c r="J3723">
        <f>E3723*F3723</f>
        <v/>
      </c>
    </row>
    <row r="3724">
      <c r="A3724">
        <f>Sources!A3724</f>
        <v/>
      </c>
      <c r="B3724">
        <f>Sources!B3724</f>
        <v/>
      </c>
      <c r="C3724">
        <f>Sources!D3724</f>
        <v/>
      </c>
      <c r="D3724">
        <f>Sources!E3724</f>
        <v/>
      </c>
      <c r="E3724">
        <f>Sources!F3724</f>
        <v/>
      </c>
      <c r="F3724">
        <f>Sources!H3724</f>
        <v/>
      </c>
      <c r="G3724">
        <f>IF(ABS(F3724-ROUND(F3724,0))&lt;0.001,1,0)</f>
        <v/>
      </c>
      <c r="H3724">
        <f>IF(G3724=1,F3724,CEILING(F3724,1))</f>
        <v/>
      </c>
      <c r="I3724">
        <f>IF(G3724=1,0,(H3724-F3724)*E3724)</f>
        <v/>
      </c>
      <c r="J3724">
        <f>E3724*F3724</f>
        <v/>
      </c>
    </row>
    <row r="3725">
      <c r="A3725">
        <f>Sources!A3725</f>
        <v/>
      </c>
      <c r="B3725">
        <f>Sources!B3725</f>
        <v/>
      </c>
      <c r="C3725">
        <f>Sources!D3725</f>
        <v/>
      </c>
      <c r="D3725">
        <f>Sources!E3725</f>
        <v/>
      </c>
      <c r="E3725">
        <f>Sources!F3725</f>
        <v/>
      </c>
      <c r="F3725">
        <f>Sources!H3725</f>
        <v/>
      </c>
      <c r="G3725">
        <f>IF(ABS(F3725-ROUND(F3725,0))&lt;0.001,1,0)</f>
        <v/>
      </c>
      <c r="H3725">
        <f>IF(G3725=1,F3725,CEILING(F3725,1))</f>
        <v/>
      </c>
      <c r="I3725">
        <f>IF(G3725=1,0,(H3725-F3725)*E3725)</f>
        <v/>
      </c>
      <c r="J3725">
        <f>E3725*F3725</f>
        <v/>
      </c>
    </row>
    <row r="3726">
      <c r="A3726">
        <f>Sources!A3726</f>
        <v/>
      </c>
      <c r="B3726">
        <f>Sources!B3726</f>
        <v/>
      </c>
      <c r="C3726">
        <f>Sources!D3726</f>
        <v/>
      </c>
      <c r="D3726">
        <f>Sources!E3726</f>
        <v/>
      </c>
      <c r="E3726">
        <f>Sources!F3726</f>
        <v/>
      </c>
      <c r="F3726">
        <f>Sources!H3726</f>
        <v/>
      </c>
      <c r="G3726">
        <f>IF(ABS(F3726-ROUND(F3726,0))&lt;0.001,1,0)</f>
        <v/>
      </c>
      <c r="H3726">
        <f>IF(G3726=1,F3726,CEILING(F3726,1))</f>
        <v/>
      </c>
      <c r="I3726">
        <f>IF(G3726=1,0,(H3726-F3726)*E3726)</f>
        <v/>
      </c>
      <c r="J3726">
        <f>E3726*F3726</f>
        <v/>
      </c>
    </row>
    <row r="3727">
      <c r="A3727">
        <f>Sources!A3727</f>
        <v/>
      </c>
      <c r="B3727">
        <f>Sources!B3727</f>
        <v/>
      </c>
      <c r="C3727">
        <f>Sources!D3727</f>
        <v/>
      </c>
      <c r="D3727">
        <f>Sources!E3727</f>
        <v/>
      </c>
      <c r="E3727">
        <f>Sources!F3727</f>
        <v/>
      </c>
      <c r="F3727">
        <f>Sources!H3727</f>
        <v/>
      </c>
      <c r="G3727">
        <f>IF(ABS(F3727-ROUND(F3727,0))&lt;0.001,1,0)</f>
        <v/>
      </c>
      <c r="H3727">
        <f>IF(G3727=1,F3727,CEILING(F3727,1))</f>
        <v/>
      </c>
      <c r="I3727">
        <f>IF(G3727=1,0,(H3727-F3727)*E3727)</f>
        <v/>
      </c>
      <c r="J3727">
        <f>E3727*F3727</f>
        <v/>
      </c>
    </row>
    <row r="3728">
      <c r="A3728">
        <f>Sources!A3728</f>
        <v/>
      </c>
      <c r="B3728">
        <f>Sources!B3728</f>
        <v/>
      </c>
      <c r="C3728">
        <f>Sources!D3728</f>
        <v/>
      </c>
      <c r="D3728">
        <f>Sources!E3728</f>
        <v/>
      </c>
      <c r="E3728">
        <f>Sources!F3728</f>
        <v/>
      </c>
      <c r="F3728">
        <f>Sources!H3728</f>
        <v/>
      </c>
      <c r="G3728">
        <f>IF(ABS(F3728-ROUND(F3728,0))&lt;0.001,1,0)</f>
        <v/>
      </c>
      <c r="H3728">
        <f>IF(G3728=1,F3728,CEILING(F3728,1))</f>
        <v/>
      </c>
      <c r="I3728">
        <f>IF(G3728=1,0,(H3728-F3728)*E3728)</f>
        <v/>
      </c>
      <c r="J3728">
        <f>E3728*F3728</f>
        <v/>
      </c>
    </row>
    <row r="3729">
      <c r="A3729">
        <f>Sources!A3729</f>
        <v/>
      </c>
      <c r="B3729">
        <f>Sources!B3729</f>
        <v/>
      </c>
      <c r="C3729">
        <f>Sources!D3729</f>
        <v/>
      </c>
      <c r="D3729">
        <f>Sources!E3729</f>
        <v/>
      </c>
      <c r="E3729">
        <f>Sources!F3729</f>
        <v/>
      </c>
      <c r="F3729">
        <f>Sources!H3729</f>
        <v/>
      </c>
      <c r="G3729">
        <f>IF(ABS(F3729-ROUND(F3729,0))&lt;0.001,1,0)</f>
        <v/>
      </c>
      <c r="H3729">
        <f>IF(G3729=1,F3729,CEILING(F3729,1))</f>
        <v/>
      </c>
      <c r="I3729">
        <f>IF(G3729=1,0,(H3729-F3729)*E3729)</f>
        <v/>
      </c>
      <c r="J3729">
        <f>E3729*F3729</f>
        <v/>
      </c>
    </row>
    <row r="3730">
      <c r="A3730">
        <f>Sources!A3730</f>
        <v/>
      </c>
      <c r="B3730">
        <f>Sources!B3730</f>
        <v/>
      </c>
      <c r="C3730">
        <f>Sources!D3730</f>
        <v/>
      </c>
      <c r="D3730">
        <f>Sources!E3730</f>
        <v/>
      </c>
      <c r="E3730">
        <f>Sources!F3730</f>
        <v/>
      </c>
      <c r="F3730">
        <f>Sources!H3730</f>
        <v/>
      </c>
      <c r="G3730">
        <f>IF(ABS(F3730-ROUND(F3730,0))&lt;0.001,1,0)</f>
        <v/>
      </c>
      <c r="H3730">
        <f>IF(G3730=1,F3730,CEILING(F3730,1))</f>
        <v/>
      </c>
      <c r="I3730">
        <f>IF(G3730=1,0,(H3730-F3730)*E3730)</f>
        <v/>
      </c>
      <c r="J3730">
        <f>E3730*F3730</f>
        <v/>
      </c>
    </row>
    <row r="3731">
      <c r="A3731">
        <f>Sources!A3731</f>
        <v/>
      </c>
      <c r="B3731">
        <f>Sources!B3731</f>
        <v/>
      </c>
      <c r="C3731">
        <f>Sources!D3731</f>
        <v/>
      </c>
      <c r="D3731">
        <f>Sources!E3731</f>
        <v/>
      </c>
      <c r="E3731">
        <f>Sources!F3731</f>
        <v/>
      </c>
      <c r="F3731">
        <f>Sources!H3731</f>
        <v/>
      </c>
      <c r="G3731">
        <f>IF(ABS(F3731-ROUND(F3731,0))&lt;0.001,1,0)</f>
        <v/>
      </c>
      <c r="H3731">
        <f>IF(G3731=1,F3731,CEILING(F3731,1))</f>
        <v/>
      </c>
      <c r="I3731">
        <f>IF(G3731=1,0,(H3731-F3731)*E3731)</f>
        <v/>
      </c>
      <c r="J3731">
        <f>E3731*F3731</f>
        <v/>
      </c>
    </row>
    <row r="3732">
      <c r="A3732">
        <f>Sources!A3732</f>
        <v/>
      </c>
      <c r="B3732">
        <f>Sources!B3732</f>
        <v/>
      </c>
      <c r="C3732">
        <f>Sources!D3732</f>
        <v/>
      </c>
      <c r="D3732">
        <f>Sources!E3732</f>
        <v/>
      </c>
      <c r="E3732">
        <f>Sources!F3732</f>
        <v/>
      </c>
      <c r="F3732">
        <f>Sources!H3732</f>
        <v/>
      </c>
      <c r="G3732">
        <f>IF(ABS(F3732-ROUND(F3732,0))&lt;0.001,1,0)</f>
        <v/>
      </c>
      <c r="H3732">
        <f>IF(G3732=1,F3732,CEILING(F3732,1))</f>
        <v/>
      </c>
      <c r="I3732">
        <f>IF(G3732=1,0,(H3732-F3732)*E3732)</f>
        <v/>
      </c>
      <c r="J3732">
        <f>E3732*F3732</f>
        <v/>
      </c>
    </row>
    <row r="3733">
      <c r="A3733">
        <f>Sources!A3733</f>
        <v/>
      </c>
      <c r="B3733">
        <f>Sources!B3733</f>
        <v/>
      </c>
      <c r="C3733">
        <f>Sources!D3733</f>
        <v/>
      </c>
      <c r="D3733">
        <f>Sources!E3733</f>
        <v/>
      </c>
      <c r="E3733">
        <f>Sources!F3733</f>
        <v/>
      </c>
      <c r="F3733">
        <f>Sources!H3733</f>
        <v/>
      </c>
      <c r="G3733">
        <f>IF(ABS(F3733-ROUND(F3733,0))&lt;0.001,1,0)</f>
        <v/>
      </c>
      <c r="H3733">
        <f>IF(G3733=1,F3733,CEILING(F3733,1))</f>
        <v/>
      </c>
      <c r="I3733">
        <f>IF(G3733=1,0,(H3733-F3733)*E3733)</f>
        <v/>
      </c>
      <c r="J3733">
        <f>E3733*F3733</f>
        <v/>
      </c>
    </row>
    <row r="3734">
      <c r="A3734">
        <f>Sources!A3734</f>
        <v/>
      </c>
      <c r="B3734">
        <f>Sources!B3734</f>
        <v/>
      </c>
      <c r="C3734">
        <f>Sources!D3734</f>
        <v/>
      </c>
      <c r="D3734">
        <f>Sources!E3734</f>
        <v/>
      </c>
      <c r="E3734">
        <f>Sources!F3734</f>
        <v/>
      </c>
      <c r="F3734">
        <f>Sources!H3734</f>
        <v/>
      </c>
      <c r="G3734">
        <f>IF(ABS(F3734-ROUND(F3734,0))&lt;0.001,1,0)</f>
        <v/>
      </c>
      <c r="H3734">
        <f>IF(G3734=1,F3734,CEILING(F3734,1))</f>
        <v/>
      </c>
      <c r="I3734">
        <f>IF(G3734=1,0,(H3734-F3734)*E3734)</f>
        <v/>
      </c>
      <c r="J3734">
        <f>E3734*F3734</f>
        <v/>
      </c>
    </row>
    <row r="3735">
      <c r="A3735">
        <f>Sources!A3735</f>
        <v/>
      </c>
      <c r="B3735">
        <f>Sources!B3735</f>
        <v/>
      </c>
      <c r="C3735">
        <f>Sources!D3735</f>
        <v/>
      </c>
      <c r="D3735">
        <f>Sources!E3735</f>
        <v/>
      </c>
      <c r="E3735">
        <f>Sources!F3735</f>
        <v/>
      </c>
      <c r="F3735">
        <f>Sources!H3735</f>
        <v/>
      </c>
      <c r="G3735">
        <f>IF(ABS(F3735-ROUND(F3735,0))&lt;0.001,1,0)</f>
        <v/>
      </c>
      <c r="H3735">
        <f>IF(G3735=1,F3735,CEILING(F3735,1))</f>
        <v/>
      </c>
      <c r="I3735">
        <f>IF(G3735=1,0,(H3735-F3735)*E3735)</f>
        <v/>
      </c>
      <c r="J3735">
        <f>E3735*F3735</f>
        <v/>
      </c>
    </row>
    <row r="3736">
      <c r="A3736">
        <f>Sources!A3736</f>
        <v/>
      </c>
      <c r="B3736">
        <f>Sources!B3736</f>
        <v/>
      </c>
      <c r="C3736">
        <f>Sources!D3736</f>
        <v/>
      </c>
      <c r="D3736">
        <f>Sources!E3736</f>
        <v/>
      </c>
      <c r="E3736">
        <f>Sources!F3736</f>
        <v/>
      </c>
      <c r="F3736">
        <f>Sources!H3736</f>
        <v/>
      </c>
      <c r="G3736">
        <f>IF(ABS(F3736-ROUND(F3736,0))&lt;0.001,1,0)</f>
        <v/>
      </c>
      <c r="H3736">
        <f>IF(G3736=1,F3736,CEILING(F3736,1))</f>
        <v/>
      </c>
      <c r="I3736">
        <f>IF(G3736=1,0,(H3736-F3736)*E3736)</f>
        <v/>
      </c>
      <c r="J3736">
        <f>E3736*F3736</f>
        <v/>
      </c>
    </row>
    <row r="3737">
      <c r="A3737">
        <f>Sources!A3737</f>
        <v/>
      </c>
      <c r="B3737">
        <f>Sources!B3737</f>
        <v/>
      </c>
      <c r="C3737">
        <f>Sources!D3737</f>
        <v/>
      </c>
      <c r="D3737">
        <f>Sources!E3737</f>
        <v/>
      </c>
      <c r="E3737">
        <f>Sources!F3737</f>
        <v/>
      </c>
      <c r="F3737">
        <f>Sources!H3737</f>
        <v/>
      </c>
      <c r="G3737">
        <f>IF(ABS(F3737-ROUND(F3737,0))&lt;0.001,1,0)</f>
        <v/>
      </c>
      <c r="H3737">
        <f>IF(G3737=1,F3737,CEILING(F3737,1))</f>
        <v/>
      </c>
      <c r="I3737">
        <f>IF(G3737=1,0,(H3737-F3737)*E3737)</f>
        <v/>
      </c>
      <c r="J3737">
        <f>E3737*F3737</f>
        <v/>
      </c>
    </row>
    <row r="3738">
      <c r="A3738">
        <f>Sources!A3738</f>
        <v/>
      </c>
      <c r="B3738">
        <f>Sources!B3738</f>
        <v/>
      </c>
      <c r="C3738">
        <f>Sources!D3738</f>
        <v/>
      </c>
      <c r="D3738">
        <f>Sources!E3738</f>
        <v/>
      </c>
      <c r="E3738">
        <f>Sources!F3738</f>
        <v/>
      </c>
      <c r="F3738">
        <f>Sources!H3738</f>
        <v/>
      </c>
      <c r="G3738">
        <f>IF(ABS(F3738-ROUND(F3738,0))&lt;0.001,1,0)</f>
        <v/>
      </c>
      <c r="H3738">
        <f>IF(G3738=1,F3738,CEILING(F3738,1))</f>
        <v/>
      </c>
      <c r="I3738">
        <f>IF(G3738=1,0,(H3738-F3738)*E3738)</f>
        <v/>
      </c>
      <c r="J3738">
        <f>E3738*F3738</f>
        <v/>
      </c>
    </row>
    <row r="3739">
      <c r="A3739">
        <f>Sources!A3739</f>
        <v/>
      </c>
      <c r="B3739">
        <f>Sources!B3739</f>
        <v/>
      </c>
      <c r="C3739">
        <f>Sources!D3739</f>
        <v/>
      </c>
      <c r="D3739">
        <f>Sources!E3739</f>
        <v/>
      </c>
      <c r="E3739">
        <f>Sources!F3739</f>
        <v/>
      </c>
      <c r="F3739">
        <f>Sources!H3739</f>
        <v/>
      </c>
      <c r="G3739">
        <f>IF(ABS(F3739-ROUND(F3739,0))&lt;0.001,1,0)</f>
        <v/>
      </c>
      <c r="H3739">
        <f>IF(G3739=1,F3739,CEILING(F3739,1))</f>
        <v/>
      </c>
      <c r="I3739">
        <f>IF(G3739=1,0,(H3739-F3739)*E3739)</f>
        <v/>
      </c>
      <c r="J3739">
        <f>E3739*F3739</f>
        <v/>
      </c>
    </row>
    <row r="3740">
      <c r="A3740">
        <f>Sources!A3740</f>
        <v/>
      </c>
      <c r="B3740">
        <f>Sources!B3740</f>
        <v/>
      </c>
      <c r="C3740">
        <f>Sources!D3740</f>
        <v/>
      </c>
      <c r="D3740">
        <f>Sources!E3740</f>
        <v/>
      </c>
      <c r="E3740">
        <f>Sources!F3740</f>
        <v/>
      </c>
      <c r="F3740">
        <f>Sources!H3740</f>
        <v/>
      </c>
      <c r="G3740">
        <f>IF(ABS(F3740-ROUND(F3740,0))&lt;0.001,1,0)</f>
        <v/>
      </c>
      <c r="H3740">
        <f>IF(G3740=1,F3740,CEILING(F3740,1))</f>
        <v/>
      </c>
      <c r="I3740">
        <f>IF(G3740=1,0,(H3740-F3740)*E3740)</f>
        <v/>
      </c>
      <c r="J3740">
        <f>E3740*F3740</f>
        <v/>
      </c>
    </row>
    <row r="3741">
      <c r="A3741">
        <f>Sources!A3741</f>
        <v/>
      </c>
      <c r="B3741">
        <f>Sources!B3741</f>
        <v/>
      </c>
      <c r="C3741">
        <f>Sources!D3741</f>
        <v/>
      </c>
      <c r="D3741">
        <f>Sources!E3741</f>
        <v/>
      </c>
      <c r="E3741">
        <f>Sources!F3741</f>
        <v/>
      </c>
      <c r="F3741">
        <f>Sources!H3741</f>
        <v/>
      </c>
      <c r="G3741">
        <f>IF(ABS(F3741-ROUND(F3741,0))&lt;0.001,1,0)</f>
        <v/>
      </c>
      <c r="H3741">
        <f>IF(G3741=1,F3741,CEILING(F3741,1))</f>
        <v/>
      </c>
      <c r="I3741">
        <f>IF(G3741=1,0,(H3741-F3741)*E3741)</f>
        <v/>
      </c>
      <c r="J3741">
        <f>E3741*F3741</f>
        <v/>
      </c>
    </row>
    <row r="3742">
      <c r="A3742">
        <f>Sources!A3742</f>
        <v/>
      </c>
      <c r="B3742">
        <f>Sources!B3742</f>
        <v/>
      </c>
      <c r="C3742">
        <f>Sources!D3742</f>
        <v/>
      </c>
      <c r="D3742">
        <f>Sources!E3742</f>
        <v/>
      </c>
      <c r="E3742">
        <f>Sources!F3742</f>
        <v/>
      </c>
      <c r="F3742">
        <f>Sources!H3742</f>
        <v/>
      </c>
      <c r="G3742">
        <f>IF(ABS(F3742-ROUND(F3742,0))&lt;0.001,1,0)</f>
        <v/>
      </c>
      <c r="H3742">
        <f>IF(G3742=1,F3742,CEILING(F3742,1))</f>
        <v/>
      </c>
      <c r="I3742">
        <f>IF(G3742=1,0,(H3742-F3742)*E3742)</f>
        <v/>
      </c>
      <c r="J3742">
        <f>E3742*F3742</f>
        <v/>
      </c>
    </row>
    <row r="3743">
      <c r="A3743">
        <f>Sources!A3743</f>
        <v/>
      </c>
      <c r="B3743">
        <f>Sources!B3743</f>
        <v/>
      </c>
      <c r="C3743">
        <f>Sources!D3743</f>
        <v/>
      </c>
      <c r="D3743">
        <f>Sources!E3743</f>
        <v/>
      </c>
      <c r="E3743">
        <f>Sources!F3743</f>
        <v/>
      </c>
      <c r="F3743">
        <f>Sources!H3743</f>
        <v/>
      </c>
      <c r="G3743">
        <f>IF(ABS(F3743-ROUND(F3743,0))&lt;0.001,1,0)</f>
        <v/>
      </c>
      <c r="H3743">
        <f>IF(G3743=1,F3743,CEILING(F3743,1))</f>
        <v/>
      </c>
      <c r="I3743">
        <f>IF(G3743=1,0,(H3743-F3743)*E3743)</f>
        <v/>
      </c>
      <c r="J3743">
        <f>E3743*F3743</f>
        <v/>
      </c>
    </row>
    <row r="3744">
      <c r="A3744">
        <f>Sources!A3744</f>
        <v/>
      </c>
      <c r="B3744">
        <f>Sources!B3744</f>
        <v/>
      </c>
      <c r="C3744">
        <f>Sources!D3744</f>
        <v/>
      </c>
      <c r="D3744">
        <f>Sources!E3744</f>
        <v/>
      </c>
      <c r="E3744">
        <f>Sources!F3744</f>
        <v/>
      </c>
      <c r="F3744">
        <f>Sources!H3744</f>
        <v/>
      </c>
      <c r="G3744">
        <f>IF(ABS(F3744-ROUND(F3744,0))&lt;0.001,1,0)</f>
        <v/>
      </c>
      <c r="H3744">
        <f>IF(G3744=1,F3744,CEILING(F3744,1))</f>
        <v/>
      </c>
      <c r="I3744">
        <f>IF(G3744=1,0,(H3744-F3744)*E3744)</f>
        <v/>
      </c>
      <c r="J3744">
        <f>E3744*F3744</f>
        <v/>
      </c>
    </row>
    <row r="3745">
      <c r="A3745">
        <f>Sources!A3745</f>
        <v/>
      </c>
      <c r="B3745">
        <f>Sources!B3745</f>
        <v/>
      </c>
      <c r="C3745">
        <f>Sources!D3745</f>
        <v/>
      </c>
      <c r="D3745">
        <f>Sources!E3745</f>
        <v/>
      </c>
      <c r="E3745">
        <f>Sources!F3745</f>
        <v/>
      </c>
      <c r="F3745">
        <f>Sources!H3745</f>
        <v/>
      </c>
      <c r="G3745">
        <f>IF(ABS(F3745-ROUND(F3745,0))&lt;0.001,1,0)</f>
        <v/>
      </c>
      <c r="H3745">
        <f>IF(G3745=1,F3745,CEILING(F3745,1))</f>
        <v/>
      </c>
      <c r="I3745">
        <f>IF(G3745=1,0,(H3745-F3745)*E3745)</f>
        <v/>
      </c>
      <c r="J3745">
        <f>E3745*F3745</f>
        <v/>
      </c>
    </row>
    <row r="3746">
      <c r="A3746">
        <f>Sources!A3746</f>
        <v/>
      </c>
      <c r="B3746">
        <f>Sources!B3746</f>
        <v/>
      </c>
      <c r="C3746">
        <f>Sources!D3746</f>
        <v/>
      </c>
      <c r="D3746">
        <f>Sources!E3746</f>
        <v/>
      </c>
      <c r="E3746">
        <f>Sources!F3746</f>
        <v/>
      </c>
      <c r="F3746">
        <f>Sources!H3746</f>
        <v/>
      </c>
      <c r="G3746">
        <f>IF(ABS(F3746-ROUND(F3746,0))&lt;0.001,1,0)</f>
        <v/>
      </c>
      <c r="H3746">
        <f>IF(G3746=1,F3746,CEILING(F3746,1))</f>
        <v/>
      </c>
      <c r="I3746">
        <f>IF(G3746=1,0,(H3746-F3746)*E3746)</f>
        <v/>
      </c>
      <c r="J3746">
        <f>E3746*F3746</f>
        <v/>
      </c>
    </row>
    <row r="3747">
      <c r="A3747">
        <f>Sources!A3747</f>
        <v/>
      </c>
      <c r="B3747">
        <f>Sources!B3747</f>
        <v/>
      </c>
      <c r="C3747">
        <f>Sources!D3747</f>
        <v/>
      </c>
      <c r="D3747">
        <f>Sources!E3747</f>
        <v/>
      </c>
      <c r="E3747">
        <f>Sources!F3747</f>
        <v/>
      </c>
      <c r="F3747">
        <f>Sources!H3747</f>
        <v/>
      </c>
      <c r="G3747">
        <f>IF(ABS(F3747-ROUND(F3747,0))&lt;0.001,1,0)</f>
        <v/>
      </c>
      <c r="H3747">
        <f>IF(G3747=1,F3747,CEILING(F3747,1))</f>
        <v/>
      </c>
      <c r="I3747">
        <f>IF(G3747=1,0,(H3747-F3747)*E3747)</f>
        <v/>
      </c>
      <c r="J3747">
        <f>E3747*F3747</f>
        <v/>
      </c>
    </row>
    <row r="3748">
      <c r="A3748">
        <f>Sources!A3748</f>
        <v/>
      </c>
      <c r="B3748">
        <f>Sources!B3748</f>
        <v/>
      </c>
      <c r="C3748">
        <f>Sources!D3748</f>
        <v/>
      </c>
      <c r="D3748">
        <f>Sources!E3748</f>
        <v/>
      </c>
      <c r="E3748">
        <f>Sources!F3748</f>
        <v/>
      </c>
      <c r="F3748">
        <f>Sources!H3748</f>
        <v/>
      </c>
      <c r="G3748">
        <f>IF(ABS(F3748-ROUND(F3748,0))&lt;0.001,1,0)</f>
        <v/>
      </c>
      <c r="H3748">
        <f>IF(G3748=1,F3748,CEILING(F3748,1))</f>
        <v/>
      </c>
      <c r="I3748">
        <f>IF(G3748=1,0,(H3748-F3748)*E3748)</f>
        <v/>
      </c>
      <c r="J3748">
        <f>E3748*F3748</f>
        <v/>
      </c>
    </row>
    <row r="3749">
      <c r="A3749">
        <f>Sources!A3749</f>
        <v/>
      </c>
      <c r="B3749">
        <f>Sources!B3749</f>
        <v/>
      </c>
      <c r="C3749">
        <f>Sources!D3749</f>
        <v/>
      </c>
      <c r="D3749">
        <f>Sources!E3749</f>
        <v/>
      </c>
      <c r="E3749">
        <f>Sources!F3749</f>
        <v/>
      </c>
      <c r="F3749">
        <f>Sources!H3749</f>
        <v/>
      </c>
      <c r="G3749">
        <f>IF(ABS(F3749-ROUND(F3749,0))&lt;0.001,1,0)</f>
        <v/>
      </c>
      <c r="H3749">
        <f>IF(G3749=1,F3749,CEILING(F3749,1))</f>
        <v/>
      </c>
      <c r="I3749">
        <f>IF(G3749=1,0,(H3749-F3749)*E3749)</f>
        <v/>
      </c>
      <c r="J3749">
        <f>E3749*F3749</f>
        <v/>
      </c>
    </row>
    <row r="3750">
      <c r="A3750">
        <f>Sources!A3750</f>
        <v/>
      </c>
      <c r="B3750">
        <f>Sources!B3750</f>
        <v/>
      </c>
      <c r="C3750">
        <f>Sources!D3750</f>
        <v/>
      </c>
      <c r="D3750">
        <f>Sources!E3750</f>
        <v/>
      </c>
      <c r="E3750">
        <f>Sources!F3750</f>
        <v/>
      </c>
      <c r="F3750">
        <f>Sources!H3750</f>
        <v/>
      </c>
      <c r="G3750">
        <f>IF(ABS(F3750-ROUND(F3750,0))&lt;0.001,1,0)</f>
        <v/>
      </c>
      <c r="H3750">
        <f>IF(G3750=1,F3750,CEILING(F3750,1))</f>
        <v/>
      </c>
      <c r="I3750">
        <f>IF(G3750=1,0,(H3750-F3750)*E3750)</f>
        <v/>
      </c>
      <c r="J3750">
        <f>E3750*F3750</f>
        <v/>
      </c>
    </row>
    <row r="3751">
      <c r="A3751">
        <f>Sources!A3751</f>
        <v/>
      </c>
      <c r="B3751">
        <f>Sources!B3751</f>
        <v/>
      </c>
      <c r="C3751">
        <f>Sources!D3751</f>
        <v/>
      </c>
      <c r="D3751">
        <f>Sources!E3751</f>
        <v/>
      </c>
      <c r="E3751">
        <f>Sources!F3751</f>
        <v/>
      </c>
      <c r="F3751">
        <f>Sources!H3751</f>
        <v/>
      </c>
      <c r="G3751">
        <f>IF(ABS(F3751-ROUND(F3751,0))&lt;0.001,1,0)</f>
        <v/>
      </c>
      <c r="H3751">
        <f>IF(G3751=1,F3751,CEILING(F3751,1))</f>
        <v/>
      </c>
      <c r="I3751">
        <f>IF(G3751=1,0,(H3751-F3751)*E3751)</f>
        <v/>
      </c>
      <c r="J3751">
        <f>E3751*F3751</f>
        <v/>
      </c>
    </row>
    <row r="3752">
      <c r="A3752">
        <f>Sources!A3752</f>
        <v/>
      </c>
      <c r="B3752">
        <f>Sources!B3752</f>
        <v/>
      </c>
      <c r="C3752">
        <f>Sources!D3752</f>
        <v/>
      </c>
      <c r="D3752">
        <f>Sources!E3752</f>
        <v/>
      </c>
      <c r="E3752">
        <f>Sources!F3752</f>
        <v/>
      </c>
      <c r="F3752">
        <f>Sources!H3752</f>
        <v/>
      </c>
      <c r="G3752">
        <f>IF(ABS(F3752-ROUND(F3752,0))&lt;0.001,1,0)</f>
        <v/>
      </c>
      <c r="H3752">
        <f>IF(G3752=1,F3752,CEILING(F3752,1))</f>
        <v/>
      </c>
      <c r="I3752">
        <f>IF(G3752=1,0,(H3752-F3752)*E3752)</f>
        <v/>
      </c>
      <c r="J3752">
        <f>E3752*F3752</f>
        <v/>
      </c>
    </row>
    <row r="3753">
      <c r="A3753">
        <f>Sources!A3753</f>
        <v/>
      </c>
      <c r="B3753">
        <f>Sources!B3753</f>
        <v/>
      </c>
      <c r="C3753">
        <f>Sources!D3753</f>
        <v/>
      </c>
      <c r="D3753">
        <f>Sources!E3753</f>
        <v/>
      </c>
      <c r="E3753">
        <f>Sources!F3753</f>
        <v/>
      </c>
      <c r="F3753">
        <f>Sources!H3753</f>
        <v/>
      </c>
      <c r="G3753">
        <f>IF(ABS(F3753-ROUND(F3753,0))&lt;0.001,1,0)</f>
        <v/>
      </c>
      <c r="H3753">
        <f>IF(G3753=1,F3753,CEILING(F3753,1))</f>
        <v/>
      </c>
      <c r="I3753">
        <f>IF(G3753=1,0,(H3753-F3753)*E3753)</f>
        <v/>
      </c>
      <c r="J3753">
        <f>E3753*F3753</f>
        <v/>
      </c>
    </row>
    <row r="3754">
      <c r="A3754">
        <f>Sources!A3754</f>
        <v/>
      </c>
      <c r="B3754">
        <f>Sources!B3754</f>
        <v/>
      </c>
      <c r="C3754">
        <f>Sources!D3754</f>
        <v/>
      </c>
      <c r="D3754">
        <f>Sources!E3754</f>
        <v/>
      </c>
      <c r="E3754">
        <f>Sources!F3754</f>
        <v/>
      </c>
      <c r="F3754">
        <f>Sources!H3754</f>
        <v/>
      </c>
      <c r="G3754">
        <f>IF(ABS(F3754-ROUND(F3754,0))&lt;0.001,1,0)</f>
        <v/>
      </c>
      <c r="H3754">
        <f>IF(G3754=1,F3754,CEILING(F3754,1))</f>
        <v/>
      </c>
      <c r="I3754">
        <f>IF(G3754=1,0,(H3754-F3754)*E3754)</f>
        <v/>
      </c>
      <c r="J3754">
        <f>E3754*F3754</f>
        <v/>
      </c>
    </row>
    <row r="3755">
      <c r="A3755">
        <f>Sources!A3755</f>
        <v/>
      </c>
      <c r="B3755">
        <f>Sources!B3755</f>
        <v/>
      </c>
      <c r="C3755">
        <f>Sources!D3755</f>
        <v/>
      </c>
      <c r="D3755">
        <f>Sources!E3755</f>
        <v/>
      </c>
      <c r="E3755">
        <f>Sources!F3755</f>
        <v/>
      </c>
      <c r="F3755">
        <f>Sources!H3755</f>
        <v/>
      </c>
      <c r="G3755">
        <f>IF(ABS(F3755-ROUND(F3755,0))&lt;0.001,1,0)</f>
        <v/>
      </c>
      <c r="H3755">
        <f>IF(G3755=1,F3755,CEILING(F3755,1))</f>
        <v/>
      </c>
      <c r="I3755">
        <f>IF(G3755=1,0,(H3755-F3755)*E3755)</f>
        <v/>
      </c>
      <c r="J3755">
        <f>E3755*F3755</f>
        <v/>
      </c>
    </row>
    <row r="3756">
      <c r="A3756">
        <f>Sources!A3756</f>
        <v/>
      </c>
      <c r="B3756">
        <f>Sources!B3756</f>
        <v/>
      </c>
      <c r="C3756">
        <f>Sources!D3756</f>
        <v/>
      </c>
      <c r="D3756">
        <f>Sources!E3756</f>
        <v/>
      </c>
      <c r="E3756">
        <f>Sources!F3756</f>
        <v/>
      </c>
      <c r="F3756">
        <f>Sources!H3756</f>
        <v/>
      </c>
      <c r="G3756">
        <f>IF(ABS(F3756-ROUND(F3756,0))&lt;0.001,1,0)</f>
        <v/>
      </c>
      <c r="H3756">
        <f>IF(G3756=1,F3756,CEILING(F3756,1))</f>
        <v/>
      </c>
      <c r="I3756">
        <f>IF(G3756=1,0,(H3756-F3756)*E3756)</f>
        <v/>
      </c>
      <c r="J3756">
        <f>E3756*F3756</f>
        <v/>
      </c>
    </row>
    <row r="3757">
      <c r="A3757">
        <f>Sources!A3757</f>
        <v/>
      </c>
      <c r="B3757">
        <f>Sources!B3757</f>
        <v/>
      </c>
      <c r="C3757">
        <f>Sources!D3757</f>
        <v/>
      </c>
      <c r="D3757">
        <f>Sources!E3757</f>
        <v/>
      </c>
      <c r="E3757">
        <f>Sources!F3757</f>
        <v/>
      </c>
      <c r="F3757">
        <f>Sources!H3757</f>
        <v/>
      </c>
      <c r="G3757">
        <f>IF(ABS(F3757-ROUND(F3757,0))&lt;0.001,1,0)</f>
        <v/>
      </c>
      <c r="H3757">
        <f>IF(G3757=1,F3757,CEILING(F3757,1))</f>
        <v/>
      </c>
      <c r="I3757">
        <f>IF(G3757=1,0,(H3757-F3757)*E3757)</f>
        <v/>
      </c>
      <c r="J3757">
        <f>E3757*F3757</f>
        <v/>
      </c>
    </row>
    <row r="3758">
      <c r="A3758">
        <f>Sources!A3758</f>
        <v/>
      </c>
      <c r="B3758">
        <f>Sources!B3758</f>
        <v/>
      </c>
      <c r="C3758">
        <f>Sources!D3758</f>
        <v/>
      </c>
      <c r="D3758">
        <f>Sources!E3758</f>
        <v/>
      </c>
      <c r="E3758">
        <f>Sources!F3758</f>
        <v/>
      </c>
      <c r="F3758">
        <f>Sources!H3758</f>
        <v/>
      </c>
      <c r="G3758">
        <f>IF(ABS(F3758-ROUND(F3758,0))&lt;0.001,1,0)</f>
        <v/>
      </c>
      <c r="H3758">
        <f>IF(G3758=1,F3758,CEILING(F3758,1))</f>
        <v/>
      </c>
      <c r="I3758">
        <f>IF(G3758=1,0,(H3758-F3758)*E3758)</f>
        <v/>
      </c>
      <c r="J3758">
        <f>E3758*F3758</f>
        <v/>
      </c>
    </row>
    <row r="3759">
      <c r="A3759">
        <f>Sources!A3759</f>
        <v/>
      </c>
      <c r="B3759">
        <f>Sources!B3759</f>
        <v/>
      </c>
      <c r="C3759">
        <f>Sources!D3759</f>
        <v/>
      </c>
      <c r="D3759">
        <f>Sources!E3759</f>
        <v/>
      </c>
      <c r="E3759">
        <f>Sources!F3759</f>
        <v/>
      </c>
      <c r="F3759">
        <f>Sources!H3759</f>
        <v/>
      </c>
      <c r="G3759">
        <f>IF(ABS(F3759-ROUND(F3759,0))&lt;0.001,1,0)</f>
        <v/>
      </c>
      <c r="H3759">
        <f>IF(G3759=1,F3759,CEILING(F3759,1))</f>
        <v/>
      </c>
      <c r="I3759">
        <f>IF(G3759=1,0,(H3759-F3759)*E3759)</f>
        <v/>
      </c>
      <c r="J3759">
        <f>E3759*F3759</f>
        <v/>
      </c>
    </row>
    <row r="3760">
      <c r="A3760">
        <f>Sources!A3760</f>
        <v/>
      </c>
      <c r="B3760">
        <f>Sources!B3760</f>
        <v/>
      </c>
      <c r="C3760">
        <f>Sources!D3760</f>
        <v/>
      </c>
      <c r="D3760">
        <f>Sources!E3760</f>
        <v/>
      </c>
      <c r="E3760">
        <f>Sources!F3760</f>
        <v/>
      </c>
      <c r="F3760">
        <f>Sources!H3760</f>
        <v/>
      </c>
      <c r="G3760">
        <f>IF(ABS(F3760-ROUND(F3760,0))&lt;0.001,1,0)</f>
        <v/>
      </c>
      <c r="H3760">
        <f>IF(G3760=1,F3760,CEILING(F3760,1))</f>
        <v/>
      </c>
      <c r="I3760">
        <f>IF(G3760=1,0,(H3760-F3760)*E3760)</f>
        <v/>
      </c>
      <c r="J3760">
        <f>E3760*F3760</f>
        <v/>
      </c>
    </row>
    <row r="3761">
      <c r="A3761">
        <f>Sources!A3761</f>
        <v/>
      </c>
      <c r="B3761">
        <f>Sources!B3761</f>
        <v/>
      </c>
      <c r="C3761">
        <f>Sources!D3761</f>
        <v/>
      </c>
      <c r="D3761">
        <f>Sources!E3761</f>
        <v/>
      </c>
      <c r="E3761">
        <f>Sources!F3761</f>
        <v/>
      </c>
      <c r="F3761">
        <f>Sources!H3761</f>
        <v/>
      </c>
      <c r="G3761">
        <f>IF(ABS(F3761-ROUND(F3761,0))&lt;0.001,1,0)</f>
        <v/>
      </c>
      <c r="H3761">
        <f>IF(G3761=1,F3761,CEILING(F3761,1))</f>
        <v/>
      </c>
      <c r="I3761">
        <f>IF(G3761=1,0,(H3761-F3761)*E3761)</f>
        <v/>
      </c>
      <c r="J3761">
        <f>E3761*F3761</f>
        <v/>
      </c>
    </row>
    <row r="3762">
      <c r="A3762">
        <f>Sources!A3762</f>
        <v/>
      </c>
      <c r="B3762">
        <f>Sources!B3762</f>
        <v/>
      </c>
      <c r="C3762">
        <f>Sources!D3762</f>
        <v/>
      </c>
      <c r="D3762">
        <f>Sources!E3762</f>
        <v/>
      </c>
      <c r="E3762">
        <f>Sources!F3762</f>
        <v/>
      </c>
      <c r="F3762">
        <f>Sources!H3762</f>
        <v/>
      </c>
      <c r="G3762">
        <f>IF(ABS(F3762-ROUND(F3762,0))&lt;0.001,1,0)</f>
        <v/>
      </c>
      <c r="H3762">
        <f>IF(G3762=1,F3762,CEILING(F3762,1))</f>
        <v/>
      </c>
      <c r="I3762">
        <f>IF(G3762=1,0,(H3762-F3762)*E3762)</f>
        <v/>
      </c>
      <c r="J3762">
        <f>E3762*F3762</f>
        <v/>
      </c>
    </row>
    <row r="3763">
      <c r="A3763">
        <f>Sources!A3763</f>
        <v/>
      </c>
      <c r="B3763">
        <f>Sources!B3763</f>
        <v/>
      </c>
      <c r="C3763">
        <f>Sources!D3763</f>
        <v/>
      </c>
      <c r="D3763">
        <f>Sources!E3763</f>
        <v/>
      </c>
      <c r="E3763">
        <f>Sources!F3763</f>
        <v/>
      </c>
      <c r="F3763">
        <f>Sources!H3763</f>
        <v/>
      </c>
      <c r="G3763">
        <f>IF(ABS(F3763-ROUND(F3763,0))&lt;0.001,1,0)</f>
        <v/>
      </c>
      <c r="H3763">
        <f>IF(G3763=1,F3763,CEILING(F3763,1))</f>
        <v/>
      </c>
      <c r="I3763">
        <f>IF(G3763=1,0,(H3763-F3763)*E3763)</f>
        <v/>
      </c>
      <c r="J3763">
        <f>E3763*F3763</f>
        <v/>
      </c>
    </row>
    <row r="3764">
      <c r="A3764">
        <f>Sources!A3764</f>
        <v/>
      </c>
      <c r="B3764">
        <f>Sources!B3764</f>
        <v/>
      </c>
      <c r="C3764">
        <f>Sources!D3764</f>
        <v/>
      </c>
      <c r="D3764">
        <f>Sources!E3764</f>
        <v/>
      </c>
      <c r="E3764">
        <f>Sources!F3764</f>
        <v/>
      </c>
      <c r="F3764">
        <f>Sources!H3764</f>
        <v/>
      </c>
      <c r="G3764">
        <f>IF(ABS(F3764-ROUND(F3764,0))&lt;0.001,1,0)</f>
        <v/>
      </c>
      <c r="H3764">
        <f>IF(G3764=1,F3764,CEILING(F3764,1))</f>
        <v/>
      </c>
      <c r="I3764">
        <f>IF(G3764=1,0,(H3764-F3764)*E3764)</f>
        <v/>
      </c>
      <c r="J3764">
        <f>E3764*F3764</f>
        <v/>
      </c>
    </row>
    <row r="3765">
      <c r="A3765">
        <f>Sources!A3765</f>
        <v/>
      </c>
      <c r="B3765">
        <f>Sources!B3765</f>
        <v/>
      </c>
      <c r="C3765">
        <f>Sources!D3765</f>
        <v/>
      </c>
      <c r="D3765">
        <f>Sources!E3765</f>
        <v/>
      </c>
      <c r="E3765">
        <f>Sources!F3765</f>
        <v/>
      </c>
      <c r="F3765">
        <f>Sources!H3765</f>
        <v/>
      </c>
      <c r="G3765">
        <f>IF(ABS(F3765-ROUND(F3765,0))&lt;0.001,1,0)</f>
        <v/>
      </c>
      <c r="H3765">
        <f>IF(G3765=1,F3765,CEILING(F3765,1))</f>
        <v/>
      </c>
      <c r="I3765">
        <f>IF(G3765=1,0,(H3765-F3765)*E3765)</f>
        <v/>
      </c>
      <c r="J3765">
        <f>E3765*F3765</f>
        <v/>
      </c>
    </row>
    <row r="3766">
      <c r="A3766">
        <f>Sources!A3766</f>
        <v/>
      </c>
      <c r="B3766">
        <f>Sources!B3766</f>
        <v/>
      </c>
      <c r="C3766">
        <f>Sources!D3766</f>
        <v/>
      </c>
      <c r="D3766">
        <f>Sources!E3766</f>
        <v/>
      </c>
      <c r="E3766">
        <f>Sources!F3766</f>
        <v/>
      </c>
      <c r="F3766">
        <f>Sources!H3766</f>
        <v/>
      </c>
      <c r="G3766">
        <f>IF(ABS(F3766-ROUND(F3766,0))&lt;0.001,1,0)</f>
        <v/>
      </c>
      <c r="H3766">
        <f>IF(G3766=1,F3766,CEILING(F3766,1))</f>
        <v/>
      </c>
      <c r="I3766">
        <f>IF(G3766=1,0,(H3766-F3766)*E3766)</f>
        <v/>
      </c>
      <c r="J3766">
        <f>E3766*F3766</f>
        <v/>
      </c>
    </row>
    <row r="3767">
      <c r="A3767">
        <f>Sources!A3767</f>
        <v/>
      </c>
      <c r="B3767">
        <f>Sources!B3767</f>
        <v/>
      </c>
      <c r="C3767">
        <f>Sources!D3767</f>
        <v/>
      </c>
      <c r="D3767">
        <f>Sources!E3767</f>
        <v/>
      </c>
      <c r="E3767">
        <f>Sources!F3767</f>
        <v/>
      </c>
      <c r="F3767">
        <f>Sources!H3767</f>
        <v/>
      </c>
      <c r="G3767">
        <f>IF(ABS(F3767-ROUND(F3767,0))&lt;0.001,1,0)</f>
        <v/>
      </c>
      <c r="H3767">
        <f>IF(G3767=1,F3767,CEILING(F3767,1))</f>
        <v/>
      </c>
      <c r="I3767">
        <f>IF(G3767=1,0,(H3767-F3767)*E3767)</f>
        <v/>
      </c>
      <c r="J3767">
        <f>E3767*F3767</f>
        <v/>
      </c>
    </row>
    <row r="3768">
      <c r="A3768">
        <f>Sources!A3768</f>
        <v/>
      </c>
      <c r="B3768">
        <f>Sources!B3768</f>
        <v/>
      </c>
      <c r="C3768">
        <f>Sources!D3768</f>
        <v/>
      </c>
      <c r="D3768">
        <f>Sources!E3768</f>
        <v/>
      </c>
      <c r="E3768">
        <f>Sources!F3768</f>
        <v/>
      </c>
      <c r="F3768">
        <f>Sources!H3768</f>
        <v/>
      </c>
      <c r="G3768">
        <f>IF(ABS(F3768-ROUND(F3768,0))&lt;0.001,1,0)</f>
        <v/>
      </c>
      <c r="H3768">
        <f>IF(G3768=1,F3768,CEILING(F3768,1))</f>
        <v/>
      </c>
      <c r="I3768">
        <f>IF(G3768=1,0,(H3768-F3768)*E3768)</f>
        <v/>
      </c>
      <c r="J3768">
        <f>E3768*F3768</f>
        <v/>
      </c>
    </row>
    <row r="3769">
      <c r="A3769">
        <f>Sources!A3769</f>
        <v/>
      </c>
      <c r="B3769">
        <f>Sources!B3769</f>
        <v/>
      </c>
      <c r="C3769">
        <f>Sources!D3769</f>
        <v/>
      </c>
      <c r="D3769">
        <f>Sources!E3769</f>
        <v/>
      </c>
      <c r="E3769">
        <f>Sources!F3769</f>
        <v/>
      </c>
      <c r="F3769">
        <f>Sources!H3769</f>
        <v/>
      </c>
      <c r="G3769">
        <f>IF(ABS(F3769-ROUND(F3769,0))&lt;0.001,1,0)</f>
        <v/>
      </c>
      <c r="H3769">
        <f>IF(G3769=1,F3769,CEILING(F3769,1))</f>
        <v/>
      </c>
      <c r="I3769">
        <f>IF(G3769=1,0,(H3769-F3769)*E3769)</f>
        <v/>
      </c>
      <c r="J3769">
        <f>E3769*F3769</f>
        <v/>
      </c>
    </row>
    <row r="3770">
      <c r="A3770">
        <f>Sources!A3770</f>
        <v/>
      </c>
      <c r="B3770">
        <f>Sources!B3770</f>
        <v/>
      </c>
      <c r="C3770">
        <f>Sources!D3770</f>
        <v/>
      </c>
      <c r="D3770">
        <f>Sources!E3770</f>
        <v/>
      </c>
      <c r="E3770">
        <f>Sources!F3770</f>
        <v/>
      </c>
      <c r="F3770">
        <f>Sources!H3770</f>
        <v/>
      </c>
      <c r="G3770">
        <f>IF(ABS(F3770-ROUND(F3770,0))&lt;0.001,1,0)</f>
        <v/>
      </c>
      <c r="H3770">
        <f>IF(G3770=1,F3770,CEILING(F3770,1))</f>
        <v/>
      </c>
      <c r="I3770">
        <f>IF(G3770=1,0,(H3770-F3770)*E3770)</f>
        <v/>
      </c>
      <c r="J3770">
        <f>E3770*F3770</f>
        <v/>
      </c>
    </row>
    <row r="3771">
      <c r="A3771">
        <f>Sources!A3771</f>
        <v/>
      </c>
      <c r="B3771">
        <f>Sources!B3771</f>
        <v/>
      </c>
      <c r="C3771">
        <f>Sources!D3771</f>
        <v/>
      </c>
      <c r="D3771">
        <f>Sources!E3771</f>
        <v/>
      </c>
      <c r="E3771">
        <f>Sources!F3771</f>
        <v/>
      </c>
      <c r="F3771">
        <f>Sources!H3771</f>
        <v/>
      </c>
      <c r="G3771">
        <f>IF(ABS(F3771-ROUND(F3771,0))&lt;0.001,1,0)</f>
        <v/>
      </c>
      <c r="H3771">
        <f>IF(G3771=1,F3771,CEILING(F3771,1))</f>
        <v/>
      </c>
      <c r="I3771">
        <f>IF(G3771=1,0,(H3771-F3771)*E3771)</f>
        <v/>
      </c>
      <c r="J3771">
        <f>E3771*F3771</f>
        <v/>
      </c>
    </row>
    <row r="3772">
      <c r="A3772">
        <f>Sources!A3772</f>
        <v/>
      </c>
      <c r="B3772">
        <f>Sources!B3772</f>
        <v/>
      </c>
      <c r="C3772">
        <f>Sources!D3772</f>
        <v/>
      </c>
      <c r="D3772">
        <f>Sources!E3772</f>
        <v/>
      </c>
      <c r="E3772">
        <f>Sources!F3772</f>
        <v/>
      </c>
      <c r="F3772">
        <f>Sources!H3772</f>
        <v/>
      </c>
      <c r="G3772">
        <f>IF(ABS(F3772-ROUND(F3772,0))&lt;0.001,1,0)</f>
        <v/>
      </c>
      <c r="H3772">
        <f>IF(G3772=1,F3772,CEILING(F3772,1))</f>
        <v/>
      </c>
      <c r="I3772">
        <f>IF(G3772=1,0,(H3772-F3772)*E3772)</f>
        <v/>
      </c>
      <c r="J3772">
        <f>E3772*F3772</f>
        <v/>
      </c>
    </row>
    <row r="3773">
      <c r="A3773">
        <f>Sources!A3773</f>
        <v/>
      </c>
      <c r="B3773">
        <f>Sources!B3773</f>
        <v/>
      </c>
      <c r="C3773">
        <f>Sources!D3773</f>
        <v/>
      </c>
      <c r="D3773">
        <f>Sources!E3773</f>
        <v/>
      </c>
      <c r="E3773">
        <f>Sources!F3773</f>
        <v/>
      </c>
      <c r="F3773">
        <f>Sources!H3773</f>
        <v/>
      </c>
      <c r="G3773">
        <f>IF(ABS(F3773-ROUND(F3773,0))&lt;0.001,1,0)</f>
        <v/>
      </c>
      <c r="H3773">
        <f>IF(G3773=1,F3773,CEILING(F3773,1))</f>
        <v/>
      </c>
      <c r="I3773">
        <f>IF(G3773=1,0,(H3773-F3773)*E3773)</f>
        <v/>
      </c>
      <c r="J3773">
        <f>E3773*F3773</f>
        <v/>
      </c>
    </row>
    <row r="3774">
      <c r="A3774">
        <f>Sources!A3774</f>
        <v/>
      </c>
      <c r="B3774">
        <f>Sources!B3774</f>
        <v/>
      </c>
      <c r="C3774">
        <f>Sources!D3774</f>
        <v/>
      </c>
      <c r="D3774">
        <f>Sources!E3774</f>
        <v/>
      </c>
      <c r="E3774">
        <f>Sources!F3774</f>
        <v/>
      </c>
      <c r="F3774">
        <f>Sources!H3774</f>
        <v/>
      </c>
      <c r="G3774">
        <f>IF(ABS(F3774-ROUND(F3774,0))&lt;0.001,1,0)</f>
        <v/>
      </c>
      <c r="H3774">
        <f>IF(G3774=1,F3774,CEILING(F3774,1))</f>
        <v/>
      </c>
      <c r="I3774">
        <f>IF(G3774=1,0,(H3774-F3774)*E3774)</f>
        <v/>
      </c>
      <c r="J3774">
        <f>E3774*F3774</f>
        <v/>
      </c>
    </row>
    <row r="3775">
      <c r="A3775">
        <f>Sources!A3775</f>
        <v/>
      </c>
      <c r="B3775">
        <f>Sources!B3775</f>
        <v/>
      </c>
      <c r="C3775">
        <f>Sources!D3775</f>
        <v/>
      </c>
      <c r="D3775">
        <f>Sources!E3775</f>
        <v/>
      </c>
      <c r="E3775">
        <f>Sources!F3775</f>
        <v/>
      </c>
      <c r="F3775">
        <f>Sources!H3775</f>
        <v/>
      </c>
      <c r="G3775">
        <f>IF(ABS(F3775-ROUND(F3775,0))&lt;0.001,1,0)</f>
        <v/>
      </c>
      <c r="H3775">
        <f>IF(G3775=1,F3775,CEILING(F3775,1))</f>
        <v/>
      </c>
      <c r="I3775">
        <f>IF(G3775=1,0,(H3775-F3775)*E3775)</f>
        <v/>
      </c>
      <c r="J3775">
        <f>E3775*F3775</f>
        <v/>
      </c>
    </row>
    <row r="3776">
      <c r="A3776">
        <f>Sources!A3776</f>
        <v/>
      </c>
      <c r="B3776">
        <f>Sources!B3776</f>
        <v/>
      </c>
      <c r="C3776">
        <f>Sources!D3776</f>
        <v/>
      </c>
      <c r="D3776">
        <f>Sources!E3776</f>
        <v/>
      </c>
      <c r="E3776">
        <f>Sources!F3776</f>
        <v/>
      </c>
      <c r="F3776">
        <f>Sources!H3776</f>
        <v/>
      </c>
      <c r="G3776">
        <f>IF(ABS(F3776-ROUND(F3776,0))&lt;0.001,1,0)</f>
        <v/>
      </c>
      <c r="H3776">
        <f>IF(G3776=1,F3776,CEILING(F3776,1))</f>
        <v/>
      </c>
      <c r="I3776">
        <f>IF(G3776=1,0,(H3776-F3776)*E3776)</f>
        <v/>
      </c>
      <c r="J3776">
        <f>E3776*F3776</f>
        <v/>
      </c>
    </row>
    <row r="3777">
      <c r="A3777">
        <f>Sources!A3777</f>
        <v/>
      </c>
      <c r="B3777">
        <f>Sources!B3777</f>
        <v/>
      </c>
      <c r="C3777">
        <f>Sources!D3777</f>
        <v/>
      </c>
      <c r="D3777">
        <f>Sources!E3777</f>
        <v/>
      </c>
      <c r="E3777">
        <f>Sources!F3777</f>
        <v/>
      </c>
      <c r="F3777">
        <f>Sources!H3777</f>
        <v/>
      </c>
      <c r="G3777">
        <f>IF(ABS(F3777-ROUND(F3777,0))&lt;0.001,1,0)</f>
        <v/>
      </c>
      <c r="H3777">
        <f>IF(G3777=1,F3777,CEILING(F3777,1))</f>
        <v/>
      </c>
      <c r="I3777">
        <f>IF(G3777=1,0,(H3777-F3777)*E3777)</f>
        <v/>
      </c>
      <c r="J3777">
        <f>E3777*F3777</f>
        <v/>
      </c>
    </row>
    <row r="3778">
      <c r="A3778">
        <f>Sources!A3778</f>
        <v/>
      </c>
      <c r="B3778">
        <f>Sources!B3778</f>
        <v/>
      </c>
      <c r="C3778">
        <f>Sources!D3778</f>
        <v/>
      </c>
      <c r="D3778">
        <f>Sources!E3778</f>
        <v/>
      </c>
      <c r="E3778">
        <f>Sources!F3778</f>
        <v/>
      </c>
      <c r="F3778">
        <f>Sources!H3778</f>
        <v/>
      </c>
      <c r="G3778">
        <f>IF(ABS(F3778-ROUND(F3778,0))&lt;0.001,1,0)</f>
        <v/>
      </c>
      <c r="H3778">
        <f>IF(G3778=1,F3778,CEILING(F3778,1))</f>
        <v/>
      </c>
      <c r="I3778">
        <f>IF(G3778=1,0,(H3778-F3778)*E3778)</f>
        <v/>
      </c>
      <c r="J3778">
        <f>E3778*F3778</f>
        <v/>
      </c>
    </row>
    <row r="3779">
      <c r="A3779">
        <f>Sources!A3779</f>
        <v/>
      </c>
      <c r="B3779">
        <f>Sources!B3779</f>
        <v/>
      </c>
      <c r="C3779">
        <f>Sources!D3779</f>
        <v/>
      </c>
      <c r="D3779">
        <f>Sources!E3779</f>
        <v/>
      </c>
      <c r="E3779">
        <f>Sources!F3779</f>
        <v/>
      </c>
      <c r="F3779">
        <f>Sources!H3779</f>
        <v/>
      </c>
      <c r="G3779">
        <f>IF(ABS(F3779-ROUND(F3779,0))&lt;0.001,1,0)</f>
        <v/>
      </c>
      <c r="H3779">
        <f>IF(G3779=1,F3779,CEILING(F3779,1))</f>
        <v/>
      </c>
      <c r="I3779">
        <f>IF(G3779=1,0,(H3779-F3779)*E3779)</f>
        <v/>
      </c>
      <c r="J3779">
        <f>E3779*F3779</f>
        <v/>
      </c>
    </row>
    <row r="3780">
      <c r="A3780">
        <f>Sources!A3780</f>
        <v/>
      </c>
      <c r="B3780">
        <f>Sources!B3780</f>
        <v/>
      </c>
      <c r="C3780">
        <f>Sources!D3780</f>
        <v/>
      </c>
      <c r="D3780">
        <f>Sources!E3780</f>
        <v/>
      </c>
      <c r="E3780">
        <f>Sources!F3780</f>
        <v/>
      </c>
      <c r="F3780">
        <f>Sources!H3780</f>
        <v/>
      </c>
      <c r="G3780">
        <f>IF(ABS(F3780-ROUND(F3780,0))&lt;0.001,1,0)</f>
        <v/>
      </c>
      <c r="H3780">
        <f>IF(G3780=1,F3780,CEILING(F3780,1))</f>
        <v/>
      </c>
      <c r="I3780">
        <f>IF(G3780=1,0,(H3780-F3780)*E3780)</f>
        <v/>
      </c>
      <c r="J3780">
        <f>E3780*F3780</f>
        <v/>
      </c>
    </row>
    <row r="3781">
      <c r="A3781">
        <f>Sources!A3781</f>
        <v/>
      </c>
      <c r="B3781">
        <f>Sources!B3781</f>
        <v/>
      </c>
      <c r="C3781">
        <f>Sources!D3781</f>
        <v/>
      </c>
      <c r="D3781">
        <f>Sources!E3781</f>
        <v/>
      </c>
      <c r="E3781">
        <f>Sources!F3781</f>
        <v/>
      </c>
      <c r="F3781">
        <f>Sources!H3781</f>
        <v/>
      </c>
      <c r="G3781">
        <f>IF(ABS(F3781-ROUND(F3781,0))&lt;0.001,1,0)</f>
        <v/>
      </c>
      <c r="H3781">
        <f>IF(G3781=1,F3781,CEILING(F3781,1))</f>
        <v/>
      </c>
      <c r="I3781">
        <f>IF(G3781=1,0,(H3781-F3781)*E3781)</f>
        <v/>
      </c>
      <c r="J3781">
        <f>E3781*F3781</f>
        <v/>
      </c>
    </row>
    <row r="3782">
      <c r="A3782">
        <f>Sources!A3782</f>
        <v/>
      </c>
      <c r="B3782">
        <f>Sources!B3782</f>
        <v/>
      </c>
      <c r="C3782">
        <f>Sources!D3782</f>
        <v/>
      </c>
      <c r="D3782">
        <f>Sources!E3782</f>
        <v/>
      </c>
      <c r="E3782">
        <f>Sources!F3782</f>
        <v/>
      </c>
      <c r="F3782">
        <f>Sources!H3782</f>
        <v/>
      </c>
      <c r="G3782">
        <f>IF(ABS(F3782-ROUND(F3782,0))&lt;0.001,1,0)</f>
        <v/>
      </c>
      <c r="H3782">
        <f>IF(G3782=1,F3782,CEILING(F3782,1))</f>
        <v/>
      </c>
      <c r="I3782">
        <f>IF(G3782=1,0,(H3782-F3782)*E3782)</f>
        <v/>
      </c>
      <c r="J3782">
        <f>E3782*F3782</f>
        <v/>
      </c>
    </row>
    <row r="3783">
      <c r="A3783">
        <f>Sources!A3783</f>
        <v/>
      </c>
      <c r="B3783">
        <f>Sources!B3783</f>
        <v/>
      </c>
      <c r="C3783">
        <f>Sources!D3783</f>
        <v/>
      </c>
      <c r="D3783">
        <f>Sources!E3783</f>
        <v/>
      </c>
      <c r="E3783">
        <f>Sources!F3783</f>
        <v/>
      </c>
      <c r="F3783">
        <f>Sources!H3783</f>
        <v/>
      </c>
      <c r="G3783">
        <f>IF(ABS(F3783-ROUND(F3783,0))&lt;0.001,1,0)</f>
        <v/>
      </c>
      <c r="H3783">
        <f>IF(G3783=1,F3783,CEILING(F3783,1))</f>
        <v/>
      </c>
      <c r="I3783">
        <f>IF(G3783=1,0,(H3783-F3783)*E3783)</f>
        <v/>
      </c>
      <c r="J3783">
        <f>E3783*F3783</f>
        <v/>
      </c>
    </row>
    <row r="3784">
      <c r="A3784">
        <f>Sources!A3784</f>
        <v/>
      </c>
      <c r="B3784">
        <f>Sources!B3784</f>
        <v/>
      </c>
      <c r="C3784">
        <f>Sources!D3784</f>
        <v/>
      </c>
      <c r="D3784">
        <f>Sources!E3784</f>
        <v/>
      </c>
      <c r="E3784">
        <f>Sources!F3784</f>
        <v/>
      </c>
      <c r="F3784">
        <f>Sources!H3784</f>
        <v/>
      </c>
      <c r="G3784">
        <f>IF(ABS(F3784-ROUND(F3784,0))&lt;0.001,1,0)</f>
        <v/>
      </c>
      <c r="H3784">
        <f>IF(G3784=1,F3784,CEILING(F3784,1))</f>
        <v/>
      </c>
      <c r="I3784">
        <f>IF(G3784=1,0,(H3784-F3784)*E3784)</f>
        <v/>
      </c>
      <c r="J3784">
        <f>E3784*F3784</f>
        <v/>
      </c>
    </row>
    <row r="3785">
      <c r="A3785">
        <f>Sources!A3785</f>
        <v/>
      </c>
      <c r="B3785">
        <f>Sources!B3785</f>
        <v/>
      </c>
      <c r="C3785">
        <f>Sources!D3785</f>
        <v/>
      </c>
      <c r="D3785">
        <f>Sources!E3785</f>
        <v/>
      </c>
      <c r="E3785">
        <f>Sources!F3785</f>
        <v/>
      </c>
      <c r="F3785">
        <f>Sources!H3785</f>
        <v/>
      </c>
      <c r="G3785">
        <f>IF(ABS(F3785-ROUND(F3785,0))&lt;0.001,1,0)</f>
        <v/>
      </c>
      <c r="H3785">
        <f>IF(G3785=1,F3785,CEILING(F3785,1))</f>
        <v/>
      </c>
      <c r="I3785">
        <f>IF(G3785=1,0,(H3785-F3785)*E3785)</f>
        <v/>
      </c>
      <c r="J3785">
        <f>E3785*F3785</f>
        <v/>
      </c>
    </row>
    <row r="3786">
      <c r="A3786">
        <f>Sources!A3786</f>
        <v/>
      </c>
      <c r="B3786">
        <f>Sources!B3786</f>
        <v/>
      </c>
      <c r="C3786">
        <f>Sources!D3786</f>
        <v/>
      </c>
      <c r="D3786">
        <f>Sources!E3786</f>
        <v/>
      </c>
      <c r="E3786">
        <f>Sources!F3786</f>
        <v/>
      </c>
      <c r="F3786">
        <f>Sources!H3786</f>
        <v/>
      </c>
      <c r="G3786">
        <f>IF(ABS(F3786-ROUND(F3786,0))&lt;0.001,1,0)</f>
        <v/>
      </c>
      <c r="H3786">
        <f>IF(G3786=1,F3786,CEILING(F3786,1))</f>
        <v/>
      </c>
      <c r="I3786">
        <f>IF(G3786=1,0,(H3786-F3786)*E3786)</f>
        <v/>
      </c>
      <c r="J3786">
        <f>E3786*F3786</f>
        <v/>
      </c>
    </row>
    <row r="3787">
      <c r="A3787">
        <f>Sources!A3787</f>
        <v/>
      </c>
      <c r="B3787">
        <f>Sources!B3787</f>
        <v/>
      </c>
      <c r="C3787">
        <f>Sources!D3787</f>
        <v/>
      </c>
      <c r="D3787">
        <f>Sources!E3787</f>
        <v/>
      </c>
      <c r="E3787">
        <f>Sources!F3787</f>
        <v/>
      </c>
      <c r="F3787">
        <f>Sources!H3787</f>
        <v/>
      </c>
      <c r="G3787">
        <f>IF(ABS(F3787-ROUND(F3787,0))&lt;0.001,1,0)</f>
        <v/>
      </c>
      <c r="H3787">
        <f>IF(G3787=1,F3787,CEILING(F3787,1))</f>
        <v/>
      </c>
      <c r="I3787">
        <f>IF(G3787=1,0,(H3787-F3787)*E3787)</f>
        <v/>
      </c>
      <c r="J3787">
        <f>E3787*F3787</f>
        <v/>
      </c>
    </row>
    <row r="3788">
      <c r="A3788">
        <f>Sources!A3788</f>
        <v/>
      </c>
      <c r="B3788">
        <f>Sources!B3788</f>
        <v/>
      </c>
      <c r="C3788">
        <f>Sources!D3788</f>
        <v/>
      </c>
      <c r="D3788">
        <f>Sources!E3788</f>
        <v/>
      </c>
      <c r="E3788">
        <f>Sources!F3788</f>
        <v/>
      </c>
      <c r="F3788">
        <f>Sources!H3788</f>
        <v/>
      </c>
      <c r="G3788">
        <f>IF(ABS(F3788-ROUND(F3788,0))&lt;0.001,1,0)</f>
        <v/>
      </c>
      <c r="H3788">
        <f>IF(G3788=1,F3788,CEILING(F3788,1))</f>
        <v/>
      </c>
      <c r="I3788">
        <f>IF(G3788=1,0,(H3788-F3788)*E3788)</f>
        <v/>
      </c>
      <c r="J3788">
        <f>E3788*F3788</f>
        <v/>
      </c>
    </row>
    <row r="3789">
      <c r="A3789">
        <f>Sources!A3789</f>
        <v/>
      </c>
      <c r="B3789">
        <f>Sources!B3789</f>
        <v/>
      </c>
      <c r="C3789">
        <f>Sources!D3789</f>
        <v/>
      </c>
      <c r="D3789">
        <f>Sources!E3789</f>
        <v/>
      </c>
      <c r="E3789">
        <f>Sources!F3789</f>
        <v/>
      </c>
      <c r="F3789">
        <f>Sources!H3789</f>
        <v/>
      </c>
      <c r="G3789">
        <f>IF(ABS(F3789-ROUND(F3789,0))&lt;0.001,1,0)</f>
        <v/>
      </c>
      <c r="H3789">
        <f>IF(G3789=1,F3789,CEILING(F3789,1))</f>
        <v/>
      </c>
      <c r="I3789">
        <f>IF(G3789=1,0,(H3789-F3789)*E3789)</f>
        <v/>
      </c>
      <c r="J3789">
        <f>E3789*F3789</f>
        <v/>
      </c>
    </row>
    <row r="3790">
      <c r="A3790">
        <f>Sources!A3790</f>
        <v/>
      </c>
      <c r="B3790">
        <f>Sources!B3790</f>
        <v/>
      </c>
      <c r="C3790">
        <f>Sources!D3790</f>
        <v/>
      </c>
      <c r="D3790">
        <f>Sources!E3790</f>
        <v/>
      </c>
      <c r="E3790">
        <f>Sources!F3790</f>
        <v/>
      </c>
      <c r="F3790">
        <f>Sources!H3790</f>
        <v/>
      </c>
      <c r="G3790">
        <f>IF(ABS(F3790-ROUND(F3790,0))&lt;0.001,1,0)</f>
        <v/>
      </c>
      <c r="H3790">
        <f>IF(G3790=1,F3790,CEILING(F3790,1))</f>
        <v/>
      </c>
      <c r="I3790">
        <f>IF(G3790=1,0,(H3790-F3790)*E3790)</f>
        <v/>
      </c>
      <c r="J3790">
        <f>E3790*F3790</f>
        <v/>
      </c>
    </row>
    <row r="3791">
      <c r="A3791">
        <f>Sources!A3791</f>
        <v/>
      </c>
      <c r="B3791">
        <f>Sources!B3791</f>
        <v/>
      </c>
      <c r="C3791">
        <f>Sources!D3791</f>
        <v/>
      </c>
      <c r="D3791">
        <f>Sources!E3791</f>
        <v/>
      </c>
      <c r="E3791">
        <f>Sources!F3791</f>
        <v/>
      </c>
      <c r="F3791">
        <f>Sources!H3791</f>
        <v/>
      </c>
      <c r="G3791">
        <f>IF(ABS(F3791-ROUND(F3791,0))&lt;0.001,1,0)</f>
        <v/>
      </c>
      <c r="H3791">
        <f>IF(G3791=1,F3791,CEILING(F3791,1))</f>
        <v/>
      </c>
      <c r="I3791">
        <f>IF(G3791=1,0,(H3791-F3791)*E3791)</f>
        <v/>
      </c>
      <c r="J3791">
        <f>E3791*F3791</f>
        <v/>
      </c>
    </row>
    <row r="3792">
      <c r="A3792">
        <f>Sources!A3792</f>
        <v/>
      </c>
      <c r="B3792">
        <f>Sources!B3792</f>
        <v/>
      </c>
      <c r="C3792">
        <f>Sources!D3792</f>
        <v/>
      </c>
      <c r="D3792">
        <f>Sources!E3792</f>
        <v/>
      </c>
      <c r="E3792">
        <f>Sources!F3792</f>
        <v/>
      </c>
      <c r="F3792">
        <f>Sources!H3792</f>
        <v/>
      </c>
      <c r="G3792">
        <f>IF(ABS(F3792-ROUND(F3792,0))&lt;0.001,1,0)</f>
        <v/>
      </c>
      <c r="H3792">
        <f>IF(G3792=1,F3792,CEILING(F3792,1))</f>
        <v/>
      </c>
      <c r="I3792">
        <f>IF(G3792=1,0,(H3792-F3792)*E3792)</f>
        <v/>
      </c>
      <c r="J3792">
        <f>E3792*F3792</f>
        <v/>
      </c>
    </row>
    <row r="3793">
      <c r="A3793">
        <f>Sources!A3793</f>
        <v/>
      </c>
      <c r="B3793">
        <f>Sources!B3793</f>
        <v/>
      </c>
      <c r="C3793">
        <f>Sources!D3793</f>
        <v/>
      </c>
      <c r="D3793">
        <f>Sources!E3793</f>
        <v/>
      </c>
      <c r="E3793">
        <f>Sources!F3793</f>
        <v/>
      </c>
      <c r="F3793">
        <f>Sources!H3793</f>
        <v/>
      </c>
      <c r="G3793">
        <f>IF(ABS(F3793-ROUND(F3793,0))&lt;0.001,1,0)</f>
        <v/>
      </c>
      <c r="H3793">
        <f>IF(G3793=1,F3793,CEILING(F3793,1))</f>
        <v/>
      </c>
      <c r="I3793">
        <f>IF(G3793=1,0,(H3793-F3793)*E3793)</f>
        <v/>
      </c>
      <c r="J3793">
        <f>E3793*F3793</f>
        <v/>
      </c>
    </row>
    <row r="3794">
      <c r="A3794">
        <f>Sources!A3794</f>
        <v/>
      </c>
      <c r="B3794">
        <f>Sources!B3794</f>
        <v/>
      </c>
      <c r="C3794">
        <f>Sources!D3794</f>
        <v/>
      </c>
      <c r="D3794">
        <f>Sources!E3794</f>
        <v/>
      </c>
      <c r="E3794">
        <f>Sources!F3794</f>
        <v/>
      </c>
      <c r="F3794">
        <f>Sources!H3794</f>
        <v/>
      </c>
      <c r="G3794">
        <f>IF(ABS(F3794-ROUND(F3794,0))&lt;0.001,1,0)</f>
        <v/>
      </c>
      <c r="H3794">
        <f>IF(G3794=1,F3794,CEILING(F3794,1))</f>
        <v/>
      </c>
      <c r="I3794">
        <f>IF(G3794=1,0,(H3794-F3794)*E3794)</f>
        <v/>
      </c>
      <c r="J3794">
        <f>E3794*F3794</f>
        <v/>
      </c>
    </row>
    <row r="3795">
      <c r="A3795">
        <f>Sources!A3795</f>
        <v/>
      </c>
      <c r="B3795">
        <f>Sources!B3795</f>
        <v/>
      </c>
      <c r="C3795">
        <f>Sources!D3795</f>
        <v/>
      </c>
      <c r="D3795">
        <f>Sources!E3795</f>
        <v/>
      </c>
      <c r="E3795">
        <f>Sources!F3795</f>
        <v/>
      </c>
      <c r="F3795">
        <f>Sources!H3795</f>
        <v/>
      </c>
      <c r="G3795">
        <f>IF(ABS(F3795-ROUND(F3795,0))&lt;0.001,1,0)</f>
        <v/>
      </c>
      <c r="H3795">
        <f>IF(G3795=1,F3795,CEILING(F3795,1))</f>
        <v/>
      </c>
      <c r="I3795">
        <f>IF(G3795=1,0,(H3795-F3795)*E3795)</f>
        <v/>
      </c>
      <c r="J3795">
        <f>E3795*F3795</f>
        <v/>
      </c>
    </row>
    <row r="3796">
      <c r="A3796">
        <f>Sources!A3796</f>
        <v/>
      </c>
      <c r="B3796">
        <f>Sources!B3796</f>
        <v/>
      </c>
      <c r="C3796">
        <f>Sources!D3796</f>
        <v/>
      </c>
      <c r="D3796">
        <f>Sources!E3796</f>
        <v/>
      </c>
      <c r="E3796">
        <f>Sources!F3796</f>
        <v/>
      </c>
      <c r="F3796">
        <f>Sources!H3796</f>
        <v/>
      </c>
      <c r="G3796">
        <f>IF(ABS(F3796-ROUND(F3796,0))&lt;0.001,1,0)</f>
        <v/>
      </c>
      <c r="H3796">
        <f>IF(G3796=1,F3796,CEILING(F3796,1))</f>
        <v/>
      </c>
      <c r="I3796">
        <f>IF(G3796=1,0,(H3796-F3796)*E3796)</f>
        <v/>
      </c>
      <c r="J3796">
        <f>E3796*F3796</f>
        <v/>
      </c>
    </row>
    <row r="3797">
      <c r="A3797">
        <f>Sources!A3797</f>
        <v/>
      </c>
      <c r="B3797">
        <f>Sources!B3797</f>
        <v/>
      </c>
      <c r="C3797">
        <f>Sources!D3797</f>
        <v/>
      </c>
      <c r="D3797">
        <f>Sources!E3797</f>
        <v/>
      </c>
      <c r="E3797">
        <f>Sources!F3797</f>
        <v/>
      </c>
      <c r="F3797">
        <f>Sources!H3797</f>
        <v/>
      </c>
      <c r="G3797">
        <f>IF(ABS(F3797-ROUND(F3797,0))&lt;0.001,1,0)</f>
        <v/>
      </c>
      <c r="H3797">
        <f>IF(G3797=1,F3797,CEILING(F3797,1))</f>
        <v/>
      </c>
      <c r="I3797">
        <f>IF(G3797=1,0,(H3797-F3797)*E3797)</f>
        <v/>
      </c>
      <c r="J3797">
        <f>E3797*F3797</f>
        <v/>
      </c>
    </row>
    <row r="3798">
      <c r="A3798">
        <f>Sources!A3798</f>
        <v/>
      </c>
      <c r="B3798">
        <f>Sources!B3798</f>
        <v/>
      </c>
      <c r="C3798">
        <f>Sources!D3798</f>
        <v/>
      </c>
      <c r="D3798">
        <f>Sources!E3798</f>
        <v/>
      </c>
      <c r="E3798">
        <f>Sources!F3798</f>
        <v/>
      </c>
      <c r="F3798">
        <f>Sources!H3798</f>
        <v/>
      </c>
      <c r="G3798">
        <f>IF(ABS(F3798-ROUND(F3798,0))&lt;0.001,1,0)</f>
        <v/>
      </c>
      <c r="H3798">
        <f>IF(G3798=1,F3798,CEILING(F3798,1))</f>
        <v/>
      </c>
      <c r="I3798">
        <f>IF(G3798=1,0,(H3798-F3798)*E3798)</f>
        <v/>
      </c>
      <c r="J3798">
        <f>E3798*F3798</f>
        <v/>
      </c>
    </row>
    <row r="3799">
      <c r="A3799">
        <f>Sources!A3799</f>
        <v/>
      </c>
      <c r="B3799">
        <f>Sources!B3799</f>
        <v/>
      </c>
      <c r="C3799">
        <f>Sources!D3799</f>
        <v/>
      </c>
      <c r="D3799">
        <f>Sources!E3799</f>
        <v/>
      </c>
      <c r="E3799">
        <f>Sources!F3799</f>
        <v/>
      </c>
      <c r="F3799">
        <f>Sources!H3799</f>
        <v/>
      </c>
      <c r="G3799">
        <f>IF(ABS(F3799-ROUND(F3799,0))&lt;0.001,1,0)</f>
        <v/>
      </c>
      <c r="H3799">
        <f>IF(G3799=1,F3799,CEILING(F3799,1))</f>
        <v/>
      </c>
      <c r="I3799">
        <f>IF(G3799=1,0,(H3799-F3799)*E3799)</f>
        <v/>
      </c>
      <c r="J3799">
        <f>E3799*F3799</f>
        <v/>
      </c>
    </row>
    <row r="3800">
      <c r="A3800">
        <f>Sources!A3800</f>
        <v/>
      </c>
      <c r="B3800">
        <f>Sources!B3800</f>
        <v/>
      </c>
      <c r="C3800">
        <f>Sources!D3800</f>
        <v/>
      </c>
      <c r="D3800">
        <f>Sources!E3800</f>
        <v/>
      </c>
      <c r="E3800">
        <f>Sources!F3800</f>
        <v/>
      </c>
      <c r="F3800">
        <f>Sources!H3800</f>
        <v/>
      </c>
      <c r="G3800">
        <f>IF(ABS(F3800-ROUND(F3800,0))&lt;0.001,1,0)</f>
        <v/>
      </c>
      <c r="H3800">
        <f>IF(G3800=1,F3800,CEILING(F3800,1))</f>
        <v/>
      </c>
      <c r="I3800">
        <f>IF(G3800=1,0,(H3800-F3800)*E3800)</f>
        <v/>
      </c>
      <c r="J3800">
        <f>E3800*F3800</f>
        <v/>
      </c>
    </row>
    <row r="3801">
      <c r="A3801">
        <f>Sources!A3801</f>
        <v/>
      </c>
      <c r="B3801">
        <f>Sources!B3801</f>
        <v/>
      </c>
      <c r="C3801">
        <f>Sources!D3801</f>
        <v/>
      </c>
      <c r="D3801">
        <f>Sources!E3801</f>
        <v/>
      </c>
      <c r="E3801">
        <f>Sources!F3801</f>
        <v/>
      </c>
      <c r="F3801">
        <f>Sources!H3801</f>
        <v/>
      </c>
      <c r="G3801">
        <f>IF(ABS(F3801-ROUND(F3801,0))&lt;0.001,1,0)</f>
        <v/>
      </c>
      <c r="H3801">
        <f>IF(G3801=1,F3801,CEILING(F3801,1))</f>
        <v/>
      </c>
      <c r="I3801">
        <f>IF(G3801=1,0,(H3801-F3801)*E3801)</f>
        <v/>
      </c>
      <c r="J3801">
        <f>E3801*F3801</f>
        <v/>
      </c>
    </row>
    <row r="3802">
      <c r="A3802">
        <f>Sources!A3802</f>
        <v/>
      </c>
      <c r="B3802">
        <f>Sources!B3802</f>
        <v/>
      </c>
      <c r="C3802">
        <f>Sources!D3802</f>
        <v/>
      </c>
      <c r="D3802">
        <f>Sources!E3802</f>
        <v/>
      </c>
      <c r="E3802">
        <f>Sources!F3802</f>
        <v/>
      </c>
      <c r="F3802">
        <f>Sources!H3802</f>
        <v/>
      </c>
      <c r="G3802">
        <f>IF(ABS(F3802-ROUND(F3802,0))&lt;0.001,1,0)</f>
        <v/>
      </c>
      <c r="H3802">
        <f>IF(G3802=1,F3802,CEILING(F3802,1))</f>
        <v/>
      </c>
      <c r="I3802">
        <f>IF(G3802=1,0,(H3802-F3802)*E3802)</f>
        <v/>
      </c>
      <c r="J3802">
        <f>E3802*F3802</f>
        <v/>
      </c>
    </row>
    <row r="3803">
      <c r="A3803">
        <f>Sources!A3803</f>
        <v/>
      </c>
      <c r="B3803">
        <f>Sources!B3803</f>
        <v/>
      </c>
      <c r="C3803">
        <f>Sources!D3803</f>
        <v/>
      </c>
      <c r="D3803">
        <f>Sources!E3803</f>
        <v/>
      </c>
      <c r="E3803">
        <f>Sources!F3803</f>
        <v/>
      </c>
      <c r="F3803">
        <f>Sources!H3803</f>
        <v/>
      </c>
      <c r="G3803">
        <f>IF(ABS(F3803-ROUND(F3803,0))&lt;0.001,1,0)</f>
        <v/>
      </c>
      <c r="H3803">
        <f>IF(G3803=1,F3803,CEILING(F3803,1))</f>
        <v/>
      </c>
      <c r="I3803">
        <f>IF(G3803=1,0,(H3803-F3803)*E3803)</f>
        <v/>
      </c>
      <c r="J3803">
        <f>E3803*F3803</f>
        <v/>
      </c>
    </row>
    <row r="3804">
      <c r="A3804">
        <f>Sources!A3804</f>
        <v/>
      </c>
      <c r="B3804">
        <f>Sources!B3804</f>
        <v/>
      </c>
      <c r="C3804">
        <f>Sources!D3804</f>
        <v/>
      </c>
      <c r="D3804">
        <f>Sources!E3804</f>
        <v/>
      </c>
      <c r="E3804">
        <f>Sources!F3804</f>
        <v/>
      </c>
      <c r="F3804">
        <f>Sources!H3804</f>
        <v/>
      </c>
      <c r="G3804">
        <f>IF(ABS(F3804-ROUND(F3804,0))&lt;0.001,1,0)</f>
        <v/>
      </c>
      <c r="H3804">
        <f>IF(G3804=1,F3804,CEILING(F3804,1))</f>
        <v/>
      </c>
      <c r="I3804">
        <f>IF(G3804=1,0,(H3804-F3804)*E3804)</f>
        <v/>
      </c>
      <c r="J3804">
        <f>E3804*F3804</f>
        <v/>
      </c>
    </row>
    <row r="3805">
      <c r="A3805">
        <f>Sources!A3805</f>
        <v/>
      </c>
      <c r="B3805">
        <f>Sources!B3805</f>
        <v/>
      </c>
      <c r="C3805">
        <f>Sources!D3805</f>
        <v/>
      </c>
      <c r="D3805">
        <f>Sources!E3805</f>
        <v/>
      </c>
      <c r="E3805">
        <f>Sources!F3805</f>
        <v/>
      </c>
      <c r="F3805">
        <f>Sources!H3805</f>
        <v/>
      </c>
      <c r="G3805">
        <f>IF(ABS(F3805-ROUND(F3805,0))&lt;0.001,1,0)</f>
        <v/>
      </c>
      <c r="H3805">
        <f>IF(G3805=1,F3805,CEILING(F3805,1))</f>
        <v/>
      </c>
      <c r="I3805">
        <f>IF(G3805=1,0,(H3805-F3805)*E3805)</f>
        <v/>
      </c>
      <c r="J3805">
        <f>E3805*F3805</f>
        <v/>
      </c>
    </row>
    <row r="3806">
      <c r="A3806">
        <f>Sources!A3806</f>
        <v/>
      </c>
      <c r="B3806">
        <f>Sources!B3806</f>
        <v/>
      </c>
      <c r="C3806">
        <f>Sources!D3806</f>
        <v/>
      </c>
      <c r="D3806">
        <f>Sources!E3806</f>
        <v/>
      </c>
      <c r="E3806">
        <f>Sources!F3806</f>
        <v/>
      </c>
      <c r="F3806">
        <f>Sources!H3806</f>
        <v/>
      </c>
      <c r="G3806">
        <f>IF(ABS(F3806-ROUND(F3806,0))&lt;0.001,1,0)</f>
        <v/>
      </c>
      <c r="H3806">
        <f>IF(G3806=1,F3806,CEILING(F3806,1))</f>
        <v/>
      </c>
      <c r="I3806">
        <f>IF(G3806=1,0,(H3806-F3806)*E3806)</f>
        <v/>
      </c>
      <c r="J3806">
        <f>E3806*F3806</f>
        <v/>
      </c>
    </row>
    <row r="3807">
      <c r="A3807">
        <f>Sources!A3807</f>
        <v/>
      </c>
      <c r="B3807">
        <f>Sources!B3807</f>
        <v/>
      </c>
      <c r="C3807">
        <f>Sources!D3807</f>
        <v/>
      </c>
      <c r="D3807">
        <f>Sources!E3807</f>
        <v/>
      </c>
      <c r="E3807">
        <f>Sources!F3807</f>
        <v/>
      </c>
      <c r="F3807">
        <f>Sources!H3807</f>
        <v/>
      </c>
      <c r="G3807">
        <f>IF(ABS(F3807-ROUND(F3807,0))&lt;0.001,1,0)</f>
        <v/>
      </c>
      <c r="H3807">
        <f>IF(G3807=1,F3807,CEILING(F3807,1))</f>
        <v/>
      </c>
      <c r="I3807">
        <f>IF(G3807=1,0,(H3807-F3807)*E3807)</f>
        <v/>
      </c>
      <c r="J3807">
        <f>E3807*F3807</f>
        <v/>
      </c>
    </row>
    <row r="3808">
      <c r="A3808">
        <f>Sources!A3808</f>
        <v/>
      </c>
      <c r="B3808">
        <f>Sources!B3808</f>
        <v/>
      </c>
      <c r="C3808">
        <f>Sources!D3808</f>
        <v/>
      </c>
      <c r="D3808">
        <f>Sources!E3808</f>
        <v/>
      </c>
      <c r="E3808">
        <f>Sources!F3808</f>
        <v/>
      </c>
      <c r="F3808">
        <f>Sources!H3808</f>
        <v/>
      </c>
      <c r="G3808">
        <f>IF(ABS(F3808-ROUND(F3808,0))&lt;0.001,1,0)</f>
        <v/>
      </c>
      <c r="H3808">
        <f>IF(G3808=1,F3808,CEILING(F3808,1))</f>
        <v/>
      </c>
      <c r="I3808">
        <f>IF(G3808=1,0,(H3808-F3808)*E3808)</f>
        <v/>
      </c>
      <c r="J3808">
        <f>E3808*F3808</f>
        <v/>
      </c>
    </row>
    <row r="3809">
      <c r="A3809">
        <f>Sources!A3809</f>
        <v/>
      </c>
      <c r="B3809">
        <f>Sources!B3809</f>
        <v/>
      </c>
      <c r="C3809">
        <f>Sources!D3809</f>
        <v/>
      </c>
      <c r="D3809">
        <f>Sources!E3809</f>
        <v/>
      </c>
      <c r="E3809">
        <f>Sources!F3809</f>
        <v/>
      </c>
      <c r="F3809">
        <f>Sources!H3809</f>
        <v/>
      </c>
      <c r="G3809">
        <f>IF(ABS(F3809-ROUND(F3809,0))&lt;0.001,1,0)</f>
        <v/>
      </c>
      <c r="H3809">
        <f>IF(G3809=1,F3809,CEILING(F3809,1))</f>
        <v/>
      </c>
      <c r="I3809">
        <f>IF(G3809=1,0,(H3809-F3809)*E3809)</f>
        <v/>
      </c>
      <c r="J3809">
        <f>E3809*F3809</f>
        <v/>
      </c>
    </row>
    <row r="3810">
      <c r="A3810">
        <f>Sources!A3810</f>
        <v/>
      </c>
      <c r="B3810">
        <f>Sources!B3810</f>
        <v/>
      </c>
      <c r="C3810">
        <f>Sources!D3810</f>
        <v/>
      </c>
      <c r="D3810">
        <f>Sources!E3810</f>
        <v/>
      </c>
      <c r="E3810">
        <f>Sources!F3810</f>
        <v/>
      </c>
      <c r="F3810">
        <f>Sources!H3810</f>
        <v/>
      </c>
      <c r="G3810">
        <f>IF(ABS(F3810-ROUND(F3810,0))&lt;0.001,1,0)</f>
        <v/>
      </c>
      <c r="H3810">
        <f>IF(G3810=1,F3810,CEILING(F3810,1))</f>
        <v/>
      </c>
      <c r="I3810">
        <f>IF(G3810=1,0,(H3810-F3810)*E3810)</f>
        <v/>
      </c>
      <c r="J3810">
        <f>E3810*F3810</f>
        <v/>
      </c>
    </row>
    <row r="3811">
      <c r="A3811">
        <f>Sources!A3811</f>
        <v/>
      </c>
      <c r="B3811">
        <f>Sources!B3811</f>
        <v/>
      </c>
      <c r="C3811">
        <f>Sources!D3811</f>
        <v/>
      </c>
      <c r="D3811">
        <f>Sources!E3811</f>
        <v/>
      </c>
      <c r="E3811">
        <f>Sources!F3811</f>
        <v/>
      </c>
      <c r="F3811">
        <f>Sources!H3811</f>
        <v/>
      </c>
      <c r="G3811">
        <f>IF(ABS(F3811-ROUND(F3811,0))&lt;0.001,1,0)</f>
        <v/>
      </c>
      <c r="H3811">
        <f>IF(G3811=1,F3811,CEILING(F3811,1))</f>
        <v/>
      </c>
      <c r="I3811">
        <f>IF(G3811=1,0,(H3811-F3811)*E3811)</f>
        <v/>
      </c>
      <c r="J3811">
        <f>E3811*F3811</f>
        <v/>
      </c>
    </row>
    <row r="3812">
      <c r="A3812">
        <f>Sources!A3812</f>
        <v/>
      </c>
      <c r="B3812">
        <f>Sources!B3812</f>
        <v/>
      </c>
      <c r="C3812">
        <f>Sources!D3812</f>
        <v/>
      </c>
      <c r="D3812">
        <f>Sources!E3812</f>
        <v/>
      </c>
      <c r="E3812">
        <f>Sources!F3812</f>
        <v/>
      </c>
      <c r="F3812">
        <f>Sources!H3812</f>
        <v/>
      </c>
      <c r="G3812">
        <f>IF(ABS(F3812-ROUND(F3812,0))&lt;0.001,1,0)</f>
        <v/>
      </c>
      <c r="H3812">
        <f>IF(G3812=1,F3812,CEILING(F3812,1))</f>
        <v/>
      </c>
      <c r="I3812">
        <f>IF(G3812=1,0,(H3812-F3812)*E3812)</f>
        <v/>
      </c>
      <c r="J3812">
        <f>E3812*F3812</f>
        <v/>
      </c>
    </row>
    <row r="3813">
      <c r="A3813">
        <f>Sources!A3813</f>
        <v/>
      </c>
      <c r="B3813">
        <f>Sources!B3813</f>
        <v/>
      </c>
      <c r="C3813">
        <f>Sources!D3813</f>
        <v/>
      </c>
      <c r="D3813">
        <f>Sources!E3813</f>
        <v/>
      </c>
      <c r="E3813">
        <f>Sources!F3813</f>
        <v/>
      </c>
      <c r="F3813">
        <f>Sources!H3813</f>
        <v/>
      </c>
      <c r="G3813">
        <f>IF(ABS(F3813-ROUND(F3813,0))&lt;0.001,1,0)</f>
        <v/>
      </c>
      <c r="H3813">
        <f>IF(G3813=1,F3813,CEILING(F3813,1))</f>
        <v/>
      </c>
      <c r="I3813">
        <f>IF(G3813=1,0,(H3813-F3813)*E3813)</f>
        <v/>
      </c>
      <c r="J3813">
        <f>E3813*F3813</f>
        <v/>
      </c>
    </row>
    <row r="3814">
      <c r="A3814">
        <f>Sources!A3814</f>
        <v/>
      </c>
      <c r="B3814">
        <f>Sources!B3814</f>
        <v/>
      </c>
      <c r="C3814">
        <f>Sources!D3814</f>
        <v/>
      </c>
      <c r="D3814">
        <f>Sources!E3814</f>
        <v/>
      </c>
      <c r="E3814">
        <f>Sources!F3814</f>
        <v/>
      </c>
      <c r="F3814">
        <f>Sources!H3814</f>
        <v/>
      </c>
      <c r="G3814">
        <f>IF(ABS(F3814-ROUND(F3814,0))&lt;0.001,1,0)</f>
        <v/>
      </c>
      <c r="H3814">
        <f>IF(G3814=1,F3814,CEILING(F3814,1))</f>
        <v/>
      </c>
      <c r="I3814">
        <f>IF(G3814=1,0,(H3814-F3814)*E3814)</f>
        <v/>
      </c>
      <c r="J3814">
        <f>E3814*F3814</f>
        <v/>
      </c>
    </row>
    <row r="3815">
      <c r="A3815">
        <f>Sources!A3815</f>
        <v/>
      </c>
      <c r="B3815">
        <f>Sources!B3815</f>
        <v/>
      </c>
      <c r="C3815">
        <f>Sources!D3815</f>
        <v/>
      </c>
      <c r="D3815">
        <f>Sources!E3815</f>
        <v/>
      </c>
      <c r="E3815">
        <f>Sources!F3815</f>
        <v/>
      </c>
      <c r="F3815">
        <f>Sources!H3815</f>
        <v/>
      </c>
      <c r="G3815">
        <f>IF(ABS(F3815-ROUND(F3815,0))&lt;0.001,1,0)</f>
        <v/>
      </c>
      <c r="H3815">
        <f>IF(G3815=1,F3815,CEILING(F3815,1))</f>
        <v/>
      </c>
      <c r="I3815">
        <f>IF(G3815=1,0,(H3815-F3815)*E3815)</f>
        <v/>
      </c>
      <c r="J3815">
        <f>E3815*F3815</f>
        <v/>
      </c>
    </row>
    <row r="3816">
      <c r="A3816">
        <f>Sources!A3816</f>
        <v/>
      </c>
      <c r="B3816">
        <f>Sources!B3816</f>
        <v/>
      </c>
      <c r="C3816">
        <f>Sources!D3816</f>
        <v/>
      </c>
      <c r="D3816">
        <f>Sources!E3816</f>
        <v/>
      </c>
      <c r="E3816">
        <f>Sources!F3816</f>
        <v/>
      </c>
      <c r="F3816">
        <f>Sources!H3816</f>
        <v/>
      </c>
      <c r="G3816">
        <f>IF(ABS(F3816-ROUND(F3816,0))&lt;0.001,1,0)</f>
        <v/>
      </c>
      <c r="H3816">
        <f>IF(G3816=1,F3816,CEILING(F3816,1))</f>
        <v/>
      </c>
      <c r="I3816">
        <f>IF(G3816=1,0,(H3816-F3816)*E3816)</f>
        <v/>
      </c>
      <c r="J3816">
        <f>E3816*F3816</f>
        <v/>
      </c>
    </row>
    <row r="3817">
      <c r="A3817">
        <f>Sources!A3817</f>
        <v/>
      </c>
      <c r="B3817">
        <f>Sources!B3817</f>
        <v/>
      </c>
      <c r="C3817">
        <f>Sources!D3817</f>
        <v/>
      </c>
      <c r="D3817">
        <f>Sources!E3817</f>
        <v/>
      </c>
      <c r="E3817">
        <f>Sources!F3817</f>
        <v/>
      </c>
      <c r="F3817">
        <f>Sources!H3817</f>
        <v/>
      </c>
      <c r="G3817">
        <f>IF(ABS(F3817-ROUND(F3817,0))&lt;0.001,1,0)</f>
        <v/>
      </c>
      <c r="H3817">
        <f>IF(G3817=1,F3817,CEILING(F3817,1))</f>
        <v/>
      </c>
      <c r="I3817">
        <f>IF(G3817=1,0,(H3817-F3817)*E3817)</f>
        <v/>
      </c>
      <c r="J3817">
        <f>E3817*F3817</f>
        <v/>
      </c>
    </row>
    <row r="3818">
      <c r="A3818">
        <f>Sources!A3818</f>
        <v/>
      </c>
      <c r="B3818">
        <f>Sources!B3818</f>
        <v/>
      </c>
      <c r="C3818">
        <f>Sources!D3818</f>
        <v/>
      </c>
      <c r="D3818">
        <f>Sources!E3818</f>
        <v/>
      </c>
      <c r="E3818">
        <f>Sources!F3818</f>
        <v/>
      </c>
      <c r="F3818">
        <f>Sources!H3818</f>
        <v/>
      </c>
      <c r="G3818">
        <f>IF(ABS(F3818-ROUND(F3818,0))&lt;0.001,1,0)</f>
        <v/>
      </c>
      <c r="H3818">
        <f>IF(G3818=1,F3818,CEILING(F3818,1))</f>
        <v/>
      </c>
      <c r="I3818">
        <f>IF(G3818=1,0,(H3818-F3818)*E3818)</f>
        <v/>
      </c>
      <c r="J3818">
        <f>E3818*F3818</f>
        <v/>
      </c>
    </row>
    <row r="3819">
      <c r="A3819">
        <f>Sources!A3819</f>
        <v/>
      </c>
      <c r="B3819">
        <f>Sources!B3819</f>
        <v/>
      </c>
      <c r="C3819">
        <f>Sources!D3819</f>
        <v/>
      </c>
      <c r="D3819">
        <f>Sources!E3819</f>
        <v/>
      </c>
      <c r="E3819">
        <f>Sources!F3819</f>
        <v/>
      </c>
      <c r="F3819">
        <f>Sources!H3819</f>
        <v/>
      </c>
      <c r="G3819">
        <f>IF(ABS(F3819-ROUND(F3819,0))&lt;0.001,1,0)</f>
        <v/>
      </c>
      <c r="H3819">
        <f>IF(G3819=1,F3819,CEILING(F3819,1))</f>
        <v/>
      </c>
      <c r="I3819">
        <f>IF(G3819=1,0,(H3819-F3819)*E3819)</f>
        <v/>
      </c>
      <c r="J3819">
        <f>E3819*F3819</f>
        <v/>
      </c>
    </row>
    <row r="3820">
      <c r="A3820">
        <f>Sources!A3820</f>
        <v/>
      </c>
      <c r="B3820">
        <f>Sources!B3820</f>
        <v/>
      </c>
      <c r="C3820">
        <f>Sources!D3820</f>
        <v/>
      </c>
      <c r="D3820">
        <f>Sources!E3820</f>
        <v/>
      </c>
      <c r="E3820">
        <f>Sources!F3820</f>
        <v/>
      </c>
      <c r="F3820">
        <f>Sources!H3820</f>
        <v/>
      </c>
      <c r="G3820">
        <f>IF(ABS(F3820-ROUND(F3820,0))&lt;0.001,1,0)</f>
        <v/>
      </c>
      <c r="H3820">
        <f>IF(G3820=1,F3820,CEILING(F3820,1))</f>
        <v/>
      </c>
      <c r="I3820">
        <f>IF(G3820=1,0,(H3820-F3820)*E3820)</f>
        <v/>
      </c>
      <c r="J3820">
        <f>E3820*F3820</f>
        <v/>
      </c>
    </row>
    <row r="3821">
      <c r="A3821">
        <f>Sources!A3821</f>
        <v/>
      </c>
      <c r="B3821">
        <f>Sources!B3821</f>
        <v/>
      </c>
      <c r="C3821">
        <f>Sources!D3821</f>
        <v/>
      </c>
      <c r="D3821">
        <f>Sources!E3821</f>
        <v/>
      </c>
      <c r="E3821">
        <f>Sources!F3821</f>
        <v/>
      </c>
      <c r="F3821">
        <f>Sources!H3821</f>
        <v/>
      </c>
      <c r="G3821">
        <f>IF(ABS(F3821-ROUND(F3821,0))&lt;0.001,1,0)</f>
        <v/>
      </c>
      <c r="H3821">
        <f>IF(G3821=1,F3821,CEILING(F3821,1))</f>
        <v/>
      </c>
      <c r="I3821">
        <f>IF(G3821=1,0,(H3821-F3821)*E3821)</f>
        <v/>
      </c>
      <c r="J3821">
        <f>E3821*F3821</f>
        <v/>
      </c>
    </row>
    <row r="3822">
      <c r="A3822">
        <f>Sources!A3822</f>
        <v/>
      </c>
      <c r="B3822">
        <f>Sources!B3822</f>
        <v/>
      </c>
      <c r="C3822">
        <f>Sources!D3822</f>
        <v/>
      </c>
      <c r="D3822">
        <f>Sources!E3822</f>
        <v/>
      </c>
      <c r="E3822">
        <f>Sources!F3822</f>
        <v/>
      </c>
      <c r="F3822">
        <f>Sources!H3822</f>
        <v/>
      </c>
      <c r="G3822">
        <f>IF(ABS(F3822-ROUND(F3822,0))&lt;0.001,1,0)</f>
        <v/>
      </c>
      <c r="H3822">
        <f>IF(G3822=1,F3822,CEILING(F3822,1))</f>
        <v/>
      </c>
      <c r="I3822">
        <f>IF(G3822=1,0,(H3822-F3822)*E3822)</f>
        <v/>
      </c>
      <c r="J3822">
        <f>E3822*F3822</f>
        <v/>
      </c>
    </row>
    <row r="3823">
      <c r="A3823">
        <f>Sources!A3823</f>
        <v/>
      </c>
      <c r="B3823">
        <f>Sources!B3823</f>
        <v/>
      </c>
      <c r="C3823">
        <f>Sources!D3823</f>
        <v/>
      </c>
      <c r="D3823">
        <f>Sources!E3823</f>
        <v/>
      </c>
      <c r="E3823">
        <f>Sources!F3823</f>
        <v/>
      </c>
      <c r="F3823">
        <f>Sources!H3823</f>
        <v/>
      </c>
      <c r="G3823">
        <f>IF(ABS(F3823-ROUND(F3823,0))&lt;0.001,1,0)</f>
        <v/>
      </c>
      <c r="H3823">
        <f>IF(G3823=1,F3823,CEILING(F3823,1))</f>
        <v/>
      </c>
      <c r="I3823">
        <f>IF(G3823=1,0,(H3823-F3823)*E3823)</f>
        <v/>
      </c>
      <c r="J3823">
        <f>E3823*F3823</f>
        <v/>
      </c>
    </row>
    <row r="3824">
      <c r="A3824">
        <f>Sources!A3824</f>
        <v/>
      </c>
      <c r="B3824">
        <f>Sources!B3824</f>
        <v/>
      </c>
      <c r="C3824">
        <f>Sources!D3824</f>
        <v/>
      </c>
      <c r="D3824">
        <f>Sources!E3824</f>
        <v/>
      </c>
      <c r="E3824">
        <f>Sources!F3824</f>
        <v/>
      </c>
      <c r="F3824">
        <f>Sources!H3824</f>
        <v/>
      </c>
      <c r="G3824">
        <f>IF(ABS(F3824-ROUND(F3824,0))&lt;0.001,1,0)</f>
        <v/>
      </c>
      <c r="H3824">
        <f>IF(G3824=1,F3824,CEILING(F3824,1))</f>
        <v/>
      </c>
      <c r="I3824">
        <f>IF(G3824=1,0,(H3824-F3824)*E3824)</f>
        <v/>
      </c>
      <c r="J3824">
        <f>E3824*F3824</f>
        <v/>
      </c>
    </row>
    <row r="3825">
      <c r="A3825">
        <f>Sources!A3825</f>
        <v/>
      </c>
      <c r="B3825">
        <f>Sources!B3825</f>
        <v/>
      </c>
      <c r="C3825">
        <f>Sources!D3825</f>
        <v/>
      </c>
      <c r="D3825">
        <f>Sources!E3825</f>
        <v/>
      </c>
      <c r="E3825">
        <f>Sources!F3825</f>
        <v/>
      </c>
      <c r="F3825">
        <f>Sources!H3825</f>
        <v/>
      </c>
      <c r="G3825">
        <f>IF(ABS(F3825-ROUND(F3825,0))&lt;0.001,1,0)</f>
        <v/>
      </c>
      <c r="H3825">
        <f>IF(G3825=1,F3825,CEILING(F3825,1))</f>
        <v/>
      </c>
      <c r="I3825">
        <f>IF(G3825=1,0,(H3825-F3825)*E3825)</f>
        <v/>
      </c>
      <c r="J3825">
        <f>E3825*F3825</f>
        <v/>
      </c>
    </row>
    <row r="3826">
      <c r="A3826">
        <f>Sources!A3826</f>
        <v/>
      </c>
      <c r="B3826">
        <f>Sources!B3826</f>
        <v/>
      </c>
      <c r="C3826">
        <f>Sources!D3826</f>
        <v/>
      </c>
      <c r="D3826">
        <f>Sources!E3826</f>
        <v/>
      </c>
      <c r="E3826">
        <f>Sources!F3826</f>
        <v/>
      </c>
      <c r="F3826">
        <f>Sources!H3826</f>
        <v/>
      </c>
      <c r="G3826">
        <f>IF(ABS(F3826-ROUND(F3826,0))&lt;0.001,1,0)</f>
        <v/>
      </c>
      <c r="H3826">
        <f>IF(G3826=1,F3826,CEILING(F3826,1))</f>
        <v/>
      </c>
      <c r="I3826">
        <f>IF(G3826=1,0,(H3826-F3826)*E3826)</f>
        <v/>
      </c>
      <c r="J3826">
        <f>E3826*F3826</f>
        <v/>
      </c>
    </row>
    <row r="3827">
      <c r="A3827">
        <f>Sources!A3827</f>
        <v/>
      </c>
      <c r="B3827">
        <f>Sources!B3827</f>
        <v/>
      </c>
      <c r="C3827">
        <f>Sources!D3827</f>
        <v/>
      </c>
      <c r="D3827">
        <f>Sources!E3827</f>
        <v/>
      </c>
      <c r="E3827">
        <f>Sources!F3827</f>
        <v/>
      </c>
      <c r="F3827">
        <f>Sources!H3827</f>
        <v/>
      </c>
      <c r="G3827">
        <f>IF(ABS(F3827-ROUND(F3827,0))&lt;0.001,1,0)</f>
        <v/>
      </c>
      <c r="H3827">
        <f>IF(G3827=1,F3827,CEILING(F3827,1))</f>
        <v/>
      </c>
      <c r="I3827">
        <f>IF(G3827=1,0,(H3827-F3827)*E3827)</f>
        <v/>
      </c>
      <c r="J3827">
        <f>E3827*F3827</f>
        <v/>
      </c>
    </row>
    <row r="3828">
      <c r="A3828">
        <f>Sources!A3828</f>
        <v/>
      </c>
      <c r="B3828">
        <f>Sources!B3828</f>
        <v/>
      </c>
      <c r="C3828">
        <f>Sources!D3828</f>
        <v/>
      </c>
      <c r="D3828">
        <f>Sources!E3828</f>
        <v/>
      </c>
      <c r="E3828">
        <f>Sources!F3828</f>
        <v/>
      </c>
      <c r="F3828">
        <f>Sources!H3828</f>
        <v/>
      </c>
      <c r="G3828">
        <f>IF(ABS(F3828-ROUND(F3828,0))&lt;0.001,1,0)</f>
        <v/>
      </c>
      <c r="H3828">
        <f>IF(G3828=1,F3828,CEILING(F3828,1))</f>
        <v/>
      </c>
      <c r="I3828">
        <f>IF(G3828=1,0,(H3828-F3828)*E3828)</f>
        <v/>
      </c>
      <c r="J3828">
        <f>E3828*F3828</f>
        <v/>
      </c>
    </row>
    <row r="3829">
      <c r="A3829">
        <f>Sources!A3829</f>
        <v/>
      </c>
      <c r="B3829">
        <f>Sources!B3829</f>
        <v/>
      </c>
      <c r="C3829">
        <f>Sources!D3829</f>
        <v/>
      </c>
      <c r="D3829">
        <f>Sources!E3829</f>
        <v/>
      </c>
      <c r="E3829">
        <f>Sources!F3829</f>
        <v/>
      </c>
      <c r="F3829">
        <f>Sources!H3829</f>
        <v/>
      </c>
      <c r="G3829">
        <f>IF(ABS(F3829-ROUND(F3829,0))&lt;0.001,1,0)</f>
        <v/>
      </c>
      <c r="H3829">
        <f>IF(G3829=1,F3829,CEILING(F3829,1))</f>
        <v/>
      </c>
      <c r="I3829">
        <f>IF(G3829=1,0,(H3829-F3829)*E3829)</f>
        <v/>
      </c>
      <c r="J3829">
        <f>E3829*F3829</f>
        <v/>
      </c>
    </row>
    <row r="3830">
      <c r="A3830">
        <f>Sources!A3830</f>
        <v/>
      </c>
      <c r="B3830">
        <f>Sources!B3830</f>
        <v/>
      </c>
      <c r="C3830">
        <f>Sources!D3830</f>
        <v/>
      </c>
      <c r="D3830">
        <f>Sources!E3830</f>
        <v/>
      </c>
      <c r="E3830">
        <f>Sources!F3830</f>
        <v/>
      </c>
      <c r="F3830">
        <f>Sources!H3830</f>
        <v/>
      </c>
      <c r="G3830">
        <f>IF(ABS(F3830-ROUND(F3830,0))&lt;0.001,1,0)</f>
        <v/>
      </c>
      <c r="H3830">
        <f>IF(G3830=1,F3830,CEILING(F3830,1))</f>
        <v/>
      </c>
      <c r="I3830">
        <f>IF(G3830=1,0,(H3830-F3830)*E3830)</f>
        <v/>
      </c>
      <c r="J3830">
        <f>E3830*F3830</f>
        <v/>
      </c>
    </row>
    <row r="3831">
      <c r="A3831">
        <f>Sources!A3831</f>
        <v/>
      </c>
      <c r="B3831">
        <f>Sources!B3831</f>
        <v/>
      </c>
      <c r="C3831">
        <f>Sources!D3831</f>
        <v/>
      </c>
      <c r="D3831">
        <f>Sources!E3831</f>
        <v/>
      </c>
      <c r="E3831">
        <f>Sources!F3831</f>
        <v/>
      </c>
      <c r="F3831">
        <f>Sources!H3831</f>
        <v/>
      </c>
      <c r="G3831">
        <f>IF(ABS(F3831-ROUND(F3831,0))&lt;0.001,1,0)</f>
        <v/>
      </c>
      <c r="H3831">
        <f>IF(G3831=1,F3831,CEILING(F3831,1))</f>
        <v/>
      </c>
      <c r="I3831">
        <f>IF(G3831=1,0,(H3831-F3831)*E3831)</f>
        <v/>
      </c>
      <c r="J3831">
        <f>E3831*F3831</f>
        <v/>
      </c>
    </row>
    <row r="3832">
      <c r="A3832">
        <f>Sources!A3832</f>
        <v/>
      </c>
      <c r="B3832">
        <f>Sources!B3832</f>
        <v/>
      </c>
      <c r="C3832">
        <f>Sources!D3832</f>
        <v/>
      </c>
      <c r="D3832">
        <f>Sources!E3832</f>
        <v/>
      </c>
      <c r="E3832">
        <f>Sources!F3832</f>
        <v/>
      </c>
      <c r="F3832">
        <f>Sources!H3832</f>
        <v/>
      </c>
      <c r="G3832">
        <f>IF(ABS(F3832-ROUND(F3832,0))&lt;0.001,1,0)</f>
        <v/>
      </c>
      <c r="H3832">
        <f>IF(G3832=1,F3832,CEILING(F3832,1))</f>
        <v/>
      </c>
      <c r="I3832">
        <f>IF(G3832=1,0,(H3832-F3832)*E3832)</f>
        <v/>
      </c>
      <c r="J3832">
        <f>E3832*F3832</f>
        <v/>
      </c>
    </row>
    <row r="3833">
      <c r="A3833">
        <f>Sources!A3833</f>
        <v/>
      </c>
      <c r="B3833">
        <f>Sources!B3833</f>
        <v/>
      </c>
      <c r="C3833">
        <f>Sources!D3833</f>
        <v/>
      </c>
      <c r="D3833">
        <f>Sources!E3833</f>
        <v/>
      </c>
      <c r="E3833">
        <f>Sources!F3833</f>
        <v/>
      </c>
      <c r="F3833">
        <f>Sources!H3833</f>
        <v/>
      </c>
      <c r="G3833">
        <f>IF(ABS(F3833-ROUND(F3833,0))&lt;0.001,1,0)</f>
        <v/>
      </c>
      <c r="H3833">
        <f>IF(G3833=1,F3833,CEILING(F3833,1))</f>
        <v/>
      </c>
      <c r="I3833">
        <f>IF(G3833=1,0,(H3833-F3833)*E3833)</f>
        <v/>
      </c>
      <c r="J3833">
        <f>E3833*F3833</f>
        <v/>
      </c>
    </row>
    <row r="3834">
      <c r="A3834">
        <f>Sources!A3834</f>
        <v/>
      </c>
      <c r="B3834">
        <f>Sources!B3834</f>
        <v/>
      </c>
      <c r="C3834">
        <f>Sources!D3834</f>
        <v/>
      </c>
      <c r="D3834">
        <f>Sources!E3834</f>
        <v/>
      </c>
      <c r="E3834">
        <f>Sources!F3834</f>
        <v/>
      </c>
      <c r="F3834">
        <f>Sources!H3834</f>
        <v/>
      </c>
      <c r="G3834">
        <f>IF(ABS(F3834-ROUND(F3834,0))&lt;0.001,1,0)</f>
        <v/>
      </c>
      <c r="H3834">
        <f>IF(G3834=1,F3834,CEILING(F3834,1))</f>
        <v/>
      </c>
      <c r="I3834">
        <f>IF(G3834=1,0,(H3834-F3834)*E3834)</f>
        <v/>
      </c>
      <c r="J3834">
        <f>E3834*F3834</f>
        <v/>
      </c>
    </row>
    <row r="3835">
      <c r="A3835">
        <f>Sources!A3835</f>
        <v/>
      </c>
      <c r="B3835">
        <f>Sources!B3835</f>
        <v/>
      </c>
      <c r="C3835">
        <f>Sources!D3835</f>
        <v/>
      </c>
      <c r="D3835">
        <f>Sources!E3835</f>
        <v/>
      </c>
      <c r="E3835">
        <f>Sources!F3835</f>
        <v/>
      </c>
      <c r="F3835">
        <f>Sources!H3835</f>
        <v/>
      </c>
      <c r="G3835">
        <f>IF(ABS(F3835-ROUND(F3835,0))&lt;0.001,1,0)</f>
        <v/>
      </c>
      <c r="H3835">
        <f>IF(G3835=1,F3835,CEILING(F3835,1))</f>
        <v/>
      </c>
      <c r="I3835">
        <f>IF(G3835=1,0,(H3835-F3835)*E3835)</f>
        <v/>
      </c>
      <c r="J3835">
        <f>E3835*F3835</f>
        <v/>
      </c>
    </row>
    <row r="3836">
      <c r="A3836">
        <f>Sources!A3836</f>
        <v/>
      </c>
      <c r="B3836">
        <f>Sources!B3836</f>
        <v/>
      </c>
      <c r="C3836">
        <f>Sources!D3836</f>
        <v/>
      </c>
      <c r="D3836">
        <f>Sources!E3836</f>
        <v/>
      </c>
      <c r="E3836">
        <f>Sources!F3836</f>
        <v/>
      </c>
      <c r="F3836">
        <f>Sources!H3836</f>
        <v/>
      </c>
      <c r="G3836">
        <f>IF(ABS(F3836-ROUND(F3836,0))&lt;0.001,1,0)</f>
        <v/>
      </c>
      <c r="H3836">
        <f>IF(G3836=1,F3836,CEILING(F3836,1))</f>
        <v/>
      </c>
      <c r="I3836">
        <f>IF(G3836=1,0,(H3836-F3836)*E3836)</f>
        <v/>
      </c>
      <c r="J3836">
        <f>E3836*F3836</f>
        <v/>
      </c>
    </row>
    <row r="3837">
      <c r="A3837">
        <f>Sources!A3837</f>
        <v/>
      </c>
      <c r="B3837">
        <f>Sources!B3837</f>
        <v/>
      </c>
      <c r="C3837">
        <f>Sources!D3837</f>
        <v/>
      </c>
      <c r="D3837">
        <f>Sources!E3837</f>
        <v/>
      </c>
      <c r="E3837">
        <f>Sources!F3837</f>
        <v/>
      </c>
      <c r="F3837">
        <f>Sources!H3837</f>
        <v/>
      </c>
      <c r="G3837">
        <f>IF(ABS(F3837-ROUND(F3837,0))&lt;0.001,1,0)</f>
        <v/>
      </c>
      <c r="H3837">
        <f>IF(G3837=1,F3837,CEILING(F3837,1))</f>
        <v/>
      </c>
      <c r="I3837">
        <f>IF(G3837=1,0,(H3837-F3837)*E3837)</f>
        <v/>
      </c>
      <c r="J3837">
        <f>E3837*F3837</f>
        <v/>
      </c>
    </row>
    <row r="3838">
      <c r="A3838">
        <f>Sources!A3838</f>
        <v/>
      </c>
      <c r="B3838">
        <f>Sources!B3838</f>
        <v/>
      </c>
      <c r="C3838">
        <f>Sources!D3838</f>
        <v/>
      </c>
      <c r="D3838">
        <f>Sources!E3838</f>
        <v/>
      </c>
      <c r="E3838">
        <f>Sources!F3838</f>
        <v/>
      </c>
      <c r="F3838">
        <f>Sources!H3838</f>
        <v/>
      </c>
      <c r="G3838">
        <f>IF(ABS(F3838-ROUND(F3838,0))&lt;0.001,1,0)</f>
        <v/>
      </c>
      <c r="H3838">
        <f>IF(G3838=1,F3838,CEILING(F3838,1))</f>
        <v/>
      </c>
      <c r="I3838">
        <f>IF(G3838=1,0,(H3838-F3838)*E3838)</f>
        <v/>
      </c>
      <c r="J3838">
        <f>E3838*F3838</f>
        <v/>
      </c>
    </row>
    <row r="3839">
      <c r="A3839">
        <f>Sources!A3839</f>
        <v/>
      </c>
      <c r="B3839">
        <f>Sources!B3839</f>
        <v/>
      </c>
      <c r="C3839">
        <f>Sources!D3839</f>
        <v/>
      </c>
      <c r="D3839">
        <f>Sources!E3839</f>
        <v/>
      </c>
      <c r="E3839">
        <f>Sources!F3839</f>
        <v/>
      </c>
      <c r="F3839">
        <f>Sources!H3839</f>
        <v/>
      </c>
      <c r="G3839">
        <f>IF(ABS(F3839-ROUND(F3839,0))&lt;0.001,1,0)</f>
        <v/>
      </c>
      <c r="H3839">
        <f>IF(G3839=1,F3839,CEILING(F3839,1))</f>
        <v/>
      </c>
      <c r="I3839">
        <f>IF(G3839=1,0,(H3839-F3839)*E3839)</f>
        <v/>
      </c>
      <c r="J3839">
        <f>E3839*F3839</f>
        <v/>
      </c>
    </row>
    <row r="3840">
      <c r="A3840">
        <f>Sources!A3840</f>
        <v/>
      </c>
      <c r="B3840">
        <f>Sources!B3840</f>
        <v/>
      </c>
      <c r="C3840">
        <f>Sources!D3840</f>
        <v/>
      </c>
      <c r="D3840">
        <f>Sources!E3840</f>
        <v/>
      </c>
      <c r="E3840">
        <f>Sources!F3840</f>
        <v/>
      </c>
      <c r="F3840">
        <f>Sources!H3840</f>
        <v/>
      </c>
      <c r="G3840">
        <f>IF(ABS(F3840-ROUND(F3840,0))&lt;0.001,1,0)</f>
        <v/>
      </c>
      <c r="H3840">
        <f>IF(G3840=1,F3840,CEILING(F3840,1))</f>
        <v/>
      </c>
      <c r="I3840">
        <f>IF(G3840=1,0,(H3840-F3840)*E3840)</f>
        <v/>
      </c>
      <c r="J3840">
        <f>E3840*F3840</f>
        <v/>
      </c>
    </row>
    <row r="3841">
      <c r="A3841">
        <f>Sources!A3841</f>
        <v/>
      </c>
      <c r="B3841">
        <f>Sources!B3841</f>
        <v/>
      </c>
      <c r="C3841">
        <f>Sources!D3841</f>
        <v/>
      </c>
      <c r="D3841">
        <f>Sources!E3841</f>
        <v/>
      </c>
      <c r="E3841">
        <f>Sources!F3841</f>
        <v/>
      </c>
      <c r="F3841">
        <f>Sources!H3841</f>
        <v/>
      </c>
      <c r="G3841">
        <f>IF(ABS(F3841-ROUND(F3841,0))&lt;0.001,1,0)</f>
        <v/>
      </c>
      <c r="H3841">
        <f>IF(G3841=1,F3841,CEILING(F3841,1))</f>
        <v/>
      </c>
      <c r="I3841">
        <f>IF(G3841=1,0,(H3841-F3841)*E3841)</f>
        <v/>
      </c>
      <c r="J3841">
        <f>E3841*F3841</f>
        <v/>
      </c>
    </row>
    <row r="3842">
      <c r="A3842">
        <f>Sources!A3842</f>
        <v/>
      </c>
      <c r="B3842">
        <f>Sources!B3842</f>
        <v/>
      </c>
      <c r="C3842">
        <f>Sources!D3842</f>
        <v/>
      </c>
      <c r="D3842">
        <f>Sources!E3842</f>
        <v/>
      </c>
      <c r="E3842">
        <f>Sources!F3842</f>
        <v/>
      </c>
      <c r="F3842">
        <f>Sources!H3842</f>
        <v/>
      </c>
      <c r="G3842">
        <f>IF(ABS(F3842-ROUND(F3842,0))&lt;0.001,1,0)</f>
        <v/>
      </c>
      <c r="H3842">
        <f>IF(G3842=1,F3842,CEILING(F3842,1))</f>
        <v/>
      </c>
      <c r="I3842">
        <f>IF(G3842=1,0,(H3842-F3842)*E3842)</f>
        <v/>
      </c>
      <c r="J3842">
        <f>E3842*F3842</f>
        <v/>
      </c>
    </row>
    <row r="3843">
      <c r="A3843">
        <f>Sources!A3843</f>
        <v/>
      </c>
      <c r="B3843">
        <f>Sources!B3843</f>
        <v/>
      </c>
      <c r="C3843">
        <f>Sources!D3843</f>
        <v/>
      </c>
      <c r="D3843">
        <f>Sources!E3843</f>
        <v/>
      </c>
      <c r="E3843">
        <f>Sources!F3843</f>
        <v/>
      </c>
      <c r="F3843">
        <f>Sources!H3843</f>
        <v/>
      </c>
      <c r="G3843">
        <f>IF(ABS(F3843-ROUND(F3843,0))&lt;0.001,1,0)</f>
        <v/>
      </c>
      <c r="H3843">
        <f>IF(G3843=1,F3843,CEILING(F3843,1))</f>
        <v/>
      </c>
      <c r="I3843">
        <f>IF(G3843=1,0,(H3843-F3843)*E3843)</f>
        <v/>
      </c>
      <c r="J3843">
        <f>E3843*F3843</f>
        <v/>
      </c>
    </row>
    <row r="3844">
      <c r="A3844">
        <f>Sources!A3844</f>
        <v/>
      </c>
      <c r="B3844">
        <f>Sources!B3844</f>
        <v/>
      </c>
      <c r="C3844">
        <f>Sources!D3844</f>
        <v/>
      </c>
      <c r="D3844">
        <f>Sources!E3844</f>
        <v/>
      </c>
      <c r="E3844">
        <f>Sources!F3844</f>
        <v/>
      </c>
      <c r="F3844">
        <f>Sources!H3844</f>
        <v/>
      </c>
      <c r="G3844">
        <f>IF(ABS(F3844-ROUND(F3844,0))&lt;0.001,1,0)</f>
        <v/>
      </c>
      <c r="H3844">
        <f>IF(G3844=1,F3844,CEILING(F3844,1))</f>
        <v/>
      </c>
      <c r="I3844">
        <f>IF(G3844=1,0,(H3844-F3844)*E3844)</f>
        <v/>
      </c>
      <c r="J3844">
        <f>E3844*F3844</f>
        <v/>
      </c>
    </row>
    <row r="3845">
      <c r="A3845">
        <f>Sources!A3845</f>
        <v/>
      </c>
      <c r="B3845">
        <f>Sources!B3845</f>
        <v/>
      </c>
      <c r="C3845">
        <f>Sources!D3845</f>
        <v/>
      </c>
      <c r="D3845">
        <f>Sources!E3845</f>
        <v/>
      </c>
      <c r="E3845">
        <f>Sources!F3845</f>
        <v/>
      </c>
      <c r="F3845">
        <f>Sources!H3845</f>
        <v/>
      </c>
      <c r="G3845">
        <f>IF(ABS(F3845-ROUND(F3845,0))&lt;0.001,1,0)</f>
        <v/>
      </c>
      <c r="H3845">
        <f>IF(G3845=1,F3845,CEILING(F3845,1))</f>
        <v/>
      </c>
      <c r="I3845">
        <f>IF(G3845=1,0,(H3845-F3845)*E3845)</f>
        <v/>
      </c>
      <c r="J3845">
        <f>E3845*F3845</f>
        <v/>
      </c>
    </row>
    <row r="3846">
      <c r="A3846">
        <f>Sources!A3846</f>
        <v/>
      </c>
      <c r="B3846">
        <f>Sources!B3846</f>
        <v/>
      </c>
      <c r="C3846">
        <f>Sources!D3846</f>
        <v/>
      </c>
      <c r="D3846">
        <f>Sources!E3846</f>
        <v/>
      </c>
      <c r="E3846">
        <f>Sources!F3846</f>
        <v/>
      </c>
      <c r="F3846">
        <f>Sources!H3846</f>
        <v/>
      </c>
      <c r="G3846">
        <f>IF(ABS(F3846-ROUND(F3846,0))&lt;0.001,1,0)</f>
        <v/>
      </c>
      <c r="H3846">
        <f>IF(G3846=1,F3846,CEILING(F3846,1))</f>
        <v/>
      </c>
      <c r="I3846">
        <f>IF(G3846=1,0,(H3846-F3846)*E3846)</f>
        <v/>
      </c>
      <c r="J3846">
        <f>E3846*F3846</f>
        <v/>
      </c>
    </row>
    <row r="3847">
      <c r="A3847">
        <f>Sources!A3847</f>
        <v/>
      </c>
      <c r="B3847">
        <f>Sources!B3847</f>
        <v/>
      </c>
      <c r="C3847">
        <f>Sources!D3847</f>
        <v/>
      </c>
      <c r="D3847">
        <f>Sources!E3847</f>
        <v/>
      </c>
      <c r="E3847">
        <f>Sources!F3847</f>
        <v/>
      </c>
      <c r="F3847">
        <f>Sources!H3847</f>
        <v/>
      </c>
      <c r="G3847">
        <f>IF(ABS(F3847-ROUND(F3847,0))&lt;0.001,1,0)</f>
        <v/>
      </c>
      <c r="H3847">
        <f>IF(G3847=1,F3847,CEILING(F3847,1))</f>
        <v/>
      </c>
      <c r="I3847">
        <f>IF(G3847=1,0,(H3847-F3847)*E3847)</f>
        <v/>
      </c>
      <c r="J3847">
        <f>E3847*F3847</f>
        <v/>
      </c>
    </row>
    <row r="3848">
      <c r="A3848">
        <f>Sources!A3848</f>
        <v/>
      </c>
      <c r="B3848">
        <f>Sources!B3848</f>
        <v/>
      </c>
      <c r="C3848">
        <f>Sources!D3848</f>
        <v/>
      </c>
      <c r="D3848">
        <f>Sources!E3848</f>
        <v/>
      </c>
      <c r="E3848">
        <f>Sources!F3848</f>
        <v/>
      </c>
      <c r="F3848">
        <f>Sources!H3848</f>
        <v/>
      </c>
      <c r="G3848">
        <f>IF(ABS(F3848-ROUND(F3848,0))&lt;0.001,1,0)</f>
        <v/>
      </c>
      <c r="H3848">
        <f>IF(G3848=1,F3848,CEILING(F3848,1))</f>
        <v/>
      </c>
      <c r="I3848">
        <f>IF(G3848=1,0,(H3848-F3848)*E3848)</f>
        <v/>
      </c>
      <c r="J3848">
        <f>E3848*F3848</f>
        <v/>
      </c>
    </row>
    <row r="3849">
      <c r="A3849">
        <f>Sources!A3849</f>
        <v/>
      </c>
      <c r="B3849">
        <f>Sources!B3849</f>
        <v/>
      </c>
      <c r="C3849">
        <f>Sources!D3849</f>
        <v/>
      </c>
      <c r="D3849">
        <f>Sources!E3849</f>
        <v/>
      </c>
      <c r="E3849">
        <f>Sources!F3849</f>
        <v/>
      </c>
      <c r="F3849">
        <f>Sources!H3849</f>
        <v/>
      </c>
      <c r="G3849">
        <f>IF(ABS(F3849-ROUND(F3849,0))&lt;0.001,1,0)</f>
        <v/>
      </c>
      <c r="H3849">
        <f>IF(G3849=1,F3849,CEILING(F3849,1))</f>
        <v/>
      </c>
      <c r="I3849">
        <f>IF(G3849=1,0,(H3849-F3849)*E3849)</f>
        <v/>
      </c>
      <c r="J3849">
        <f>E3849*F3849</f>
        <v/>
      </c>
    </row>
    <row r="3850">
      <c r="A3850">
        <f>Sources!A3850</f>
        <v/>
      </c>
      <c r="B3850">
        <f>Sources!B3850</f>
        <v/>
      </c>
      <c r="C3850">
        <f>Sources!D3850</f>
        <v/>
      </c>
      <c r="D3850">
        <f>Sources!E3850</f>
        <v/>
      </c>
      <c r="E3850">
        <f>Sources!F3850</f>
        <v/>
      </c>
      <c r="F3850">
        <f>Sources!H3850</f>
        <v/>
      </c>
      <c r="G3850">
        <f>IF(ABS(F3850-ROUND(F3850,0))&lt;0.001,1,0)</f>
        <v/>
      </c>
      <c r="H3850">
        <f>IF(G3850=1,F3850,CEILING(F3850,1))</f>
        <v/>
      </c>
      <c r="I3850">
        <f>IF(G3850=1,0,(H3850-F3850)*E3850)</f>
        <v/>
      </c>
      <c r="J3850">
        <f>E3850*F3850</f>
        <v/>
      </c>
    </row>
    <row r="3851">
      <c r="A3851">
        <f>Sources!A3851</f>
        <v/>
      </c>
      <c r="B3851">
        <f>Sources!B3851</f>
        <v/>
      </c>
      <c r="C3851">
        <f>Sources!D3851</f>
        <v/>
      </c>
      <c r="D3851">
        <f>Sources!E3851</f>
        <v/>
      </c>
      <c r="E3851">
        <f>Sources!F3851</f>
        <v/>
      </c>
      <c r="F3851">
        <f>Sources!H3851</f>
        <v/>
      </c>
      <c r="G3851">
        <f>IF(ABS(F3851-ROUND(F3851,0))&lt;0.001,1,0)</f>
        <v/>
      </c>
      <c r="H3851">
        <f>IF(G3851=1,F3851,CEILING(F3851,1))</f>
        <v/>
      </c>
      <c r="I3851">
        <f>IF(G3851=1,0,(H3851-F3851)*E3851)</f>
        <v/>
      </c>
      <c r="J3851">
        <f>E3851*F3851</f>
        <v/>
      </c>
    </row>
    <row r="3852">
      <c r="A3852">
        <f>Sources!A3852</f>
        <v/>
      </c>
      <c r="B3852">
        <f>Sources!B3852</f>
        <v/>
      </c>
      <c r="C3852">
        <f>Sources!D3852</f>
        <v/>
      </c>
      <c r="D3852">
        <f>Sources!E3852</f>
        <v/>
      </c>
      <c r="E3852">
        <f>Sources!F3852</f>
        <v/>
      </c>
      <c r="F3852">
        <f>Sources!H3852</f>
        <v/>
      </c>
      <c r="G3852">
        <f>IF(ABS(F3852-ROUND(F3852,0))&lt;0.001,1,0)</f>
        <v/>
      </c>
      <c r="H3852">
        <f>IF(G3852=1,F3852,CEILING(F3852,1))</f>
        <v/>
      </c>
      <c r="I3852">
        <f>IF(G3852=1,0,(H3852-F3852)*E3852)</f>
        <v/>
      </c>
      <c r="J3852">
        <f>E3852*F3852</f>
        <v/>
      </c>
    </row>
    <row r="3853">
      <c r="A3853">
        <f>Sources!A3853</f>
        <v/>
      </c>
      <c r="B3853">
        <f>Sources!B3853</f>
        <v/>
      </c>
      <c r="C3853">
        <f>Sources!D3853</f>
        <v/>
      </c>
      <c r="D3853">
        <f>Sources!E3853</f>
        <v/>
      </c>
      <c r="E3853">
        <f>Sources!F3853</f>
        <v/>
      </c>
      <c r="F3853">
        <f>Sources!H3853</f>
        <v/>
      </c>
      <c r="G3853">
        <f>IF(ABS(F3853-ROUND(F3853,0))&lt;0.001,1,0)</f>
        <v/>
      </c>
      <c r="H3853">
        <f>IF(G3853=1,F3853,CEILING(F3853,1))</f>
        <v/>
      </c>
      <c r="I3853">
        <f>IF(G3853=1,0,(H3853-F3853)*E3853)</f>
        <v/>
      </c>
      <c r="J3853">
        <f>E3853*F3853</f>
        <v/>
      </c>
    </row>
    <row r="3854">
      <c r="A3854">
        <f>Sources!A3854</f>
        <v/>
      </c>
      <c r="B3854">
        <f>Sources!B3854</f>
        <v/>
      </c>
      <c r="C3854">
        <f>Sources!D3854</f>
        <v/>
      </c>
      <c r="D3854">
        <f>Sources!E3854</f>
        <v/>
      </c>
      <c r="E3854">
        <f>Sources!F3854</f>
        <v/>
      </c>
      <c r="F3854">
        <f>Sources!H3854</f>
        <v/>
      </c>
      <c r="G3854">
        <f>IF(ABS(F3854-ROUND(F3854,0))&lt;0.001,1,0)</f>
        <v/>
      </c>
      <c r="H3854">
        <f>IF(G3854=1,F3854,CEILING(F3854,1))</f>
        <v/>
      </c>
      <c r="I3854">
        <f>IF(G3854=1,0,(H3854-F3854)*E3854)</f>
        <v/>
      </c>
      <c r="J3854">
        <f>E3854*F3854</f>
        <v/>
      </c>
    </row>
    <row r="3855">
      <c r="A3855">
        <f>Sources!A3855</f>
        <v/>
      </c>
      <c r="B3855">
        <f>Sources!B3855</f>
        <v/>
      </c>
      <c r="C3855">
        <f>Sources!D3855</f>
        <v/>
      </c>
      <c r="D3855">
        <f>Sources!E3855</f>
        <v/>
      </c>
      <c r="E3855">
        <f>Sources!F3855</f>
        <v/>
      </c>
      <c r="F3855">
        <f>Sources!H3855</f>
        <v/>
      </c>
      <c r="G3855">
        <f>IF(ABS(F3855-ROUND(F3855,0))&lt;0.001,1,0)</f>
        <v/>
      </c>
      <c r="H3855">
        <f>IF(G3855=1,F3855,CEILING(F3855,1))</f>
        <v/>
      </c>
      <c r="I3855">
        <f>IF(G3855=1,0,(H3855-F3855)*E3855)</f>
        <v/>
      </c>
      <c r="J3855">
        <f>E3855*F3855</f>
        <v/>
      </c>
    </row>
    <row r="3856">
      <c r="A3856">
        <f>Sources!A3856</f>
        <v/>
      </c>
      <c r="B3856">
        <f>Sources!B3856</f>
        <v/>
      </c>
      <c r="C3856">
        <f>Sources!D3856</f>
        <v/>
      </c>
      <c r="D3856">
        <f>Sources!E3856</f>
        <v/>
      </c>
      <c r="E3856">
        <f>Sources!F3856</f>
        <v/>
      </c>
      <c r="F3856">
        <f>Sources!H3856</f>
        <v/>
      </c>
      <c r="G3856">
        <f>IF(ABS(F3856-ROUND(F3856,0))&lt;0.001,1,0)</f>
        <v/>
      </c>
      <c r="H3856">
        <f>IF(G3856=1,F3856,CEILING(F3856,1))</f>
        <v/>
      </c>
      <c r="I3856">
        <f>IF(G3856=1,0,(H3856-F3856)*E3856)</f>
        <v/>
      </c>
      <c r="J3856">
        <f>E3856*F3856</f>
        <v/>
      </c>
    </row>
    <row r="3857">
      <c r="A3857">
        <f>Sources!A3857</f>
        <v/>
      </c>
      <c r="B3857">
        <f>Sources!B3857</f>
        <v/>
      </c>
      <c r="C3857">
        <f>Sources!D3857</f>
        <v/>
      </c>
      <c r="D3857">
        <f>Sources!E3857</f>
        <v/>
      </c>
      <c r="E3857">
        <f>Sources!F3857</f>
        <v/>
      </c>
      <c r="F3857">
        <f>Sources!H3857</f>
        <v/>
      </c>
      <c r="G3857">
        <f>IF(ABS(F3857-ROUND(F3857,0))&lt;0.001,1,0)</f>
        <v/>
      </c>
      <c r="H3857">
        <f>IF(G3857=1,F3857,CEILING(F3857,1))</f>
        <v/>
      </c>
      <c r="I3857">
        <f>IF(G3857=1,0,(H3857-F3857)*E3857)</f>
        <v/>
      </c>
      <c r="J3857">
        <f>E3857*F3857</f>
        <v/>
      </c>
    </row>
    <row r="3858">
      <c r="A3858">
        <f>Sources!A3858</f>
        <v/>
      </c>
      <c r="B3858">
        <f>Sources!B3858</f>
        <v/>
      </c>
      <c r="C3858">
        <f>Sources!D3858</f>
        <v/>
      </c>
      <c r="D3858">
        <f>Sources!E3858</f>
        <v/>
      </c>
      <c r="E3858">
        <f>Sources!F3858</f>
        <v/>
      </c>
      <c r="F3858">
        <f>Sources!H3858</f>
        <v/>
      </c>
      <c r="G3858">
        <f>IF(ABS(F3858-ROUND(F3858,0))&lt;0.001,1,0)</f>
        <v/>
      </c>
      <c r="H3858">
        <f>IF(G3858=1,F3858,CEILING(F3858,1))</f>
        <v/>
      </c>
      <c r="I3858">
        <f>IF(G3858=1,0,(H3858-F3858)*E3858)</f>
        <v/>
      </c>
      <c r="J3858">
        <f>E3858*F3858</f>
        <v/>
      </c>
    </row>
    <row r="3859">
      <c r="A3859">
        <f>Sources!A3859</f>
        <v/>
      </c>
      <c r="B3859">
        <f>Sources!B3859</f>
        <v/>
      </c>
      <c r="C3859">
        <f>Sources!D3859</f>
        <v/>
      </c>
      <c r="D3859">
        <f>Sources!E3859</f>
        <v/>
      </c>
      <c r="E3859">
        <f>Sources!F3859</f>
        <v/>
      </c>
      <c r="F3859">
        <f>Sources!H3859</f>
        <v/>
      </c>
      <c r="G3859">
        <f>IF(ABS(F3859-ROUND(F3859,0))&lt;0.001,1,0)</f>
        <v/>
      </c>
      <c r="H3859">
        <f>IF(G3859=1,F3859,CEILING(F3859,1))</f>
        <v/>
      </c>
      <c r="I3859">
        <f>IF(G3859=1,0,(H3859-F3859)*E3859)</f>
        <v/>
      </c>
      <c r="J3859">
        <f>E3859*F3859</f>
        <v/>
      </c>
    </row>
    <row r="3860">
      <c r="A3860">
        <f>Sources!A3860</f>
        <v/>
      </c>
      <c r="B3860">
        <f>Sources!B3860</f>
        <v/>
      </c>
      <c r="C3860">
        <f>Sources!D3860</f>
        <v/>
      </c>
      <c r="D3860">
        <f>Sources!E3860</f>
        <v/>
      </c>
      <c r="E3860">
        <f>Sources!F3860</f>
        <v/>
      </c>
      <c r="F3860">
        <f>Sources!H3860</f>
        <v/>
      </c>
      <c r="G3860">
        <f>IF(ABS(F3860-ROUND(F3860,0))&lt;0.001,1,0)</f>
        <v/>
      </c>
      <c r="H3860">
        <f>IF(G3860=1,F3860,CEILING(F3860,1))</f>
        <v/>
      </c>
      <c r="I3860">
        <f>IF(G3860=1,0,(H3860-F3860)*E3860)</f>
        <v/>
      </c>
      <c r="J3860">
        <f>E3860*F3860</f>
        <v/>
      </c>
    </row>
    <row r="3861">
      <c r="A3861">
        <f>Sources!A3861</f>
        <v/>
      </c>
      <c r="B3861">
        <f>Sources!B3861</f>
        <v/>
      </c>
      <c r="C3861">
        <f>Sources!D3861</f>
        <v/>
      </c>
      <c r="D3861">
        <f>Sources!E3861</f>
        <v/>
      </c>
      <c r="E3861">
        <f>Sources!F3861</f>
        <v/>
      </c>
      <c r="F3861">
        <f>Sources!H3861</f>
        <v/>
      </c>
      <c r="G3861">
        <f>IF(ABS(F3861-ROUND(F3861,0))&lt;0.001,1,0)</f>
        <v/>
      </c>
      <c r="H3861">
        <f>IF(G3861=1,F3861,CEILING(F3861,1))</f>
        <v/>
      </c>
      <c r="I3861">
        <f>IF(G3861=1,0,(H3861-F3861)*E3861)</f>
        <v/>
      </c>
      <c r="J3861">
        <f>E3861*F3861</f>
        <v/>
      </c>
    </row>
    <row r="3862">
      <c r="A3862">
        <f>Sources!A3862</f>
        <v/>
      </c>
      <c r="B3862">
        <f>Sources!B3862</f>
        <v/>
      </c>
      <c r="C3862">
        <f>Sources!D3862</f>
        <v/>
      </c>
      <c r="D3862">
        <f>Sources!E3862</f>
        <v/>
      </c>
      <c r="E3862">
        <f>Sources!F3862</f>
        <v/>
      </c>
      <c r="F3862">
        <f>Sources!H3862</f>
        <v/>
      </c>
      <c r="G3862">
        <f>IF(ABS(F3862-ROUND(F3862,0))&lt;0.001,1,0)</f>
        <v/>
      </c>
      <c r="H3862">
        <f>IF(G3862=1,F3862,CEILING(F3862,1))</f>
        <v/>
      </c>
      <c r="I3862">
        <f>IF(G3862=1,0,(H3862-F3862)*E3862)</f>
        <v/>
      </c>
      <c r="J3862">
        <f>E3862*F3862</f>
        <v/>
      </c>
    </row>
    <row r="3863">
      <c r="A3863">
        <f>Sources!A3863</f>
        <v/>
      </c>
      <c r="B3863">
        <f>Sources!B3863</f>
        <v/>
      </c>
      <c r="C3863">
        <f>Sources!D3863</f>
        <v/>
      </c>
      <c r="D3863">
        <f>Sources!E3863</f>
        <v/>
      </c>
      <c r="E3863">
        <f>Sources!F3863</f>
        <v/>
      </c>
      <c r="F3863">
        <f>Sources!H3863</f>
        <v/>
      </c>
      <c r="G3863">
        <f>IF(ABS(F3863-ROUND(F3863,0))&lt;0.001,1,0)</f>
        <v/>
      </c>
      <c r="H3863">
        <f>IF(G3863=1,F3863,CEILING(F3863,1))</f>
        <v/>
      </c>
      <c r="I3863">
        <f>IF(G3863=1,0,(H3863-F3863)*E3863)</f>
        <v/>
      </c>
      <c r="J3863">
        <f>E3863*F3863</f>
        <v/>
      </c>
    </row>
    <row r="3864">
      <c r="A3864">
        <f>Sources!A3864</f>
        <v/>
      </c>
      <c r="B3864">
        <f>Sources!B3864</f>
        <v/>
      </c>
      <c r="C3864">
        <f>Sources!D3864</f>
        <v/>
      </c>
      <c r="D3864">
        <f>Sources!E3864</f>
        <v/>
      </c>
      <c r="E3864">
        <f>Sources!F3864</f>
        <v/>
      </c>
      <c r="F3864">
        <f>Sources!H3864</f>
        <v/>
      </c>
      <c r="G3864">
        <f>IF(ABS(F3864-ROUND(F3864,0))&lt;0.001,1,0)</f>
        <v/>
      </c>
      <c r="H3864">
        <f>IF(G3864=1,F3864,CEILING(F3864,1))</f>
        <v/>
      </c>
      <c r="I3864">
        <f>IF(G3864=1,0,(H3864-F3864)*E3864)</f>
        <v/>
      </c>
      <c r="J3864">
        <f>E3864*F3864</f>
        <v/>
      </c>
    </row>
    <row r="3865">
      <c r="A3865">
        <f>Sources!A3865</f>
        <v/>
      </c>
      <c r="B3865">
        <f>Sources!B3865</f>
        <v/>
      </c>
      <c r="C3865">
        <f>Sources!D3865</f>
        <v/>
      </c>
      <c r="D3865">
        <f>Sources!E3865</f>
        <v/>
      </c>
      <c r="E3865">
        <f>Sources!F3865</f>
        <v/>
      </c>
      <c r="F3865">
        <f>Sources!H3865</f>
        <v/>
      </c>
      <c r="G3865">
        <f>IF(ABS(F3865-ROUND(F3865,0))&lt;0.001,1,0)</f>
        <v/>
      </c>
      <c r="H3865">
        <f>IF(G3865=1,F3865,CEILING(F3865,1))</f>
        <v/>
      </c>
      <c r="I3865">
        <f>IF(G3865=1,0,(H3865-F3865)*E3865)</f>
        <v/>
      </c>
      <c r="J3865">
        <f>E3865*F3865</f>
        <v/>
      </c>
    </row>
    <row r="3866">
      <c r="A3866">
        <f>Sources!A3866</f>
        <v/>
      </c>
      <c r="B3866">
        <f>Sources!B3866</f>
        <v/>
      </c>
      <c r="C3866">
        <f>Sources!D3866</f>
        <v/>
      </c>
      <c r="D3866">
        <f>Sources!E3866</f>
        <v/>
      </c>
      <c r="E3866">
        <f>Sources!F3866</f>
        <v/>
      </c>
      <c r="F3866">
        <f>Sources!H3866</f>
        <v/>
      </c>
      <c r="G3866">
        <f>IF(ABS(F3866-ROUND(F3866,0))&lt;0.001,1,0)</f>
        <v/>
      </c>
      <c r="H3866">
        <f>IF(G3866=1,F3866,CEILING(F3866,1))</f>
        <v/>
      </c>
      <c r="I3866">
        <f>IF(G3866=1,0,(H3866-F3866)*E3866)</f>
        <v/>
      </c>
      <c r="J3866">
        <f>E3866*F3866</f>
        <v/>
      </c>
    </row>
    <row r="3867">
      <c r="A3867">
        <f>Sources!A3867</f>
        <v/>
      </c>
      <c r="B3867">
        <f>Sources!B3867</f>
        <v/>
      </c>
      <c r="C3867">
        <f>Sources!D3867</f>
        <v/>
      </c>
      <c r="D3867">
        <f>Sources!E3867</f>
        <v/>
      </c>
      <c r="E3867">
        <f>Sources!F3867</f>
        <v/>
      </c>
      <c r="F3867">
        <f>Sources!H3867</f>
        <v/>
      </c>
      <c r="G3867">
        <f>IF(ABS(F3867-ROUND(F3867,0))&lt;0.001,1,0)</f>
        <v/>
      </c>
      <c r="H3867">
        <f>IF(G3867=1,F3867,CEILING(F3867,1))</f>
        <v/>
      </c>
      <c r="I3867">
        <f>IF(G3867=1,0,(H3867-F3867)*E3867)</f>
        <v/>
      </c>
      <c r="J3867">
        <f>E3867*F3867</f>
        <v/>
      </c>
    </row>
    <row r="3868">
      <c r="A3868">
        <f>Sources!A3868</f>
        <v/>
      </c>
      <c r="B3868">
        <f>Sources!B3868</f>
        <v/>
      </c>
      <c r="C3868">
        <f>Sources!D3868</f>
        <v/>
      </c>
      <c r="D3868">
        <f>Sources!E3868</f>
        <v/>
      </c>
      <c r="E3868">
        <f>Sources!F3868</f>
        <v/>
      </c>
      <c r="F3868">
        <f>Sources!H3868</f>
        <v/>
      </c>
      <c r="G3868">
        <f>IF(ABS(F3868-ROUND(F3868,0))&lt;0.001,1,0)</f>
        <v/>
      </c>
      <c r="H3868">
        <f>IF(G3868=1,F3868,CEILING(F3868,1))</f>
        <v/>
      </c>
      <c r="I3868">
        <f>IF(G3868=1,0,(H3868-F3868)*E3868)</f>
        <v/>
      </c>
      <c r="J3868">
        <f>E3868*F3868</f>
        <v/>
      </c>
    </row>
    <row r="3869">
      <c r="A3869">
        <f>Sources!A3869</f>
        <v/>
      </c>
      <c r="B3869">
        <f>Sources!B3869</f>
        <v/>
      </c>
      <c r="C3869">
        <f>Sources!D3869</f>
        <v/>
      </c>
      <c r="D3869">
        <f>Sources!E3869</f>
        <v/>
      </c>
      <c r="E3869">
        <f>Sources!F3869</f>
        <v/>
      </c>
      <c r="F3869">
        <f>Sources!H3869</f>
        <v/>
      </c>
      <c r="G3869">
        <f>IF(ABS(F3869-ROUND(F3869,0))&lt;0.001,1,0)</f>
        <v/>
      </c>
      <c r="H3869">
        <f>IF(G3869=1,F3869,CEILING(F3869,1))</f>
        <v/>
      </c>
      <c r="I3869">
        <f>IF(G3869=1,0,(H3869-F3869)*E3869)</f>
        <v/>
      </c>
      <c r="J3869">
        <f>E3869*F3869</f>
        <v/>
      </c>
    </row>
    <row r="3870">
      <c r="A3870">
        <f>Sources!A3870</f>
        <v/>
      </c>
      <c r="B3870">
        <f>Sources!B3870</f>
        <v/>
      </c>
      <c r="C3870">
        <f>Sources!D3870</f>
        <v/>
      </c>
      <c r="D3870">
        <f>Sources!E3870</f>
        <v/>
      </c>
      <c r="E3870">
        <f>Sources!F3870</f>
        <v/>
      </c>
      <c r="F3870">
        <f>Sources!H3870</f>
        <v/>
      </c>
      <c r="G3870">
        <f>IF(ABS(F3870-ROUND(F3870,0))&lt;0.001,1,0)</f>
        <v/>
      </c>
      <c r="H3870">
        <f>IF(G3870=1,F3870,CEILING(F3870,1))</f>
        <v/>
      </c>
      <c r="I3870">
        <f>IF(G3870=1,0,(H3870-F3870)*E3870)</f>
        <v/>
      </c>
      <c r="J3870">
        <f>E3870*F3870</f>
        <v/>
      </c>
    </row>
    <row r="3871">
      <c r="A3871">
        <f>Sources!A3871</f>
        <v/>
      </c>
      <c r="B3871">
        <f>Sources!B3871</f>
        <v/>
      </c>
      <c r="C3871">
        <f>Sources!D3871</f>
        <v/>
      </c>
      <c r="D3871">
        <f>Sources!E3871</f>
        <v/>
      </c>
      <c r="E3871">
        <f>Sources!F3871</f>
        <v/>
      </c>
      <c r="F3871">
        <f>Sources!H3871</f>
        <v/>
      </c>
      <c r="G3871">
        <f>IF(ABS(F3871-ROUND(F3871,0))&lt;0.001,1,0)</f>
        <v/>
      </c>
      <c r="H3871">
        <f>IF(G3871=1,F3871,CEILING(F3871,1))</f>
        <v/>
      </c>
      <c r="I3871">
        <f>IF(G3871=1,0,(H3871-F3871)*E3871)</f>
        <v/>
      </c>
      <c r="J3871">
        <f>E3871*F3871</f>
        <v/>
      </c>
    </row>
    <row r="3872">
      <c r="A3872">
        <f>Sources!A3872</f>
        <v/>
      </c>
      <c r="B3872">
        <f>Sources!B3872</f>
        <v/>
      </c>
      <c r="C3872">
        <f>Sources!D3872</f>
        <v/>
      </c>
      <c r="D3872">
        <f>Sources!E3872</f>
        <v/>
      </c>
      <c r="E3872">
        <f>Sources!F3872</f>
        <v/>
      </c>
      <c r="F3872">
        <f>Sources!H3872</f>
        <v/>
      </c>
      <c r="G3872">
        <f>IF(ABS(F3872-ROUND(F3872,0))&lt;0.001,1,0)</f>
        <v/>
      </c>
      <c r="H3872">
        <f>IF(G3872=1,F3872,CEILING(F3872,1))</f>
        <v/>
      </c>
      <c r="I3872">
        <f>IF(G3872=1,0,(H3872-F3872)*E3872)</f>
        <v/>
      </c>
      <c r="J3872">
        <f>E3872*F3872</f>
        <v/>
      </c>
    </row>
    <row r="3873">
      <c r="A3873">
        <f>Sources!A3873</f>
        <v/>
      </c>
      <c r="B3873">
        <f>Sources!B3873</f>
        <v/>
      </c>
      <c r="C3873">
        <f>Sources!D3873</f>
        <v/>
      </c>
      <c r="D3873">
        <f>Sources!E3873</f>
        <v/>
      </c>
      <c r="E3873">
        <f>Sources!F3873</f>
        <v/>
      </c>
      <c r="F3873">
        <f>Sources!H3873</f>
        <v/>
      </c>
      <c r="G3873">
        <f>IF(ABS(F3873-ROUND(F3873,0))&lt;0.001,1,0)</f>
        <v/>
      </c>
      <c r="H3873">
        <f>IF(G3873=1,F3873,CEILING(F3873,1))</f>
        <v/>
      </c>
      <c r="I3873">
        <f>IF(G3873=1,0,(H3873-F3873)*E3873)</f>
        <v/>
      </c>
      <c r="J3873">
        <f>E3873*F3873</f>
        <v/>
      </c>
    </row>
    <row r="3874">
      <c r="A3874">
        <f>Sources!A3874</f>
        <v/>
      </c>
      <c r="B3874">
        <f>Sources!B3874</f>
        <v/>
      </c>
      <c r="C3874">
        <f>Sources!D3874</f>
        <v/>
      </c>
      <c r="D3874">
        <f>Sources!E3874</f>
        <v/>
      </c>
      <c r="E3874">
        <f>Sources!F3874</f>
        <v/>
      </c>
      <c r="F3874">
        <f>Sources!H3874</f>
        <v/>
      </c>
      <c r="G3874">
        <f>IF(ABS(F3874-ROUND(F3874,0))&lt;0.001,1,0)</f>
        <v/>
      </c>
      <c r="H3874">
        <f>IF(G3874=1,F3874,CEILING(F3874,1))</f>
        <v/>
      </c>
      <c r="I3874">
        <f>IF(G3874=1,0,(H3874-F3874)*E3874)</f>
        <v/>
      </c>
      <c r="J3874">
        <f>E3874*F3874</f>
        <v/>
      </c>
    </row>
    <row r="3875">
      <c r="A3875">
        <f>Sources!A3875</f>
        <v/>
      </c>
      <c r="B3875">
        <f>Sources!B3875</f>
        <v/>
      </c>
      <c r="C3875">
        <f>Sources!D3875</f>
        <v/>
      </c>
      <c r="D3875">
        <f>Sources!E3875</f>
        <v/>
      </c>
      <c r="E3875">
        <f>Sources!F3875</f>
        <v/>
      </c>
      <c r="F3875">
        <f>Sources!H3875</f>
        <v/>
      </c>
      <c r="G3875">
        <f>IF(ABS(F3875-ROUND(F3875,0))&lt;0.001,1,0)</f>
        <v/>
      </c>
      <c r="H3875">
        <f>IF(G3875=1,F3875,CEILING(F3875,1))</f>
        <v/>
      </c>
      <c r="I3875">
        <f>IF(G3875=1,0,(H3875-F3875)*E3875)</f>
        <v/>
      </c>
      <c r="J3875">
        <f>E3875*F3875</f>
        <v/>
      </c>
    </row>
    <row r="3876">
      <c r="A3876">
        <f>Sources!A3876</f>
        <v/>
      </c>
      <c r="B3876">
        <f>Sources!B3876</f>
        <v/>
      </c>
      <c r="C3876">
        <f>Sources!D3876</f>
        <v/>
      </c>
      <c r="D3876">
        <f>Sources!E3876</f>
        <v/>
      </c>
      <c r="E3876">
        <f>Sources!F3876</f>
        <v/>
      </c>
      <c r="F3876">
        <f>Sources!H3876</f>
        <v/>
      </c>
      <c r="G3876">
        <f>IF(ABS(F3876-ROUND(F3876,0))&lt;0.001,1,0)</f>
        <v/>
      </c>
      <c r="H3876">
        <f>IF(G3876=1,F3876,CEILING(F3876,1))</f>
        <v/>
      </c>
      <c r="I3876">
        <f>IF(G3876=1,0,(H3876-F3876)*E3876)</f>
        <v/>
      </c>
      <c r="J3876">
        <f>E3876*F3876</f>
        <v/>
      </c>
    </row>
    <row r="3877">
      <c r="A3877">
        <f>Sources!A3877</f>
        <v/>
      </c>
      <c r="B3877">
        <f>Sources!B3877</f>
        <v/>
      </c>
      <c r="C3877">
        <f>Sources!D3877</f>
        <v/>
      </c>
      <c r="D3877">
        <f>Sources!E3877</f>
        <v/>
      </c>
      <c r="E3877">
        <f>Sources!F3877</f>
        <v/>
      </c>
      <c r="F3877">
        <f>Sources!H3877</f>
        <v/>
      </c>
      <c r="G3877">
        <f>IF(ABS(F3877-ROUND(F3877,0))&lt;0.001,1,0)</f>
        <v/>
      </c>
      <c r="H3877">
        <f>IF(G3877=1,F3877,CEILING(F3877,1))</f>
        <v/>
      </c>
      <c r="I3877">
        <f>IF(G3877=1,0,(H3877-F3877)*E3877)</f>
        <v/>
      </c>
      <c r="J3877">
        <f>E3877*F3877</f>
        <v/>
      </c>
    </row>
    <row r="3878">
      <c r="A3878">
        <f>Sources!A3878</f>
        <v/>
      </c>
      <c r="B3878">
        <f>Sources!B3878</f>
        <v/>
      </c>
      <c r="C3878">
        <f>Sources!D3878</f>
        <v/>
      </c>
      <c r="D3878">
        <f>Sources!E3878</f>
        <v/>
      </c>
      <c r="E3878">
        <f>Sources!F3878</f>
        <v/>
      </c>
      <c r="F3878">
        <f>Sources!H3878</f>
        <v/>
      </c>
      <c r="G3878">
        <f>IF(ABS(F3878-ROUND(F3878,0))&lt;0.001,1,0)</f>
        <v/>
      </c>
      <c r="H3878">
        <f>IF(G3878=1,F3878,CEILING(F3878,1))</f>
        <v/>
      </c>
      <c r="I3878">
        <f>IF(G3878=1,0,(H3878-F3878)*E3878)</f>
        <v/>
      </c>
      <c r="J3878">
        <f>E3878*F3878</f>
        <v/>
      </c>
    </row>
    <row r="3879">
      <c r="A3879">
        <f>Sources!A3879</f>
        <v/>
      </c>
      <c r="B3879">
        <f>Sources!B3879</f>
        <v/>
      </c>
      <c r="C3879">
        <f>Sources!D3879</f>
        <v/>
      </c>
      <c r="D3879">
        <f>Sources!E3879</f>
        <v/>
      </c>
      <c r="E3879">
        <f>Sources!F3879</f>
        <v/>
      </c>
      <c r="F3879">
        <f>Sources!H3879</f>
        <v/>
      </c>
      <c r="G3879">
        <f>IF(ABS(F3879-ROUND(F3879,0))&lt;0.001,1,0)</f>
        <v/>
      </c>
      <c r="H3879">
        <f>IF(G3879=1,F3879,CEILING(F3879,1))</f>
        <v/>
      </c>
      <c r="I3879">
        <f>IF(G3879=1,0,(H3879-F3879)*E3879)</f>
        <v/>
      </c>
      <c r="J3879">
        <f>E3879*F3879</f>
        <v/>
      </c>
    </row>
    <row r="3880">
      <c r="A3880">
        <f>Sources!A3880</f>
        <v/>
      </c>
      <c r="B3880">
        <f>Sources!B3880</f>
        <v/>
      </c>
      <c r="C3880">
        <f>Sources!D3880</f>
        <v/>
      </c>
      <c r="D3880">
        <f>Sources!E3880</f>
        <v/>
      </c>
      <c r="E3880">
        <f>Sources!F3880</f>
        <v/>
      </c>
      <c r="F3880">
        <f>Sources!H3880</f>
        <v/>
      </c>
      <c r="G3880">
        <f>IF(ABS(F3880-ROUND(F3880,0))&lt;0.001,1,0)</f>
        <v/>
      </c>
      <c r="H3880">
        <f>IF(G3880=1,F3880,CEILING(F3880,1))</f>
        <v/>
      </c>
      <c r="I3880">
        <f>IF(G3880=1,0,(H3880-F3880)*E3880)</f>
        <v/>
      </c>
      <c r="J3880">
        <f>E3880*F3880</f>
        <v/>
      </c>
    </row>
    <row r="3881">
      <c r="A3881">
        <f>Sources!A3881</f>
        <v/>
      </c>
      <c r="B3881">
        <f>Sources!B3881</f>
        <v/>
      </c>
      <c r="C3881">
        <f>Sources!D3881</f>
        <v/>
      </c>
      <c r="D3881">
        <f>Sources!E3881</f>
        <v/>
      </c>
      <c r="E3881">
        <f>Sources!F3881</f>
        <v/>
      </c>
      <c r="F3881">
        <f>Sources!H3881</f>
        <v/>
      </c>
      <c r="G3881">
        <f>IF(ABS(F3881-ROUND(F3881,0))&lt;0.001,1,0)</f>
        <v/>
      </c>
      <c r="H3881">
        <f>IF(G3881=1,F3881,CEILING(F3881,1))</f>
        <v/>
      </c>
      <c r="I3881">
        <f>IF(G3881=1,0,(H3881-F3881)*E3881)</f>
        <v/>
      </c>
      <c r="J3881">
        <f>E3881*F3881</f>
        <v/>
      </c>
    </row>
    <row r="3882">
      <c r="A3882">
        <f>Sources!A3882</f>
        <v/>
      </c>
      <c r="B3882">
        <f>Sources!B3882</f>
        <v/>
      </c>
      <c r="C3882">
        <f>Sources!D3882</f>
        <v/>
      </c>
      <c r="D3882">
        <f>Sources!E3882</f>
        <v/>
      </c>
      <c r="E3882">
        <f>Sources!F3882</f>
        <v/>
      </c>
      <c r="F3882">
        <f>Sources!H3882</f>
        <v/>
      </c>
      <c r="G3882">
        <f>IF(ABS(F3882-ROUND(F3882,0))&lt;0.001,1,0)</f>
        <v/>
      </c>
      <c r="H3882">
        <f>IF(G3882=1,F3882,CEILING(F3882,1))</f>
        <v/>
      </c>
      <c r="I3882">
        <f>IF(G3882=1,0,(H3882-F3882)*E3882)</f>
        <v/>
      </c>
      <c r="J3882">
        <f>E3882*F3882</f>
        <v/>
      </c>
    </row>
    <row r="3883">
      <c r="A3883">
        <f>Sources!A3883</f>
        <v/>
      </c>
      <c r="B3883">
        <f>Sources!B3883</f>
        <v/>
      </c>
      <c r="C3883">
        <f>Sources!D3883</f>
        <v/>
      </c>
      <c r="D3883">
        <f>Sources!E3883</f>
        <v/>
      </c>
      <c r="E3883">
        <f>Sources!F3883</f>
        <v/>
      </c>
      <c r="F3883">
        <f>Sources!H3883</f>
        <v/>
      </c>
      <c r="G3883">
        <f>IF(ABS(F3883-ROUND(F3883,0))&lt;0.001,1,0)</f>
        <v/>
      </c>
      <c r="H3883">
        <f>IF(G3883=1,F3883,CEILING(F3883,1))</f>
        <v/>
      </c>
      <c r="I3883">
        <f>IF(G3883=1,0,(H3883-F3883)*E3883)</f>
        <v/>
      </c>
      <c r="J3883">
        <f>E3883*F3883</f>
        <v/>
      </c>
    </row>
    <row r="3884">
      <c r="A3884">
        <f>Sources!A3884</f>
        <v/>
      </c>
      <c r="B3884">
        <f>Sources!B3884</f>
        <v/>
      </c>
      <c r="C3884">
        <f>Sources!D3884</f>
        <v/>
      </c>
      <c r="D3884">
        <f>Sources!E3884</f>
        <v/>
      </c>
      <c r="E3884">
        <f>Sources!F3884</f>
        <v/>
      </c>
      <c r="F3884">
        <f>Sources!H3884</f>
        <v/>
      </c>
      <c r="G3884">
        <f>IF(ABS(F3884-ROUND(F3884,0))&lt;0.001,1,0)</f>
        <v/>
      </c>
      <c r="H3884">
        <f>IF(G3884=1,F3884,CEILING(F3884,1))</f>
        <v/>
      </c>
      <c r="I3884">
        <f>IF(G3884=1,0,(H3884-F3884)*E3884)</f>
        <v/>
      </c>
      <c r="J3884">
        <f>E3884*F3884</f>
        <v/>
      </c>
    </row>
    <row r="3885">
      <c r="A3885">
        <f>Sources!A3885</f>
        <v/>
      </c>
      <c r="B3885">
        <f>Sources!B3885</f>
        <v/>
      </c>
      <c r="C3885">
        <f>Sources!D3885</f>
        <v/>
      </c>
      <c r="D3885">
        <f>Sources!E3885</f>
        <v/>
      </c>
      <c r="E3885">
        <f>Sources!F3885</f>
        <v/>
      </c>
      <c r="F3885">
        <f>Sources!H3885</f>
        <v/>
      </c>
      <c r="G3885">
        <f>IF(ABS(F3885-ROUND(F3885,0))&lt;0.001,1,0)</f>
        <v/>
      </c>
      <c r="H3885">
        <f>IF(G3885=1,F3885,CEILING(F3885,1))</f>
        <v/>
      </c>
      <c r="I3885">
        <f>IF(G3885=1,0,(H3885-F3885)*E3885)</f>
        <v/>
      </c>
      <c r="J3885">
        <f>E3885*F3885</f>
        <v/>
      </c>
    </row>
    <row r="3886">
      <c r="A3886">
        <f>Sources!A3886</f>
        <v/>
      </c>
      <c r="B3886">
        <f>Sources!B3886</f>
        <v/>
      </c>
      <c r="C3886">
        <f>Sources!D3886</f>
        <v/>
      </c>
      <c r="D3886">
        <f>Sources!E3886</f>
        <v/>
      </c>
      <c r="E3886">
        <f>Sources!F3886</f>
        <v/>
      </c>
      <c r="F3886">
        <f>Sources!H3886</f>
        <v/>
      </c>
      <c r="G3886">
        <f>IF(ABS(F3886-ROUND(F3886,0))&lt;0.001,1,0)</f>
        <v/>
      </c>
      <c r="H3886">
        <f>IF(G3886=1,F3886,CEILING(F3886,1))</f>
        <v/>
      </c>
      <c r="I3886">
        <f>IF(G3886=1,0,(H3886-F3886)*E3886)</f>
        <v/>
      </c>
      <c r="J3886">
        <f>E3886*F3886</f>
        <v/>
      </c>
    </row>
    <row r="3887">
      <c r="A3887">
        <f>Sources!A3887</f>
        <v/>
      </c>
      <c r="B3887">
        <f>Sources!B3887</f>
        <v/>
      </c>
      <c r="C3887">
        <f>Sources!D3887</f>
        <v/>
      </c>
      <c r="D3887">
        <f>Sources!E3887</f>
        <v/>
      </c>
      <c r="E3887">
        <f>Sources!F3887</f>
        <v/>
      </c>
      <c r="F3887">
        <f>Sources!H3887</f>
        <v/>
      </c>
      <c r="G3887">
        <f>IF(ABS(F3887-ROUND(F3887,0))&lt;0.001,1,0)</f>
        <v/>
      </c>
      <c r="H3887">
        <f>IF(G3887=1,F3887,CEILING(F3887,1))</f>
        <v/>
      </c>
      <c r="I3887">
        <f>IF(G3887=1,0,(H3887-F3887)*E3887)</f>
        <v/>
      </c>
      <c r="J3887">
        <f>E3887*F3887</f>
        <v/>
      </c>
    </row>
    <row r="3888">
      <c r="A3888">
        <f>Sources!A3888</f>
        <v/>
      </c>
      <c r="B3888">
        <f>Sources!B3888</f>
        <v/>
      </c>
      <c r="C3888">
        <f>Sources!D3888</f>
        <v/>
      </c>
      <c r="D3888">
        <f>Sources!E3888</f>
        <v/>
      </c>
      <c r="E3888">
        <f>Sources!F3888</f>
        <v/>
      </c>
      <c r="F3888">
        <f>Sources!H3888</f>
        <v/>
      </c>
      <c r="G3888">
        <f>IF(ABS(F3888-ROUND(F3888,0))&lt;0.001,1,0)</f>
        <v/>
      </c>
      <c r="H3888">
        <f>IF(G3888=1,F3888,CEILING(F3888,1))</f>
        <v/>
      </c>
      <c r="I3888">
        <f>IF(G3888=1,0,(H3888-F3888)*E3888)</f>
        <v/>
      </c>
      <c r="J3888">
        <f>E3888*F3888</f>
        <v/>
      </c>
    </row>
    <row r="3889">
      <c r="A3889">
        <f>Sources!A3889</f>
        <v/>
      </c>
      <c r="B3889">
        <f>Sources!B3889</f>
        <v/>
      </c>
      <c r="C3889">
        <f>Sources!D3889</f>
        <v/>
      </c>
      <c r="D3889">
        <f>Sources!E3889</f>
        <v/>
      </c>
      <c r="E3889">
        <f>Sources!F3889</f>
        <v/>
      </c>
      <c r="F3889">
        <f>Sources!H3889</f>
        <v/>
      </c>
      <c r="G3889">
        <f>IF(ABS(F3889-ROUND(F3889,0))&lt;0.001,1,0)</f>
        <v/>
      </c>
      <c r="H3889">
        <f>IF(G3889=1,F3889,CEILING(F3889,1))</f>
        <v/>
      </c>
      <c r="I3889">
        <f>IF(G3889=1,0,(H3889-F3889)*E3889)</f>
        <v/>
      </c>
      <c r="J3889">
        <f>E3889*F3889</f>
        <v/>
      </c>
    </row>
    <row r="3890">
      <c r="A3890">
        <f>Sources!A3890</f>
        <v/>
      </c>
      <c r="B3890">
        <f>Sources!B3890</f>
        <v/>
      </c>
      <c r="C3890">
        <f>Sources!D3890</f>
        <v/>
      </c>
      <c r="D3890">
        <f>Sources!E3890</f>
        <v/>
      </c>
      <c r="E3890">
        <f>Sources!F3890</f>
        <v/>
      </c>
      <c r="F3890">
        <f>Sources!H3890</f>
        <v/>
      </c>
      <c r="G3890">
        <f>IF(ABS(F3890-ROUND(F3890,0))&lt;0.001,1,0)</f>
        <v/>
      </c>
      <c r="H3890">
        <f>IF(G3890=1,F3890,CEILING(F3890,1))</f>
        <v/>
      </c>
      <c r="I3890">
        <f>IF(G3890=1,0,(H3890-F3890)*E3890)</f>
        <v/>
      </c>
      <c r="J3890">
        <f>E3890*F3890</f>
        <v/>
      </c>
    </row>
    <row r="3891">
      <c r="A3891">
        <f>Sources!A3891</f>
        <v/>
      </c>
      <c r="B3891">
        <f>Sources!B3891</f>
        <v/>
      </c>
      <c r="C3891">
        <f>Sources!D3891</f>
        <v/>
      </c>
      <c r="D3891">
        <f>Sources!E3891</f>
        <v/>
      </c>
      <c r="E3891">
        <f>Sources!F3891</f>
        <v/>
      </c>
      <c r="F3891">
        <f>Sources!H3891</f>
        <v/>
      </c>
      <c r="G3891">
        <f>IF(ABS(F3891-ROUND(F3891,0))&lt;0.001,1,0)</f>
        <v/>
      </c>
      <c r="H3891">
        <f>IF(G3891=1,F3891,CEILING(F3891,1))</f>
        <v/>
      </c>
      <c r="I3891">
        <f>IF(G3891=1,0,(H3891-F3891)*E3891)</f>
        <v/>
      </c>
      <c r="J3891">
        <f>E3891*F3891</f>
        <v/>
      </c>
    </row>
    <row r="3892">
      <c r="A3892">
        <f>Sources!A3892</f>
        <v/>
      </c>
      <c r="B3892">
        <f>Sources!B3892</f>
        <v/>
      </c>
      <c r="C3892">
        <f>Sources!D3892</f>
        <v/>
      </c>
      <c r="D3892">
        <f>Sources!E3892</f>
        <v/>
      </c>
      <c r="E3892">
        <f>Sources!F3892</f>
        <v/>
      </c>
      <c r="F3892">
        <f>Sources!H3892</f>
        <v/>
      </c>
      <c r="G3892">
        <f>IF(ABS(F3892-ROUND(F3892,0))&lt;0.001,1,0)</f>
        <v/>
      </c>
      <c r="H3892">
        <f>IF(G3892=1,F3892,CEILING(F3892,1))</f>
        <v/>
      </c>
      <c r="I3892">
        <f>IF(G3892=1,0,(H3892-F3892)*E3892)</f>
        <v/>
      </c>
      <c r="J3892">
        <f>E3892*F3892</f>
        <v/>
      </c>
    </row>
    <row r="3893">
      <c r="A3893">
        <f>Sources!A3893</f>
        <v/>
      </c>
      <c r="B3893">
        <f>Sources!B3893</f>
        <v/>
      </c>
      <c r="C3893">
        <f>Sources!D3893</f>
        <v/>
      </c>
      <c r="D3893">
        <f>Sources!E3893</f>
        <v/>
      </c>
      <c r="E3893">
        <f>Sources!F3893</f>
        <v/>
      </c>
      <c r="F3893">
        <f>Sources!H3893</f>
        <v/>
      </c>
      <c r="G3893">
        <f>IF(ABS(F3893-ROUND(F3893,0))&lt;0.001,1,0)</f>
        <v/>
      </c>
      <c r="H3893">
        <f>IF(G3893=1,F3893,CEILING(F3893,1))</f>
        <v/>
      </c>
      <c r="I3893">
        <f>IF(G3893=1,0,(H3893-F3893)*E3893)</f>
        <v/>
      </c>
      <c r="J3893">
        <f>E3893*F3893</f>
        <v/>
      </c>
    </row>
    <row r="3894">
      <c r="A3894">
        <f>Sources!A3894</f>
        <v/>
      </c>
      <c r="B3894">
        <f>Sources!B3894</f>
        <v/>
      </c>
      <c r="C3894">
        <f>Sources!D3894</f>
        <v/>
      </c>
      <c r="D3894">
        <f>Sources!E3894</f>
        <v/>
      </c>
      <c r="E3894">
        <f>Sources!F3894</f>
        <v/>
      </c>
      <c r="F3894">
        <f>Sources!H3894</f>
        <v/>
      </c>
      <c r="G3894">
        <f>IF(ABS(F3894-ROUND(F3894,0))&lt;0.001,1,0)</f>
        <v/>
      </c>
      <c r="H3894">
        <f>IF(G3894=1,F3894,CEILING(F3894,1))</f>
        <v/>
      </c>
      <c r="I3894">
        <f>IF(G3894=1,0,(H3894-F3894)*E3894)</f>
        <v/>
      </c>
      <c r="J3894">
        <f>E3894*F3894</f>
        <v/>
      </c>
    </row>
    <row r="3895">
      <c r="A3895">
        <f>Sources!A3895</f>
        <v/>
      </c>
      <c r="B3895">
        <f>Sources!B3895</f>
        <v/>
      </c>
      <c r="C3895">
        <f>Sources!D3895</f>
        <v/>
      </c>
      <c r="D3895">
        <f>Sources!E3895</f>
        <v/>
      </c>
      <c r="E3895">
        <f>Sources!F3895</f>
        <v/>
      </c>
      <c r="F3895">
        <f>Sources!H3895</f>
        <v/>
      </c>
      <c r="G3895">
        <f>IF(ABS(F3895-ROUND(F3895,0))&lt;0.001,1,0)</f>
        <v/>
      </c>
      <c r="H3895">
        <f>IF(G3895=1,F3895,CEILING(F3895,1))</f>
        <v/>
      </c>
      <c r="I3895">
        <f>IF(G3895=1,0,(H3895-F3895)*E3895)</f>
        <v/>
      </c>
      <c r="J3895">
        <f>E3895*F3895</f>
        <v/>
      </c>
    </row>
    <row r="3896">
      <c r="A3896">
        <f>Sources!A3896</f>
        <v/>
      </c>
      <c r="B3896">
        <f>Sources!B3896</f>
        <v/>
      </c>
      <c r="C3896">
        <f>Sources!D3896</f>
        <v/>
      </c>
      <c r="D3896">
        <f>Sources!E3896</f>
        <v/>
      </c>
      <c r="E3896">
        <f>Sources!F3896</f>
        <v/>
      </c>
      <c r="F3896">
        <f>Sources!H3896</f>
        <v/>
      </c>
      <c r="G3896">
        <f>IF(ABS(F3896-ROUND(F3896,0))&lt;0.001,1,0)</f>
        <v/>
      </c>
      <c r="H3896">
        <f>IF(G3896=1,F3896,CEILING(F3896,1))</f>
        <v/>
      </c>
      <c r="I3896">
        <f>IF(G3896=1,0,(H3896-F3896)*E3896)</f>
        <v/>
      </c>
      <c r="J3896">
        <f>E3896*F3896</f>
        <v/>
      </c>
    </row>
    <row r="3897">
      <c r="A3897">
        <f>Sources!A3897</f>
        <v/>
      </c>
      <c r="B3897">
        <f>Sources!B3897</f>
        <v/>
      </c>
      <c r="C3897">
        <f>Sources!D3897</f>
        <v/>
      </c>
      <c r="D3897">
        <f>Sources!E3897</f>
        <v/>
      </c>
      <c r="E3897">
        <f>Sources!F3897</f>
        <v/>
      </c>
      <c r="F3897">
        <f>Sources!H3897</f>
        <v/>
      </c>
      <c r="G3897">
        <f>IF(ABS(F3897-ROUND(F3897,0))&lt;0.001,1,0)</f>
        <v/>
      </c>
      <c r="H3897">
        <f>IF(G3897=1,F3897,CEILING(F3897,1))</f>
        <v/>
      </c>
      <c r="I3897">
        <f>IF(G3897=1,0,(H3897-F3897)*E3897)</f>
        <v/>
      </c>
      <c r="J3897">
        <f>E3897*F3897</f>
        <v/>
      </c>
    </row>
    <row r="3898">
      <c r="A3898">
        <f>Sources!A3898</f>
        <v/>
      </c>
      <c r="B3898">
        <f>Sources!B3898</f>
        <v/>
      </c>
      <c r="C3898">
        <f>Sources!D3898</f>
        <v/>
      </c>
      <c r="D3898">
        <f>Sources!E3898</f>
        <v/>
      </c>
      <c r="E3898">
        <f>Sources!F3898</f>
        <v/>
      </c>
      <c r="F3898">
        <f>Sources!H3898</f>
        <v/>
      </c>
      <c r="G3898">
        <f>IF(ABS(F3898-ROUND(F3898,0))&lt;0.001,1,0)</f>
        <v/>
      </c>
      <c r="H3898">
        <f>IF(G3898=1,F3898,CEILING(F3898,1))</f>
        <v/>
      </c>
      <c r="I3898">
        <f>IF(G3898=1,0,(H3898-F3898)*E3898)</f>
        <v/>
      </c>
      <c r="J3898">
        <f>E3898*F3898</f>
        <v/>
      </c>
    </row>
    <row r="3899">
      <c r="A3899">
        <f>Sources!A3899</f>
        <v/>
      </c>
      <c r="B3899">
        <f>Sources!B3899</f>
        <v/>
      </c>
      <c r="C3899">
        <f>Sources!D3899</f>
        <v/>
      </c>
      <c r="D3899">
        <f>Sources!E3899</f>
        <v/>
      </c>
      <c r="E3899">
        <f>Sources!F3899</f>
        <v/>
      </c>
      <c r="F3899">
        <f>Sources!H3899</f>
        <v/>
      </c>
      <c r="G3899">
        <f>IF(ABS(F3899-ROUND(F3899,0))&lt;0.001,1,0)</f>
        <v/>
      </c>
      <c r="H3899">
        <f>IF(G3899=1,F3899,CEILING(F3899,1))</f>
        <v/>
      </c>
      <c r="I3899">
        <f>IF(G3899=1,0,(H3899-F3899)*E3899)</f>
        <v/>
      </c>
      <c r="J3899">
        <f>E3899*F3899</f>
        <v/>
      </c>
    </row>
    <row r="3900">
      <c r="A3900">
        <f>Sources!A3900</f>
        <v/>
      </c>
      <c r="B3900">
        <f>Sources!B3900</f>
        <v/>
      </c>
      <c r="C3900">
        <f>Sources!D3900</f>
        <v/>
      </c>
      <c r="D3900">
        <f>Sources!E3900</f>
        <v/>
      </c>
      <c r="E3900">
        <f>Sources!F3900</f>
        <v/>
      </c>
      <c r="F3900">
        <f>Sources!H3900</f>
        <v/>
      </c>
      <c r="G3900">
        <f>IF(ABS(F3900-ROUND(F3900,0))&lt;0.001,1,0)</f>
        <v/>
      </c>
      <c r="H3900">
        <f>IF(G3900=1,F3900,CEILING(F3900,1))</f>
        <v/>
      </c>
      <c r="I3900">
        <f>IF(G3900=1,0,(H3900-F3900)*E3900)</f>
        <v/>
      </c>
      <c r="J3900">
        <f>E3900*F3900</f>
        <v/>
      </c>
    </row>
    <row r="3901">
      <c r="A3901">
        <f>Sources!A3901</f>
        <v/>
      </c>
      <c r="B3901">
        <f>Sources!B3901</f>
        <v/>
      </c>
      <c r="C3901">
        <f>Sources!D3901</f>
        <v/>
      </c>
      <c r="D3901">
        <f>Sources!E3901</f>
        <v/>
      </c>
      <c r="E3901">
        <f>Sources!F3901</f>
        <v/>
      </c>
      <c r="F3901">
        <f>Sources!H3901</f>
        <v/>
      </c>
      <c r="G3901">
        <f>IF(ABS(F3901-ROUND(F3901,0))&lt;0.001,1,0)</f>
        <v/>
      </c>
      <c r="H3901">
        <f>IF(G3901=1,F3901,CEILING(F3901,1))</f>
        <v/>
      </c>
      <c r="I3901">
        <f>IF(G3901=1,0,(H3901-F3901)*E3901)</f>
        <v/>
      </c>
      <c r="J3901">
        <f>E3901*F3901</f>
        <v/>
      </c>
    </row>
    <row r="3902">
      <c r="A3902">
        <f>Sources!A3902</f>
        <v/>
      </c>
      <c r="B3902">
        <f>Sources!B3902</f>
        <v/>
      </c>
      <c r="C3902">
        <f>Sources!D3902</f>
        <v/>
      </c>
      <c r="D3902">
        <f>Sources!E3902</f>
        <v/>
      </c>
      <c r="E3902">
        <f>Sources!F3902</f>
        <v/>
      </c>
      <c r="F3902">
        <f>Sources!H3902</f>
        <v/>
      </c>
      <c r="G3902">
        <f>IF(ABS(F3902-ROUND(F3902,0))&lt;0.001,1,0)</f>
        <v/>
      </c>
      <c r="H3902">
        <f>IF(G3902=1,F3902,CEILING(F3902,1))</f>
        <v/>
      </c>
      <c r="I3902">
        <f>IF(G3902=1,0,(H3902-F3902)*E3902)</f>
        <v/>
      </c>
      <c r="J3902">
        <f>E3902*F3902</f>
        <v/>
      </c>
    </row>
    <row r="3903">
      <c r="A3903">
        <f>Sources!A3903</f>
        <v/>
      </c>
      <c r="B3903">
        <f>Sources!B3903</f>
        <v/>
      </c>
      <c r="C3903">
        <f>Sources!D3903</f>
        <v/>
      </c>
      <c r="D3903">
        <f>Sources!E3903</f>
        <v/>
      </c>
      <c r="E3903">
        <f>Sources!F3903</f>
        <v/>
      </c>
      <c r="F3903">
        <f>Sources!H3903</f>
        <v/>
      </c>
      <c r="G3903">
        <f>IF(ABS(F3903-ROUND(F3903,0))&lt;0.001,1,0)</f>
        <v/>
      </c>
      <c r="H3903">
        <f>IF(G3903=1,F3903,CEILING(F3903,1))</f>
        <v/>
      </c>
      <c r="I3903">
        <f>IF(G3903=1,0,(H3903-F3903)*E3903)</f>
        <v/>
      </c>
      <c r="J3903">
        <f>E3903*F3903</f>
        <v/>
      </c>
    </row>
    <row r="3904">
      <c r="A3904">
        <f>Sources!A3904</f>
        <v/>
      </c>
      <c r="B3904">
        <f>Sources!B3904</f>
        <v/>
      </c>
      <c r="C3904">
        <f>Sources!D3904</f>
        <v/>
      </c>
      <c r="D3904">
        <f>Sources!E3904</f>
        <v/>
      </c>
      <c r="E3904">
        <f>Sources!F3904</f>
        <v/>
      </c>
      <c r="F3904">
        <f>Sources!H3904</f>
        <v/>
      </c>
      <c r="G3904">
        <f>IF(ABS(F3904-ROUND(F3904,0))&lt;0.001,1,0)</f>
        <v/>
      </c>
      <c r="H3904">
        <f>IF(G3904=1,F3904,CEILING(F3904,1))</f>
        <v/>
      </c>
      <c r="I3904">
        <f>IF(G3904=1,0,(H3904-F3904)*E3904)</f>
        <v/>
      </c>
      <c r="J3904">
        <f>E3904*F3904</f>
        <v/>
      </c>
    </row>
    <row r="3905">
      <c r="A3905">
        <f>Sources!A3905</f>
        <v/>
      </c>
      <c r="B3905">
        <f>Sources!B3905</f>
        <v/>
      </c>
      <c r="C3905">
        <f>Sources!D3905</f>
        <v/>
      </c>
      <c r="D3905">
        <f>Sources!E3905</f>
        <v/>
      </c>
      <c r="E3905">
        <f>Sources!F3905</f>
        <v/>
      </c>
      <c r="F3905">
        <f>Sources!H3905</f>
        <v/>
      </c>
      <c r="G3905">
        <f>IF(ABS(F3905-ROUND(F3905,0))&lt;0.001,1,0)</f>
        <v/>
      </c>
      <c r="H3905">
        <f>IF(G3905=1,F3905,CEILING(F3905,1))</f>
        <v/>
      </c>
      <c r="I3905">
        <f>IF(G3905=1,0,(H3905-F3905)*E3905)</f>
        <v/>
      </c>
      <c r="J3905">
        <f>E3905*F3905</f>
        <v/>
      </c>
    </row>
    <row r="3906">
      <c r="A3906">
        <f>Sources!A3906</f>
        <v/>
      </c>
      <c r="B3906">
        <f>Sources!B3906</f>
        <v/>
      </c>
      <c r="C3906">
        <f>Sources!D3906</f>
        <v/>
      </c>
      <c r="D3906">
        <f>Sources!E3906</f>
        <v/>
      </c>
      <c r="E3906">
        <f>Sources!F3906</f>
        <v/>
      </c>
      <c r="F3906">
        <f>Sources!H3906</f>
        <v/>
      </c>
      <c r="G3906">
        <f>IF(ABS(F3906-ROUND(F3906,0))&lt;0.001,1,0)</f>
        <v/>
      </c>
      <c r="H3906">
        <f>IF(G3906=1,F3906,CEILING(F3906,1))</f>
        <v/>
      </c>
      <c r="I3906">
        <f>IF(G3906=1,0,(H3906-F3906)*E3906)</f>
        <v/>
      </c>
      <c r="J3906">
        <f>E3906*F3906</f>
        <v/>
      </c>
    </row>
    <row r="3907">
      <c r="A3907">
        <f>Sources!A3907</f>
        <v/>
      </c>
      <c r="B3907">
        <f>Sources!B3907</f>
        <v/>
      </c>
      <c r="C3907">
        <f>Sources!D3907</f>
        <v/>
      </c>
      <c r="D3907">
        <f>Sources!E3907</f>
        <v/>
      </c>
      <c r="E3907">
        <f>Sources!F3907</f>
        <v/>
      </c>
      <c r="F3907">
        <f>Sources!H3907</f>
        <v/>
      </c>
      <c r="G3907">
        <f>IF(ABS(F3907-ROUND(F3907,0))&lt;0.001,1,0)</f>
        <v/>
      </c>
      <c r="H3907">
        <f>IF(G3907=1,F3907,CEILING(F3907,1))</f>
        <v/>
      </c>
      <c r="I3907">
        <f>IF(G3907=1,0,(H3907-F3907)*E3907)</f>
        <v/>
      </c>
      <c r="J3907">
        <f>E3907*F3907</f>
        <v/>
      </c>
    </row>
    <row r="3908">
      <c r="A3908">
        <f>Sources!A3908</f>
        <v/>
      </c>
      <c r="B3908">
        <f>Sources!B3908</f>
        <v/>
      </c>
      <c r="C3908">
        <f>Sources!D3908</f>
        <v/>
      </c>
      <c r="D3908">
        <f>Sources!E3908</f>
        <v/>
      </c>
      <c r="E3908">
        <f>Sources!F3908</f>
        <v/>
      </c>
      <c r="F3908">
        <f>Sources!H3908</f>
        <v/>
      </c>
      <c r="G3908">
        <f>IF(ABS(F3908-ROUND(F3908,0))&lt;0.001,1,0)</f>
        <v/>
      </c>
      <c r="H3908">
        <f>IF(G3908=1,F3908,CEILING(F3908,1))</f>
        <v/>
      </c>
      <c r="I3908">
        <f>IF(G3908=1,0,(H3908-F3908)*E3908)</f>
        <v/>
      </c>
      <c r="J3908">
        <f>E3908*F3908</f>
        <v/>
      </c>
    </row>
    <row r="3909">
      <c r="A3909">
        <f>Sources!A3909</f>
        <v/>
      </c>
      <c r="B3909">
        <f>Sources!B3909</f>
        <v/>
      </c>
      <c r="C3909">
        <f>Sources!D3909</f>
        <v/>
      </c>
      <c r="D3909">
        <f>Sources!E3909</f>
        <v/>
      </c>
      <c r="E3909">
        <f>Sources!F3909</f>
        <v/>
      </c>
      <c r="F3909">
        <f>Sources!H3909</f>
        <v/>
      </c>
      <c r="G3909">
        <f>IF(ABS(F3909-ROUND(F3909,0))&lt;0.001,1,0)</f>
        <v/>
      </c>
      <c r="H3909">
        <f>IF(G3909=1,F3909,CEILING(F3909,1))</f>
        <v/>
      </c>
      <c r="I3909">
        <f>IF(G3909=1,0,(H3909-F3909)*E3909)</f>
        <v/>
      </c>
      <c r="J3909">
        <f>E3909*F3909</f>
        <v/>
      </c>
    </row>
    <row r="3910">
      <c r="A3910">
        <f>Sources!A3910</f>
        <v/>
      </c>
      <c r="B3910">
        <f>Sources!B3910</f>
        <v/>
      </c>
      <c r="C3910">
        <f>Sources!D3910</f>
        <v/>
      </c>
      <c r="D3910">
        <f>Sources!E3910</f>
        <v/>
      </c>
      <c r="E3910">
        <f>Sources!F3910</f>
        <v/>
      </c>
      <c r="F3910">
        <f>Sources!H3910</f>
        <v/>
      </c>
      <c r="G3910">
        <f>IF(ABS(F3910-ROUND(F3910,0))&lt;0.001,1,0)</f>
        <v/>
      </c>
      <c r="H3910">
        <f>IF(G3910=1,F3910,CEILING(F3910,1))</f>
        <v/>
      </c>
      <c r="I3910">
        <f>IF(G3910=1,0,(H3910-F3910)*E3910)</f>
        <v/>
      </c>
      <c r="J3910">
        <f>E3910*F3910</f>
        <v/>
      </c>
    </row>
    <row r="3911">
      <c r="A3911">
        <f>Sources!A3911</f>
        <v/>
      </c>
      <c r="B3911">
        <f>Sources!B3911</f>
        <v/>
      </c>
      <c r="C3911">
        <f>Sources!D3911</f>
        <v/>
      </c>
      <c r="D3911">
        <f>Sources!E3911</f>
        <v/>
      </c>
      <c r="E3911">
        <f>Sources!F3911</f>
        <v/>
      </c>
      <c r="F3911">
        <f>Sources!H3911</f>
        <v/>
      </c>
      <c r="G3911">
        <f>IF(ABS(F3911-ROUND(F3911,0))&lt;0.001,1,0)</f>
        <v/>
      </c>
      <c r="H3911">
        <f>IF(G3911=1,F3911,CEILING(F3911,1))</f>
        <v/>
      </c>
      <c r="I3911">
        <f>IF(G3911=1,0,(H3911-F3911)*E3911)</f>
        <v/>
      </c>
      <c r="J3911">
        <f>E3911*F3911</f>
        <v/>
      </c>
    </row>
    <row r="3912">
      <c r="A3912">
        <f>Sources!A3912</f>
        <v/>
      </c>
      <c r="B3912">
        <f>Sources!B3912</f>
        <v/>
      </c>
      <c r="C3912">
        <f>Sources!D3912</f>
        <v/>
      </c>
      <c r="D3912">
        <f>Sources!E3912</f>
        <v/>
      </c>
      <c r="E3912">
        <f>Sources!F3912</f>
        <v/>
      </c>
      <c r="F3912">
        <f>Sources!H3912</f>
        <v/>
      </c>
      <c r="G3912">
        <f>IF(ABS(F3912-ROUND(F3912,0))&lt;0.001,1,0)</f>
        <v/>
      </c>
      <c r="H3912">
        <f>IF(G3912=1,F3912,CEILING(F3912,1))</f>
        <v/>
      </c>
      <c r="I3912">
        <f>IF(G3912=1,0,(H3912-F3912)*E3912)</f>
        <v/>
      </c>
      <c r="J3912">
        <f>E3912*F3912</f>
        <v/>
      </c>
    </row>
    <row r="3913">
      <c r="A3913">
        <f>Sources!A3913</f>
        <v/>
      </c>
      <c r="B3913">
        <f>Sources!B3913</f>
        <v/>
      </c>
      <c r="C3913">
        <f>Sources!D3913</f>
        <v/>
      </c>
      <c r="D3913">
        <f>Sources!E3913</f>
        <v/>
      </c>
      <c r="E3913">
        <f>Sources!F3913</f>
        <v/>
      </c>
      <c r="F3913">
        <f>Sources!H3913</f>
        <v/>
      </c>
      <c r="G3913">
        <f>IF(ABS(F3913-ROUND(F3913,0))&lt;0.001,1,0)</f>
        <v/>
      </c>
      <c r="H3913">
        <f>IF(G3913=1,F3913,CEILING(F3913,1))</f>
        <v/>
      </c>
      <c r="I3913">
        <f>IF(G3913=1,0,(H3913-F3913)*E3913)</f>
        <v/>
      </c>
      <c r="J3913">
        <f>E3913*F3913</f>
        <v/>
      </c>
    </row>
    <row r="3914">
      <c r="A3914">
        <f>Sources!A3914</f>
        <v/>
      </c>
      <c r="B3914">
        <f>Sources!B3914</f>
        <v/>
      </c>
      <c r="C3914">
        <f>Sources!D3914</f>
        <v/>
      </c>
      <c r="D3914">
        <f>Sources!E3914</f>
        <v/>
      </c>
      <c r="E3914">
        <f>Sources!F3914</f>
        <v/>
      </c>
      <c r="F3914">
        <f>Sources!H3914</f>
        <v/>
      </c>
      <c r="G3914">
        <f>IF(ABS(F3914-ROUND(F3914,0))&lt;0.001,1,0)</f>
        <v/>
      </c>
      <c r="H3914">
        <f>IF(G3914=1,F3914,CEILING(F3914,1))</f>
        <v/>
      </c>
      <c r="I3914">
        <f>IF(G3914=1,0,(H3914-F3914)*E3914)</f>
        <v/>
      </c>
      <c r="J3914">
        <f>E3914*F3914</f>
        <v/>
      </c>
    </row>
    <row r="3915">
      <c r="A3915">
        <f>Sources!A3915</f>
        <v/>
      </c>
      <c r="B3915">
        <f>Sources!B3915</f>
        <v/>
      </c>
      <c r="C3915">
        <f>Sources!D3915</f>
        <v/>
      </c>
      <c r="D3915">
        <f>Sources!E3915</f>
        <v/>
      </c>
      <c r="E3915">
        <f>Sources!F3915</f>
        <v/>
      </c>
      <c r="F3915">
        <f>Sources!H3915</f>
        <v/>
      </c>
      <c r="G3915">
        <f>IF(ABS(F3915-ROUND(F3915,0))&lt;0.001,1,0)</f>
        <v/>
      </c>
      <c r="H3915">
        <f>IF(G3915=1,F3915,CEILING(F3915,1))</f>
        <v/>
      </c>
      <c r="I3915">
        <f>IF(G3915=1,0,(H3915-F3915)*E3915)</f>
        <v/>
      </c>
      <c r="J3915">
        <f>E3915*F3915</f>
        <v/>
      </c>
    </row>
    <row r="3916">
      <c r="A3916">
        <f>Sources!A3916</f>
        <v/>
      </c>
      <c r="B3916">
        <f>Sources!B3916</f>
        <v/>
      </c>
      <c r="C3916">
        <f>Sources!D3916</f>
        <v/>
      </c>
      <c r="D3916">
        <f>Sources!E3916</f>
        <v/>
      </c>
      <c r="E3916">
        <f>Sources!F3916</f>
        <v/>
      </c>
      <c r="F3916">
        <f>Sources!H3916</f>
        <v/>
      </c>
      <c r="G3916">
        <f>IF(ABS(F3916-ROUND(F3916,0))&lt;0.001,1,0)</f>
        <v/>
      </c>
      <c r="H3916">
        <f>IF(G3916=1,F3916,CEILING(F3916,1))</f>
        <v/>
      </c>
      <c r="I3916">
        <f>IF(G3916=1,0,(H3916-F3916)*E3916)</f>
        <v/>
      </c>
      <c r="J3916">
        <f>E3916*F3916</f>
        <v/>
      </c>
    </row>
    <row r="3917">
      <c r="A3917">
        <f>Sources!A3917</f>
        <v/>
      </c>
      <c r="B3917">
        <f>Sources!B3917</f>
        <v/>
      </c>
      <c r="C3917">
        <f>Sources!D3917</f>
        <v/>
      </c>
      <c r="D3917">
        <f>Sources!E3917</f>
        <v/>
      </c>
      <c r="E3917">
        <f>Sources!F3917</f>
        <v/>
      </c>
      <c r="F3917">
        <f>Sources!H3917</f>
        <v/>
      </c>
      <c r="G3917">
        <f>IF(ABS(F3917-ROUND(F3917,0))&lt;0.001,1,0)</f>
        <v/>
      </c>
      <c r="H3917">
        <f>IF(G3917=1,F3917,CEILING(F3917,1))</f>
        <v/>
      </c>
      <c r="I3917">
        <f>IF(G3917=1,0,(H3917-F3917)*E3917)</f>
        <v/>
      </c>
      <c r="J3917">
        <f>E3917*F3917</f>
        <v/>
      </c>
    </row>
    <row r="3918">
      <c r="A3918">
        <f>Sources!A3918</f>
        <v/>
      </c>
      <c r="B3918">
        <f>Sources!B3918</f>
        <v/>
      </c>
      <c r="C3918">
        <f>Sources!D3918</f>
        <v/>
      </c>
      <c r="D3918">
        <f>Sources!E3918</f>
        <v/>
      </c>
      <c r="E3918">
        <f>Sources!F3918</f>
        <v/>
      </c>
      <c r="F3918">
        <f>Sources!H3918</f>
        <v/>
      </c>
      <c r="G3918">
        <f>IF(ABS(F3918-ROUND(F3918,0))&lt;0.001,1,0)</f>
        <v/>
      </c>
      <c r="H3918">
        <f>IF(G3918=1,F3918,CEILING(F3918,1))</f>
        <v/>
      </c>
      <c r="I3918">
        <f>IF(G3918=1,0,(H3918-F3918)*E3918)</f>
        <v/>
      </c>
      <c r="J3918">
        <f>E3918*F3918</f>
        <v/>
      </c>
    </row>
    <row r="3919">
      <c r="A3919">
        <f>Sources!A3919</f>
        <v/>
      </c>
      <c r="B3919">
        <f>Sources!B3919</f>
        <v/>
      </c>
      <c r="C3919">
        <f>Sources!D3919</f>
        <v/>
      </c>
      <c r="D3919">
        <f>Sources!E3919</f>
        <v/>
      </c>
      <c r="E3919">
        <f>Sources!F3919</f>
        <v/>
      </c>
      <c r="F3919">
        <f>Sources!H3919</f>
        <v/>
      </c>
      <c r="G3919">
        <f>IF(ABS(F3919-ROUND(F3919,0))&lt;0.001,1,0)</f>
        <v/>
      </c>
      <c r="H3919">
        <f>IF(G3919=1,F3919,CEILING(F3919,1))</f>
        <v/>
      </c>
      <c r="I3919">
        <f>IF(G3919=1,0,(H3919-F3919)*E3919)</f>
        <v/>
      </c>
      <c r="J3919">
        <f>E3919*F3919</f>
        <v/>
      </c>
    </row>
    <row r="3920">
      <c r="A3920">
        <f>Sources!A3920</f>
        <v/>
      </c>
      <c r="B3920">
        <f>Sources!B3920</f>
        <v/>
      </c>
      <c r="C3920">
        <f>Sources!D3920</f>
        <v/>
      </c>
      <c r="D3920">
        <f>Sources!E3920</f>
        <v/>
      </c>
      <c r="E3920">
        <f>Sources!F3920</f>
        <v/>
      </c>
      <c r="F3920">
        <f>Sources!H3920</f>
        <v/>
      </c>
      <c r="G3920">
        <f>IF(ABS(F3920-ROUND(F3920,0))&lt;0.001,1,0)</f>
        <v/>
      </c>
      <c r="H3920">
        <f>IF(G3920=1,F3920,CEILING(F3920,1))</f>
        <v/>
      </c>
      <c r="I3920">
        <f>IF(G3920=1,0,(H3920-F3920)*E3920)</f>
        <v/>
      </c>
      <c r="J3920">
        <f>E3920*F3920</f>
        <v/>
      </c>
    </row>
    <row r="3921">
      <c r="A3921">
        <f>Sources!A3921</f>
        <v/>
      </c>
      <c r="B3921">
        <f>Sources!B3921</f>
        <v/>
      </c>
      <c r="C3921">
        <f>Sources!D3921</f>
        <v/>
      </c>
      <c r="D3921">
        <f>Sources!E3921</f>
        <v/>
      </c>
      <c r="E3921">
        <f>Sources!F3921</f>
        <v/>
      </c>
      <c r="F3921">
        <f>Sources!H3921</f>
        <v/>
      </c>
      <c r="G3921">
        <f>IF(ABS(F3921-ROUND(F3921,0))&lt;0.001,1,0)</f>
        <v/>
      </c>
      <c r="H3921">
        <f>IF(G3921=1,F3921,CEILING(F3921,1))</f>
        <v/>
      </c>
      <c r="I3921">
        <f>IF(G3921=1,0,(H3921-F3921)*E3921)</f>
        <v/>
      </c>
      <c r="J3921">
        <f>E3921*F3921</f>
        <v/>
      </c>
    </row>
    <row r="3922">
      <c r="A3922">
        <f>Sources!A3922</f>
        <v/>
      </c>
      <c r="B3922">
        <f>Sources!B3922</f>
        <v/>
      </c>
      <c r="C3922">
        <f>Sources!D3922</f>
        <v/>
      </c>
      <c r="D3922">
        <f>Sources!E3922</f>
        <v/>
      </c>
      <c r="E3922">
        <f>Sources!F3922</f>
        <v/>
      </c>
      <c r="F3922">
        <f>Sources!H3922</f>
        <v/>
      </c>
      <c r="G3922">
        <f>IF(ABS(F3922-ROUND(F3922,0))&lt;0.001,1,0)</f>
        <v/>
      </c>
      <c r="H3922">
        <f>IF(G3922=1,F3922,CEILING(F3922,1))</f>
        <v/>
      </c>
      <c r="I3922">
        <f>IF(G3922=1,0,(H3922-F3922)*E3922)</f>
        <v/>
      </c>
      <c r="J3922">
        <f>E3922*F3922</f>
        <v/>
      </c>
    </row>
    <row r="3923">
      <c r="A3923">
        <f>Sources!A3923</f>
        <v/>
      </c>
      <c r="B3923">
        <f>Sources!B3923</f>
        <v/>
      </c>
      <c r="C3923">
        <f>Sources!D3923</f>
        <v/>
      </c>
      <c r="D3923">
        <f>Sources!E3923</f>
        <v/>
      </c>
      <c r="E3923">
        <f>Sources!F3923</f>
        <v/>
      </c>
      <c r="F3923">
        <f>Sources!H3923</f>
        <v/>
      </c>
      <c r="G3923">
        <f>IF(ABS(F3923-ROUND(F3923,0))&lt;0.001,1,0)</f>
        <v/>
      </c>
      <c r="H3923">
        <f>IF(G3923=1,F3923,CEILING(F3923,1))</f>
        <v/>
      </c>
      <c r="I3923">
        <f>IF(G3923=1,0,(H3923-F3923)*E3923)</f>
        <v/>
      </c>
      <c r="J3923">
        <f>E3923*F3923</f>
        <v/>
      </c>
    </row>
    <row r="3924">
      <c r="A3924">
        <f>Sources!A3924</f>
        <v/>
      </c>
      <c r="B3924">
        <f>Sources!B3924</f>
        <v/>
      </c>
      <c r="C3924">
        <f>Sources!D3924</f>
        <v/>
      </c>
      <c r="D3924">
        <f>Sources!E3924</f>
        <v/>
      </c>
      <c r="E3924">
        <f>Sources!F3924</f>
        <v/>
      </c>
      <c r="F3924">
        <f>Sources!H3924</f>
        <v/>
      </c>
      <c r="G3924">
        <f>IF(ABS(F3924-ROUND(F3924,0))&lt;0.001,1,0)</f>
        <v/>
      </c>
      <c r="H3924">
        <f>IF(G3924=1,F3924,CEILING(F3924,1))</f>
        <v/>
      </c>
      <c r="I3924">
        <f>IF(G3924=1,0,(H3924-F3924)*E3924)</f>
        <v/>
      </c>
      <c r="J3924">
        <f>E3924*F3924</f>
        <v/>
      </c>
    </row>
    <row r="3925">
      <c r="A3925">
        <f>Sources!A3925</f>
        <v/>
      </c>
      <c r="B3925">
        <f>Sources!B3925</f>
        <v/>
      </c>
      <c r="C3925">
        <f>Sources!D3925</f>
        <v/>
      </c>
      <c r="D3925">
        <f>Sources!E3925</f>
        <v/>
      </c>
      <c r="E3925">
        <f>Sources!F3925</f>
        <v/>
      </c>
      <c r="F3925">
        <f>Sources!H3925</f>
        <v/>
      </c>
      <c r="G3925">
        <f>IF(ABS(F3925-ROUND(F3925,0))&lt;0.001,1,0)</f>
        <v/>
      </c>
      <c r="H3925">
        <f>IF(G3925=1,F3925,CEILING(F3925,1))</f>
        <v/>
      </c>
      <c r="I3925">
        <f>IF(G3925=1,0,(H3925-F3925)*E3925)</f>
        <v/>
      </c>
      <c r="J3925">
        <f>E3925*F3925</f>
        <v/>
      </c>
    </row>
    <row r="3926">
      <c r="A3926">
        <f>Sources!A3926</f>
        <v/>
      </c>
      <c r="B3926">
        <f>Sources!B3926</f>
        <v/>
      </c>
      <c r="C3926">
        <f>Sources!D3926</f>
        <v/>
      </c>
      <c r="D3926">
        <f>Sources!E3926</f>
        <v/>
      </c>
      <c r="E3926">
        <f>Sources!F3926</f>
        <v/>
      </c>
      <c r="F3926">
        <f>Sources!H3926</f>
        <v/>
      </c>
      <c r="G3926">
        <f>IF(ABS(F3926-ROUND(F3926,0))&lt;0.001,1,0)</f>
        <v/>
      </c>
      <c r="H3926">
        <f>IF(G3926=1,F3926,CEILING(F3926,1))</f>
        <v/>
      </c>
      <c r="I3926">
        <f>IF(G3926=1,0,(H3926-F3926)*E3926)</f>
        <v/>
      </c>
      <c r="J3926">
        <f>E3926*F3926</f>
        <v/>
      </c>
    </row>
    <row r="3927">
      <c r="A3927">
        <f>Sources!A3927</f>
        <v/>
      </c>
      <c r="B3927">
        <f>Sources!B3927</f>
        <v/>
      </c>
      <c r="C3927">
        <f>Sources!D3927</f>
        <v/>
      </c>
      <c r="D3927">
        <f>Sources!E3927</f>
        <v/>
      </c>
      <c r="E3927">
        <f>Sources!F3927</f>
        <v/>
      </c>
      <c r="F3927">
        <f>Sources!H3927</f>
        <v/>
      </c>
      <c r="G3927">
        <f>IF(ABS(F3927-ROUND(F3927,0))&lt;0.001,1,0)</f>
        <v/>
      </c>
      <c r="H3927">
        <f>IF(G3927=1,F3927,CEILING(F3927,1))</f>
        <v/>
      </c>
      <c r="I3927">
        <f>IF(G3927=1,0,(H3927-F3927)*E3927)</f>
        <v/>
      </c>
      <c r="J3927">
        <f>E3927*F3927</f>
        <v/>
      </c>
    </row>
    <row r="3928">
      <c r="A3928">
        <f>Sources!A3928</f>
        <v/>
      </c>
      <c r="B3928">
        <f>Sources!B3928</f>
        <v/>
      </c>
      <c r="C3928">
        <f>Sources!D3928</f>
        <v/>
      </c>
      <c r="D3928">
        <f>Sources!E3928</f>
        <v/>
      </c>
      <c r="E3928">
        <f>Sources!F3928</f>
        <v/>
      </c>
      <c r="F3928">
        <f>Sources!H3928</f>
        <v/>
      </c>
      <c r="G3928">
        <f>IF(ABS(F3928-ROUND(F3928,0))&lt;0.001,1,0)</f>
        <v/>
      </c>
      <c r="H3928">
        <f>IF(G3928=1,F3928,CEILING(F3928,1))</f>
        <v/>
      </c>
      <c r="I3928">
        <f>IF(G3928=1,0,(H3928-F3928)*E3928)</f>
        <v/>
      </c>
      <c r="J3928">
        <f>E3928*F3928</f>
        <v/>
      </c>
    </row>
    <row r="3929">
      <c r="A3929">
        <f>Sources!A3929</f>
        <v/>
      </c>
      <c r="B3929">
        <f>Sources!B3929</f>
        <v/>
      </c>
      <c r="C3929">
        <f>Sources!D3929</f>
        <v/>
      </c>
      <c r="D3929">
        <f>Sources!E3929</f>
        <v/>
      </c>
      <c r="E3929">
        <f>Sources!F3929</f>
        <v/>
      </c>
      <c r="F3929">
        <f>Sources!H3929</f>
        <v/>
      </c>
      <c r="G3929">
        <f>IF(ABS(F3929-ROUND(F3929,0))&lt;0.001,1,0)</f>
        <v/>
      </c>
      <c r="H3929">
        <f>IF(G3929=1,F3929,CEILING(F3929,1))</f>
        <v/>
      </c>
      <c r="I3929">
        <f>IF(G3929=1,0,(H3929-F3929)*E3929)</f>
        <v/>
      </c>
      <c r="J3929">
        <f>E3929*F3929</f>
        <v/>
      </c>
    </row>
    <row r="3930">
      <c r="A3930">
        <f>Sources!A3930</f>
        <v/>
      </c>
      <c r="B3930">
        <f>Sources!B3930</f>
        <v/>
      </c>
      <c r="C3930">
        <f>Sources!D3930</f>
        <v/>
      </c>
      <c r="D3930">
        <f>Sources!E3930</f>
        <v/>
      </c>
      <c r="E3930">
        <f>Sources!F3930</f>
        <v/>
      </c>
      <c r="F3930">
        <f>Sources!H3930</f>
        <v/>
      </c>
      <c r="G3930">
        <f>IF(ABS(F3930-ROUND(F3930,0))&lt;0.001,1,0)</f>
        <v/>
      </c>
      <c r="H3930">
        <f>IF(G3930=1,F3930,CEILING(F3930,1))</f>
        <v/>
      </c>
      <c r="I3930">
        <f>IF(G3930=1,0,(H3930-F3930)*E3930)</f>
        <v/>
      </c>
      <c r="J3930">
        <f>E3930*F3930</f>
        <v/>
      </c>
    </row>
    <row r="3931">
      <c r="A3931">
        <f>Sources!A3931</f>
        <v/>
      </c>
      <c r="B3931">
        <f>Sources!B3931</f>
        <v/>
      </c>
      <c r="C3931">
        <f>Sources!D3931</f>
        <v/>
      </c>
      <c r="D3931">
        <f>Sources!E3931</f>
        <v/>
      </c>
      <c r="E3931">
        <f>Sources!F3931</f>
        <v/>
      </c>
      <c r="F3931">
        <f>Sources!H3931</f>
        <v/>
      </c>
      <c r="G3931">
        <f>IF(ABS(F3931-ROUND(F3931,0))&lt;0.001,1,0)</f>
        <v/>
      </c>
      <c r="H3931">
        <f>IF(G3931=1,F3931,CEILING(F3931,1))</f>
        <v/>
      </c>
      <c r="I3931">
        <f>IF(G3931=1,0,(H3931-F3931)*E3931)</f>
        <v/>
      </c>
      <c r="J3931">
        <f>E3931*F3931</f>
        <v/>
      </c>
    </row>
    <row r="3932">
      <c r="A3932">
        <f>Sources!A3932</f>
        <v/>
      </c>
      <c r="B3932">
        <f>Sources!B3932</f>
        <v/>
      </c>
      <c r="C3932">
        <f>Sources!D3932</f>
        <v/>
      </c>
      <c r="D3932">
        <f>Sources!E3932</f>
        <v/>
      </c>
      <c r="E3932">
        <f>Sources!F3932</f>
        <v/>
      </c>
      <c r="F3932">
        <f>Sources!H3932</f>
        <v/>
      </c>
      <c r="G3932">
        <f>IF(ABS(F3932-ROUND(F3932,0))&lt;0.001,1,0)</f>
        <v/>
      </c>
      <c r="H3932">
        <f>IF(G3932=1,F3932,CEILING(F3932,1))</f>
        <v/>
      </c>
      <c r="I3932">
        <f>IF(G3932=1,0,(H3932-F3932)*E3932)</f>
        <v/>
      </c>
      <c r="J3932">
        <f>E3932*F3932</f>
        <v/>
      </c>
    </row>
    <row r="3933">
      <c r="A3933">
        <f>Sources!A3933</f>
        <v/>
      </c>
      <c r="B3933">
        <f>Sources!B3933</f>
        <v/>
      </c>
      <c r="C3933">
        <f>Sources!D3933</f>
        <v/>
      </c>
      <c r="D3933">
        <f>Sources!E3933</f>
        <v/>
      </c>
      <c r="E3933">
        <f>Sources!F3933</f>
        <v/>
      </c>
      <c r="F3933">
        <f>Sources!H3933</f>
        <v/>
      </c>
      <c r="G3933">
        <f>IF(ABS(F3933-ROUND(F3933,0))&lt;0.001,1,0)</f>
        <v/>
      </c>
      <c r="H3933">
        <f>IF(G3933=1,F3933,CEILING(F3933,1))</f>
        <v/>
      </c>
      <c r="I3933">
        <f>IF(G3933=1,0,(H3933-F3933)*E3933)</f>
        <v/>
      </c>
      <c r="J3933">
        <f>E3933*F3933</f>
        <v/>
      </c>
    </row>
    <row r="3934">
      <c r="A3934">
        <f>Sources!A3934</f>
        <v/>
      </c>
      <c r="B3934">
        <f>Sources!B3934</f>
        <v/>
      </c>
      <c r="C3934">
        <f>Sources!D3934</f>
        <v/>
      </c>
      <c r="D3934">
        <f>Sources!E3934</f>
        <v/>
      </c>
      <c r="E3934">
        <f>Sources!F3934</f>
        <v/>
      </c>
      <c r="F3934">
        <f>Sources!H3934</f>
        <v/>
      </c>
      <c r="G3934">
        <f>IF(ABS(F3934-ROUND(F3934,0))&lt;0.001,1,0)</f>
        <v/>
      </c>
      <c r="H3934">
        <f>IF(G3934=1,F3934,CEILING(F3934,1))</f>
        <v/>
      </c>
      <c r="I3934">
        <f>IF(G3934=1,0,(H3934-F3934)*E3934)</f>
        <v/>
      </c>
      <c r="J3934">
        <f>E3934*F3934</f>
        <v/>
      </c>
    </row>
    <row r="3935">
      <c r="A3935">
        <f>Sources!A3935</f>
        <v/>
      </c>
      <c r="B3935">
        <f>Sources!B3935</f>
        <v/>
      </c>
      <c r="C3935">
        <f>Sources!D3935</f>
        <v/>
      </c>
      <c r="D3935">
        <f>Sources!E3935</f>
        <v/>
      </c>
      <c r="E3935">
        <f>Sources!F3935</f>
        <v/>
      </c>
      <c r="F3935">
        <f>Sources!H3935</f>
        <v/>
      </c>
      <c r="G3935">
        <f>IF(ABS(F3935-ROUND(F3935,0))&lt;0.001,1,0)</f>
        <v/>
      </c>
      <c r="H3935">
        <f>IF(G3935=1,F3935,CEILING(F3935,1))</f>
        <v/>
      </c>
      <c r="I3935">
        <f>IF(G3935=1,0,(H3935-F3935)*E3935)</f>
        <v/>
      </c>
      <c r="J3935">
        <f>E3935*F3935</f>
        <v/>
      </c>
    </row>
    <row r="3936">
      <c r="A3936">
        <f>Sources!A3936</f>
        <v/>
      </c>
      <c r="B3936">
        <f>Sources!B3936</f>
        <v/>
      </c>
      <c r="C3936">
        <f>Sources!D3936</f>
        <v/>
      </c>
      <c r="D3936">
        <f>Sources!E3936</f>
        <v/>
      </c>
      <c r="E3936">
        <f>Sources!F3936</f>
        <v/>
      </c>
      <c r="F3936">
        <f>Sources!H3936</f>
        <v/>
      </c>
      <c r="G3936">
        <f>IF(ABS(F3936-ROUND(F3936,0))&lt;0.001,1,0)</f>
        <v/>
      </c>
      <c r="H3936">
        <f>IF(G3936=1,F3936,CEILING(F3936,1))</f>
        <v/>
      </c>
      <c r="I3936">
        <f>IF(G3936=1,0,(H3936-F3936)*E3936)</f>
        <v/>
      </c>
      <c r="J3936">
        <f>E3936*F3936</f>
        <v/>
      </c>
    </row>
    <row r="3937">
      <c r="A3937">
        <f>Sources!A3937</f>
        <v/>
      </c>
      <c r="B3937">
        <f>Sources!B3937</f>
        <v/>
      </c>
      <c r="C3937">
        <f>Sources!D3937</f>
        <v/>
      </c>
      <c r="D3937">
        <f>Sources!E3937</f>
        <v/>
      </c>
      <c r="E3937">
        <f>Sources!F3937</f>
        <v/>
      </c>
      <c r="F3937">
        <f>Sources!H3937</f>
        <v/>
      </c>
      <c r="G3937">
        <f>IF(ABS(F3937-ROUND(F3937,0))&lt;0.001,1,0)</f>
        <v/>
      </c>
      <c r="H3937">
        <f>IF(G3937=1,F3937,CEILING(F3937,1))</f>
        <v/>
      </c>
      <c r="I3937">
        <f>IF(G3937=1,0,(H3937-F3937)*E3937)</f>
        <v/>
      </c>
      <c r="J3937">
        <f>E3937*F3937</f>
        <v/>
      </c>
    </row>
    <row r="3938">
      <c r="A3938">
        <f>Sources!A3938</f>
        <v/>
      </c>
      <c r="B3938">
        <f>Sources!B3938</f>
        <v/>
      </c>
      <c r="C3938">
        <f>Sources!D3938</f>
        <v/>
      </c>
      <c r="D3938">
        <f>Sources!E3938</f>
        <v/>
      </c>
      <c r="E3938">
        <f>Sources!F3938</f>
        <v/>
      </c>
      <c r="F3938">
        <f>Sources!H3938</f>
        <v/>
      </c>
      <c r="G3938">
        <f>IF(ABS(F3938-ROUND(F3938,0))&lt;0.001,1,0)</f>
        <v/>
      </c>
      <c r="H3938">
        <f>IF(G3938=1,F3938,CEILING(F3938,1))</f>
        <v/>
      </c>
      <c r="I3938">
        <f>IF(G3938=1,0,(H3938-F3938)*E3938)</f>
        <v/>
      </c>
      <c r="J3938">
        <f>E3938*F3938</f>
        <v/>
      </c>
    </row>
    <row r="3939">
      <c r="A3939">
        <f>Sources!A3939</f>
        <v/>
      </c>
      <c r="B3939">
        <f>Sources!B3939</f>
        <v/>
      </c>
      <c r="C3939">
        <f>Sources!D3939</f>
        <v/>
      </c>
      <c r="D3939">
        <f>Sources!E3939</f>
        <v/>
      </c>
      <c r="E3939">
        <f>Sources!F3939</f>
        <v/>
      </c>
      <c r="F3939">
        <f>Sources!H3939</f>
        <v/>
      </c>
      <c r="G3939">
        <f>IF(ABS(F3939-ROUND(F3939,0))&lt;0.001,1,0)</f>
        <v/>
      </c>
      <c r="H3939">
        <f>IF(G3939=1,F3939,CEILING(F3939,1))</f>
        <v/>
      </c>
      <c r="I3939">
        <f>IF(G3939=1,0,(H3939-F3939)*E3939)</f>
        <v/>
      </c>
      <c r="J3939">
        <f>E3939*F3939</f>
        <v/>
      </c>
    </row>
    <row r="3940">
      <c r="A3940">
        <f>Sources!A3940</f>
        <v/>
      </c>
      <c r="B3940">
        <f>Sources!B3940</f>
        <v/>
      </c>
      <c r="C3940">
        <f>Sources!D3940</f>
        <v/>
      </c>
      <c r="D3940">
        <f>Sources!E3940</f>
        <v/>
      </c>
      <c r="E3940">
        <f>Sources!F3940</f>
        <v/>
      </c>
      <c r="F3940">
        <f>Sources!H3940</f>
        <v/>
      </c>
      <c r="G3940">
        <f>IF(ABS(F3940-ROUND(F3940,0))&lt;0.001,1,0)</f>
        <v/>
      </c>
      <c r="H3940">
        <f>IF(G3940=1,F3940,CEILING(F3940,1))</f>
        <v/>
      </c>
      <c r="I3940">
        <f>IF(G3940=1,0,(H3940-F3940)*E3940)</f>
        <v/>
      </c>
      <c r="J3940">
        <f>E3940*F3940</f>
        <v/>
      </c>
    </row>
    <row r="3941">
      <c r="A3941">
        <f>Sources!A3941</f>
        <v/>
      </c>
      <c r="B3941">
        <f>Sources!B3941</f>
        <v/>
      </c>
      <c r="C3941">
        <f>Sources!D3941</f>
        <v/>
      </c>
      <c r="D3941">
        <f>Sources!E3941</f>
        <v/>
      </c>
      <c r="E3941">
        <f>Sources!F3941</f>
        <v/>
      </c>
      <c r="F3941">
        <f>Sources!H3941</f>
        <v/>
      </c>
      <c r="G3941">
        <f>IF(ABS(F3941-ROUND(F3941,0))&lt;0.001,1,0)</f>
        <v/>
      </c>
      <c r="H3941">
        <f>IF(G3941=1,F3941,CEILING(F3941,1))</f>
        <v/>
      </c>
      <c r="I3941">
        <f>IF(G3941=1,0,(H3941-F3941)*E3941)</f>
        <v/>
      </c>
      <c r="J3941">
        <f>E3941*F3941</f>
        <v/>
      </c>
    </row>
    <row r="3942">
      <c r="A3942">
        <f>Sources!A3942</f>
        <v/>
      </c>
      <c r="B3942">
        <f>Sources!B3942</f>
        <v/>
      </c>
      <c r="C3942">
        <f>Sources!D3942</f>
        <v/>
      </c>
      <c r="D3942">
        <f>Sources!E3942</f>
        <v/>
      </c>
      <c r="E3942">
        <f>Sources!F3942</f>
        <v/>
      </c>
      <c r="F3942">
        <f>Sources!H3942</f>
        <v/>
      </c>
      <c r="G3942">
        <f>IF(ABS(F3942-ROUND(F3942,0))&lt;0.001,1,0)</f>
        <v/>
      </c>
      <c r="H3942">
        <f>IF(G3942=1,F3942,CEILING(F3942,1))</f>
        <v/>
      </c>
      <c r="I3942">
        <f>IF(G3942=1,0,(H3942-F3942)*E3942)</f>
        <v/>
      </c>
      <c r="J3942">
        <f>E3942*F3942</f>
        <v/>
      </c>
    </row>
    <row r="3943">
      <c r="A3943">
        <f>Sources!A3943</f>
        <v/>
      </c>
      <c r="B3943">
        <f>Sources!B3943</f>
        <v/>
      </c>
      <c r="C3943">
        <f>Sources!D3943</f>
        <v/>
      </c>
      <c r="D3943">
        <f>Sources!E3943</f>
        <v/>
      </c>
      <c r="E3943">
        <f>Sources!F3943</f>
        <v/>
      </c>
      <c r="F3943">
        <f>Sources!H3943</f>
        <v/>
      </c>
      <c r="G3943">
        <f>IF(ABS(F3943-ROUND(F3943,0))&lt;0.001,1,0)</f>
        <v/>
      </c>
      <c r="H3943">
        <f>IF(G3943=1,F3943,CEILING(F3943,1))</f>
        <v/>
      </c>
      <c r="I3943">
        <f>IF(G3943=1,0,(H3943-F3943)*E3943)</f>
        <v/>
      </c>
      <c r="J3943">
        <f>E3943*F3943</f>
        <v/>
      </c>
    </row>
    <row r="3944">
      <c r="A3944">
        <f>Sources!A3944</f>
        <v/>
      </c>
      <c r="B3944">
        <f>Sources!B3944</f>
        <v/>
      </c>
      <c r="C3944">
        <f>Sources!D3944</f>
        <v/>
      </c>
      <c r="D3944">
        <f>Sources!E3944</f>
        <v/>
      </c>
      <c r="E3944">
        <f>Sources!F3944</f>
        <v/>
      </c>
      <c r="F3944">
        <f>Sources!H3944</f>
        <v/>
      </c>
      <c r="G3944">
        <f>IF(ABS(F3944-ROUND(F3944,0))&lt;0.001,1,0)</f>
        <v/>
      </c>
      <c r="H3944">
        <f>IF(G3944=1,F3944,CEILING(F3944,1))</f>
        <v/>
      </c>
      <c r="I3944">
        <f>IF(G3944=1,0,(H3944-F3944)*E3944)</f>
        <v/>
      </c>
      <c r="J3944">
        <f>E3944*F3944</f>
        <v/>
      </c>
    </row>
    <row r="3945">
      <c r="A3945">
        <f>Sources!A3945</f>
        <v/>
      </c>
      <c r="B3945">
        <f>Sources!B3945</f>
        <v/>
      </c>
      <c r="C3945">
        <f>Sources!D3945</f>
        <v/>
      </c>
      <c r="D3945">
        <f>Sources!E3945</f>
        <v/>
      </c>
      <c r="E3945">
        <f>Sources!F3945</f>
        <v/>
      </c>
      <c r="F3945">
        <f>Sources!H3945</f>
        <v/>
      </c>
      <c r="G3945">
        <f>IF(ABS(F3945-ROUND(F3945,0))&lt;0.001,1,0)</f>
        <v/>
      </c>
      <c r="H3945">
        <f>IF(G3945=1,F3945,CEILING(F3945,1))</f>
        <v/>
      </c>
      <c r="I3945">
        <f>IF(G3945=1,0,(H3945-F3945)*E3945)</f>
        <v/>
      </c>
      <c r="J3945">
        <f>E3945*F3945</f>
        <v/>
      </c>
    </row>
    <row r="3946">
      <c r="A3946">
        <f>Sources!A3946</f>
        <v/>
      </c>
      <c r="B3946">
        <f>Sources!B3946</f>
        <v/>
      </c>
      <c r="C3946">
        <f>Sources!D3946</f>
        <v/>
      </c>
      <c r="D3946">
        <f>Sources!E3946</f>
        <v/>
      </c>
      <c r="E3946">
        <f>Sources!F3946</f>
        <v/>
      </c>
      <c r="F3946">
        <f>Sources!H3946</f>
        <v/>
      </c>
      <c r="G3946">
        <f>IF(ABS(F3946-ROUND(F3946,0))&lt;0.001,1,0)</f>
        <v/>
      </c>
      <c r="H3946">
        <f>IF(G3946=1,F3946,CEILING(F3946,1))</f>
        <v/>
      </c>
      <c r="I3946">
        <f>IF(G3946=1,0,(H3946-F3946)*E3946)</f>
        <v/>
      </c>
      <c r="J3946">
        <f>E3946*F3946</f>
        <v/>
      </c>
    </row>
    <row r="3947">
      <c r="A3947">
        <f>Sources!A3947</f>
        <v/>
      </c>
      <c r="B3947">
        <f>Sources!B3947</f>
        <v/>
      </c>
      <c r="C3947">
        <f>Sources!D3947</f>
        <v/>
      </c>
      <c r="D3947">
        <f>Sources!E3947</f>
        <v/>
      </c>
      <c r="E3947">
        <f>Sources!F3947</f>
        <v/>
      </c>
      <c r="F3947">
        <f>Sources!H3947</f>
        <v/>
      </c>
      <c r="G3947">
        <f>IF(ABS(F3947-ROUND(F3947,0))&lt;0.001,1,0)</f>
        <v/>
      </c>
      <c r="H3947">
        <f>IF(G3947=1,F3947,CEILING(F3947,1))</f>
        <v/>
      </c>
      <c r="I3947">
        <f>IF(G3947=1,0,(H3947-F3947)*E3947)</f>
        <v/>
      </c>
      <c r="J3947">
        <f>E3947*F3947</f>
        <v/>
      </c>
    </row>
    <row r="3948">
      <c r="A3948">
        <f>Sources!A3948</f>
        <v/>
      </c>
      <c r="B3948">
        <f>Sources!B3948</f>
        <v/>
      </c>
      <c r="C3948">
        <f>Sources!D3948</f>
        <v/>
      </c>
      <c r="D3948">
        <f>Sources!E3948</f>
        <v/>
      </c>
      <c r="E3948">
        <f>Sources!F3948</f>
        <v/>
      </c>
      <c r="F3948">
        <f>Sources!H3948</f>
        <v/>
      </c>
      <c r="G3948">
        <f>IF(ABS(F3948-ROUND(F3948,0))&lt;0.001,1,0)</f>
        <v/>
      </c>
      <c r="H3948">
        <f>IF(G3948=1,F3948,CEILING(F3948,1))</f>
        <v/>
      </c>
      <c r="I3948">
        <f>IF(G3948=1,0,(H3948-F3948)*E3948)</f>
        <v/>
      </c>
      <c r="J3948">
        <f>E3948*F3948</f>
        <v/>
      </c>
    </row>
    <row r="3949">
      <c r="A3949">
        <f>Sources!A3949</f>
        <v/>
      </c>
      <c r="B3949">
        <f>Sources!B3949</f>
        <v/>
      </c>
      <c r="C3949">
        <f>Sources!D3949</f>
        <v/>
      </c>
      <c r="D3949">
        <f>Sources!E3949</f>
        <v/>
      </c>
      <c r="E3949">
        <f>Sources!F3949</f>
        <v/>
      </c>
      <c r="F3949">
        <f>Sources!H3949</f>
        <v/>
      </c>
      <c r="G3949">
        <f>IF(ABS(F3949-ROUND(F3949,0))&lt;0.001,1,0)</f>
        <v/>
      </c>
      <c r="H3949">
        <f>IF(G3949=1,F3949,CEILING(F3949,1))</f>
        <v/>
      </c>
      <c r="I3949">
        <f>IF(G3949=1,0,(H3949-F3949)*E3949)</f>
        <v/>
      </c>
      <c r="J3949">
        <f>E3949*F3949</f>
        <v/>
      </c>
    </row>
    <row r="3950">
      <c r="A3950">
        <f>Sources!A3950</f>
        <v/>
      </c>
      <c r="B3950">
        <f>Sources!B3950</f>
        <v/>
      </c>
      <c r="C3950">
        <f>Sources!D3950</f>
        <v/>
      </c>
      <c r="D3950">
        <f>Sources!E3950</f>
        <v/>
      </c>
      <c r="E3950">
        <f>Sources!F3950</f>
        <v/>
      </c>
      <c r="F3950">
        <f>Sources!H3950</f>
        <v/>
      </c>
      <c r="G3950">
        <f>IF(ABS(F3950-ROUND(F3950,0))&lt;0.001,1,0)</f>
        <v/>
      </c>
      <c r="H3950">
        <f>IF(G3950=1,F3950,CEILING(F3950,1))</f>
        <v/>
      </c>
      <c r="I3950">
        <f>IF(G3950=1,0,(H3950-F3950)*E3950)</f>
        <v/>
      </c>
      <c r="J3950">
        <f>E3950*F3950</f>
        <v/>
      </c>
    </row>
    <row r="3951">
      <c r="A3951">
        <f>Sources!A3951</f>
        <v/>
      </c>
      <c r="B3951">
        <f>Sources!B3951</f>
        <v/>
      </c>
      <c r="C3951">
        <f>Sources!D3951</f>
        <v/>
      </c>
      <c r="D3951">
        <f>Sources!E3951</f>
        <v/>
      </c>
      <c r="E3951">
        <f>Sources!F3951</f>
        <v/>
      </c>
      <c r="F3951">
        <f>Sources!H3951</f>
        <v/>
      </c>
      <c r="G3951">
        <f>IF(ABS(F3951-ROUND(F3951,0))&lt;0.001,1,0)</f>
        <v/>
      </c>
      <c r="H3951">
        <f>IF(G3951=1,F3951,CEILING(F3951,1))</f>
        <v/>
      </c>
      <c r="I3951">
        <f>IF(G3951=1,0,(H3951-F3951)*E3951)</f>
        <v/>
      </c>
      <c r="J3951">
        <f>E3951*F3951</f>
        <v/>
      </c>
    </row>
    <row r="3952">
      <c r="A3952">
        <f>Sources!A3952</f>
        <v/>
      </c>
      <c r="B3952">
        <f>Sources!B3952</f>
        <v/>
      </c>
      <c r="C3952">
        <f>Sources!D3952</f>
        <v/>
      </c>
      <c r="D3952">
        <f>Sources!E3952</f>
        <v/>
      </c>
      <c r="E3952">
        <f>Sources!F3952</f>
        <v/>
      </c>
      <c r="F3952">
        <f>Sources!H3952</f>
        <v/>
      </c>
      <c r="G3952">
        <f>IF(ABS(F3952-ROUND(F3952,0))&lt;0.001,1,0)</f>
        <v/>
      </c>
      <c r="H3952">
        <f>IF(G3952=1,F3952,CEILING(F3952,1))</f>
        <v/>
      </c>
      <c r="I3952">
        <f>IF(G3952=1,0,(H3952-F3952)*E3952)</f>
        <v/>
      </c>
      <c r="J3952">
        <f>E3952*F3952</f>
        <v/>
      </c>
    </row>
    <row r="3953">
      <c r="A3953">
        <f>Sources!A3953</f>
        <v/>
      </c>
      <c r="B3953">
        <f>Sources!B3953</f>
        <v/>
      </c>
      <c r="C3953">
        <f>Sources!D3953</f>
        <v/>
      </c>
      <c r="D3953">
        <f>Sources!E3953</f>
        <v/>
      </c>
      <c r="E3953">
        <f>Sources!F3953</f>
        <v/>
      </c>
      <c r="F3953">
        <f>Sources!H3953</f>
        <v/>
      </c>
      <c r="G3953">
        <f>IF(ABS(F3953-ROUND(F3953,0))&lt;0.001,1,0)</f>
        <v/>
      </c>
      <c r="H3953">
        <f>IF(G3953=1,F3953,CEILING(F3953,1))</f>
        <v/>
      </c>
      <c r="I3953">
        <f>IF(G3953=1,0,(H3953-F3953)*E3953)</f>
        <v/>
      </c>
      <c r="J3953">
        <f>E3953*F3953</f>
        <v/>
      </c>
    </row>
    <row r="3954">
      <c r="A3954">
        <f>Sources!A3954</f>
        <v/>
      </c>
      <c r="B3954">
        <f>Sources!B3954</f>
        <v/>
      </c>
      <c r="C3954">
        <f>Sources!D3954</f>
        <v/>
      </c>
      <c r="D3954">
        <f>Sources!E3954</f>
        <v/>
      </c>
      <c r="E3954">
        <f>Sources!F3954</f>
        <v/>
      </c>
      <c r="F3954">
        <f>Sources!H3954</f>
        <v/>
      </c>
      <c r="G3954">
        <f>IF(ABS(F3954-ROUND(F3954,0))&lt;0.001,1,0)</f>
        <v/>
      </c>
      <c r="H3954">
        <f>IF(G3954=1,F3954,CEILING(F3954,1))</f>
        <v/>
      </c>
      <c r="I3954">
        <f>IF(G3954=1,0,(H3954-F3954)*E3954)</f>
        <v/>
      </c>
      <c r="J3954">
        <f>E3954*F3954</f>
        <v/>
      </c>
    </row>
    <row r="3955">
      <c r="A3955">
        <f>Sources!A3955</f>
        <v/>
      </c>
      <c r="B3955">
        <f>Sources!B3955</f>
        <v/>
      </c>
      <c r="C3955">
        <f>Sources!D3955</f>
        <v/>
      </c>
      <c r="D3955">
        <f>Sources!E3955</f>
        <v/>
      </c>
      <c r="E3955">
        <f>Sources!F3955</f>
        <v/>
      </c>
      <c r="F3955">
        <f>Sources!H3955</f>
        <v/>
      </c>
      <c r="G3955">
        <f>IF(ABS(F3955-ROUND(F3955,0))&lt;0.001,1,0)</f>
        <v/>
      </c>
      <c r="H3955">
        <f>IF(G3955=1,F3955,CEILING(F3955,1))</f>
        <v/>
      </c>
      <c r="I3955">
        <f>IF(G3955=1,0,(H3955-F3955)*E3955)</f>
        <v/>
      </c>
      <c r="J3955">
        <f>E3955*F3955</f>
        <v/>
      </c>
    </row>
    <row r="3956">
      <c r="A3956">
        <f>Sources!A3956</f>
        <v/>
      </c>
      <c r="B3956">
        <f>Sources!B3956</f>
        <v/>
      </c>
      <c r="C3956">
        <f>Sources!D3956</f>
        <v/>
      </c>
      <c r="D3956">
        <f>Sources!E3956</f>
        <v/>
      </c>
      <c r="E3956">
        <f>Sources!F3956</f>
        <v/>
      </c>
      <c r="F3956">
        <f>Sources!H3956</f>
        <v/>
      </c>
      <c r="G3956">
        <f>IF(ABS(F3956-ROUND(F3956,0))&lt;0.001,1,0)</f>
        <v/>
      </c>
      <c r="H3956">
        <f>IF(G3956=1,F3956,CEILING(F3956,1))</f>
        <v/>
      </c>
      <c r="I3956">
        <f>IF(G3956=1,0,(H3956-F3956)*E3956)</f>
        <v/>
      </c>
      <c r="J3956">
        <f>E3956*F3956</f>
        <v/>
      </c>
    </row>
    <row r="3957">
      <c r="A3957">
        <f>Sources!A3957</f>
        <v/>
      </c>
      <c r="B3957">
        <f>Sources!B3957</f>
        <v/>
      </c>
      <c r="C3957">
        <f>Sources!D3957</f>
        <v/>
      </c>
      <c r="D3957">
        <f>Sources!E3957</f>
        <v/>
      </c>
      <c r="E3957">
        <f>Sources!F3957</f>
        <v/>
      </c>
      <c r="F3957">
        <f>Sources!H3957</f>
        <v/>
      </c>
      <c r="G3957">
        <f>IF(ABS(F3957-ROUND(F3957,0))&lt;0.001,1,0)</f>
        <v/>
      </c>
      <c r="H3957">
        <f>IF(G3957=1,F3957,CEILING(F3957,1))</f>
        <v/>
      </c>
      <c r="I3957">
        <f>IF(G3957=1,0,(H3957-F3957)*E3957)</f>
        <v/>
      </c>
      <c r="J3957">
        <f>E3957*F3957</f>
        <v/>
      </c>
    </row>
    <row r="3958">
      <c r="A3958">
        <f>Sources!A3958</f>
        <v/>
      </c>
      <c r="B3958">
        <f>Sources!B3958</f>
        <v/>
      </c>
      <c r="C3958">
        <f>Sources!D3958</f>
        <v/>
      </c>
      <c r="D3958">
        <f>Sources!E3958</f>
        <v/>
      </c>
      <c r="E3958">
        <f>Sources!F3958</f>
        <v/>
      </c>
      <c r="F3958">
        <f>Sources!H3958</f>
        <v/>
      </c>
      <c r="G3958">
        <f>IF(ABS(F3958-ROUND(F3958,0))&lt;0.001,1,0)</f>
        <v/>
      </c>
      <c r="H3958">
        <f>IF(G3958=1,F3958,CEILING(F3958,1))</f>
        <v/>
      </c>
      <c r="I3958">
        <f>IF(G3958=1,0,(H3958-F3958)*E3958)</f>
        <v/>
      </c>
      <c r="J3958">
        <f>E3958*F3958</f>
        <v/>
      </c>
    </row>
    <row r="3959">
      <c r="A3959">
        <f>Sources!A3959</f>
        <v/>
      </c>
      <c r="B3959">
        <f>Sources!B3959</f>
        <v/>
      </c>
      <c r="C3959">
        <f>Sources!D3959</f>
        <v/>
      </c>
      <c r="D3959">
        <f>Sources!E3959</f>
        <v/>
      </c>
      <c r="E3959">
        <f>Sources!F3959</f>
        <v/>
      </c>
      <c r="F3959">
        <f>Sources!H3959</f>
        <v/>
      </c>
      <c r="G3959">
        <f>IF(ABS(F3959-ROUND(F3959,0))&lt;0.001,1,0)</f>
        <v/>
      </c>
      <c r="H3959">
        <f>IF(G3959=1,F3959,CEILING(F3959,1))</f>
        <v/>
      </c>
      <c r="I3959">
        <f>IF(G3959=1,0,(H3959-F3959)*E3959)</f>
        <v/>
      </c>
      <c r="J3959">
        <f>E3959*F3959</f>
        <v/>
      </c>
    </row>
    <row r="3960">
      <c r="A3960">
        <f>Sources!A3960</f>
        <v/>
      </c>
      <c r="B3960">
        <f>Sources!B3960</f>
        <v/>
      </c>
      <c r="C3960">
        <f>Sources!D3960</f>
        <v/>
      </c>
      <c r="D3960">
        <f>Sources!E3960</f>
        <v/>
      </c>
      <c r="E3960">
        <f>Sources!F3960</f>
        <v/>
      </c>
      <c r="F3960">
        <f>Sources!H3960</f>
        <v/>
      </c>
      <c r="G3960">
        <f>IF(ABS(F3960-ROUND(F3960,0))&lt;0.001,1,0)</f>
        <v/>
      </c>
      <c r="H3960">
        <f>IF(G3960=1,F3960,CEILING(F3960,1))</f>
        <v/>
      </c>
      <c r="I3960">
        <f>IF(G3960=1,0,(H3960-F3960)*E3960)</f>
        <v/>
      </c>
      <c r="J3960">
        <f>E3960*F3960</f>
        <v/>
      </c>
    </row>
    <row r="3961">
      <c r="A3961">
        <f>Sources!A3961</f>
        <v/>
      </c>
      <c r="B3961">
        <f>Sources!B3961</f>
        <v/>
      </c>
      <c r="C3961">
        <f>Sources!D3961</f>
        <v/>
      </c>
      <c r="D3961">
        <f>Sources!E3961</f>
        <v/>
      </c>
      <c r="E3961">
        <f>Sources!F3961</f>
        <v/>
      </c>
      <c r="F3961">
        <f>Sources!H3961</f>
        <v/>
      </c>
      <c r="G3961">
        <f>IF(ABS(F3961-ROUND(F3961,0))&lt;0.001,1,0)</f>
        <v/>
      </c>
      <c r="H3961">
        <f>IF(G3961=1,F3961,CEILING(F3961,1))</f>
        <v/>
      </c>
      <c r="I3961">
        <f>IF(G3961=1,0,(H3961-F3961)*E3961)</f>
        <v/>
      </c>
      <c r="J3961">
        <f>E3961*F3961</f>
        <v/>
      </c>
    </row>
    <row r="3962">
      <c r="A3962">
        <f>Sources!A3962</f>
        <v/>
      </c>
      <c r="B3962">
        <f>Sources!B3962</f>
        <v/>
      </c>
      <c r="C3962">
        <f>Sources!D3962</f>
        <v/>
      </c>
      <c r="D3962">
        <f>Sources!E3962</f>
        <v/>
      </c>
      <c r="E3962">
        <f>Sources!F3962</f>
        <v/>
      </c>
      <c r="F3962">
        <f>Sources!H3962</f>
        <v/>
      </c>
      <c r="G3962">
        <f>IF(ABS(F3962-ROUND(F3962,0))&lt;0.001,1,0)</f>
        <v/>
      </c>
      <c r="H3962">
        <f>IF(G3962=1,F3962,CEILING(F3962,1))</f>
        <v/>
      </c>
      <c r="I3962">
        <f>IF(G3962=1,0,(H3962-F3962)*E3962)</f>
        <v/>
      </c>
      <c r="J3962">
        <f>E3962*F3962</f>
        <v/>
      </c>
    </row>
    <row r="3963">
      <c r="A3963">
        <f>Sources!A3963</f>
        <v/>
      </c>
      <c r="B3963">
        <f>Sources!B3963</f>
        <v/>
      </c>
      <c r="C3963">
        <f>Sources!D3963</f>
        <v/>
      </c>
      <c r="D3963">
        <f>Sources!E3963</f>
        <v/>
      </c>
      <c r="E3963">
        <f>Sources!F3963</f>
        <v/>
      </c>
      <c r="F3963">
        <f>Sources!H3963</f>
        <v/>
      </c>
      <c r="G3963">
        <f>IF(ABS(F3963-ROUND(F3963,0))&lt;0.001,1,0)</f>
        <v/>
      </c>
      <c r="H3963">
        <f>IF(G3963=1,F3963,CEILING(F3963,1))</f>
        <v/>
      </c>
      <c r="I3963">
        <f>IF(G3963=1,0,(H3963-F3963)*E3963)</f>
        <v/>
      </c>
      <c r="J3963">
        <f>E3963*F3963</f>
        <v/>
      </c>
    </row>
    <row r="3964">
      <c r="A3964">
        <f>Sources!A3964</f>
        <v/>
      </c>
      <c r="B3964">
        <f>Sources!B3964</f>
        <v/>
      </c>
      <c r="C3964">
        <f>Sources!D3964</f>
        <v/>
      </c>
      <c r="D3964">
        <f>Sources!E3964</f>
        <v/>
      </c>
      <c r="E3964">
        <f>Sources!F3964</f>
        <v/>
      </c>
      <c r="F3964">
        <f>Sources!H3964</f>
        <v/>
      </c>
      <c r="G3964">
        <f>IF(ABS(F3964-ROUND(F3964,0))&lt;0.001,1,0)</f>
        <v/>
      </c>
      <c r="H3964">
        <f>IF(G3964=1,F3964,CEILING(F3964,1))</f>
        <v/>
      </c>
      <c r="I3964">
        <f>IF(G3964=1,0,(H3964-F3964)*E3964)</f>
        <v/>
      </c>
      <c r="J3964">
        <f>E3964*F3964</f>
        <v/>
      </c>
    </row>
    <row r="3965">
      <c r="A3965">
        <f>Sources!A3965</f>
        <v/>
      </c>
      <c r="B3965">
        <f>Sources!B3965</f>
        <v/>
      </c>
      <c r="C3965">
        <f>Sources!D3965</f>
        <v/>
      </c>
      <c r="D3965">
        <f>Sources!E3965</f>
        <v/>
      </c>
      <c r="E3965">
        <f>Sources!F3965</f>
        <v/>
      </c>
      <c r="F3965">
        <f>Sources!H3965</f>
        <v/>
      </c>
      <c r="G3965">
        <f>IF(ABS(F3965-ROUND(F3965,0))&lt;0.001,1,0)</f>
        <v/>
      </c>
      <c r="H3965">
        <f>IF(G3965=1,F3965,CEILING(F3965,1))</f>
        <v/>
      </c>
      <c r="I3965">
        <f>IF(G3965=1,0,(H3965-F3965)*E3965)</f>
        <v/>
      </c>
      <c r="J3965">
        <f>E3965*F3965</f>
        <v/>
      </c>
    </row>
    <row r="3966">
      <c r="A3966">
        <f>Sources!A3966</f>
        <v/>
      </c>
      <c r="B3966">
        <f>Sources!B3966</f>
        <v/>
      </c>
      <c r="C3966">
        <f>Sources!D3966</f>
        <v/>
      </c>
      <c r="D3966">
        <f>Sources!E3966</f>
        <v/>
      </c>
      <c r="E3966">
        <f>Sources!F3966</f>
        <v/>
      </c>
      <c r="F3966">
        <f>Sources!H3966</f>
        <v/>
      </c>
      <c r="G3966">
        <f>IF(ABS(F3966-ROUND(F3966,0))&lt;0.001,1,0)</f>
        <v/>
      </c>
      <c r="H3966">
        <f>IF(G3966=1,F3966,CEILING(F3966,1))</f>
        <v/>
      </c>
      <c r="I3966">
        <f>IF(G3966=1,0,(H3966-F3966)*E3966)</f>
        <v/>
      </c>
      <c r="J3966">
        <f>E3966*F3966</f>
        <v/>
      </c>
    </row>
    <row r="3967">
      <c r="A3967">
        <f>Sources!A3967</f>
        <v/>
      </c>
      <c r="B3967">
        <f>Sources!B3967</f>
        <v/>
      </c>
      <c r="C3967">
        <f>Sources!D3967</f>
        <v/>
      </c>
      <c r="D3967">
        <f>Sources!E3967</f>
        <v/>
      </c>
      <c r="E3967">
        <f>Sources!F3967</f>
        <v/>
      </c>
      <c r="F3967">
        <f>Sources!H3967</f>
        <v/>
      </c>
      <c r="G3967">
        <f>IF(ABS(F3967-ROUND(F3967,0))&lt;0.001,1,0)</f>
        <v/>
      </c>
      <c r="H3967">
        <f>IF(G3967=1,F3967,CEILING(F3967,1))</f>
        <v/>
      </c>
      <c r="I3967">
        <f>IF(G3967=1,0,(H3967-F3967)*E3967)</f>
        <v/>
      </c>
      <c r="J3967">
        <f>E3967*F3967</f>
        <v/>
      </c>
    </row>
    <row r="3968">
      <c r="A3968">
        <f>Sources!A3968</f>
        <v/>
      </c>
      <c r="B3968">
        <f>Sources!B3968</f>
        <v/>
      </c>
      <c r="C3968">
        <f>Sources!D3968</f>
        <v/>
      </c>
      <c r="D3968">
        <f>Sources!E3968</f>
        <v/>
      </c>
      <c r="E3968">
        <f>Sources!F3968</f>
        <v/>
      </c>
      <c r="F3968">
        <f>Sources!H3968</f>
        <v/>
      </c>
      <c r="G3968">
        <f>IF(ABS(F3968-ROUND(F3968,0))&lt;0.001,1,0)</f>
        <v/>
      </c>
      <c r="H3968">
        <f>IF(G3968=1,F3968,CEILING(F3968,1))</f>
        <v/>
      </c>
      <c r="I3968">
        <f>IF(G3968=1,0,(H3968-F3968)*E3968)</f>
        <v/>
      </c>
      <c r="J3968">
        <f>E3968*F3968</f>
        <v/>
      </c>
    </row>
    <row r="3969">
      <c r="A3969">
        <f>Sources!A3969</f>
        <v/>
      </c>
      <c r="B3969">
        <f>Sources!B3969</f>
        <v/>
      </c>
      <c r="C3969">
        <f>Sources!D3969</f>
        <v/>
      </c>
      <c r="D3969">
        <f>Sources!E3969</f>
        <v/>
      </c>
      <c r="E3969">
        <f>Sources!F3969</f>
        <v/>
      </c>
      <c r="F3969">
        <f>Sources!H3969</f>
        <v/>
      </c>
      <c r="G3969">
        <f>IF(ABS(F3969-ROUND(F3969,0))&lt;0.001,1,0)</f>
        <v/>
      </c>
      <c r="H3969">
        <f>IF(G3969=1,F3969,CEILING(F3969,1))</f>
        <v/>
      </c>
      <c r="I3969">
        <f>IF(G3969=1,0,(H3969-F3969)*E3969)</f>
        <v/>
      </c>
      <c r="J3969">
        <f>E3969*F3969</f>
        <v/>
      </c>
    </row>
    <row r="3970">
      <c r="A3970">
        <f>Sources!A3970</f>
        <v/>
      </c>
      <c r="B3970">
        <f>Sources!B3970</f>
        <v/>
      </c>
      <c r="C3970">
        <f>Sources!D3970</f>
        <v/>
      </c>
      <c r="D3970">
        <f>Sources!E3970</f>
        <v/>
      </c>
      <c r="E3970">
        <f>Sources!F3970</f>
        <v/>
      </c>
      <c r="F3970">
        <f>Sources!H3970</f>
        <v/>
      </c>
      <c r="G3970">
        <f>IF(ABS(F3970-ROUND(F3970,0))&lt;0.001,1,0)</f>
        <v/>
      </c>
      <c r="H3970">
        <f>IF(G3970=1,F3970,CEILING(F3970,1))</f>
        <v/>
      </c>
      <c r="I3970">
        <f>IF(G3970=1,0,(H3970-F3970)*E3970)</f>
        <v/>
      </c>
      <c r="J3970">
        <f>E3970*F3970</f>
        <v/>
      </c>
    </row>
    <row r="3971">
      <c r="A3971">
        <f>Sources!A3971</f>
        <v/>
      </c>
      <c r="B3971">
        <f>Sources!B3971</f>
        <v/>
      </c>
      <c r="C3971">
        <f>Sources!D3971</f>
        <v/>
      </c>
      <c r="D3971">
        <f>Sources!E3971</f>
        <v/>
      </c>
      <c r="E3971">
        <f>Sources!F3971</f>
        <v/>
      </c>
      <c r="F3971">
        <f>Sources!H3971</f>
        <v/>
      </c>
      <c r="G3971">
        <f>IF(ABS(F3971-ROUND(F3971,0))&lt;0.001,1,0)</f>
        <v/>
      </c>
      <c r="H3971">
        <f>IF(G3971=1,F3971,CEILING(F3971,1))</f>
        <v/>
      </c>
      <c r="I3971">
        <f>IF(G3971=1,0,(H3971-F3971)*E3971)</f>
        <v/>
      </c>
      <c r="J3971">
        <f>E3971*F3971</f>
        <v/>
      </c>
    </row>
    <row r="3972">
      <c r="A3972">
        <f>Sources!A3972</f>
        <v/>
      </c>
      <c r="B3972">
        <f>Sources!B3972</f>
        <v/>
      </c>
      <c r="C3972">
        <f>Sources!D3972</f>
        <v/>
      </c>
      <c r="D3972">
        <f>Sources!E3972</f>
        <v/>
      </c>
      <c r="E3972">
        <f>Sources!F3972</f>
        <v/>
      </c>
      <c r="F3972">
        <f>Sources!H3972</f>
        <v/>
      </c>
      <c r="G3972">
        <f>IF(ABS(F3972-ROUND(F3972,0))&lt;0.001,1,0)</f>
        <v/>
      </c>
      <c r="H3972">
        <f>IF(G3972=1,F3972,CEILING(F3972,1))</f>
        <v/>
      </c>
      <c r="I3972">
        <f>IF(G3972=1,0,(H3972-F3972)*E3972)</f>
        <v/>
      </c>
      <c r="J3972">
        <f>E3972*F3972</f>
        <v/>
      </c>
    </row>
    <row r="3973">
      <c r="A3973">
        <f>Sources!A3973</f>
        <v/>
      </c>
      <c r="B3973">
        <f>Sources!B3973</f>
        <v/>
      </c>
      <c r="C3973">
        <f>Sources!D3973</f>
        <v/>
      </c>
      <c r="D3973">
        <f>Sources!E3973</f>
        <v/>
      </c>
      <c r="E3973">
        <f>Sources!F3973</f>
        <v/>
      </c>
      <c r="F3973">
        <f>Sources!H3973</f>
        <v/>
      </c>
      <c r="G3973">
        <f>IF(ABS(F3973-ROUND(F3973,0))&lt;0.001,1,0)</f>
        <v/>
      </c>
      <c r="H3973">
        <f>IF(G3973=1,F3973,CEILING(F3973,1))</f>
        <v/>
      </c>
      <c r="I3973">
        <f>IF(G3973=1,0,(H3973-F3973)*E3973)</f>
        <v/>
      </c>
      <c r="J3973">
        <f>E3973*F3973</f>
        <v/>
      </c>
    </row>
    <row r="3974">
      <c r="A3974">
        <f>Sources!A3974</f>
        <v/>
      </c>
      <c r="B3974">
        <f>Sources!B3974</f>
        <v/>
      </c>
      <c r="C3974">
        <f>Sources!D3974</f>
        <v/>
      </c>
      <c r="D3974">
        <f>Sources!E3974</f>
        <v/>
      </c>
      <c r="E3974">
        <f>Sources!F3974</f>
        <v/>
      </c>
      <c r="F3974">
        <f>Sources!H3974</f>
        <v/>
      </c>
      <c r="G3974">
        <f>IF(ABS(F3974-ROUND(F3974,0))&lt;0.001,1,0)</f>
        <v/>
      </c>
      <c r="H3974">
        <f>IF(G3974=1,F3974,CEILING(F3974,1))</f>
        <v/>
      </c>
      <c r="I3974">
        <f>IF(G3974=1,0,(H3974-F3974)*E3974)</f>
        <v/>
      </c>
      <c r="J3974">
        <f>E3974*F3974</f>
        <v/>
      </c>
    </row>
    <row r="3975">
      <c r="A3975">
        <f>Sources!A3975</f>
        <v/>
      </c>
      <c r="B3975">
        <f>Sources!B3975</f>
        <v/>
      </c>
      <c r="C3975">
        <f>Sources!D3975</f>
        <v/>
      </c>
      <c r="D3975">
        <f>Sources!E3975</f>
        <v/>
      </c>
      <c r="E3975">
        <f>Sources!F3975</f>
        <v/>
      </c>
      <c r="F3975">
        <f>Sources!H3975</f>
        <v/>
      </c>
      <c r="G3975">
        <f>IF(ABS(F3975-ROUND(F3975,0))&lt;0.001,1,0)</f>
        <v/>
      </c>
      <c r="H3975">
        <f>IF(G3975=1,F3975,CEILING(F3975,1))</f>
        <v/>
      </c>
      <c r="I3975">
        <f>IF(G3975=1,0,(H3975-F3975)*E3975)</f>
        <v/>
      </c>
      <c r="J3975">
        <f>E3975*F3975</f>
        <v/>
      </c>
    </row>
    <row r="3976">
      <c r="A3976">
        <f>Sources!A3976</f>
        <v/>
      </c>
      <c r="B3976">
        <f>Sources!B3976</f>
        <v/>
      </c>
      <c r="C3976">
        <f>Sources!D3976</f>
        <v/>
      </c>
      <c r="D3976">
        <f>Sources!E3976</f>
        <v/>
      </c>
      <c r="E3976">
        <f>Sources!F3976</f>
        <v/>
      </c>
      <c r="F3976">
        <f>Sources!H3976</f>
        <v/>
      </c>
      <c r="G3976">
        <f>IF(ABS(F3976-ROUND(F3976,0))&lt;0.001,1,0)</f>
        <v/>
      </c>
      <c r="H3976">
        <f>IF(G3976=1,F3976,CEILING(F3976,1))</f>
        <v/>
      </c>
      <c r="I3976">
        <f>IF(G3976=1,0,(H3976-F3976)*E3976)</f>
        <v/>
      </c>
      <c r="J3976">
        <f>E3976*F3976</f>
        <v/>
      </c>
    </row>
    <row r="3977">
      <c r="A3977">
        <f>Sources!A3977</f>
        <v/>
      </c>
      <c r="B3977">
        <f>Sources!B3977</f>
        <v/>
      </c>
      <c r="C3977">
        <f>Sources!D3977</f>
        <v/>
      </c>
      <c r="D3977">
        <f>Sources!E3977</f>
        <v/>
      </c>
      <c r="E3977">
        <f>Sources!F3977</f>
        <v/>
      </c>
      <c r="F3977">
        <f>Sources!H3977</f>
        <v/>
      </c>
      <c r="G3977">
        <f>IF(ABS(F3977-ROUND(F3977,0))&lt;0.001,1,0)</f>
        <v/>
      </c>
      <c r="H3977">
        <f>IF(G3977=1,F3977,CEILING(F3977,1))</f>
        <v/>
      </c>
      <c r="I3977">
        <f>IF(G3977=1,0,(H3977-F3977)*E3977)</f>
        <v/>
      </c>
      <c r="J3977">
        <f>E3977*F3977</f>
        <v/>
      </c>
    </row>
    <row r="3978">
      <c r="A3978">
        <f>Sources!A3978</f>
        <v/>
      </c>
      <c r="B3978">
        <f>Sources!B3978</f>
        <v/>
      </c>
      <c r="C3978">
        <f>Sources!D3978</f>
        <v/>
      </c>
      <c r="D3978">
        <f>Sources!E3978</f>
        <v/>
      </c>
      <c r="E3978">
        <f>Sources!F3978</f>
        <v/>
      </c>
      <c r="F3978">
        <f>Sources!H3978</f>
        <v/>
      </c>
      <c r="G3978">
        <f>IF(ABS(F3978-ROUND(F3978,0))&lt;0.001,1,0)</f>
        <v/>
      </c>
      <c r="H3978">
        <f>IF(G3978=1,F3978,CEILING(F3978,1))</f>
        <v/>
      </c>
      <c r="I3978">
        <f>IF(G3978=1,0,(H3978-F3978)*E3978)</f>
        <v/>
      </c>
      <c r="J3978">
        <f>E3978*F3978</f>
        <v/>
      </c>
    </row>
    <row r="3979">
      <c r="A3979">
        <f>Sources!A3979</f>
        <v/>
      </c>
      <c r="B3979">
        <f>Sources!B3979</f>
        <v/>
      </c>
      <c r="C3979">
        <f>Sources!D3979</f>
        <v/>
      </c>
      <c r="D3979">
        <f>Sources!E3979</f>
        <v/>
      </c>
      <c r="E3979">
        <f>Sources!F3979</f>
        <v/>
      </c>
      <c r="F3979">
        <f>Sources!H3979</f>
        <v/>
      </c>
      <c r="G3979">
        <f>IF(ABS(F3979-ROUND(F3979,0))&lt;0.001,1,0)</f>
        <v/>
      </c>
      <c r="H3979">
        <f>IF(G3979=1,F3979,CEILING(F3979,1))</f>
        <v/>
      </c>
      <c r="I3979">
        <f>IF(G3979=1,0,(H3979-F3979)*E3979)</f>
        <v/>
      </c>
      <c r="J3979">
        <f>E3979*F3979</f>
        <v/>
      </c>
    </row>
    <row r="3980">
      <c r="A3980">
        <f>Sources!A3980</f>
        <v/>
      </c>
      <c r="B3980">
        <f>Sources!B3980</f>
        <v/>
      </c>
      <c r="C3980">
        <f>Sources!D3980</f>
        <v/>
      </c>
      <c r="D3980">
        <f>Sources!E3980</f>
        <v/>
      </c>
      <c r="E3980">
        <f>Sources!F3980</f>
        <v/>
      </c>
      <c r="F3980">
        <f>Sources!H3980</f>
        <v/>
      </c>
      <c r="G3980">
        <f>IF(ABS(F3980-ROUND(F3980,0))&lt;0.001,1,0)</f>
        <v/>
      </c>
      <c r="H3980">
        <f>IF(G3980=1,F3980,CEILING(F3980,1))</f>
        <v/>
      </c>
      <c r="I3980">
        <f>IF(G3980=1,0,(H3980-F3980)*E3980)</f>
        <v/>
      </c>
      <c r="J3980">
        <f>E3980*F3980</f>
        <v/>
      </c>
    </row>
    <row r="3981">
      <c r="A3981">
        <f>Sources!A3981</f>
        <v/>
      </c>
      <c r="B3981">
        <f>Sources!B3981</f>
        <v/>
      </c>
      <c r="C3981">
        <f>Sources!D3981</f>
        <v/>
      </c>
      <c r="D3981">
        <f>Sources!E3981</f>
        <v/>
      </c>
      <c r="E3981">
        <f>Sources!F3981</f>
        <v/>
      </c>
      <c r="F3981">
        <f>Sources!H3981</f>
        <v/>
      </c>
      <c r="G3981">
        <f>IF(ABS(F3981-ROUND(F3981,0))&lt;0.001,1,0)</f>
        <v/>
      </c>
      <c r="H3981">
        <f>IF(G3981=1,F3981,CEILING(F3981,1))</f>
        <v/>
      </c>
      <c r="I3981">
        <f>IF(G3981=1,0,(H3981-F3981)*E3981)</f>
        <v/>
      </c>
      <c r="J3981">
        <f>E3981*F3981</f>
        <v/>
      </c>
    </row>
    <row r="3982">
      <c r="A3982">
        <f>Sources!A3982</f>
        <v/>
      </c>
      <c r="B3982">
        <f>Sources!B3982</f>
        <v/>
      </c>
      <c r="C3982">
        <f>Sources!D3982</f>
        <v/>
      </c>
      <c r="D3982">
        <f>Sources!E3982</f>
        <v/>
      </c>
      <c r="E3982">
        <f>Sources!F3982</f>
        <v/>
      </c>
      <c r="F3982">
        <f>Sources!H3982</f>
        <v/>
      </c>
      <c r="G3982">
        <f>IF(ABS(F3982-ROUND(F3982,0))&lt;0.001,1,0)</f>
        <v/>
      </c>
      <c r="H3982">
        <f>IF(G3982=1,F3982,CEILING(F3982,1))</f>
        <v/>
      </c>
      <c r="I3982">
        <f>IF(G3982=1,0,(H3982-F3982)*E3982)</f>
        <v/>
      </c>
      <c r="J3982">
        <f>E3982*F3982</f>
        <v/>
      </c>
    </row>
    <row r="3983">
      <c r="A3983">
        <f>Sources!A3983</f>
        <v/>
      </c>
      <c r="B3983">
        <f>Sources!B3983</f>
        <v/>
      </c>
      <c r="C3983">
        <f>Sources!D3983</f>
        <v/>
      </c>
      <c r="D3983">
        <f>Sources!E3983</f>
        <v/>
      </c>
      <c r="E3983">
        <f>Sources!F3983</f>
        <v/>
      </c>
      <c r="F3983">
        <f>Sources!H3983</f>
        <v/>
      </c>
      <c r="G3983">
        <f>IF(ABS(F3983-ROUND(F3983,0))&lt;0.001,1,0)</f>
        <v/>
      </c>
      <c r="H3983">
        <f>IF(G3983=1,F3983,CEILING(F3983,1))</f>
        <v/>
      </c>
      <c r="I3983">
        <f>IF(G3983=1,0,(H3983-F3983)*E3983)</f>
        <v/>
      </c>
      <c r="J3983">
        <f>E3983*F3983</f>
        <v/>
      </c>
    </row>
    <row r="3984">
      <c r="A3984">
        <f>Sources!A3984</f>
        <v/>
      </c>
      <c r="B3984">
        <f>Sources!B3984</f>
        <v/>
      </c>
      <c r="C3984">
        <f>Sources!D3984</f>
        <v/>
      </c>
      <c r="D3984">
        <f>Sources!E3984</f>
        <v/>
      </c>
      <c r="E3984">
        <f>Sources!F3984</f>
        <v/>
      </c>
      <c r="F3984">
        <f>Sources!H3984</f>
        <v/>
      </c>
      <c r="G3984">
        <f>IF(ABS(F3984-ROUND(F3984,0))&lt;0.001,1,0)</f>
        <v/>
      </c>
      <c r="H3984">
        <f>IF(G3984=1,F3984,CEILING(F3984,1))</f>
        <v/>
      </c>
      <c r="I3984">
        <f>IF(G3984=1,0,(H3984-F3984)*E3984)</f>
        <v/>
      </c>
      <c r="J3984">
        <f>E3984*F3984</f>
        <v/>
      </c>
    </row>
    <row r="3985">
      <c r="A3985">
        <f>Sources!A3985</f>
        <v/>
      </c>
      <c r="B3985">
        <f>Sources!B3985</f>
        <v/>
      </c>
      <c r="C3985">
        <f>Sources!D3985</f>
        <v/>
      </c>
      <c r="D3985">
        <f>Sources!E3985</f>
        <v/>
      </c>
      <c r="E3985">
        <f>Sources!F3985</f>
        <v/>
      </c>
      <c r="F3985">
        <f>Sources!H3985</f>
        <v/>
      </c>
      <c r="G3985">
        <f>IF(ABS(F3985-ROUND(F3985,0))&lt;0.001,1,0)</f>
        <v/>
      </c>
      <c r="H3985">
        <f>IF(G3985=1,F3985,CEILING(F3985,1))</f>
        <v/>
      </c>
      <c r="I3985">
        <f>IF(G3985=1,0,(H3985-F3985)*E3985)</f>
        <v/>
      </c>
      <c r="J3985">
        <f>E3985*F3985</f>
        <v/>
      </c>
    </row>
    <row r="3986">
      <c r="A3986">
        <f>Sources!A3986</f>
        <v/>
      </c>
      <c r="B3986">
        <f>Sources!B3986</f>
        <v/>
      </c>
      <c r="C3986">
        <f>Sources!D3986</f>
        <v/>
      </c>
      <c r="D3986">
        <f>Sources!E3986</f>
        <v/>
      </c>
      <c r="E3986">
        <f>Sources!F3986</f>
        <v/>
      </c>
      <c r="F3986">
        <f>Sources!H3986</f>
        <v/>
      </c>
      <c r="G3986">
        <f>IF(ABS(F3986-ROUND(F3986,0))&lt;0.001,1,0)</f>
        <v/>
      </c>
      <c r="H3986">
        <f>IF(G3986=1,F3986,CEILING(F3986,1))</f>
        <v/>
      </c>
      <c r="I3986">
        <f>IF(G3986=1,0,(H3986-F3986)*E3986)</f>
        <v/>
      </c>
      <c r="J3986">
        <f>E3986*F3986</f>
        <v/>
      </c>
    </row>
    <row r="3987">
      <c r="A3987">
        <f>Sources!A3987</f>
        <v/>
      </c>
      <c r="B3987">
        <f>Sources!B3987</f>
        <v/>
      </c>
      <c r="C3987">
        <f>Sources!D3987</f>
        <v/>
      </c>
      <c r="D3987">
        <f>Sources!E3987</f>
        <v/>
      </c>
      <c r="E3987">
        <f>Sources!F3987</f>
        <v/>
      </c>
      <c r="F3987">
        <f>Sources!H3987</f>
        <v/>
      </c>
      <c r="G3987">
        <f>IF(ABS(F3987-ROUND(F3987,0))&lt;0.001,1,0)</f>
        <v/>
      </c>
      <c r="H3987">
        <f>IF(G3987=1,F3987,CEILING(F3987,1))</f>
        <v/>
      </c>
      <c r="I3987">
        <f>IF(G3987=1,0,(H3987-F3987)*E3987)</f>
        <v/>
      </c>
      <c r="J3987">
        <f>E3987*F3987</f>
        <v/>
      </c>
    </row>
    <row r="3988">
      <c r="A3988">
        <f>Sources!A3988</f>
        <v/>
      </c>
      <c r="B3988">
        <f>Sources!B3988</f>
        <v/>
      </c>
      <c r="C3988">
        <f>Sources!D3988</f>
        <v/>
      </c>
      <c r="D3988">
        <f>Sources!E3988</f>
        <v/>
      </c>
      <c r="E3988">
        <f>Sources!F3988</f>
        <v/>
      </c>
      <c r="F3988">
        <f>Sources!H3988</f>
        <v/>
      </c>
      <c r="G3988">
        <f>IF(ABS(F3988-ROUND(F3988,0))&lt;0.001,1,0)</f>
        <v/>
      </c>
      <c r="H3988">
        <f>IF(G3988=1,F3988,CEILING(F3988,1))</f>
        <v/>
      </c>
      <c r="I3988">
        <f>IF(G3988=1,0,(H3988-F3988)*E3988)</f>
        <v/>
      </c>
      <c r="J3988">
        <f>E3988*F3988</f>
        <v/>
      </c>
    </row>
    <row r="3989">
      <c r="A3989">
        <f>Sources!A3989</f>
        <v/>
      </c>
      <c r="B3989">
        <f>Sources!B3989</f>
        <v/>
      </c>
      <c r="C3989">
        <f>Sources!D3989</f>
        <v/>
      </c>
      <c r="D3989">
        <f>Sources!E3989</f>
        <v/>
      </c>
      <c r="E3989">
        <f>Sources!F3989</f>
        <v/>
      </c>
      <c r="F3989">
        <f>Sources!H3989</f>
        <v/>
      </c>
      <c r="G3989">
        <f>IF(ABS(F3989-ROUND(F3989,0))&lt;0.001,1,0)</f>
        <v/>
      </c>
      <c r="H3989">
        <f>IF(G3989=1,F3989,CEILING(F3989,1))</f>
        <v/>
      </c>
      <c r="I3989">
        <f>IF(G3989=1,0,(H3989-F3989)*E3989)</f>
        <v/>
      </c>
      <c r="J3989">
        <f>E3989*F3989</f>
        <v/>
      </c>
    </row>
    <row r="3990">
      <c r="A3990">
        <f>Sources!A3990</f>
        <v/>
      </c>
      <c r="B3990">
        <f>Sources!B3990</f>
        <v/>
      </c>
      <c r="C3990">
        <f>Sources!D3990</f>
        <v/>
      </c>
      <c r="D3990">
        <f>Sources!E3990</f>
        <v/>
      </c>
      <c r="E3990">
        <f>Sources!F3990</f>
        <v/>
      </c>
      <c r="F3990">
        <f>Sources!H3990</f>
        <v/>
      </c>
      <c r="G3990">
        <f>IF(ABS(F3990-ROUND(F3990,0))&lt;0.001,1,0)</f>
        <v/>
      </c>
      <c r="H3990">
        <f>IF(G3990=1,F3990,CEILING(F3990,1))</f>
        <v/>
      </c>
      <c r="I3990">
        <f>IF(G3990=1,0,(H3990-F3990)*E3990)</f>
        <v/>
      </c>
      <c r="J3990">
        <f>E3990*F3990</f>
        <v/>
      </c>
    </row>
    <row r="3991">
      <c r="A3991">
        <f>Sources!A3991</f>
        <v/>
      </c>
      <c r="B3991">
        <f>Sources!B3991</f>
        <v/>
      </c>
      <c r="C3991">
        <f>Sources!D3991</f>
        <v/>
      </c>
      <c r="D3991">
        <f>Sources!E3991</f>
        <v/>
      </c>
      <c r="E3991">
        <f>Sources!F3991</f>
        <v/>
      </c>
      <c r="F3991">
        <f>Sources!H3991</f>
        <v/>
      </c>
      <c r="G3991">
        <f>IF(ABS(F3991-ROUND(F3991,0))&lt;0.001,1,0)</f>
        <v/>
      </c>
      <c r="H3991">
        <f>IF(G3991=1,F3991,CEILING(F3991,1))</f>
        <v/>
      </c>
      <c r="I3991">
        <f>IF(G3991=1,0,(H3991-F3991)*E3991)</f>
        <v/>
      </c>
      <c r="J3991">
        <f>E3991*F3991</f>
        <v/>
      </c>
    </row>
    <row r="3992">
      <c r="A3992">
        <f>Sources!A3992</f>
        <v/>
      </c>
      <c r="B3992">
        <f>Sources!B3992</f>
        <v/>
      </c>
      <c r="C3992">
        <f>Sources!D3992</f>
        <v/>
      </c>
      <c r="D3992">
        <f>Sources!E3992</f>
        <v/>
      </c>
      <c r="E3992">
        <f>Sources!F3992</f>
        <v/>
      </c>
      <c r="F3992">
        <f>Sources!H3992</f>
        <v/>
      </c>
      <c r="G3992">
        <f>IF(ABS(F3992-ROUND(F3992,0))&lt;0.001,1,0)</f>
        <v/>
      </c>
      <c r="H3992">
        <f>IF(G3992=1,F3992,CEILING(F3992,1))</f>
        <v/>
      </c>
      <c r="I3992">
        <f>IF(G3992=1,0,(H3992-F3992)*E3992)</f>
        <v/>
      </c>
      <c r="J3992">
        <f>E3992*F3992</f>
        <v/>
      </c>
    </row>
    <row r="3993">
      <c r="A3993">
        <f>Sources!A3993</f>
        <v/>
      </c>
      <c r="B3993">
        <f>Sources!B3993</f>
        <v/>
      </c>
      <c r="C3993">
        <f>Sources!D3993</f>
        <v/>
      </c>
      <c r="D3993">
        <f>Sources!E3993</f>
        <v/>
      </c>
      <c r="E3993">
        <f>Sources!F3993</f>
        <v/>
      </c>
      <c r="F3993">
        <f>Sources!H3993</f>
        <v/>
      </c>
      <c r="G3993">
        <f>IF(ABS(F3993-ROUND(F3993,0))&lt;0.001,1,0)</f>
        <v/>
      </c>
      <c r="H3993">
        <f>IF(G3993=1,F3993,CEILING(F3993,1))</f>
        <v/>
      </c>
      <c r="I3993">
        <f>IF(G3993=1,0,(H3993-F3993)*E3993)</f>
        <v/>
      </c>
      <c r="J3993">
        <f>E3993*F3993</f>
        <v/>
      </c>
    </row>
    <row r="3994">
      <c r="A3994">
        <f>Sources!A3994</f>
        <v/>
      </c>
      <c r="B3994">
        <f>Sources!B3994</f>
        <v/>
      </c>
      <c r="C3994">
        <f>Sources!D3994</f>
        <v/>
      </c>
      <c r="D3994">
        <f>Sources!E3994</f>
        <v/>
      </c>
      <c r="E3994">
        <f>Sources!F3994</f>
        <v/>
      </c>
      <c r="F3994">
        <f>Sources!H3994</f>
        <v/>
      </c>
      <c r="G3994">
        <f>IF(ABS(F3994-ROUND(F3994,0))&lt;0.001,1,0)</f>
        <v/>
      </c>
      <c r="H3994">
        <f>IF(G3994=1,F3994,CEILING(F3994,1))</f>
        <v/>
      </c>
      <c r="I3994">
        <f>IF(G3994=1,0,(H3994-F3994)*E3994)</f>
        <v/>
      </c>
      <c r="J3994">
        <f>E3994*F3994</f>
        <v/>
      </c>
    </row>
    <row r="3995">
      <c r="A3995">
        <f>Sources!A3995</f>
        <v/>
      </c>
      <c r="B3995">
        <f>Sources!B3995</f>
        <v/>
      </c>
      <c r="C3995">
        <f>Sources!D3995</f>
        <v/>
      </c>
      <c r="D3995">
        <f>Sources!E3995</f>
        <v/>
      </c>
      <c r="E3995">
        <f>Sources!F3995</f>
        <v/>
      </c>
      <c r="F3995">
        <f>Sources!H3995</f>
        <v/>
      </c>
      <c r="G3995">
        <f>IF(ABS(F3995-ROUND(F3995,0))&lt;0.001,1,0)</f>
        <v/>
      </c>
      <c r="H3995">
        <f>IF(G3995=1,F3995,CEILING(F3995,1))</f>
        <v/>
      </c>
      <c r="I3995">
        <f>IF(G3995=1,0,(H3995-F3995)*E3995)</f>
        <v/>
      </c>
      <c r="J3995">
        <f>E3995*F3995</f>
        <v/>
      </c>
    </row>
    <row r="3996">
      <c r="A3996">
        <f>Sources!A3996</f>
        <v/>
      </c>
      <c r="B3996">
        <f>Sources!B3996</f>
        <v/>
      </c>
      <c r="C3996">
        <f>Sources!D3996</f>
        <v/>
      </c>
      <c r="D3996">
        <f>Sources!E3996</f>
        <v/>
      </c>
      <c r="E3996">
        <f>Sources!F3996</f>
        <v/>
      </c>
      <c r="F3996">
        <f>Sources!H3996</f>
        <v/>
      </c>
      <c r="G3996">
        <f>IF(ABS(F3996-ROUND(F3996,0))&lt;0.001,1,0)</f>
        <v/>
      </c>
      <c r="H3996">
        <f>IF(G3996=1,F3996,CEILING(F3996,1))</f>
        <v/>
      </c>
      <c r="I3996">
        <f>IF(G3996=1,0,(H3996-F3996)*E3996)</f>
        <v/>
      </c>
      <c r="J3996">
        <f>E3996*F3996</f>
        <v/>
      </c>
    </row>
    <row r="3997">
      <c r="A3997">
        <f>Sources!A3997</f>
        <v/>
      </c>
      <c r="B3997">
        <f>Sources!B3997</f>
        <v/>
      </c>
      <c r="C3997">
        <f>Sources!D3997</f>
        <v/>
      </c>
      <c r="D3997">
        <f>Sources!E3997</f>
        <v/>
      </c>
      <c r="E3997">
        <f>Sources!F3997</f>
        <v/>
      </c>
      <c r="F3997">
        <f>Sources!H3997</f>
        <v/>
      </c>
      <c r="G3997">
        <f>IF(ABS(F3997-ROUND(F3997,0))&lt;0.001,1,0)</f>
        <v/>
      </c>
      <c r="H3997">
        <f>IF(G3997=1,F3997,CEILING(F3997,1))</f>
        <v/>
      </c>
      <c r="I3997">
        <f>IF(G3997=1,0,(H3997-F3997)*E3997)</f>
        <v/>
      </c>
      <c r="J3997">
        <f>E3997*F3997</f>
        <v/>
      </c>
    </row>
    <row r="3998">
      <c r="A3998">
        <f>Sources!A3998</f>
        <v/>
      </c>
      <c r="B3998">
        <f>Sources!B3998</f>
        <v/>
      </c>
      <c r="C3998">
        <f>Sources!D3998</f>
        <v/>
      </c>
      <c r="D3998">
        <f>Sources!E3998</f>
        <v/>
      </c>
      <c r="E3998">
        <f>Sources!F3998</f>
        <v/>
      </c>
      <c r="F3998">
        <f>Sources!H3998</f>
        <v/>
      </c>
      <c r="G3998">
        <f>IF(ABS(F3998-ROUND(F3998,0))&lt;0.001,1,0)</f>
        <v/>
      </c>
      <c r="H3998">
        <f>IF(G3998=1,F3998,CEILING(F3998,1))</f>
        <v/>
      </c>
      <c r="I3998">
        <f>IF(G3998=1,0,(H3998-F3998)*E3998)</f>
        <v/>
      </c>
      <c r="J3998">
        <f>E3998*F3998</f>
        <v/>
      </c>
    </row>
    <row r="3999">
      <c r="A3999">
        <f>Sources!A3999</f>
        <v/>
      </c>
      <c r="B3999">
        <f>Sources!B3999</f>
        <v/>
      </c>
      <c r="C3999">
        <f>Sources!D3999</f>
        <v/>
      </c>
      <c r="D3999">
        <f>Sources!E3999</f>
        <v/>
      </c>
      <c r="E3999">
        <f>Sources!F3999</f>
        <v/>
      </c>
      <c r="F3999">
        <f>Sources!H3999</f>
        <v/>
      </c>
      <c r="G3999">
        <f>IF(ABS(F3999-ROUND(F3999,0))&lt;0.001,1,0)</f>
        <v/>
      </c>
      <c r="H3999">
        <f>IF(G3999=1,F3999,CEILING(F3999,1))</f>
        <v/>
      </c>
      <c r="I3999">
        <f>IF(G3999=1,0,(H3999-F3999)*E3999)</f>
        <v/>
      </c>
      <c r="J3999">
        <f>E3999*F3999</f>
        <v/>
      </c>
    </row>
    <row r="4000">
      <c r="A4000">
        <f>Sources!A4000</f>
        <v/>
      </c>
      <c r="B4000">
        <f>Sources!B4000</f>
        <v/>
      </c>
      <c r="C4000">
        <f>Sources!D4000</f>
        <v/>
      </c>
      <c r="D4000">
        <f>Sources!E4000</f>
        <v/>
      </c>
      <c r="E4000">
        <f>Sources!F4000</f>
        <v/>
      </c>
      <c r="F4000">
        <f>Sources!H4000</f>
        <v/>
      </c>
      <c r="G4000">
        <f>IF(ABS(F4000-ROUND(F4000,0))&lt;0.001,1,0)</f>
        <v/>
      </c>
      <c r="H4000">
        <f>IF(G4000=1,F4000,CEILING(F4000,1))</f>
        <v/>
      </c>
      <c r="I4000">
        <f>IF(G4000=1,0,(H4000-F4000)*E4000)</f>
        <v/>
      </c>
      <c r="J4000">
        <f>E4000*F4000</f>
        <v/>
      </c>
    </row>
    <row r="4001">
      <c r="A4001">
        <f>Sources!A4001</f>
        <v/>
      </c>
      <c r="B4001">
        <f>Sources!B4001</f>
        <v/>
      </c>
      <c r="C4001">
        <f>Sources!D4001</f>
        <v/>
      </c>
      <c r="D4001">
        <f>Sources!E4001</f>
        <v/>
      </c>
      <c r="E4001">
        <f>Sources!F4001</f>
        <v/>
      </c>
      <c r="F4001">
        <f>Sources!H4001</f>
        <v/>
      </c>
      <c r="G4001">
        <f>IF(ABS(F4001-ROUND(F4001,0))&lt;0.001,1,0)</f>
        <v/>
      </c>
      <c r="H4001">
        <f>IF(G4001=1,F4001,CEILING(F4001,1))</f>
        <v/>
      </c>
      <c r="I4001">
        <f>IF(G4001=1,0,(H4001-F4001)*E4001)</f>
        <v/>
      </c>
      <c r="J4001">
        <f>E4001*F4001</f>
        <v/>
      </c>
    </row>
    <row r="4002">
      <c r="A4002">
        <f>Sources!A4002</f>
        <v/>
      </c>
      <c r="B4002">
        <f>Sources!B4002</f>
        <v/>
      </c>
      <c r="C4002">
        <f>Sources!D4002</f>
        <v/>
      </c>
      <c r="D4002">
        <f>Sources!E4002</f>
        <v/>
      </c>
      <c r="E4002">
        <f>Sources!F4002</f>
        <v/>
      </c>
      <c r="F4002">
        <f>Sources!H4002</f>
        <v/>
      </c>
      <c r="G4002">
        <f>IF(ABS(F4002-ROUND(F4002,0))&lt;0.001,1,0)</f>
        <v/>
      </c>
      <c r="H4002">
        <f>IF(G4002=1,F4002,CEILING(F4002,1))</f>
        <v/>
      </c>
      <c r="I4002">
        <f>IF(G4002=1,0,(H4002-F4002)*E4002)</f>
        <v/>
      </c>
      <c r="J4002">
        <f>E4002*F4002</f>
        <v/>
      </c>
    </row>
    <row r="4003">
      <c r="A4003">
        <f>Sources!A4003</f>
        <v/>
      </c>
      <c r="B4003">
        <f>Sources!B4003</f>
        <v/>
      </c>
      <c r="C4003">
        <f>Sources!D4003</f>
        <v/>
      </c>
      <c r="D4003">
        <f>Sources!E4003</f>
        <v/>
      </c>
      <c r="E4003">
        <f>Sources!F4003</f>
        <v/>
      </c>
      <c r="F4003">
        <f>Sources!H4003</f>
        <v/>
      </c>
      <c r="G4003">
        <f>IF(ABS(F4003-ROUND(F4003,0))&lt;0.001,1,0)</f>
        <v/>
      </c>
      <c r="H4003">
        <f>IF(G4003=1,F4003,CEILING(F4003,1))</f>
        <v/>
      </c>
      <c r="I4003">
        <f>IF(G4003=1,0,(H4003-F4003)*E4003)</f>
        <v/>
      </c>
      <c r="J4003">
        <f>E4003*F4003</f>
        <v/>
      </c>
    </row>
    <row r="4004">
      <c r="A4004">
        <f>Sources!A4004</f>
        <v/>
      </c>
      <c r="B4004">
        <f>Sources!B4004</f>
        <v/>
      </c>
      <c r="C4004">
        <f>Sources!D4004</f>
        <v/>
      </c>
      <c r="D4004">
        <f>Sources!E4004</f>
        <v/>
      </c>
      <c r="E4004">
        <f>Sources!F4004</f>
        <v/>
      </c>
      <c r="F4004">
        <f>Sources!H4004</f>
        <v/>
      </c>
      <c r="G4004">
        <f>IF(ABS(F4004-ROUND(F4004,0))&lt;0.001,1,0)</f>
        <v/>
      </c>
      <c r="H4004">
        <f>IF(G4004=1,F4004,CEILING(F4004,1))</f>
        <v/>
      </c>
      <c r="I4004">
        <f>IF(G4004=1,0,(H4004-F4004)*E4004)</f>
        <v/>
      </c>
      <c r="J4004">
        <f>E4004*F4004</f>
        <v/>
      </c>
    </row>
    <row r="4005">
      <c r="A4005">
        <f>Sources!A4005</f>
        <v/>
      </c>
      <c r="B4005">
        <f>Sources!B4005</f>
        <v/>
      </c>
      <c r="C4005">
        <f>Sources!D4005</f>
        <v/>
      </c>
      <c r="D4005">
        <f>Sources!E4005</f>
        <v/>
      </c>
      <c r="E4005">
        <f>Sources!F4005</f>
        <v/>
      </c>
      <c r="F4005">
        <f>Sources!H4005</f>
        <v/>
      </c>
      <c r="G4005">
        <f>IF(ABS(F4005-ROUND(F4005,0))&lt;0.001,1,0)</f>
        <v/>
      </c>
      <c r="H4005">
        <f>IF(G4005=1,F4005,CEILING(F4005,1))</f>
        <v/>
      </c>
      <c r="I4005">
        <f>IF(G4005=1,0,(H4005-F4005)*E4005)</f>
        <v/>
      </c>
      <c r="J4005">
        <f>E4005*F4005</f>
        <v/>
      </c>
    </row>
    <row r="4006">
      <c r="A4006">
        <f>Sources!A4006</f>
        <v/>
      </c>
      <c r="B4006">
        <f>Sources!B4006</f>
        <v/>
      </c>
      <c r="C4006">
        <f>Sources!D4006</f>
        <v/>
      </c>
      <c r="D4006">
        <f>Sources!E4006</f>
        <v/>
      </c>
      <c r="E4006">
        <f>Sources!F4006</f>
        <v/>
      </c>
      <c r="F4006">
        <f>Sources!H4006</f>
        <v/>
      </c>
      <c r="G4006">
        <f>IF(ABS(F4006-ROUND(F4006,0))&lt;0.001,1,0)</f>
        <v/>
      </c>
      <c r="H4006">
        <f>IF(G4006=1,F4006,CEILING(F4006,1))</f>
        <v/>
      </c>
      <c r="I4006">
        <f>IF(G4006=1,0,(H4006-F4006)*E4006)</f>
        <v/>
      </c>
      <c r="J4006">
        <f>E4006*F4006</f>
        <v/>
      </c>
    </row>
    <row r="4007">
      <c r="A4007">
        <f>Sources!A4007</f>
        <v/>
      </c>
      <c r="B4007">
        <f>Sources!B4007</f>
        <v/>
      </c>
      <c r="C4007">
        <f>Sources!D4007</f>
        <v/>
      </c>
      <c r="D4007">
        <f>Sources!E4007</f>
        <v/>
      </c>
      <c r="E4007">
        <f>Sources!F4007</f>
        <v/>
      </c>
      <c r="F4007">
        <f>Sources!H4007</f>
        <v/>
      </c>
      <c r="G4007">
        <f>IF(ABS(F4007-ROUND(F4007,0))&lt;0.001,1,0)</f>
        <v/>
      </c>
      <c r="H4007">
        <f>IF(G4007=1,F4007,CEILING(F4007,1))</f>
        <v/>
      </c>
      <c r="I4007">
        <f>IF(G4007=1,0,(H4007-F4007)*E4007)</f>
        <v/>
      </c>
      <c r="J4007">
        <f>E4007*F4007</f>
        <v/>
      </c>
    </row>
    <row r="4008">
      <c r="A4008">
        <f>Sources!A4008</f>
        <v/>
      </c>
      <c r="B4008">
        <f>Sources!B4008</f>
        <v/>
      </c>
      <c r="C4008">
        <f>Sources!D4008</f>
        <v/>
      </c>
      <c r="D4008">
        <f>Sources!E4008</f>
        <v/>
      </c>
      <c r="E4008">
        <f>Sources!F4008</f>
        <v/>
      </c>
      <c r="F4008">
        <f>Sources!H4008</f>
        <v/>
      </c>
      <c r="G4008">
        <f>IF(ABS(F4008-ROUND(F4008,0))&lt;0.001,1,0)</f>
        <v/>
      </c>
      <c r="H4008">
        <f>IF(G4008=1,F4008,CEILING(F4008,1))</f>
        <v/>
      </c>
      <c r="I4008">
        <f>IF(G4008=1,0,(H4008-F4008)*E4008)</f>
        <v/>
      </c>
      <c r="J4008">
        <f>E4008*F4008</f>
        <v/>
      </c>
    </row>
    <row r="4009">
      <c r="A4009">
        <f>Sources!A4009</f>
        <v/>
      </c>
      <c r="B4009">
        <f>Sources!B4009</f>
        <v/>
      </c>
      <c r="C4009">
        <f>Sources!D4009</f>
        <v/>
      </c>
      <c r="D4009">
        <f>Sources!E4009</f>
        <v/>
      </c>
      <c r="E4009">
        <f>Sources!F4009</f>
        <v/>
      </c>
      <c r="F4009">
        <f>Sources!H4009</f>
        <v/>
      </c>
      <c r="G4009">
        <f>IF(ABS(F4009-ROUND(F4009,0))&lt;0.001,1,0)</f>
        <v/>
      </c>
      <c r="H4009">
        <f>IF(G4009=1,F4009,CEILING(F4009,1))</f>
        <v/>
      </c>
      <c r="I4009">
        <f>IF(G4009=1,0,(H4009-F4009)*E4009)</f>
        <v/>
      </c>
      <c r="J4009">
        <f>E4009*F4009</f>
        <v/>
      </c>
    </row>
    <row r="4010">
      <c r="A4010">
        <f>Sources!A4010</f>
        <v/>
      </c>
      <c r="B4010">
        <f>Sources!B4010</f>
        <v/>
      </c>
      <c r="C4010">
        <f>Sources!D4010</f>
        <v/>
      </c>
      <c r="D4010">
        <f>Sources!E4010</f>
        <v/>
      </c>
      <c r="E4010">
        <f>Sources!F4010</f>
        <v/>
      </c>
      <c r="F4010">
        <f>Sources!H4010</f>
        <v/>
      </c>
      <c r="G4010">
        <f>IF(ABS(F4010-ROUND(F4010,0))&lt;0.001,1,0)</f>
        <v/>
      </c>
      <c r="H4010">
        <f>IF(G4010=1,F4010,CEILING(F4010,1))</f>
        <v/>
      </c>
      <c r="I4010">
        <f>IF(G4010=1,0,(H4010-F4010)*E4010)</f>
        <v/>
      </c>
      <c r="J4010">
        <f>E4010*F4010</f>
        <v/>
      </c>
    </row>
    <row r="4011">
      <c r="A4011">
        <f>Sources!A4011</f>
        <v/>
      </c>
      <c r="B4011">
        <f>Sources!B4011</f>
        <v/>
      </c>
      <c r="C4011">
        <f>Sources!D4011</f>
        <v/>
      </c>
      <c r="D4011">
        <f>Sources!E4011</f>
        <v/>
      </c>
      <c r="E4011">
        <f>Sources!F4011</f>
        <v/>
      </c>
      <c r="F4011">
        <f>Sources!H4011</f>
        <v/>
      </c>
      <c r="G4011">
        <f>IF(ABS(F4011-ROUND(F4011,0))&lt;0.001,1,0)</f>
        <v/>
      </c>
      <c r="H4011">
        <f>IF(G4011=1,F4011,CEILING(F4011,1))</f>
        <v/>
      </c>
      <c r="I4011">
        <f>IF(G4011=1,0,(H4011-F4011)*E4011)</f>
        <v/>
      </c>
      <c r="J4011">
        <f>E4011*F4011</f>
        <v/>
      </c>
    </row>
    <row r="4012">
      <c r="A4012">
        <f>Sources!A4012</f>
        <v/>
      </c>
      <c r="B4012">
        <f>Sources!B4012</f>
        <v/>
      </c>
      <c r="C4012">
        <f>Sources!D4012</f>
        <v/>
      </c>
      <c r="D4012">
        <f>Sources!E4012</f>
        <v/>
      </c>
      <c r="E4012">
        <f>Sources!F4012</f>
        <v/>
      </c>
      <c r="F4012">
        <f>Sources!H4012</f>
        <v/>
      </c>
      <c r="G4012">
        <f>IF(ABS(F4012-ROUND(F4012,0))&lt;0.001,1,0)</f>
        <v/>
      </c>
      <c r="H4012">
        <f>IF(G4012=1,F4012,CEILING(F4012,1))</f>
        <v/>
      </c>
      <c r="I4012">
        <f>IF(G4012=1,0,(H4012-F4012)*E4012)</f>
        <v/>
      </c>
      <c r="J4012">
        <f>E4012*F4012</f>
        <v/>
      </c>
    </row>
    <row r="4013">
      <c r="A4013">
        <f>Sources!A4013</f>
        <v/>
      </c>
      <c r="B4013">
        <f>Sources!B4013</f>
        <v/>
      </c>
      <c r="C4013">
        <f>Sources!D4013</f>
        <v/>
      </c>
      <c r="D4013">
        <f>Sources!E4013</f>
        <v/>
      </c>
      <c r="E4013">
        <f>Sources!F4013</f>
        <v/>
      </c>
      <c r="F4013">
        <f>Sources!H4013</f>
        <v/>
      </c>
      <c r="G4013">
        <f>IF(ABS(F4013-ROUND(F4013,0))&lt;0.001,1,0)</f>
        <v/>
      </c>
      <c r="H4013">
        <f>IF(G4013=1,F4013,CEILING(F4013,1))</f>
        <v/>
      </c>
      <c r="I4013">
        <f>IF(G4013=1,0,(H4013-F4013)*E4013)</f>
        <v/>
      </c>
      <c r="J4013">
        <f>E4013*F4013</f>
        <v/>
      </c>
    </row>
    <row r="4014">
      <c r="A4014">
        <f>Sources!A4014</f>
        <v/>
      </c>
      <c r="B4014">
        <f>Sources!B4014</f>
        <v/>
      </c>
      <c r="C4014">
        <f>Sources!D4014</f>
        <v/>
      </c>
      <c r="D4014">
        <f>Sources!E4014</f>
        <v/>
      </c>
      <c r="E4014">
        <f>Sources!F4014</f>
        <v/>
      </c>
      <c r="F4014">
        <f>Sources!H4014</f>
        <v/>
      </c>
      <c r="G4014">
        <f>IF(ABS(F4014-ROUND(F4014,0))&lt;0.001,1,0)</f>
        <v/>
      </c>
      <c r="H4014">
        <f>IF(G4014=1,F4014,CEILING(F4014,1))</f>
        <v/>
      </c>
      <c r="I4014">
        <f>IF(G4014=1,0,(H4014-F4014)*E4014)</f>
        <v/>
      </c>
      <c r="J4014">
        <f>E4014*F4014</f>
        <v/>
      </c>
    </row>
    <row r="4015">
      <c r="A4015">
        <f>Sources!A4015</f>
        <v/>
      </c>
      <c r="B4015">
        <f>Sources!B4015</f>
        <v/>
      </c>
      <c r="C4015">
        <f>Sources!D4015</f>
        <v/>
      </c>
      <c r="D4015">
        <f>Sources!E4015</f>
        <v/>
      </c>
      <c r="E4015">
        <f>Sources!F4015</f>
        <v/>
      </c>
      <c r="F4015">
        <f>Sources!H4015</f>
        <v/>
      </c>
      <c r="G4015">
        <f>IF(ABS(F4015-ROUND(F4015,0))&lt;0.001,1,0)</f>
        <v/>
      </c>
      <c r="H4015">
        <f>IF(G4015=1,F4015,CEILING(F4015,1))</f>
        <v/>
      </c>
      <c r="I4015">
        <f>IF(G4015=1,0,(H4015-F4015)*E4015)</f>
        <v/>
      </c>
      <c r="J4015">
        <f>E4015*F4015</f>
        <v/>
      </c>
    </row>
    <row r="4016">
      <c r="A4016">
        <f>Sources!A4016</f>
        <v/>
      </c>
      <c r="B4016">
        <f>Sources!B4016</f>
        <v/>
      </c>
      <c r="C4016">
        <f>Sources!D4016</f>
        <v/>
      </c>
      <c r="D4016">
        <f>Sources!E4016</f>
        <v/>
      </c>
      <c r="E4016">
        <f>Sources!F4016</f>
        <v/>
      </c>
      <c r="F4016">
        <f>Sources!H4016</f>
        <v/>
      </c>
      <c r="G4016">
        <f>IF(ABS(F4016-ROUND(F4016,0))&lt;0.001,1,0)</f>
        <v/>
      </c>
      <c r="H4016">
        <f>IF(G4016=1,F4016,CEILING(F4016,1))</f>
        <v/>
      </c>
      <c r="I4016">
        <f>IF(G4016=1,0,(H4016-F4016)*E4016)</f>
        <v/>
      </c>
      <c r="J4016">
        <f>E4016*F4016</f>
        <v/>
      </c>
    </row>
    <row r="4017">
      <c r="A4017">
        <f>Sources!A4017</f>
        <v/>
      </c>
      <c r="B4017">
        <f>Sources!B4017</f>
        <v/>
      </c>
      <c r="C4017">
        <f>Sources!D4017</f>
        <v/>
      </c>
      <c r="D4017">
        <f>Sources!E4017</f>
        <v/>
      </c>
      <c r="E4017">
        <f>Sources!F4017</f>
        <v/>
      </c>
      <c r="F4017">
        <f>Sources!H4017</f>
        <v/>
      </c>
      <c r="G4017">
        <f>IF(ABS(F4017-ROUND(F4017,0))&lt;0.001,1,0)</f>
        <v/>
      </c>
      <c r="H4017">
        <f>IF(G4017=1,F4017,CEILING(F4017,1))</f>
        <v/>
      </c>
      <c r="I4017">
        <f>IF(G4017=1,0,(H4017-F4017)*E4017)</f>
        <v/>
      </c>
      <c r="J4017">
        <f>E4017*F4017</f>
        <v/>
      </c>
    </row>
    <row r="4018">
      <c r="A4018">
        <f>Sources!A4018</f>
        <v/>
      </c>
      <c r="B4018">
        <f>Sources!B4018</f>
        <v/>
      </c>
      <c r="C4018">
        <f>Sources!D4018</f>
        <v/>
      </c>
      <c r="D4018">
        <f>Sources!E4018</f>
        <v/>
      </c>
      <c r="E4018">
        <f>Sources!F4018</f>
        <v/>
      </c>
      <c r="F4018">
        <f>Sources!H4018</f>
        <v/>
      </c>
      <c r="G4018">
        <f>IF(ABS(F4018-ROUND(F4018,0))&lt;0.001,1,0)</f>
        <v/>
      </c>
      <c r="H4018">
        <f>IF(G4018=1,F4018,CEILING(F4018,1))</f>
        <v/>
      </c>
      <c r="I4018">
        <f>IF(G4018=1,0,(H4018-F4018)*E4018)</f>
        <v/>
      </c>
      <c r="J4018">
        <f>E4018*F4018</f>
        <v/>
      </c>
    </row>
    <row r="4019">
      <c r="A4019">
        <f>Sources!A4019</f>
        <v/>
      </c>
      <c r="B4019">
        <f>Sources!B4019</f>
        <v/>
      </c>
      <c r="C4019">
        <f>Sources!D4019</f>
        <v/>
      </c>
      <c r="D4019">
        <f>Sources!E4019</f>
        <v/>
      </c>
      <c r="E4019">
        <f>Sources!F4019</f>
        <v/>
      </c>
      <c r="F4019">
        <f>Sources!H4019</f>
        <v/>
      </c>
      <c r="G4019">
        <f>IF(ABS(F4019-ROUND(F4019,0))&lt;0.001,1,0)</f>
        <v/>
      </c>
      <c r="H4019">
        <f>IF(G4019=1,F4019,CEILING(F4019,1))</f>
        <v/>
      </c>
      <c r="I4019">
        <f>IF(G4019=1,0,(H4019-F4019)*E4019)</f>
        <v/>
      </c>
      <c r="J4019">
        <f>E4019*F4019</f>
        <v/>
      </c>
    </row>
    <row r="4020">
      <c r="A4020">
        <f>Sources!A4020</f>
        <v/>
      </c>
      <c r="B4020">
        <f>Sources!B4020</f>
        <v/>
      </c>
      <c r="C4020">
        <f>Sources!D4020</f>
        <v/>
      </c>
      <c r="D4020">
        <f>Sources!E4020</f>
        <v/>
      </c>
      <c r="E4020">
        <f>Sources!F4020</f>
        <v/>
      </c>
      <c r="F4020">
        <f>Sources!H4020</f>
        <v/>
      </c>
      <c r="G4020">
        <f>IF(ABS(F4020-ROUND(F4020,0))&lt;0.001,1,0)</f>
        <v/>
      </c>
      <c r="H4020">
        <f>IF(G4020=1,F4020,CEILING(F4020,1))</f>
        <v/>
      </c>
      <c r="I4020">
        <f>IF(G4020=1,0,(H4020-F4020)*E4020)</f>
        <v/>
      </c>
      <c r="J4020">
        <f>E4020*F4020</f>
        <v/>
      </c>
    </row>
    <row r="4021">
      <c r="A4021">
        <f>Sources!A4021</f>
        <v/>
      </c>
      <c r="B4021">
        <f>Sources!B4021</f>
        <v/>
      </c>
      <c r="C4021">
        <f>Sources!D4021</f>
        <v/>
      </c>
      <c r="D4021">
        <f>Sources!E4021</f>
        <v/>
      </c>
      <c r="E4021">
        <f>Sources!F4021</f>
        <v/>
      </c>
      <c r="F4021">
        <f>Sources!H4021</f>
        <v/>
      </c>
      <c r="G4021">
        <f>IF(ABS(F4021-ROUND(F4021,0))&lt;0.001,1,0)</f>
        <v/>
      </c>
      <c r="H4021">
        <f>IF(G4021=1,F4021,CEILING(F4021,1))</f>
        <v/>
      </c>
      <c r="I4021">
        <f>IF(G4021=1,0,(H4021-F4021)*E4021)</f>
        <v/>
      </c>
      <c r="J4021">
        <f>E4021*F4021</f>
        <v/>
      </c>
    </row>
    <row r="4022">
      <c r="A4022">
        <f>Sources!A4022</f>
        <v/>
      </c>
      <c r="B4022">
        <f>Sources!B4022</f>
        <v/>
      </c>
      <c r="C4022">
        <f>Sources!D4022</f>
        <v/>
      </c>
      <c r="D4022">
        <f>Sources!E4022</f>
        <v/>
      </c>
      <c r="E4022">
        <f>Sources!F4022</f>
        <v/>
      </c>
      <c r="F4022">
        <f>Sources!H4022</f>
        <v/>
      </c>
      <c r="G4022">
        <f>IF(ABS(F4022-ROUND(F4022,0))&lt;0.001,1,0)</f>
        <v/>
      </c>
      <c r="H4022">
        <f>IF(G4022=1,F4022,CEILING(F4022,1))</f>
        <v/>
      </c>
      <c r="I4022">
        <f>IF(G4022=1,0,(H4022-F4022)*E4022)</f>
        <v/>
      </c>
      <c r="J4022">
        <f>E4022*F4022</f>
        <v/>
      </c>
    </row>
    <row r="4023">
      <c r="A4023">
        <f>Sources!A4023</f>
        <v/>
      </c>
      <c r="B4023">
        <f>Sources!B4023</f>
        <v/>
      </c>
      <c r="C4023">
        <f>Sources!D4023</f>
        <v/>
      </c>
      <c r="D4023">
        <f>Sources!E4023</f>
        <v/>
      </c>
      <c r="E4023">
        <f>Sources!F4023</f>
        <v/>
      </c>
      <c r="F4023">
        <f>Sources!H4023</f>
        <v/>
      </c>
      <c r="G4023">
        <f>IF(ABS(F4023-ROUND(F4023,0))&lt;0.001,1,0)</f>
        <v/>
      </c>
      <c r="H4023">
        <f>IF(G4023=1,F4023,CEILING(F4023,1))</f>
        <v/>
      </c>
      <c r="I4023">
        <f>IF(G4023=1,0,(H4023-F4023)*E4023)</f>
        <v/>
      </c>
      <c r="J4023">
        <f>E4023*F4023</f>
        <v/>
      </c>
    </row>
    <row r="4024">
      <c r="A4024">
        <f>Sources!A4024</f>
        <v/>
      </c>
      <c r="B4024">
        <f>Sources!B4024</f>
        <v/>
      </c>
      <c r="C4024">
        <f>Sources!D4024</f>
        <v/>
      </c>
      <c r="D4024">
        <f>Sources!E4024</f>
        <v/>
      </c>
      <c r="E4024">
        <f>Sources!F4024</f>
        <v/>
      </c>
      <c r="F4024">
        <f>Sources!H4024</f>
        <v/>
      </c>
      <c r="G4024">
        <f>IF(ABS(F4024-ROUND(F4024,0))&lt;0.001,1,0)</f>
        <v/>
      </c>
      <c r="H4024">
        <f>IF(G4024=1,F4024,CEILING(F4024,1))</f>
        <v/>
      </c>
      <c r="I4024">
        <f>IF(G4024=1,0,(H4024-F4024)*E4024)</f>
        <v/>
      </c>
      <c r="J4024">
        <f>E4024*F4024</f>
        <v/>
      </c>
    </row>
    <row r="4025">
      <c r="A4025">
        <f>Sources!A4025</f>
        <v/>
      </c>
      <c r="B4025">
        <f>Sources!B4025</f>
        <v/>
      </c>
      <c r="C4025">
        <f>Sources!D4025</f>
        <v/>
      </c>
      <c r="D4025">
        <f>Sources!E4025</f>
        <v/>
      </c>
      <c r="E4025">
        <f>Sources!F4025</f>
        <v/>
      </c>
      <c r="F4025">
        <f>Sources!H4025</f>
        <v/>
      </c>
      <c r="G4025">
        <f>IF(ABS(F4025-ROUND(F4025,0))&lt;0.001,1,0)</f>
        <v/>
      </c>
      <c r="H4025">
        <f>IF(G4025=1,F4025,CEILING(F4025,1))</f>
        <v/>
      </c>
      <c r="I4025">
        <f>IF(G4025=1,0,(H4025-F4025)*E4025)</f>
        <v/>
      </c>
      <c r="J4025">
        <f>E4025*F4025</f>
        <v/>
      </c>
    </row>
    <row r="4026">
      <c r="A4026">
        <f>Sources!A4026</f>
        <v/>
      </c>
      <c r="B4026">
        <f>Sources!B4026</f>
        <v/>
      </c>
      <c r="C4026">
        <f>Sources!D4026</f>
        <v/>
      </c>
      <c r="D4026">
        <f>Sources!E4026</f>
        <v/>
      </c>
      <c r="E4026">
        <f>Sources!F4026</f>
        <v/>
      </c>
      <c r="F4026">
        <f>Sources!H4026</f>
        <v/>
      </c>
      <c r="G4026">
        <f>IF(ABS(F4026-ROUND(F4026,0))&lt;0.001,1,0)</f>
        <v/>
      </c>
      <c r="H4026">
        <f>IF(G4026=1,F4026,CEILING(F4026,1))</f>
        <v/>
      </c>
      <c r="I4026">
        <f>IF(G4026=1,0,(H4026-F4026)*E4026)</f>
        <v/>
      </c>
      <c r="J4026">
        <f>E4026*F4026</f>
        <v/>
      </c>
    </row>
    <row r="4027">
      <c r="A4027">
        <f>Sources!A4027</f>
        <v/>
      </c>
      <c r="B4027">
        <f>Sources!B4027</f>
        <v/>
      </c>
      <c r="C4027">
        <f>Sources!D4027</f>
        <v/>
      </c>
      <c r="D4027">
        <f>Sources!E4027</f>
        <v/>
      </c>
      <c r="E4027">
        <f>Sources!F4027</f>
        <v/>
      </c>
      <c r="F4027">
        <f>Sources!H4027</f>
        <v/>
      </c>
      <c r="G4027">
        <f>IF(ABS(F4027-ROUND(F4027,0))&lt;0.001,1,0)</f>
        <v/>
      </c>
      <c r="H4027">
        <f>IF(G4027=1,F4027,CEILING(F4027,1))</f>
        <v/>
      </c>
      <c r="I4027">
        <f>IF(G4027=1,0,(H4027-F4027)*E4027)</f>
        <v/>
      </c>
      <c r="J4027">
        <f>E4027*F4027</f>
        <v/>
      </c>
    </row>
    <row r="4028">
      <c r="A4028">
        <f>Sources!A4028</f>
        <v/>
      </c>
      <c r="B4028">
        <f>Sources!B4028</f>
        <v/>
      </c>
      <c r="C4028">
        <f>Sources!D4028</f>
        <v/>
      </c>
      <c r="D4028">
        <f>Sources!E4028</f>
        <v/>
      </c>
      <c r="E4028">
        <f>Sources!F4028</f>
        <v/>
      </c>
      <c r="F4028">
        <f>Sources!H4028</f>
        <v/>
      </c>
      <c r="G4028">
        <f>IF(ABS(F4028-ROUND(F4028,0))&lt;0.001,1,0)</f>
        <v/>
      </c>
      <c r="H4028">
        <f>IF(G4028=1,F4028,CEILING(F4028,1))</f>
        <v/>
      </c>
      <c r="I4028">
        <f>IF(G4028=1,0,(H4028-F4028)*E4028)</f>
        <v/>
      </c>
      <c r="J4028">
        <f>E4028*F4028</f>
        <v/>
      </c>
    </row>
    <row r="4029">
      <c r="A4029">
        <f>Sources!A4029</f>
        <v/>
      </c>
      <c r="B4029">
        <f>Sources!B4029</f>
        <v/>
      </c>
      <c r="C4029">
        <f>Sources!D4029</f>
        <v/>
      </c>
      <c r="D4029">
        <f>Sources!E4029</f>
        <v/>
      </c>
      <c r="E4029">
        <f>Sources!F4029</f>
        <v/>
      </c>
      <c r="F4029">
        <f>Sources!H4029</f>
        <v/>
      </c>
      <c r="G4029">
        <f>IF(ABS(F4029-ROUND(F4029,0))&lt;0.001,1,0)</f>
        <v/>
      </c>
      <c r="H4029">
        <f>IF(G4029=1,F4029,CEILING(F4029,1))</f>
        <v/>
      </c>
      <c r="I4029">
        <f>IF(G4029=1,0,(H4029-F4029)*E4029)</f>
        <v/>
      </c>
      <c r="J4029">
        <f>E4029*F4029</f>
        <v/>
      </c>
    </row>
    <row r="4030">
      <c r="A4030">
        <f>Sources!A4030</f>
        <v/>
      </c>
      <c r="B4030">
        <f>Sources!B4030</f>
        <v/>
      </c>
      <c r="C4030">
        <f>Sources!D4030</f>
        <v/>
      </c>
      <c r="D4030">
        <f>Sources!E4030</f>
        <v/>
      </c>
      <c r="E4030">
        <f>Sources!F4030</f>
        <v/>
      </c>
      <c r="F4030">
        <f>Sources!H4030</f>
        <v/>
      </c>
      <c r="G4030">
        <f>IF(ABS(F4030-ROUND(F4030,0))&lt;0.001,1,0)</f>
        <v/>
      </c>
      <c r="H4030">
        <f>IF(G4030=1,F4030,CEILING(F4030,1))</f>
        <v/>
      </c>
      <c r="I4030">
        <f>IF(G4030=1,0,(H4030-F4030)*E4030)</f>
        <v/>
      </c>
      <c r="J4030">
        <f>E4030*F4030</f>
        <v/>
      </c>
    </row>
    <row r="4031">
      <c r="A4031">
        <f>Sources!A4031</f>
        <v/>
      </c>
      <c r="B4031">
        <f>Sources!B4031</f>
        <v/>
      </c>
      <c r="C4031">
        <f>Sources!D4031</f>
        <v/>
      </c>
      <c r="D4031">
        <f>Sources!E4031</f>
        <v/>
      </c>
      <c r="E4031">
        <f>Sources!F4031</f>
        <v/>
      </c>
      <c r="F4031">
        <f>Sources!H4031</f>
        <v/>
      </c>
      <c r="G4031">
        <f>IF(ABS(F4031-ROUND(F4031,0))&lt;0.001,1,0)</f>
        <v/>
      </c>
      <c r="H4031">
        <f>IF(G4031=1,F4031,CEILING(F4031,1))</f>
        <v/>
      </c>
      <c r="I4031">
        <f>IF(G4031=1,0,(H4031-F4031)*E4031)</f>
        <v/>
      </c>
      <c r="J4031">
        <f>E4031*F4031</f>
        <v/>
      </c>
    </row>
    <row r="4032">
      <c r="A4032">
        <f>Sources!A4032</f>
        <v/>
      </c>
      <c r="B4032">
        <f>Sources!B4032</f>
        <v/>
      </c>
      <c r="C4032">
        <f>Sources!D4032</f>
        <v/>
      </c>
      <c r="D4032">
        <f>Sources!E4032</f>
        <v/>
      </c>
      <c r="E4032">
        <f>Sources!F4032</f>
        <v/>
      </c>
      <c r="F4032">
        <f>Sources!H4032</f>
        <v/>
      </c>
      <c r="G4032">
        <f>IF(ABS(F4032-ROUND(F4032,0))&lt;0.001,1,0)</f>
        <v/>
      </c>
      <c r="H4032">
        <f>IF(G4032=1,F4032,CEILING(F4032,1))</f>
        <v/>
      </c>
      <c r="I4032">
        <f>IF(G4032=1,0,(H4032-F4032)*E4032)</f>
        <v/>
      </c>
      <c r="J4032">
        <f>E4032*F4032</f>
        <v/>
      </c>
    </row>
    <row r="4033">
      <c r="A4033">
        <f>Sources!A4033</f>
        <v/>
      </c>
      <c r="B4033">
        <f>Sources!B4033</f>
        <v/>
      </c>
      <c r="C4033">
        <f>Sources!D4033</f>
        <v/>
      </c>
      <c r="D4033">
        <f>Sources!E4033</f>
        <v/>
      </c>
      <c r="E4033">
        <f>Sources!F4033</f>
        <v/>
      </c>
      <c r="F4033">
        <f>Sources!H4033</f>
        <v/>
      </c>
      <c r="G4033">
        <f>IF(ABS(F4033-ROUND(F4033,0))&lt;0.001,1,0)</f>
        <v/>
      </c>
      <c r="H4033">
        <f>IF(G4033=1,F4033,CEILING(F4033,1))</f>
        <v/>
      </c>
      <c r="I4033">
        <f>IF(G4033=1,0,(H4033-F4033)*E4033)</f>
        <v/>
      </c>
      <c r="J4033">
        <f>E4033*F4033</f>
        <v/>
      </c>
    </row>
    <row r="4034">
      <c r="A4034">
        <f>Sources!A4034</f>
        <v/>
      </c>
      <c r="B4034">
        <f>Sources!B4034</f>
        <v/>
      </c>
      <c r="C4034">
        <f>Sources!D4034</f>
        <v/>
      </c>
      <c r="D4034">
        <f>Sources!E4034</f>
        <v/>
      </c>
      <c r="E4034">
        <f>Sources!F4034</f>
        <v/>
      </c>
      <c r="F4034">
        <f>Sources!H4034</f>
        <v/>
      </c>
      <c r="G4034">
        <f>IF(ABS(F4034-ROUND(F4034,0))&lt;0.001,1,0)</f>
        <v/>
      </c>
      <c r="H4034">
        <f>IF(G4034=1,F4034,CEILING(F4034,1))</f>
        <v/>
      </c>
      <c r="I4034">
        <f>IF(G4034=1,0,(H4034-F4034)*E4034)</f>
        <v/>
      </c>
      <c r="J4034">
        <f>E4034*F4034</f>
        <v/>
      </c>
    </row>
    <row r="4035">
      <c r="A4035">
        <f>Sources!A4035</f>
        <v/>
      </c>
      <c r="B4035">
        <f>Sources!B4035</f>
        <v/>
      </c>
      <c r="C4035">
        <f>Sources!D4035</f>
        <v/>
      </c>
      <c r="D4035">
        <f>Sources!E4035</f>
        <v/>
      </c>
      <c r="E4035">
        <f>Sources!F4035</f>
        <v/>
      </c>
      <c r="F4035">
        <f>Sources!H4035</f>
        <v/>
      </c>
      <c r="G4035">
        <f>IF(ABS(F4035-ROUND(F4035,0))&lt;0.001,1,0)</f>
        <v/>
      </c>
      <c r="H4035">
        <f>IF(G4035=1,F4035,CEILING(F4035,1))</f>
        <v/>
      </c>
      <c r="I4035">
        <f>IF(G4035=1,0,(H4035-F4035)*E4035)</f>
        <v/>
      </c>
      <c r="J4035">
        <f>E4035*F4035</f>
        <v/>
      </c>
    </row>
    <row r="4036">
      <c r="A4036">
        <f>Sources!A4036</f>
        <v/>
      </c>
      <c r="B4036">
        <f>Sources!B4036</f>
        <v/>
      </c>
      <c r="C4036">
        <f>Sources!D4036</f>
        <v/>
      </c>
      <c r="D4036">
        <f>Sources!E4036</f>
        <v/>
      </c>
      <c r="E4036">
        <f>Sources!F4036</f>
        <v/>
      </c>
      <c r="F4036">
        <f>Sources!H4036</f>
        <v/>
      </c>
      <c r="G4036">
        <f>IF(ABS(F4036-ROUND(F4036,0))&lt;0.001,1,0)</f>
        <v/>
      </c>
      <c r="H4036">
        <f>IF(G4036=1,F4036,CEILING(F4036,1))</f>
        <v/>
      </c>
      <c r="I4036">
        <f>IF(G4036=1,0,(H4036-F4036)*E4036)</f>
        <v/>
      </c>
      <c r="J4036">
        <f>E4036*F4036</f>
        <v/>
      </c>
    </row>
    <row r="4037">
      <c r="A4037">
        <f>Sources!A4037</f>
        <v/>
      </c>
      <c r="B4037">
        <f>Sources!B4037</f>
        <v/>
      </c>
      <c r="C4037">
        <f>Sources!D4037</f>
        <v/>
      </c>
      <c r="D4037">
        <f>Sources!E4037</f>
        <v/>
      </c>
      <c r="E4037">
        <f>Sources!F4037</f>
        <v/>
      </c>
      <c r="F4037">
        <f>Sources!H4037</f>
        <v/>
      </c>
      <c r="G4037">
        <f>IF(ABS(F4037-ROUND(F4037,0))&lt;0.001,1,0)</f>
        <v/>
      </c>
      <c r="H4037">
        <f>IF(G4037=1,F4037,CEILING(F4037,1))</f>
        <v/>
      </c>
      <c r="I4037">
        <f>IF(G4037=1,0,(H4037-F4037)*E4037)</f>
        <v/>
      </c>
      <c r="J4037">
        <f>E4037*F4037</f>
        <v/>
      </c>
    </row>
    <row r="4038">
      <c r="A4038">
        <f>Sources!A4038</f>
        <v/>
      </c>
      <c r="B4038">
        <f>Sources!B4038</f>
        <v/>
      </c>
      <c r="C4038">
        <f>Sources!D4038</f>
        <v/>
      </c>
      <c r="D4038">
        <f>Sources!E4038</f>
        <v/>
      </c>
      <c r="E4038">
        <f>Sources!F4038</f>
        <v/>
      </c>
      <c r="F4038">
        <f>Sources!H4038</f>
        <v/>
      </c>
      <c r="G4038">
        <f>IF(ABS(F4038-ROUND(F4038,0))&lt;0.001,1,0)</f>
        <v/>
      </c>
      <c r="H4038">
        <f>IF(G4038=1,F4038,CEILING(F4038,1))</f>
        <v/>
      </c>
      <c r="I4038">
        <f>IF(G4038=1,0,(H4038-F4038)*E4038)</f>
        <v/>
      </c>
      <c r="J4038">
        <f>E4038*F4038</f>
        <v/>
      </c>
    </row>
    <row r="4039">
      <c r="A4039">
        <f>Sources!A4039</f>
        <v/>
      </c>
      <c r="B4039">
        <f>Sources!B4039</f>
        <v/>
      </c>
      <c r="C4039">
        <f>Sources!D4039</f>
        <v/>
      </c>
      <c r="D4039">
        <f>Sources!E4039</f>
        <v/>
      </c>
      <c r="E4039">
        <f>Sources!F4039</f>
        <v/>
      </c>
      <c r="F4039">
        <f>Sources!H4039</f>
        <v/>
      </c>
      <c r="G4039">
        <f>IF(ABS(F4039-ROUND(F4039,0))&lt;0.001,1,0)</f>
        <v/>
      </c>
      <c r="H4039">
        <f>IF(G4039=1,F4039,CEILING(F4039,1))</f>
        <v/>
      </c>
      <c r="I4039">
        <f>IF(G4039=1,0,(H4039-F4039)*E4039)</f>
        <v/>
      </c>
      <c r="J4039">
        <f>E4039*F4039</f>
        <v/>
      </c>
    </row>
    <row r="4040">
      <c r="A4040">
        <f>Sources!A4040</f>
        <v/>
      </c>
      <c r="B4040">
        <f>Sources!B4040</f>
        <v/>
      </c>
      <c r="C4040">
        <f>Sources!D4040</f>
        <v/>
      </c>
      <c r="D4040">
        <f>Sources!E4040</f>
        <v/>
      </c>
      <c r="E4040">
        <f>Sources!F4040</f>
        <v/>
      </c>
      <c r="F4040">
        <f>Sources!H4040</f>
        <v/>
      </c>
      <c r="G4040">
        <f>IF(ABS(F4040-ROUND(F4040,0))&lt;0.001,1,0)</f>
        <v/>
      </c>
      <c r="H4040">
        <f>IF(G4040=1,F4040,CEILING(F4040,1))</f>
        <v/>
      </c>
      <c r="I4040">
        <f>IF(G4040=1,0,(H4040-F4040)*E4040)</f>
        <v/>
      </c>
      <c r="J4040">
        <f>E4040*F4040</f>
        <v/>
      </c>
    </row>
    <row r="4041">
      <c r="A4041">
        <f>Sources!A4041</f>
        <v/>
      </c>
      <c r="B4041">
        <f>Sources!B4041</f>
        <v/>
      </c>
      <c r="C4041">
        <f>Sources!D4041</f>
        <v/>
      </c>
      <c r="D4041">
        <f>Sources!E4041</f>
        <v/>
      </c>
      <c r="E4041">
        <f>Sources!F4041</f>
        <v/>
      </c>
      <c r="F4041">
        <f>Sources!H4041</f>
        <v/>
      </c>
      <c r="G4041">
        <f>IF(ABS(F4041-ROUND(F4041,0))&lt;0.001,1,0)</f>
        <v/>
      </c>
      <c r="H4041">
        <f>IF(G4041=1,F4041,CEILING(F4041,1))</f>
        <v/>
      </c>
      <c r="I4041">
        <f>IF(G4041=1,0,(H4041-F4041)*E4041)</f>
        <v/>
      </c>
      <c r="J4041">
        <f>E4041*F4041</f>
        <v/>
      </c>
    </row>
    <row r="4042">
      <c r="A4042">
        <f>Sources!A4042</f>
        <v/>
      </c>
      <c r="B4042">
        <f>Sources!B4042</f>
        <v/>
      </c>
      <c r="C4042">
        <f>Sources!D4042</f>
        <v/>
      </c>
      <c r="D4042">
        <f>Sources!E4042</f>
        <v/>
      </c>
      <c r="E4042">
        <f>Sources!F4042</f>
        <v/>
      </c>
      <c r="F4042">
        <f>Sources!H4042</f>
        <v/>
      </c>
      <c r="G4042">
        <f>IF(ABS(F4042-ROUND(F4042,0))&lt;0.001,1,0)</f>
        <v/>
      </c>
      <c r="H4042">
        <f>IF(G4042=1,F4042,CEILING(F4042,1))</f>
        <v/>
      </c>
      <c r="I4042">
        <f>IF(G4042=1,0,(H4042-F4042)*E4042)</f>
        <v/>
      </c>
      <c r="J4042">
        <f>E4042*F4042</f>
        <v/>
      </c>
    </row>
    <row r="4043">
      <c r="A4043">
        <f>Sources!A4043</f>
        <v/>
      </c>
      <c r="B4043">
        <f>Sources!B4043</f>
        <v/>
      </c>
      <c r="C4043">
        <f>Sources!D4043</f>
        <v/>
      </c>
      <c r="D4043">
        <f>Sources!E4043</f>
        <v/>
      </c>
      <c r="E4043">
        <f>Sources!F4043</f>
        <v/>
      </c>
      <c r="F4043">
        <f>Sources!H4043</f>
        <v/>
      </c>
      <c r="G4043">
        <f>IF(ABS(F4043-ROUND(F4043,0))&lt;0.001,1,0)</f>
        <v/>
      </c>
      <c r="H4043">
        <f>IF(G4043=1,F4043,CEILING(F4043,1))</f>
        <v/>
      </c>
      <c r="I4043">
        <f>IF(G4043=1,0,(H4043-F4043)*E4043)</f>
        <v/>
      </c>
      <c r="J4043">
        <f>E4043*F4043</f>
        <v/>
      </c>
    </row>
    <row r="4044">
      <c r="A4044">
        <f>Sources!A4044</f>
        <v/>
      </c>
      <c r="B4044">
        <f>Sources!B4044</f>
        <v/>
      </c>
      <c r="C4044">
        <f>Sources!D4044</f>
        <v/>
      </c>
      <c r="D4044">
        <f>Sources!E4044</f>
        <v/>
      </c>
      <c r="E4044">
        <f>Sources!F4044</f>
        <v/>
      </c>
      <c r="F4044">
        <f>Sources!H4044</f>
        <v/>
      </c>
      <c r="G4044">
        <f>IF(ABS(F4044-ROUND(F4044,0))&lt;0.001,1,0)</f>
        <v/>
      </c>
      <c r="H4044">
        <f>IF(G4044=1,F4044,CEILING(F4044,1))</f>
        <v/>
      </c>
      <c r="I4044">
        <f>IF(G4044=1,0,(H4044-F4044)*E4044)</f>
        <v/>
      </c>
      <c r="J4044">
        <f>E4044*F4044</f>
        <v/>
      </c>
    </row>
    <row r="4045">
      <c r="A4045">
        <f>Sources!A4045</f>
        <v/>
      </c>
      <c r="B4045">
        <f>Sources!B4045</f>
        <v/>
      </c>
      <c r="C4045">
        <f>Sources!D4045</f>
        <v/>
      </c>
      <c r="D4045">
        <f>Sources!E4045</f>
        <v/>
      </c>
      <c r="E4045">
        <f>Sources!F4045</f>
        <v/>
      </c>
      <c r="F4045">
        <f>Sources!H4045</f>
        <v/>
      </c>
      <c r="G4045">
        <f>IF(ABS(F4045-ROUND(F4045,0))&lt;0.001,1,0)</f>
        <v/>
      </c>
      <c r="H4045">
        <f>IF(G4045=1,F4045,CEILING(F4045,1))</f>
        <v/>
      </c>
      <c r="I4045">
        <f>IF(G4045=1,0,(H4045-F4045)*E4045)</f>
        <v/>
      </c>
      <c r="J4045">
        <f>E4045*F4045</f>
        <v/>
      </c>
    </row>
    <row r="4046">
      <c r="A4046">
        <f>Sources!A4046</f>
        <v/>
      </c>
      <c r="B4046">
        <f>Sources!B4046</f>
        <v/>
      </c>
      <c r="C4046">
        <f>Sources!D4046</f>
        <v/>
      </c>
      <c r="D4046">
        <f>Sources!E4046</f>
        <v/>
      </c>
      <c r="E4046">
        <f>Sources!F4046</f>
        <v/>
      </c>
      <c r="F4046">
        <f>Sources!H4046</f>
        <v/>
      </c>
      <c r="G4046">
        <f>IF(ABS(F4046-ROUND(F4046,0))&lt;0.001,1,0)</f>
        <v/>
      </c>
      <c r="H4046">
        <f>IF(G4046=1,F4046,CEILING(F4046,1))</f>
        <v/>
      </c>
      <c r="I4046">
        <f>IF(G4046=1,0,(H4046-F4046)*E4046)</f>
        <v/>
      </c>
      <c r="J4046">
        <f>E4046*F4046</f>
        <v/>
      </c>
    </row>
    <row r="4047">
      <c r="A4047">
        <f>Sources!A4047</f>
        <v/>
      </c>
      <c r="B4047">
        <f>Sources!B4047</f>
        <v/>
      </c>
      <c r="C4047">
        <f>Sources!D4047</f>
        <v/>
      </c>
      <c r="D4047">
        <f>Sources!E4047</f>
        <v/>
      </c>
      <c r="E4047">
        <f>Sources!F4047</f>
        <v/>
      </c>
      <c r="F4047">
        <f>Sources!H4047</f>
        <v/>
      </c>
      <c r="G4047">
        <f>IF(ABS(F4047-ROUND(F4047,0))&lt;0.001,1,0)</f>
        <v/>
      </c>
      <c r="H4047">
        <f>IF(G4047=1,F4047,CEILING(F4047,1))</f>
        <v/>
      </c>
      <c r="I4047">
        <f>IF(G4047=1,0,(H4047-F4047)*E4047)</f>
        <v/>
      </c>
      <c r="J4047">
        <f>E4047*F4047</f>
        <v/>
      </c>
    </row>
    <row r="4048">
      <c r="A4048">
        <f>Sources!A4048</f>
        <v/>
      </c>
      <c r="B4048">
        <f>Sources!B4048</f>
        <v/>
      </c>
      <c r="C4048">
        <f>Sources!D4048</f>
        <v/>
      </c>
      <c r="D4048">
        <f>Sources!E4048</f>
        <v/>
      </c>
      <c r="E4048">
        <f>Sources!F4048</f>
        <v/>
      </c>
      <c r="F4048">
        <f>Sources!H4048</f>
        <v/>
      </c>
      <c r="G4048">
        <f>IF(ABS(F4048-ROUND(F4048,0))&lt;0.001,1,0)</f>
        <v/>
      </c>
      <c r="H4048">
        <f>IF(G4048=1,F4048,CEILING(F4048,1))</f>
        <v/>
      </c>
      <c r="I4048">
        <f>IF(G4048=1,0,(H4048-F4048)*E4048)</f>
        <v/>
      </c>
      <c r="J4048">
        <f>E4048*F4048</f>
        <v/>
      </c>
    </row>
    <row r="4049">
      <c r="A4049">
        <f>Sources!A4049</f>
        <v/>
      </c>
      <c r="B4049">
        <f>Sources!B4049</f>
        <v/>
      </c>
      <c r="C4049">
        <f>Sources!D4049</f>
        <v/>
      </c>
      <c r="D4049">
        <f>Sources!E4049</f>
        <v/>
      </c>
      <c r="E4049">
        <f>Sources!F4049</f>
        <v/>
      </c>
      <c r="F4049">
        <f>Sources!H4049</f>
        <v/>
      </c>
      <c r="G4049">
        <f>IF(ABS(F4049-ROUND(F4049,0))&lt;0.001,1,0)</f>
        <v/>
      </c>
      <c r="H4049">
        <f>IF(G4049=1,F4049,CEILING(F4049,1))</f>
        <v/>
      </c>
      <c r="I4049">
        <f>IF(G4049=1,0,(H4049-F4049)*E4049)</f>
        <v/>
      </c>
      <c r="J4049">
        <f>E4049*F4049</f>
        <v/>
      </c>
    </row>
    <row r="4050">
      <c r="A4050">
        <f>Sources!A4050</f>
        <v/>
      </c>
      <c r="B4050">
        <f>Sources!B4050</f>
        <v/>
      </c>
      <c r="C4050">
        <f>Sources!D4050</f>
        <v/>
      </c>
      <c r="D4050">
        <f>Sources!E4050</f>
        <v/>
      </c>
      <c r="E4050">
        <f>Sources!F4050</f>
        <v/>
      </c>
      <c r="F4050">
        <f>Sources!H4050</f>
        <v/>
      </c>
      <c r="G4050">
        <f>IF(ABS(F4050-ROUND(F4050,0))&lt;0.001,1,0)</f>
        <v/>
      </c>
      <c r="H4050">
        <f>IF(G4050=1,F4050,CEILING(F4050,1))</f>
        <v/>
      </c>
      <c r="I4050">
        <f>IF(G4050=1,0,(H4050-F4050)*E4050)</f>
        <v/>
      </c>
      <c r="J4050">
        <f>E4050*F4050</f>
        <v/>
      </c>
    </row>
    <row r="4051">
      <c r="A4051">
        <f>Sources!A4051</f>
        <v/>
      </c>
      <c r="B4051">
        <f>Sources!B4051</f>
        <v/>
      </c>
      <c r="C4051">
        <f>Sources!D4051</f>
        <v/>
      </c>
      <c r="D4051">
        <f>Sources!E4051</f>
        <v/>
      </c>
      <c r="E4051">
        <f>Sources!F4051</f>
        <v/>
      </c>
      <c r="F4051">
        <f>Sources!H4051</f>
        <v/>
      </c>
      <c r="G4051">
        <f>IF(ABS(F4051-ROUND(F4051,0))&lt;0.001,1,0)</f>
        <v/>
      </c>
      <c r="H4051">
        <f>IF(G4051=1,F4051,CEILING(F4051,1))</f>
        <v/>
      </c>
      <c r="I4051">
        <f>IF(G4051=1,0,(H4051-F4051)*E4051)</f>
        <v/>
      </c>
      <c r="J4051">
        <f>E4051*F4051</f>
        <v/>
      </c>
    </row>
    <row r="4052">
      <c r="A4052">
        <f>Sources!A4052</f>
        <v/>
      </c>
      <c r="B4052">
        <f>Sources!B4052</f>
        <v/>
      </c>
      <c r="C4052">
        <f>Sources!D4052</f>
        <v/>
      </c>
      <c r="D4052">
        <f>Sources!E4052</f>
        <v/>
      </c>
      <c r="E4052">
        <f>Sources!F4052</f>
        <v/>
      </c>
      <c r="F4052">
        <f>Sources!H4052</f>
        <v/>
      </c>
      <c r="G4052">
        <f>IF(ABS(F4052-ROUND(F4052,0))&lt;0.001,1,0)</f>
        <v/>
      </c>
      <c r="H4052">
        <f>IF(G4052=1,F4052,CEILING(F4052,1))</f>
        <v/>
      </c>
      <c r="I4052">
        <f>IF(G4052=1,0,(H4052-F4052)*E4052)</f>
        <v/>
      </c>
      <c r="J4052">
        <f>E4052*F4052</f>
        <v/>
      </c>
    </row>
    <row r="4053">
      <c r="A4053">
        <f>Sources!A4053</f>
        <v/>
      </c>
      <c r="B4053">
        <f>Sources!B4053</f>
        <v/>
      </c>
      <c r="C4053">
        <f>Sources!D4053</f>
        <v/>
      </c>
      <c r="D4053">
        <f>Sources!E4053</f>
        <v/>
      </c>
      <c r="E4053">
        <f>Sources!F4053</f>
        <v/>
      </c>
      <c r="F4053">
        <f>Sources!H4053</f>
        <v/>
      </c>
      <c r="G4053">
        <f>IF(ABS(F4053-ROUND(F4053,0))&lt;0.001,1,0)</f>
        <v/>
      </c>
      <c r="H4053">
        <f>IF(G4053=1,F4053,CEILING(F4053,1))</f>
        <v/>
      </c>
      <c r="I4053">
        <f>IF(G4053=1,0,(H4053-F4053)*E4053)</f>
        <v/>
      </c>
      <c r="J4053">
        <f>E4053*F4053</f>
        <v/>
      </c>
    </row>
    <row r="4054">
      <c r="A4054">
        <f>Sources!A4054</f>
        <v/>
      </c>
      <c r="B4054">
        <f>Sources!B4054</f>
        <v/>
      </c>
      <c r="C4054">
        <f>Sources!D4054</f>
        <v/>
      </c>
      <c r="D4054">
        <f>Sources!E4054</f>
        <v/>
      </c>
      <c r="E4054">
        <f>Sources!F4054</f>
        <v/>
      </c>
      <c r="F4054">
        <f>Sources!H4054</f>
        <v/>
      </c>
      <c r="G4054">
        <f>IF(ABS(F4054-ROUND(F4054,0))&lt;0.001,1,0)</f>
        <v/>
      </c>
      <c r="H4054">
        <f>IF(G4054=1,F4054,CEILING(F4054,1))</f>
        <v/>
      </c>
      <c r="I4054">
        <f>IF(G4054=1,0,(H4054-F4054)*E4054)</f>
        <v/>
      </c>
      <c r="J4054">
        <f>E4054*F4054</f>
        <v/>
      </c>
    </row>
    <row r="4055">
      <c r="A4055">
        <f>Sources!A4055</f>
        <v/>
      </c>
      <c r="B4055">
        <f>Sources!B4055</f>
        <v/>
      </c>
      <c r="C4055">
        <f>Sources!D4055</f>
        <v/>
      </c>
      <c r="D4055">
        <f>Sources!E4055</f>
        <v/>
      </c>
      <c r="E4055">
        <f>Sources!F4055</f>
        <v/>
      </c>
      <c r="F4055">
        <f>Sources!H4055</f>
        <v/>
      </c>
      <c r="G4055">
        <f>IF(ABS(F4055-ROUND(F4055,0))&lt;0.001,1,0)</f>
        <v/>
      </c>
      <c r="H4055">
        <f>IF(G4055=1,F4055,CEILING(F4055,1))</f>
        <v/>
      </c>
      <c r="I4055">
        <f>IF(G4055=1,0,(H4055-F4055)*E4055)</f>
        <v/>
      </c>
      <c r="J4055">
        <f>E4055*F4055</f>
        <v/>
      </c>
    </row>
    <row r="4056">
      <c r="A4056">
        <f>Sources!A4056</f>
        <v/>
      </c>
      <c r="B4056">
        <f>Sources!B4056</f>
        <v/>
      </c>
      <c r="C4056">
        <f>Sources!D4056</f>
        <v/>
      </c>
      <c r="D4056">
        <f>Sources!E4056</f>
        <v/>
      </c>
      <c r="E4056">
        <f>Sources!F4056</f>
        <v/>
      </c>
      <c r="F4056">
        <f>Sources!H4056</f>
        <v/>
      </c>
      <c r="G4056">
        <f>IF(ABS(F4056-ROUND(F4056,0))&lt;0.001,1,0)</f>
        <v/>
      </c>
      <c r="H4056">
        <f>IF(G4056=1,F4056,CEILING(F4056,1))</f>
        <v/>
      </c>
      <c r="I4056">
        <f>IF(G4056=1,0,(H4056-F4056)*E4056)</f>
        <v/>
      </c>
      <c r="J4056">
        <f>E4056*F4056</f>
        <v/>
      </c>
    </row>
    <row r="4057">
      <c r="A4057">
        <f>Sources!A4057</f>
        <v/>
      </c>
      <c r="B4057">
        <f>Sources!B4057</f>
        <v/>
      </c>
      <c r="C4057">
        <f>Sources!D4057</f>
        <v/>
      </c>
      <c r="D4057">
        <f>Sources!E4057</f>
        <v/>
      </c>
      <c r="E4057">
        <f>Sources!F4057</f>
        <v/>
      </c>
      <c r="F4057">
        <f>Sources!H4057</f>
        <v/>
      </c>
      <c r="G4057">
        <f>IF(ABS(F4057-ROUND(F4057,0))&lt;0.001,1,0)</f>
        <v/>
      </c>
      <c r="H4057">
        <f>IF(G4057=1,F4057,CEILING(F4057,1))</f>
        <v/>
      </c>
      <c r="I4057">
        <f>IF(G4057=1,0,(H4057-F4057)*E4057)</f>
        <v/>
      </c>
      <c r="J4057">
        <f>E4057*F4057</f>
        <v/>
      </c>
    </row>
    <row r="4058">
      <c r="A4058">
        <f>Sources!A4058</f>
        <v/>
      </c>
      <c r="B4058">
        <f>Sources!B4058</f>
        <v/>
      </c>
      <c r="C4058">
        <f>Sources!D4058</f>
        <v/>
      </c>
      <c r="D4058">
        <f>Sources!E4058</f>
        <v/>
      </c>
      <c r="E4058">
        <f>Sources!F4058</f>
        <v/>
      </c>
      <c r="F4058">
        <f>Sources!H4058</f>
        <v/>
      </c>
      <c r="G4058">
        <f>IF(ABS(F4058-ROUND(F4058,0))&lt;0.001,1,0)</f>
        <v/>
      </c>
      <c r="H4058">
        <f>IF(G4058=1,F4058,CEILING(F4058,1))</f>
        <v/>
      </c>
      <c r="I4058">
        <f>IF(G4058=1,0,(H4058-F4058)*E4058)</f>
        <v/>
      </c>
      <c r="J4058">
        <f>E4058*F4058</f>
        <v/>
      </c>
    </row>
    <row r="4059">
      <c r="A4059">
        <f>Sources!A4059</f>
        <v/>
      </c>
      <c r="B4059">
        <f>Sources!B4059</f>
        <v/>
      </c>
      <c r="C4059">
        <f>Sources!D4059</f>
        <v/>
      </c>
      <c r="D4059">
        <f>Sources!E4059</f>
        <v/>
      </c>
      <c r="E4059">
        <f>Sources!F4059</f>
        <v/>
      </c>
      <c r="F4059">
        <f>Sources!H4059</f>
        <v/>
      </c>
      <c r="G4059">
        <f>IF(ABS(F4059-ROUND(F4059,0))&lt;0.001,1,0)</f>
        <v/>
      </c>
      <c r="H4059">
        <f>IF(G4059=1,F4059,CEILING(F4059,1))</f>
        <v/>
      </c>
      <c r="I4059">
        <f>IF(G4059=1,0,(H4059-F4059)*E4059)</f>
        <v/>
      </c>
      <c r="J4059">
        <f>E4059*F4059</f>
        <v/>
      </c>
    </row>
    <row r="4060">
      <c r="A4060">
        <f>Sources!A4060</f>
        <v/>
      </c>
      <c r="B4060">
        <f>Sources!B4060</f>
        <v/>
      </c>
      <c r="C4060">
        <f>Sources!D4060</f>
        <v/>
      </c>
      <c r="D4060">
        <f>Sources!E4060</f>
        <v/>
      </c>
      <c r="E4060">
        <f>Sources!F4060</f>
        <v/>
      </c>
      <c r="F4060">
        <f>Sources!H4060</f>
        <v/>
      </c>
      <c r="G4060">
        <f>IF(ABS(F4060-ROUND(F4060,0))&lt;0.001,1,0)</f>
        <v/>
      </c>
      <c r="H4060">
        <f>IF(G4060=1,F4060,CEILING(F4060,1))</f>
        <v/>
      </c>
      <c r="I4060">
        <f>IF(G4060=1,0,(H4060-F4060)*E4060)</f>
        <v/>
      </c>
      <c r="J4060">
        <f>E4060*F4060</f>
        <v/>
      </c>
    </row>
    <row r="4061">
      <c r="A4061">
        <f>Sources!A4061</f>
        <v/>
      </c>
      <c r="B4061">
        <f>Sources!B4061</f>
        <v/>
      </c>
      <c r="C4061">
        <f>Sources!D4061</f>
        <v/>
      </c>
      <c r="D4061">
        <f>Sources!E4061</f>
        <v/>
      </c>
      <c r="E4061">
        <f>Sources!F4061</f>
        <v/>
      </c>
      <c r="F4061">
        <f>Sources!H4061</f>
        <v/>
      </c>
      <c r="G4061">
        <f>IF(ABS(F4061-ROUND(F4061,0))&lt;0.001,1,0)</f>
        <v/>
      </c>
      <c r="H4061">
        <f>IF(G4061=1,F4061,CEILING(F4061,1))</f>
        <v/>
      </c>
      <c r="I4061">
        <f>IF(G4061=1,0,(H4061-F4061)*E4061)</f>
        <v/>
      </c>
      <c r="J4061">
        <f>E4061*F4061</f>
        <v/>
      </c>
    </row>
    <row r="4062">
      <c r="A4062">
        <f>Sources!A4062</f>
        <v/>
      </c>
      <c r="B4062">
        <f>Sources!B4062</f>
        <v/>
      </c>
      <c r="C4062">
        <f>Sources!D4062</f>
        <v/>
      </c>
      <c r="D4062">
        <f>Sources!E4062</f>
        <v/>
      </c>
      <c r="E4062">
        <f>Sources!F4062</f>
        <v/>
      </c>
      <c r="F4062">
        <f>Sources!H4062</f>
        <v/>
      </c>
      <c r="G4062">
        <f>IF(ABS(F4062-ROUND(F4062,0))&lt;0.001,1,0)</f>
        <v/>
      </c>
      <c r="H4062">
        <f>IF(G4062=1,F4062,CEILING(F4062,1))</f>
        <v/>
      </c>
      <c r="I4062">
        <f>IF(G4062=1,0,(H4062-F4062)*E4062)</f>
        <v/>
      </c>
      <c r="J4062">
        <f>E4062*F4062</f>
        <v/>
      </c>
    </row>
    <row r="4063">
      <c r="A4063">
        <f>Sources!A4063</f>
        <v/>
      </c>
      <c r="B4063">
        <f>Sources!B4063</f>
        <v/>
      </c>
      <c r="C4063">
        <f>Sources!D4063</f>
        <v/>
      </c>
      <c r="D4063">
        <f>Sources!E4063</f>
        <v/>
      </c>
      <c r="E4063">
        <f>Sources!F4063</f>
        <v/>
      </c>
      <c r="F4063">
        <f>Sources!H4063</f>
        <v/>
      </c>
      <c r="G4063">
        <f>IF(ABS(F4063-ROUND(F4063,0))&lt;0.001,1,0)</f>
        <v/>
      </c>
      <c r="H4063">
        <f>IF(G4063=1,F4063,CEILING(F4063,1))</f>
        <v/>
      </c>
      <c r="I4063">
        <f>IF(G4063=1,0,(H4063-F4063)*E4063)</f>
        <v/>
      </c>
      <c r="J4063">
        <f>E4063*F4063</f>
        <v/>
      </c>
    </row>
    <row r="4064">
      <c r="A4064">
        <f>Sources!A4064</f>
        <v/>
      </c>
      <c r="B4064">
        <f>Sources!B4064</f>
        <v/>
      </c>
      <c r="C4064">
        <f>Sources!D4064</f>
        <v/>
      </c>
      <c r="D4064">
        <f>Sources!E4064</f>
        <v/>
      </c>
      <c r="E4064">
        <f>Sources!F4064</f>
        <v/>
      </c>
      <c r="F4064">
        <f>Sources!H4064</f>
        <v/>
      </c>
      <c r="G4064">
        <f>IF(ABS(F4064-ROUND(F4064,0))&lt;0.001,1,0)</f>
        <v/>
      </c>
      <c r="H4064">
        <f>IF(G4064=1,F4064,CEILING(F4064,1))</f>
        <v/>
      </c>
      <c r="I4064">
        <f>IF(G4064=1,0,(H4064-F4064)*E4064)</f>
        <v/>
      </c>
      <c r="J4064">
        <f>E4064*F4064</f>
        <v/>
      </c>
    </row>
    <row r="4065">
      <c r="A4065">
        <f>Sources!A4065</f>
        <v/>
      </c>
      <c r="B4065">
        <f>Sources!B4065</f>
        <v/>
      </c>
      <c r="C4065">
        <f>Sources!D4065</f>
        <v/>
      </c>
      <c r="D4065">
        <f>Sources!E4065</f>
        <v/>
      </c>
      <c r="E4065">
        <f>Sources!F4065</f>
        <v/>
      </c>
      <c r="F4065">
        <f>Sources!H4065</f>
        <v/>
      </c>
      <c r="G4065">
        <f>IF(ABS(F4065-ROUND(F4065,0))&lt;0.001,1,0)</f>
        <v/>
      </c>
      <c r="H4065">
        <f>IF(G4065=1,F4065,CEILING(F4065,1))</f>
        <v/>
      </c>
      <c r="I4065">
        <f>IF(G4065=1,0,(H4065-F4065)*E4065)</f>
        <v/>
      </c>
      <c r="J4065">
        <f>E4065*F4065</f>
        <v/>
      </c>
    </row>
    <row r="4066">
      <c r="A4066">
        <f>Sources!A4066</f>
        <v/>
      </c>
      <c r="B4066">
        <f>Sources!B4066</f>
        <v/>
      </c>
      <c r="C4066">
        <f>Sources!D4066</f>
        <v/>
      </c>
      <c r="D4066">
        <f>Sources!E4066</f>
        <v/>
      </c>
      <c r="E4066">
        <f>Sources!F4066</f>
        <v/>
      </c>
      <c r="F4066">
        <f>Sources!H4066</f>
        <v/>
      </c>
      <c r="G4066">
        <f>IF(ABS(F4066-ROUND(F4066,0))&lt;0.001,1,0)</f>
        <v/>
      </c>
      <c r="H4066">
        <f>IF(G4066=1,F4066,CEILING(F4066,1))</f>
        <v/>
      </c>
      <c r="I4066">
        <f>IF(G4066=1,0,(H4066-F4066)*E4066)</f>
        <v/>
      </c>
      <c r="J4066">
        <f>E4066*F4066</f>
        <v/>
      </c>
    </row>
    <row r="4067">
      <c r="A4067">
        <f>Sources!A4067</f>
        <v/>
      </c>
      <c r="B4067">
        <f>Sources!B4067</f>
        <v/>
      </c>
      <c r="C4067">
        <f>Sources!D4067</f>
        <v/>
      </c>
      <c r="D4067">
        <f>Sources!E4067</f>
        <v/>
      </c>
      <c r="E4067">
        <f>Sources!F4067</f>
        <v/>
      </c>
      <c r="F4067">
        <f>Sources!H4067</f>
        <v/>
      </c>
      <c r="G4067">
        <f>IF(ABS(F4067-ROUND(F4067,0))&lt;0.001,1,0)</f>
        <v/>
      </c>
      <c r="H4067">
        <f>IF(G4067=1,F4067,CEILING(F4067,1))</f>
        <v/>
      </c>
      <c r="I4067">
        <f>IF(G4067=1,0,(H4067-F4067)*E4067)</f>
        <v/>
      </c>
      <c r="J4067">
        <f>E4067*F4067</f>
        <v/>
      </c>
    </row>
    <row r="4068">
      <c r="A4068">
        <f>Sources!A4068</f>
        <v/>
      </c>
      <c r="B4068">
        <f>Sources!B4068</f>
        <v/>
      </c>
      <c r="C4068">
        <f>Sources!D4068</f>
        <v/>
      </c>
      <c r="D4068">
        <f>Sources!E4068</f>
        <v/>
      </c>
      <c r="E4068">
        <f>Sources!F4068</f>
        <v/>
      </c>
      <c r="F4068">
        <f>Sources!H4068</f>
        <v/>
      </c>
      <c r="G4068">
        <f>IF(ABS(F4068-ROUND(F4068,0))&lt;0.001,1,0)</f>
        <v/>
      </c>
      <c r="H4068">
        <f>IF(G4068=1,F4068,CEILING(F4068,1))</f>
        <v/>
      </c>
      <c r="I4068">
        <f>IF(G4068=1,0,(H4068-F4068)*E4068)</f>
        <v/>
      </c>
      <c r="J4068">
        <f>E4068*F4068</f>
        <v/>
      </c>
    </row>
    <row r="4069">
      <c r="A4069">
        <f>Sources!A4069</f>
        <v/>
      </c>
      <c r="B4069">
        <f>Sources!B4069</f>
        <v/>
      </c>
      <c r="C4069">
        <f>Sources!D4069</f>
        <v/>
      </c>
      <c r="D4069">
        <f>Sources!E4069</f>
        <v/>
      </c>
      <c r="E4069">
        <f>Sources!F4069</f>
        <v/>
      </c>
      <c r="F4069">
        <f>Sources!H4069</f>
        <v/>
      </c>
      <c r="G4069">
        <f>IF(ABS(F4069-ROUND(F4069,0))&lt;0.001,1,0)</f>
        <v/>
      </c>
      <c r="H4069">
        <f>IF(G4069=1,F4069,CEILING(F4069,1))</f>
        <v/>
      </c>
      <c r="I4069">
        <f>IF(G4069=1,0,(H4069-F4069)*E4069)</f>
        <v/>
      </c>
      <c r="J4069">
        <f>E4069*F4069</f>
        <v/>
      </c>
    </row>
    <row r="4070">
      <c r="A4070">
        <f>Sources!A4070</f>
        <v/>
      </c>
      <c r="B4070">
        <f>Sources!B4070</f>
        <v/>
      </c>
      <c r="C4070">
        <f>Sources!D4070</f>
        <v/>
      </c>
      <c r="D4070">
        <f>Sources!E4070</f>
        <v/>
      </c>
      <c r="E4070">
        <f>Sources!F4070</f>
        <v/>
      </c>
      <c r="F4070">
        <f>Sources!H4070</f>
        <v/>
      </c>
      <c r="G4070">
        <f>IF(ABS(F4070-ROUND(F4070,0))&lt;0.001,1,0)</f>
        <v/>
      </c>
      <c r="H4070">
        <f>IF(G4070=1,F4070,CEILING(F4070,1))</f>
        <v/>
      </c>
      <c r="I4070">
        <f>IF(G4070=1,0,(H4070-F4070)*E4070)</f>
        <v/>
      </c>
      <c r="J4070">
        <f>E4070*F4070</f>
        <v/>
      </c>
    </row>
    <row r="4071">
      <c r="A4071">
        <f>Sources!A4071</f>
        <v/>
      </c>
      <c r="B4071">
        <f>Sources!B4071</f>
        <v/>
      </c>
      <c r="C4071">
        <f>Sources!D4071</f>
        <v/>
      </c>
      <c r="D4071">
        <f>Sources!E4071</f>
        <v/>
      </c>
      <c r="E4071">
        <f>Sources!F4071</f>
        <v/>
      </c>
      <c r="F4071">
        <f>Sources!H4071</f>
        <v/>
      </c>
      <c r="G4071">
        <f>IF(ABS(F4071-ROUND(F4071,0))&lt;0.001,1,0)</f>
        <v/>
      </c>
      <c r="H4071">
        <f>IF(G4071=1,F4071,CEILING(F4071,1))</f>
        <v/>
      </c>
      <c r="I4071">
        <f>IF(G4071=1,0,(H4071-F4071)*E4071)</f>
        <v/>
      </c>
      <c r="J4071">
        <f>E4071*F4071</f>
        <v/>
      </c>
    </row>
    <row r="4072">
      <c r="A4072">
        <f>Sources!A4072</f>
        <v/>
      </c>
      <c r="B4072">
        <f>Sources!B4072</f>
        <v/>
      </c>
      <c r="C4072">
        <f>Sources!D4072</f>
        <v/>
      </c>
      <c r="D4072">
        <f>Sources!E4072</f>
        <v/>
      </c>
      <c r="E4072">
        <f>Sources!F4072</f>
        <v/>
      </c>
      <c r="F4072">
        <f>Sources!H4072</f>
        <v/>
      </c>
      <c r="G4072">
        <f>IF(ABS(F4072-ROUND(F4072,0))&lt;0.001,1,0)</f>
        <v/>
      </c>
      <c r="H4072">
        <f>IF(G4072=1,F4072,CEILING(F4072,1))</f>
        <v/>
      </c>
      <c r="I4072">
        <f>IF(G4072=1,0,(H4072-F4072)*E4072)</f>
        <v/>
      </c>
      <c r="J4072">
        <f>E4072*F4072</f>
        <v/>
      </c>
    </row>
    <row r="4073">
      <c r="A4073">
        <f>Sources!A4073</f>
        <v/>
      </c>
      <c r="B4073">
        <f>Sources!B4073</f>
        <v/>
      </c>
      <c r="C4073">
        <f>Sources!D4073</f>
        <v/>
      </c>
      <c r="D4073">
        <f>Sources!E4073</f>
        <v/>
      </c>
      <c r="E4073">
        <f>Sources!F4073</f>
        <v/>
      </c>
      <c r="F4073">
        <f>Sources!H4073</f>
        <v/>
      </c>
      <c r="G4073">
        <f>IF(ABS(F4073-ROUND(F4073,0))&lt;0.001,1,0)</f>
        <v/>
      </c>
      <c r="H4073">
        <f>IF(G4073=1,F4073,CEILING(F4073,1))</f>
        <v/>
      </c>
      <c r="I4073">
        <f>IF(G4073=1,0,(H4073-F4073)*E4073)</f>
        <v/>
      </c>
      <c r="J4073">
        <f>E4073*F4073</f>
        <v/>
      </c>
    </row>
    <row r="4074">
      <c r="A4074">
        <f>Sources!A4074</f>
        <v/>
      </c>
      <c r="B4074">
        <f>Sources!B4074</f>
        <v/>
      </c>
      <c r="C4074">
        <f>Sources!D4074</f>
        <v/>
      </c>
      <c r="D4074">
        <f>Sources!E4074</f>
        <v/>
      </c>
      <c r="E4074">
        <f>Sources!F4074</f>
        <v/>
      </c>
      <c r="F4074">
        <f>Sources!H4074</f>
        <v/>
      </c>
      <c r="G4074">
        <f>IF(ABS(F4074-ROUND(F4074,0))&lt;0.001,1,0)</f>
        <v/>
      </c>
      <c r="H4074">
        <f>IF(G4074=1,F4074,CEILING(F4074,1))</f>
        <v/>
      </c>
      <c r="I4074">
        <f>IF(G4074=1,0,(H4074-F4074)*E4074)</f>
        <v/>
      </c>
      <c r="J4074">
        <f>E4074*F4074</f>
        <v/>
      </c>
    </row>
    <row r="4075">
      <c r="A4075">
        <f>Sources!A4075</f>
        <v/>
      </c>
      <c r="B4075">
        <f>Sources!B4075</f>
        <v/>
      </c>
      <c r="C4075">
        <f>Sources!D4075</f>
        <v/>
      </c>
      <c r="D4075">
        <f>Sources!E4075</f>
        <v/>
      </c>
      <c r="E4075">
        <f>Sources!F4075</f>
        <v/>
      </c>
      <c r="F4075">
        <f>Sources!H4075</f>
        <v/>
      </c>
      <c r="G4075">
        <f>IF(ABS(F4075-ROUND(F4075,0))&lt;0.001,1,0)</f>
        <v/>
      </c>
      <c r="H4075">
        <f>IF(G4075=1,F4075,CEILING(F4075,1))</f>
        <v/>
      </c>
      <c r="I4075">
        <f>IF(G4075=1,0,(H4075-F4075)*E4075)</f>
        <v/>
      </c>
      <c r="J4075">
        <f>E4075*F4075</f>
        <v/>
      </c>
    </row>
    <row r="4076">
      <c r="A4076">
        <f>Sources!A4076</f>
        <v/>
      </c>
      <c r="B4076">
        <f>Sources!B4076</f>
        <v/>
      </c>
      <c r="C4076">
        <f>Sources!D4076</f>
        <v/>
      </c>
      <c r="D4076">
        <f>Sources!E4076</f>
        <v/>
      </c>
      <c r="E4076">
        <f>Sources!F4076</f>
        <v/>
      </c>
      <c r="F4076">
        <f>Sources!H4076</f>
        <v/>
      </c>
      <c r="G4076">
        <f>IF(ABS(F4076-ROUND(F4076,0))&lt;0.001,1,0)</f>
        <v/>
      </c>
      <c r="H4076">
        <f>IF(G4076=1,F4076,CEILING(F4076,1))</f>
        <v/>
      </c>
      <c r="I4076">
        <f>IF(G4076=1,0,(H4076-F4076)*E4076)</f>
        <v/>
      </c>
      <c r="J4076">
        <f>E4076*F4076</f>
        <v/>
      </c>
    </row>
    <row r="4077">
      <c r="A4077">
        <f>Sources!A4077</f>
        <v/>
      </c>
      <c r="B4077">
        <f>Sources!B4077</f>
        <v/>
      </c>
      <c r="C4077">
        <f>Sources!D4077</f>
        <v/>
      </c>
      <c r="D4077">
        <f>Sources!E4077</f>
        <v/>
      </c>
      <c r="E4077">
        <f>Sources!F4077</f>
        <v/>
      </c>
      <c r="F4077">
        <f>Sources!H4077</f>
        <v/>
      </c>
      <c r="G4077">
        <f>IF(ABS(F4077-ROUND(F4077,0))&lt;0.001,1,0)</f>
        <v/>
      </c>
      <c r="H4077">
        <f>IF(G4077=1,F4077,CEILING(F4077,1))</f>
        <v/>
      </c>
      <c r="I4077">
        <f>IF(G4077=1,0,(H4077-F4077)*E4077)</f>
        <v/>
      </c>
      <c r="J4077">
        <f>E4077*F4077</f>
        <v/>
      </c>
    </row>
    <row r="4078">
      <c r="A4078">
        <f>Sources!A4078</f>
        <v/>
      </c>
      <c r="B4078">
        <f>Sources!B4078</f>
        <v/>
      </c>
      <c r="C4078">
        <f>Sources!D4078</f>
        <v/>
      </c>
      <c r="D4078">
        <f>Sources!E4078</f>
        <v/>
      </c>
      <c r="E4078">
        <f>Sources!F4078</f>
        <v/>
      </c>
      <c r="F4078">
        <f>Sources!H4078</f>
        <v/>
      </c>
      <c r="G4078">
        <f>IF(ABS(F4078-ROUND(F4078,0))&lt;0.001,1,0)</f>
        <v/>
      </c>
      <c r="H4078">
        <f>IF(G4078=1,F4078,CEILING(F4078,1))</f>
        <v/>
      </c>
      <c r="I4078">
        <f>IF(G4078=1,0,(H4078-F4078)*E4078)</f>
        <v/>
      </c>
      <c r="J4078">
        <f>E4078*F4078</f>
        <v/>
      </c>
    </row>
    <row r="4079">
      <c r="A4079">
        <f>Sources!A4079</f>
        <v/>
      </c>
      <c r="B4079">
        <f>Sources!B4079</f>
        <v/>
      </c>
      <c r="C4079">
        <f>Sources!D4079</f>
        <v/>
      </c>
      <c r="D4079">
        <f>Sources!E4079</f>
        <v/>
      </c>
      <c r="E4079">
        <f>Sources!F4079</f>
        <v/>
      </c>
      <c r="F4079">
        <f>Sources!H4079</f>
        <v/>
      </c>
      <c r="G4079">
        <f>IF(ABS(F4079-ROUND(F4079,0))&lt;0.001,1,0)</f>
        <v/>
      </c>
      <c r="H4079">
        <f>IF(G4079=1,F4079,CEILING(F4079,1))</f>
        <v/>
      </c>
      <c r="I4079">
        <f>IF(G4079=1,0,(H4079-F4079)*E4079)</f>
        <v/>
      </c>
      <c r="J4079">
        <f>E4079*F4079</f>
        <v/>
      </c>
    </row>
    <row r="4080">
      <c r="A4080">
        <f>Sources!A4080</f>
        <v/>
      </c>
      <c r="B4080">
        <f>Sources!B4080</f>
        <v/>
      </c>
      <c r="C4080">
        <f>Sources!D4080</f>
        <v/>
      </c>
      <c r="D4080">
        <f>Sources!E4080</f>
        <v/>
      </c>
      <c r="E4080">
        <f>Sources!F4080</f>
        <v/>
      </c>
      <c r="F4080">
        <f>Sources!H4080</f>
        <v/>
      </c>
      <c r="G4080">
        <f>IF(ABS(F4080-ROUND(F4080,0))&lt;0.001,1,0)</f>
        <v/>
      </c>
      <c r="H4080">
        <f>IF(G4080=1,F4080,CEILING(F4080,1))</f>
        <v/>
      </c>
      <c r="I4080">
        <f>IF(G4080=1,0,(H4080-F4080)*E4080)</f>
        <v/>
      </c>
      <c r="J4080">
        <f>E4080*F4080</f>
        <v/>
      </c>
    </row>
    <row r="4081">
      <c r="A4081">
        <f>Sources!A4081</f>
        <v/>
      </c>
      <c r="B4081">
        <f>Sources!B4081</f>
        <v/>
      </c>
      <c r="C4081">
        <f>Sources!D4081</f>
        <v/>
      </c>
      <c r="D4081">
        <f>Sources!E4081</f>
        <v/>
      </c>
      <c r="E4081">
        <f>Sources!F4081</f>
        <v/>
      </c>
      <c r="F4081">
        <f>Sources!H4081</f>
        <v/>
      </c>
      <c r="G4081">
        <f>IF(ABS(F4081-ROUND(F4081,0))&lt;0.001,1,0)</f>
        <v/>
      </c>
      <c r="H4081">
        <f>IF(G4081=1,F4081,CEILING(F4081,1))</f>
        <v/>
      </c>
      <c r="I4081">
        <f>IF(G4081=1,0,(H4081-F4081)*E4081)</f>
        <v/>
      </c>
      <c r="J4081">
        <f>E4081*F4081</f>
        <v/>
      </c>
    </row>
    <row r="4082">
      <c r="A4082">
        <f>Sources!A4082</f>
        <v/>
      </c>
      <c r="B4082">
        <f>Sources!B4082</f>
        <v/>
      </c>
      <c r="C4082">
        <f>Sources!D4082</f>
        <v/>
      </c>
      <c r="D4082">
        <f>Sources!E4082</f>
        <v/>
      </c>
      <c r="E4082">
        <f>Sources!F4082</f>
        <v/>
      </c>
      <c r="F4082">
        <f>Sources!H4082</f>
        <v/>
      </c>
      <c r="G4082">
        <f>IF(ABS(F4082-ROUND(F4082,0))&lt;0.001,1,0)</f>
        <v/>
      </c>
      <c r="H4082">
        <f>IF(G4082=1,F4082,CEILING(F4082,1))</f>
        <v/>
      </c>
      <c r="I4082">
        <f>IF(G4082=1,0,(H4082-F4082)*E4082)</f>
        <v/>
      </c>
      <c r="J4082">
        <f>E4082*F4082</f>
        <v/>
      </c>
    </row>
    <row r="4083">
      <c r="A4083">
        <f>Sources!A4083</f>
        <v/>
      </c>
      <c r="B4083">
        <f>Sources!B4083</f>
        <v/>
      </c>
      <c r="C4083">
        <f>Sources!D4083</f>
        <v/>
      </c>
      <c r="D4083">
        <f>Sources!E4083</f>
        <v/>
      </c>
      <c r="E4083">
        <f>Sources!F4083</f>
        <v/>
      </c>
      <c r="F4083">
        <f>Sources!H4083</f>
        <v/>
      </c>
      <c r="G4083">
        <f>IF(ABS(F4083-ROUND(F4083,0))&lt;0.001,1,0)</f>
        <v/>
      </c>
      <c r="H4083">
        <f>IF(G4083=1,F4083,CEILING(F4083,1))</f>
        <v/>
      </c>
      <c r="I4083">
        <f>IF(G4083=1,0,(H4083-F4083)*E4083)</f>
        <v/>
      </c>
      <c r="J4083">
        <f>E4083*F4083</f>
        <v/>
      </c>
    </row>
    <row r="4084">
      <c r="A4084">
        <f>Sources!A4084</f>
        <v/>
      </c>
      <c r="B4084">
        <f>Sources!B4084</f>
        <v/>
      </c>
      <c r="C4084">
        <f>Sources!D4084</f>
        <v/>
      </c>
      <c r="D4084">
        <f>Sources!E4084</f>
        <v/>
      </c>
      <c r="E4084">
        <f>Sources!F4084</f>
        <v/>
      </c>
      <c r="F4084">
        <f>Sources!H4084</f>
        <v/>
      </c>
      <c r="G4084">
        <f>IF(ABS(F4084-ROUND(F4084,0))&lt;0.001,1,0)</f>
        <v/>
      </c>
      <c r="H4084">
        <f>IF(G4084=1,F4084,CEILING(F4084,1))</f>
        <v/>
      </c>
      <c r="I4084">
        <f>IF(G4084=1,0,(H4084-F4084)*E4084)</f>
        <v/>
      </c>
      <c r="J4084">
        <f>E4084*F4084</f>
        <v/>
      </c>
    </row>
    <row r="4085">
      <c r="A4085">
        <f>Sources!A4085</f>
        <v/>
      </c>
      <c r="B4085">
        <f>Sources!B4085</f>
        <v/>
      </c>
      <c r="C4085">
        <f>Sources!D4085</f>
        <v/>
      </c>
      <c r="D4085">
        <f>Sources!E4085</f>
        <v/>
      </c>
      <c r="E4085">
        <f>Sources!F4085</f>
        <v/>
      </c>
      <c r="F4085">
        <f>Sources!H4085</f>
        <v/>
      </c>
      <c r="G4085">
        <f>IF(ABS(F4085-ROUND(F4085,0))&lt;0.001,1,0)</f>
        <v/>
      </c>
      <c r="H4085">
        <f>IF(G4085=1,F4085,CEILING(F4085,1))</f>
        <v/>
      </c>
      <c r="I4085">
        <f>IF(G4085=1,0,(H4085-F4085)*E4085)</f>
        <v/>
      </c>
      <c r="J4085">
        <f>E4085*F4085</f>
        <v/>
      </c>
    </row>
    <row r="4086">
      <c r="A4086">
        <f>Sources!A4086</f>
        <v/>
      </c>
      <c r="B4086">
        <f>Sources!B4086</f>
        <v/>
      </c>
      <c r="C4086">
        <f>Sources!D4086</f>
        <v/>
      </c>
      <c r="D4086">
        <f>Sources!E4086</f>
        <v/>
      </c>
      <c r="E4086">
        <f>Sources!F4086</f>
        <v/>
      </c>
      <c r="F4086">
        <f>Sources!H4086</f>
        <v/>
      </c>
      <c r="G4086">
        <f>IF(ABS(F4086-ROUND(F4086,0))&lt;0.001,1,0)</f>
        <v/>
      </c>
      <c r="H4086">
        <f>IF(G4086=1,F4086,CEILING(F4086,1))</f>
        <v/>
      </c>
      <c r="I4086">
        <f>IF(G4086=1,0,(H4086-F4086)*E4086)</f>
        <v/>
      </c>
      <c r="J4086">
        <f>E4086*F4086</f>
        <v/>
      </c>
    </row>
    <row r="4087">
      <c r="A4087">
        <f>Sources!A4087</f>
        <v/>
      </c>
      <c r="B4087">
        <f>Sources!B4087</f>
        <v/>
      </c>
      <c r="C4087">
        <f>Sources!D4087</f>
        <v/>
      </c>
      <c r="D4087">
        <f>Sources!E4087</f>
        <v/>
      </c>
      <c r="E4087">
        <f>Sources!F4087</f>
        <v/>
      </c>
      <c r="F4087">
        <f>Sources!H4087</f>
        <v/>
      </c>
      <c r="G4087">
        <f>IF(ABS(F4087-ROUND(F4087,0))&lt;0.001,1,0)</f>
        <v/>
      </c>
      <c r="H4087">
        <f>IF(G4087=1,F4087,CEILING(F4087,1))</f>
        <v/>
      </c>
      <c r="I4087">
        <f>IF(G4087=1,0,(H4087-F4087)*E4087)</f>
        <v/>
      </c>
      <c r="J4087">
        <f>E4087*F4087</f>
        <v/>
      </c>
    </row>
    <row r="4088">
      <c r="A4088">
        <f>Sources!A4088</f>
        <v/>
      </c>
      <c r="B4088">
        <f>Sources!B4088</f>
        <v/>
      </c>
      <c r="C4088">
        <f>Sources!D4088</f>
        <v/>
      </c>
      <c r="D4088">
        <f>Sources!E4088</f>
        <v/>
      </c>
      <c r="E4088">
        <f>Sources!F4088</f>
        <v/>
      </c>
      <c r="F4088">
        <f>Sources!H4088</f>
        <v/>
      </c>
      <c r="G4088">
        <f>IF(ABS(F4088-ROUND(F4088,0))&lt;0.001,1,0)</f>
        <v/>
      </c>
      <c r="H4088">
        <f>IF(G4088=1,F4088,CEILING(F4088,1))</f>
        <v/>
      </c>
      <c r="I4088">
        <f>IF(G4088=1,0,(H4088-F4088)*E4088)</f>
        <v/>
      </c>
      <c r="J4088">
        <f>E4088*F4088</f>
        <v/>
      </c>
    </row>
    <row r="4089">
      <c r="A4089">
        <f>Sources!A4089</f>
        <v/>
      </c>
      <c r="B4089">
        <f>Sources!B4089</f>
        <v/>
      </c>
      <c r="C4089">
        <f>Sources!D4089</f>
        <v/>
      </c>
      <c r="D4089">
        <f>Sources!E4089</f>
        <v/>
      </c>
      <c r="E4089">
        <f>Sources!F4089</f>
        <v/>
      </c>
      <c r="F4089">
        <f>Sources!H4089</f>
        <v/>
      </c>
      <c r="G4089">
        <f>IF(ABS(F4089-ROUND(F4089,0))&lt;0.001,1,0)</f>
        <v/>
      </c>
      <c r="H4089">
        <f>IF(G4089=1,F4089,CEILING(F4089,1))</f>
        <v/>
      </c>
      <c r="I4089">
        <f>IF(G4089=1,0,(H4089-F4089)*E4089)</f>
        <v/>
      </c>
      <c r="J4089">
        <f>E4089*F4089</f>
        <v/>
      </c>
    </row>
    <row r="4090">
      <c r="A4090">
        <f>Sources!A4090</f>
        <v/>
      </c>
      <c r="B4090">
        <f>Sources!B4090</f>
        <v/>
      </c>
      <c r="C4090">
        <f>Sources!D4090</f>
        <v/>
      </c>
      <c r="D4090">
        <f>Sources!E4090</f>
        <v/>
      </c>
      <c r="E4090">
        <f>Sources!F4090</f>
        <v/>
      </c>
      <c r="F4090">
        <f>Sources!H4090</f>
        <v/>
      </c>
      <c r="G4090">
        <f>IF(ABS(F4090-ROUND(F4090,0))&lt;0.001,1,0)</f>
        <v/>
      </c>
      <c r="H4090">
        <f>IF(G4090=1,F4090,CEILING(F4090,1))</f>
        <v/>
      </c>
      <c r="I4090">
        <f>IF(G4090=1,0,(H4090-F4090)*E4090)</f>
        <v/>
      </c>
      <c r="J4090">
        <f>E4090*F4090</f>
        <v/>
      </c>
    </row>
    <row r="4091">
      <c r="A4091">
        <f>Sources!A4091</f>
        <v/>
      </c>
      <c r="B4091">
        <f>Sources!B4091</f>
        <v/>
      </c>
      <c r="C4091">
        <f>Sources!D4091</f>
        <v/>
      </c>
      <c r="D4091">
        <f>Sources!E4091</f>
        <v/>
      </c>
      <c r="E4091">
        <f>Sources!F4091</f>
        <v/>
      </c>
      <c r="F4091">
        <f>Sources!H4091</f>
        <v/>
      </c>
      <c r="G4091">
        <f>IF(ABS(F4091-ROUND(F4091,0))&lt;0.001,1,0)</f>
        <v/>
      </c>
      <c r="H4091">
        <f>IF(G4091=1,F4091,CEILING(F4091,1))</f>
        <v/>
      </c>
      <c r="I4091">
        <f>IF(G4091=1,0,(H4091-F4091)*E4091)</f>
        <v/>
      </c>
      <c r="J4091">
        <f>E4091*F4091</f>
        <v/>
      </c>
    </row>
    <row r="4092">
      <c r="A4092">
        <f>Sources!A4092</f>
        <v/>
      </c>
      <c r="B4092">
        <f>Sources!B4092</f>
        <v/>
      </c>
      <c r="C4092">
        <f>Sources!D4092</f>
        <v/>
      </c>
      <c r="D4092">
        <f>Sources!E4092</f>
        <v/>
      </c>
      <c r="E4092">
        <f>Sources!F4092</f>
        <v/>
      </c>
      <c r="F4092">
        <f>Sources!H4092</f>
        <v/>
      </c>
      <c r="G4092">
        <f>IF(ABS(F4092-ROUND(F4092,0))&lt;0.001,1,0)</f>
        <v/>
      </c>
      <c r="H4092">
        <f>IF(G4092=1,F4092,CEILING(F4092,1))</f>
        <v/>
      </c>
      <c r="I4092">
        <f>IF(G4092=1,0,(H4092-F4092)*E4092)</f>
        <v/>
      </c>
      <c r="J4092">
        <f>E4092*F4092</f>
        <v/>
      </c>
    </row>
    <row r="4093">
      <c r="A4093">
        <f>Sources!A4093</f>
        <v/>
      </c>
      <c r="B4093">
        <f>Sources!B4093</f>
        <v/>
      </c>
      <c r="C4093">
        <f>Sources!D4093</f>
        <v/>
      </c>
      <c r="D4093">
        <f>Sources!E4093</f>
        <v/>
      </c>
      <c r="E4093">
        <f>Sources!F4093</f>
        <v/>
      </c>
      <c r="F4093">
        <f>Sources!H4093</f>
        <v/>
      </c>
      <c r="G4093">
        <f>IF(ABS(F4093-ROUND(F4093,0))&lt;0.001,1,0)</f>
        <v/>
      </c>
      <c r="H4093">
        <f>IF(G4093=1,F4093,CEILING(F4093,1))</f>
        <v/>
      </c>
      <c r="I4093">
        <f>IF(G4093=1,0,(H4093-F4093)*E4093)</f>
        <v/>
      </c>
      <c r="J4093">
        <f>E4093*F4093</f>
        <v/>
      </c>
    </row>
    <row r="4094">
      <c r="A4094">
        <f>Sources!A4094</f>
        <v/>
      </c>
      <c r="B4094">
        <f>Sources!B4094</f>
        <v/>
      </c>
      <c r="C4094">
        <f>Sources!D4094</f>
        <v/>
      </c>
      <c r="D4094">
        <f>Sources!E4094</f>
        <v/>
      </c>
      <c r="E4094">
        <f>Sources!F4094</f>
        <v/>
      </c>
      <c r="F4094">
        <f>Sources!H4094</f>
        <v/>
      </c>
      <c r="G4094">
        <f>IF(ABS(F4094-ROUND(F4094,0))&lt;0.001,1,0)</f>
        <v/>
      </c>
      <c r="H4094">
        <f>IF(G4094=1,F4094,CEILING(F4094,1))</f>
        <v/>
      </c>
      <c r="I4094">
        <f>IF(G4094=1,0,(H4094-F4094)*E4094)</f>
        <v/>
      </c>
      <c r="J4094">
        <f>E4094*F4094</f>
        <v/>
      </c>
    </row>
    <row r="4095">
      <c r="A4095">
        <f>Sources!A4095</f>
        <v/>
      </c>
      <c r="B4095">
        <f>Sources!B4095</f>
        <v/>
      </c>
      <c r="C4095">
        <f>Sources!D4095</f>
        <v/>
      </c>
      <c r="D4095">
        <f>Sources!E4095</f>
        <v/>
      </c>
      <c r="E4095">
        <f>Sources!F4095</f>
        <v/>
      </c>
      <c r="F4095">
        <f>Sources!H4095</f>
        <v/>
      </c>
      <c r="G4095">
        <f>IF(ABS(F4095-ROUND(F4095,0))&lt;0.001,1,0)</f>
        <v/>
      </c>
      <c r="H4095">
        <f>IF(G4095=1,F4095,CEILING(F4095,1))</f>
        <v/>
      </c>
      <c r="I4095">
        <f>IF(G4095=1,0,(H4095-F4095)*E4095)</f>
        <v/>
      </c>
      <c r="J4095">
        <f>E4095*F4095</f>
        <v/>
      </c>
    </row>
    <row r="4096">
      <c r="A4096">
        <f>Sources!A4096</f>
        <v/>
      </c>
      <c r="B4096">
        <f>Sources!B4096</f>
        <v/>
      </c>
      <c r="C4096">
        <f>Sources!D4096</f>
        <v/>
      </c>
      <c r="D4096">
        <f>Sources!E4096</f>
        <v/>
      </c>
      <c r="E4096">
        <f>Sources!F4096</f>
        <v/>
      </c>
      <c r="F4096">
        <f>Sources!H4096</f>
        <v/>
      </c>
      <c r="G4096">
        <f>IF(ABS(F4096-ROUND(F4096,0))&lt;0.001,1,0)</f>
        <v/>
      </c>
      <c r="H4096">
        <f>IF(G4096=1,F4096,CEILING(F4096,1))</f>
        <v/>
      </c>
      <c r="I4096">
        <f>IF(G4096=1,0,(H4096-F4096)*E4096)</f>
        <v/>
      </c>
      <c r="J4096">
        <f>E4096*F4096</f>
        <v/>
      </c>
    </row>
    <row r="4097">
      <c r="A4097">
        <f>Sources!A4097</f>
        <v/>
      </c>
      <c r="B4097">
        <f>Sources!B4097</f>
        <v/>
      </c>
      <c r="C4097">
        <f>Sources!D4097</f>
        <v/>
      </c>
      <c r="D4097">
        <f>Sources!E4097</f>
        <v/>
      </c>
      <c r="E4097">
        <f>Sources!F4097</f>
        <v/>
      </c>
      <c r="F4097">
        <f>Sources!H4097</f>
        <v/>
      </c>
      <c r="G4097">
        <f>IF(ABS(F4097-ROUND(F4097,0))&lt;0.001,1,0)</f>
        <v/>
      </c>
      <c r="H4097">
        <f>IF(G4097=1,F4097,CEILING(F4097,1))</f>
        <v/>
      </c>
      <c r="I4097">
        <f>IF(G4097=1,0,(H4097-F4097)*E4097)</f>
        <v/>
      </c>
      <c r="J4097">
        <f>E4097*F4097</f>
        <v/>
      </c>
    </row>
    <row r="4098">
      <c r="A4098">
        <f>Sources!A4098</f>
        <v/>
      </c>
      <c r="B4098">
        <f>Sources!B4098</f>
        <v/>
      </c>
      <c r="C4098">
        <f>Sources!D4098</f>
        <v/>
      </c>
      <c r="D4098">
        <f>Sources!E4098</f>
        <v/>
      </c>
      <c r="E4098">
        <f>Sources!F4098</f>
        <v/>
      </c>
      <c r="F4098">
        <f>Sources!H4098</f>
        <v/>
      </c>
      <c r="G4098">
        <f>IF(ABS(F4098-ROUND(F4098,0))&lt;0.001,1,0)</f>
        <v/>
      </c>
      <c r="H4098">
        <f>IF(G4098=1,F4098,CEILING(F4098,1))</f>
        <v/>
      </c>
      <c r="I4098">
        <f>IF(G4098=1,0,(H4098-F4098)*E4098)</f>
        <v/>
      </c>
      <c r="J4098">
        <f>E4098*F4098</f>
        <v/>
      </c>
    </row>
    <row r="4099">
      <c r="A4099">
        <f>Sources!A4099</f>
        <v/>
      </c>
      <c r="B4099">
        <f>Sources!B4099</f>
        <v/>
      </c>
      <c r="C4099">
        <f>Sources!D4099</f>
        <v/>
      </c>
      <c r="D4099">
        <f>Sources!E4099</f>
        <v/>
      </c>
      <c r="E4099">
        <f>Sources!F4099</f>
        <v/>
      </c>
      <c r="F4099">
        <f>Sources!H4099</f>
        <v/>
      </c>
      <c r="G4099">
        <f>IF(ABS(F4099-ROUND(F4099,0))&lt;0.001,1,0)</f>
        <v/>
      </c>
      <c r="H4099">
        <f>IF(G4099=1,F4099,CEILING(F4099,1))</f>
        <v/>
      </c>
      <c r="I4099">
        <f>IF(G4099=1,0,(H4099-F4099)*E4099)</f>
        <v/>
      </c>
      <c r="J4099">
        <f>E4099*F4099</f>
        <v/>
      </c>
    </row>
    <row r="4100">
      <c r="A4100">
        <f>Sources!A4100</f>
        <v/>
      </c>
      <c r="B4100">
        <f>Sources!B4100</f>
        <v/>
      </c>
      <c r="C4100">
        <f>Sources!D4100</f>
        <v/>
      </c>
      <c r="D4100">
        <f>Sources!E4100</f>
        <v/>
      </c>
      <c r="E4100">
        <f>Sources!F4100</f>
        <v/>
      </c>
      <c r="F4100">
        <f>Sources!H4100</f>
        <v/>
      </c>
      <c r="G4100">
        <f>IF(ABS(F4100-ROUND(F4100,0))&lt;0.001,1,0)</f>
        <v/>
      </c>
      <c r="H4100">
        <f>IF(G4100=1,F4100,CEILING(F4100,1))</f>
        <v/>
      </c>
      <c r="I4100">
        <f>IF(G4100=1,0,(H4100-F4100)*E4100)</f>
        <v/>
      </c>
      <c r="J4100">
        <f>E4100*F4100</f>
        <v/>
      </c>
    </row>
    <row r="4101">
      <c r="A4101">
        <f>Sources!A4101</f>
        <v/>
      </c>
      <c r="B4101">
        <f>Sources!B4101</f>
        <v/>
      </c>
      <c r="C4101">
        <f>Sources!D4101</f>
        <v/>
      </c>
      <c r="D4101">
        <f>Sources!E4101</f>
        <v/>
      </c>
      <c r="E4101">
        <f>Sources!F4101</f>
        <v/>
      </c>
      <c r="F4101">
        <f>Sources!H4101</f>
        <v/>
      </c>
      <c r="G4101">
        <f>IF(ABS(F4101-ROUND(F4101,0))&lt;0.001,1,0)</f>
        <v/>
      </c>
      <c r="H4101">
        <f>IF(G4101=1,F4101,CEILING(F4101,1))</f>
        <v/>
      </c>
      <c r="I4101">
        <f>IF(G4101=1,0,(H4101-F4101)*E4101)</f>
        <v/>
      </c>
      <c r="J4101">
        <f>E4101*F4101</f>
        <v/>
      </c>
    </row>
    <row r="4102">
      <c r="A4102">
        <f>Sources!A4102</f>
        <v/>
      </c>
      <c r="B4102">
        <f>Sources!B4102</f>
        <v/>
      </c>
      <c r="C4102">
        <f>Sources!D4102</f>
        <v/>
      </c>
      <c r="D4102">
        <f>Sources!E4102</f>
        <v/>
      </c>
      <c r="E4102">
        <f>Sources!F4102</f>
        <v/>
      </c>
      <c r="F4102">
        <f>Sources!H4102</f>
        <v/>
      </c>
      <c r="G4102">
        <f>IF(ABS(F4102-ROUND(F4102,0))&lt;0.001,1,0)</f>
        <v/>
      </c>
      <c r="H4102">
        <f>IF(G4102=1,F4102,CEILING(F4102,1))</f>
        <v/>
      </c>
      <c r="I4102">
        <f>IF(G4102=1,0,(H4102-F4102)*E4102)</f>
        <v/>
      </c>
      <c r="J4102">
        <f>E4102*F4102</f>
        <v/>
      </c>
    </row>
    <row r="4103">
      <c r="A4103">
        <f>Sources!A4103</f>
        <v/>
      </c>
      <c r="B4103">
        <f>Sources!B4103</f>
        <v/>
      </c>
      <c r="C4103">
        <f>Sources!D4103</f>
        <v/>
      </c>
      <c r="D4103">
        <f>Sources!E4103</f>
        <v/>
      </c>
      <c r="E4103">
        <f>Sources!F4103</f>
        <v/>
      </c>
      <c r="F4103">
        <f>Sources!H4103</f>
        <v/>
      </c>
      <c r="G4103">
        <f>IF(ABS(F4103-ROUND(F4103,0))&lt;0.001,1,0)</f>
        <v/>
      </c>
      <c r="H4103">
        <f>IF(G4103=1,F4103,CEILING(F4103,1))</f>
        <v/>
      </c>
      <c r="I4103">
        <f>IF(G4103=1,0,(H4103-F4103)*E4103)</f>
        <v/>
      </c>
      <c r="J4103">
        <f>E4103*F4103</f>
        <v/>
      </c>
    </row>
    <row r="4104">
      <c r="A4104">
        <f>Sources!A4104</f>
        <v/>
      </c>
      <c r="B4104">
        <f>Sources!B4104</f>
        <v/>
      </c>
      <c r="C4104">
        <f>Sources!D4104</f>
        <v/>
      </c>
      <c r="D4104">
        <f>Sources!E4104</f>
        <v/>
      </c>
      <c r="E4104">
        <f>Sources!F4104</f>
        <v/>
      </c>
      <c r="F4104">
        <f>Sources!H4104</f>
        <v/>
      </c>
      <c r="G4104">
        <f>IF(ABS(F4104-ROUND(F4104,0))&lt;0.001,1,0)</f>
        <v/>
      </c>
      <c r="H4104">
        <f>IF(G4104=1,F4104,CEILING(F4104,1))</f>
        <v/>
      </c>
      <c r="I4104">
        <f>IF(G4104=1,0,(H4104-F4104)*E4104)</f>
        <v/>
      </c>
      <c r="J4104">
        <f>E4104*F4104</f>
        <v/>
      </c>
    </row>
    <row r="4105">
      <c r="A4105">
        <f>Sources!A4105</f>
        <v/>
      </c>
      <c r="B4105">
        <f>Sources!B4105</f>
        <v/>
      </c>
      <c r="C4105">
        <f>Sources!D4105</f>
        <v/>
      </c>
      <c r="D4105">
        <f>Sources!E4105</f>
        <v/>
      </c>
      <c r="E4105">
        <f>Sources!F4105</f>
        <v/>
      </c>
      <c r="F4105">
        <f>Sources!H4105</f>
        <v/>
      </c>
      <c r="G4105">
        <f>IF(ABS(F4105-ROUND(F4105,0))&lt;0.001,1,0)</f>
        <v/>
      </c>
      <c r="H4105">
        <f>IF(G4105=1,F4105,CEILING(F4105,1))</f>
        <v/>
      </c>
      <c r="I4105">
        <f>IF(G4105=1,0,(H4105-F4105)*E4105)</f>
        <v/>
      </c>
      <c r="J4105">
        <f>E4105*F4105</f>
        <v/>
      </c>
    </row>
    <row r="4106">
      <c r="A4106">
        <f>Sources!A4106</f>
        <v/>
      </c>
      <c r="B4106">
        <f>Sources!B4106</f>
        <v/>
      </c>
      <c r="C4106">
        <f>Sources!D4106</f>
        <v/>
      </c>
      <c r="D4106">
        <f>Sources!E4106</f>
        <v/>
      </c>
      <c r="E4106">
        <f>Sources!F4106</f>
        <v/>
      </c>
      <c r="F4106">
        <f>Sources!H4106</f>
        <v/>
      </c>
      <c r="G4106">
        <f>IF(ABS(F4106-ROUND(F4106,0))&lt;0.001,1,0)</f>
        <v/>
      </c>
      <c r="H4106">
        <f>IF(G4106=1,F4106,CEILING(F4106,1))</f>
        <v/>
      </c>
      <c r="I4106">
        <f>IF(G4106=1,0,(H4106-F4106)*E4106)</f>
        <v/>
      </c>
      <c r="J4106">
        <f>E4106*F4106</f>
        <v/>
      </c>
    </row>
    <row r="4107">
      <c r="A4107">
        <f>Sources!A4107</f>
        <v/>
      </c>
      <c r="B4107">
        <f>Sources!B4107</f>
        <v/>
      </c>
      <c r="C4107">
        <f>Sources!D4107</f>
        <v/>
      </c>
      <c r="D4107">
        <f>Sources!E4107</f>
        <v/>
      </c>
      <c r="E4107">
        <f>Sources!F4107</f>
        <v/>
      </c>
      <c r="F4107">
        <f>Sources!H4107</f>
        <v/>
      </c>
      <c r="G4107">
        <f>IF(ABS(F4107-ROUND(F4107,0))&lt;0.001,1,0)</f>
        <v/>
      </c>
      <c r="H4107">
        <f>IF(G4107=1,F4107,CEILING(F4107,1))</f>
        <v/>
      </c>
      <c r="I4107">
        <f>IF(G4107=1,0,(H4107-F4107)*E4107)</f>
        <v/>
      </c>
      <c r="J4107">
        <f>E4107*F4107</f>
        <v/>
      </c>
    </row>
    <row r="4108">
      <c r="A4108">
        <f>Sources!A4108</f>
        <v/>
      </c>
      <c r="B4108">
        <f>Sources!B4108</f>
        <v/>
      </c>
      <c r="C4108">
        <f>Sources!D4108</f>
        <v/>
      </c>
      <c r="D4108">
        <f>Sources!E4108</f>
        <v/>
      </c>
      <c r="E4108">
        <f>Sources!F4108</f>
        <v/>
      </c>
      <c r="F4108">
        <f>Sources!H4108</f>
        <v/>
      </c>
      <c r="G4108">
        <f>IF(ABS(F4108-ROUND(F4108,0))&lt;0.001,1,0)</f>
        <v/>
      </c>
      <c r="H4108">
        <f>IF(G4108=1,F4108,CEILING(F4108,1))</f>
        <v/>
      </c>
      <c r="I4108">
        <f>IF(G4108=1,0,(H4108-F4108)*E4108)</f>
        <v/>
      </c>
      <c r="J4108">
        <f>E4108*F4108</f>
        <v/>
      </c>
    </row>
    <row r="4109">
      <c r="A4109">
        <f>Sources!A4109</f>
        <v/>
      </c>
      <c r="B4109">
        <f>Sources!B4109</f>
        <v/>
      </c>
      <c r="C4109">
        <f>Sources!D4109</f>
        <v/>
      </c>
      <c r="D4109">
        <f>Sources!E4109</f>
        <v/>
      </c>
      <c r="E4109">
        <f>Sources!F4109</f>
        <v/>
      </c>
      <c r="F4109">
        <f>Sources!H4109</f>
        <v/>
      </c>
      <c r="G4109">
        <f>IF(ABS(F4109-ROUND(F4109,0))&lt;0.001,1,0)</f>
        <v/>
      </c>
      <c r="H4109">
        <f>IF(G4109=1,F4109,CEILING(F4109,1))</f>
        <v/>
      </c>
      <c r="I4109">
        <f>IF(G4109=1,0,(H4109-F4109)*E4109)</f>
        <v/>
      </c>
      <c r="J4109">
        <f>E4109*F4109</f>
        <v/>
      </c>
    </row>
    <row r="4110">
      <c r="A4110">
        <f>Sources!A4110</f>
        <v/>
      </c>
      <c r="B4110">
        <f>Sources!B4110</f>
        <v/>
      </c>
      <c r="C4110">
        <f>Sources!D4110</f>
        <v/>
      </c>
      <c r="D4110">
        <f>Sources!E4110</f>
        <v/>
      </c>
      <c r="E4110">
        <f>Sources!F4110</f>
        <v/>
      </c>
      <c r="F4110">
        <f>Sources!H4110</f>
        <v/>
      </c>
      <c r="G4110">
        <f>IF(ABS(F4110-ROUND(F4110,0))&lt;0.001,1,0)</f>
        <v/>
      </c>
      <c r="H4110">
        <f>IF(G4110=1,F4110,CEILING(F4110,1))</f>
        <v/>
      </c>
      <c r="I4110">
        <f>IF(G4110=1,0,(H4110-F4110)*E4110)</f>
        <v/>
      </c>
      <c r="J4110">
        <f>E4110*F4110</f>
        <v/>
      </c>
    </row>
    <row r="4111">
      <c r="A4111">
        <f>Sources!A4111</f>
        <v/>
      </c>
      <c r="B4111">
        <f>Sources!B4111</f>
        <v/>
      </c>
      <c r="C4111">
        <f>Sources!D4111</f>
        <v/>
      </c>
      <c r="D4111">
        <f>Sources!E4111</f>
        <v/>
      </c>
      <c r="E4111">
        <f>Sources!F4111</f>
        <v/>
      </c>
      <c r="F4111">
        <f>Sources!H4111</f>
        <v/>
      </c>
      <c r="G4111">
        <f>IF(ABS(F4111-ROUND(F4111,0))&lt;0.001,1,0)</f>
        <v/>
      </c>
      <c r="H4111">
        <f>IF(G4111=1,F4111,CEILING(F4111,1))</f>
        <v/>
      </c>
      <c r="I4111">
        <f>IF(G4111=1,0,(H4111-F4111)*E4111)</f>
        <v/>
      </c>
      <c r="J4111">
        <f>E4111*F4111</f>
        <v/>
      </c>
    </row>
    <row r="4112">
      <c r="A4112">
        <f>Sources!A4112</f>
        <v/>
      </c>
      <c r="B4112">
        <f>Sources!B4112</f>
        <v/>
      </c>
      <c r="C4112">
        <f>Sources!D4112</f>
        <v/>
      </c>
      <c r="D4112">
        <f>Sources!E4112</f>
        <v/>
      </c>
      <c r="E4112">
        <f>Sources!F4112</f>
        <v/>
      </c>
      <c r="F4112">
        <f>Sources!H4112</f>
        <v/>
      </c>
      <c r="G4112">
        <f>IF(ABS(F4112-ROUND(F4112,0))&lt;0.001,1,0)</f>
        <v/>
      </c>
      <c r="H4112">
        <f>IF(G4112=1,F4112,CEILING(F4112,1))</f>
        <v/>
      </c>
      <c r="I4112">
        <f>IF(G4112=1,0,(H4112-F4112)*E4112)</f>
        <v/>
      </c>
      <c r="J4112">
        <f>E4112*F4112</f>
        <v/>
      </c>
    </row>
    <row r="4113">
      <c r="A4113">
        <f>Sources!A4113</f>
        <v/>
      </c>
      <c r="B4113">
        <f>Sources!B4113</f>
        <v/>
      </c>
      <c r="C4113">
        <f>Sources!D4113</f>
        <v/>
      </c>
      <c r="D4113">
        <f>Sources!E4113</f>
        <v/>
      </c>
      <c r="E4113">
        <f>Sources!F4113</f>
        <v/>
      </c>
      <c r="F4113">
        <f>Sources!H4113</f>
        <v/>
      </c>
      <c r="G4113">
        <f>IF(ABS(F4113-ROUND(F4113,0))&lt;0.001,1,0)</f>
        <v/>
      </c>
      <c r="H4113">
        <f>IF(G4113=1,F4113,CEILING(F4113,1))</f>
        <v/>
      </c>
      <c r="I4113">
        <f>IF(G4113=1,0,(H4113-F4113)*E4113)</f>
        <v/>
      </c>
      <c r="J4113">
        <f>E4113*F4113</f>
        <v/>
      </c>
    </row>
    <row r="4114">
      <c r="A4114">
        <f>Sources!A4114</f>
        <v/>
      </c>
      <c r="B4114">
        <f>Sources!B4114</f>
        <v/>
      </c>
      <c r="C4114">
        <f>Sources!D4114</f>
        <v/>
      </c>
      <c r="D4114">
        <f>Sources!E4114</f>
        <v/>
      </c>
      <c r="E4114">
        <f>Sources!F4114</f>
        <v/>
      </c>
      <c r="F4114">
        <f>Sources!H4114</f>
        <v/>
      </c>
      <c r="G4114">
        <f>IF(ABS(F4114-ROUND(F4114,0))&lt;0.001,1,0)</f>
        <v/>
      </c>
      <c r="H4114">
        <f>IF(G4114=1,F4114,CEILING(F4114,1))</f>
        <v/>
      </c>
      <c r="I4114">
        <f>IF(G4114=1,0,(H4114-F4114)*E4114)</f>
        <v/>
      </c>
      <c r="J4114">
        <f>E4114*F4114</f>
        <v/>
      </c>
    </row>
    <row r="4115">
      <c r="A4115">
        <f>Sources!A4115</f>
        <v/>
      </c>
      <c r="B4115">
        <f>Sources!B4115</f>
        <v/>
      </c>
      <c r="C4115">
        <f>Sources!D4115</f>
        <v/>
      </c>
      <c r="D4115">
        <f>Sources!E4115</f>
        <v/>
      </c>
      <c r="E4115">
        <f>Sources!F4115</f>
        <v/>
      </c>
      <c r="F4115">
        <f>Sources!H4115</f>
        <v/>
      </c>
      <c r="G4115">
        <f>IF(ABS(F4115-ROUND(F4115,0))&lt;0.001,1,0)</f>
        <v/>
      </c>
      <c r="H4115">
        <f>IF(G4115=1,F4115,CEILING(F4115,1))</f>
        <v/>
      </c>
      <c r="I4115">
        <f>IF(G4115=1,0,(H4115-F4115)*E4115)</f>
        <v/>
      </c>
      <c r="J4115">
        <f>E4115*F4115</f>
        <v/>
      </c>
    </row>
    <row r="4116">
      <c r="A4116">
        <f>Sources!A4116</f>
        <v/>
      </c>
      <c r="B4116">
        <f>Sources!B4116</f>
        <v/>
      </c>
      <c r="C4116">
        <f>Sources!D4116</f>
        <v/>
      </c>
      <c r="D4116">
        <f>Sources!E4116</f>
        <v/>
      </c>
      <c r="E4116">
        <f>Sources!F4116</f>
        <v/>
      </c>
      <c r="F4116">
        <f>Sources!H4116</f>
        <v/>
      </c>
      <c r="G4116">
        <f>IF(ABS(F4116-ROUND(F4116,0))&lt;0.001,1,0)</f>
        <v/>
      </c>
      <c r="H4116">
        <f>IF(G4116=1,F4116,CEILING(F4116,1))</f>
        <v/>
      </c>
      <c r="I4116">
        <f>IF(G4116=1,0,(H4116-F4116)*E4116)</f>
        <v/>
      </c>
      <c r="J4116">
        <f>E4116*F4116</f>
        <v/>
      </c>
    </row>
    <row r="4117">
      <c r="A4117">
        <f>Sources!A4117</f>
        <v/>
      </c>
      <c r="B4117">
        <f>Sources!B4117</f>
        <v/>
      </c>
      <c r="C4117">
        <f>Sources!D4117</f>
        <v/>
      </c>
      <c r="D4117">
        <f>Sources!E4117</f>
        <v/>
      </c>
      <c r="E4117">
        <f>Sources!F4117</f>
        <v/>
      </c>
      <c r="F4117">
        <f>Sources!H4117</f>
        <v/>
      </c>
      <c r="G4117">
        <f>IF(ABS(F4117-ROUND(F4117,0))&lt;0.001,1,0)</f>
        <v/>
      </c>
      <c r="H4117">
        <f>IF(G4117=1,F4117,CEILING(F4117,1))</f>
        <v/>
      </c>
      <c r="I4117">
        <f>IF(G4117=1,0,(H4117-F4117)*E4117)</f>
        <v/>
      </c>
      <c r="J4117">
        <f>E4117*F4117</f>
        <v/>
      </c>
    </row>
    <row r="4118">
      <c r="A4118">
        <f>Sources!A4118</f>
        <v/>
      </c>
      <c r="B4118">
        <f>Sources!B4118</f>
        <v/>
      </c>
      <c r="C4118">
        <f>Sources!D4118</f>
        <v/>
      </c>
      <c r="D4118">
        <f>Sources!E4118</f>
        <v/>
      </c>
      <c r="E4118">
        <f>Sources!F4118</f>
        <v/>
      </c>
      <c r="F4118">
        <f>Sources!H4118</f>
        <v/>
      </c>
      <c r="G4118">
        <f>IF(ABS(F4118-ROUND(F4118,0))&lt;0.001,1,0)</f>
        <v/>
      </c>
      <c r="H4118">
        <f>IF(G4118=1,F4118,CEILING(F4118,1))</f>
        <v/>
      </c>
      <c r="I4118">
        <f>IF(G4118=1,0,(H4118-F4118)*E4118)</f>
        <v/>
      </c>
      <c r="J4118">
        <f>E4118*F4118</f>
        <v/>
      </c>
    </row>
    <row r="4119">
      <c r="A4119">
        <f>Sources!A4119</f>
        <v/>
      </c>
      <c r="B4119">
        <f>Sources!B4119</f>
        <v/>
      </c>
      <c r="C4119">
        <f>Sources!D4119</f>
        <v/>
      </c>
      <c r="D4119">
        <f>Sources!E4119</f>
        <v/>
      </c>
      <c r="E4119">
        <f>Sources!F4119</f>
        <v/>
      </c>
      <c r="F4119">
        <f>Sources!H4119</f>
        <v/>
      </c>
      <c r="G4119">
        <f>IF(ABS(F4119-ROUND(F4119,0))&lt;0.001,1,0)</f>
        <v/>
      </c>
      <c r="H4119">
        <f>IF(G4119=1,F4119,CEILING(F4119,1))</f>
        <v/>
      </c>
      <c r="I4119">
        <f>IF(G4119=1,0,(H4119-F4119)*E4119)</f>
        <v/>
      </c>
      <c r="J4119">
        <f>E4119*F4119</f>
        <v/>
      </c>
    </row>
    <row r="4120">
      <c r="A4120">
        <f>Sources!A4120</f>
        <v/>
      </c>
      <c r="B4120">
        <f>Sources!B4120</f>
        <v/>
      </c>
      <c r="C4120">
        <f>Sources!D4120</f>
        <v/>
      </c>
      <c r="D4120">
        <f>Sources!E4120</f>
        <v/>
      </c>
      <c r="E4120">
        <f>Sources!F4120</f>
        <v/>
      </c>
      <c r="F4120">
        <f>Sources!H4120</f>
        <v/>
      </c>
      <c r="G4120">
        <f>IF(ABS(F4120-ROUND(F4120,0))&lt;0.001,1,0)</f>
        <v/>
      </c>
      <c r="H4120">
        <f>IF(G4120=1,F4120,CEILING(F4120,1))</f>
        <v/>
      </c>
      <c r="I4120">
        <f>IF(G4120=1,0,(H4120-F4120)*E4120)</f>
        <v/>
      </c>
      <c r="J4120">
        <f>E4120*F4120</f>
        <v/>
      </c>
    </row>
    <row r="4121">
      <c r="A4121">
        <f>Sources!A4121</f>
        <v/>
      </c>
      <c r="B4121">
        <f>Sources!B4121</f>
        <v/>
      </c>
      <c r="C4121">
        <f>Sources!D4121</f>
        <v/>
      </c>
      <c r="D4121">
        <f>Sources!E4121</f>
        <v/>
      </c>
      <c r="E4121">
        <f>Sources!F4121</f>
        <v/>
      </c>
      <c r="F4121">
        <f>Sources!H4121</f>
        <v/>
      </c>
      <c r="G4121">
        <f>IF(ABS(F4121-ROUND(F4121,0))&lt;0.001,1,0)</f>
        <v/>
      </c>
      <c r="H4121">
        <f>IF(G4121=1,F4121,CEILING(F4121,1))</f>
        <v/>
      </c>
      <c r="I4121">
        <f>IF(G4121=1,0,(H4121-F4121)*E4121)</f>
        <v/>
      </c>
      <c r="J4121">
        <f>E4121*F4121</f>
        <v/>
      </c>
    </row>
    <row r="4122">
      <c r="A4122">
        <f>Sources!A4122</f>
        <v/>
      </c>
      <c r="B4122">
        <f>Sources!B4122</f>
        <v/>
      </c>
      <c r="C4122">
        <f>Sources!D4122</f>
        <v/>
      </c>
      <c r="D4122">
        <f>Sources!E4122</f>
        <v/>
      </c>
      <c r="E4122">
        <f>Sources!F4122</f>
        <v/>
      </c>
      <c r="F4122">
        <f>Sources!H4122</f>
        <v/>
      </c>
      <c r="G4122">
        <f>IF(ABS(F4122-ROUND(F4122,0))&lt;0.001,1,0)</f>
        <v/>
      </c>
      <c r="H4122">
        <f>IF(G4122=1,F4122,CEILING(F4122,1))</f>
        <v/>
      </c>
      <c r="I4122">
        <f>IF(G4122=1,0,(H4122-F4122)*E4122)</f>
        <v/>
      </c>
      <c r="J4122">
        <f>E4122*F4122</f>
        <v/>
      </c>
    </row>
    <row r="4123">
      <c r="A4123">
        <f>Sources!A4123</f>
        <v/>
      </c>
      <c r="B4123">
        <f>Sources!B4123</f>
        <v/>
      </c>
      <c r="C4123">
        <f>Sources!D4123</f>
        <v/>
      </c>
      <c r="D4123">
        <f>Sources!E4123</f>
        <v/>
      </c>
      <c r="E4123">
        <f>Sources!F4123</f>
        <v/>
      </c>
      <c r="F4123">
        <f>Sources!H4123</f>
        <v/>
      </c>
      <c r="G4123">
        <f>IF(ABS(F4123-ROUND(F4123,0))&lt;0.001,1,0)</f>
        <v/>
      </c>
      <c r="H4123">
        <f>IF(G4123=1,F4123,CEILING(F4123,1))</f>
        <v/>
      </c>
      <c r="I4123">
        <f>IF(G4123=1,0,(H4123-F4123)*E4123)</f>
        <v/>
      </c>
      <c r="J4123">
        <f>E4123*F4123</f>
        <v/>
      </c>
    </row>
    <row r="4124">
      <c r="A4124">
        <f>Sources!A4124</f>
        <v/>
      </c>
      <c r="B4124">
        <f>Sources!B4124</f>
        <v/>
      </c>
      <c r="C4124">
        <f>Sources!D4124</f>
        <v/>
      </c>
      <c r="D4124">
        <f>Sources!E4124</f>
        <v/>
      </c>
      <c r="E4124">
        <f>Sources!F4124</f>
        <v/>
      </c>
      <c r="F4124">
        <f>Sources!H4124</f>
        <v/>
      </c>
      <c r="G4124">
        <f>IF(ABS(F4124-ROUND(F4124,0))&lt;0.001,1,0)</f>
        <v/>
      </c>
      <c r="H4124">
        <f>IF(G4124=1,F4124,CEILING(F4124,1))</f>
        <v/>
      </c>
      <c r="I4124">
        <f>IF(G4124=1,0,(H4124-F4124)*E4124)</f>
        <v/>
      </c>
      <c r="J4124">
        <f>E4124*F4124</f>
        <v/>
      </c>
    </row>
    <row r="4125">
      <c r="A4125">
        <f>Sources!A4125</f>
        <v/>
      </c>
      <c r="B4125">
        <f>Sources!B4125</f>
        <v/>
      </c>
      <c r="C4125">
        <f>Sources!D4125</f>
        <v/>
      </c>
      <c r="D4125">
        <f>Sources!E4125</f>
        <v/>
      </c>
      <c r="E4125">
        <f>Sources!F4125</f>
        <v/>
      </c>
      <c r="F4125">
        <f>Sources!H4125</f>
        <v/>
      </c>
      <c r="G4125">
        <f>IF(ABS(F4125-ROUND(F4125,0))&lt;0.001,1,0)</f>
        <v/>
      </c>
      <c r="H4125">
        <f>IF(G4125=1,F4125,CEILING(F4125,1))</f>
        <v/>
      </c>
      <c r="I4125">
        <f>IF(G4125=1,0,(H4125-F4125)*E4125)</f>
        <v/>
      </c>
      <c r="J4125">
        <f>E4125*F4125</f>
        <v/>
      </c>
    </row>
    <row r="4126">
      <c r="A4126">
        <f>Sources!A4126</f>
        <v/>
      </c>
      <c r="B4126">
        <f>Sources!B4126</f>
        <v/>
      </c>
      <c r="C4126">
        <f>Sources!D4126</f>
        <v/>
      </c>
      <c r="D4126">
        <f>Sources!E4126</f>
        <v/>
      </c>
      <c r="E4126">
        <f>Sources!F4126</f>
        <v/>
      </c>
      <c r="F4126">
        <f>Sources!H4126</f>
        <v/>
      </c>
      <c r="G4126">
        <f>IF(ABS(F4126-ROUND(F4126,0))&lt;0.001,1,0)</f>
        <v/>
      </c>
      <c r="H4126">
        <f>IF(G4126=1,F4126,CEILING(F4126,1))</f>
        <v/>
      </c>
      <c r="I4126">
        <f>IF(G4126=1,0,(H4126-F4126)*E4126)</f>
        <v/>
      </c>
      <c r="J4126">
        <f>E4126*F4126</f>
        <v/>
      </c>
    </row>
    <row r="4127">
      <c r="A4127">
        <f>Sources!A4127</f>
        <v/>
      </c>
      <c r="B4127">
        <f>Sources!B4127</f>
        <v/>
      </c>
      <c r="C4127">
        <f>Sources!D4127</f>
        <v/>
      </c>
      <c r="D4127">
        <f>Sources!E4127</f>
        <v/>
      </c>
      <c r="E4127">
        <f>Sources!F4127</f>
        <v/>
      </c>
      <c r="F4127">
        <f>Sources!H4127</f>
        <v/>
      </c>
      <c r="G4127">
        <f>IF(ABS(F4127-ROUND(F4127,0))&lt;0.001,1,0)</f>
        <v/>
      </c>
      <c r="H4127">
        <f>IF(G4127=1,F4127,CEILING(F4127,1))</f>
        <v/>
      </c>
      <c r="I4127">
        <f>IF(G4127=1,0,(H4127-F4127)*E4127)</f>
        <v/>
      </c>
      <c r="J4127">
        <f>E4127*F4127</f>
        <v/>
      </c>
    </row>
    <row r="4128">
      <c r="A4128">
        <f>Sources!A4128</f>
        <v/>
      </c>
      <c r="B4128">
        <f>Sources!B4128</f>
        <v/>
      </c>
      <c r="C4128">
        <f>Sources!D4128</f>
        <v/>
      </c>
      <c r="D4128">
        <f>Sources!E4128</f>
        <v/>
      </c>
      <c r="E4128">
        <f>Sources!F4128</f>
        <v/>
      </c>
      <c r="F4128">
        <f>Sources!H4128</f>
        <v/>
      </c>
      <c r="G4128">
        <f>IF(ABS(F4128-ROUND(F4128,0))&lt;0.001,1,0)</f>
        <v/>
      </c>
      <c r="H4128">
        <f>IF(G4128=1,F4128,CEILING(F4128,1))</f>
        <v/>
      </c>
      <c r="I4128">
        <f>IF(G4128=1,0,(H4128-F4128)*E4128)</f>
        <v/>
      </c>
      <c r="J4128">
        <f>E4128*F4128</f>
        <v/>
      </c>
    </row>
    <row r="4129">
      <c r="A4129">
        <f>Sources!A4129</f>
        <v/>
      </c>
      <c r="B4129">
        <f>Sources!B4129</f>
        <v/>
      </c>
      <c r="C4129">
        <f>Sources!D4129</f>
        <v/>
      </c>
      <c r="D4129">
        <f>Sources!E4129</f>
        <v/>
      </c>
      <c r="E4129">
        <f>Sources!F4129</f>
        <v/>
      </c>
      <c r="F4129">
        <f>Sources!H4129</f>
        <v/>
      </c>
      <c r="G4129">
        <f>IF(ABS(F4129-ROUND(F4129,0))&lt;0.001,1,0)</f>
        <v/>
      </c>
      <c r="H4129">
        <f>IF(G4129=1,F4129,CEILING(F4129,1))</f>
        <v/>
      </c>
      <c r="I4129">
        <f>IF(G4129=1,0,(H4129-F4129)*E4129)</f>
        <v/>
      </c>
      <c r="J4129">
        <f>E4129*F4129</f>
        <v/>
      </c>
    </row>
    <row r="4130">
      <c r="A4130">
        <f>Sources!A4130</f>
        <v/>
      </c>
      <c r="B4130">
        <f>Sources!B4130</f>
        <v/>
      </c>
      <c r="C4130">
        <f>Sources!D4130</f>
        <v/>
      </c>
      <c r="D4130">
        <f>Sources!E4130</f>
        <v/>
      </c>
      <c r="E4130">
        <f>Sources!F4130</f>
        <v/>
      </c>
      <c r="F4130">
        <f>Sources!H4130</f>
        <v/>
      </c>
      <c r="G4130">
        <f>IF(ABS(F4130-ROUND(F4130,0))&lt;0.001,1,0)</f>
        <v/>
      </c>
      <c r="H4130">
        <f>IF(G4130=1,F4130,CEILING(F4130,1))</f>
        <v/>
      </c>
      <c r="I4130">
        <f>IF(G4130=1,0,(H4130-F4130)*E4130)</f>
        <v/>
      </c>
      <c r="J4130">
        <f>E4130*F4130</f>
        <v/>
      </c>
    </row>
    <row r="4131">
      <c r="A4131">
        <f>Sources!A4131</f>
        <v/>
      </c>
      <c r="B4131">
        <f>Sources!B4131</f>
        <v/>
      </c>
      <c r="C4131">
        <f>Sources!D4131</f>
        <v/>
      </c>
      <c r="D4131">
        <f>Sources!E4131</f>
        <v/>
      </c>
      <c r="E4131">
        <f>Sources!F4131</f>
        <v/>
      </c>
      <c r="F4131">
        <f>Sources!H4131</f>
        <v/>
      </c>
      <c r="G4131">
        <f>IF(ABS(F4131-ROUND(F4131,0))&lt;0.001,1,0)</f>
        <v/>
      </c>
      <c r="H4131">
        <f>IF(G4131=1,F4131,CEILING(F4131,1))</f>
        <v/>
      </c>
      <c r="I4131">
        <f>IF(G4131=1,0,(H4131-F4131)*E4131)</f>
        <v/>
      </c>
      <c r="J4131">
        <f>E4131*F4131</f>
        <v/>
      </c>
    </row>
    <row r="4132">
      <c r="A4132">
        <f>Sources!A4132</f>
        <v/>
      </c>
      <c r="B4132">
        <f>Sources!B4132</f>
        <v/>
      </c>
      <c r="C4132">
        <f>Sources!D4132</f>
        <v/>
      </c>
      <c r="D4132">
        <f>Sources!E4132</f>
        <v/>
      </c>
      <c r="E4132">
        <f>Sources!F4132</f>
        <v/>
      </c>
      <c r="F4132">
        <f>Sources!H4132</f>
        <v/>
      </c>
      <c r="G4132">
        <f>IF(ABS(F4132-ROUND(F4132,0))&lt;0.001,1,0)</f>
        <v/>
      </c>
      <c r="H4132">
        <f>IF(G4132=1,F4132,CEILING(F4132,1))</f>
        <v/>
      </c>
      <c r="I4132">
        <f>IF(G4132=1,0,(H4132-F4132)*E4132)</f>
        <v/>
      </c>
      <c r="J4132">
        <f>E4132*F4132</f>
        <v/>
      </c>
    </row>
    <row r="4133">
      <c r="A4133">
        <f>Sources!A4133</f>
        <v/>
      </c>
      <c r="B4133">
        <f>Sources!B4133</f>
        <v/>
      </c>
      <c r="C4133">
        <f>Sources!D4133</f>
        <v/>
      </c>
      <c r="D4133">
        <f>Sources!E4133</f>
        <v/>
      </c>
      <c r="E4133">
        <f>Sources!F4133</f>
        <v/>
      </c>
      <c r="F4133">
        <f>Sources!H4133</f>
        <v/>
      </c>
      <c r="G4133">
        <f>IF(ABS(F4133-ROUND(F4133,0))&lt;0.001,1,0)</f>
        <v/>
      </c>
      <c r="H4133">
        <f>IF(G4133=1,F4133,CEILING(F4133,1))</f>
        <v/>
      </c>
      <c r="I4133">
        <f>IF(G4133=1,0,(H4133-F4133)*E4133)</f>
        <v/>
      </c>
      <c r="J4133">
        <f>E4133*F4133</f>
        <v/>
      </c>
    </row>
    <row r="4134">
      <c r="A4134">
        <f>Sources!A4134</f>
        <v/>
      </c>
      <c r="B4134">
        <f>Sources!B4134</f>
        <v/>
      </c>
      <c r="C4134">
        <f>Sources!D4134</f>
        <v/>
      </c>
      <c r="D4134">
        <f>Sources!E4134</f>
        <v/>
      </c>
      <c r="E4134">
        <f>Sources!F4134</f>
        <v/>
      </c>
      <c r="F4134">
        <f>Sources!H4134</f>
        <v/>
      </c>
      <c r="G4134">
        <f>IF(ABS(F4134-ROUND(F4134,0))&lt;0.001,1,0)</f>
        <v/>
      </c>
      <c r="H4134">
        <f>IF(G4134=1,F4134,CEILING(F4134,1))</f>
        <v/>
      </c>
      <c r="I4134">
        <f>IF(G4134=1,0,(H4134-F4134)*E4134)</f>
        <v/>
      </c>
      <c r="J4134">
        <f>E4134*F4134</f>
        <v/>
      </c>
    </row>
    <row r="4135">
      <c r="A4135">
        <f>Sources!A4135</f>
        <v/>
      </c>
      <c r="B4135">
        <f>Sources!B4135</f>
        <v/>
      </c>
      <c r="C4135">
        <f>Sources!D4135</f>
        <v/>
      </c>
      <c r="D4135">
        <f>Sources!E4135</f>
        <v/>
      </c>
      <c r="E4135">
        <f>Sources!F4135</f>
        <v/>
      </c>
      <c r="F4135">
        <f>Sources!H4135</f>
        <v/>
      </c>
      <c r="G4135">
        <f>IF(ABS(F4135-ROUND(F4135,0))&lt;0.001,1,0)</f>
        <v/>
      </c>
      <c r="H4135">
        <f>IF(G4135=1,F4135,CEILING(F4135,1))</f>
        <v/>
      </c>
      <c r="I4135">
        <f>IF(G4135=1,0,(H4135-F4135)*E4135)</f>
        <v/>
      </c>
      <c r="J4135">
        <f>E4135*F4135</f>
        <v/>
      </c>
    </row>
    <row r="4136">
      <c r="A4136">
        <f>Sources!A4136</f>
        <v/>
      </c>
      <c r="B4136">
        <f>Sources!B4136</f>
        <v/>
      </c>
      <c r="C4136">
        <f>Sources!D4136</f>
        <v/>
      </c>
      <c r="D4136">
        <f>Sources!E4136</f>
        <v/>
      </c>
      <c r="E4136">
        <f>Sources!F4136</f>
        <v/>
      </c>
      <c r="F4136">
        <f>Sources!H4136</f>
        <v/>
      </c>
      <c r="G4136">
        <f>IF(ABS(F4136-ROUND(F4136,0))&lt;0.001,1,0)</f>
        <v/>
      </c>
      <c r="H4136">
        <f>IF(G4136=1,F4136,CEILING(F4136,1))</f>
        <v/>
      </c>
      <c r="I4136">
        <f>IF(G4136=1,0,(H4136-F4136)*E4136)</f>
        <v/>
      </c>
      <c r="J4136">
        <f>E4136*F4136</f>
        <v/>
      </c>
    </row>
    <row r="4137">
      <c r="A4137">
        <f>Sources!A4137</f>
        <v/>
      </c>
      <c r="B4137">
        <f>Sources!B4137</f>
        <v/>
      </c>
      <c r="C4137">
        <f>Sources!D4137</f>
        <v/>
      </c>
      <c r="D4137">
        <f>Sources!E4137</f>
        <v/>
      </c>
      <c r="E4137">
        <f>Sources!F4137</f>
        <v/>
      </c>
      <c r="F4137">
        <f>Sources!H4137</f>
        <v/>
      </c>
      <c r="G4137">
        <f>IF(ABS(F4137-ROUND(F4137,0))&lt;0.001,1,0)</f>
        <v/>
      </c>
      <c r="H4137">
        <f>IF(G4137=1,F4137,CEILING(F4137,1))</f>
        <v/>
      </c>
      <c r="I4137">
        <f>IF(G4137=1,0,(H4137-F4137)*E4137)</f>
        <v/>
      </c>
      <c r="J4137">
        <f>E4137*F4137</f>
        <v/>
      </c>
    </row>
    <row r="4138">
      <c r="A4138">
        <f>Sources!A4138</f>
        <v/>
      </c>
      <c r="B4138">
        <f>Sources!B4138</f>
        <v/>
      </c>
      <c r="C4138">
        <f>Sources!D4138</f>
        <v/>
      </c>
      <c r="D4138">
        <f>Sources!E4138</f>
        <v/>
      </c>
      <c r="E4138">
        <f>Sources!F4138</f>
        <v/>
      </c>
      <c r="F4138">
        <f>Sources!H4138</f>
        <v/>
      </c>
      <c r="G4138">
        <f>IF(ABS(F4138-ROUND(F4138,0))&lt;0.001,1,0)</f>
        <v/>
      </c>
      <c r="H4138">
        <f>IF(G4138=1,F4138,CEILING(F4138,1))</f>
        <v/>
      </c>
      <c r="I4138">
        <f>IF(G4138=1,0,(H4138-F4138)*E4138)</f>
        <v/>
      </c>
      <c r="J4138">
        <f>E4138*F4138</f>
        <v/>
      </c>
    </row>
    <row r="4139">
      <c r="A4139">
        <f>Sources!A4139</f>
        <v/>
      </c>
      <c r="B4139">
        <f>Sources!B4139</f>
        <v/>
      </c>
      <c r="C4139">
        <f>Sources!D4139</f>
        <v/>
      </c>
      <c r="D4139">
        <f>Sources!E4139</f>
        <v/>
      </c>
      <c r="E4139">
        <f>Sources!F4139</f>
        <v/>
      </c>
      <c r="F4139">
        <f>Sources!H4139</f>
        <v/>
      </c>
      <c r="G4139">
        <f>IF(ABS(F4139-ROUND(F4139,0))&lt;0.001,1,0)</f>
        <v/>
      </c>
      <c r="H4139">
        <f>IF(G4139=1,F4139,CEILING(F4139,1))</f>
        <v/>
      </c>
      <c r="I4139">
        <f>IF(G4139=1,0,(H4139-F4139)*E4139)</f>
        <v/>
      </c>
      <c r="J4139">
        <f>E4139*F4139</f>
        <v/>
      </c>
    </row>
    <row r="4140">
      <c r="A4140">
        <f>Sources!A4140</f>
        <v/>
      </c>
      <c r="B4140">
        <f>Sources!B4140</f>
        <v/>
      </c>
      <c r="C4140">
        <f>Sources!D4140</f>
        <v/>
      </c>
      <c r="D4140">
        <f>Sources!E4140</f>
        <v/>
      </c>
      <c r="E4140">
        <f>Sources!F4140</f>
        <v/>
      </c>
      <c r="F4140">
        <f>Sources!H4140</f>
        <v/>
      </c>
      <c r="G4140">
        <f>IF(ABS(F4140-ROUND(F4140,0))&lt;0.001,1,0)</f>
        <v/>
      </c>
      <c r="H4140">
        <f>IF(G4140=1,F4140,CEILING(F4140,1))</f>
        <v/>
      </c>
      <c r="I4140">
        <f>IF(G4140=1,0,(H4140-F4140)*E4140)</f>
        <v/>
      </c>
      <c r="J4140">
        <f>E4140*F4140</f>
        <v/>
      </c>
    </row>
    <row r="4141">
      <c r="A4141">
        <f>Sources!A4141</f>
        <v/>
      </c>
      <c r="B4141">
        <f>Sources!B4141</f>
        <v/>
      </c>
      <c r="C4141">
        <f>Sources!D4141</f>
        <v/>
      </c>
      <c r="D4141">
        <f>Sources!E4141</f>
        <v/>
      </c>
      <c r="E4141">
        <f>Sources!F4141</f>
        <v/>
      </c>
      <c r="F4141">
        <f>Sources!H4141</f>
        <v/>
      </c>
      <c r="G4141">
        <f>IF(ABS(F4141-ROUND(F4141,0))&lt;0.001,1,0)</f>
        <v/>
      </c>
      <c r="H4141">
        <f>IF(G4141=1,F4141,CEILING(F4141,1))</f>
        <v/>
      </c>
      <c r="I4141">
        <f>IF(G4141=1,0,(H4141-F4141)*E4141)</f>
        <v/>
      </c>
      <c r="J4141">
        <f>E4141*F4141</f>
        <v/>
      </c>
    </row>
    <row r="4142">
      <c r="A4142">
        <f>Sources!A4142</f>
        <v/>
      </c>
      <c r="B4142">
        <f>Sources!B4142</f>
        <v/>
      </c>
      <c r="C4142">
        <f>Sources!D4142</f>
        <v/>
      </c>
      <c r="D4142">
        <f>Sources!E4142</f>
        <v/>
      </c>
      <c r="E4142">
        <f>Sources!F4142</f>
        <v/>
      </c>
      <c r="F4142">
        <f>Sources!H4142</f>
        <v/>
      </c>
      <c r="G4142">
        <f>IF(ABS(F4142-ROUND(F4142,0))&lt;0.001,1,0)</f>
        <v/>
      </c>
      <c r="H4142">
        <f>IF(G4142=1,F4142,CEILING(F4142,1))</f>
        <v/>
      </c>
      <c r="I4142">
        <f>IF(G4142=1,0,(H4142-F4142)*E4142)</f>
        <v/>
      </c>
      <c r="J4142">
        <f>E4142*F4142</f>
        <v/>
      </c>
    </row>
    <row r="4143">
      <c r="A4143">
        <f>Sources!A4143</f>
        <v/>
      </c>
      <c r="B4143">
        <f>Sources!B4143</f>
        <v/>
      </c>
      <c r="C4143">
        <f>Sources!D4143</f>
        <v/>
      </c>
      <c r="D4143">
        <f>Sources!E4143</f>
        <v/>
      </c>
      <c r="E4143">
        <f>Sources!F4143</f>
        <v/>
      </c>
      <c r="F4143">
        <f>Sources!H4143</f>
        <v/>
      </c>
      <c r="G4143">
        <f>IF(ABS(F4143-ROUND(F4143,0))&lt;0.001,1,0)</f>
        <v/>
      </c>
      <c r="H4143">
        <f>IF(G4143=1,F4143,CEILING(F4143,1))</f>
        <v/>
      </c>
      <c r="I4143">
        <f>IF(G4143=1,0,(H4143-F4143)*E4143)</f>
        <v/>
      </c>
      <c r="J4143">
        <f>E4143*F4143</f>
        <v/>
      </c>
    </row>
    <row r="4144">
      <c r="A4144">
        <f>Sources!A4144</f>
        <v/>
      </c>
      <c r="B4144">
        <f>Sources!B4144</f>
        <v/>
      </c>
      <c r="C4144">
        <f>Sources!D4144</f>
        <v/>
      </c>
      <c r="D4144">
        <f>Sources!E4144</f>
        <v/>
      </c>
      <c r="E4144">
        <f>Sources!F4144</f>
        <v/>
      </c>
      <c r="F4144">
        <f>Sources!H4144</f>
        <v/>
      </c>
      <c r="G4144">
        <f>IF(ABS(F4144-ROUND(F4144,0))&lt;0.001,1,0)</f>
        <v/>
      </c>
      <c r="H4144">
        <f>IF(G4144=1,F4144,CEILING(F4144,1))</f>
        <v/>
      </c>
      <c r="I4144">
        <f>IF(G4144=1,0,(H4144-F4144)*E4144)</f>
        <v/>
      </c>
      <c r="J4144">
        <f>E4144*F4144</f>
        <v/>
      </c>
    </row>
    <row r="4145">
      <c r="A4145">
        <f>Sources!A4145</f>
        <v/>
      </c>
      <c r="B4145">
        <f>Sources!B4145</f>
        <v/>
      </c>
      <c r="C4145">
        <f>Sources!D4145</f>
        <v/>
      </c>
      <c r="D4145">
        <f>Sources!E4145</f>
        <v/>
      </c>
      <c r="E4145">
        <f>Sources!F4145</f>
        <v/>
      </c>
      <c r="F4145">
        <f>Sources!H4145</f>
        <v/>
      </c>
      <c r="G4145">
        <f>IF(ABS(F4145-ROUND(F4145,0))&lt;0.001,1,0)</f>
        <v/>
      </c>
      <c r="H4145">
        <f>IF(G4145=1,F4145,CEILING(F4145,1))</f>
        <v/>
      </c>
      <c r="I4145">
        <f>IF(G4145=1,0,(H4145-F4145)*E4145)</f>
        <v/>
      </c>
      <c r="J4145">
        <f>E4145*F4145</f>
        <v/>
      </c>
    </row>
    <row r="4146">
      <c r="A4146">
        <f>Sources!A4146</f>
        <v/>
      </c>
      <c r="B4146">
        <f>Sources!B4146</f>
        <v/>
      </c>
      <c r="C4146">
        <f>Sources!D4146</f>
        <v/>
      </c>
      <c r="D4146">
        <f>Sources!E4146</f>
        <v/>
      </c>
      <c r="E4146">
        <f>Sources!F4146</f>
        <v/>
      </c>
      <c r="F4146">
        <f>Sources!H4146</f>
        <v/>
      </c>
      <c r="G4146">
        <f>IF(ABS(F4146-ROUND(F4146,0))&lt;0.001,1,0)</f>
        <v/>
      </c>
      <c r="H4146">
        <f>IF(G4146=1,F4146,CEILING(F4146,1))</f>
        <v/>
      </c>
      <c r="I4146">
        <f>IF(G4146=1,0,(H4146-F4146)*E4146)</f>
        <v/>
      </c>
      <c r="J4146">
        <f>E4146*F4146</f>
        <v/>
      </c>
    </row>
    <row r="4147">
      <c r="A4147">
        <f>Sources!A4147</f>
        <v/>
      </c>
      <c r="B4147">
        <f>Sources!B4147</f>
        <v/>
      </c>
      <c r="C4147">
        <f>Sources!D4147</f>
        <v/>
      </c>
      <c r="D4147">
        <f>Sources!E4147</f>
        <v/>
      </c>
      <c r="E4147">
        <f>Sources!F4147</f>
        <v/>
      </c>
      <c r="F4147">
        <f>Sources!H4147</f>
        <v/>
      </c>
      <c r="G4147">
        <f>IF(ABS(F4147-ROUND(F4147,0))&lt;0.001,1,0)</f>
        <v/>
      </c>
      <c r="H4147">
        <f>IF(G4147=1,F4147,CEILING(F4147,1))</f>
        <v/>
      </c>
      <c r="I4147">
        <f>IF(G4147=1,0,(H4147-F4147)*E4147)</f>
        <v/>
      </c>
      <c r="J4147">
        <f>E4147*F4147</f>
        <v/>
      </c>
    </row>
    <row r="4148">
      <c r="A4148">
        <f>Sources!A4148</f>
        <v/>
      </c>
      <c r="B4148">
        <f>Sources!B4148</f>
        <v/>
      </c>
      <c r="C4148">
        <f>Sources!D4148</f>
        <v/>
      </c>
      <c r="D4148">
        <f>Sources!E4148</f>
        <v/>
      </c>
      <c r="E4148">
        <f>Sources!F4148</f>
        <v/>
      </c>
      <c r="F4148">
        <f>Sources!H4148</f>
        <v/>
      </c>
      <c r="G4148">
        <f>IF(ABS(F4148-ROUND(F4148,0))&lt;0.001,1,0)</f>
        <v/>
      </c>
      <c r="H4148">
        <f>IF(G4148=1,F4148,CEILING(F4148,1))</f>
        <v/>
      </c>
      <c r="I4148">
        <f>IF(G4148=1,0,(H4148-F4148)*E4148)</f>
        <v/>
      </c>
      <c r="J4148">
        <f>E4148*F4148</f>
        <v/>
      </c>
    </row>
    <row r="4149">
      <c r="A4149">
        <f>Sources!A4149</f>
        <v/>
      </c>
      <c r="B4149">
        <f>Sources!B4149</f>
        <v/>
      </c>
      <c r="C4149">
        <f>Sources!D4149</f>
        <v/>
      </c>
      <c r="D4149">
        <f>Sources!E4149</f>
        <v/>
      </c>
      <c r="E4149">
        <f>Sources!F4149</f>
        <v/>
      </c>
      <c r="F4149">
        <f>Sources!H4149</f>
        <v/>
      </c>
      <c r="G4149">
        <f>IF(ABS(F4149-ROUND(F4149,0))&lt;0.001,1,0)</f>
        <v/>
      </c>
      <c r="H4149">
        <f>IF(G4149=1,F4149,CEILING(F4149,1))</f>
        <v/>
      </c>
      <c r="I4149">
        <f>IF(G4149=1,0,(H4149-F4149)*E4149)</f>
        <v/>
      </c>
      <c r="J4149">
        <f>E4149*F4149</f>
        <v/>
      </c>
    </row>
    <row r="4150">
      <c r="A4150">
        <f>Sources!A4150</f>
        <v/>
      </c>
      <c r="B4150">
        <f>Sources!B4150</f>
        <v/>
      </c>
      <c r="C4150">
        <f>Sources!D4150</f>
        <v/>
      </c>
      <c r="D4150">
        <f>Sources!E4150</f>
        <v/>
      </c>
      <c r="E4150">
        <f>Sources!F4150</f>
        <v/>
      </c>
      <c r="F4150">
        <f>Sources!H4150</f>
        <v/>
      </c>
      <c r="G4150">
        <f>IF(ABS(F4150-ROUND(F4150,0))&lt;0.001,1,0)</f>
        <v/>
      </c>
      <c r="H4150">
        <f>IF(G4150=1,F4150,CEILING(F4150,1))</f>
        <v/>
      </c>
      <c r="I4150">
        <f>IF(G4150=1,0,(H4150-F4150)*E4150)</f>
        <v/>
      </c>
      <c r="J4150">
        <f>E4150*F4150</f>
        <v/>
      </c>
    </row>
    <row r="4151">
      <c r="A4151">
        <f>Sources!A4151</f>
        <v/>
      </c>
      <c r="B4151">
        <f>Sources!B4151</f>
        <v/>
      </c>
      <c r="C4151">
        <f>Sources!D4151</f>
        <v/>
      </c>
      <c r="D4151">
        <f>Sources!E4151</f>
        <v/>
      </c>
      <c r="E4151">
        <f>Sources!F4151</f>
        <v/>
      </c>
      <c r="F4151">
        <f>Sources!H4151</f>
        <v/>
      </c>
      <c r="G4151">
        <f>IF(ABS(F4151-ROUND(F4151,0))&lt;0.001,1,0)</f>
        <v/>
      </c>
      <c r="H4151">
        <f>IF(G4151=1,F4151,CEILING(F4151,1))</f>
        <v/>
      </c>
      <c r="I4151">
        <f>IF(G4151=1,0,(H4151-F4151)*E4151)</f>
        <v/>
      </c>
      <c r="J4151">
        <f>E4151*F4151</f>
        <v/>
      </c>
    </row>
    <row r="4152">
      <c r="A4152">
        <f>Sources!A4152</f>
        <v/>
      </c>
      <c r="B4152">
        <f>Sources!B4152</f>
        <v/>
      </c>
      <c r="C4152">
        <f>Sources!D4152</f>
        <v/>
      </c>
      <c r="D4152">
        <f>Sources!E4152</f>
        <v/>
      </c>
      <c r="E4152">
        <f>Sources!F4152</f>
        <v/>
      </c>
      <c r="F4152">
        <f>Sources!H4152</f>
        <v/>
      </c>
      <c r="G4152">
        <f>IF(ABS(F4152-ROUND(F4152,0))&lt;0.001,1,0)</f>
        <v/>
      </c>
      <c r="H4152">
        <f>IF(G4152=1,F4152,CEILING(F4152,1))</f>
        <v/>
      </c>
      <c r="I4152">
        <f>IF(G4152=1,0,(H4152-F4152)*E4152)</f>
        <v/>
      </c>
      <c r="J4152">
        <f>E4152*F4152</f>
        <v/>
      </c>
    </row>
    <row r="4153">
      <c r="A4153">
        <f>Sources!A4153</f>
        <v/>
      </c>
      <c r="B4153">
        <f>Sources!B4153</f>
        <v/>
      </c>
      <c r="C4153">
        <f>Sources!D4153</f>
        <v/>
      </c>
      <c r="D4153">
        <f>Sources!E4153</f>
        <v/>
      </c>
      <c r="E4153">
        <f>Sources!F4153</f>
        <v/>
      </c>
      <c r="F4153">
        <f>Sources!H4153</f>
        <v/>
      </c>
      <c r="G4153">
        <f>IF(ABS(F4153-ROUND(F4153,0))&lt;0.001,1,0)</f>
        <v/>
      </c>
      <c r="H4153">
        <f>IF(G4153=1,F4153,CEILING(F4153,1))</f>
        <v/>
      </c>
      <c r="I4153">
        <f>IF(G4153=1,0,(H4153-F4153)*E4153)</f>
        <v/>
      </c>
      <c r="J4153">
        <f>E4153*F4153</f>
        <v/>
      </c>
    </row>
    <row r="4154">
      <c r="A4154">
        <f>Sources!A4154</f>
        <v/>
      </c>
      <c r="B4154">
        <f>Sources!B4154</f>
        <v/>
      </c>
      <c r="C4154">
        <f>Sources!D4154</f>
        <v/>
      </c>
      <c r="D4154">
        <f>Sources!E4154</f>
        <v/>
      </c>
      <c r="E4154">
        <f>Sources!F4154</f>
        <v/>
      </c>
      <c r="F4154">
        <f>Sources!H4154</f>
        <v/>
      </c>
      <c r="G4154">
        <f>IF(ABS(F4154-ROUND(F4154,0))&lt;0.001,1,0)</f>
        <v/>
      </c>
      <c r="H4154">
        <f>IF(G4154=1,F4154,CEILING(F4154,1))</f>
        <v/>
      </c>
      <c r="I4154">
        <f>IF(G4154=1,0,(H4154-F4154)*E4154)</f>
        <v/>
      </c>
      <c r="J4154">
        <f>E4154*F4154</f>
        <v/>
      </c>
    </row>
    <row r="4155">
      <c r="A4155">
        <f>Sources!A4155</f>
        <v/>
      </c>
      <c r="B4155">
        <f>Sources!B4155</f>
        <v/>
      </c>
      <c r="C4155">
        <f>Sources!D4155</f>
        <v/>
      </c>
      <c r="D4155">
        <f>Sources!E4155</f>
        <v/>
      </c>
      <c r="E4155">
        <f>Sources!F4155</f>
        <v/>
      </c>
      <c r="F4155">
        <f>Sources!H4155</f>
        <v/>
      </c>
      <c r="G4155">
        <f>IF(ABS(F4155-ROUND(F4155,0))&lt;0.001,1,0)</f>
        <v/>
      </c>
      <c r="H4155">
        <f>IF(G4155=1,F4155,CEILING(F4155,1))</f>
        <v/>
      </c>
      <c r="I4155">
        <f>IF(G4155=1,0,(H4155-F4155)*E4155)</f>
        <v/>
      </c>
      <c r="J4155">
        <f>E4155*F4155</f>
        <v/>
      </c>
    </row>
    <row r="4156">
      <c r="A4156">
        <f>Sources!A4156</f>
        <v/>
      </c>
      <c r="B4156">
        <f>Sources!B4156</f>
        <v/>
      </c>
      <c r="C4156">
        <f>Sources!D4156</f>
        <v/>
      </c>
      <c r="D4156">
        <f>Sources!E4156</f>
        <v/>
      </c>
      <c r="E4156">
        <f>Sources!F4156</f>
        <v/>
      </c>
      <c r="F4156">
        <f>Sources!H4156</f>
        <v/>
      </c>
      <c r="G4156">
        <f>IF(ABS(F4156-ROUND(F4156,0))&lt;0.001,1,0)</f>
        <v/>
      </c>
      <c r="H4156">
        <f>IF(G4156=1,F4156,CEILING(F4156,1))</f>
        <v/>
      </c>
      <c r="I4156">
        <f>IF(G4156=1,0,(H4156-F4156)*E4156)</f>
        <v/>
      </c>
      <c r="J4156">
        <f>E4156*F4156</f>
        <v/>
      </c>
    </row>
    <row r="4157">
      <c r="A4157">
        <f>Sources!A4157</f>
        <v/>
      </c>
      <c r="B4157">
        <f>Sources!B4157</f>
        <v/>
      </c>
      <c r="C4157">
        <f>Sources!D4157</f>
        <v/>
      </c>
      <c r="D4157">
        <f>Sources!E4157</f>
        <v/>
      </c>
      <c r="E4157">
        <f>Sources!F4157</f>
        <v/>
      </c>
      <c r="F4157">
        <f>Sources!H4157</f>
        <v/>
      </c>
      <c r="G4157">
        <f>IF(ABS(F4157-ROUND(F4157,0))&lt;0.001,1,0)</f>
        <v/>
      </c>
      <c r="H4157">
        <f>IF(G4157=1,F4157,CEILING(F4157,1))</f>
        <v/>
      </c>
      <c r="I4157">
        <f>IF(G4157=1,0,(H4157-F4157)*E4157)</f>
        <v/>
      </c>
      <c r="J4157">
        <f>E4157*F4157</f>
        <v/>
      </c>
    </row>
    <row r="4158">
      <c r="A4158">
        <f>Sources!A4158</f>
        <v/>
      </c>
      <c r="B4158">
        <f>Sources!B4158</f>
        <v/>
      </c>
      <c r="C4158">
        <f>Sources!D4158</f>
        <v/>
      </c>
      <c r="D4158">
        <f>Sources!E4158</f>
        <v/>
      </c>
      <c r="E4158">
        <f>Sources!F4158</f>
        <v/>
      </c>
      <c r="F4158">
        <f>Sources!H4158</f>
        <v/>
      </c>
      <c r="G4158">
        <f>IF(ABS(F4158-ROUND(F4158,0))&lt;0.001,1,0)</f>
        <v/>
      </c>
      <c r="H4158">
        <f>IF(G4158=1,F4158,CEILING(F4158,1))</f>
        <v/>
      </c>
      <c r="I4158">
        <f>IF(G4158=1,0,(H4158-F4158)*E4158)</f>
        <v/>
      </c>
      <c r="J4158">
        <f>E4158*F4158</f>
        <v/>
      </c>
    </row>
    <row r="4159">
      <c r="A4159">
        <f>Sources!A4159</f>
        <v/>
      </c>
      <c r="B4159">
        <f>Sources!B4159</f>
        <v/>
      </c>
      <c r="C4159">
        <f>Sources!D4159</f>
        <v/>
      </c>
      <c r="D4159">
        <f>Sources!E4159</f>
        <v/>
      </c>
      <c r="E4159">
        <f>Sources!F4159</f>
        <v/>
      </c>
      <c r="F4159">
        <f>Sources!H4159</f>
        <v/>
      </c>
      <c r="G4159">
        <f>IF(ABS(F4159-ROUND(F4159,0))&lt;0.001,1,0)</f>
        <v/>
      </c>
      <c r="H4159">
        <f>IF(G4159=1,F4159,CEILING(F4159,1))</f>
        <v/>
      </c>
      <c r="I4159">
        <f>IF(G4159=1,0,(H4159-F4159)*E4159)</f>
        <v/>
      </c>
      <c r="J4159">
        <f>E4159*F4159</f>
        <v/>
      </c>
    </row>
    <row r="4160">
      <c r="A4160">
        <f>Sources!A4160</f>
        <v/>
      </c>
      <c r="B4160">
        <f>Sources!B4160</f>
        <v/>
      </c>
      <c r="C4160">
        <f>Sources!D4160</f>
        <v/>
      </c>
      <c r="D4160">
        <f>Sources!E4160</f>
        <v/>
      </c>
      <c r="E4160">
        <f>Sources!F4160</f>
        <v/>
      </c>
      <c r="F4160">
        <f>Sources!H4160</f>
        <v/>
      </c>
      <c r="G4160">
        <f>IF(ABS(F4160-ROUND(F4160,0))&lt;0.001,1,0)</f>
        <v/>
      </c>
      <c r="H4160">
        <f>IF(G4160=1,F4160,CEILING(F4160,1))</f>
        <v/>
      </c>
      <c r="I4160">
        <f>IF(G4160=1,0,(H4160-F4160)*E4160)</f>
        <v/>
      </c>
      <c r="J4160">
        <f>E4160*F4160</f>
        <v/>
      </c>
    </row>
    <row r="4161">
      <c r="A4161">
        <f>Sources!A4161</f>
        <v/>
      </c>
      <c r="B4161">
        <f>Sources!B4161</f>
        <v/>
      </c>
      <c r="C4161">
        <f>Sources!D4161</f>
        <v/>
      </c>
      <c r="D4161">
        <f>Sources!E4161</f>
        <v/>
      </c>
      <c r="E4161">
        <f>Sources!F4161</f>
        <v/>
      </c>
      <c r="F4161">
        <f>Sources!H4161</f>
        <v/>
      </c>
      <c r="G4161">
        <f>IF(ABS(F4161-ROUND(F4161,0))&lt;0.001,1,0)</f>
        <v/>
      </c>
      <c r="H4161">
        <f>IF(G4161=1,F4161,CEILING(F4161,1))</f>
        <v/>
      </c>
      <c r="I4161">
        <f>IF(G4161=1,0,(H4161-F4161)*E4161)</f>
        <v/>
      </c>
      <c r="J4161">
        <f>E4161*F4161</f>
        <v/>
      </c>
    </row>
    <row r="4162">
      <c r="A4162">
        <f>Sources!A4162</f>
        <v/>
      </c>
      <c r="B4162">
        <f>Sources!B4162</f>
        <v/>
      </c>
      <c r="C4162">
        <f>Sources!D4162</f>
        <v/>
      </c>
      <c r="D4162">
        <f>Sources!E4162</f>
        <v/>
      </c>
      <c r="E4162">
        <f>Sources!F4162</f>
        <v/>
      </c>
      <c r="F4162">
        <f>Sources!H4162</f>
        <v/>
      </c>
      <c r="G4162">
        <f>IF(ABS(F4162-ROUND(F4162,0))&lt;0.001,1,0)</f>
        <v/>
      </c>
      <c r="H4162">
        <f>IF(G4162=1,F4162,CEILING(F4162,1))</f>
        <v/>
      </c>
      <c r="I4162">
        <f>IF(G4162=1,0,(H4162-F4162)*E4162)</f>
        <v/>
      </c>
      <c r="J4162">
        <f>E4162*F4162</f>
        <v/>
      </c>
    </row>
    <row r="4163">
      <c r="A4163">
        <f>Sources!A4163</f>
        <v/>
      </c>
      <c r="B4163">
        <f>Sources!B4163</f>
        <v/>
      </c>
      <c r="C4163">
        <f>Sources!D4163</f>
        <v/>
      </c>
      <c r="D4163">
        <f>Sources!E4163</f>
        <v/>
      </c>
      <c r="E4163">
        <f>Sources!F4163</f>
        <v/>
      </c>
      <c r="F4163">
        <f>Sources!H4163</f>
        <v/>
      </c>
      <c r="G4163">
        <f>IF(ABS(F4163-ROUND(F4163,0))&lt;0.001,1,0)</f>
        <v/>
      </c>
      <c r="H4163">
        <f>IF(G4163=1,F4163,CEILING(F4163,1))</f>
        <v/>
      </c>
      <c r="I4163">
        <f>IF(G4163=1,0,(H4163-F4163)*E4163)</f>
        <v/>
      </c>
      <c r="J4163">
        <f>E4163*F4163</f>
        <v/>
      </c>
    </row>
    <row r="4164">
      <c r="A4164">
        <f>Sources!A4164</f>
        <v/>
      </c>
      <c r="B4164">
        <f>Sources!B4164</f>
        <v/>
      </c>
      <c r="C4164">
        <f>Sources!D4164</f>
        <v/>
      </c>
      <c r="D4164">
        <f>Sources!E4164</f>
        <v/>
      </c>
      <c r="E4164">
        <f>Sources!F4164</f>
        <v/>
      </c>
      <c r="F4164">
        <f>Sources!H4164</f>
        <v/>
      </c>
      <c r="G4164">
        <f>IF(ABS(F4164-ROUND(F4164,0))&lt;0.001,1,0)</f>
        <v/>
      </c>
      <c r="H4164">
        <f>IF(G4164=1,F4164,CEILING(F4164,1))</f>
        <v/>
      </c>
      <c r="I4164">
        <f>IF(G4164=1,0,(H4164-F4164)*E4164)</f>
        <v/>
      </c>
      <c r="J4164">
        <f>E4164*F4164</f>
        <v/>
      </c>
    </row>
    <row r="4165">
      <c r="A4165">
        <f>Sources!A4165</f>
        <v/>
      </c>
      <c r="B4165">
        <f>Sources!B4165</f>
        <v/>
      </c>
      <c r="C4165">
        <f>Sources!D4165</f>
        <v/>
      </c>
      <c r="D4165">
        <f>Sources!E4165</f>
        <v/>
      </c>
      <c r="E4165">
        <f>Sources!F4165</f>
        <v/>
      </c>
      <c r="F4165">
        <f>Sources!H4165</f>
        <v/>
      </c>
      <c r="G4165">
        <f>IF(ABS(F4165-ROUND(F4165,0))&lt;0.001,1,0)</f>
        <v/>
      </c>
      <c r="H4165">
        <f>IF(G4165=1,F4165,CEILING(F4165,1))</f>
        <v/>
      </c>
      <c r="I4165">
        <f>IF(G4165=1,0,(H4165-F4165)*E4165)</f>
        <v/>
      </c>
      <c r="J4165">
        <f>E4165*F4165</f>
        <v/>
      </c>
    </row>
    <row r="4166">
      <c r="A4166">
        <f>Sources!A4166</f>
        <v/>
      </c>
      <c r="B4166">
        <f>Sources!B4166</f>
        <v/>
      </c>
      <c r="C4166">
        <f>Sources!D4166</f>
        <v/>
      </c>
      <c r="D4166">
        <f>Sources!E4166</f>
        <v/>
      </c>
      <c r="E4166">
        <f>Sources!F4166</f>
        <v/>
      </c>
      <c r="F4166">
        <f>Sources!H4166</f>
        <v/>
      </c>
      <c r="G4166">
        <f>IF(ABS(F4166-ROUND(F4166,0))&lt;0.001,1,0)</f>
        <v/>
      </c>
      <c r="H4166">
        <f>IF(G4166=1,F4166,CEILING(F4166,1))</f>
        <v/>
      </c>
      <c r="I4166">
        <f>IF(G4166=1,0,(H4166-F4166)*E4166)</f>
        <v/>
      </c>
      <c r="J4166">
        <f>E4166*F4166</f>
        <v/>
      </c>
    </row>
    <row r="4167">
      <c r="A4167">
        <f>Sources!A4167</f>
        <v/>
      </c>
      <c r="B4167">
        <f>Sources!B4167</f>
        <v/>
      </c>
      <c r="C4167">
        <f>Sources!D4167</f>
        <v/>
      </c>
      <c r="D4167">
        <f>Sources!E4167</f>
        <v/>
      </c>
      <c r="E4167">
        <f>Sources!F4167</f>
        <v/>
      </c>
      <c r="F4167">
        <f>Sources!H4167</f>
        <v/>
      </c>
      <c r="G4167">
        <f>IF(ABS(F4167-ROUND(F4167,0))&lt;0.001,1,0)</f>
        <v/>
      </c>
      <c r="H4167">
        <f>IF(G4167=1,F4167,CEILING(F4167,1))</f>
        <v/>
      </c>
      <c r="I4167">
        <f>IF(G4167=1,0,(H4167-F4167)*E4167)</f>
        <v/>
      </c>
      <c r="J4167">
        <f>E4167*F4167</f>
        <v/>
      </c>
    </row>
    <row r="4168">
      <c r="A4168">
        <f>Sources!A4168</f>
        <v/>
      </c>
      <c r="B4168">
        <f>Sources!B4168</f>
        <v/>
      </c>
      <c r="C4168">
        <f>Sources!D4168</f>
        <v/>
      </c>
      <c r="D4168">
        <f>Sources!E4168</f>
        <v/>
      </c>
      <c r="E4168">
        <f>Sources!F4168</f>
        <v/>
      </c>
      <c r="F4168">
        <f>Sources!H4168</f>
        <v/>
      </c>
      <c r="G4168">
        <f>IF(ABS(F4168-ROUND(F4168,0))&lt;0.001,1,0)</f>
        <v/>
      </c>
      <c r="H4168">
        <f>IF(G4168=1,F4168,CEILING(F4168,1))</f>
        <v/>
      </c>
      <c r="I4168">
        <f>IF(G4168=1,0,(H4168-F4168)*E4168)</f>
        <v/>
      </c>
      <c r="J4168">
        <f>E4168*F4168</f>
        <v/>
      </c>
    </row>
    <row r="4169">
      <c r="A4169">
        <f>Sources!A4169</f>
        <v/>
      </c>
      <c r="B4169">
        <f>Sources!B4169</f>
        <v/>
      </c>
      <c r="C4169">
        <f>Sources!D4169</f>
        <v/>
      </c>
      <c r="D4169">
        <f>Sources!E4169</f>
        <v/>
      </c>
      <c r="E4169">
        <f>Sources!F4169</f>
        <v/>
      </c>
      <c r="F4169">
        <f>Sources!H4169</f>
        <v/>
      </c>
      <c r="G4169">
        <f>IF(ABS(F4169-ROUND(F4169,0))&lt;0.001,1,0)</f>
        <v/>
      </c>
      <c r="H4169">
        <f>IF(G4169=1,F4169,CEILING(F4169,1))</f>
        <v/>
      </c>
      <c r="I4169">
        <f>IF(G4169=1,0,(H4169-F4169)*E4169)</f>
        <v/>
      </c>
      <c r="J4169">
        <f>E4169*F4169</f>
        <v/>
      </c>
    </row>
    <row r="4170">
      <c r="A4170">
        <f>Sources!A4170</f>
        <v/>
      </c>
      <c r="B4170">
        <f>Sources!B4170</f>
        <v/>
      </c>
      <c r="C4170">
        <f>Sources!D4170</f>
        <v/>
      </c>
      <c r="D4170">
        <f>Sources!E4170</f>
        <v/>
      </c>
      <c r="E4170">
        <f>Sources!F4170</f>
        <v/>
      </c>
      <c r="F4170">
        <f>Sources!H4170</f>
        <v/>
      </c>
      <c r="G4170">
        <f>IF(ABS(F4170-ROUND(F4170,0))&lt;0.001,1,0)</f>
        <v/>
      </c>
      <c r="H4170">
        <f>IF(G4170=1,F4170,CEILING(F4170,1))</f>
        <v/>
      </c>
      <c r="I4170">
        <f>IF(G4170=1,0,(H4170-F4170)*E4170)</f>
        <v/>
      </c>
      <c r="J4170">
        <f>E4170*F4170</f>
        <v/>
      </c>
    </row>
    <row r="4171">
      <c r="A4171">
        <f>Sources!A4171</f>
        <v/>
      </c>
      <c r="B4171">
        <f>Sources!B4171</f>
        <v/>
      </c>
      <c r="C4171">
        <f>Sources!D4171</f>
        <v/>
      </c>
      <c r="D4171">
        <f>Sources!E4171</f>
        <v/>
      </c>
      <c r="E4171">
        <f>Sources!F4171</f>
        <v/>
      </c>
      <c r="F4171">
        <f>Sources!H4171</f>
        <v/>
      </c>
      <c r="G4171">
        <f>IF(ABS(F4171-ROUND(F4171,0))&lt;0.001,1,0)</f>
        <v/>
      </c>
      <c r="H4171">
        <f>IF(G4171=1,F4171,CEILING(F4171,1))</f>
        <v/>
      </c>
      <c r="I4171">
        <f>IF(G4171=1,0,(H4171-F4171)*E4171)</f>
        <v/>
      </c>
      <c r="J4171">
        <f>E4171*F4171</f>
        <v/>
      </c>
    </row>
    <row r="4172">
      <c r="A4172">
        <f>Sources!A4172</f>
        <v/>
      </c>
      <c r="B4172">
        <f>Sources!B4172</f>
        <v/>
      </c>
      <c r="C4172">
        <f>Sources!D4172</f>
        <v/>
      </c>
      <c r="D4172">
        <f>Sources!E4172</f>
        <v/>
      </c>
      <c r="E4172">
        <f>Sources!F4172</f>
        <v/>
      </c>
      <c r="F4172">
        <f>Sources!H4172</f>
        <v/>
      </c>
      <c r="G4172">
        <f>IF(ABS(F4172-ROUND(F4172,0))&lt;0.001,1,0)</f>
        <v/>
      </c>
      <c r="H4172">
        <f>IF(G4172=1,F4172,CEILING(F4172,1))</f>
        <v/>
      </c>
      <c r="I4172">
        <f>IF(G4172=1,0,(H4172-F4172)*E4172)</f>
        <v/>
      </c>
      <c r="J4172">
        <f>E4172*F4172</f>
        <v/>
      </c>
    </row>
    <row r="4173">
      <c r="A4173">
        <f>Sources!A4173</f>
        <v/>
      </c>
      <c r="B4173">
        <f>Sources!B4173</f>
        <v/>
      </c>
      <c r="C4173">
        <f>Sources!D4173</f>
        <v/>
      </c>
      <c r="D4173">
        <f>Sources!E4173</f>
        <v/>
      </c>
      <c r="E4173">
        <f>Sources!F4173</f>
        <v/>
      </c>
      <c r="F4173">
        <f>Sources!H4173</f>
        <v/>
      </c>
      <c r="G4173">
        <f>IF(ABS(F4173-ROUND(F4173,0))&lt;0.001,1,0)</f>
        <v/>
      </c>
      <c r="H4173">
        <f>IF(G4173=1,F4173,CEILING(F4173,1))</f>
        <v/>
      </c>
      <c r="I4173">
        <f>IF(G4173=1,0,(H4173-F4173)*E4173)</f>
        <v/>
      </c>
      <c r="J4173">
        <f>E4173*F4173</f>
        <v/>
      </c>
    </row>
    <row r="4174">
      <c r="A4174">
        <f>Sources!A4174</f>
        <v/>
      </c>
      <c r="B4174">
        <f>Sources!B4174</f>
        <v/>
      </c>
      <c r="C4174">
        <f>Sources!D4174</f>
        <v/>
      </c>
      <c r="D4174">
        <f>Sources!E4174</f>
        <v/>
      </c>
      <c r="E4174">
        <f>Sources!F4174</f>
        <v/>
      </c>
      <c r="F4174">
        <f>Sources!H4174</f>
        <v/>
      </c>
      <c r="G4174">
        <f>IF(ABS(F4174-ROUND(F4174,0))&lt;0.001,1,0)</f>
        <v/>
      </c>
      <c r="H4174">
        <f>IF(G4174=1,F4174,CEILING(F4174,1))</f>
        <v/>
      </c>
      <c r="I4174">
        <f>IF(G4174=1,0,(H4174-F4174)*E4174)</f>
        <v/>
      </c>
      <c r="J4174">
        <f>E4174*F4174</f>
        <v/>
      </c>
    </row>
    <row r="4175">
      <c r="A4175">
        <f>Sources!A4175</f>
        <v/>
      </c>
      <c r="B4175">
        <f>Sources!B4175</f>
        <v/>
      </c>
      <c r="C4175">
        <f>Sources!D4175</f>
        <v/>
      </c>
      <c r="D4175">
        <f>Sources!E4175</f>
        <v/>
      </c>
      <c r="E4175">
        <f>Sources!F4175</f>
        <v/>
      </c>
      <c r="F4175">
        <f>Sources!H4175</f>
        <v/>
      </c>
      <c r="G4175">
        <f>IF(ABS(F4175-ROUND(F4175,0))&lt;0.001,1,0)</f>
        <v/>
      </c>
      <c r="H4175">
        <f>IF(G4175=1,F4175,CEILING(F4175,1))</f>
        <v/>
      </c>
      <c r="I4175">
        <f>IF(G4175=1,0,(H4175-F4175)*E4175)</f>
        <v/>
      </c>
      <c r="J4175">
        <f>E4175*F4175</f>
        <v/>
      </c>
    </row>
    <row r="4176">
      <c r="A4176">
        <f>Sources!A4176</f>
        <v/>
      </c>
      <c r="B4176">
        <f>Sources!B4176</f>
        <v/>
      </c>
      <c r="C4176">
        <f>Sources!D4176</f>
        <v/>
      </c>
      <c r="D4176">
        <f>Sources!E4176</f>
        <v/>
      </c>
      <c r="E4176">
        <f>Sources!F4176</f>
        <v/>
      </c>
      <c r="F4176">
        <f>Sources!H4176</f>
        <v/>
      </c>
      <c r="G4176">
        <f>IF(ABS(F4176-ROUND(F4176,0))&lt;0.001,1,0)</f>
        <v/>
      </c>
      <c r="H4176">
        <f>IF(G4176=1,F4176,CEILING(F4176,1))</f>
        <v/>
      </c>
      <c r="I4176">
        <f>IF(G4176=1,0,(H4176-F4176)*E4176)</f>
        <v/>
      </c>
      <c r="J4176">
        <f>E4176*F4176</f>
        <v/>
      </c>
    </row>
    <row r="4177">
      <c r="A4177">
        <f>Sources!A4177</f>
        <v/>
      </c>
      <c r="B4177">
        <f>Sources!B4177</f>
        <v/>
      </c>
      <c r="C4177">
        <f>Sources!D4177</f>
        <v/>
      </c>
      <c r="D4177">
        <f>Sources!E4177</f>
        <v/>
      </c>
      <c r="E4177">
        <f>Sources!F4177</f>
        <v/>
      </c>
      <c r="F4177">
        <f>Sources!H4177</f>
        <v/>
      </c>
      <c r="G4177">
        <f>IF(ABS(F4177-ROUND(F4177,0))&lt;0.001,1,0)</f>
        <v/>
      </c>
      <c r="H4177">
        <f>IF(G4177=1,F4177,CEILING(F4177,1))</f>
        <v/>
      </c>
      <c r="I4177">
        <f>IF(G4177=1,0,(H4177-F4177)*E4177)</f>
        <v/>
      </c>
      <c r="J4177">
        <f>E4177*F4177</f>
        <v/>
      </c>
    </row>
    <row r="4178">
      <c r="A4178">
        <f>Sources!A4178</f>
        <v/>
      </c>
      <c r="B4178">
        <f>Sources!B4178</f>
        <v/>
      </c>
      <c r="C4178">
        <f>Sources!D4178</f>
        <v/>
      </c>
      <c r="D4178">
        <f>Sources!E4178</f>
        <v/>
      </c>
      <c r="E4178">
        <f>Sources!F4178</f>
        <v/>
      </c>
      <c r="F4178">
        <f>Sources!H4178</f>
        <v/>
      </c>
      <c r="G4178">
        <f>IF(ABS(F4178-ROUND(F4178,0))&lt;0.001,1,0)</f>
        <v/>
      </c>
      <c r="H4178">
        <f>IF(G4178=1,F4178,CEILING(F4178,1))</f>
        <v/>
      </c>
      <c r="I4178">
        <f>IF(G4178=1,0,(H4178-F4178)*E4178)</f>
        <v/>
      </c>
      <c r="J4178">
        <f>E4178*F4178</f>
        <v/>
      </c>
    </row>
    <row r="4179">
      <c r="A4179">
        <f>Sources!A4179</f>
        <v/>
      </c>
      <c r="B4179">
        <f>Sources!B4179</f>
        <v/>
      </c>
      <c r="C4179">
        <f>Sources!D4179</f>
        <v/>
      </c>
      <c r="D4179">
        <f>Sources!E4179</f>
        <v/>
      </c>
      <c r="E4179">
        <f>Sources!F4179</f>
        <v/>
      </c>
      <c r="F4179">
        <f>Sources!H4179</f>
        <v/>
      </c>
      <c r="G4179">
        <f>IF(ABS(F4179-ROUND(F4179,0))&lt;0.001,1,0)</f>
        <v/>
      </c>
      <c r="H4179">
        <f>IF(G4179=1,F4179,CEILING(F4179,1))</f>
        <v/>
      </c>
      <c r="I4179">
        <f>IF(G4179=1,0,(H4179-F4179)*E4179)</f>
        <v/>
      </c>
      <c r="J4179">
        <f>E4179*F4179</f>
        <v/>
      </c>
    </row>
    <row r="4180">
      <c r="A4180">
        <f>Sources!A4180</f>
        <v/>
      </c>
      <c r="B4180">
        <f>Sources!B4180</f>
        <v/>
      </c>
      <c r="C4180">
        <f>Sources!D4180</f>
        <v/>
      </c>
      <c r="D4180">
        <f>Sources!E4180</f>
        <v/>
      </c>
      <c r="E4180">
        <f>Sources!F4180</f>
        <v/>
      </c>
      <c r="F4180">
        <f>Sources!H4180</f>
        <v/>
      </c>
      <c r="G4180">
        <f>IF(ABS(F4180-ROUND(F4180,0))&lt;0.001,1,0)</f>
        <v/>
      </c>
      <c r="H4180">
        <f>IF(G4180=1,F4180,CEILING(F4180,1))</f>
        <v/>
      </c>
      <c r="I4180">
        <f>IF(G4180=1,0,(H4180-F4180)*E4180)</f>
        <v/>
      </c>
      <c r="J4180">
        <f>E4180*F4180</f>
        <v/>
      </c>
    </row>
    <row r="4181">
      <c r="A4181">
        <f>Sources!A4181</f>
        <v/>
      </c>
      <c r="B4181">
        <f>Sources!B4181</f>
        <v/>
      </c>
      <c r="C4181">
        <f>Sources!D4181</f>
        <v/>
      </c>
      <c r="D4181">
        <f>Sources!E4181</f>
        <v/>
      </c>
      <c r="E4181">
        <f>Sources!F4181</f>
        <v/>
      </c>
      <c r="F4181">
        <f>Sources!H4181</f>
        <v/>
      </c>
      <c r="G4181">
        <f>IF(ABS(F4181-ROUND(F4181,0))&lt;0.001,1,0)</f>
        <v/>
      </c>
      <c r="H4181">
        <f>IF(G4181=1,F4181,CEILING(F4181,1))</f>
        <v/>
      </c>
      <c r="I4181">
        <f>IF(G4181=1,0,(H4181-F4181)*E4181)</f>
        <v/>
      </c>
      <c r="J4181">
        <f>E4181*F4181</f>
        <v/>
      </c>
    </row>
    <row r="4182">
      <c r="A4182">
        <f>Sources!A4182</f>
        <v/>
      </c>
      <c r="B4182">
        <f>Sources!B4182</f>
        <v/>
      </c>
      <c r="C4182">
        <f>Sources!D4182</f>
        <v/>
      </c>
      <c r="D4182">
        <f>Sources!E4182</f>
        <v/>
      </c>
      <c r="E4182">
        <f>Sources!F4182</f>
        <v/>
      </c>
      <c r="F4182">
        <f>Sources!H4182</f>
        <v/>
      </c>
      <c r="G4182">
        <f>IF(ABS(F4182-ROUND(F4182,0))&lt;0.001,1,0)</f>
        <v/>
      </c>
      <c r="H4182">
        <f>IF(G4182=1,F4182,CEILING(F4182,1))</f>
        <v/>
      </c>
      <c r="I4182">
        <f>IF(G4182=1,0,(H4182-F4182)*E4182)</f>
        <v/>
      </c>
      <c r="J4182">
        <f>E4182*F4182</f>
        <v/>
      </c>
    </row>
    <row r="4183">
      <c r="A4183">
        <f>Sources!A4183</f>
        <v/>
      </c>
      <c r="B4183">
        <f>Sources!B4183</f>
        <v/>
      </c>
      <c r="C4183">
        <f>Sources!D4183</f>
        <v/>
      </c>
      <c r="D4183">
        <f>Sources!E4183</f>
        <v/>
      </c>
      <c r="E4183">
        <f>Sources!F4183</f>
        <v/>
      </c>
      <c r="F4183">
        <f>Sources!H4183</f>
        <v/>
      </c>
      <c r="G4183">
        <f>IF(ABS(F4183-ROUND(F4183,0))&lt;0.001,1,0)</f>
        <v/>
      </c>
      <c r="H4183">
        <f>IF(G4183=1,F4183,CEILING(F4183,1))</f>
        <v/>
      </c>
      <c r="I4183">
        <f>IF(G4183=1,0,(H4183-F4183)*E4183)</f>
        <v/>
      </c>
      <c r="J4183">
        <f>E4183*F4183</f>
        <v/>
      </c>
    </row>
    <row r="4184">
      <c r="A4184">
        <f>Sources!A4184</f>
        <v/>
      </c>
      <c r="B4184">
        <f>Sources!B4184</f>
        <v/>
      </c>
      <c r="C4184">
        <f>Sources!D4184</f>
        <v/>
      </c>
      <c r="D4184">
        <f>Sources!E4184</f>
        <v/>
      </c>
      <c r="E4184">
        <f>Sources!F4184</f>
        <v/>
      </c>
      <c r="F4184">
        <f>Sources!H4184</f>
        <v/>
      </c>
      <c r="G4184">
        <f>IF(ABS(F4184-ROUND(F4184,0))&lt;0.001,1,0)</f>
        <v/>
      </c>
      <c r="H4184">
        <f>IF(G4184=1,F4184,CEILING(F4184,1))</f>
        <v/>
      </c>
      <c r="I4184">
        <f>IF(G4184=1,0,(H4184-F4184)*E4184)</f>
        <v/>
      </c>
      <c r="J4184">
        <f>E4184*F4184</f>
        <v/>
      </c>
    </row>
    <row r="4185">
      <c r="A4185">
        <f>Sources!A4185</f>
        <v/>
      </c>
      <c r="B4185">
        <f>Sources!B4185</f>
        <v/>
      </c>
      <c r="C4185">
        <f>Sources!D4185</f>
        <v/>
      </c>
      <c r="D4185">
        <f>Sources!E4185</f>
        <v/>
      </c>
      <c r="E4185">
        <f>Sources!F4185</f>
        <v/>
      </c>
      <c r="F4185">
        <f>Sources!H4185</f>
        <v/>
      </c>
      <c r="G4185">
        <f>IF(ABS(F4185-ROUND(F4185,0))&lt;0.001,1,0)</f>
        <v/>
      </c>
      <c r="H4185">
        <f>IF(G4185=1,F4185,CEILING(F4185,1))</f>
        <v/>
      </c>
      <c r="I4185">
        <f>IF(G4185=1,0,(H4185-F4185)*E4185)</f>
        <v/>
      </c>
      <c r="J4185">
        <f>E4185*F4185</f>
        <v/>
      </c>
    </row>
    <row r="4186">
      <c r="A4186">
        <f>Sources!A4186</f>
        <v/>
      </c>
      <c r="B4186">
        <f>Sources!B4186</f>
        <v/>
      </c>
      <c r="C4186">
        <f>Sources!D4186</f>
        <v/>
      </c>
      <c r="D4186">
        <f>Sources!E4186</f>
        <v/>
      </c>
      <c r="E4186">
        <f>Sources!F4186</f>
        <v/>
      </c>
      <c r="F4186">
        <f>Sources!H4186</f>
        <v/>
      </c>
      <c r="G4186">
        <f>IF(ABS(F4186-ROUND(F4186,0))&lt;0.001,1,0)</f>
        <v/>
      </c>
      <c r="H4186">
        <f>IF(G4186=1,F4186,CEILING(F4186,1))</f>
        <v/>
      </c>
      <c r="I4186">
        <f>IF(G4186=1,0,(H4186-F4186)*E4186)</f>
        <v/>
      </c>
      <c r="J4186">
        <f>E4186*F4186</f>
        <v/>
      </c>
    </row>
    <row r="4187">
      <c r="A4187">
        <f>Sources!A4187</f>
        <v/>
      </c>
      <c r="B4187">
        <f>Sources!B4187</f>
        <v/>
      </c>
      <c r="C4187">
        <f>Sources!D4187</f>
        <v/>
      </c>
      <c r="D4187">
        <f>Sources!E4187</f>
        <v/>
      </c>
      <c r="E4187">
        <f>Sources!F4187</f>
        <v/>
      </c>
      <c r="F4187">
        <f>Sources!H4187</f>
        <v/>
      </c>
      <c r="G4187">
        <f>IF(ABS(F4187-ROUND(F4187,0))&lt;0.001,1,0)</f>
        <v/>
      </c>
      <c r="H4187">
        <f>IF(G4187=1,F4187,CEILING(F4187,1))</f>
        <v/>
      </c>
      <c r="I4187">
        <f>IF(G4187=1,0,(H4187-F4187)*E4187)</f>
        <v/>
      </c>
      <c r="J4187">
        <f>E4187*F4187</f>
        <v/>
      </c>
    </row>
    <row r="4188">
      <c r="A4188">
        <f>Sources!A4188</f>
        <v/>
      </c>
      <c r="B4188">
        <f>Sources!B4188</f>
        <v/>
      </c>
      <c r="C4188">
        <f>Sources!D4188</f>
        <v/>
      </c>
      <c r="D4188">
        <f>Sources!E4188</f>
        <v/>
      </c>
      <c r="E4188">
        <f>Sources!F4188</f>
        <v/>
      </c>
      <c r="F4188">
        <f>Sources!H4188</f>
        <v/>
      </c>
      <c r="G4188">
        <f>IF(ABS(F4188-ROUND(F4188,0))&lt;0.001,1,0)</f>
        <v/>
      </c>
      <c r="H4188">
        <f>IF(G4188=1,F4188,CEILING(F4188,1))</f>
        <v/>
      </c>
      <c r="I4188">
        <f>IF(G4188=1,0,(H4188-F4188)*E4188)</f>
        <v/>
      </c>
      <c r="J4188">
        <f>E4188*F4188</f>
        <v/>
      </c>
    </row>
    <row r="4189">
      <c r="A4189">
        <f>Sources!A4189</f>
        <v/>
      </c>
      <c r="B4189">
        <f>Sources!B4189</f>
        <v/>
      </c>
      <c r="C4189">
        <f>Sources!D4189</f>
        <v/>
      </c>
      <c r="D4189">
        <f>Sources!E4189</f>
        <v/>
      </c>
      <c r="E4189">
        <f>Sources!F4189</f>
        <v/>
      </c>
      <c r="F4189">
        <f>Sources!H4189</f>
        <v/>
      </c>
      <c r="G4189">
        <f>IF(ABS(F4189-ROUND(F4189,0))&lt;0.001,1,0)</f>
        <v/>
      </c>
      <c r="H4189">
        <f>IF(G4189=1,F4189,CEILING(F4189,1))</f>
        <v/>
      </c>
      <c r="I4189">
        <f>IF(G4189=1,0,(H4189-F4189)*E4189)</f>
        <v/>
      </c>
      <c r="J4189">
        <f>E4189*F4189</f>
        <v/>
      </c>
    </row>
    <row r="4190">
      <c r="A4190">
        <f>Sources!A4190</f>
        <v/>
      </c>
      <c r="B4190">
        <f>Sources!B4190</f>
        <v/>
      </c>
      <c r="C4190">
        <f>Sources!D4190</f>
        <v/>
      </c>
      <c r="D4190">
        <f>Sources!E4190</f>
        <v/>
      </c>
      <c r="E4190">
        <f>Sources!F4190</f>
        <v/>
      </c>
      <c r="F4190">
        <f>Sources!H4190</f>
        <v/>
      </c>
      <c r="G4190">
        <f>IF(ABS(F4190-ROUND(F4190,0))&lt;0.001,1,0)</f>
        <v/>
      </c>
      <c r="H4190">
        <f>IF(G4190=1,F4190,CEILING(F4190,1))</f>
        <v/>
      </c>
      <c r="I4190">
        <f>IF(G4190=1,0,(H4190-F4190)*E4190)</f>
        <v/>
      </c>
      <c r="J4190">
        <f>E4190*F4190</f>
        <v/>
      </c>
    </row>
    <row r="4191">
      <c r="A4191">
        <f>Sources!A4191</f>
        <v/>
      </c>
      <c r="B4191">
        <f>Sources!B4191</f>
        <v/>
      </c>
      <c r="C4191">
        <f>Sources!D4191</f>
        <v/>
      </c>
      <c r="D4191">
        <f>Sources!E4191</f>
        <v/>
      </c>
      <c r="E4191">
        <f>Sources!F4191</f>
        <v/>
      </c>
      <c r="F4191">
        <f>Sources!H4191</f>
        <v/>
      </c>
      <c r="G4191">
        <f>IF(ABS(F4191-ROUND(F4191,0))&lt;0.001,1,0)</f>
        <v/>
      </c>
      <c r="H4191">
        <f>IF(G4191=1,F4191,CEILING(F4191,1))</f>
        <v/>
      </c>
      <c r="I4191">
        <f>IF(G4191=1,0,(H4191-F4191)*E4191)</f>
        <v/>
      </c>
      <c r="J4191">
        <f>E4191*F4191</f>
        <v/>
      </c>
    </row>
    <row r="4192">
      <c r="A4192">
        <f>Sources!A4192</f>
        <v/>
      </c>
      <c r="B4192">
        <f>Sources!B4192</f>
        <v/>
      </c>
      <c r="C4192">
        <f>Sources!D4192</f>
        <v/>
      </c>
      <c r="D4192">
        <f>Sources!E4192</f>
        <v/>
      </c>
      <c r="E4192">
        <f>Sources!F4192</f>
        <v/>
      </c>
      <c r="F4192">
        <f>Sources!H4192</f>
        <v/>
      </c>
      <c r="G4192">
        <f>IF(ABS(F4192-ROUND(F4192,0))&lt;0.001,1,0)</f>
        <v/>
      </c>
      <c r="H4192">
        <f>IF(G4192=1,F4192,CEILING(F4192,1))</f>
        <v/>
      </c>
      <c r="I4192">
        <f>IF(G4192=1,0,(H4192-F4192)*E4192)</f>
        <v/>
      </c>
      <c r="J4192">
        <f>E4192*F4192</f>
        <v/>
      </c>
    </row>
    <row r="4193">
      <c r="A4193">
        <f>Sources!A4193</f>
        <v/>
      </c>
      <c r="B4193">
        <f>Sources!B4193</f>
        <v/>
      </c>
      <c r="C4193">
        <f>Sources!D4193</f>
        <v/>
      </c>
      <c r="D4193">
        <f>Sources!E4193</f>
        <v/>
      </c>
      <c r="E4193">
        <f>Sources!F4193</f>
        <v/>
      </c>
      <c r="F4193">
        <f>Sources!H4193</f>
        <v/>
      </c>
      <c r="G4193">
        <f>IF(ABS(F4193-ROUND(F4193,0))&lt;0.001,1,0)</f>
        <v/>
      </c>
      <c r="H4193">
        <f>IF(G4193=1,F4193,CEILING(F4193,1))</f>
        <v/>
      </c>
      <c r="I4193">
        <f>IF(G4193=1,0,(H4193-F4193)*E4193)</f>
        <v/>
      </c>
      <c r="J4193">
        <f>E4193*F4193</f>
        <v/>
      </c>
    </row>
    <row r="4194">
      <c r="A4194">
        <f>Sources!A4194</f>
        <v/>
      </c>
      <c r="B4194">
        <f>Sources!B4194</f>
        <v/>
      </c>
      <c r="C4194">
        <f>Sources!D4194</f>
        <v/>
      </c>
      <c r="D4194">
        <f>Sources!E4194</f>
        <v/>
      </c>
      <c r="E4194">
        <f>Sources!F4194</f>
        <v/>
      </c>
      <c r="F4194">
        <f>Sources!H4194</f>
        <v/>
      </c>
      <c r="G4194">
        <f>IF(ABS(F4194-ROUND(F4194,0))&lt;0.001,1,0)</f>
        <v/>
      </c>
      <c r="H4194">
        <f>IF(G4194=1,F4194,CEILING(F4194,1))</f>
        <v/>
      </c>
      <c r="I4194">
        <f>IF(G4194=1,0,(H4194-F4194)*E4194)</f>
        <v/>
      </c>
      <c r="J4194">
        <f>E4194*F4194</f>
        <v/>
      </c>
    </row>
    <row r="4195">
      <c r="A4195">
        <f>Sources!A4195</f>
        <v/>
      </c>
      <c r="B4195">
        <f>Sources!B4195</f>
        <v/>
      </c>
      <c r="C4195">
        <f>Sources!D4195</f>
        <v/>
      </c>
      <c r="D4195">
        <f>Sources!E4195</f>
        <v/>
      </c>
      <c r="E4195">
        <f>Sources!F4195</f>
        <v/>
      </c>
      <c r="F4195">
        <f>Sources!H4195</f>
        <v/>
      </c>
      <c r="G4195">
        <f>IF(ABS(F4195-ROUND(F4195,0))&lt;0.001,1,0)</f>
        <v/>
      </c>
      <c r="H4195">
        <f>IF(G4195=1,F4195,CEILING(F4195,1))</f>
        <v/>
      </c>
      <c r="I4195">
        <f>IF(G4195=1,0,(H4195-F4195)*E4195)</f>
        <v/>
      </c>
      <c r="J4195">
        <f>E4195*F4195</f>
        <v/>
      </c>
    </row>
    <row r="4196">
      <c r="A4196">
        <f>Sources!A4196</f>
        <v/>
      </c>
      <c r="B4196">
        <f>Sources!B4196</f>
        <v/>
      </c>
      <c r="C4196">
        <f>Sources!D4196</f>
        <v/>
      </c>
      <c r="D4196">
        <f>Sources!E4196</f>
        <v/>
      </c>
      <c r="E4196">
        <f>Sources!F4196</f>
        <v/>
      </c>
      <c r="F4196">
        <f>Sources!H4196</f>
        <v/>
      </c>
      <c r="G4196">
        <f>IF(ABS(F4196-ROUND(F4196,0))&lt;0.001,1,0)</f>
        <v/>
      </c>
      <c r="H4196">
        <f>IF(G4196=1,F4196,CEILING(F4196,1))</f>
        <v/>
      </c>
      <c r="I4196">
        <f>IF(G4196=1,0,(H4196-F4196)*E4196)</f>
        <v/>
      </c>
      <c r="J4196">
        <f>E4196*F4196</f>
        <v/>
      </c>
    </row>
    <row r="4197">
      <c r="A4197">
        <f>Sources!A4197</f>
        <v/>
      </c>
      <c r="B4197">
        <f>Sources!B4197</f>
        <v/>
      </c>
      <c r="C4197">
        <f>Sources!D4197</f>
        <v/>
      </c>
      <c r="D4197">
        <f>Sources!E4197</f>
        <v/>
      </c>
      <c r="E4197">
        <f>Sources!F4197</f>
        <v/>
      </c>
      <c r="F4197">
        <f>Sources!H4197</f>
        <v/>
      </c>
      <c r="G4197">
        <f>IF(ABS(F4197-ROUND(F4197,0))&lt;0.001,1,0)</f>
        <v/>
      </c>
      <c r="H4197">
        <f>IF(G4197=1,F4197,CEILING(F4197,1))</f>
        <v/>
      </c>
      <c r="I4197">
        <f>IF(G4197=1,0,(H4197-F4197)*E4197)</f>
        <v/>
      </c>
      <c r="J4197">
        <f>E4197*F4197</f>
        <v/>
      </c>
    </row>
    <row r="4198">
      <c r="A4198">
        <f>Sources!A4198</f>
        <v/>
      </c>
      <c r="B4198">
        <f>Sources!B4198</f>
        <v/>
      </c>
      <c r="C4198">
        <f>Sources!D4198</f>
        <v/>
      </c>
      <c r="D4198">
        <f>Sources!E4198</f>
        <v/>
      </c>
      <c r="E4198">
        <f>Sources!F4198</f>
        <v/>
      </c>
      <c r="F4198">
        <f>Sources!H4198</f>
        <v/>
      </c>
      <c r="G4198">
        <f>IF(ABS(F4198-ROUND(F4198,0))&lt;0.001,1,0)</f>
        <v/>
      </c>
      <c r="H4198">
        <f>IF(G4198=1,F4198,CEILING(F4198,1))</f>
        <v/>
      </c>
      <c r="I4198">
        <f>IF(G4198=1,0,(H4198-F4198)*E4198)</f>
        <v/>
      </c>
      <c r="J4198">
        <f>E4198*F4198</f>
        <v/>
      </c>
    </row>
    <row r="4199">
      <c r="A4199">
        <f>Sources!A4199</f>
        <v/>
      </c>
      <c r="B4199">
        <f>Sources!B4199</f>
        <v/>
      </c>
      <c r="C4199">
        <f>Sources!D4199</f>
        <v/>
      </c>
      <c r="D4199">
        <f>Sources!E4199</f>
        <v/>
      </c>
      <c r="E4199">
        <f>Sources!F4199</f>
        <v/>
      </c>
      <c r="F4199">
        <f>Sources!H4199</f>
        <v/>
      </c>
      <c r="G4199">
        <f>IF(ABS(F4199-ROUND(F4199,0))&lt;0.001,1,0)</f>
        <v/>
      </c>
      <c r="H4199">
        <f>IF(G4199=1,F4199,CEILING(F4199,1))</f>
        <v/>
      </c>
      <c r="I4199">
        <f>IF(G4199=1,0,(H4199-F4199)*E4199)</f>
        <v/>
      </c>
      <c r="J4199">
        <f>E4199*F4199</f>
        <v/>
      </c>
    </row>
    <row r="4200">
      <c r="A4200">
        <f>Sources!A4200</f>
        <v/>
      </c>
      <c r="B4200">
        <f>Sources!B4200</f>
        <v/>
      </c>
      <c r="C4200">
        <f>Sources!D4200</f>
        <v/>
      </c>
      <c r="D4200">
        <f>Sources!E4200</f>
        <v/>
      </c>
      <c r="E4200">
        <f>Sources!F4200</f>
        <v/>
      </c>
      <c r="F4200">
        <f>Sources!H4200</f>
        <v/>
      </c>
      <c r="G4200">
        <f>IF(ABS(F4200-ROUND(F4200,0))&lt;0.001,1,0)</f>
        <v/>
      </c>
      <c r="H4200">
        <f>IF(G4200=1,F4200,CEILING(F4200,1))</f>
        <v/>
      </c>
      <c r="I4200">
        <f>IF(G4200=1,0,(H4200-F4200)*E4200)</f>
        <v/>
      </c>
      <c r="J4200">
        <f>E4200*F4200</f>
        <v/>
      </c>
    </row>
    <row r="4201">
      <c r="A4201">
        <f>Sources!A4201</f>
        <v/>
      </c>
      <c r="B4201">
        <f>Sources!B4201</f>
        <v/>
      </c>
      <c r="C4201">
        <f>Sources!D4201</f>
        <v/>
      </c>
      <c r="D4201">
        <f>Sources!E4201</f>
        <v/>
      </c>
      <c r="E4201">
        <f>Sources!F4201</f>
        <v/>
      </c>
      <c r="F4201">
        <f>Sources!H4201</f>
        <v/>
      </c>
      <c r="G4201">
        <f>IF(ABS(F4201-ROUND(F4201,0))&lt;0.001,1,0)</f>
        <v/>
      </c>
      <c r="H4201">
        <f>IF(G4201=1,F4201,CEILING(F4201,1))</f>
        <v/>
      </c>
      <c r="I4201">
        <f>IF(G4201=1,0,(H4201-F4201)*E4201)</f>
        <v/>
      </c>
      <c r="J4201">
        <f>E4201*F4201</f>
        <v/>
      </c>
    </row>
    <row r="4202">
      <c r="A4202">
        <f>Sources!A4202</f>
        <v/>
      </c>
      <c r="B4202">
        <f>Sources!B4202</f>
        <v/>
      </c>
      <c r="C4202">
        <f>Sources!D4202</f>
        <v/>
      </c>
      <c r="D4202">
        <f>Sources!E4202</f>
        <v/>
      </c>
      <c r="E4202">
        <f>Sources!F4202</f>
        <v/>
      </c>
      <c r="F4202">
        <f>Sources!H4202</f>
        <v/>
      </c>
      <c r="G4202">
        <f>IF(ABS(F4202-ROUND(F4202,0))&lt;0.001,1,0)</f>
        <v/>
      </c>
      <c r="H4202">
        <f>IF(G4202=1,F4202,CEILING(F4202,1))</f>
        <v/>
      </c>
      <c r="I4202">
        <f>IF(G4202=1,0,(H4202-F4202)*E4202)</f>
        <v/>
      </c>
      <c r="J4202">
        <f>E4202*F4202</f>
        <v/>
      </c>
    </row>
    <row r="4203">
      <c r="A4203">
        <f>Sources!A4203</f>
        <v/>
      </c>
      <c r="B4203">
        <f>Sources!B4203</f>
        <v/>
      </c>
      <c r="C4203">
        <f>Sources!D4203</f>
        <v/>
      </c>
      <c r="D4203">
        <f>Sources!E4203</f>
        <v/>
      </c>
      <c r="E4203">
        <f>Sources!F4203</f>
        <v/>
      </c>
      <c r="F4203">
        <f>Sources!H4203</f>
        <v/>
      </c>
      <c r="G4203">
        <f>IF(ABS(F4203-ROUND(F4203,0))&lt;0.001,1,0)</f>
        <v/>
      </c>
      <c r="H4203">
        <f>IF(G4203=1,F4203,CEILING(F4203,1))</f>
        <v/>
      </c>
      <c r="I4203">
        <f>IF(G4203=1,0,(H4203-F4203)*E4203)</f>
        <v/>
      </c>
      <c r="J4203">
        <f>E4203*F4203</f>
        <v/>
      </c>
    </row>
    <row r="4204">
      <c r="A4204">
        <f>Sources!A4204</f>
        <v/>
      </c>
      <c r="B4204">
        <f>Sources!B4204</f>
        <v/>
      </c>
      <c r="C4204">
        <f>Sources!D4204</f>
        <v/>
      </c>
      <c r="D4204">
        <f>Sources!E4204</f>
        <v/>
      </c>
      <c r="E4204">
        <f>Sources!F4204</f>
        <v/>
      </c>
      <c r="F4204">
        <f>Sources!H4204</f>
        <v/>
      </c>
      <c r="G4204">
        <f>IF(ABS(F4204-ROUND(F4204,0))&lt;0.001,1,0)</f>
        <v/>
      </c>
      <c r="H4204">
        <f>IF(G4204=1,F4204,CEILING(F4204,1))</f>
        <v/>
      </c>
      <c r="I4204">
        <f>IF(G4204=1,0,(H4204-F4204)*E4204)</f>
        <v/>
      </c>
      <c r="J4204">
        <f>E4204*F4204</f>
        <v/>
      </c>
    </row>
    <row r="4205">
      <c r="A4205">
        <f>Sources!A4205</f>
        <v/>
      </c>
      <c r="B4205">
        <f>Sources!B4205</f>
        <v/>
      </c>
      <c r="C4205">
        <f>Sources!D4205</f>
        <v/>
      </c>
      <c r="D4205">
        <f>Sources!E4205</f>
        <v/>
      </c>
      <c r="E4205">
        <f>Sources!F4205</f>
        <v/>
      </c>
      <c r="F4205">
        <f>Sources!H4205</f>
        <v/>
      </c>
      <c r="G4205">
        <f>IF(ABS(F4205-ROUND(F4205,0))&lt;0.001,1,0)</f>
        <v/>
      </c>
      <c r="H4205">
        <f>IF(G4205=1,F4205,CEILING(F4205,1))</f>
        <v/>
      </c>
      <c r="I4205">
        <f>IF(G4205=1,0,(H4205-F4205)*E4205)</f>
        <v/>
      </c>
      <c r="J4205">
        <f>E4205*F4205</f>
        <v/>
      </c>
    </row>
    <row r="4206">
      <c r="A4206">
        <f>Sources!A4206</f>
        <v/>
      </c>
      <c r="B4206">
        <f>Sources!B4206</f>
        <v/>
      </c>
      <c r="C4206">
        <f>Sources!D4206</f>
        <v/>
      </c>
      <c r="D4206">
        <f>Sources!E4206</f>
        <v/>
      </c>
      <c r="E4206">
        <f>Sources!F4206</f>
        <v/>
      </c>
      <c r="F4206">
        <f>Sources!H4206</f>
        <v/>
      </c>
      <c r="G4206">
        <f>IF(ABS(F4206-ROUND(F4206,0))&lt;0.001,1,0)</f>
        <v/>
      </c>
      <c r="H4206">
        <f>IF(G4206=1,F4206,CEILING(F4206,1))</f>
        <v/>
      </c>
      <c r="I4206">
        <f>IF(G4206=1,0,(H4206-F4206)*E4206)</f>
        <v/>
      </c>
      <c r="J4206">
        <f>E4206*F4206</f>
        <v/>
      </c>
    </row>
    <row r="4207">
      <c r="A4207">
        <f>Sources!A4207</f>
        <v/>
      </c>
      <c r="B4207">
        <f>Sources!B4207</f>
        <v/>
      </c>
      <c r="C4207">
        <f>Sources!D4207</f>
        <v/>
      </c>
      <c r="D4207">
        <f>Sources!E4207</f>
        <v/>
      </c>
      <c r="E4207">
        <f>Sources!F4207</f>
        <v/>
      </c>
      <c r="F4207">
        <f>Sources!H4207</f>
        <v/>
      </c>
      <c r="G4207">
        <f>IF(ABS(F4207-ROUND(F4207,0))&lt;0.001,1,0)</f>
        <v/>
      </c>
      <c r="H4207">
        <f>IF(G4207=1,F4207,CEILING(F4207,1))</f>
        <v/>
      </c>
      <c r="I4207">
        <f>IF(G4207=1,0,(H4207-F4207)*E4207)</f>
        <v/>
      </c>
      <c r="J4207">
        <f>E4207*F4207</f>
        <v/>
      </c>
    </row>
    <row r="4208">
      <c r="A4208">
        <f>Sources!A4208</f>
        <v/>
      </c>
      <c r="B4208">
        <f>Sources!B4208</f>
        <v/>
      </c>
      <c r="C4208">
        <f>Sources!D4208</f>
        <v/>
      </c>
      <c r="D4208">
        <f>Sources!E4208</f>
        <v/>
      </c>
      <c r="E4208">
        <f>Sources!F4208</f>
        <v/>
      </c>
      <c r="F4208">
        <f>Sources!H4208</f>
        <v/>
      </c>
      <c r="G4208">
        <f>IF(ABS(F4208-ROUND(F4208,0))&lt;0.001,1,0)</f>
        <v/>
      </c>
      <c r="H4208">
        <f>IF(G4208=1,F4208,CEILING(F4208,1))</f>
        <v/>
      </c>
      <c r="I4208">
        <f>IF(G4208=1,0,(H4208-F4208)*E4208)</f>
        <v/>
      </c>
      <c r="J4208">
        <f>E4208*F4208</f>
        <v/>
      </c>
    </row>
    <row r="4209">
      <c r="A4209">
        <f>Sources!A4209</f>
        <v/>
      </c>
      <c r="B4209">
        <f>Sources!B4209</f>
        <v/>
      </c>
      <c r="C4209">
        <f>Sources!D4209</f>
        <v/>
      </c>
      <c r="D4209">
        <f>Sources!E4209</f>
        <v/>
      </c>
      <c r="E4209">
        <f>Sources!F4209</f>
        <v/>
      </c>
      <c r="F4209">
        <f>Sources!H4209</f>
        <v/>
      </c>
      <c r="G4209">
        <f>IF(ABS(F4209-ROUND(F4209,0))&lt;0.001,1,0)</f>
        <v/>
      </c>
      <c r="H4209">
        <f>IF(G4209=1,F4209,CEILING(F4209,1))</f>
        <v/>
      </c>
      <c r="I4209">
        <f>IF(G4209=1,0,(H4209-F4209)*E4209)</f>
        <v/>
      </c>
      <c r="J4209">
        <f>E4209*F4209</f>
        <v/>
      </c>
    </row>
    <row r="4210">
      <c r="A4210">
        <f>Sources!A4210</f>
        <v/>
      </c>
      <c r="B4210">
        <f>Sources!B4210</f>
        <v/>
      </c>
      <c r="C4210">
        <f>Sources!D4210</f>
        <v/>
      </c>
      <c r="D4210">
        <f>Sources!E4210</f>
        <v/>
      </c>
      <c r="E4210">
        <f>Sources!F4210</f>
        <v/>
      </c>
      <c r="F4210">
        <f>Sources!H4210</f>
        <v/>
      </c>
      <c r="G4210">
        <f>IF(ABS(F4210-ROUND(F4210,0))&lt;0.001,1,0)</f>
        <v/>
      </c>
      <c r="H4210">
        <f>IF(G4210=1,F4210,CEILING(F4210,1))</f>
        <v/>
      </c>
      <c r="I4210">
        <f>IF(G4210=1,0,(H4210-F4210)*E4210)</f>
        <v/>
      </c>
      <c r="J4210">
        <f>E4210*F4210</f>
        <v/>
      </c>
    </row>
    <row r="4211">
      <c r="A4211">
        <f>Sources!A4211</f>
        <v/>
      </c>
      <c r="B4211">
        <f>Sources!B4211</f>
        <v/>
      </c>
      <c r="C4211">
        <f>Sources!D4211</f>
        <v/>
      </c>
      <c r="D4211">
        <f>Sources!E4211</f>
        <v/>
      </c>
      <c r="E4211">
        <f>Sources!F4211</f>
        <v/>
      </c>
      <c r="F4211">
        <f>Sources!H4211</f>
        <v/>
      </c>
      <c r="G4211">
        <f>IF(ABS(F4211-ROUND(F4211,0))&lt;0.001,1,0)</f>
        <v/>
      </c>
      <c r="H4211">
        <f>IF(G4211=1,F4211,CEILING(F4211,1))</f>
        <v/>
      </c>
      <c r="I4211">
        <f>IF(G4211=1,0,(H4211-F4211)*E4211)</f>
        <v/>
      </c>
      <c r="J4211">
        <f>E4211*F4211</f>
        <v/>
      </c>
    </row>
    <row r="4212">
      <c r="A4212">
        <f>Sources!A4212</f>
        <v/>
      </c>
      <c r="B4212">
        <f>Sources!B4212</f>
        <v/>
      </c>
      <c r="C4212">
        <f>Sources!D4212</f>
        <v/>
      </c>
      <c r="D4212">
        <f>Sources!E4212</f>
        <v/>
      </c>
      <c r="E4212">
        <f>Sources!F4212</f>
        <v/>
      </c>
      <c r="F4212">
        <f>Sources!H4212</f>
        <v/>
      </c>
      <c r="G4212">
        <f>IF(ABS(F4212-ROUND(F4212,0))&lt;0.001,1,0)</f>
        <v/>
      </c>
      <c r="H4212">
        <f>IF(G4212=1,F4212,CEILING(F4212,1))</f>
        <v/>
      </c>
      <c r="I4212">
        <f>IF(G4212=1,0,(H4212-F4212)*E4212)</f>
        <v/>
      </c>
      <c r="J4212">
        <f>E4212*F4212</f>
        <v/>
      </c>
    </row>
    <row r="4213">
      <c r="A4213">
        <f>Sources!A4213</f>
        <v/>
      </c>
      <c r="B4213">
        <f>Sources!B4213</f>
        <v/>
      </c>
      <c r="C4213">
        <f>Sources!D4213</f>
        <v/>
      </c>
      <c r="D4213">
        <f>Sources!E4213</f>
        <v/>
      </c>
      <c r="E4213">
        <f>Sources!F4213</f>
        <v/>
      </c>
      <c r="F4213">
        <f>Sources!H4213</f>
        <v/>
      </c>
      <c r="G4213">
        <f>IF(ABS(F4213-ROUND(F4213,0))&lt;0.001,1,0)</f>
        <v/>
      </c>
      <c r="H4213">
        <f>IF(G4213=1,F4213,CEILING(F4213,1))</f>
        <v/>
      </c>
      <c r="I4213">
        <f>IF(G4213=1,0,(H4213-F4213)*E4213)</f>
        <v/>
      </c>
      <c r="J4213">
        <f>E4213*F4213</f>
        <v/>
      </c>
    </row>
    <row r="4214">
      <c r="A4214">
        <f>Sources!A4214</f>
        <v/>
      </c>
      <c r="B4214">
        <f>Sources!B4214</f>
        <v/>
      </c>
      <c r="C4214">
        <f>Sources!D4214</f>
        <v/>
      </c>
      <c r="D4214">
        <f>Sources!E4214</f>
        <v/>
      </c>
      <c r="E4214">
        <f>Sources!F4214</f>
        <v/>
      </c>
      <c r="F4214">
        <f>Sources!H4214</f>
        <v/>
      </c>
      <c r="G4214">
        <f>IF(ABS(F4214-ROUND(F4214,0))&lt;0.001,1,0)</f>
        <v/>
      </c>
      <c r="H4214">
        <f>IF(G4214=1,F4214,CEILING(F4214,1))</f>
        <v/>
      </c>
      <c r="I4214">
        <f>IF(G4214=1,0,(H4214-F4214)*E4214)</f>
        <v/>
      </c>
      <c r="J4214">
        <f>E4214*F4214</f>
        <v/>
      </c>
    </row>
    <row r="4215">
      <c r="A4215">
        <f>Sources!A4215</f>
        <v/>
      </c>
      <c r="B4215">
        <f>Sources!B4215</f>
        <v/>
      </c>
      <c r="C4215">
        <f>Sources!D4215</f>
        <v/>
      </c>
      <c r="D4215">
        <f>Sources!E4215</f>
        <v/>
      </c>
      <c r="E4215">
        <f>Sources!F4215</f>
        <v/>
      </c>
      <c r="F4215">
        <f>Sources!H4215</f>
        <v/>
      </c>
      <c r="G4215">
        <f>IF(ABS(F4215-ROUND(F4215,0))&lt;0.001,1,0)</f>
        <v/>
      </c>
      <c r="H4215">
        <f>IF(G4215=1,F4215,CEILING(F4215,1))</f>
        <v/>
      </c>
      <c r="I4215">
        <f>IF(G4215=1,0,(H4215-F4215)*E4215)</f>
        <v/>
      </c>
      <c r="J4215">
        <f>E4215*F4215</f>
        <v/>
      </c>
    </row>
    <row r="4216">
      <c r="A4216">
        <f>Sources!A4216</f>
        <v/>
      </c>
      <c r="B4216">
        <f>Sources!B4216</f>
        <v/>
      </c>
      <c r="C4216">
        <f>Sources!D4216</f>
        <v/>
      </c>
      <c r="D4216">
        <f>Sources!E4216</f>
        <v/>
      </c>
      <c r="E4216">
        <f>Sources!F4216</f>
        <v/>
      </c>
      <c r="F4216">
        <f>Sources!H4216</f>
        <v/>
      </c>
      <c r="G4216">
        <f>IF(ABS(F4216-ROUND(F4216,0))&lt;0.001,1,0)</f>
        <v/>
      </c>
      <c r="H4216">
        <f>IF(G4216=1,F4216,CEILING(F4216,1))</f>
        <v/>
      </c>
      <c r="I4216">
        <f>IF(G4216=1,0,(H4216-F4216)*E4216)</f>
        <v/>
      </c>
      <c r="J4216">
        <f>E4216*F4216</f>
        <v/>
      </c>
    </row>
    <row r="4217">
      <c r="A4217">
        <f>Sources!A4217</f>
        <v/>
      </c>
      <c r="B4217">
        <f>Sources!B4217</f>
        <v/>
      </c>
      <c r="C4217">
        <f>Sources!D4217</f>
        <v/>
      </c>
      <c r="D4217">
        <f>Sources!E4217</f>
        <v/>
      </c>
      <c r="E4217">
        <f>Sources!F4217</f>
        <v/>
      </c>
      <c r="F4217">
        <f>Sources!H4217</f>
        <v/>
      </c>
      <c r="G4217">
        <f>IF(ABS(F4217-ROUND(F4217,0))&lt;0.001,1,0)</f>
        <v/>
      </c>
      <c r="H4217">
        <f>IF(G4217=1,F4217,CEILING(F4217,1))</f>
        <v/>
      </c>
      <c r="I4217">
        <f>IF(G4217=1,0,(H4217-F4217)*E4217)</f>
        <v/>
      </c>
      <c r="J4217">
        <f>E4217*F4217</f>
        <v/>
      </c>
    </row>
    <row r="4218">
      <c r="A4218">
        <f>Sources!A4218</f>
        <v/>
      </c>
      <c r="B4218">
        <f>Sources!B4218</f>
        <v/>
      </c>
      <c r="C4218">
        <f>Sources!D4218</f>
        <v/>
      </c>
      <c r="D4218">
        <f>Sources!E4218</f>
        <v/>
      </c>
      <c r="E4218">
        <f>Sources!F4218</f>
        <v/>
      </c>
      <c r="F4218">
        <f>Sources!H4218</f>
        <v/>
      </c>
      <c r="G4218">
        <f>IF(ABS(F4218-ROUND(F4218,0))&lt;0.001,1,0)</f>
        <v/>
      </c>
      <c r="H4218">
        <f>IF(G4218=1,F4218,CEILING(F4218,1))</f>
        <v/>
      </c>
      <c r="I4218">
        <f>IF(G4218=1,0,(H4218-F4218)*E4218)</f>
        <v/>
      </c>
      <c r="J4218">
        <f>E4218*F4218</f>
        <v/>
      </c>
    </row>
    <row r="4219">
      <c r="A4219">
        <f>Sources!A4219</f>
        <v/>
      </c>
      <c r="B4219">
        <f>Sources!B4219</f>
        <v/>
      </c>
      <c r="C4219">
        <f>Sources!D4219</f>
        <v/>
      </c>
      <c r="D4219">
        <f>Sources!E4219</f>
        <v/>
      </c>
      <c r="E4219">
        <f>Sources!F4219</f>
        <v/>
      </c>
      <c r="F4219">
        <f>Sources!H4219</f>
        <v/>
      </c>
      <c r="G4219">
        <f>IF(ABS(F4219-ROUND(F4219,0))&lt;0.001,1,0)</f>
        <v/>
      </c>
      <c r="H4219">
        <f>IF(G4219=1,F4219,CEILING(F4219,1))</f>
        <v/>
      </c>
      <c r="I4219">
        <f>IF(G4219=1,0,(H4219-F4219)*E4219)</f>
        <v/>
      </c>
      <c r="J4219">
        <f>E4219*F4219</f>
        <v/>
      </c>
    </row>
    <row r="4220">
      <c r="A4220">
        <f>Sources!A4220</f>
        <v/>
      </c>
      <c r="B4220">
        <f>Sources!B4220</f>
        <v/>
      </c>
      <c r="C4220">
        <f>Sources!D4220</f>
        <v/>
      </c>
      <c r="D4220">
        <f>Sources!E4220</f>
        <v/>
      </c>
      <c r="E4220">
        <f>Sources!F4220</f>
        <v/>
      </c>
      <c r="F4220">
        <f>Sources!H4220</f>
        <v/>
      </c>
      <c r="G4220">
        <f>IF(ABS(F4220-ROUND(F4220,0))&lt;0.001,1,0)</f>
        <v/>
      </c>
      <c r="H4220">
        <f>IF(G4220=1,F4220,CEILING(F4220,1))</f>
        <v/>
      </c>
      <c r="I4220">
        <f>IF(G4220=1,0,(H4220-F4220)*E4220)</f>
        <v/>
      </c>
      <c r="J4220">
        <f>E4220*F4220</f>
        <v/>
      </c>
    </row>
    <row r="4221">
      <c r="A4221">
        <f>Sources!A4221</f>
        <v/>
      </c>
      <c r="B4221">
        <f>Sources!B4221</f>
        <v/>
      </c>
      <c r="C4221">
        <f>Sources!D4221</f>
        <v/>
      </c>
      <c r="D4221">
        <f>Sources!E4221</f>
        <v/>
      </c>
      <c r="E4221">
        <f>Sources!F4221</f>
        <v/>
      </c>
      <c r="F4221">
        <f>Sources!H4221</f>
        <v/>
      </c>
      <c r="G4221">
        <f>IF(ABS(F4221-ROUND(F4221,0))&lt;0.001,1,0)</f>
        <v/>
      </c>
      <c r="H4221">
        <f>IF(G4221=1,F4221,CEILING(F4221,1))</f>
        <v/>
      </c>
      <c r="I4221">
        <f>IF(G4221=1,0,(H4221-F4221)*E4221)</f>
        <v/>
      </c>
      <c r="J4221">
        <f>E4221*F4221</f>
        <v/>
      </c>
    </row>
    <row r="4222">
      <c r="A4222">
        <f>Sources!A4222</f>
        <v/>
      </c>
      <c r="B4222">
        <f>Sources!B4222</f>
        <v/>
      </c>
      <c r="C4222">
        <f>Sources!D4222</f>
        <v/>
      </c>
      <c r="D4222">
        <f>Sources!E4222</f>
        <v/>
      </c>
      <c r="E4222">
        <f>Sources!F4222</f>
        <v/>
      </c>
      <c r="F4222">
        <f>Sources!H4222</f>
        <v/>
      </c>
      <c r="G4222">
        <f>IF(ABS(F4222-ROUND(F4222,0))&lt;0.001,1,0)</f>
        <v/>
      </c>
      <c r="H4222">
        <f>IF(G4222=1,F4222,CEILING(F4222,1))</f>
        <v/>
      </c>
      <c r="I4222">
        <f>IF(G4222=1,0,(H4222-F4222)*E4222)</f>
        <v/>
      </c>
      <c r="J4222">
        <f>E4222*F4222</f>
        <v/>
      </c>
    </row>
    <row r="4223">
      <c r="A4223">
        <f>Sources!A4223</f>
        <v/>
      </c>
      <c r="B4223">
        <f>Sources!B4223</f>
        <v/>
      </c>
      <c r="C4223">
        <f>Sources!D4223</f>
        <v/>
      </c>
      <c r="D4223">
        <f>Sources!E4223</f>
        <v/>
      </c>
      <c r="E4223">
        <f>Sources!F4223</f>
        <v/>
      </c>
      <c r="F4223">
        <f>Sources!H4223</f>
        <v/>
      </c>
      <c r="G4223">
        <f>IF(ABS(F4223-ROUND(F4223,0))&lt;0.001,1,0)</f>
        <v/>
      </c>
      <c r="H4223">
        <f>IF(G4223=1,F4223,CEILING(F4223,1))</f>
        <v/>
      </c>
      <c r="I4223">
        <f>IF(G4223=1,0,(H4223-F4223)*E4223)</f>
        <v/>
      </c>
      <c r="J4223">
        <f>E4223*F4223</f>
        <v/>
      </c>
    </row>
    <row r="4224">
      <c r="A4224">
        <f>Sources!A4224</f>
        <v/>
      </c>
      <c r="B4224">
        <f>Sources!B4224</f>
        <v/>
      </c>
      <c r="C4224">
        <f>Sources!D4224</f>
        <v/>
      </c>
      <c r="D4224">
        <f>Sources!E4224</f>
        <v/>
      </c>
      <c r="E4224">
        <f>Sources!F4224</f>
        <v/>
      </c>
      <c r="F4224">
        <f>Sources!H4224</f>
        <v/>
      </c>
      <c r="G4224">
        <f>IF(ABS(F4224-ROUND(F4224,0))&lt;0.001,1,0)</f>
        <v/>
      </c>
      <c r="H4224">
        <f>IF(G4224=1,F4224,CEILING(F4224,1))</f>
        <v/>
      </c>
      <c r="I4224">
        <f>IF(G4224=1,0,(H4224-F4224)*E4224)</f>
        <v/>
      </c>
      <c r="J4224">
        <f>E4224*F4224</f>
        <v/>
      </c>
    </row>
    <row r="4225">
      <c r="A4225">
        <f>Sources!A4225</f>
        <v/>
      </c>
      <c r="B4225">
        <f>Sources!B4225</f>
        <v/>
      </c>
      <c r="C4225">
        <f>Sources!D4225</f>
        <v/>
      </c>
      <c r="D4225">
        <f>Sources!E4225</f>
        <v/>
      </c>
      <c r="E4225">
        <f>Sources!F4225</f>
        <v/>
      </c>
      <c r="F4225">
        <f>Sources!H4225</f>
        <v/>
      </c>
      <c r="G4225">
        <f>IF(ABS(F4225-ROUND(F4225,0))&lt;0.001,1,0)</f>
        <v/>
      </c>
      <c r="H4225">
        <f>IF(G4225=1,F4225,CEILING(F4225,1))</f>
        <v/>
      </c>
      <c r="I4225">
        <f>IF(G4225=1,0,(H4225-F4225)*E4225)</f>
        <v/>
      </c>
      <c r="J4225">
        <f>E4225*F4225</f>
        <v/>
      </c>
    </row>
    <row r="4226">
      <c r="A4226">
        <f>Sources!A4226</f>
        <v/>
      </c>
      <c r="B4226">
        <f>Sources!B4226</f>
        <v/>
      </c>
      <c r="C4226">
        <f>Sources!D4226</f>
        <v/>
      </c>
      <c r="D4226">
        <f>Sources!E4226</f>
        <v/>
      </c>
      <c r="E4226">
        <f>Sources!F4226</f>
        <v/>
      </c>
      <c r="F4226">
        <f>Sources!H4226</f>
        <v/>
      </c>
      <c r="G4226">
        <f>IF(ABS(F4226-ROUND(F4226,0))&lt;0.001,1,0)</f>
        <v/>
      </c>
      <c r="H4226">
        <f>IF(G4226=1,F4226,CEILING(F4226,1))</f>
        <v/>
      </c>
      <c r="I4226">
        <f>IF(G4226=1,0,(H4226-F4226)*E4226)</f>
        <v/>
      </c>
      <c r="J4226">
        <f>E4226*F4226</f>
        <v/>
      </c>
    </row>
    <row r="4227">
      <c r="A4227">
        <f>Sources!A4227</f>
        <v/>
      </c>
      <c r="B4227">
        <f>Sources!B4227</f>
        <v/>
      </c>
      <c r="C4227">
        <f>Sources!D4227</f>
        <v/>
      </c>
      <c r="D4227">
        <f>Sources!E4227</f>
        <v/>
      </c>
      <c r="E4227">
        <f>Sources!F4227</f>
        <v/>
      </c>
      <c r="F4227">
        <f>Sources!H4227</f>
        <v/>
      </c>
      <c r="G4227">
        <f>IF(ABS(F4227-ROUND(F4227,0))&lt;0.001,1,0)</f>
        <v/>
      </c>
      <c r="H4227">
        <f>IF(G4227=1,F4227,CEILING(F4227,1))</f>
        <v/>
      </c>
      <c r="I4227">
        <f>IF(G4227=1,0,(H4227-F4227)*E4227)</f>
        <v/>
      </c>
      <c r="J4227">
        <f>E4227*F4227</f>
        <v/>
      </c>
    </row>
    <row r="4228">
      <c r="A4228">
        <f>Sources!A4228</f>
        <v/>
      </c>
      <c r="B4228">
        <f>Sources!B4228</f>
        <v/>
      </c>
      <c r="C4228">
        <f>Sources!D4228</f>
        <v/>
      </c>
      <c r="D4228">
        <f>Sources!E4228</f>
        <v/>
      </c>
      <c r="E4228">
        <f>Sources!F4228</f>
        <v/>
      </c>
      <c r="F4228">
        <f>Sources!H4228</f>
        <v/>
      </c>
      <c r="G4228">
        <f>IF(ABS(F4228-ROUND(F4228,0))&lt;0.001,1,0)</f>
        <v/>
      </c>
      <c r="H4228">
        <f>IF(G4228=1,F4228,CEILING(F4228,1))</f>
        <v/>
      </c>
      <c r="I4228">
        <f>IF(G4228=1,0,(H4228-F4228)*E4228)</f>
        <v/>
      </c>
      <c r="J4228">
        <f>E4228*F4228</f>
        <v/>
      </c>
    </row>
    <row r="4229">
      <c r="A4229">
        <f>Sources!A4229</f>
        <v/>
      </c>
      <c r="B4229">
        <f>Sources!B4229</f>
        <v/>
      </c>
      <c r="C4229">
        <f>Sources!D4229</f>
        <v/>
      </c>
      <c r="D4229">
        <f>Sources!E4229</f>
        <v/>
      </c>
      <c r="E4229">
        <f>Sources!F4229</f>
        <v/>
      </c>
      <c r="F4229">
        <f>Sources!H4229</f>
        <v/>
      </c>
      <c r="G4229">
        <f>IF(ABS(F4229-ROUND(F4229,0))&lt;0.001,1,0)</f>
        <v/>
      </c>
      <c r="H4229">
        <f>IF(G4229=1,F4229,CEILING(F4229,1))</f>
        <v/>
      </c>
      <c r="I4229">
        <f>IF(G4229=1,0,(H4229-F4229)*E4229)</f>
        <v/>
      </c>
      <c r="J4229">
        <f>E4229*F4229</f>
        <v/>
      </c>
    </row>
    <row r="4230">
      <c r="A4230">
        <f>Sources!A4230</f>
        <v/>
      </c>
      <c r="B4230">
        <f>Sources!B4230</f>
        <v/>
      </c>
      <c r="C4230">
        <f>Sources!D4230</f>
        <v/>
      </c>
      <c r="D4230">
        <f>Sources!E4230</f>
        <v/>
      </c>
      <c r="E4230">
        <f>Sources!F4230</f>
        <v/>
      </c>
      <c r="F4230">
        <f>Sources!H4230</f>
        <v/>
      </c>
      <c r="G4230">
        <f>IF(ABS(F4230-ROUND(F4230,0))&lt;0.001,1,0)</f>
        <v/>
      </c>
      <c r="H4230">
        <f>IF(G4230=1,F4230,CEILING(F4230,1))</f>
        <v/>
      </c>
      <c r="I4230">
        <f>IF(G4230=1,0,(H4230-F4230)*E4230)</f>
        <v/>
      </c>
      <c r="J4230">
        <f>E4230*F4230</f>
        <v/>
      </c>
    </row>
    <row r="4231">
      <c r="A4231">
        <f>Sources!A4231</f>
        <v/>
      </c>
      <c r="B4231">
        <f>Sources!B4231</f>
        <v/>
      </c>
      <c r="C4231">
        <f>Sources!D4231</f>
        <v/>
      </c>
      <c r="D4231">
        <f>Sources!E4231</f>
        <v/>
      </c>
      <c r="E4231">
        <f>Sources!F4231</f>
        <v/>
      </c>
      <c r="F4231">
        <f>Sources!H4231</f>
        <v/>
      </c>
      <c r="G4231">
        <f>IF(ABS(F4231-ROUND(F4231,0))&lt;0.001,1,0)</f>
        <v/>
      </c>
      <c r="H4231">
        <f>IF(G4231=1,F4231,CEILING(F4231,1))</f>
        <v/>
      </c>
      <c r="I4231">
        <f>IF(G4231=1,0,(H4231-F4231)*E4231)</f>
        <v/>
      </c>
      <c r="J4231">
        <f>E4231*F4231</f>
        <v/>
      </c>
    </row>
    <row r="4232">
      <c r="A4232">
        <f>Sources!A4232</f>
        <v/>
      </c>
      <c r="B4232">
        <f>Sources!B4232</f>
        <v/>
      </c>
      <c r="C4232">
        <f>Sources!D4232</f>
        <v/>
      </c>
      <c r="D4232">
        <f>Sources!E4232</f>
        <v/>
      </c>
      <c r="E4232">
        <f>Sources!F4232</f>
        <v/>
      </c>
      <c r="F4232">
        <f>Sources!H4232</f>
        <v/>
      </c>
      <c r="G4232">
        <f>IF(ABS(F4232-ROUND(F4232,0))&lt;0.001,1,0)</f>
        <v/>
      </c>
      <c r="H4232">
        <f>IF(G4232=1,F4232,CEILING(F4232,1))</f>
        <v/>
      </c>
      <c r="I4232">
        <f>IF(G4232=1,0,(H4232-F4232)*E4232)</f>
        <v/>
      </c>
      <c r="J4232">
        <f>E4232*F4232</f>
        <v/>
      </c>
    </row>
    <row r="4233">
      <c r="A4233">
        <f>Sources!A4233</f>
        <v/>
      </c>
      <c r="B4233">
        <f>Sources!B4233</f>
        <v/>
      </c>
      <c r="C4233">
        <f>Sources!D4233</f>
        <v/>
      </c>
      <c r="D4233">
        <f>Sources!E4233</f>
        <v/>
      </c>
      <c r="E4233">
        <f>Sources!F4233</f>
        <v/>
      </c>
      <c r="F4233">
        <f>Sources!H4233</f>
        <v/>
      </c>
      <c r="G4233">
        <f>IF(ABS(F4233-ROUND(F4233,0))&lt;0.001,1,0)</f>
        <v/>
      </c>
      <c r="H4233">
        <f>IF(G4233=1,F4233,CEILING(F4233,1))</f>
        <v/>
      </c>
      <c r="I4233">
        <f>IF(G4233=1,0,(H4233-F4233)*E4233)</f>
        <v/>
      </c>
      <c r="J4233">
        <f>E4233*F4233</f>
        <v/>
      </c>
    </row>
    <row r="4234">
      <c r="A4234">
        <f>Sources!A4234</f>
        <v/>
      </c>
      <c r="B4234">
        <f>Sources!B4234</f>
        <v/>
      </c>
      <c r="C4234">
        <f>Sources!D4234</f>
        <v/>
      </c>
      <c r="D4234">
        <f>Sources!E4234</f>
        <v/>
      </c>
      <c r="E4234">
        <f>Sources!F4234</f>
        <v/>
      </c>
      <c r="F4234">
        <f>Sources!H4234</f>
        <v/>
      </c>
      <c r="G4234">
        <f>IF(ABS(F4234-ROUND(F4234,0))&lt;0.001,1,0)</f>
        <v/>
      </c>
      <c r="H4234">
        <f>IF(G4234=1,F4234,CEILING(F4234,1))</f>
        <v/>
      </c>
      <c r="I4234">
        <f>IF(G4234=1,0,(H4234-F4234)*E4234)</f>
        <v/>
      </c>
      <c r="J4234">
        <f>E4234*F4234</f>
        <v/>
      </c>
    </row>
    <row r="4235">
      <c r="A4235">
        <f>Sources!A4235</f>
        <v/>
      </c>
      <c r="B4235">
        <f>Sources!B4235</f>
        <v/>
      </c>
      <c r="C4235">
        <f>Sources!D4235</f>
        <v/>
      </c>
      <c r="D4235">
        <f>Sources!E4235</f>
        <v/>
      </c>
      <c r="E4235">
        <f>Sources!F4235</f>
        <v/>
      </c>
      <c r="F4235">
        <f>Sources!H4235</f>
        <v/>
      </c>
      <c r="G4235">
        <f>IF(ABS(F4235-ROUND(F4235,0))&lt;0.001,1,0)</f>
        <v/>
      </c>
      <c r="H4235">
        <f>IF(G4235=1,F4235,CEILING(F4235,1))</f>
        <v/>
      </c>
      <c r="I4235">
        <f>IF(G4235=1,0,(H4235-F4235)*E4235)</f>
        <v/>
      </c>
      <c r="J4235">
        <f>E4235*F4235</f>
        <v/>
      </c>
    </row>
    <row r="4236">
      <c r="A4236">
        <f>Sources!A4236</f>
        <v/>
      </c>
      <c r="B4236">
        <f>Sources!B4236</f>
        <v/>
      </c>
      <c r="C4236">
        <f>Sources!D4236</f>
        <v/>
      </c>
      <c r="D4236">
        <f>Sources!E4236</f>
        <v/>
      </c>
      <c r="E4236">
        <f>Sources!F4236</f>
        <v/>
      </c>
      <c r="F4236">
        <f>Sources!H4236</f>
        <v/>
      </c>
      <c r="G4236">
        <f>IF(ABS(F4236-ROUND(F4236,0))&lt;0.001,1,0)</f>
        <v/>
      </c>
      <c r="H4236">
        <f>IF(G4236=1,F4236,CEILING(F4236,1))</f>
        <v/>
      </c>
      <c r="I4236">
        <f>IF(G4236=1,0,(H4236-F4236)*E4236)</f>
        <v/>
      </c>
      <c r="J4236">
        <f>E4236*F4236</f>
        <v/>
      </c>
    </row>
    <row r="4237">
      <c r="A4237">
        <f>Sources!A4237</f>
        <v/>
      </c>
      <c r="B4237">
        <f>Sources!B4237</f>
        <v/>
      </c>
      <c r="C4237">
        <f>Sources!D4237</f>
        <v/>
      </c>
      <c r="D4237">
        <f>Sources!E4237</f>
        <v/>
      </c>
      <c r="E4237">
        <f>Sources!F4237</f>
        <v/>
      </c>
      <c r="F4237">
        <f>Sources!H4237</f>
        <v/>
      </c>
      <c r="G4237">
        <f>IF(ABS(F4237-ROUND(F4237,0))&lt;0.001,1,0)</f>
        <v/>
      </c>
      <c r="H4237">
        <f>IF(G4237=1,F4237,CEILING(F4237,1))</f>
        <v/>
      </c>
      <c r="I4237">
        <f>IF(G4237=1,0,(H4237-F4237)*E4237)</f>
        <v/>
      </c>
      <c r="J4237">
        <f>E4237*F4237</f>
        <v/>
      </c>
    </row>
    <row r="4238">
      <c r="A4238">
        <f>Sources!A4238</f>
        <v/>
      </c>
      <c r="B4238">
        <f>Sources!B4238</f>
        <v/>
      </c>
      <c r="C4238">
        <f>Sources!D4238</f>
        <v/>
      </c>
      <c r="D4238">
        <f>Sources!E4238</f>
        <v/>
      </c>
      <c r="E4238">
        <f>Sources!F4238</f>
        <v/>
      </c>
      <c r="F4238">
        <f>Sources!H4238</f>
        <v/>
      </c>
      <c r="G4238">
        <f>IF(ABS(F4238-ROUND(F4238,0))&lt;0.001,1,0)</f>
        <v/>
      </c>
      <c r="H4238">
        <f>IF(G4238=1,F4238,CEILING(F4238,1))</f>
        <v/>
      </c>
      <c r="I4238">
        <f>IF(G4238=1,0,(H4238-F4238)*E4238)</f>
        <v/>
      </c>
      <c r="J4238">
        <f>E4238*F4238</f>
        <v/>
      </c>
    </row>
    <row r="4239">
      <c r="A4239">
        <f>Sources!A4239</f>
        <v/>
      </c>
      <c r="B4239">
        <f>Sources!B4239</f>
        <v/>
      </c>
      <c r="C4239">
        <f>Sources!D4239</f>
        <v/>
      </c>
      <c r="D4239">
        <f>Sources!E4239</f>
        <v/>
      </c>
      <c r="E4239">
        <f>Sources!F4239</f>
        <v/>
      </c>
      <c r="F4239">
        <f>Sources!H4239</f>
        <v/>
      </c>
      <c r="G4239">
        <f>IF(ABS(F4239-ROUND(F4239,0))&lt;0.001,1,0)</f>
        <v/>
      </c>
      <c r="H4239">
        <f>IF(G4239=1,F4239,CEILING(F4239,1))</f>
        <v/>
      </c>
      <c r="I4239">
        <f>IF(G4239=1,0,(H4239-F4239)*E4239)</f>
        <v/>
      </c>
      <c r="J4239">
        <f>E4239*F4239</f>
        <v/>
      </c>
    </row>
    <row r="4240">
      <c r="A4240">
        <f>Sources!A4240</f>
        <v/>
      </c>
      <c r="B4240">
        <f>Sources!B4240</f>
        <v/>
      </c>
      <c r="C4240">
        <f>Sources!D4240</f>
        <v/>
      </c>
      <c r="D4240">
        <f>Sources!E4240</f>
        <v/>
      </c>
      <c r="E4240">
        <f>Sources!F4240</f>
        <v/>
      </c>
      <c r="F4240">
        <f>Sources!H4240</f>
        <v/>
      </c>
      <c r="G4240">
        <f>IF(ABS(F4240-ROUND(F4240,0))&lt;0.001,1,0)</f>
        <v/>
      </c>
      <c r="H4240">
        <f>IF(G4240=1,F4240,CEILING(F4240,1))</f>
        <v/>
      </c>
      <c r="I4240">
        <f>IF(G4240=1,0,(H4240-F4240)*E4240)</f>
        <v/>
      </c>
      <c r="J4240">
        <f>E4240*F4240</f>
        <v/>
      </c>
    </row>
    <row r="4241">
      <c r="A4241">
        <f>Sources!A4241</f>
        <v/>
      </c>
      <c r="B4241">
        <f>Sources!B4241</f>
        <v/>
      </c>
      <c r="C4241">
        <f>Sources!D4241</f>
        <v/>
      </c>
      <c r="D4241">
        <f>Sources!E4241</f>
        <v/>
      </c>
      <c r="E4241">
        <f>Sources!F4241</f>
        <v/>
      </c>
      <c r="F4241">
        <f>Sources!H4241</f>
        <v/>
      </c>
      <c r="G4241">
        <f>IF(ABS(F4241-ROUND(F4241,0))&lt;0.001,1,0)</f>
        <v/>
      </c>
      <c r="H4241">
        <f>IF(G4241=1,F4241,CEILING(F4241,1))</f>
        <v/>
      </c>
      <c r="I4241">
        <f>IF(G4241=1,0,(H4241-F4241)*E4241)</f>
        <v/>
      </c>
      <c r="J4241">
        <f>E4241*F4241</f>
        <v/>
      </c>
    </row>
    <row r="4242">
      <c r="A4242">
        <f>Sources!A4242</f>
        <v/>
      </c>
      <c r="B4242">
        <f>Sources!B4242</f>
        <v/>
      </c>
      <c r="C4242">
        <f>Sources!D4242</f>
        <v/>
      </c>
      <c r="D4242">
        <f>Sources!E4242</f>
        <v/>
      </c>
      <c r="E4242">
        <f>Sources!F4242</f>
        <v/>
      </c>
      <c r="F4242">
        <f>Sources!H4242</f>
        <v/>
      </c>
      <c r="G4242">
        <f>IF(ABS(F4242-ROUND(F4242,0))&lt;0.001,1,0)</f>
        <v/>
      </c>
      <c r="H4242">
        <f>IF(G4242=1,F4242,CEILING(F4242,1))</f>
        <v/>
      </c>
      <c r="I4242">
        <f>IF(G4242=1,0,(H4242-F4242)*E4242)</f>
        <v/>
      </c>
      <c r="J4242">
        <f>E4242*F4242</f>
        <v/>
      </c>
    </row>
    <row r="4243">
      <c r="A4243">
        <f>Sources!A4243</f>
        <v/>
      </c>
      <c r="B4243">
        <f>Sources!B4243</f>
        <v/>
      </c>
      <c r="C4243">
        <f>Sources!D4243</f>
        <v/>
      </c>
      <c r="D4243">
        <f>Sources!E4243</f>
        <v/>
      </c>
      <c r="E4243">
        <f>Sources!F4243</f>
        <v/>
      </c>
      <c r="F4243">
        <f>Sources!H4243</f>
        <v/>
      </c>
      <c r="G4243">
        <f>IF(ABS(F4243-ROUND(F4243,0))&lt;0.001,1,0)</f>
        <v/>
      </c>
      <c r="H4243">
        <f>IF(G4243=1,F4243,CEILING(F4243,1))</f>
        <v/>
      </c>
      <c r="I4243">
        <f>IF(G4243=1,0,(H4243-F4243)*E4243)</f>
        <v/>
      </c>
      <c r="J4243">
        <f>E4243*F4243</f>
        <v/>
      </c>
    </row>
    <row r="4244">
      <c r="A4244">
        <f>Sources!A4244</f>
        <v/>
      </c>
      <c r="B4244">
        <f>Sources!B4244</f>
        <v/>
      </c>
      <c r="C4244">
        <f>Sources!D4244</f>
        <v/>
      </c>
      <c r="D4244">
        <f>Sources!E4244</f>
        <v/>
      </c>
      <c r="E4244">
        <f>Sources!F4244</f>
        <v/>
      </c>
      <c r="F4244">
        <f>Sources!H4244</f>
        <v/>
      </c>
      <c r="G4244">
        <f>IF(ABS(F4244-ROUND(F4244,0))&lt;0.001,1,0)</f>
        <v/>
      </c>
      <c r="H4244">
        <f>IF(G4244=1,F4244,CEILING(F4244,1))</f>
        <v/>
      </c>
      <c r="I4244">
        <f>IF(G4244=1,0,(H4244-F4244)*E4244)</f>
        <v/>
      </c>
      <c r="J4244">
        <f>E4244*F4244</f>
        <v/>
      </c>
    </row>
    <row r="4245">
      <c r="A4245">
        <f>Sources!A4245</f>
        <v/>
      </c>
      <c r="B4245">
        <f>Sources!B4245</f>
        <v/>
      </c>
      <c r="C4245">
        <f>Sources!D4245</f>
        <v/>
      </c>
      <c r="D4245">
        <f>Sources!E4245</f>
        <v/>
      </c>
      <c r="E4245">
        <f>Sources!F4245</f>
        <v/>
      </c>
      <c r="F4245">
        <f>Sources!H4245</f>
        <v/>
      </c>
      <c r="G4245">
        <f>IF(ABS(F4245-ROUND(F4245,0))&lt;0.001,1,0)</f>
        <v/>
      </c>
      <c r="H4245">
        <f>IF(G4245=1,F4245,CEILING(F4245,1))</f>
        <v/>
      </c>
      <c r="I4245">
        <f>IF(G4245=1,0,(H4245-F4245)*E4245)</f>
        <v/>
      </c>
      <c r="J4245">
        <f>E4245*F4245</f>
        <v/>
      </c>
    </row>
    <row r="4246">
      <c r="A4246">
        <f>Sources!A4246</f>
        <v/>
      </c>
      <c r="B4246">
        <f>Sources!B4246</f>
        <v/>
      </c>
      <c r="C4246">
        <f>Sources!D4246</f>
        <v/>
      </c>
      <c r="D4246">
        <f>Sources!E4246</f>
        <v/>
      </c>
      <c r="E4246">
        <f>Sources!F4246</f>
        <v/>
      </c>
      <c r="F4246">
        <f>Sources!H4246</f>
        <v/>
      </c>
      <c r="G4246">
        <f>IF(ABS(F4246-ROUND(F4246,0))&lt;0.001,1,0)</f>
        <v/>
      </c>
      <c r="H4246">
        <f>IF(G4246=1,F4246,CEILING(F4246,1))</f>
        <v/>
      </c>
      <c r="I4246">
        <f>IF(G4246=1,0,(H4246-F4246)*E4246)</f>
        <v/>
      </c>
      <c r="J4246">
        <f>E4246*F4246</f>
        <v/>
      </c>
    </row>
    <row r="4247">
      <c r="A4247">
        <f>Sources!A4247</f>
        <v/>
      </c>
      <c r="B4247">
        <f>Sources!B4247</f>
        <v/>
      </c>
      <c r="C4247">
        <f>Sources!D4247</f>
        <v/>
      </c>
      <c r="D4247">
        <f>Sources!E4247</f>
        <v/>
      </c>
      <c r="E4247">
        <f>Sources!F4247</f>
        <v/>
      </c>
      <c r="F4247">
        <f>Sources!H4247</f>
        <v/>
      </c>
      <c r="G4247">
        <f>IF(ABS(F4247-ROUND(F4247,0))&lt;0.001,1,0)</f>
        <v/>
      </c>
      <c r="H4247">
        <f>IF(G4247=1,F4247,CEILING(F4247,1))</f>
        <v/>
      </c>
      <c r="I4247">
        <f>IF(G4247=1,0,(H4247-F4247)*E4247)</f>
        <v/>
      </c>
      <c r="J4247">
        <f>E4247*F4247</f>
        <v/>
      </c>
    </row>
    <row r="4248">
      <c r="A4248">
        <f>Sources!A4248</f>
        <v/>
      </c>
      <c r="B4248">
        <f>Sources!B4248</f>
        <v/>
      </c>
      <c r="C4248">
        <f>Sources!D4248</f>
        <v/>
      </c>
      <c r="D4248">
        <f>Sources!E4248</f>
        <v/>
      </c>
      <c r="E4248">
        <f>Sources!F4248</f>
        <v/>
      </c>
      <c r="F4248">
        <f>Sources!H4248</f>
        <v/>
      </c>
      <c r="G4248">
        <f>IF(ABS(F4248-ROUND(F4248,0))&lt;0.001,1,0)</f>
        <v/>
      </c>
      <c r="H4248">
        <f>IF(G4248=1,F4248,CEILING(F4248,1))</f>
        <v/>
      </c>
      <c r="I4248">
        <f>IF(G4248=1,0,(H4248-F4248)*E4248)</f>
        <v/>
      </c>
      <c r="J4248">
        <f>E4248*F4248</f>
        <v/>
      </c>
    </row>
    <row r="4249">
      <c r="A4249">
        <f>Sources!A4249</f>
        <v/>
      </c>
      <c r="B4249">
        <f>Sources!B4249</f>
        <v/>
      </c>
      <c r="C4249">
        <f>Sources!D4249</f>
        <v/>
      </c>
      <c r="D4249">
        <f>Sources!E4249</f>
        <v/>
      </c>
      <c r="E4249">
        <f>Sources!F4249</f>
        <v/>
      </c>
      <c r="F4249">
        <f>Sources!H4249</f>
        <v/>
      </c>
      <c r="G4249">
        <f>IF(ABS(F4249-ROUND(F4249,0))&lt;0.001,1,0)</f>
        <v/>
      </c>
      <c r="H4249">
        <f>IF(G4249=1,F4249,CEILING(F4249,1))</f>
        <v/>
      </c>
      <c r="I4249">
        <f>IF(G4249=1,0,(H4249-F4249)*E4249)</f>
        <v/>
      </c>
      <c r="J4249">
        <f>E4249*F4249</f>
        <v/>
      </c>
    </row>
    <row r="4250">
      <c r="A4250">
        <f>Sources!A4250</f>
        <v/>
      </c>
      <c r="B4250">
        <f>Sources!B4250</f>
        <v/>
      </c>
      <c r="C4250">
        <f>Sources!D4250</f>
        <v/>
      </c>
      <c r="D4250">
        <f>Sources!E4250</f>
        <v/>
      </c>
      <c r="E4250">
        <f>Sources!F4250</f>
        <v/>
      </c>
      <c r="F4250">
        <f>Sources!H4250</f>
        <v/>
      </c>
      <c r="G4250">
        <f>IF(ABS(F4250-ROUND(F4250,0))&lt;0.001,1,0)</f>
        <v/>
      </c>
      <c r="H4250">
        <f>IF(G4250=1,F4250,CEILING(F4250,1))</f>
        <v/>
      </c>
      <c r="I4250">
        <f>IF(G4250=1,0,(H4250-F4250)*E4250)</f>
        <v/>
      </c>
      <c r="J4250">
        <f>E4250*F4250</f>
        <v/>
      </c>
    </row>
    <row r="4251">
      <c r="A4251">
        <f>Sources!A4251</f>
        <v/>
      </c>
      <c r="B4251">
        <f>Sources!B4251</f>
        <v/>
      </c>
      <c r="C4251">
        <f>Sources!D4251</f>
        <v/>
      </c>
      <c r="D4251">
        <f>Sources!E4251</f>
        <v/>
      </c>
      <c r="E4251">
        <f>Sources!F4251</f>
        <v/>
      </c>
      <c r="F4251">
        <f>Sources!H4251</f>
        <v/>
      </c>
      <c r="G4251">
        <f>IF(ABS(F4251-ROUND(F4251,0))&lt;0.001,1,0)</f>
        <v/>
      </c>
      <c r="H4251">
        <f>IF(G4251=1,F4251,CEILING(F4251,1))</f>
        <v/>
      </c>
      <c r="I4251">
        <f>IF(G4251=1,0,(H4251-F4251)*E4251)</f>
        <v/>
      </c>
      <c r="J4251">
        <f>E4251*F4251</f>
        <v/>
      </c>
    </row>
    <row r="4252">
      <c r="A4252">
        <f>Sources!A4252</f>
        <v/>
      </c>
      <c r="B4252">
        <f>Sources!B4252</f>
        <v/>
      </c>
      <c r="C4252">
        <f>Sources!D4252</f>
        <v/>
      </c>
      <c r="D4252">
        <f>Sources!E4252</f>
        <v/>
      </c>
      <c r="E4252">
        <f>Sources!F4252</f>
        <v/>
      </c>
      <c r="F4252">
        <f>Sources!H4252</f>
        <v/>
      </c>
      <c r="G4252">
        <f>IF(ABS(F4252-ROUND(F4252,0))&lt;0.001,1,0)</f>
        <v/>
      </c>
      <c r="H4252">
        <f>IF(G4252=1,F4252,CEILING(F4252,1))</f>
        <v/>
      </c>
      <c r="I4252">
        <f>IF(G4252=1,0,(H4252-F4252)*E4252)</f>
        <v/>
      </c>
      <c r="J4252">
        <f>E4252*F4252</f>
        <v/>
      </c>
    </row>
    <row r="4253">
      <c r="A4253">
        <f>Sources!A4253</f>
        <v/>
      </c>
      <c r="B4253">
        <f>Sources!B4253</f>
        <v/>
      </c>
      <c r="C4253">
        <f>Sources!D4253</f>
        <v/>
      </c>
      <c r="D4253">
        <f>Sources!E4253</f>
        <v/>
      </c>
      <c r="E4253">
        <f>Sources!F4253</f>
        <v/>
      </c>
      <c r="F4253">
        <f>Sources!H4253</f>
        <v/>
      </c>
      <c r="G4253">
        <f>IF(ABS(F4253-ROUND(F4253,0))&lt;0.001,1,0)</f>
        <v/>
      </c>
      <c r="H4253">
        <f>IF(G4253=1,F4253,CEILING(F4253,1))</f>
        <v/>
      </c>
      <c r="I4253">
        <f>IF(G4253=1,0,(H4253-F4253)*E4253)</f>
        <v/>
      </c>
      <c r="J4253">
        <f>E4253*F4253</f>
        <v/>
      </c>
    </row>
    <row r="4254">
      <c r="A4254">
        <f>Sources!A4254</f>
        <v/>
      </c>
      <c r="B4254">
        <f>Sources!B4254</f>
        <v/>
      </c>
      <c r="C4254">
        <f>Sources!D4254</f>
        <v/>
      </c>
      <c r="D4254">
        <f>Sources!E4254</f>
        <v/>
      </c>
      <c r="E4254">
        <f>Sources!F4254</f>
        <v/>
      </c>
      <c r="F4254">
        <f>Sources!H4254</f>
        <v/>
      </c>
      <c r="G4254">
        <f>IF(ABS(F4254-ROUND(F4254,0))&lt;0.001,1,0)</f>
        <v/>
      </c>
      <c r="H4254">
        <f>IF(G4254=1,F4254,CEILING(F4254,1))</f>
        <v/>
      </c>
      <c r="I4254">
        <f>IF(G4254=1,0,(H4254-F4254)*E4254)</f>
        <v/>
      </c>
      <c r="J4254">
        <f>E4254*F4254</f>
        <v/>
      </c>
    </row>
    <row r="4255">
      <c r="A4255">
        <f>Sources!A4255</f>
        <v/>
      </c>
      <c r="B4255">
        <f>Sources!B4255</f>
        <v/>
      </c>
      <c r="C4255">
        <f>Sources!D4255</f>
        <v/>
      </c>
      <c r="D4255">
        <f>Sources!E4255</f>
        <v/>
      </c>
      <c r="E4255">
        <f>Sources!F4255</f>
        <v/>
      </c>
      <c r="F4255">
        <f>Sources!H4255</f>
        <v/>
      </c>
      <c r="G4255">
        <f>IF(ABS(F4255-ROUND(F4255,0))&lt;0.001,1,0)</f>
        <v/>
      </c>
      <c r="H4255">
        <f>IF(G4255=1,F4255,CEILING(F4255,1))</f>
        <v/>
      </c>
      <c r="I4255">
        <f>IF(G4255=1,0,(H4255-F4255)*E4255)</f>
        <v/>
      </c>
      <c r="J4255">
        <f>E4255*F4255</f>
        <v/>
      </c>
    </row>
    <row r="4256">
      <c r="A4256">
        <f>Sources!A4256</f>
        <v/>
      </c>
      <c r="B4256">
        <f>Sources!B4256</f>
        <v/>
      </c>
      <c r="C4256">
        <f>Sources!D4256</f>
        <v/>
      </c>
      <c r="D4256">
        <f>Sources!E4256</f>
        <v/>
      </c>
      <c r="E4256">
        <f>Sources!F4256</f>
        <v/>
      </c>
      <c r="F4256">
        <f>Sources!H4256</f>
        <v/>
      </c>
      <c r="G4256">
        <f>IF(ABS(F4256-ROUND(F4256,0))&lt;0.001,1,0)</f>
        <v/>
      </c>
      <c r="H4256">
        <f>IF(G4256=1,F4256,CEILING(F4256,1))</f>
        <v/>
      </c>
      <c r="I4256">
        <f>IF(G4256=1,0,(H4256-F4256)*E4256)</f>
        <v/>
      </c>
      <c r="J4256">
        <f>E4256*F4256</f>
        <v/>
      </c>
    </row>
    <row r="4257">
      <c r="A4257">
        <f>Sources!A4257</f>
        <v/>
      </c>
      <c r="B4257">
        <f>Sources!B4257</f>
        <v/>
      </c>
      <c r="C4257">
        <f>Sources!D4257</f>
        <v/>
      </c>
      <c r="D4257">
        <f>Sources!E4257</f>
        <v/>
      </c>
      <c r="E4257">
        <f>Sources!F4257</f>
        <v/>
      </c>
      <c r="F4257">
        <f>Sources!H4257</f>
        <v/>
      </c>
      <c r="G4257">
        <f>IF(ABS(F4257-ROUND(F4257,0))&lt;0.001,1,0)</f>
        <v/>
      </c>
      <c r="H4257">
        <f>IF(G4257=1,F4257,CEILING(F4257,1))</f>
        <v/>
      </c>
      <c r="I4257">
        <f>IF(G4257=1,0,(H4257-F4257)*E4257)</f>
        <v/>
      </c>
      <c r="J4257">
        <f>E4257*F4257</f>
        <v/>
      </c>
    </row>
    <row r="4258">
      <c r="A4258">
        <f>Sources!A4258</f>
        <v/>
      </c>
      <c r="B4258">
        <f>Sources!B4258</f>
        <v/>
      </c>
      <c r="C4258">
        <f>Sources!D4258</f>
        <v/>
      </c>
      <c r="D4258">
        <f>Sources!E4258</f>
        <v/>
      </c>
      <c r="E4258">
        <f>Sources!F4258</f>
        <v/>
      </c>
      <c r="F4258">
        <f>Sources!H4258</f>
        <v/>
      </c>
      <c r="G4258">
        <f>IF(ABS(F4258-ROUND(F4258,0))&lt;0.001,1,0)</f>
        <v/>
      </c>
      <c r="H4258">
        <f>IF(G4258=1,F4258,CEILING(F4258,1))</f>
        <v/>
      </c>
      <c r="I4258">
        <f>IF(G4258=1,0,(H4258-F4258)*E4258)</f>
        <v/>
      </c>
      <c r="J4258">
        <f>E4258*F4258</f>
        <v/>
      </c>
    </row>
    <row r="4259">
      <c r="A4259">
        <f>Sources!A4259</f>
        <v/>
      </c>
      <c r="B4259">
        <f>Sources!B4259</f>
        <v/>
      </c>
      <c r="C4259">
        <f>Sources!D4259</f>
        <v/>
      </c>
      <c r="D4259">
        <f>Sources!E4259</f>
        <v/>
      </c>
      <c r="E4259">
        <f>Sources!F4259</f>
        <v/>
      </c>
      <c r="F4259">
        <f>Sources!H4259</f>
        <v/>
      </c>
      <c r="G4259">
        <f>IF(ABS(F4259-ROUND(F4259,0))&lt;0.001,1,0)</f>
        <v/>
      </c>
      <c r="H4259">
        <f>IF(G4259=1,F4259,CEILING(F4259,1))</f>
        <v/>
      </c>
      <c r="I4259">
        <f>IF(G4259=1,0,(H4259-F4259)*E4259)</f>
        <v/>
      </c>
      <c r="J4259">
        <f>E4259*F4259</f>
        <v/>
      </c>
    </row>
    <row r="4260">
      <c r="A4260">
        <f>Sources!A4260</f>
        <v/>
      </c>
      <c r="B4260">
        <f>Sources!B4260</f>
        <v/>
      </c>
      <c r="C4260">
        <f>Sources!D4260</f>
        <v/>
      </c>
      <c r="D4260">
        <f>Sources!E4260</f>
        <v/>
      </c>
      <c r="E4260">
        <f>Sources!F4260</f>
        <v/>
      </c>
      <c r="F4260">
        <f>Sources!H4260</f>
        <v/>
      </c>
      <c r="G4260">
        <f>IF(ABS(F4260-ROUND(F4260,0))&lt;0.001,1,0)</f>
        <v/>
      </c>
      <c r="H4260">
        <f>IF(G4260=1,F4260,CEILING(F4260,1))</f>
        <v/>
      </c>
      <c r="I4260">
        <f>IF(G4260=1,0,(H4260-F4260)*E4260)</f>
        <v/>
      </c>
      <c r="J4260">
        <f>E4260*F4260</f>
        <v/>
      </c>
    </row>
    <row r="4261">
      <c r="A4261">
        <f>Sources!A4261</f>
        <v/>
      </c>
      <c r="B4261">
        <f>Sources!B4261</f>
        <v/>
      </c>
      <c r="C4261">
        <f>Sources!D4261</f>
        <v/>
      </c>
      <c r="D4261">
        <f>Sources!E4261</f>
        <v/>
      </c>
      <c r="E4261">
        <f>Sources!F4261</f>
        <v/>
      </c>
      <c r="F4261">
        <f>Sources!H4261</f>
        <v/>
      </c>
      <c r="G4261">
        <f>IF(ABS(F4261-ROUND(F4261,0))&lt;0.001,1,0)</f>
        <v/>
      </c>
      <c r="H4261">
        <f>IF(G4261=1,F4261,CEILING(F4261,1))</f>
        <v/>
      </c>
      <c r="I4261">
        <f>IF(G4261=1,0,(H4261-F4261)*E4261)</f>
        <v/>
      </c>
      <c r="J4261">
        <f>E4261*F4261</f>
        <v/>
      </c>
    </row>
    <row r="4262">
      <c r="A4262">
        <f>Sources!A4262</f>
        <v/>
      </c>
      <c r="B4262">
        <f>Sources!B4262</f>
        <v/>
      </c>
      <c r="C4262">
        <f>Sources!D4262</f>
        <v/>
      </c>
      <c r="D4262">
        <f>Sources!E4262</f>
        <v/>
      </c>
      <c r="E4262">
        <f>Sources!F4262</f>
        <v/>
      </c>
      <c r="F4262">
        <f>Sources!H4262</f>
        <v/>
      </c>
      <c r="G4262">
        <f>IF(ABS(F4262-ROUND(F4262,0))&lt;0.001,1,0)</f>
        <v/>
      </c>
      <c r="H4262">
        <f>IF(G4262=1,F4262,CEILING(F4262,1))</f>
        <v/>
      </c>
      <c r="I4262">
        <f>IF(G4262=1,0,(H4262-F4262)*E4262)</f>
        <v/>
      </c>
      <c r="J4262">
        <f>E4262*F4262</f>
        <v/>
      </c>
    </row>
    <row r="4263">
      <c r="A4263">
        <f>Sources!A4263</f>
        <v/>
      </c>
      <c r="B4263">
        <f>Sources!B4263</f>
        <v/>
      </c>
      <c r="C4263">
        <f>Sources!D4263</f>
        <v/>
      </c>
      <c r="D4263">
        <f>Sources!E4263</f>
        <v/>
      </c>
      <c r="E4263">
        <f>Sources!F4263</f>
        <v/>
      </c>
      <c r="F4263">
        <f>Sources!H4263</f>
        <v/>
      </c>
      <c r="G4263">
        <f>IF(ABS(F4263-ROUND(F4263,0))&lt;0.001,1,0)</f>
        <v/>
      </c>
      <c r="H4263">
        <f>IF(G4263=1,F4263,CEILING(F4263,1))</f>
        <v/>
      </c>
      <c r="I4263">
        <f>IF(G4263=1,0,(H4263-F4263)*E4263)</f>
        <v/>
      </c>
      <c r="J4263">
        <f>E4263*F4263</f>
        <v/>
      </c>
    </row>
    <row r="4264">
      <c r="A4264">
        <f>Sources!A4264</f>
        <v/>
      </c>
      <c r="B4264">
        <f>Sources!B4264</f>
        <v/>
      </c>
      <c r="C4264">
        <f>Sources!D4264</f>
        <v/>
      </c>
      <c r="D4264">
        <f>Sources!E4264</f>
        <v/>
      </c>
      <c r="E4264">
        <f>Sources!F4264</f>
        <v/>
      </c>
      <c r="F4264">
        <f>Sources!H4264</f>
        <v/>
      </c>
      <c r="G4264">
        <f>IF(ABS(F4264-ROUND(F4264,0))&lt;0.001,1,0)</f>
        <v/>
      </c>
      <c r="H4264">
        <f>IF(G4264=1,F4264,CEILING(F4264,1))</f>
        <v/>
      </c>
      <c r="I4264">
        <f>IF(G4264=1,0,(H4264-F4264)*E4264)</f>
        <v/>
      </c>
      <c r="J4264">
        <f>E4264*F4264</f>
        <v/>
      </c>
    </row>
    <row r="4265">
      <c r="A4265">
        <f>Sources!A4265</f>
        <v/>
      </c>
      <c r="B4265">
        <f>Sources!B4265</f>
        <v/>
      </c>
      <c r="C4265">
        <f>Sources!D4265</f>
        <v/>
      </c>
      <c r="D4265">
        <f>Sources!E4265</f>
        <v/>
      </c>
      <c r="E4265">
        <f>Sources!F4265</f>
        <v/>
      </c>
      <c r="F4265">
        <f>Sources!H4265</f>
        <v/>
      </c>
      <c r="G4265">
        <f>IF(ABS(F4265-ROUND(F4265,0))&lt;0.001,1,0)</f>
        <v/>
      </c>
      <c r="H4265">
        <f>IF(G4265=1,F4265,CEILING(F4265,1))</f>
        <v/>
      </c>
      <c r="I4265">
        <f>IF(G4265=1,0,(H4265-F4265)*E4265)</f>
        <v/>
      </c>
      <c r="J4265">
        <f>E4265*F4265</f>
        <v/>
      </c>
    </row>
    <row r="4266">
      <c r="A4266">
        <f>Sources!A4266</f>
        <v/>
      </c>
      <c r="B4266">
        <f>Sources!B4266</f>
        <v/>
      </c>
      <c r="C4266">
        <f>Sources!D4266</f>
        <v/>
      </c>
      <c r="D4266">
        <f>Sources!E4266</f>
        <v/>
      </c>
      <c r="E4266">
        <f>Sources!F4266</f>
        <v/>
      </c>
      <c r="F4266">
        <f>Sources!H4266</f>
        <v/>
      </c>
      <c r="G4266">
        <f>IF(ABS(F4266-ROUND(F4266,0))&lt;0.001,1,0)</f>
        <v/>
      </c>
      <c r="H4266">
        <f>IF(G4266=1,F4266,CEILING(F4266,1))</f>
        <v/>
      </c>
      <c r="I4266">
        <f>IF(G4266=1,0,(H4266-F4266)*E4266)</f>
        <v/>
      </c>
      <c r="J4266">
        <f>E4266*F4266</f>
        <v/>
      </c>
    </row>
    <row r="4267">
      <c r="A4267">
        <f>Sources!A4267</f>
        <v/>
      </c>
      <c r="B4267">
        <f>Sources!B4267</f>
        <v/>
      </c>
      <c r="C4267">
        <f>Sources!D4267</f>
        <v/>
      </c>
      <c r="D4267">
        <f>Sources!E4267</f>
        <v/>
      </c>
      <c r="E4267">
        <f>Sources!F4267</f>
        <v/>
      </c>
      <c r="F4267">
        <f>Sources!H4267</f>
        <v/>
      </c>
      <c r="G4267">
        <f>IF(ABS(F4267-ROUND(F4267,0))&lt;0.001,1,0)</f>
        <v/>
      </c>
      <c r="H4267">
        <f>IF(G4267=1,F4267,CEILING(F4267,1))</f>
        <v/>
      </c>
      <c r="I4267">
        <f>IF(G4267=1,0,(H4267-F4267)*E4267)</f>
        <v/>
      </c>
      <c r="J4267">
        <f>E4267*F4267</f>
        <v/>
      </c>
    </row>
    <row r="4268">
      <c r="A4268">
        <f>Sources!A4268</f>
        <v/>
      </c>
      <c r="B4268">
        <f>Sources!B4268</f>
        <v/>
      </c>
      <c r="C4268">
        <f>Sources!D4268</f>
        <v/>
      </c>
      <c r="D4268">
        <f>Sources!E4268</f>
        <v/>
      </c>
      <c r="E4268">
        <f>Sources!F4268</f>
        <v/>
      </c>
      <c r="F4268">
        <f>Sources!H4268</f>
        <v/>
      </c>
      <c r="G4268">
        <f>IF(ABS(F4268-ROUND(F4268,0))&lt;0.001,1,0)</f>
        <v/>
      </c>
      <c r="H4268">
        <f>IF(G4268=1,F4268,CEILING(F4268,1))</f>
        <v/>
      </c>
      <c r="I4268">
        <f>IF(G4268=1,0,(H4268-F4268)*E4268)</f>
        <v/>
      </c>
      <c r="J4268">
        <f>E4268*F4268</f>
        <v/>
      </c>
    </row>
    <row r="4269">
      <c r="A4269">
        <f>Sources!A4269</f>
        <v/>
      </c>
      <c r="B4269">
        <f>Sources!B4269</f>
        <v/>
      </c>
      <c r="C4269">
        <f>Sources!D4269</f>
        <v/>
      </c>
      <c r="D4269">
        <f>Sources!E4269</f>
        <v/>
      </c>
      <c r="E4269">
        <f>Sources!F4269</f>
        <v/>
      </c>
      <c r="F4269">
        <f>Sources!H4269</f>
        <v/>
      </c>
      <c r="G4269">
        <f>IF(ABS(F4269-ROUND(F4269,0))&lt;0.001,1,0)</f>
        <v/>
      </c>
      <c r="H4269">
        <f>IF(G4269=1,F4269,CEILING(F4269,1))</f>
        <v/>
      </c>
      <c r="I4269">
        <f>IF(G4269=1,0,(H4269-F4269)*E4269)</f>
        <v/>
      </c>
      <c r="J4269">
        <f>E4269*F4269</f>
        <v/>
      </c>
    </row>
    <row r="4270">
      <c r="A4270">
        <f>Sources!A4270</f>
        <v/>
      </c>
      <c r="B4270">
        <f>Sources!B4270</f>
        <v/>
      </c>
      <c r="C4270">
        <f>Sources!D4270</f>
        <v/>
      </c>
      <c r="D4270">
        <f>Sources!E4270</f>
        <v/>
      </c>
      <c r="E4270">
        <f>Sources!F4270</f>
        <v/>
      </c>
      <c r="F4270">
        <f>Sources!H4270</f>
        <v/>
      </c>
      <c r="G4270">
        <f>IF(ABS(F4270-ROUND(F4270,0))&lt;0.001,1,0)</f>
        <v/>
      </c>
      <c r="H4270">
        <f>IF(G4270=1,F4270,CEILING(F4270,1))</f>
        <v/>
      </c>
      <c r="I4270">
        <f>IF(G4270=1,0,(H4270-F4270)*E4270)</f>
        <v/>
      </c>
      <c r="J4270">
        <f>E4270*F4270</f>
        <v/>
      </c>
    </row>
    <row r="4271">
      <c r="A4271">
        <f>Sources!A4271</f>
        <v/>
      </c>
      <c r="B4271">
        <f>Sources!B4271</f>
        <v/>
      </c>
      <c r="C4271">
        <f>Sources!D4271</f>
        <v/>
      </c>
      <c r="D4271">
        <f>Sources!E4271</f>
        <v/>
      </c>
      <c r="E4271">
        <f>Sources!F4271</f>
        <v/>
      </c>
      <c r="F4271">
        <f>Sources!H4271</f>
        <v/>
      </c>
      <c r="G4271">
        <f>IF(ABS(F4271-ROUND(F4271,0))&lt;0.001,1,0)</f>
        <v/>
      </c>
      <c r="H4271">
        <f>IF(G4271=1,F4271,CEILING(F4271,1))</f>
        <v/>
      </c>
      <c r="I4271">
        <f>IF(G4271=1,0,(H4271-F4271)*E4271)</f>
        <v/>
      </c>
      <c r="J4271">
        <f>E4271*F4271</f>
        <v/>
      </c>
    </row>
    <row r="4272">
      <c r="A4272">
        <f>Sources!A4272</f>
        <v/>
      </c>
      <c r="B4272">
        <f>Sources!B4272</f>
        <v/>
      </c>
      <c r="C4272">
        <f>Sources!D4272</f>
        <v/>
      </c>
      <c r="D4272">
        <f>Sources!E4272</f>
        <v/>
      </c>
      <c r="E4272">
        <f>Sources!F4272</f>
        <v/>
      </c>
      <c r="F4272">
        <f>Sources!H4272</f>
        <v/>
      </c>
      <c r="G4272">
        <f>IF(ABS(F4272-ROUND(F4272,0))&lt;0.001,1,0)</f>
        <v/>
      </c>
      <c r="H4272">
        <f>IF(G4272=1,F4272,CEILING(F4272,1))</f>
        <v/>
      </c>
      <c r="I4272">
        <f>IF(G4272=1,0,(H4272-F4272)*E4272)</f>
        <v/>
      </c>
      <c r="J4272">
        <f>E4272*F4272</f>
        <v/>
      </c>
    </row>
    <row r="4273">
      <c r="A4273">
        <f>Sources!A4273</f>
        <v/>
      </c>
      <c r="B4273">
        <f>Sources!B4273</f>
        <v/>
      </c>
      <c r="C4273">
        <f>Sources!D4273</f>
        <v/>
      </c>
      <c r="D4273">
        <f>Sources!E4273</f>
        <v/>
      </c>
      <c r="E4273">
        <f>Sources!F4273</f>
        <v/>
      </c>
      <c r="F4273">
        <f>Sources!H4273</f>
        <v/>
      </c>
      <c r="G4273">
        <f>IF(ABS(F4273-ROUND(F4273,0))&lt;0.001,1,0)</f>
        <v/>
      </c>
      <c r="H4273">
        <f>IF(G4273=1,F4273,CEILING(F4273,1))</f>
        <v/>
      </c>
      <c r="I4273">
        <f>IF(G4273=1,0,(H4273-F4273)*E4273)</f>
        <v/>
      </c>
      <c r="J4273">
        <f>E4273*F4273</f>
        <v/>
      </c>
    </row>
    <row r="4274">
      <c r="A4274">
        <f>Sources!A4274</f>
        <v/>
      </c>
      <c r="B4274">
        <f>Sources!B4274</f>
        <v/>
      </c>
      <c r="C4274">
        <f>Sources!D4274</f>
        <v/>
      </c>
      <c r="D4274">
        <f>Sources!E4274</f>
        <v/>
      </c>
      <c r="E4274">
        <f>Sources!F4274</f>
        <v/>
      </c>
      <c r="F4274">
        <f>Sources!H4274</f>
        <v/>
      </c>
      <c r="G4274">
        <f>IF(ABS(F4274-ROUND(F4274,0))&lt;0.001,1,0)</f>
        <v/>
      </c>
      <c r="H4274">
        <f>IF(G4274=1,F4274,CEILING(F4274,1))</f>
        <v/>
      </c>
      <c r="I4274">
        <f>IF(G4274=1,0,(H4274-F4274)*E4274)</f>
        <v/>
      </c>
      <c r="J4274">
        <f>E4274*F4274</f>
        <v/>
      </c>
    </row>
    <row r="4275">
      <c r="A4275">
        <f>Sources!A4275</f>
        <v/>
      </c>
      <c r="B4275">
        <f>Sources!B4275</f>
        <v/>
      </c>
      <c r="C4275">
        <f>Sources!D4275</f>
        <v/>
      </c>
      <c r="D4275">
        <f>Sources!E4275</f>
        <v/>
      </c>
      <c r="E4275">
        <f>Sources!F4275</f>
        <v/>
      </c>
      <c r="F4275">
        <f>Sources!H4275</f>
        <v/>
      </c>
      <c r="G4275">
        <f>IF(ABS(F4275-ROUND(F4275,0))&lt;0.001,1,0)</f>
        <v/>
      </c>
      <c r="H4275">
        <f>IF(G4275=1,F4275,CEILING(F4275,1))</f>
        <v/>
      </c>
      <c r="I4275">
        <f>IF(G4275=1,0,(H4275-F4275)*E4275)</f>
        <v/>
      </c>
      <c r="J4275">
        <f>E4275*F4275</f>
        <v/>
      </c>
    </row>
    <row r="4276">
      <c r="A4276">
        <f>Sources!A4276</f>
        <v/>
      </c>
      <c r="B4276">
        <f>Sources!B4276</f>
        <v/>
      </c>
      <c r="C4276">
        <f>Sources!D4276</f>
        <v/>
      </c>
      <c r="D4276">
        <f>Sources!E4276</f>
        <v/>
      </c>
      <c r="E4276">
        <f>Sources!F4276</f>
        <v/>
      </c>
      <c r="F4276">
        <f>Sources!H4276</f>
        <v/>
      </c>
      <c r="G4276">
        <f>IF(ABS(F4276-ROUND(F4276,0))&lt;0.001,1,0)</f>
        <v/>
      </c>
      <c r="H4276">
        <f>IF(G4276=1,F4276,CEILING(F4276,1))</f>
        <v/>
      </c>
      <c r="I4276">
        <f>IF(G4276=1,0,(H4276-F4276)*E4276)</f>
        <v/>
      </c>
      <c r="J4276">
        <f>E4276*F4276</f>
        <v/>
      </c>
    </row>
    <row r="4277">
      <c r="A4277">
        <f>Sources!A4277</f>
        <v/>
      </c>
      <c r="B4277">
        <f>Sources!B4277</f>
        <v/>
      </c>
      <c r="C4277">
        <f>Sources!D4277</f>
        <v/>
      </c>
      <c r="D4277">
        <f>Sources!E4277</f>
        <v/>
      </c>
      <c r="E4277">
        <f>Sources!F4277</f>
        <v/>
      </c>
      <c r="F4277">
        <f>Sources!H4277</f>
        <v/>
      </c>
      <c r="G4277">
        <f>IF(ABS(F4277-ROUND(F4277,0))&lt;0.001,1,0)</f>
        <v/>
      </c>
      <c r="H4277">
        <f>IF(G4277=1,F4277,CEILING(F4277,1))</f>
        <v/>
      </c>
      <c r="I4277">
        <f>IF(G4277=1,0,(H4277-F4277)*E4277)</f>
        <v/>
      </c>
      <c r="J4277">
        <f>E4277*F4277</f>
        <v/>
      </c>
    </row>
    <row r="4278">
      <c r="A4278">
        <f>Sources!A4278</f>
        <v/>
      </c>
      <c r="B4278">
        <f>Sources!B4278</f>
        <v/>
      </c>
      <c r="C4278">
        <f>Sources!D4278</f>
        <v/>
      </c>
      <c r="D4278">
        <f>Sources!E4278</f>
        <v/>
      </c>
      <c r="E4278">
        <f>Sources!F4278</f>
        <v/>
      </c>
      <c r="F4278">
        <f>Sources!H4278</f>
        <v/>
      </c>
      <c r="G4278">
        <f>IF(ABS(F4278-ROUND(F4278,0))&lt;0.001,1,0)</f>
        <v/>
      </c>
      <c r="H4278">
        <f>IF(G4278=1,F4278,CEILING(F4278,1))</f>
        <v/>
      </c>
      <c r="I4278">
        <f>IF(G4278=1,0,(H4278-F4278)*E4278)</f>
        <v/>
      </c>
      <c r="J4278">
        <f>E4278*F4278</f>
        <v/>
      </c>
    </row>
    <row r="4279">
      <c r="A4279">
        <f>Sources!A4279</f>
        <v/>
      </c>
      <c r="B4279">
        <f>Sources!B4279</f>
        <v/>
      </c>
      <c r="C4279">
        <f>Sources!D4279</f>
        <v/>
      </c>
      <c r="D4279">
        <f>Sources!E4279</f>
        <v/>
      </c>
      <c r="E4279">
        <f>Sources!F4279</f>
        <v/>
      </c>
      <c r="F4279">
        <f>Sources!H4279</f>
        <v/>
      </c>
      <c r="G4279">
        <f>IF(ABS(F4279-ROUND(F4279,0))&lt;0.001,1,0)</f>
        <v/>
      </c>
      <c r="H4279">
        <f>IF(G4279=1,F4279,CEILING(F4279,1))</f>
        <v/>
      </c>
      <c r="I4279">
        <f>IF(G4279=1,0,(H4279-F4279)*E4279)</f>
        <v/>
      </c>
      <c r="J4279">
        <f>E4279*F4279</f>
        <v/>
      </c>
    </row>
    <row r="4280">
      <c r="A4280">
        <f>Sources!A4280</f>
        <v/>
      </c>
      <c r="B4280">
        <f>Sources!B4280</f>
        <v/>
      </c>
      <c r="C4280">
        <f>Sources!D4280</f>
        <v/>
      </c>
      <c r="D4280">
        <f>Sources!E4280</f>
        <v/>
      </c>
      <c r="E4280">
        <f>Sources!F4280</f>
        <v/>
      </c>
      <c r="F4280">
        <f>Sources!H4280</f>
        <v/>
      </c>
      <c r="G4280">
        <f>IF(ABS(F4280-ROUND(F4280,0))&lt;0.001,1,0)</f>
        <v/>
      </c>
      <c r="H4280">
        <f>IF(G4280=1,F4280,CEILING(F4280,1))</f>
        <v/>
      </c>
      <c r="I4280">
        <f>IF(G4280=1,0,(H4280-F4280)*E4280)</f>
        <v/>
      </c>
      <c r="J4280">
        <f>E4280*F4280</f>
        <v/>
      </c>
    </row>
    <row r="4281">
      <c r="A4281">
        <f>Sources!A4281</f>
        <v/>
      </c>
      <c r="B4281">
        <f>Sources!B4281</f>
        <v/>
      </c>
      <c r="C4281">
        <f>Sources!D4281</f>
        <v/>
      </c>
      <c r="D4281">
        <f>Sources!E4281</f>
        <v/>
      </c>
      <c r="E4281">
        <f>Sources!F4281</f>
        <v/>
      </c>
      <c r="F4281">
        <f>Sources!H4281</f>
        <v/>
      </c>
      <c r="G4281">
        <f>IF(ABS(F4281-ROUND(F4281,0))&lt;0.001,1,0)</f>
        <v/>
      </c>
      <c r="H4281">
        <f>IF(G4281=1,F4281,CEILING(F4281,1))</f>
        <v/>
      </c>
      <c r="I4281">
        <f>IF(G4281=1,0,(H4281-F4281)*E4281)</f>
        <v/>
      </c>
      <c r="J4281">
        <f>E4281*F4281</f>
        <v/>
      </c>
    </row>
    <row r="4282">
      <c r="A4282">
        <f>Sources!A4282</f>
        <v/>
      </c>
      <c r="B4282">
        <f>Sources!B4282</f>
        <v/>
      </c>
      <c r="C4282">
        <f>Sources!D4282</f>
        <v/>
      </c>
      <c r="D4282">
        <f>Sources!E4282</f>
        <v/>
      </c>
      <c r="E4282">
        <f>Sources!F4282</f>
        <v/>
      </c>
      <c r="F4282">
        <f>Sources!H4282</f>
        <v/>
      </c>
      <c r="G4282">
        <f>IF(ABS(F4282-ROUND(F4282,0))&lt;0.001,1,0)</f>
        <v/>
      </c>
      <c r="H4282">
        <f>IF(G4282=1,F4282,CEILING(F4282,1))</f>
        <v/>
      </c>
      <c r="I4282">
        <f>IF(G4282=1,0,(H4282-F4282)*E4282)</f>
        <v/>
      </c>
      <c r="J4282">
        <f>E4282*F4282</f>
        <v/>
      </c>
    </row>
    <row r="4283">
      <c r="A4283">
        <f>Sources!A4283</f>
        <v/>
      </c>
      <c r="B4283">
        <f>Sources!B4283</f>
        <v/>
      </c>
      <c r="C4283">
        <f>Sources!D4283</f>
        <v/>
      </c>
      <c r="D4283">
        <f>Sources!E4283</f>
        <v/>
      </c>
      <c r="E4283">
        <f>Sources!F4283</f>
        <v/>
      </c>
      <c r="F4283">
        <f>Sources!H4283</f>
        <v/>
      </c>
      <c r="G4283">
        <f>IF(ABS(F4283-ROUND(F4283,0))&lt;0.001,1,0)</f>
        <v/>
      </c>
      <c r="H4283">
        <f>IF(G4283=1,F4283,CEILING(F4283,1))</f>
        <v/>
      </c>
      <c r="I4283">
        <f>IF(G4283=1,0,(H4283-F4283)*E4283)</f>
        <v/>
      </c>
      <c r="J4283">
        <f>E4283*F4283</f>
        <v/>
      </c>
    </row>
    <row r="4284">
      <c r="A4284">
        <f>Sources!A4284</f>
        <v/>
      </c>
      <c r="B4284">
        <f>Sources!B4284</f>
        <v/>
      </c>
      <c r="C4284">
        <f>Sources!D4284</f>
        <v/>
      </c>
      <c r="D4284">
        <f>Sources!E4284</f>
        <v/>
      </c>
      <c r="E4284">
        <f>Sources!F4284</f>
        <v/>
      </c>
      <c r="F4284">
        <f>Sources!H4284</f>
        <v/>
      </c>
      <c r="G4284">
        <f>IF(ABS(F4284-ROUND(F4284,0))&lt;0.001,1,0)</f>
        <v/>
      </c>
      <c r="H4284">
        <f>IF(G4284=1,F4284,CEILING(F4284,1))</f>
        <v/>
      </c>
      <c r="I4284">
        <f>IF(G4284=1,0,(H4284-F4284)*E4284)</f>
        <v/>
      </c>
      <c r="J4284">
        <f>E4284*F4284</f>
        <v/>
      </c>
    </row>
    <row r="4285">
      <c r="A4285">
        <f>Sources!A4285</f>
        <v/>
      </c>
      <c r="B4285">
        <f>Sources!B4285</f>
        <v/>
      </c>
      <c r="C4285">
        <f>Sources!D4285</f>
        <v/>
      </c>
      <c r="D4285">
        <f>Sources!E4285</f>
        <v/>
      </c>
      <c r="E4285">
        <f>Sources!F4285</f>
        <v/>
      </c>
      <c r="F4285">
        <f>Sources!H4285</f>
        <v/>
      </c>
      <c r="G4285">
        <f>IF(ABS(F4285-ROUND(F4285,0))&lt;0.001,1,0)</f>
        <v/>
      </c>
      <c r="H4285">
        <f>IF(G4285=1,F4285,CEILING(F4285,1))</f>
        <v/>
      </c>
      <c r="I4285">
        <f>IF(G4285=1,0,(H4285-F4285)*E4285)</f>
        <v/>
      </c>
      <c r="J4285">
        <f>E4285*F4285</f>
        <v/>
      </c>
    </row>
    <row r="4286">
      <c r="A4286">
        <f>Sources!A4286</f>
        <v/>
      </c>
      <c r="B4286">
        <f>Sources!B4286</f>
        <v/>
      </c>
      <c r="C4286">
        <f>Sources!D4286</f>
        <v/>
      </c>
      <c r="D4286">
        <f>Sources!E4286</f>
        <v/>
      </c>
      <c r="E4286">
        <f>Sources!F4286</f>
        <v/>
      </c>
      <c r="F4286">
        <f>Sources!H4286</f>
        <v/>
      </c>
      <c r="G4286">
        <f>IF(ABS(F4286-ROUND(F4286,0))&lt;0.001,1,0)</f>
        <v/>
      </c>
      <c r="H4286">
        <f>IF(G4286=1,F4286,CEILING(F4286,1))</f>
        <v/>
      </c>
      <c r="I4286">
        <f>IF(G4286=1,0,(H4286-F4286)*E4286)</f>
        <v/>
      </c>
      <c r="J4286">
        <f>E4286*F4286</f>
        <v/>
      </c>
    </row>
    <row r="4287">
      <c r="A4287">
        <f>Sources!A4287</f>
        <v/>
      </c>
      <c r="B4287">
        <f>Sources!B4287</f>
        <v/>
      </c>
      <c r="C4287">
        <f>Sources!D4287</f>
        <v/>
      </c>
      <c r="D4287">
        <f>Sources!E4287</f>
        <v/>
      </c>
      <c r="E4287">
        <f>Sources!F4287</f>
        <v/>
      </c>
      <c r="F4287">
        <f>Sources!H4287</f>
        <v/>
      </c>
      <c r="G4287">
        <f>IF(ABS(F4287-ROUND(F4287,0))&lt;0.001,1,0)</f>
        <v/>
      </c>
      <c r="H4287">
        <f>IF(G4287=1,F4287,CEILING(F4287,1))</f>
        <v/>
      </c>
      <c r="I4287">
        <f>IF(G4287=1,0,(H4287-F4287)*E4287)</f>
        <v/>
      </c>
      <c r="J4287">
        <f>E4287*F4287</f>
        <v/>
      </c>
    </row>
    <row r="4288">
      <c r="A4288">
        <f>Sources!A4288</f>
        <v/>
      </c>
      <c r="B4288">
        <f>Sources!B4288</f>
        <v/>
      </c>
      <c r="C4288">
        <f>Sources!D4288</f>
        <v/>
      </c>
      <c r="D4288">
        <f>Sources!E4288</f>
        <v/>
      </c>
      <c r="E4288">
        <f>Sources!F4288</f>
        <v/>
      </c>
      <c r="F4288">
        <f>Sources!H4288</f>
        <v/>
      </c>
      <c r="G4288">
        <f>IF(ABS(F4288-ROUND(F4288,0))&lt;0.001,1,0)</f>
        <v/>
      </c>
      <c r="H4288">
        <f>IF(G4288=1,F4288,CEILING(F4288,1))</f>
        <v/>
      </c>
      <c r="I4288">
        <f>IF(G4288=1,0,(H4288-F4288)*E4288)</f>
        <v/>
      </c>
      <c r="J4288">
        <f>E4288*F4288</f>
        <v/>
      </c>
    </row>
    <row r="4289">
      <c r="A4289">
        <f>Sources!A4289</f>
        <v/>
      </c>
      <c r="B4289">
        <f>Sources!B4289</f>
        <v/>
      </c>
      <c r="C4289">
        <f>Sources!D4289</f>
        <v/>
      </c>
      <c r="D4289">
        <f>Sources!E4289</f>
        <v/>
      </c>
      <c r="E4289">
        <f>Sources!F4289</f>
        <v/>
      </c>
      <c r="F4289">
        <f>Sources!H4289</f>
        <v/>
      </c>
      <c r="G4289">
        <f>IF(ABS(F4289-ROUND(F4289,0))&lt;0.001,1,0)</f>
        <v/>
      </c>
      <c r="H4289">
        <f>IF(G4289=1,F4289,CEILING(F4289,1))</f>
        <v/>
      </c>
      <c r="I4289">
        <f>IF(G4289=1,0,(H4289-F4289)*E4289)</f>
        <v/>
      </c>
      <c r="J4289">
        <f>E4289*F4289</f>
        <v/>
      </c>
    </row>
    <row r="4290">
      <c r="A4290">
        <f>Sources!A4290</f>
        <v/>
      </c>
      <c r="B4290">
        <f>Sources!B4290</f>
        <v/>
      </c>
      <c r="C4290">
        <f>Sources!D4290</f>
        <v/>
      </c>
      <c r="D4290">
        <f>Sources!E4290</f>
        <v/>
      </c>
      <c r="E4290">
        <f>Sources!F4290</f>
        <v/>
      </c>
      <c r="F4290">
        <f>Sources!H4290</f>
        <v/>
      </c>
      <c r="G4290">
        <f>IF(ABS(F4290-ROUND(F4290,0))&lt;0.001,1,0)</f>
        <v/>
      </c>
      <c r="H4290">
        <f>IF(G4290=1,F4290,CEILING(F4290,1))</f>
        <v/>
      </c>
      <c r="I4290">
        <f>IF(G4290=1,0,(H4290-F4290)*E4290)</f>
        <v/>
      </c>
      <c r="J4290">
        <f>E4290*F4290</f>
        <v/>
      </c>
    </row>
    <row r="4291">
      <c r="A4291">
        <f>Sources!A4291</f>
        <v/>
      </c>
      <c r="B4291">
        <f>Sources!B4291</f>
        <v/>
      </c>
      <c r="C4291">
        <f>Sources!D4291</f>
        <v/>
      </c>
      <c r="D4291">
        <f>Sources!E4291</f>
        <v/>
      </c>
      <c r="E4291">
        <f>Sources!F4291</f>
        <v/>
      </c>
      <c r="F4291">
        <f>Sources!H4291</f>
        <v/>
      </c>
      <c r="G4291">
        <f>IF(ABS(F4291-ROUND(F4291,0))&lt;0.001,1,0)</f>
        <v/>
      </c>
      <c r="H4291">
        <f>IF(G4291=1,F4291,CEILING(F4291,1))</f>
        <v/>
      </c>
      <c r="I4291">
        <f>IF(G4291=1,0,(H4291-F4291)*E4291)</f>
        <v/>
      </c>
      <c r="J4291">
        <f>E4291*F4291</f>
        <v/>
      </c>
    </row>
    <row r="4292">
      <c r="A4292">
        <f>Sources!A4292</f>
        <v/>
      </c>
      <c r="B4292">
        <f>Sources!B4292</f>
        <v/>
      </c>
      <c r="C4292">
        <f>Sources!D4292</f>
        <v/>
      </c>
      <c r="D4292">
        <f>Sources!E4292</f>
        <v/>
      </c>
      <c r="E4292">
        <f>Sources!F4292</f>
        <v/>
      </c>
      <c r="F4292">
        <f>Sources!H4292</f>
        <v/>
      </c>
      <c r="G4292">
        <f>IF(ABS(F4292-ROUND(F4292,0))&lt;0.001,1,0)</f>
        <v/>
      </c>
      <c r="H4292">
        <f>IF(G4292=1,F4292,CEILING(F4292,1))</f>
        <v/>
      </c>
      <c r="I4292">
        <f>IF(G4292=1,0,(H4292-F4292)*E4292)</f>
        <v/>
      </c>
      <c r="J4292">
        <f>E4292*F4292</f>
        <v/>
      </c>
    </row>
    <row r="4293">
      <c r="A4293">
        <f>Sources!A4293</f>
        <v/>
      </c>
      <c r="B4293">
        <f>Sources!B4293</f>
        <v/>
      </c>
      <c r="C4293">
        <f>Sources!D4293</f>
        <v/>
      </c>
      <c r="D4293">
        <f>Sources!E4293</f>
        <v/>
      </c>
      <c r="E4293">
        <f>Sources!F4293</f>
        <v/>
      </c>
      <c r="F4293">
        <f>Sources!H4293</f>
        <v/>
      </c>
      <c r="G4293">
        <f>IF(ABS(F4293-ROUND(F4293,0))&lt;0.001,1,0)</f>
        <v/>
      </c>
      <c r="H4293">
        <f>IF(G4293=1,F4293,CEILING(F4293,1))</f>
        <v/>
      </c>
      <c r="I4293">
        <f>IF(G4293=1,0,(H4293-F4293)*E4293)</f>
        <v/>
      </c>
      <c r="J4293">
        <f>E4293*F4293</f>
        <v/>
      </c>
    </row>
    <row r="4294">
      <c r="A4294">
        <f>Sources!A4294</f>
        <v/>
      </c>
      <c r="B4294">
        <f>Sources!B4294</f>
        <v/>
      </c>
      <c r="C4294">
        <f>Sources!D4294</f>
        <v/>
      </c>
      <c r="D4294">
        <f>Sources!E4294</f>
        <v/>
      </c>
      <c r="E4294">
        <f>Sources!F4294</f>
        <v/>
      </c>
      <c r="F4294">
        <f>Sources!H4294</f>
        <v/>
      </c>
      <c r="G4294">
        <f>IF(ABS(F4294-ROUND(F4294,0))&lt;0.001,1,0)</f>
        <v/>
      </c>
      <c r="H4294">
        <f>IF(G4294=1,F4294,CEILING(F4294,1))</f>
        <v/>
      </c>
      <c r="I4294">
        <f>IF(G4294=1,0,(H4294-F4294)*E4294)</f>
        <v/>
      </c>
      <c r="J4294">
        <f>E4294*F4294</f>
        <v/>
      </c>
    </row>
    <row r="4295">
      <c r="A4295">
        <f>Sources!A4295</f>
        <v/>
      </c>
      <c r="B4295">
        <f>Sources!B4295</f>
        <v/>
      </c>
      <c r="C4295">
        <f>Sources!D4295</f>
        <v/>
      </c>
      <c r="D4295">
        <f>Sources!E4295</f>
        <v/>
      </c>
      <c r="E4295">
        <f>Sources!F4295</f>
        <v/>
      </c>
      <c r="F4295">
        <f>Sources!H4295</f>
        <v/>
      </c>
      <c r="G4295">
        <f>IF(ABS(F4295-ROUND(F4295,0))&lt;0.001,1,0)</f>
        <v/>
      </c>
      <c r="H4295">
        <f>IF(G4295=1,F4295,CEILING(F4295,1))</f>
        <v/>
      </c>
      <c r="I4295">
        <f>IF(G4295=1,0,(H4295-F4295)*E4295)</f>
        <v/>
      </c>
      <c r="J4295">
        <f>E4295*F4295</f>
        <v/>
      </c>
    </row>
    <row r="4296">
      <c r="A4296">
        <f>Sources!A4296</f>
        <v/>
      </c>
      <c r="B4296">
        <f>Sources!B4296</f>
        <v/>
      </c>
      <c r="C4296">
        <f>Sources!D4296</f>
        <v/>
      </c>
      <c r="D4296">
        <f>Sources!E4296</f>
        <v/>
      </c>
      <c r="E4296">
        <f>Sources!F4296</f>
        <v/>
      </c>
      <c r="F4296">
        <f>Sources!H4296</f>
        <v/>
      </c>
      <c r="G4296">
        <f>IF(ABS(F4296-ROUND(F4296,0))&lt;0.001,1,0)</f>
        <v/>
      </c>
      <c r="H4296">
        <f>IF(G4296=1,F4296,CEILING(F4296,1))</f>
        <v/>
      </c>
      <c r="I4296">
        <f>IF(G4296=1,0,(H4296-F4296)*E4296)</f>
        <v/>
      </c>
      <c r="J4296">
        <f>E4296*F4296</f>
        <v/>
      </c>
    </row>
    <row r="4297">
      <c r="A4297">
        <f>Sources!A4297</f>
        <v/>
      </c>
      <c r="B4297">
        <f>Sources!B4297</f>
        <v/>
      </c>
      <c r="C4297">
        <f>Sources!D4297</f>
        <v/>
      </c>
      <c r="D4297">
        <f>Sources!E4297</f>
        <v/>
      </c>
      <c r="E4297">
        <f>Sources!F4297</f>
        <v/>
      </c>
      <c r="F4297">
        <f>Sources!H4297</f>
        <v/>
      </c>
      <c r="G4297">
        <f>IF(ABS(F4297-ROUND(F4297,0))&lt;0.001,1,0)</f>
        <v/>
      </c>
      <c r="H4297">
        <f>IF(G4297=1,F4297,CEILING(F4297,1))</f>
        <v/>
      </c>
      <c r="I4297">
        <f>IF(G4297=1,0,(H4297-F4297)*E4297)</f>
        <v/>
      </c>
      <c r="J4297">
        <f>E4297*F4297</f>
        <v/>
      </c>
    </row>
    <row r="4298">
      <c r="A4298">
        <f>Sources!A4298</f>
        <v/>
      </c>
      <c r="B4298">
        <f>Sources!B4298</f>
        <v/>
      </c>
      <c r="C4298">
        <f>Sources!D4298</f>
        <v/>
      </c>
      <c r="D4298">
        <f>Sources!E4298</f>
        <v/>
      </c>
      <c r="E4298">
        <f>Sources!F4298</f>
        <v/>
      </c>
      <c r="F4298">
        <f>Sources!H4298</f>
        <v/>
      </c>
      <c r="G4298">
        <f>IF(ABS(F4298-ROUND(F4298,0))&lt;0.001,1,0)</f>
        <v/>
      </c>
      <c r="H4298">
        <f>IF(G4298=1,F4298,CEILING(F4298,1))</f>
        <v/>
      </c>
      <c r="I4298">
        <f>IF(G4298=1,0,(H4298-F4298)*E4298)</f>
        <v/>
      </c>
      <c r="J4298">
        <f>E4298*F4298</f>
        <v/>
      </c>
    </row>
    <row r="4299">
      <c r="A4299">
        <f>Sources!A4299</f>
        <v/>
      </c>
      <c r="B4299">
        <f>Sources!B4299</f>
        <v/>
      </c>
      <c r="C4299">
        <f>Sources!D4299</f>
        <v/>
      </c>
      <c r="D4299">
        <f>Sources!E4299</f>
        <v/>
      </c>
      <c r="E4299">
        <f>Sources!F4299</f>
        <v/>
      </c>
      <c r="F4299">
        <f>Sources!H4299</f>
        <v/>
      </c>
      <c r="G4299">
        <f>IF(ABS(F4299-ROUND(F4299,0))&lt;0.001,1,0)</f>
        <v/>
      </c>
      <c r="H4299">
        <f>IF(G4299=1,F4299,CEILING(F4299,1))</f>
        <v/>
      </c>
      <c r="I4299">
        <f>IF(G4299=1,0,(H4299-F4299)*E4299)</f>
        <v/>
      </c>
      <c r="J4299">
        <f>E4299*F4299</f>
        <v/>
      </c>
    </row>
    <row r="4300">
      <c r="A4300">
        <f>Sources!A4300</f>
        <v/>
      </c>
      <c r="B4300">
        <f>Sources!B4300</f>
        <v/>
      </c>
      <c r="C4300">
        <f>Sources!D4300</f>
        <v/>
      </c>
      <c r="D4300">
        <f>Sources!E4300</f>
        <v/>
      </c>
      <c r="E4300">
        <f>Sources!F4300</f>
        <v/>
      </c>
      <c r="F4300">
        <f>Sources!H4300</f>
        <v/>
      </c>
      <c r="G4300">
        <f>IF(ABS(F4300-ROUND(F4300,0))&lt;0.001,1,0)</f>
        <v/>
      </c>
      <c r="H4300">
        <f>IF(G4300=1,F4300,CEILING(F4300,1))</f>
        <v/>
      </c>
      <c r="I4300">
        <f>IF(G4300=1,0,(H4300-F4300)*E4300)</f>
        <v/>
      </c>
      <c r="J4300">
        <f>E4300*F4300</f>
        <v/>
      </c>
    </row>
    <row r="4301">
      <c r="A4301">
        <f>Sources!A4301</f>
        <v/>
      </c>
      <c r="B4301">
        <f>Sources!B4301</f>
        <v/>
      </c>
      <c r="C4301">
        <f>Sources!D4301</f>
        <v/>
      </c>
      <c r="D4301">
        <f>Sources!E4301</f>
        <v/>
      </c>
      <c r="E4301">
        <f>Sources!F4301</f>
        <v/>
      </c>
      <c r="F4301">
        <f>Sources!H4301</f>
        <v/>
      </c>
      <c r="G4301">
        <f>IF(ABS(F4301-ROUND(F4301,0))&lt;0.001,1,0)</f>
        <v/>
      </c>
      <c r="H4301">
        <f>IF(G4301=1,F4301,CEILING(F4301,1))</f>
        <v/>
      </c>
      <c r="I4301">
        <f>IF(G4301=1,0,(H4301-F4301)*E4301)</f>
        <v/>
      </c>
      <c r="J4301">
        <f>E4301*F4301</f>
        <v/>
      </c>
    </row>
    <row r="4302">
      <c r="A4302">
        <f>Sources!A4302</f>
        <v/>
      </c>
      <c r="B4302">
        <f>Sources!B4302</f>
        <v/>
      </c>
      <c r="C4302">
        <f>Sources!D4302</f>
        <v/>
      </c>
      <c r="D4302">
        <f>Sources!E4302</f>
        <v/>
      </c>
      <c r="E4302">
        <f>Sources!F4302</f>
        <v/>
      </c>
      <c r="F4302">
        <f>Sources!H4302</f>
        <v/>
      </c>
      <c r="G4302">
        <f>IF(ABS(F4302-ROUND(F4302,0))&lt;0.001,1,0)</f>
        <v/>
      </c>
      <c r="H4302">
        <f>IF(G4302=1,F4302,CEILING(F4302,1))</f>
        <v/>
      </c>
      <c r="I4302">
        <f>IF(G4302=1,0,(H4302-F4302)*E4302)</f>
        <v/>
      </c>
      <c r="J4302">
        <f>E4302*F4302</f>
        <v/>
      </c>
    </row>
    <row r="4303">
      <c r="A4303">
        <f>Sources!A4303</f>
        <v/>
      </c>
      <c r="B4303">
        <f>Sources!B4303</f>
        <v/>
      </c>
      <c r="C4303">
        <f>Sources!D4303</f>
        <v/>
      </c>
      <c r="D4303">
        <f>Sources!E4303</f>
        <v/>
      </c>
      <c r="E4303">
        <f>Sources!F4303</f>
        <v/>
      </c>
      <c r="F4303">
        <f>Sources!H4303</f>
        <v/>
      </c>
      <c r="G4303">
        <f>IF(ABS(F4303-ROUND(F4303,0))&lt;0.001,1,0)</f>
        <v/>
      </c>
      <c r="H4303">
        <f>IF(G4303=1,F4303,CEILING(F4303,1))</f>
        <v/>
      </c>
      <c r="I4303">
        <f>IF(G4303=1,0,(H4303-F4303)*E4303)</f>
        <v/>
      </c>
      <c r="J4303">
        <f>E4303*F4303</f>
        <v/>
      </c>
    </row>
    <row r="4304">
      <c r="A4304">
        <f>Sources!A4304</f>
        <v/>
      </c>
      <c r="B4304">
        <f>Sources!B4304</f>
        <v/>
      </c>
      <c r="C4304">
        <f>Sources!D4304</f>
        <v/>
      </c>
      <c r="D4304">
        <f>Sources!E4304</f>
        <v/>
      </c>
      <c r="E4304">
        <f>Sources!F4304</f>
        <v/>
      </c>
      <c r="F4304">
        <f>Sources!H4304</f>
        <v/>
      </c>
      <c r="G4304">
        <f>IF(ABS(F4304-ROUND(F4304,0))&lt;0.001,1,0)</f>
        <v/>
      </c>
      <c r="H4304">
        <f>IF(G4304=1,F4304,CEILING(F4304,1))</f>
        <v/>
      </c>
      <c r="I4304">
        <f>IF(G4304=1,0,(H4304-F4304)*E4304)</f>
        <v/>
      </c>
      <c r="J4304">
        <f>E4304*F4304</f>
        <v/>
      </c>
    </row>
    <row r="4305">
      <c r="A4305">
        <f>Sources!A4305</f>
        <v/>
      </c>
      <c r="B4305">
        <f>Sources!B4305</f>
        <v/>
      </c>
      <c r="C4305">
        <f>Sources!D4305</f>
        <v/>
      </c>
      <c r="D4305">
        <f>Sources!E4305</f>
        <v/>
      </c>
      <c r="E4305">
        <f>Sources!F4305</f>
        <v/>
      </c>
      <c r="F4305">
        <f>Sources!H4305</f>
        <v/>
      </c>
      <c r="G4305">
        <f>IF(ABS(F4305-ROUND(F4305,0))&lt;0.001,1,0)</f>
        <v/>
      </c>
      <c r="H4305">
        <f>IF(G4305=1,F4305,CEILING(F4305,1))</f>
        <v/>
      </c>
      <c r="I4305">
        <f>IF(G4305=1,0,(H4305-F4305)*E4305)</f>
        <v/>
      </c>
      <c r="J4305">
        <f>E4305*F4305</f>
        <v/>
      </c>
    </row>
    <row r="4306">
      <c r="A4306">
        <f>Sources!A4306</f>
        <v/>
      </c>
      <c r="B4306">
        <f>Sources!B4306</f>
        <v/>
      </c>
      <c r="C4306">
        <f>Sources!D4306</f>
        <v/>
      </c>
      <c r="D4306">
        <f>Sources!E4306</f>
        <v/>
      </c>
      <c r="E4306">
        <f>Sources!F4306</f>
        <v/>
      </c>
      <c r="F4306">
        <f>Sources!H4306</f>
        <v/>
      </c>
      <c r="G4306">
        <f>IF(ABS(F4306-ROUND(F4306,0))&lt;0.001,1,0)</f>
        <v/>
      </c>
      <c r="H4306">
        <f>IF(G4306=1,F4306,CEILING(F4306,1))</f>
        <v/>
      </c>
      <c r="I4306">
        <f>IF(G4306=1,0,(H4306-F4306)*E4306)</f>
        <v/>
      </c>
      <c r="J4306">
        <f>E4306*F4306</f>
        <v/>
      </c>
    </row>
    <row r="4307">
      <c r="A4307">
        <f>Sources!A4307</f>
        <v/>
      </c>
      <c r="B4307">
        <f>Sources!B4307</f>
        <v/>
      </c>
      <c r="C4307">
        <f>Sources!D4307</f>
        <v/>
      </c>
      <c r="D4307">
        <f>Sources!E4307</f>
        <v/>
      </c>
      <c r="E4307">
        <f>Sources!F4307</f>
        <v/>
      </c>
      <c r="F4307">
        <f>Sources!H4307</f>
        <v/>
      </c>
      <c r="G4307">
        <f>IF(ABS(F4307-ROUND(F4307,0))&lt;0.001,1,0)</f>
        <v/>
      </c>
      <c r="H4307">
        <f>IF(G4307=1,F4307,CEILING(F4307,1))</f>
        <v/>
      </c>
      <c r="I4307">
        <f>IF(G4307=1,0,(H4307-F4307)*E4307)</f>
        <v/>
      </c>
      <c r="J4307">
        <f>E4307*F4307</f>
        <v/>
      </c>
    </row>
    <row r="4308">
      <c r="A4308">
        <f>Sources!A4308</f>
        <v/>
      </c>
      <c r="B4308">
        <f>Sources!B4308</f>
        <v/>
      </c>
      <c r="C4308">
        <f>Sources!D4308</f>
        <v/>
      </c>
      <c r="D4308">
        <f>Sources!E4308</f>
        <v/>
      </c>
      <c r="E4308">
        <f>Sources!F4308</f>
        <v/>
      </c>
      <c r="F4308">
        <f>Sources!H4308</f>
        <v/>
      </c>
      <c r="G4308">
        <f>IF(ABS(F4308-ROUND(F4308,0))&lt;0.001,1,0)</f>
        <v/>
      </c>
      <c r="H4308">
        <f>IF(G4308=1,F4308,CEILING(F4308,1))</f>
        <v/>
      </c>
      <c r="I4308">
        <f>IF(G4308=1,0,(H4308-F4308)*E4308)</f>
        <v/>
      </c>
      <c r="J4308">
        <f>E4308*F4308</f>
        <v/>
      </c>
    </row>
    <row r="4309">
      <c r="A4309">
        <f>Sources!A4309</f>
        <v/>
      </c>
      <c r="B4309">
        <f>Sources!B4309</f>
        <v/>
      </c>
      <c r="C4309">
        <f>Sources!D4309</f>
        <v/>
      </c>
      <c r="D4309">
        <f>Sources!E4309</f>
        <v/>
      </c>
      <c r="E4309">
        <f>Sources!F4309</f>
        <v/>
      </c>
      <c r="F4309">
        <f>Sources!H4309</f>
        <v/>
      </c>
      <c r="G4309">
        <f>IF(ABS(F4309-ROUND(F4309,0))&lt;0.001,1,0)</f>
        <v/>
      </c>
      <c r="H4309">
        <f>IF(G4309=1,F4309,CEILING(F4309,1))</f>
        <v/>
      </c>
      <c r="I4309">
        <f>IF(G4309=1,0,(H4309-F4309)*E4309)</f>
        <v/>
      </c>
      <c r="J4309">
        <f>E4309*F4309</f>
        <v/>
      </c>
    </row>
    <row r="4310">
      <c r="A4310">
        <f>Sources!A4310</f>
        <v/>
      </c>
      <c r="B4310">
        <f>Sources!B4310</f>
        <v/>
      </c>
      <c r="C4310">
        <f>Sources!D4310</f>
        <v/>
      </c>
      <c r="D4310">
        <f>Sources!E4310</f>
        <v/>
      </c>
      <c r="E4310">
        <f>Sources!F4310</f>
        <v/>
      </c>
      <c r="F4310">
        <f>Sources!H4310</f>
        <v/>
      </c>
      <c r="G4310">
        <f>IF(ABS(F4310-ROUND(F4310,0))&lt;0.001,1,0)</f>
        <v/>
      </c>
      <c r="H4310">
        <f>IF(G4310=1,F4310,CEILING(F4310,1))</f>
        <v/>
      </c>
      <c r="I4310">
        <f>IF(G4310=1,0,(H4310-F4310)*E4310)</f>
        <v/>
      </c>
      <c r="J4310">
        <f>E4310*F4310</f>
        <v/>
      </c>
    </row>
    <row r="4311">
      <c r="A4311">
        <f>Sources!A4311</f>
        <v/>
      </c>
      <c r="B4311">
        <f>Sources!B4311</f>
        <v/>
      </c>
      <c r="C4311">
        <f>Sources!D4311</f>
        <v/>
      </c>
      <c r="D4311">
        <f>Sources!E4311</f>
        <v/>
      </c>
      <c r="E4311">
        <f>Sources!F4311</f>
        <v/>
      </c>
      <c r="F4311">
        <f>Sources!H4311</f>
        <v/>
      </c>
      <c r="G4311">
        <f>IF(ABS(F4311-ROUND(F4311,0))&lt;0.001,1,0)</f>
        <v/>
      </c>
      <c r="H4311">
        <f>IF(G4311=1,F4311,CEILING(F4311,1))</f>
        <v/>
      </c>
      <c r="I4311">
        <f>IF(G4311=1,0,(H4311-F4311)*E4311)</f>
        <v/>
      </c>
      <c r="J4311">
        <f>E4311*F4311</f>
        <v/>
      </c>
    </row>
    <row r="4312">
      <c r="A4312">
        <f>Sources!A4312</f>
        <v/>
      </c>
      <c r="B4312">
        <f>Sources!B4312</f>
        <v/>
      </c>
      <c r="C4312">
        <f>Sources!D4312</f>
        <v/>
      </c>
      <c r="D4312">
        <f>Sources!E4312</f>
        <v/>
      </c>
      <c r="E4312">
        <f>Sources!F4312</f>
        <v/>
      </c>
      <c r="F4312">
        <f>Sources!H4312</f>
        <v/>
      </c>
      <c r="G4312">
        <f>IF(ABS(F4312-ROUND(F4312,0))&lt;0.001,1,0)</f>
        <v/>
      </c>
      <c r="H4312">
        <f>IF(G4312=1,F4312,CEILING(F4312,1))</f>
        <v/>
      </c>
      <c r="I4312">
        <f>IF(G4312=1,0,(H4312-F4312)*E4312)</f>
        <v/>
      </c>
      <c r="J4312">
        <f>E4312*F4312</f>
        <v/>
      </c>
    </row>
    <row r="4313">
      <c r="A4313">
        <f>Sources!A4313</f>
        <v/>
      </c>
      <c r="B4313">
        <f>Sources!B4313</f>
        <v/>
      </c>
      <c r="C4313">
        <f>Sources!D4313</f>
        <v/>
      </c>
      <c r="D4313">
        <f>Sources!E4313</f>
        <v/>
      </c>
      <c r="E4313">
        <f>Sources!F4313</f>
        <v/>
      </c>
      <c r="F4313">
        <f>Sources!H4313</f>
        <v/>
      </c>
      <c r="G4313">
        <f>IF(ABS(F4313-ROUND(F4313,0))&lt;0.001,1,0)</f>
        <v/>
      </c>
      <c r="H4313">
        <f>IF(G4313=1,F4313,CEILING(F4313,1))</f>
        <v/>
      </c>
      <c r="I4313">
        <f>IF(G4313=1,0,(H4313-F4313)*E4313)</f>
        <v/>
      </c>
      <c r="J4313">
        <f>E4313*F4313</f>
        <v/>
      </c>
    </row>
    <row r="4314">
      <c r="A4314">
        <f>Sources!A4314</f>
        <v/>
      </c>
      <c r="B4314">
        <f>Sources!B4314</f>
        <v/>
      </c>
      <c r="C4314">
        <f>Sources!D4314</f>
        <v/>
      </c>
      <c r="D4314">
        <f>Sources!E4314</f>
        <v/>
      </c>
      <c r="E4314">
        <f>Sources!F4314</f>
        <v/>
      </c>
      <c r="F4314">
        <f>Sources!H4314</f>
        <v/>
      </c>
      <c r="G4314">
        <f>IF(ABS(F4314-ROUND(F4314,0))&lt;0.001,1,0)</f>
        <v/>
      </c>
      <c r="H4314">
        <f>IF(G4314=1,F4314,CEILING(F4314,1))</f>
        <v/>
      </c>
      <c r="I4314">
        <f>IF(G4314=1,0,(H4314-F4314)*E4314)</f>
        <v/>
      </c>
      <c r="J4314">
        <f>E4314*F4314</f>
        <v/>
      </c>
    </row>
    <row r="4315">
      <c r="A4315">
        <f>Sources!A4315</f>
        <v/>
      </c>
      <c r="B4315">
        <f>Sources!B4315</f>
        <v/>
      </c>
      <c r="C4315">
        <f>Sources!D4315</f>
        <v/>
      </c>
      <c r="D4315">
        <f>Sources!E4315</f>
        <v/>
      </c>
      <c r="E4315">
        <f>Sources!F4315</f>
        <v/>
      </c>
      <c r="F4315">
        <f>Sources!H4315</f>
        <v/>
      </c>
      <c r="G4315">
        <f>IF(ABS(F4315-ROUND(F4315,0))&lt;0.001,1,0)</f>
        <v/>
      </c>
      <c r="H4315">
        <f>IF(G4315=1,F4315,CEILING(F4315,1))</f>
        <v/>
      </c>
      <c r="I4315">
        <f>IF(G4315=1,0,(H4315-F4315)*E4315)</f>
        <v/>
      </c>
      <c r="J4315">
        <f>E4315*F4315</f>
        <v/>
      </c>
    </row>
    <row r="4316">
      <c r="A4316">
        <f>Sources!A4316</f>
        <v/>
      </c>
      <c r="B4316">
        <f>Sources!B4316</f>
        <v/>
      </c>
      <c r="C4316">
        <f>Sources!D4316</f>
        <v/>
      </c>
      <c r="D4316">
        <f>Sources!E4316</f>
        <v/>
      </c>
      <c r="E4316">
        <f>Sources!F4316</f>
        <v/>
      </c>
      <c r="F4316">
        <f>Sources!H4316</f>
        <v/>
      </c>
      <c r="G4316">
        <f>IF(ABS(F4316-ROUND(F4316,0))&lt;0.001,1,0)</f>
        <v/>
      </c>
      <c r="H4316">
        <f>IF(G4316=1,F4316,CEILING(F4316,1))</f>
        <v/>
      </c>
      <c r="I4316">
        <f>IF(G4316=1,0,(H4316-F4316)*E4316)</f>
        <v/>
      </c>
      <c r="J4316">
        <f>E4316*F4316</f>
        <v/>
      </c>
    </row>
    <row r="4317">
      <c r="A4317">
        <f>Sources!A4317</f>
        <v/>
      </c>
      <c r="B4317">
        <f>Sources!B4317</f>
        <v/>
      </c>
      <c r="C4317">
        <f>Sources!D4317</f>
        <v/>
      </c>
      <c r="D4317">
        <f>Sources!E4317</f>
        <v/>
      </c>
      <c r="E4317">
        <f>Sources!F4317</f>
        <v/>
      </c>
      <c r="F4317">
        <f>Sources!H4317</f>
        <v/>
      </c>
      <c r="G4317">
        <f>IF(ABS(F4317-ROUND(F4317,0))&lt;0.001,1,0)</f>
        <v/>
      </c>
      <c r="H4317">
        <f>IF(G4317=1,F4317,CEILING(F4317,1))</f>
        <v/>
      </c>
      <c r="I4317">
        <f>IF(G4317=1,0,(H4317-F4317)*E4317)</f>
        <v/>
      </c>
      <c r="J4317">
        <f>E4317*F4317</f>
        <v/>
      </c>
    </row>
    <row r="4318">
      <c r="A4318">
        <f>Sources!A4318</f>
        <v/>
      </c>
      <c r="B4318">
        <f>Sources!B4318</f>
        <v/>
      </c>
      <c r="C4318">
        <f>Sources!D4318</f>
        <v/>
      </c>
      <c r="D4318">
        <f>Sources!E4318</f>
        <v/>
      </c>
      <c r="E4318">
        <f>Sources!F4318</f>
        <v/>
      </c>
      <c r="F4318">
        <f>Sources!H4318</f>
        <v/>
      </c>
      <c r="G4318">
        <f>IF(ABS(F4318-ROUND(F4318,0))&lt;0.001,1,0)</f>
        <v/>
      </c>
      <c r="H4318">
        <f>IF(G4318=1,F4318,CEILING(F4318,1))</f>
        <v/>
      </c>
      <c r="I4318">
        <f>IF(G4318=1,0,(H4318-F4318)*E4318)</f>
        <v/>
      </c>
      <c r="J4318">
        <f>E4318*F4318</f>
        <v/>
      </c>
    </row>
    <row r="4319">
      <c r="A4319">
        <f>Sources!A4319</f>
        <v/>
      </c>
      <c r="B4319">
        <f>Sources!B4319</f>
        <v/>
      </c>
      <c r="C4319">
        <f>Sources!D4319</f>
        <v/>
      </c>
      <c r="D4319">
        <f>Sources!E4319</f>
        <v/>
      </c>
      <c r="E4319">
        <f>Sources!F4319</f>
        <v/>
      </c>
      <c r="F4319">
        <f>Sources!H4319</f>
        <v/>
      </c>
      <c r="G4319">
        <f>IF(ABS(F4319-ROUND(F4319,0))&lt;0.001,1,0)</f>
        <v/>
      </c>
      <c r="H4319">
        <f>IF(G4319=1,F4319,CEILING(F4319,1))</f>
        <v/>
      </c>
      <c r="I4319">
        <f>IF(G4319=1,0,(H4319-F4319)*E4319)</f>
        <v/>
      </c>
      <c r="J4319">
        <f>E4319*F4319</f>
        <v/>
      </c>
    </row>
    <row r="4320">
      <c r="A4320">
        <f>Sources!A4320</f>
        <v/>
      </c>
      <c r="B4320">
        <f>Sources!B4320</f>
        <v/>
      </c>
      <c r="C4320">
        <f>Sources!D4320</f>
        <v/>
      </c>
      <c r="D4320">
        <f>Sources!E4320</f>
        <v/>
      </c>
      <c r="E4320">
        <f>Sources!F4320</f>
        <v/>
      </c>
      <c r="F4320">
        <f>Sources!H4320</f>
        <v/>
      </c>
      <c r="G4320">
        <f>IF(ABS(F4320-ROUND(F4320,0))&lt;0.001,1,0)</f>
        <v/>
      </c>
      <c r="H4320">
        <f>IF(G4320=1,F4320,CEILING(F4320,1))</f>
        <v/>
      </c>
      <c r="I4320">
        <f>IF(G4320=1,0,(H4320-F4320)*E4320)</f>
        <v/>
      </c>
      <c r="J4320">
        <f>E4320*F4320</f>
        <v/>
      </c>
    </row>
    <row r="4321">
      <c r="A4321">
        <f>Sources!A4321</f>
        <v/>
      </c>
      <c r="B4321">
        <f>Sources!B4321</f>
        <v/>
      </c>
      <c r="C4321">
        <f>Sources!D4321</f>
        <v/>
      </c>
      <c r="D4321">
        <f>Sources!E4321</f>
        <v/>
      </c>
      <c r="E4321">
        <f>Sources!F4321</f>
        <v/>
      </c>
      <c r="F4321">
        <f>Sources!H4321</f>
        <v/>
      </c>
      <c r="G4321">
        <f>IF(ABS(F4321-ROUND(F4321,0))&lt;0.001,1,0)</f>
        <v/>
      </c>
      <c r="H4321">
        <f>IF(G4321=1,F4321,CEILING(F4321,1))</f>
        <v/>
      </c>
      <c r="I4321">
        <f>IF(G4321=1,0,(H4321-F4321)*E4321)</f>
        <v/>
      </c>
      <c r="J4321">
        <f>E4321*F4321</f>
        <v/>
      </c>
    </row>
    <row r="4322">
      <c r="A4322">
        <f>Sources!A4322</f>
        <v/>
      </c>
      <c r="B4322">
        <f>Sources!B4322</f>
        <v/>
      </c>
      <c r="C4322">
        <f>Sources!D4322</f>
        <v/>
      </c>
      <c r="D4322">
        <f>Sources!E4322</f>
        <v/>
      </c>
      <c r="E4322">
        <f>Sources!F4322</f>
        <v/>
      </c>
      <c r="F4322">
        <f>Sources!H4322</f>
        <v/>
      </c>
      <c r="G4322">
        <f>IF(ABS(F4322-ROUND(F4322,0))&lt;0.001,1,0)</f>
        <v/>
      </c>
      <c r="H4322">
        <f>IF(G4322=1,F4322,CEILING(F4322,1))</f>
        <v/>
      </c>
      <c r="I4322">
        <f>IF(G4322=1,0,(H4322-F4322)*E4322)</f>
        <v/>
      </c>
      <c r="J4322">
        <f>E4322*F4322</f>
        <v/>
      </c>
    </row>
    <row r="4323">
      <c r="A4323">
        <f>Sources!A4323</f>
        <v/>
      </c>
      <c r="B4323">
        <f>Sources!B4323</f>
        <v/>
      </c>
      <c r="C4323">
        <f>Sources!D4323</f>
        <v/>
      </c>
      <c r="D4323">
        <f>Sources!E4323</f>
        <v/>
      </c>
      <c r="E4323">
        <f>Sources!F4323</f>
        <v/>
      </c>
      <c r="F4323">
        <f>Sources!H4323</f>
        <v/>
      </c>
      <c r="G4323">
        <f>IF(ABS(F4323-ROUND(F4323,0))&lt;0.001,1,0)</f>
        <v/>
      </c>
      <c r="H4323">
        <f>IF(G4323=1,F4323,CEILING(F4323,1))</f>
        <v/>
      </c>
      <c r="I4323">
        <f>IF(G4323=1,0,(H4323-F4323)*E4323)</f>
        <v/>
      </c>
      <c r="J4323">
        <f>E4323*F4323</f>
        <v/>
      </c>
    </row>
    <row r="4324">
      <c r="A4324">
        <f>Sources!A4324</f>
        <v/>
      </c>
      <c r="B4324">
        <f>Sources!B4324</f>
        <v/>
      </c>
      <c r="C4324">
        <f>Sources!D4324</f>
        <v/>
      </c>
      <c r="D4324">
        <f>Sources!E4324</f>
        <v/>
      </c>
      <c r="E4324">
        <f>Sources!F4324</f>
        <v/>
      </c>
      <c r="F4324">
        <f>Sources!H4324</f>
        <v/>
      </c>
      <c r="G4324">
        <f>IF(ABS(F4324-ROUND(F4324,0))&lt;0.001,1,0)</f>
        <v/>
      </c>
      <c r="H4324">
        <f>IF(G4324=1,F4324,CEILING(F4324,1))</f>
        <v/>
      </c>
      <c r="I4324">
        <f>IF(G4324=1,0,(H4324-F4324)*E4324)</f>
        <v/>
      </c>
      <c r="J4324">
        <f>E4324*F4324</f>
        <v/>
      </c>
    </row>
    <row r="4325">
      <c r="A4325">
        <f>Sources!A4325</f>
        <v/>
      </c>
      <c r="B4325">
        <f>Sources!B4325</f>
        <v/>
      </c>
      <c r="C4325">
        <f>Sources!D4325</f>
        <v/>
      </c>
      <c r="D4325">
        <f>Sources!E4325</f>
        <v/>
      </c>
      <c r="E4325">
        <f>Sources!F4325</f>
        <v/>
      </c>
      <c r="F4325">
        <f>Sources!H4325</f>
        <v/>
      </c>
      <c r="G4325">
        <f>IF(ABS(F4325-ROUND(F4325,0))&lt;0.001,1,0)</f>
        <v/>
      </c>
      <c r="H4325">
        <f>IF(G4325=1,F4325,CEILING(F4325,1))</f>
        <v/>
      </c>
      <c r="I4325">
        <f>IF(G4325=1,0,(H4325-F4325)*E4325)</f>
        <v/>
      </c>
      <c r="J4325">
        <f>E4325*F4325</f>
        <v/>
      </c>
    </row>
    <row r="4326">
      <c r="A4326">
        <f>Sources!A4326</f>
        <v/>
      </c>
      <c r="B4326">
        <f>Sources!B4326</f>
        <v/>
      </c>
      <c r="C4326">
        <f>Sources!D4326</f>
        <v/>
      </c>
      <c r="D4326">
        <f>Sources!E4326</f>
        <v/>
      </c>
      <c r="E4326">
        <f>Sources!F4326</f>
        <v/>
      </c>
      <c r="F4326">
        <f>Sources!H4326</f>
        <v/>
      </c>
      <c r="G4326">
        <f>IF(ABS(F4326-ROUND(F4326,0))&lt;0.001,1,0)</f>
        <v/>
      </c>
      <c r="H4326">
        <f>IF(G4326=1,F4326,CEILING(F4326,1))</f>
        <v/>
      </c>
      <c r="I4326">
        <f>IF(G4326=1,0,(H4326-F4326)*E4326)</f>
        <v/>
      </c>
      <c r="J4326">
        <f>E4326*F4326</f>
        <v/>
      </c>
    </row>
    <row r="4327">
      <c r="A4327">
        <f>Sources!A4327</f>
        <v/>
      </c>
      <c r="B4327">
        <f>Sources!B4327</f>
        <v/>
      </c>
      <c r="C4327">
        <f>Sources!D4327</f>
        <v/>
      </c>
      <c r="D4327">
        <f>Sources!E4327</f>
        <v/>
      </c>
      <c r="E4327">
        <f>Sources!F4327</f>
        <v/>
      </c>
      <c r="F4327">
        <f>Sources!H4327</f>
        <v/>
      </c>
      <c r="G4327">
        <f>IF(ABS(F4327-ROUND(F4327,0))&lt;0.001,1,0)</f>
        <v/>
      </c>
      <c r="H4327">
        <f>IF(G4327=1,F4327,CEILING(F4327,1))</f>
        <v/>
      </c>
      <c r="I4327">
        <f>IF(G4327=1,0,(H4327-F4327)*E4327)</f>
        <v/>
      </c>
      <c r="J4327">
        <f>E4327*F4327</f>
        <v/>
      </c>
    </row>
    <row r="4328">
      <c r="A4328">
        <f>Sources!A4328</f>
        <v/>
      </c>
      <c r="B4328">
        <f>Sources!B4328</f>
        <v/>
      </c>
      <c r="C4328">
        <f>Sources!D4328</f>
        <v/>
      </c>
      <c r="D4328">
        <f>Sources!E4328</f>
        <v/>
      </c>
      <c r="E4328">
        <f>Sources!F4328</f>
        <v/>
      </c>
      <c r="F4328">
        <f>Sources!H4328</f>
        <v/>
      </c>
      <c r="G4328">
        <f>IF(ABS(F4328-ROUND(F4328,0))&lt;0.001,1,0)</f>
        <v/>
      </c>
      <c r="H4328">
        <f>IF(G4328=1,F4328,CEILING(F4328,1))</f>
        <v/>
      </c>
      <c r="I4328">
        <f>IF(G4328=1,0,(H4328-F4328)*E4328)</f>
        <v/>
      </c>
      <c r="J4328">
        <f>E4328*F4328</f>
        <v/>
      </c>
    </row>
    <row r="4329">
      <c r="A4329">
        <f>Sources!A4329</f>
        <v/>
      </c>
      <c r="B4329">
        <f>Sources!B4329</f>
        <v/>
      </c>
      <c r="C4329">
        <f>Sources!D4329</f>
        <v/>
      </c>
      <c r="D4329">
        <f>Sources!E4329</f>
        <v/>
      </c>
      <c r="E4329">
        <f>Sources!F4329</f>
        <v/>
      </c>
      <c r="F4329">
        <f>Sources!H4329</f>
        <v/>
      </c>
      <c r="G4329">
        <f>IF(ABS(F4329-ROUND(F4329,0))&lt;0.001,1,0)</f>
        <v/>
      </c>
      <c r="H4329">
        <f>IF(G4329=1,F4329,CEILING(F4329,1))</f>
        <v/>
      </c>
      <c r="I4329">
        <f>IF(G4329=1,0,(H4329-F4329)*E4329)</f>
        <v/>
      </c>
      <c r="J4329">
        <f>E4329*F4329</f>
        <v/>
      </c>
    </row>
    <row r="4330">
      <c r="A4330">
        <f>Sources!A4330</f>
        <v/>
      </c>
      <c r="B4330">
        <f>Sources!B4330</f>
        <v/>
      </c>
      <c r="C4330">
        <f>Sources!D4330</f>
        <v/>
      </c>
      <c r="D4330">
        <f>Sources!E4330</f>
        <v/>
      </c>
      <c r="E4330">
        <f>Sources!F4330</f>
        <v/>
      </c>
      <c r="F4330">
        <f>Sources!H4330</f>
        <v/>
      </c>
      <c r="G4330">
        <f>IF(ABS(F4330-ROUND(F4330,0))&lt;0.001,1,0)</f>
        <v/>
      </c>
      <c r="H4330">
        <f>IF(G4330=1,F4330,CEILING(F4330,1))</f>
        <v/>
      </c>
      <c r="I4330">
        <f>IF(G4330=1,0,(H4330-F4330)*E4330)</f>
        <v/>
      </c>
      <c r="J4330">
        <f>E4330*F4330</f>
        <v/>
      </c>
    </row>
    <row r="4331">
      <c r="A4331">
        <f>Sources!A4331</f>
        <v/>
      </c>
      <c r="B4331">
        <f>Sources!B4331</f>
        <v/>
      </c>
      <c r="C4331">
        <f>Sources!D4331</f>
        <v/>
      </c>
      <c r="D4331">
        <f>Sources!E4331</f>
        <v/>
      </c>
      <c r="E4331">
        <f>Sources!F4331</f>
        <v/>
      </c>
      <c r="F4331">
        <f>Sources!H4331</f>
        <v/>
      </c>
      <c r="G4331">
        <f>IF(ABS(F4331-ROUND(F4331,0))&lt;0.001,1,0)</f>
        <v/>
      </c>
      <c r="H4331">
        <f>IF(G4331=1,F4331,CEILING(F4331,1))</f>
        <v/>
      </c>
      <c r="I4331">
        <f>IF(G4331=1,0,(H4331-F4331)*E4331)</f>
        <v/>
      </c>
      <c r="J4331">
        <f>E4331*F4331</f>
        <v/>
      </c>
    </row>
    <row r="4332">
      <c r="A4332">
        <f>Sources!A4332</f>
        <v/>
      </c>
      <c r="B4332">
        <f>Sources!B4332</f>
        <v/>
      </c>
      <c r="C4332">
        <f>Sources!D4332</f>
        <v/>
      </c>
      <c r="D4332">
        <f>Sources!E4332</f>
        <v/>
      </c>
      <c r="E4332">
        <f>Sources!F4332</f>
        <v/>
      </c>
      <c r="F4332">
        <f>Sources!H4332</f>
        <v/>
      </c>
      <c r="G4332">
        <f>IF(ABS(F4332-ROUND(F4332,0))&lt;0.001,1,0)</f>
        <v/>
      </c>
      <c r="H4332">
        <f>IF(G4332=1,F4332,CEILING(F4332,1))</f>
        <v/>
      </c>
      <c r="I4332">
        <f>IF(G4332=1,0,(H4332-F4332)*E4332)</f>
        <v/>
      </c>
      <c r="J4332">
        <f>E4332*F4332</f>
        <v/>
      </c>
    </row>
    <row r="4333">
      <c r="A4333">
        <f>Sources!A4333</f>
        <v/>
      </c>
      <c r="B4333">
        <f>Sources!B4333</f>
        <v/>
      </c>
      <c r="C4333">
        <f>Sources!D4333</f>
        <v/>
      </c>
      <c r="D4333">
        <f>Sources!E4333</f>
        <v/>
      </c>
      <c r="E4333">
        <f>Sources!F4333</f>
        <v/>
      </c>
      <c r="F4333">
        <f>Sources!H4333</f>
        <v/>
      </c>
      <c r="G4333">
        <f>IF(ABS(F4333-ROUND(F4333,0))&lt;0.001,1,0)</f>
        <v/>
      </c>
      <c r="H4333">
        <f>IF(G4333=1,F4333,CEILING(F4333,1))</f>
        <v/>
      </c>
      <c r="I4333">
        <f>IF(G4333=1,0,(H4333-F4333)*E4333)</f>
        <v/>
      </c>
      <c r="J4333">
        <f>E4333*F4333</f>
        <v/>
      </c>
    </row>
    <row r="4334">
      <c r="A4334">
        <f>Sources!A4334</f>
        <v/>
      </c>
      <c r="B4334">
        <f>Sources!B4334</f>
        <v/>
      </c>
      <c r="C4334">
        <f>Sources!D4334</f>
        <v/>
      </c>
      <c r="D4334">
        <f>Sources!E4334</f>
        <v/>
      </c>
      <c r="E4334">
        <f>Sources!F4334</f>
        <v/>
      </c>
      <c r="F4334">
        <f>Sources!H4334</f>
        <v/>
      </c>
      <c r="G4334">
        <f>IF(ABS(F4334-ROUND(F4334,0))&lt;0.001,1,0)</f>
        <v/>
      </c>
      <c r="H4334">
        <f>IF(G4334=1,F4334,CEILING(F4334,1))</f>
        <v/>
      </c>
      <c r="I4334">
        <f>IF(G4334=1,0,(H4334-F4334)*E4334)</f>
        <v/>
      </c>
      <c r="J4334">
        <f>E4334*F4334</f>
        <v/>
      </c>
    </row>
    <row r="4335">
      <c r="A4335">
        <f>Sources!A4335</f>
        <v/>
      </c>
      <c r="B4335">
        <f>Sources!B4335</f>
        <v/>
      </c>
      <c r="C4335">
        <f>Sources!D4335</f>
        <v/>
      </c>
      <c r="D4335">
        <f>Sources!E4335</f>
        <v/>
      </c>
      <c r="E4335">
        <f>Sources!F4335</f>
        <v/>
      </c>
      <c r="F4335">
        <f>Sources!H4335</f>
        <v/>
      </c>
      <c r="G4335">
        <f>IF(ABS(F4335-ROUND(F4335,0))&lt;0.001,1,0)</f>
        <v/>
      </c>
      <c r="H4335">
        <f>IF(G4335=1,F4335,CEILING(F4335,1))</f>
        <v/>
      </c>
      <c r="I4335">
        <f>IF(G4335=1,0,(H4335-F4335)*E4335)</f>
        <v/>
      </c>
      <c r="J4335">
        <f>E4335*F4335</f>
        <v/>
      </c>
    </row>
    <row r="4336">
      <c r="A4336">
        <f>Sources!A4336</f>
        <v/>
      </c>
      <c r="B4336">
        <f>Sources!B4336</f>
        <v/>
      </c>
      <c r="C4336">
        <f>Sources!D4336</f>
        <v/>
      </c>
      <c r="D4336">
        <f>Sources!E4336</f>
        <v/>
      </c>
      <c r="E4336">
        <f>Sources!F4336</f>
        <v/>
      </c>
      <c r="F4336">
        <f>Sources!H4336</f>
        <v/>
      </c>
      <c r="G4336">
        <f>IF(ABS(F4336-ROUND(F4336,0))&lt;0.001,1,0)</f>
        <v/>
      </c>
      <c r="H4336">
        <f>IF(G4336=1,F4336,CEILING(F4336,1))</f>
        <v/>
      </c>
      <c r="I4336">
        <f>IF(G4336=1,0,(H4336-F4336)*E4336)</f>
        <v/>
      </c>
      <c r="J4336">
        <f>E4336*F4336</f>
        <v/>
      </c>
    </row>
    <row r="4337">
      <c r="A4337">
        <f>Sources!A4337</f>
        <v/>
      </c>
      <c r="B4337">
        <f>Sources!B4337</f>
        <v/>
      </c>
      <c r="C4337">
        <f>Sources!D4337</f>
        <v/>
      </c>
      <c r="D4337">
        <f>Sources!E4337</f>
        <v/>
      </c>
      <c r="E4337">
        <f>Sources!F4337</f>
        <v/>
      </c>
      <c r="F4337">
        <f>Sources!H4337</f>
        <v/>
      </c>
      <c r="G4337">
        <f>IF(ABS(F4337-ROUND(F4337,0))&lt;0.001,1,0)</f>
        <v/>
      </c>
      <c r="H4337">
        <f>IF(G4337=1,F4337,CEILING(F4337,1))</f>
        <v/>
      </c>
      <c r="I4337">
        <f>IF(G4337=1,0,(H4337-F4337)*E4337)</f>
        <v/>
      </c>
      <c r="J4337">
        <f>E4337*F4337</f>
        <v/>
      </c>
    </row>
    <row r="4338">
      <c r="A4338">
        <f>Sources!A4338</f>
        <v/>
      </c>
      <c r="B4338">
        <f>Sources!B4338</f>
        <v/>
      </c>
      <c r="C4338">
        <f>Sources!D4338</f>
        <v/>
      </c>
      <c r="D4338">
        <f>Sources!E4338</f>
        <v/>
      </c>
      <c r="E4338">
        <f>Sources!F4338</f>
        <v/>
      </c>
      <c r="F4338">
        <f>Sources!H4338</f>
        <v/>
      </c>
      <c r="G4338">
        <f>IF(ABS(F4338-ROUND(F4338,0))&lt;0.001,1,0)</f>
        <v/>
      </c>
      <c r="H4338">
        <f>IF(G4338=1,F4338,CEILING(F4338,1))</f>
        <v/>
      </c>
      <c r="I4338">
        <f>IF(G4338=1,0,(H4338-F4338)*E4338)</f>
        <v/>
      </c>
      <c r="J4338">
        <f>E4338*F4338</f>
        <v/>
      </c>
    </row>
    <row r="4339">
      <c r="A4339">
        <f>Sources!A4339</f>
        <v/>
      </c>
      <c r="B4339">
        <f>Sources!B4339</f>
        <v/>
      </c>
      <c r="C4339">
        <f>Sources!D4339</f>
        <v/>
      </c>
      <c r="D4339">
        <f>Sources!E4339</f>
        <v/>
      </c>
      <c r="E4339">
        <f>Sources!F4339</f>
        <v/>
      </c>
      <c r="F4339">
        <f>Sources!H4339</f>
        <v/>
      </c>
      <c r="G4339">
        <f>IF(ABS(F4339-ROUND(F4339,0))&lt;0.001,1,0)</f>
        <v/>
      </c>
      <c r="H4339">
        <f>IF(G4339=1,F4339,CEILING(F4339,1))</f>
        <v/>
      </c>
      <c r="I4339">
        <f>IF(G4339=1,0,(H4339-F4339)*E4339)</f>
        <v/>
      </c>
      <c r="J4339">
        <f>E4339*F4339</f>
        <v/>
      </c>
    </row>
    <row r="4340">
      <c r="A4340">
        <f>Sources!A4340</f>
        <v/>
      </c>
      <c r="B4340">
        <f>Sources!B4340</f>
        <v/>
      </c>
      <c r="C4340">
        <f>Sources!D4340</f>
        <v/>
      </c>
      <c r="D4340">
        <f>Sources!E4340</f>
        <v/>
      </c>
      <c r="E4340">
        <f>Sources!F4340</f>
        <v/>
      </c>
      <c r="F4340">
        <f>Sources!H4340</f>
        <v/>
      </c>
      <c r="G4340">
        <f>IF(ABS(F4340-ROUND(F4340,0))&lt;0.001,1,0)</f>
        <v/>
      </c>
      <c r="H4340">
        <f>IF(G4340=1,F4340,CEILING(F4340,1))</f>
        <v/>
      </c>
      <c r="I4340">
        <f>IF(G4340=1,0,(H4340-F4340)*E4340)</f>
        <v/>
      </c>
      <c r="J4340">
        <f>E4340*F4340</f>
        <v/>
      </c>
    </row>
    <row r="4341">
      <c r="A4341">
        <f>Sources!A4341</f>
        <v/>
      </c>
      <c r="B4341">
        <f>Sources!B4341</f>
        <v/>
      </c>
      <c r="C4341">
        <f>Sources!D4341</f>
        <v/>
      </c>
      <c r="D4341">
        <f>Sources!E4341</f>
        <v/>
      </c>
      <c r="E4341">
        <f>Sources!F4341</f>
        <v/>
      </c>
      <c r="F4341">
        <f>Sources!H4341</f>
        <v/>
      </c>
      <c r="G4341">
        <f>IF(ABS(F4341-ROUND(F4341,0))&lt;0.001,1,0)</f>
        <v/>
      </c>
      <c r="H4341">
        <f>IF(G4341=1,F4341,CEILING(F4341,1))</f>
        <v/>
      </c>
      <c r="I4341">
        <f>IF(G4341=1,0,(H4341-F4341)*E4341)</f>
        <v/>
      </c>
      <c r="J4341">
        <f>E4341*F4341</f>
        <v/>
      </c>
    </row>
    <row r="4342">
      <c r="A4342">
        <f>Sources!A4342</f>
        <v/>
      </c>
      <c r="B4342">
        <f>Sources!B4342</f>
        <v/>
      </c>
      <c r="C4342">
        <f>Sources!D4342</f>
        <v/>
      </c>
      <c r="D4342">
        <f>Sources!E4342</f>
        <v/>
      </c>
      <c r="E4342">
        <f>Sources!F4342</f>
        <v/>
      </c>
      <c r="F4342">
        <f>Sources!H4342</f>
        <v/>
      </c>
      <c r="G4342">
        <f>IF(ABS(F4342-ROUND(F4342,0))&lt;0.001,1,0)</f>
        <v/>
      </c>
      <c r="H4342">
        <f>IF(G4342=1,F4342,CEILING(F4342,1))</f>
        <v/>
      </c>
      <c r="I4342">
        <f>IF(G4342=1,0,(H4342-F4342)*E4342)</f>
        <v/>
      </c>
      <c r="J4342">
        <f>E4342*F4342</f>
        <v/>
      </c>
    </row>
    <row r="4343">
      <c r="A4343">
        <f>Sources!A4343</f>
        <v/>
      </c>
      <c r="B4343">
        <f>Sources!B4343</f>
        <v/>
      </c>
      <c r="C4343">
        <f>Sources!D4343</f>
        <v/>
      </c>
      <c r="D4343">
        <f>Sources!E4343</f>
        <v/>
      </c>
      <c r="E4343">
        <f>Sources!F4343</f>
        <v/>
      </c>
      <c r="F4343">
        <f>Sources!H4343</f>
        <v/>
      </c>
      <c r="G4343">
        <f>IF(ABS(F4343-ROUND(F4343,0))&lt;0.001,1,0)</f>
        <v/>
      </c>
      <c r="H4343">
        <f>IF(G4343=1,F4343,CEILING(F4343,1))</f>
        <v/>
      </c>
      <c r="I4343">
        <f>IF(G4343=1,0,(H4343-F4343)*E4343)</f>
        <v/>
      </c>
      <c r="J4343">
        <f>E4343*F4343</f>
        <v/>
      </c>
    </row>
    <row r="4344">
      <c r="A4344">
        <f>Sources!A4344</f>
        <v/>
      </c>
      <c r="B4344">
        <f>Sources!B4344</f>
        <v/>
      </c>
      <c r="C4344">
        <f>Sources!D4344</f>
        <v/>
      </c>
      <c r="D4344">
        <f>Sources!E4344</f>
        <v/>
      </c>
      <c r="E4344">
        <f>Sources!F4344</f>
        <v/>
      </c>
      <c r="F4344">
        <f>Sources!H4344</f>
        <v/>
      </c>
      <c r="G4344">
        <f>IF(ABS(F4344-ROUND(F4344,0))&lt;0.001,1,0)</f>
        <v/>
      </c>
      <c r="H4344">
        <f>IF(G4344=1,F4344,CEILING(F4344,1))</f>
        <v/>
      </c>
      <c r="I4344">
        <f>IF(G4344=1,0,(H4344-F4344)*E4344)</f>
        <v/>
      </c>
      <c r="J4344">
        <f>E4344*F4344</f>
        <v/>
      </c>
    </row>
    <row r="4345">
      <c r="A4345">
        <f>Sources!A4345</f>
        <v/>
      </c>
      <c r="B4345">
        <f>Sources!B4345</f>
        <v/>
      </c>
      <c r="C4345">
        <f>Sources!D4345</f>
        <v/>
      </c>
      <c r="D4345">
        <f>Sources!E4345</f>
        <v/>
      </c>
      <c r="E4345">
        <f>Sources!F4345</f>
        <v/>
      </c>
      <c r="F4345">
        <f>Sources!H4345</f>
        <v/>
      </c>
      <c r="G4345">
        <f>IF(ABS(F4345-ROUND(F4345,0))&lt;0.001,1,0)</f>
        <v/>
      </c>
      <c r="H4345">
        <f>IF(G4345=1,F4345,CEILING(F4345,1))</f>
        <v/>
      </c>
      <c r="I4345">
        <f>IF(G4345=1,0,(H4345-F4345)*E4345)</f>
        <v/>
      </c>
      <c r="J4345">
        <f>E4345*F4345</f>
        <v/>
      </c>
    </row>
    <row r="4346">
      <c r="A4346">
        <f>Sources!A4346</f>
        <v/>
      </c>
      <c r="B4346">
        <f>Sources!B4346</f>
        <v/>
      </c>
      <c r="C4346">
        <f>Sources!D4346</f>
        <v/>
      </c>
      <c r="D4346">
        <f>Sources!E4346</f>
        <v/>
      </c>
      <c r="E4346">
        <f>Sources!F4346</f>
        <v/>
      </c>
      <c r="F4346">
        <f>Sources!H4346</f>
        <v/>
      </c>
      <c r="G4346">
        <f>IF(ABS(F4346-ROUND(F4346,0))&lt;0.001,1,0)</f>
        <v/>
      </c>
      <c r="H4346">
        <f>IF(G4346=1,F4346,CEILING(F4346,1))</f>
        <v/>
      </c>
      <c r="I4346">
        <f>IF(G4346=1,0,(H4346-F4346)*E4346)</f>
        <v/>
      </c>
      <c r="J4346">
        <f>E4346*F4346</f>
        <v/>
      </c>
    </row>
    <row r="4347">
      <c r="A4347">
        <f>Sources!A4347</f>
        <v/>
      </c>
      <c r="B4347">
        <f>Sources!B4347</f>
        <v/>
      </c>
      <c r="C4347">
        <f>Sources!D4347</f>
        <v/>
      </c>
      <c r="D4347">
        <f>Sources!E4347</f>
        <v/>
      </c>
      <c r="E4347">
        <f>Sources!F4347</f>
        <v/>
      </c>
      <c r="F4347">
        <f>Sources!H4347</f>
        <v/>
      </c>
      <c r="G4347">
        <f>IF(ABS(F4347-ROUND(F4347,0))&lt;0.001,1,0)</f>
        <v/>
      </c>
      <c r="H4347">
        <f>IF(G4347=1,F4347,CEILING(F4347,1))</f>
        <v/>
      </c>
      <c r="I4347">
        <f>IF(G4347=1,0,(H4347-F4347)*E4347)</f>
        <v/>
      </c>
      <c r="J4347">
        <f>E4347*F4347</f>
        <v/>
      </c>
    </row>
    <row r="4348">
      <c r="A4348">
        <f>Sources!A4348</f>
        <v/>
      </c>
      <c r="B4348">
        <f>Sources!B4348</f>
        <v/>
      </c>
      <c r="C4348">
        <f>Sources!D4348</f>
        <v/>
      </c>
      <c r="D4348">
        <f>Sources!E4348</f>
        <v/>
      </c>
      <c r="E4348">
        <f>Sources!F4348</f>
        <v/>
      </c>
      <c r="F4348">
        <f>Sources!H4348</f>
        <v/>
      </c>
      <c r="G4348">
        <f>IF(ABS(F4348-ROUND(F4348,0))&lt;0.001,1,0)</f>
        <v/>
      </c>
      <c r="H4348">
        <f>IF(G4348=1,F4348,CEILING(F4348,1))</f>
        <v/>
      </c>
      <c r="I4348">
        <f>IF(G4348=1,0,(H4348-F4348)*E4348)</f>
        <v/>
      </c>
      <c r="J4348">
        <f>E4348*F4348</f>
        <v/>
      </c>
    </row>
    <row r="4349">
      <c r="A4349">
        <f>Sources!A4349</f>
        <v/>
      </c>
      <c r="B4349">
        <f>Sources!B4349</f>
        <v/>
      </c>
      <c r="C4349">
        <f>Sources!D4349</f>
        <v/>
      </c>
      <c r="D4349">
        <f>Sources!E4349</f>
        <v/>
      </c>
      <c r="E4349">
        <f>Sources!F4349</f>
        <v/>
      </c>
      <c r="F4349">
        <f>Sources!H4349</f>
        <v/>
      </c>
      <c r="G4349">
        <f>IF(ABS(F4349-ROUND(F4349,0))&lt;0.001,1,0)</f>
        <v/>
      </c>
      <c r="H4349">
        <f>IF(G4349=1,F4349,CEILING(F4349,1))</f>
        <v/>
      </c>
      <c r="I4349">
        <f>IF(G4349=1,0,(H4349-F4349)*E4349)</f>
        <v/>
      </c>
      <c r="J4349">
        <f>E4349*F4349</f>
        <v/>
      </c>
    </row>
    <row r="4350">
      <c r="A4350">
        <f>Sources!A4350</f>
        <v/>
      </c>
      <c r="B4350">
        <f>Sources!B4350</f>
        <v/>
      </c>
      <c r="C4350">
        <f>Sources!D4350</f>
        <v/>
      </c>
      <c r="D4350">
        <f>Sources!E4350</f>
        <v/>
      </c>
      <c r="E4350">
        <f>Sources!F4350</f>
        <v/>
      </c>
      <c r="F4350">
        <f>Sources!H4350</f>
        <v/>
      </c>
      <c r="G4350">
        <f>IF(ABS(F4350-ROUND(F4350,0))&lt;0.001,1,0)</f>
        <v/>
      </c>
      <c r="H4350">
        <f>IF(G4350=1,F4350,CEILING(F4350,1))</f>
        <v/>
      </c>
      <c r="I4350">
        <f>IF(G4350=1,0,(H4350-F4350)*E4350)</f>
        <v/>
      </c>
      <c r="J4350">
        <f>E4350*F4350</f>
        <v/>
      </c>
    </row>
    <row r="4351">
      <c r="A4351">
        <f>Sources!A4351</f>
        <v/>
      </c>
      <c r="B4351">
        <f>Sources!B4351</f>
        <v/>
      </c>
      <c r="C4351">
        <f>Sources!D4351</f>
        <v/>
      </c>
      <c r="D4351">
        <f>Sources!E4351</f>
        <v/>
      </c>
      <c r="E4351">
        <f>Sources!F4351</f>
        <v/>
      </c>
      <c r="F4351">
        <f>Sources!H4351</f>
        <v/>
      </c>
      <c r="G4351">
        <f>IF(ABS(F4351-ROUND(F4351,0))&lt;0.001,1,0)</f>
        <v/>
      </c>
      <c r="H4351">
        <f>IF(G4351=1,F4351,CEILING(F4351,1))</f>
        <v/>
      </c>
      <c r="I4351">
        <f>IF(G4351=1,0,(H4351-F4351)*E4351)</f>
        <v/>
      </c>
      <c r="J4351">
        <f>E4351*F4351</f>
        <v/>
      </c>
    </row>
    <row r="4352">
      <c r="A4352">
        <f>Sources!A4352</f>
        <v/>
      </c>
      <c r="B4352">
        <f>Sources!B4352</f>
        <v/>
      </c>
      <c r="C4352">
        <f>Sources!D4352</f>
        <v/>
      </c>
      <c r="D4352">
        <f>Sources!E4352</f>
        <v/>
      </c>
      <c r="E4352">
        <f>Sources!F4352</f>
        <v/>
      </c>
      <c r="F4352">
        <f>Sources!H4352</f>
        <v/>
      </c>
      <c r="G4352">
        <f>IF(ABS(F4352-ROUND(F4352,0))&lt;0.001,1,0)</f>
        <v/>
      </c>
      <c r="H4352">
        <f>IF(G4352=1,F4352,CEILING(F4352,1))</f>
        <v/>
      </c>
      <c r="I4352">
        <f>IF(G4352=1,0,(H4352-F4352)*E4352)</f>
        <v/>
      </c>
      <c r="J4352">
        <f>E4352*F4352</f>
        <v/>
      </c>
    </row>
    <row r="4353">
      <c r="A4353">
        <f>Sources!A4353</f>
        <v/>
      </c>
      <c r="B4353">
        <f>Sources!B4353</f>
        <v/>
      </c>
      <c r="C4353">
        <f>Sources!D4353</f>
        <v/>
      </c>
      <c r="D4353">
        <f>Sources!E4353</f>
        <v/>
      </c>
      <c r="E4353">
        <f>Sources!F4353</f>
        <v/>
      </c>
      <c r="F4353">
        <f>Sources!H4353</f>
        <v/>
      </c>
      <c r="G4353">
        <f>IF(ABS(F4353-ROUND(F4353,0))&lt;0.001,1,0)</f>
        <v/>
      </c>
      <c r="H4353">
        <f>IF(G4353=1,F4353,CEILING(F4353,1))</f>
        <v/>
      </c>
      <c r="I4353">
        <f>IF(G4353=1,0,(H4353-F4353)*E4353)</f>
        <v/>
      </c>
      <c r="J4353">
        <f>E4353*F4353</f>
        <v/>
      </c>
    </row>
    <row r="4354">
      <c r="A4354">
        <f>Sources!A4354</f>
        <v/>
      </c>
      <c r="B4354">
        <f>Sources!B4354</f>
        <v/>
      </c>
      <c r="C4354">
        <f>Sources!D4354</f>
        <v/>
      </c>
      <c r="D4354">
        <f>Sources!E4354</f>
        <v/>
      </c>
      <c r="E4354">
        <f>Sources!F4354</f>
        <v/>
      </c>
      <c r="F4354">
        <f>Sources!H4354</f>
        <v/>
      </c>
      <c r="G4354">
        <f>IF(ABS(F4354-ROUND(F4354,0))&lt;0.001,1,0)</f>
        <v/>
      </c>
      <c r="H4354">
        <f>IF(G4354=1,F4354,CEILING(F4354,1))</f>
        <v/>
      </c>
      <c r="I4354">
        <f>IF(G4354=1,0,(H4354-F4354)*E4354)</f>
        <v/>
      </c>
      <c r="J4354">
        <f>E4354*F4354</f>
        <v/>
      </c>
    </row>
    <row r="4355">
      <c r="A4355">
        <f>Sources!A4355</f>
        <v/>
      </c>
      <c r="B4355">
        <f>Sources!B4355</f>
        <v/>
      </c>
      <c r="C4355">
        <f>Sources!D4355</f>
        <v/>
      </c>
      <c r="D4355">
        <f>Sources!E4355</f>
        <v/>
      </c>
      <c r="E4355">
        <f>Sources!F4355</f>
        <v/>
      </c>
      <c r="F4355">
        <f>Sources!H4355</f>
        <v/>
      </c>
      <c r="G4355">
        <f>IF(ABS(F4355-ROUND(F4355,0))&lt;0.001,1,0)</f>
        <v/>
      </c>
      <c r="H4355">
        <f>IF(G4355=1,F4355,CEILING(F4355,1))</f>
        <v/>
      </c>
      <c r="I4355">
        <f>IF(G4355=1,0,(H4355-F4355)*E4355)</f>
        <v/>
      </c>
      <c r="J4355">
        <f>E4355*F4355</f>
        <v/>
      </c>
    </row>
    <row r="4356">
      <c r="A4356">
        <f>Sources!A4356</f>
        <v/>
      </c>
      <c r="B4356">
        <f>Sources!B4356</f>
        <v/>
      </c>
      <c r="C4356">
        <f>Sources!D4356</f>
        <v/>
      </c>
      <c r="D4356">
        <f>Sources!E4356</f>
        <v/>
      </c>
      <c r="E4356">
        <f>Sources!F4356</f>
        <v/>
      </c>
      <c r="F4356">
        <f>Sources!H4356</f>
        <v/>
      </c>
      <c r="G4356">
        <f>IF(ABS(F4356-ROUND(F4356,0))&lt;0.001,1,0)</f>
        <v/>
      </c>
      <c r="H4356">
        <f>IF(G4356=1,F4356,CEILING(F4356,1))</f>
        <v/>
      </c>
      <c r="I4356">
        <f>IF(G4356=1,0,(H4356-F4356)*E4356)</f>
        <v/>
      </c>
      <c r="J4356">
        <f>E4356*F4356</f>
        <v/>
      </c>
    </row>
    <row r="4357">
      <c r="A4357">
        <f>Sources!A4357</f>
        <v/>
      </c>
      <c r="B4357">
        <f>Sources!B4357</f>
        <v/>
      </c>
      <c r="C4357">
        <f>Sources!D4357</f>
        <v/>
      </c>
      <c r="D4357">
        <f>Sources!E4357</f>
        <v/>
      </c>
      <c r="E4357">
        <f>Sources!F4357</f>
        <v/>
      </c>
      <c r="F4357">
        <f>Sources!H4357</f>
        <v/>
      </c>
      <c r="G4357">
        <f>IF(ABS(F4357-ROUND(F4357,0))&lt;0.001,1,0)</f>
        <v/>
      </c>
      <c r="H4357">
        <f>IF(G4357=1,F4357,CEILING(F4357,1))</f>
        <v/>
      </c>
      <c r="I4357">
        <f>IF(G4357=1,0,(H4357-F4357)*E4357)</f>
        <v/>
      </c>
      <c r="J4357">
        <f>E4357*F4357</f>
        <v/>
      </c>
    </row>
    <row r="4358">
      <c r="A4358">
        <f>Sources!A4358</f>
        <v/>
      </c>
      <c r="B4358">
        <f>Sources!B4358</f>
        <v/>
      </c>
      <c r="C4358">
        <f>Sources!D4358</f>
        <v/>
      </c>
      <c r="D4358">
        <f>Sources!E4358</f>
        <v/>
      </c>
      <c r="E4358">
        <f>Sources!F4358</f>
        <v/>
      </c>
      <c r="F4358">
        <f>Sources!H4358</f>
        <v/>
      </c>
      <c r="G4358">
        <f>IF(ABS(F4358-ROUND(F4358,0))&lt;0.001,1,0)</f>
        <v/>
      </c>
      <c r="H4358">
        <f>IF(G4358=1,F4358,CEILING(F4358,1))</f>
        <v/>
      </c>
      <c r="I4358">
        <f>IF(G4358=1,0,(H4358-F4358)*E4358)</f>
        <v/>
      </c>
      <c r="J4358">
        <f>E4358*F4358</f>
        <v/>
      </c>
    </row>
    <row r="4359">
      <c r="A4359">
        <f>Sources!A4359</f>
        <v/>
      </c>
      <c r="B4359">
        <f>Sources!B4359</f>
        <v/>
      </c>
      <c r="C4359">
        <f>Sources!D4359</f>
        <v/>
      </c>
      <c r="D4359">
        <f>Sources!E4359</f>
        <v/>
      </c>
      <c r="E4359">
        <f>Sources!F4359</f>
        <v/>
      </c>
      <c r="F4359">
        <f>Sources!H4359</f>
        <v/>
      </c>
      <c r="G4359">
        <f>IF(ABS(F4359-ROUND(F4359,0))&lt;0.001,1,0)</f>
        <v/>
      </c>
      <c r="H4359">
        <f>IF(G4359=1,F4359,CEILING(F4359,1))</f>
        <v/>
      </c>
      <c r="I4359">
        <f>IF(G4359=1,0,(H4359-F4359)*E4359)</f>
        <v/>
      </c>
      <c r="J4359">
        <f>E4359*F4359</f>
        <v/>
      </c>
    </row>
    <row r="4360">
      <c r="A4360">
        <f>Sources!A4360</f>
        <v/>
      </c>
      <c r="B4360">
        <f>Sources!B4360</f>
        <v/>
      </c>
      <c r="C4360">
        <f>Sources!D4360</f>
        <v/>
      </c>
      <c r="D4360">
        <f>Sources!E4360</f>
        <v/>
      </c>
      <c r="E4360">
        <f>Sources!F4360</f>
        <v/>
      </c>
      <c r="F4360">
        <f>Sources!H4360</f>
        <v/>
      </c>
      <c r="G4360">
        <f>IF(ABS(F4360-ROUND(F4360,0))&lt;0.001,1,0)</f>
        <v/>
      </c>
      <c r="H4360">
        <f>IF(G4360=1,F4360,CEILING(F4360,1))</f>
        <v/>
      </c>
      <c r="I4360">
        <f>IF(G4360=1,0,(H4360-F4360)*E4360)</f>
        <v/>
      </c>
      <c r="J4360">
        <f>E4360*F4360</f>
        <v/>
      </c>
    </row>
    <row r="4361">
      <c r="A4361">
        <f>Sources!A4361</f>
        <v/>
      </c>
      <c r="B4361">
        <f>Sources!B4361</f>
        <v/>
      </c>
      <c r="C4361">
        <f>Sources!D4361</f>
        <v/>
      </c>
      <c r="D4361">
        <f>Sources!E4361</f>
        <v/>
      </c>
      <c r="E4361">
        <f>Sources!F4361</f>
        <v/>
      </c>
      <c r="F4361">
        <f>Sources!H4361</f>
        <v/>
      </c>
      <c r="G4361">
        <f>IF(ABS(F4361-ROUND(F4361,0))&lt;0.001,1,0)</f>
        <v/>
      </c>
      <c r="H4361">
        <f>IF(G4361=1,F4361,CEILING(F4361,1))</f>
        <v/>
      </c>
      <c r="I4361">
        <f>IF(G4361=1,0,(H4361-F4361)*E4361)</f>
        <v/>
      </c>
      <c r="J4361">
        <f>E4361*F4361</f>
        <v/>
      </c>
    </row>
    <row r="4362">
      <c r="A4362">
        <f>Sources!A4362</f>
        <v/>
      </c>
      <c r="B4362">
        <f>Sources!B4362</f>
        <v/>
      </c>
      <c r="C4362">
        <f>Sources!D4362</f>
        <v/>
      </c>
      <c r="D4362">
        <f>Sources!E4362</f>
        <v/>
      </c>
      <c r="E4362">
        <f>Sources!F4362</f>
        <v/>
      </c>
      <c r="F4362">
        <f>Sources!H4362</f>
        <v/>
      </c>
      <c r="G4362">
        <f>IF(ABS(F4362-ROUND(F4362,0))&lt;0.001,1,0)</f>
        <v/>
      </c>
      <c r="H4362">
        <f>IF(G4362=1,F4362,CEILING(F4362,1))</f>
        <v/>
      </c>
      <c r="I4362">
        <f>IF(G4362=1,0,(H4362-F4362)*E4362)</f>
        <v/>
      </c>
      <c r="J4362">
        <f>E4362*F4362</f>
        <v/>
      </c>
    </row>
    <row r="4363">
      <c r="A4363">
        <f>Sources!A4363</f>
        <v/>
      </c>
      <c r="B4363">
        <f>Sources!B4363</f>
        <v/>
      </c>
      <c r="C4363">
        <f>Sources!D4363</f>
        <v/>
      </c>
      <c r="D4363">
        <f>Sources!E4363</f>
        <v/>
      </c>
      <c r="E4363">
        <f>Sources!F4363</f>
        <v/>
      </c>
      <c r="F4363">
        <f>Sources!H4363</f>
        <v/>
      </c>
      <c r="G4363">
        <f>IF(ABS(F4363-ROUND(F4363,0))&lt;0.001,1,0)</f>
        <v/>
      </c>
      <c r="H4363">
        <f>IF(G4363=1,F4363,CEILING(F4363,1))</f>
        <v/>
      </c>
      <c r="I4363">
        <f>IF(G4363=1,0,(H4363-F4363)*E4363)</f>
        <v/>
      </c>
      <c r="J4363">
        <f>E4363*F4363</f>
        <v/>
      </c>
    </row>
    <row r="4364">
      <c r="A4364">
        <f>Sources!A4364</f>
        <v/>
      </c>
      <c r="B4364">
        <f>Sources!B4364</f>
        <v/>
      </c>
      <c r="C4364">
        <f>Sources!D4364</f>
        <v/>
      </c>
      <c r="D4364">
        <f>Sources!E4364</f>
        <v/>
      </c>
      <c r="E4364">
        <f>Sources!F4364</f>
        <v/>
      </c>
      <c r="F4364">
        <f>Sources!H4364</f>
        <v/>
      </c>
      <c r="G4364">
        <f>IF(ABS(F4364-ROUND(F4364,0))&lt;0.001,1,0)</f>
        <v/>
      </c>
      <c r="H4364">
        <f>IF(G4364=1,F4364,CEILING(F4364,1))</f>
        <v/>
      </c>
      <c r="I4364">
        <f>IF(G4364=1,0,(H4364-F4364)*E4364)</f>
        <v/>
      </c>
      <c r="J4364">
        <f>E4364*F4364</f>
        <v/>
      </c>
    </row>
    <row r="4365">
      <c r="A4365">
        <f>Sources!A4365</f>
        <v/>
      </c>
      <c r="B4365">
        <f>Sources!B4365</f>
        <v/>
      </c>
      <c r="C4365">
        <f>Sources!D4365</f>
        <v/>
      </c>
      <c r="D4365">
        <f>Sources!E4365</f>
        <v/>
      </c>
      <c r="E4365">
        <f>Sources!F4365</f>
        <v/>
      </c>
      <c r="F4365">
        <f>Sources!H4365</f>
        <v/>
      </c>
      <c r="G4365">
        <f>IF(ABS(F4365-ROUND(F4365,0))&lt;0.001,1,0)</f>
        <v/>
      </c>
      <c r="H4365">
        <f>IF(G4365=1,F4365,CEILING(F4365,1))</f>
        <v/>
      </c>
      <c r="I4365">
        <f>IF(G4365=1,0,(H4365-F4365)*E4365)</f>
        <v/>
      </c>
      <c r="J4365">
        <f>E4365*F4365</f>
        <v/>
      </c>
    </row>
    <row r="4366">
      <c r="A4366">
        <f>Sources!A4366</f>
        <v/>
      </c>
      <c r="B4366">
        <f>Sources!B4366</f>
        <v/>
      </c>
      <c r="C4366">
        <f>Sources!D4366</f>
        <v/>
      </c>
      <c r="D4366">
        <f>Sources!E4366</f>
        <v/>
      </c>
      <c r="E4366">
        <f>Sources!F4366</f>
        <v/>
      </c>
      <c r="F4366">
        <f>Sources!H4366</f>
        <v/>
      </c>
      <c r="G4366">
        <f>IF(ABS(F4366-ROUND(F4366,0))&lt;0.001,1,0)</f>
        <v/>
      </c>
      <c r="H4366">
        <f>IF(G4366=1,F4366,CEILING(F4366,1))</f>
        <v/>
      </c>
      <c r="I4366">
        <f>IF(G4366=1,0,(H4366-F4366)*E4366)</f>
        <v/>
      </c>
      <c r="J4366">
        <f>E4366*F4366</f>
        <v/>
      </c>
    </row>
    <row r="4367">
      <c r="A4367">
        <f>Sources!A4367</f>
        <v/>
      </c>
      <c r="B4367">
        <f>Sources!B4367</f>
        <v/>
      </c>
      <c r="C4367">
        <f>Sources!D4367</f>
        <v/>
      </c>
      <c r="D4367">
        <f>Sources!E4367</f>
        <v/>
      </c>
      <c r="E4367">
        <f>Sources!F4367</f>
        <v/>
      </c>
      <c r="F4367">
        <f>Sources!H4367</f>
        <v/>
      </c>
      <c r="G4367">
        <f>IF(ABS(F4367-ROUND(F4367,0))&lt;0.001,1,0)</f>
        <v/>
      </c>
      <c r="H4367">
        <f>IF(G4367=1,F4367,CEILING(F4367,1))</f>
        <v/>
      </c>
      <c r="I4367">
        <f>IF(G4367=1,0,(H4367-F4367)*E4367)</f>
        <v/>
      </c>
      <c r="J4367">
        <f>E4367*F4367</f>
        <v/>
      </c>
    </row>
    <row r="4368">
      <c r="A4368">
        <f>Sources!A4368</f>
        <v/>
      </c>
      <c r="B4368">
        <f>Sources!B4368</f>
        <v/>
      </c>
      <c r="C4368">
        <f>Sources!D4368</f>
        <v/>
      </c>
      <c r="D4368">
        <f>Sources!E4368</f>
        <v/>
      </c>
      <c r="E4368">
        <f>Sources!F4368</f>
        <v/>
      </c>
      <c r="F4368">
        <f>Sources!H4368</f>
        <v/>
      </c>
      <c r="G4368">
        <f>IF(ABS(F4368-ROUND(F4368,0))&lt;0.001,1,0)</f>
        <v/>
      </c>
      <c r="H4368">
        <f>IF(G4368=1,F4368,CEILING(F4368,1))</f>
        <v/>
      </c>
      <c r="I4368">
        <f>IF(G4368=1,0,(H4368-F4368)*E4368)</f>
        <v/>
      </c>
      <c r="J4368">
        <f>E4368*F4368</f>
        <v/>
      </c>
    </row>
    <row r="4369">
      <c r="A4369">
        <f>Sources!A4369</f>
        <v/>
      </c>
      <c r="B4369">
        <f>Sources!B4369</f>
        <v/>
      </c>
      <c r="C4369">
        <f>Sources!D4369</f>
        <v/>
      </c>
      <c r="D4369">
        <f>Sources!E4369</f>
        <v/>
      </c>
      <c r="E4369">
        <f>Sources!F4369</f>
        <v/>
      </c>
      <c r="F4369">
        <f>Sources!H4369</f>
        <v/>
      </c>
      <c r="G4369">
        <f>IF(ABS(F4369-ROUND(F4369,0))&lt;0.001,1,0)</f>
        <v/>
      </c>
      <c r="H4369">
        <f>IF(G4369=1,F4369,CEILING(F4369,1))</f>
        <v/>
      </c>
      <c r="I4369">
        <f>IF(G4369=1,0,(H4369-F4369)*E4369)</f>
        <v/>
      </c>
      <c r="J4369">
        <f>E4369*F4369</f>
        <v/>
      </c>
    </row>
    <row r="4370">
      <c r="A4370">
        <f>Sources!A4370</f>
        <v/>
      </c>
      <c r="B4370">
        <f>Sources!B4370</f>
        <v/>
      </c>
      <c r="C4370">
        <f>Sources!D4370</f>
        <v/>
      </c>
      <c r="D4370">
        <f>Sources!E4370</f>
        <v/>
      </c>
      <c r="E4370">
        <f>Sources!F4370</f>
        <v/>
      </c>
      <c r="F4370">
        <f>Sources!H4370</f>
        <v/>
      </c>
      <c r="G4370">
        <f>IF(ABS(F4370-ROUND(F4370,0))&lt;0.001,1,0)</f>
        <v/>
      </c>
      <c r="H4370">
        <f>IF(G4370=1,F4370,CEILING(F4370,1))</f>
        <v/>
      </c>
      <c r="I4370">
        <f>IF(G4370=1,0,(H4370-F4370)*E4370)</f>
        <v/>
      </c>
      <c r="J4370">
        <f>E4370*F4370</f>
        <v/>
      </c>
    </row>
    <row r="4371">
      <c r="A4371">
        <f>Sources!A4371</f>
        <v/>
      </c>
      <c r="B4371">
        <f>Sources!B4371</f>
        <v/>
      </c>
      <c r="C4371">
        <f>Sources!D4371</f>
        <v/>
      </c>
      <c r="D4371">
        <f>Sources!E4371</f>
        <v/>
      </c>
      <c r="E4371">
        <f>Sources!F4371</f>
        <v/>
      </c>
      <c r="F4371">
        <f>Sources!H4371</f>
        <v/>
      </c>
      <c r="G4371">
        <f>IF(ABS(F4371-ROUND(F4371,0))&lt;0.001,1,0)</f>
        <v/>
      </c>
      <c r="H4371">
        <f>IF(G4371=1,F4371,CEILING(F4371,1))</f>
        <v/>
      </c>
      <c r="I4371">
        <f>IF(G4371=1,0,(H4371-F4371)*E4371)</f>
        <v/>
      </c>
      <c r="J4371">
        <f>E4371*F4371</f>
        <v/>
      </c>
    </row>
    <row r="4372">
      <c r="A4372">
        <f>Sources!A4372</f>
        <v/>
      </c>
      <c r="B4372">
        <f>Sources!B4372</f>
        <v/>
      </c>
      <c r="C4372">
        <f>Sources!D4372</f>
        <v/>
      </c>
      <c r="D4372">
        <f>Sources!E4372</f>
        <v/>
      </c>
      <c r="E4372">
        <f>Sources!F4372</f>
        <v/>
      </c>
      <c r="F4372">
        <f>Sources!H4372</f>
        <v/>
      </c>
      <c r="G4372">
        <f>IF(ABS(F4372-ROUND(F4372,0))&lt;0.001,1,0)</f>
        <v/>
      </c>
      <c r="H4372">
        <f>IF(G4372=1,F4372,CEILING(F4372,1))</f>
        <v/>
      </c>
      <c r="I4372">
        <f>IF(G4372=1,0,(H4372-F4372)*E4372)</f>
        <v/>
      </c>
      <c r="J4372">
        <f>E4372*F4372</f>
        <v/>
      </c>
    </row>
    <row r="4373">
      <c r="A4373">
        <f>Sources!A4373</f>
        <v/>
      </c>
      <c r="B4373">
        <f>Sources!B4373</f>
        <v/>
      </c>
      <c r="C4373">
        <f>Sources!D4373</f>
        <v/>
      </c>
      <c r="D4373">
        <f>Sources!E4373</f>
        <v/>
      </c>
      <c r="E4373">
        <f>Sources!F4373</f>
        <v/>
      </c>
      <c r="F4373">
        <f>Sources!H4373</f>
        <v/>
      </c>
      <c r="G4373">
        <f>IF(ABS(F4373-ROUND(F4373,0))&lt;0.001,1,0)</f>
        <v/>
      </c>
      <c r="H4373">
        <f>IF(G4373=1,F4373,CEILING(F4373,1))</f>
        <v/>
      </c>
      <c r="I4373">
        <f>IF(G4373=1,0,(H4373-F4373)*E4373)</f>
        <v/>
      </c>
      <c r="J4373">
        <f>E4373*F4373</f>
        <v/>
      </c>
    </row>
    <row r="4374">
      <c r="A4374">
        <f>Sources!A4374</f>
        <v/>
      </c>
      <c r="B4374">
        <f>Sources!B4374</f>
        <v/>
      </c>
      <c r="C4374">
        <f>Sources!D4374</f>
        <v/>
      </c>
      <c r="D4374">
        <f>Sources!E4374</f>
        <v/>
      </c>
      <c r="E4374">
        <f>Sources!F4374</f>
        <v/>
      </c>
      <c r="F4374">
        <f>Sources!H4374</f>
        <v/>
      </c>
      <c r="G4374">
        <f>IF(ABS(F4374-ROUND(F4374,0))&lt;0.001,1,0)</f>
        <v/>
      </c>
      <c r="H4374">
        <f>IF(G4374=1,F4374,CEILING(F4374,1))</f>
        <v/>
      </c>
      <c r="I4374">
        <f>IF(G4374=1,0,(H4374-F4374)*E4374)</f>
        <v/>
      </c>
      <c r="J4374">
        <f>E4374*F4374</f>
        <v/>
      </c>
    </row>
    <row r="4375">
      <c r="A4375">
        <f>Sources!A4375</f>
        <v/>
      </c>
      <c r="B4375">
        <f>Sources!B4375</f>
        <v/>
      </c>
      <c r="C4375">
        <f>Sources!D4375</f>
        <v/>
      </c>
      <c r="D4375">
        <f>Sources!E4375</f>
        <v/>
      </c>
      <c r="E4375">
        <f>Sources!F4375</f>
        <v/>
      </c>
      <c r="F4375">
        <f>Sources!H4375</f>
        <v/>
      </c>
      <c r="G4375">
        <f>IF(ABS(F4375-ROUND(F4375,0))&lt;0.001,1,0)</f>
        <v/>
      </c>
      <c r="H4375">
        <f>IF(G4375=1,F4375,CEILING(F4375,1))</f>
        <v/>
      </c>
      <c r="I4375">
        <f>IF(G4375=1,0,(H4375-F4375)*E4375)</f>
        <v/>
      </c>
      <c r="J4375">
        <f>E4375*F4375</f>
        <v/>
      </c>
    </row>
    <row r="4376">
      <c r="A4376">
        <f>Sources!A4376</f>
        <v/>
      </c>
      <c r="B4376">
        <f>Sources!B4376</f>
        <v/>
      </c>
      <c r="C4376">
        <f>Sources!D4376</f>
        <v/>
      </c>
      <c r="D4376">
        <f>Sources!E4376</f>
        <v/>
      </c>
      <c r="E4376">
        <f>Sources!F4376</f>
        <v/>
      </c>
      <c r="F4376">
        <f>Sources!H4376</f>
        <v/>
      </c>
      <c r="G4376">
        <f>IF(ABS(F4376-ROUND(F4376,0))&lt;0.001,1,0)</f>
        <v/>
      </c>
      <c r="H4376">
        <f>IF(G4376=1,F4376,CEILING(F4376,1))</f>
        <v/>
      </c>
      <c r="I4376">
        <f>IF(G4376=1,0,(H4376-F4376)*E4376)</f>
        <v/>
      </c>
      <c r="J4376">
        <f>E4376*F4376</f>
        <v/>
      </c>
    </row>
    <row r="4377">
      <c r="A4377">
        <f>Sources!A4377</f>
        <v/>
      </c>
      <c r="B4377">
        <f>Sources!B4377</f>
        <v/>
      </c>
      <c r="C4377">
        <f>Sources!D4377</f>
        <v/>
      </c>
      <c r="D4377">
        <f>Sources!E4377</f>
        <v/>
      </c>
      <c r="E4377">
        <f>Sources!F4377</f>
        <v/>
      </c>
      <c r="F4377">
        <f>Sources!H4377</f>
        <v/>
      </c>
      <c r="G4377">
        <f>IF(ABS(F4377-ROUND(F4377,0))&lt;0.001,1,0)</f>
        <v/>
      </c>
      <c r="H4377">
        <f>IF(G4377=1,F4377,CEILING(F4377,1))</f>
        <v/>
      </c>
      <c r="I4377">
        <f>IF(G4377=1,0,(H4377-F4377)*E4377)</f>
        <v/>
      </c>
      <c r="J4377">
        <f>E4377*F4377</f>
        <v/>
      </c>
    </row>
    <row r="4378">
      <c r="A4378">
        <f>Sources!A4378</f>
        <v/>
      </c>
      <c r="B4378">
        <f>Sources!B4378</f>
        <v/>
      </c>
      <c r="C4378">
        <f>Sources!D4378</f>
        <v/>
      </c>
      <c r="D4378">
        <f>Sources!E4378</f>
        <v/>
      </c>
      <c r="E4378">
        <f>Sources!F4378</f>
        <v/>
      </c>
      <c r="F4378">
        <f>Sources!H4378</f>
        <v/>
      </c>
      <c r="G4378">
        <f>IF(ABS(F4378-ROUND(F4378,0))&lt;0.001,1,0)</f>
        <v/>
      </c>
      <c r="H4378">
        <f>IF(G4378=1,F4378,CEILING(F4378,1))</f>
        <v/>
      </c>
      <c r="I4378">
        <f>IF(G4378=1,0,(H4378-F4378)*E4378)</f>
        <v/>
      </c>
      <c r="J4378">
        <f>E4378*F4378</f>
        <v/>
      </c>
    </row>
    <row r="4379">
      <c r="A4379">
        <f>Sources!A4379</f>
        <v/>
      </c>
      <c r="B4379">
        <f>Sources!B4379</f>
        <v/>
      </c>
      <c r="C4379">
        <f>Sources!D4379</f>
        <v/>
      </c>
      <c r="D4379">
        <f>Sources!E4379</f>
        <v/>
      </c>
      <c r="E4379">
        <f>Sources!F4379</f>
        <v/>
      </c>
      <c r="F4379">
        <f>Sources!H4379</f>
        <v/>
      </c>
      <c r="G4379">
        <f>IF(ABS(F4379-ROUND(F4379,0))&lt;0.001,1,0)</f>
        <v/>
      </c>
      <c r="H4379">
        <f>IF(G4379=1,F4379,CEILING(F4379,1))</f>
        <v/>
      </c>
      <c r="I4379">
        <f>IF(G4379=1,0,(H4379-F4379)*E4379)</f>
        <v/>
      </c>
      <c r="J4379">
        <f>E4379*F4379</f>
        <v/>
      </c>
    </row>
    <row r="4380">
      <c r="A4380">
        <f>Sources!A4380</f>
        <v/>
      </c>
      <c r="B4380">
        <f>Sources!B4380</f>
        <v/>
      </c>
      <c r="C4380">
        <f>Sources!D4380</f>
        <v/>
      </c>
      <c r="D4380">
        <f>Sources!E4380</f>
        <v/>
      </c>
      <c r="E4380">
        <f>Sources!F4380</f>
        <v/>
      </c>
      <c r="F4380">
        <f>Sources!H4380</f>
        <v/>
      </c>
      <c r="G4380">
        <f>IF(ABS(F4380-ROUND(F4380,0))&lt;0.001,1,0)</f>
        <v/>
      </c>
      <c r="H4380">
        <f>IF(G4380=1,F4380,CEILING(F4380,1))</f>
        <v/>
      </c>
      <c r="I4380">
        <f>IF(G4380=1,0,(H4380-F4380)*E4380)</f>
        <v/>
      </c>
      <c r="J4380">
        <f>E4380*F4380</f>
        <v/>
      </c>
    </row>
    <row r="4381">
      <c r="A4381">
        <f>Sources!A4381</f>
        <v/>
      </c>
      <c r="B4381">
        <f>Sources!B4381</f>
        <v/>
      </c>
      <c r="C4381">
        <f>Sources!D4381</f>
        <v/>
      </c>
      <c r="D4381">
        <f>Sources!E4381</f>
        <v/>
      </c>
      <c r="E4381">
        <f>Sources!F4381</f>
        <v/>
      </c>
      <c r="F4381">
        <f>Sources!H4381</f>
        <v/>
      </c>
      <c r="G4381">
        <f>IF(ABS(F4381-ROUND(F4381,0))&lt;0.001,1,0)</f>
        <v/>
      </c>
      <c r="H4381">
        <f>IF(G4381=1,F4381,CEILING(F4381,1))</f>
        <v/>
      </c>
      <c r="I4381">
        <f>IF(G4381=1,0,(H4381-F4381)*E4381)</f>
        <v/>
      </c>
      <c r="J4381">
        <f>E4381*F4381</f>
        <v/>
      </c>
    </row>
    <row r="4382">
      <c r="A4382">
        <f>Sources!A4382</f>
        <v/>
      </c>
      <c r="B4382">
        <f>Sources!B4382</f>
        <v/>
      </c>
      <c r="C4382">
        <f>Sources!D4382</f>
        <v/>
      </c>
      <c r="D4382">
        <f>Sources!E4382</f>
        <v/>
      </c>
      <c r="E4382">
        <f>Sources!F4382</f>
        <v/>
      </c>
      <c r="F4382">
        <f>Sources!H4382</f>
        <v/>
      </c>
      <c r="G4382">
        <f>IF(ABS(F4382-ROUND(F4382,0))&lt;0.001,1,0)</f>
        <v/>
      </c>
      <c r="H4382">
        <f>IF(G4382=1,F4382,CEILING(F4382,1))</f>
        <v/>
      </c>
      <c r="I4382">
        <f>IF(G4382=1,0,(H4382-F4382)*E4382)</f>
        <v/>
      </c>
      <c r="J4382">
        <f>E4382*F4382</f>
        <v/>
      </c>
    </row>
    <row r="4383">
      <c r="A4383">
        <f>Sources!A4383</f>
        <v/>
      </c>
      <c r="B4383">
        <f>Sources!B4383</f>
        <v/>
      </c>
      <c r="C4383">
        <f>Sources!D4383</f>
        <v/>
      </c>
      <c r="D4383">
        <f>Sources!E4383</f>
        <v/>
      </c>
      <c r="E4383">
        <f>Sources!F4383</f>
        <v/>
      </c>
      <c r="F4383">
        <f>Sources!H4383</f>
        <v/>
      </c>
      <c r="G4383">
        <f>IF(ABS(F4383-ROUND(F4383,0))&lt;0.001,1,0)</f>
        <v/>
      </c>
      <c r="H4383">
        <f>IF(G4383=1,F4383,CEILING(F4383,1))</f>
        <v/>
      </c>
      <c r="I4383">
        <f>IF(G4383=1,0,(H4383-F4383)*E4383)</f>
        <v/>
      </c>
      <c r="J4383">
        <f>E4383*F4383</f>
        <v/>
      </c>
    </row>
    <row r="4384">
      <c r="A4384">
        <f>Sources!A4384</f>
        <v/>
      </c>
      <c r="B4384">
        <f>Sources!B4384</f>
        <v/>
      </c>
      <c r="C4384">
        <f>Sources!D4384</f>
        <v/>
      </c>
      <c r="D4384">
        <f>Sources!E4384</f>
        <v/>
      </c>
      <c r="E4384">
        <f>Sources!F4384</f>
        <v/>
      </c>
      <c r="F4384">
        <f>Sources!H4384</f>
        <v/>
      </c>
      <c r="G4384">
        <f>IF(ABS(F4384-ROUND(F4384,0))&lt;0.001,1,0)</f>
        <v/>
      </c>
      <c r="H4384">
        <f>IF(G4384=1,F4384,CEILING(F4384,1))</f>
        <v/>
      </c>
      <c r="I4384">
        <f>IF(G4384=1,0,(H4384-F4384)*E4384)</f>
        <v/>
      </c>
      <c r="J4384">
        <f>E4384*F4384</f>
        <v/>
      </c>
    </row>
    <row r="4385">
      <c r="A4385">
        <f>Sources!A4385</f>
        <v/>
      </c>
      <c r="B4385">
        <f>Sources!B4385</f>
        <v/>
      </c>
      <c r="C4385">
        <f>Sources!D4385</f>
        <v/>
      </c>
      <c r="D4385">
        <f>Sources!E4385</f>
        <v/>
      </c>
      <c r="E4385">
        <f>Sources!F4385</f>
        <v/>
      </c>
      <c r="F4385">
        <f>Sources!H4385</f>
        <v/>
      </c>
      <c r="G4385">
        <f>IF(ABS(F4385-ROUND(F4385,0))&lt;0.001,1,0)</f>
        <v/>
      </c>
      <c r="H4385">
        <f>IF(G4385=1,F4385,CEILING(F4385,1))</f>
        <v/>
      </c>
      <c r="I4385">
        <f>IF(G4385=1,0,(H4385-F4385)*E4385)</f>
        <v/>
      </c>
      <c r="J4385">
        <f>E4385*F4385</f>
        <v/>
      </c>
    </row>
    <row r="4386">
      <c r="A4386">
        <f>Sources!A4386</f>
        <v/>
      </c>
      <c r="B4386">
        <f>Sources!B4386</f>
        <v/>
      </c>
      <c r="C4386">
        <f>Sources!D4386</f>
        <v/>
      </c>
      <c r="D4386">
        <f>Sources!E4386</f>
        <v/>
      </c>
      <c r="E4386">
        <f>Sources!F4386</f>
        <v/>
      </c>
      <c r="F4386">
        <f>Sources!H4386</f>
        <v/>
      </c>
      <c r="G4386">
        <f>IF(ABS(F4386-ROUND(F4386,0))&lt;0.001,1,0)</f>
        <v/>
      </c>
      <c r="H4386">
        <f>IF(G4386=1,F4386,CEILING(F4386,1))</f>
        <v/>
      </c>
      <c r="I4386">
        <f>IF(G4386=1,0,(H4386-F4386)*E4386)</f>
        <v/>
      </c>
      <c r="J4386">
        <f>E4386*F4386</f>
        <v/>
      </c>
    </row>
    <row r="4387">
      <c r="A4387">
        <f>Sources!A4387</f>
        <v/>
      </c>
      <c r="B4387">
        <f>Sources!B4387</f>
        <v/>
      </c>
      <c r="C4387">
        <f>Sources!D4387</f>
        <v/>
      </c>
      <c r="D4387">
        <f>Sources!E4387</f>
        <v/>
      </c>
      <c r="E4387">
        <f>Sources!F4387</f>
        <v/>
      </c>
      <c r="F4387">
        <f>Sources!H4387</f>
        <v/>
      </c>
      <c r="G4387">
        <f>IF(ABS(F4387-ROUND(F4387,0))&lt;0.001,1,0)</f>
        <v/>
      </c>
      <c r="H4387">
        <f>IF(G4387=1,F4387,CEILING(F4387,1))</f>
        <v/>
      </c>
      <c r="I4387">
        <f>IF(G4387=1,0,(H4387-F4387)*E4387)</f>
        <v/>
      </c>
      <c r="J4387">
        <f>E4387*F4387</f>
        <v/>
      </c>
    </row>
    <row r="4388">
      <c r="A4388">
        <f>Sources!A4388</f>
        <v/>
      </c>
      <c r="B4388">
        <f>Sources!B4388</f>
        <v/>
      </c>
      <c r="C4388">
        <f>Sources!D4388</f>
        <v/>
      </c>
      <c r="D4388">
        <f>Sources!E4388</f>
        <v/>
      </c>
      <c r="E4388">
        <f>Sources!F4388</f>
        <v/>
      </c>
      <c r="F4388">
        <f>Sources!H4388</f>
        <v/>
      </c>
      <c r="G4388">
        <f>IF(ABS(F4388-ROUND(F4388,0))&lt;0.001,1,0)</f>
        <v/>
      </c>
      <c r="H4388">
        <f>IF(G4388=1,F4388,CEILING(F4388,1))</f>
        <v/>
      </c>
      <c r="I4388">
        <f>IF(G4388=1,0,(H4388-F4388)*E4388)</f>
        <v/>
      </c>
      <c r="J4388">
        <f>E4388*F4388</f>
        <v/>
      </c>
    </row>
    <row r="4389">
      <c r="A4389">
        <f>Sources!A4389</f>
        <v/>
      </c>
      <c r="B4389">
        <f>Sources!B4389</f>
        <v/>
      </c>
      <c r="C4389">
        <f>Sources!D4389</f>
        <v/>
      </c>
      <c r="D4389">
        <f>Sources!E4389</f>
        <v/>
      </c>
      <c r="E4389">
        <f>Sources!F4389</f>
        <v/>
      </c>
      <c r="F4389">
        <f>Sources!H4389</f>
        <v/>
      </c>
      <c r="G4389">
        <f>IF(ABS(F4389-ROUND(F4389,0))&lt;0.001,1,0)</f>
        <v/>
      </c>
      <c r="H4389">
        <f>IF(G4389=1,F4389,CEILING(F4389,1))</f>
        <v/>
      </c>
      <c r="I4389">
        <f>IF(G4389=1,0,(H4389-F4389)*E4389)</f>
        <v/>
      </c>
      <c r="J4389">
        <f>E4389*F4389</f>
        <v/>
      </c>
    </row>
    <row r="4390">
      <c r="A4390">
        <f>Sources!A4390</f>
        <v/>
      </c>
      <c r="B4390">
        <f>Sources!B4390</f>
        <v/>
      </c>
      <c r="C4390">
        <f>Sources!D4390</f>
        <v/>
      </c>
      <c r="D4390">
        <f>Sources!E4390</f>
        <v/>
      </c>
      <c r="E4390">
        <f>Sources!F4390</f>
        <v/>
      </c>
      <c r="F4390">
        <f>Sources!H4390</f>
        <v/>
      </c>
      <c r="G4390">
        <f>IF(ABS(F4390-ROUND(F4390,0))&lt;0.001,1,0)</f>
        <v/>
      </c>
      <c r="H4390">
        <f>IF(G4390=1,F4390,CEILING(F4390,1))</f>
        <v/>
      </c>
      <c r="I4390">
        <f>IF(G4390=1,0,(H4390-F4390)*E4390)</f>
        <v/>
      </c>
      <c r="J4390">
        <f>E4390*F4390</f>
        <v/>
      </c>
    </row>
    <row r="4391">
      <c r="A4391">
        <f>Sources!A4391</f>
        <v/>
      </c>
      <c r="B4391">
        <f>Sources!B4391</f>
        <v/>
      </c>
      <c r="C4391">
        <f>Sources!D4391</f>
        <v/>
      </c>
      <c r="D4391">
        <f>Sources!E4391</f>
        <v/>
      </c>
      <c r="E4391">
        <f>Sources!F4391</f>
        <v/>
      </c>
      <c r="F4391">
        <f>Sources!H4391</f>
        <v/>
      </c>
      <c r="G4391">
        <f>IF(ABS(F4391-ROUND(F4391,0))&lt;0.001,1,0)</f>
        <v/>
      </c>
      <c r="H4391">
        <f>IF(G4391=1,F4391,CEILING(F4391,1))</f>
        <v/>
      </c>
      <c r="I4391">
        <f>IF(G4391=1,0,(H4391-F4391)*E4391)</f>
        <v/>
      </c>
      <c r="J4391">
        <f>E4391*F4391</f>
        <v/>
      </c>
    </row>
    <row r="4392">
      <c r="A4392">
        <f>Sources!A4392</f>
        <v/>
      </c>
      <c r="B4392">
        <f>Sources!B4392</f>
        <v/>
      </c>
      <c r="C4392">
        <f>Sources!D4392</f>
        <v/>
      </c>
      <c r="D4392">
        <f>Sources!E4392</f>
        <v/>
      </c>
      <c r="E4392">
        <f>Sources!F4392</f>
        <v/>
      </c>
      <c r="F4392">
        <f>Sources!H4392</f>
        <v/>
      </c>
      <c r="G4392">
        <f>IF(ABS(F4392-ROUND(F4392,0))&lt;0.001,1,0)</f>
        <v/>
      </c>
      <c r="H4392">
        <f>IF(G4392=1,F4392,CEILING(F4392,1))</f>
        <v/>
      </c>
      <c r="I4392">
        <f>IF(G4392=1,0,(H4392-F4392)*E4392)</f>
        <v/>
      </c>
      <c r="J4392">
        <f>E4392*F4392</f>
        <v/>
      </c>
    </row>
    <row r="4393">
      <c r="A4393">
        <f>Sources!A4393</f>
        <v/>
      </c>
      <c r="B4393">
        <f>Sources!B4393</f>
        <v/>
      </c>
      <c r="C4393">
        <f>Sources!D4393</f>
        <v/>
      </c>
      <c r="D4393">
        <f>Sources!E4393</f>
        <v/>
      </c>
      <c r="E4393">
        <f>Sources!F4393</f>
        <v/>
      </c>
      <c r="F4393">
        <f>Sources!H4393</f>
        <v/>
      </c>
      <c r="G4393">
        <f>IF(ABS(F4393-ROUND(F4393,0))&lt;0.001,1,0)</f>
        <v/>
      </c>
      <c r="H4393">
        <f>IF(G4393=1,F4393,CEILING(F4393,1))</f>
        <v/>
      </c>
      <c r="I4393">
        <f>IF(G4393=1,0,(H4393-F4393)*E4393)</f>
        <v/>
      </c>
      <c r="J4393">
        <f>E4393*F4393</f>
        <v/>
      </c>
    </row>
    <row r="4394">
      <c r="A4394">
        <f>Sources!A4394</f>
        <v/>
      </c>
      <c r="B4394">
        <f>Sources!B4394</f>
        <v/>
      </c>
      <c r="C4394">
        <f>Sources!D4394</f>
        <v/>
      </c>
      <c r="D4394">
        <f>Sources!E4394</f>
        <v/>
      </c>
      <c r="E4394">
        <f>Sources!F4394</f>
        <v/>
      </c>
      <c r="F4394">
        <f>Sources!H4394</f>
        <v/>
      </c>
      <c r="G4394">
        <f>IF(ABS(F4394-ROUND(F4394,0))&lt;0.001,1,0)</f>
        <v/>
      </c>
      <c r="H4394">
        <f>IF(G4394=1,F4394,CEILING(F4394,1))</f>
        <v/>
      </c>
      <c r="I4394">
        <f>IF(G4394=1,0,(H4394-F4394)*E4394)</f>
        <v/>
      </c>
      <c r="J4394">
        <f>E4394*F4394</f>
        <v/>
      </c>
    </row>
    <row r="4395">
      <c r="A4395">
        <f>Sources!A4395</f>
        <v/>
      </c>
      <c r="B4395">
        <f>Sources!B4395</f>
        <v/>
      </c>
      <c r="C4395">
        <f>Sources!D4395</f>
        <v/>
      </c>
      <c r="D4395">
        <f>Sources!E4395</f>
        <v/>
      </c>
      <c r="E4395">
        <f>Sources!F4395</f>
        <v/>
      </c>
      <c r="F4395">
        <f>Sources!H4395</f>
        <v/>
      </c>
      <c r="G4395">
        <f>IF(ABS(F4395-ROUND(F4395,0))&lt;0.001,1,0)</f>
        <v/>
      </c>
      <c r="H4395">
        <f>IF(G4395=1,F4395,CEILING(F4395,1))</f>
        <v/>
      </c>
      <c r="I4395">
        <f>IF(G4395=1,0,(H4395-F4395)*E4395)</f>
        <v/>
      </c>
      <c r="J4395">
        <f>E4395*F4395</f>
        <v/>
      </c>
    </row>
    <row r="4396">
      <c r="A4396">
        <f>Sources!A4396</f>
        <v/>
      </c>
      <c r="B4396">
        <f>Sources!B4396</f>
        <v/>
      </c>
      <c r="C4396">
        <f>Sources!D4396</f>
        <v/>
      </c>
      <c r="D4396">
        <f>Sources!E4396</f>
        <v/>
      </c>
      <c r="E4396">
        <f>Sources!F4396</f>
        <v/>
      </c>
      <c r="F4396">
        <f>Sources!H4396</f>
        <v/>
      </c>
      <c r="G4396">
        <f>IF(ABS(F4396-ROUND(F4396,0))&lt;0.001,1,0)</f>
        <v/>
      </c>
      <c r="H4396">
        <f>IF(G4396=1,F4396,CEILING(F4396,1))</f>
        <v/>
      </c>
      <c r="I4396">
        <f>IF(G4396=1,0,(H4396-F4396)*E4396)</f>
        <v/>
      </c>
      <c r="J4396">
        <f>E4396*F4396</f>
        <v/>
      </c>
    </row>
    <row r="4397">
      <c r="A4397">
        <f>Sources!A4397</f>
        <v/>
      </c>
      <c r="B4397">
        <f>Sources!B4397</f>
        <v/>
      </c>
      <c r="C4397">
        <f>Sources!D4397</f>
        <v/>
      </c>
      <c r="D4397">
        <f>Sources!E4397</f>
        <v/>
      </c>
      <c r="E4397">
        <f>Sources!F4397</f>
        <v/>
      </c>
      <c r="F4397">
        <f>Sources!H4397</f>
        <v/>
      </c>
      <c r="G4397">
        <f>IF(ABS(F4397-ROUND(F4397,0))&lt;0.001,1,0)</f>
        <v/>
      </c>
      <c r="H4397">
        <f>IF(G4397=1,F4397,CEILING(F4397,1))</f>
        <v/>
      </c>
      <c r="I4397">
        <f>IF(G4397=1,0,(H4397-F4397)*E4397)</f>
        <v/>
      </c>
      <c r="J4397">
        <f>E4397*F4397</f>
        <v/>
      </c>
    </row>
    <row r="4398">
      <c r="A4398">
        <f>Sources!A4398</f>
        <v/>
      </c>
      <c r="B4398">
        <f>Sources!B4398</f>
        <v/>
      </c>
      <c r="C4398">
        <f>Sources!D4398</f>
        <v/>
      </c>
      <c r="D4398">
        <f>Sources!E4398</f>
        <v/>
      </c>
      <c r="E4398">
        <f>Sources!F4398</f>
        <v/>
      </c>
      <c r="F4398">
        <f>Sources!H4398</f>
        <v/>
      </c>
      <c r="G4398">
        <f>IF(ABS(F4398-ROUND(F4398,0))&lt;0.001,1,0)</f>
        <v/>
      </c>
      <c r="H4398">
        <f>IF(G4398=1,F4398,CEILING(F4398,1))</f>
        <v/>
      </c>
      <c r="I4398">
        <f>IF(G4398=1,0,(H4398-F4398)*E4398)</f>
        <v/>
      </c>
      <c r="J4398">
        <f>E4398*F4398</f>
        <v/>
      </c>
    </row>
    <row r="4399">
      <c r="A4399">
        <f>Sources!A4399</f>
        <v/>
      </c>
      <c r="B4399">
        <f>Sources!B4399</f>
        <v/>
      </c>
      <c r="C4399">
        <f>Sources!D4399</f>
        <v/>
      </c>
      <c r="D4399">
        <f>Sources!E4399</f>
        <v/>
      </c>
      <c r="E4399">
        <f>Sources!F4399</f>
        <v/>
      </c>
      <c r="F4399">
        <f>Sources!H4399</f>
        <v/>
      </c>
      <c r="G4399">
        <f>IF(ABS(F4399-ROUND(F4399,0))&lt;0.001,1,0)</f>
        <v/>
      </c>
      <c r="H4399">
        <f>IF(G4399=1,F4399,CEILING(F4399,1))</f>
        <v/>
      </c>
      <c r="I4399">
        <f>IF(G4399=1,0,(H4399-F4399)*E4399)</f>
        <v/>
      </c>
      <c r="J4399">
        <f>E4399*F4399</f>
        <v/>
      </c>
    </row>
    <row r="4400">
      <c r="A4400">
        <f>Sources!A4400</f>
        <v/>
      </c>
      <c r="B4400">
        <f>Sources!B4400</f>
        <v/>
      </c>
      <c r="C4400">
        <f>Sources!D4400</f>
        <v/>
      </c>
      <c r="D4400">
        <f>Sources!E4400</f>
        <v/>
      </c>
      <c r="E4400">
        <f>Sources!F4400</f>
        <v/>
      </c>
      <c r="F4400">
        <f>Sources!H4400</f>
        <v/>
      </c>
      <c r="G4400">
        <f>IF(ABS(F4400-ROUND(F4400,0))&lt;0.001,1,0)</f>
        <v/>
      </c>
      <c r="H4400">
        <f>IF(G4400=1,F4400,CEILING(F4400,1))</f>
        <v/>
      </c>
      <c r="I4400">
        <f>IF(G4400=1,0,(H4400-F4400)*E4400)</f>
        <v/>
      </c>
      <c r="J4400">
        <f>E4400*F4400</f>
        <v/>
      </c>
    </row>
    <row r="4401">
      <c r="A4401">
        <f>Sources!A4401</f>
        <v/>
      </c>
      <c r="B4401">
        <f>Sources!B4401</f>
        <v/>
      </c>
      <c r="C4401">
        <f>Sources!D4401</f>
        <v/>
      </c>
      <c r="D4401">
        <f>Sources!E4401</f>
        <v/>
      </c>
      <c r="E4401">
        <f>Sources!F4401</f>
        <v/>
      </c>
      <c r="F4401">
        <f>Sources!H4401</f>
        <v/>
      </c>
      <c r="G4401">
        <f>IF(ABS(F4401-ROUND(F4401,0))&lt;0.001,1,0)</f>
        <v/>
      </c>
      <c r="H4401">
        <f>IF(G4401=1,F4401,CEILING(F4401,1))</f>
        <v/>
      </c>
      <c r="I4401">
        <f>IF(G4401=1,0,(H4401-F4401)*E4401)</f>
        <v/>
      </c>
      <c r="J4401">
        <f>E4401*F4401</f>
        <v/>
      </c>
    </row>
    <row r="4402">
      <c r="A4402">
        <f>Sources!A4402</f>
        <v/>
      </c>
      <c r="B4402">
        <f>Sources!B4402</f>
        <v/>
      </c>
      <c r="C4402">
        <f>Sources!D4402</f>
        <v/>
      </c>
      <c r="D4402">
        <f>Sources!E4402</f>
        <v/>
      </c>
      <c r="E4402">
        <f>Sources!F4402</f>
        <v/>
      </c>
      <c r="F4402">
        <f>Sources!H4402</f>
        <v/>
      </c>
      <c r="G4402">
        <f>IF(ABS(F4402-ROUND(F4402,0))&lt;0.001,1,0)</f>
        <v/>
      </c>
      <c r="H4402">
        <f>IF(G4402=1,F4402,CEILING(F4402,1))</f>
        <v/>
      </c>
      <c r="I4402">
        <f>IF(G4402=1,0,(H4402-F4402)*E4402)</f>
        <v/>
      </c>
      <c r="J4402">
        <f>E4402*F4402</f>
        <v/>
      </c>
    </row>
    <row r="4403">
      <c r="A4403">
        <f>Sources!A4403</f>
        <v/>
      </c>
      <c r="B4403">
        <f>Sources!B4403</f>
        <v/>
      </c>
      <c r="C4403">
        <f>Sources!D4403</f>
        <v/>
      </c>
      <c r="D4403">
        <f>Sources!E4403</f>
        <v/>
      </c>
      <c r="E4403">
        <f>Sources!F4403</f>
        <v/>
      </c>
      <c r="F4403">
        <f>Sources!H4403</f>
        <v/>
      </c>
      <c r="G4403">
        <f>IF(ABS(F4403-ROUND(F4403,0))&lt;0.001,1,0)</f>
        <v/>
      </c>
      <c r="H4403">
        <f>IF(G4403=1,F4403,CEILING(F4403,1))</f>
        <v/>
      </c>
      <c r="I4403">
        <f>IF(G4403=1,0,(H4403-F4403)*E4403)</f>
        <v/>
      </c>
      <c r="J4403">
        <f>E4403*F4403</f>
        <v/>
      </c>
    </row>
    <row r="4404">
      <c r="A4404">
        <f>Sources!A4404</f>
        <v/>
      </c>
      <c r="B4404">
        <f>Sources!B4404</f>
        <v/>
      </c>
      <c r="C4404">
        <f>Sources!D4404</f>
        <v/>
      </c>
      <c r="D4404">
        <f>Sources!E4404</f>
        <v/>
      </c>
      <c r="E4404">
        <f>Sources!F4404</f>
        <v/>
      </c>
      <c r="F4404">
        <f>Sources!H4404</f>
        <v/>
      </c>
      <c r="G4404">
        <f>IF(ABS(F4404-ROUND(F4404,0))&lt;0.001,1,0)</f>
        <v/>
      </c>
      <c r="H4404">
        <f>IF(G4404=1,F4404,CEILING(F4404,1))</f>
        <v/>
      </c>
      <c r="I4404">
        <f>IF(G4404=1,0,(H4404-F4404)*E4404)</f>
        <v/>
      </c>
      <c r="J4404">
        <f>E4404*F4404</f>
        <v/>
      </c>
    </row>
    <row r="4405">
      <c r="A4405">
        <f>Sources!A4405</f>
        <v/>
      </c>
      <c r="B4405">
        <f>Sources!B4405</f>
        <v/>
      </c>
      <c r="C4405">
        <f>Sources!D4405</f>
        <v/>
      </c>
      <c r="D4405">
        <f>Sources!E4405</f>
        <v/>
      </c>
      <c r="E4405">
        <f>Sources!F4405</f>
        <v/>
      </c>
      <c r="F4405">
        <f>Sources!H4405</f>
        <v/>
      </c>
      <c r="G4405">
        <f>IF(ABS(F4405-ROUND(F4405,0))&lt;0.001,1,0)</f>
        <v/>
      </c>
      <c r="H4405">
        <f>IF(G4405=1,F4405,CEILING(F4405,1))</f>
        <v/>
      </c>
      <c r="I4405">
        <f>IF(G4405=1,0,(H4405-F4405)*E4405)</f>
        <v/>
      </c>
      <c r="J4405">
        <f>E4405*F4405</f>
        <v/>
      </c>
    </row>
    <row r="4406">
      <c r="A4406">
        <f>Sources!A4406</f>
        <v/>
      </c>
      <c r="B4406">
        <f>Sources!B4406</f>
        <v/>
      </c>
      <c r="C4406">
        <f>Sources!D4406</f>
        <v/>
      </c>
      <c r="D4406">
        <f>Sources!E4406</f>
        <v/>
      </c>
      <c r="E4406">
        <f>Sources!F4406</f>
        <v/>
      </c>
      <c r="F4406">
        <f>Sources!H4406</f>
        <v/>
      </c>
      <c r="G4406">
        <f>IF(ABS(F4406-ROUND(F4406,0))&lt;0.001,1,0)</f>
        <v/>
      </c>
      <c r="H4406">
        <f>IF(G4406=1,F4406,CEILING(F4406,1))</f>
        <v/>
      </c>
      <c r="I4406">
        <f>IF(G4406=1,0,(H4406-F4406)*E4406)</f>
        <v/>
      </c>
      <c r="J4406">
        <f>E4406*F4406</f>
        <v/>
      </c>
    </row>
    <row r="4407">
      <c r="A4407">
        <f>Sources!A4407</f>
        <v/>
      </c>
      <c r="B4407">
        <f>Sources!B4407</f>
        <v/>
      </c>
      <c r="C4407">
        <f>Sources!D4407</f>
        <v/>
      </c>
      <c r="D4407">
        <f>Sources!E4407</f>
        <v/>
      </c>
      <c r="E4407">
        <f>Sources!F4407</f>
        <v/>
      </c>
      <c r="F4407">
        <f>Sources!H4407</f>
        <v/>
      </c>
      <c r="G4407">
        <f>IF(ABS(F4407-ROUND(F4407,0))&lt;0.001,1,0)</f>
        <v/>
      </c>
      <c r="H4407">
        <f>IF(G4407=1,F4407,CEILING(F4407,1))</f>
        <v/>
      </c>
      <c r="I4407">
        <f>IF(G4407=1,0,(H4407-F4407)*E4407)</f>
        <v/>
      </c>
      <c r="J4407">
        <f>E4407*F4407</f>
        <v/>
      </c>
    </row>
    <row r="4408">
      <c r="A4408">
        <f>Sources!A4408</f>
        <v/>
      </c>
      <c r="B4408">
        <f>Sources!B4408</f>
        <v/>
      </c>
      <c r="C4408">
        <f>Sources!D4408</f>
        <v/>
      </c>
      <c r="D4408">
        <f>Sources!E4408</f>
        <v/>
      </c>
      <c r="E4408">
        <f>Sources!F4408</f>
        <v/>
      </c>
      <c r="F4408">
        <f>Sources!H4408</f>
        <v/>
      </c>
      <c r="G4408">
        <f>IF(ABS(F4408-ROUND(F4408,0))&lt;0.001,1,0)</f>
        <v/>
      </c>
      <c r="H4408">
        <f>IF(G4408=1,F4408,CEILING(F4408,1))</f>
        <v/>
      </c>
      <c r="I4408">
        <f>IF(G4408=1,0,(H4408-F4408)*E4408)</f>
        <v/>
      </c>
      <c r="J4408">
        <f>E4408*F4408</f>
        <v/>
      </c>
    </row>
    <row r="4409">
      <c r="A4409">
        <f>Sources!A4409</f>
        <v/>
      </c>
      <c r="B4409">
        <f>Sources!B4409</f>
        <v/>
      </c>
      <c r="C4409">
        <f>Sources!D4409</f>
        <v/>
      </c>
      <c r="D4409">
        <f>Sources!E4409</f>
        <v/>
      </c>
      <c r="E4409">
        <f>Sources!F4409</f>
        <v/>
      </c>
      <c r="F4409">
        <f>Sources!H4409</f>
        <v/>
      </c>
      <c r="G4409">
        <f>IF(ABS(F4409-ROUND(F4409,0))&lt;0.001,1,0)</f>
        <v/>
      </c>
      <c r="H4409">
        <f>IF(G4409=1,F4409,CEILING(F4409,1))</f>
        <v/>
      </c>
      <c r="I4409">
        <f>IF(G4409=1,0,(H4409-F4409)*E4409)</f>
        <v/>
      </c>
      <c r="J4409">
        <f>E4409*F4409</f>
        <v/>
      </c>
    </row>
    <row r="4410">
      <c r="A4410">
        <f>Sources!A4410</f>
        <v/>
      </c>
      <c r="B4410">
        <f>Sources!B4410</f>
        <v/>
      </c>
      <c r="C4410">
        <f>Sources!D4410</f>
        <v/>
      </c>
      <c r="D4410">
        <f>Sources!E4410</f>
        <v/>
      </c>
      <c r="E4410">
        <f>Sources!F4410</f>
        <v/>
      </c>
      <c r="F4410">
        <f>Sources!H4410</f>
        <v/>
      </c>
      <c r="G4410">
        <f>IF(ABS(F4410-ROUND(F4410,0))&lt;0.001,1,0)</f>
        <v/>
      </c>
      <c r="H4410">
        <f>IF(G4410=1,F4410,CEILING(F4410,1))</f>
        <v/>
      </c>
      <c r="I4410">
        <f>IF(G4410=1,0,(H4410-F4410)*E4410)</f>
        <v/>
      </c>
      <c r="J4410">
        <f>E4410*F4410</f>
        <v/>
      </c>
    </row>
    <row r="4411">
      <c r="A4411">
        <f>Sources!A4411</f>
        <v/>
      </c>
      <c r="B4411">
        <f>Sources!B4411</f>
        <v/>
      </c>
      <c r="C4411">
        <f>Sources!D4411</f>
        <v/>
      </c>
      <c r="D4411">
        <f>Sources!E4411</f>
        <v/>
      </c>
      <c r="E4411">
        <f>Sources!F4411</f>
        <v/>
      </c>
      <c r="F4411">
        <f>Sources!H4411</f>
        <v/>
      </c>
      <c r="G4411">
        <f>IF(ABS(F4411-ROUND(F4411,0))&lt;0.001,1,0)</f>
        <v/>
      </c>
      <c r="H4411">
        <f>IF(G4411=1,F4411,CEILING(F4411,1))</f>
        <v/>
      </c>
      <c r="I4411">
        <f>IF(G4411=1,0,(H4411-F4411)*E4411)</f>
        <v/>
      </c>
      <c r="J4411">
        <f>E4411*F4411</f>
        <v/>
      </c>
    </row>
    <row r="4412">
      <c r="A4412">
        <f>Sources!A4412</f>
        <v/>
      </c>
      <c r="B4412">
        <f>Sources!B4412</f>
        <v/>
      </c>
      <c r="C4412">
        <f>Sources!D4412</f>
        <v/>
      </c>
      <c r="D4412">
        <f>Sources!E4412</f>
        <v/>
      </c>
      <c r="E4412">
        <f>Sources!F4412</f>
        <v/>
      </c>
      <c r="F4412">
        <f>Sources!H4412</f>
        <v/>
      </c>
      <c r="G4412">
        <f>IF(ABS(F4412-ROUND(F4412,0))&lt;0.001,1,0)</f>
        <v/>
      </c>
      <c r="H4412">
        <f>IF(G4412=1,F4412,CEILING(F4412,1))</f>
        <v/>
      </c>
      <c r="I4412">
        <f>IF(G4412=1,0,(H4412-F4412)*E4412)</f>
        <v/>
      </c>
      <c r="J4412">
        <f>E4412*F4412</f>
        <v/>
      </c>
    </row>
    <row r="4413">
      <c r="A4413">
        <f>Sources!A4413</f>
        <v/>
      </c>
      <c r="B4413">
        <f>Sources!B4413</f>
        <v/>
      </c>
      <c r="C4413">
        <f>Sources!D4413</f>
        <v/>
      </c>
      <c r="D4413">
        <f>Sources!E4413</f>
        <v/>
      </c>
      <c r="E4413">
        <f>Sources!F4413</f>
        <v/>
      </c>
      <c r="F4413">
        <f>Sources!H4413</f>
        <v/>
      </c>
      <c r="G4413">
        <f>IF(ABS(F4413-ROUND(F4413,0))&lt;0.001,1,0)</f>
        <v/>
      </c>
      <c r="H4413">
        <f>IF(G4413=1,F4413,CEILING(F4413,1))</f>
        <v/>
      </c>
      <c r="I4413">
        <f>IF(G4413=1,0,(H4413-F4413)*E4413)</f>
        <v/>
      </c>
      <c r="J4413">
        <f>E4413*F4413</f>
        <v/>
      </c>
    </row>
    <row r="4414">
      <c r="A4414">
        <f>Sources!A4414</f>
        <v/>
      </c>
      <c r="B4414">
        <f>Sources!B4414</f>
        <v/>
      </c>
      <c r="C4414">
        <f>Sources!D4414</f>
        <v/>
      </c>
      <c r="D4414">
        <f>Sources!E4414</f>
        <v/>
      </c>
      <c r="E4414">
        <f>Sources!F4414</f>
        <v/>
      </c>
      <c r="F4414">
        <f>Sources!H4414</f>
        <v/>
      </c>
      <c r="G4414">
        <f>IF(ABS(F4414-ROUND(F4414,0))&lt;0.001,1,0)</f>
        <v/>
      </c>
      <c r="H4414">
        <f>IF(G4414=1,F4414,CEILING(F4414,1))</f>
        <v/>
      </c>
      <c r="I4414">
        <f>IF(G4414=1,0,(H4414-F4414)*E4414)</f>
        <v/>
      </c>
      <c r="J4414">
        <f>E4414*F4414</f>
        <v/>
      </c>
    </row>
    <row r="4415">
      <c r="A4415">
        <f>Sources!A4415</f>
        <v/>
      </c>
      <c r="B4415">
        <f>Sources!B4415</f>
        <v/>
      </c>
      <c r="C4415">
        <f>Sources!D4415</f>
        <v/>
      </c>
      <c r="D4415">
        <f>Sources!E4415</f>
        <v/>
      </c>
      <c r="E4415">
        <f>Sources!F4415</f>
        <v/>
      </c>
      <c r="F4415">
        <f>Sources!H4415</f>
        <v/>
      </c>
      <c r="G4415">
        <f>IF(ABS(F4415-ROUND(F4415,0))&lt;0.001,1,0)</f>
        <v/>
      </c>
      <c r="H4415">
        <f>IF(G4415=1,F4415,CEILING(F4415,1))</f>
        <v/>
      </c>
      <c r="I4415">
        <f>IF(G4415=1,0,(H4415-F4415)*E4415)</f>
        <v/>
      </c>
      <c r="J4415">
        <f>E4415*F4415</f>
        <v/>
      </c>
    </row>
    <row r="4416">
      <c r="A4416">
        <f>Sources!A4416</f>
        <v/>
      </c>
      <c r="B4416">
        <f>Sources!B4416</f>
        <v/>
      </c>
      <c r="C4416">
        <f>Sources!D4416</f>
        <v/>
      </c>
      <c r="D4416">
        <f>Sources!E4416</f>
        <v/>
      </c>
      <c r="E4416">
        <f>Sources!F4416</f>
        <v/>
      </c>
      <c r="F4416">
        <f>Sources!H4416</f>
        <v/>
      </c>
      <c r="G4416">
        <f>IF(ABS(F4416-ROUND(F4416,0))&lt;0.001,1,0)</f>
        <v/>
      </c>
      <c r="H4416">
        <f>IF(G4416=1,F4416,CEILING(F4416,1))</f>
        <v/>
      </c>
      <c r="I4416">
        <f>IF(G4416=1,0,(H4416-F4416)*E4416)</f>
        <v/>
      </c>
      <c r="J4416">
        <f>E4416*F4416</f>
        <v/>
      </c>
    </row>
    <row r="4417">
      <c r="A4417">
        <f>Sources!A4417</f>
        <v/>
      </c>
      <c r="B4417">
        <f>Sources!B4417</f>
        <v/>
      </c>
      <c r="C4417">
        <f>Sources!D4417</f>
        <v/>
      </c>
      <c r="D4417">
        <f>Sources!E4417</f>
        <v/>
      </c>
      <c r="E4417">
        <f>Sources!F4417</f>
        <v/>
      </c>
      <c r="F4417">
        <f>Sources!H4417</f>
        <v/>
      </c>
      <c r="G4417">
        <f>IF(ABS(F4417-ROUND(F4417,0))&lt;0.001,1,0)</f>
        <v/>
      </c>
      <c r="H4417">
        <f>IF(G4417=1,F4417,CEILING(F4417,1))</f>
        <v/>
      </c>
      <c r="I4417">
        <f>IF(G4417=1,0,(H4417-F4417)*E4417)</f>
        <v/>
      </c>
      <c r="J4417">
        <f>E4417*F4417</f>
        <v/>
      </c>
    </row>
    <row r="4418">
      <c r="A4418">
        <f>Sources!A4418</f>
        <v/>
      </c>
      <c r="B4418">
        <f>Sources!B4418</f>
        <v/>
      </c>
      <c r="C4418">
        <f>Sources!D4418</f>
        <v/>
      </c>
      <c r="D4418">
        <f>Sources!E4418</f>
        <v/>
      </c>
      <c r="E4418">
        <f>Sources!F4418</f>
        <v/>
      </c>
      <c r="F4418">
        <f>Sources!H4418</f>
        <v/>
      </c>
      <c r="G4418">
        <f>IF(ABS(F4418-ROUND(F4418,0))&lt;0.001,1,0)</f>
        <v/>
      </c>
      <c r="H4418">
        <f>IF(G4418=1,F4418,CEILING(F4418,1))</f>
        <v/>
      </c>
      <c r="I4418">
        <f>IF(G4418=1,0,(H4418-F4418)*E4418)</f>
        <v/>
      </c>
      <c r="J4418">
        <f>E4418*F4418</f>
        <v/>
      </c>
    </row>
    <row r="4419">
      <c r="A4419">
        <f>Sources!A4419</f>
        <v/>
      </c>
      <c r="B4419">
        <f>Sources!B4419</f>
        <v/>
      </c>
      <c r="C4419">
        <f>Sources!D4419</f>
        <v/>
      </c>
      <c r="D4419">
        <f>Sources!E4419</f>
        <v/>
      </c>
      <c r="E4419">
        <f>Sources!F4419</f>
        <v/>
      </c>
      <c r="F4419">
        <f>Sources!H4419</f>
        <v/>
      </c>
      <c r="G4419">
        <f>IF(ABS(F4419-ROUND(F4419,0))&lt;0.001,1,0)</f>
        <v/>
      </c>
      <c r="H4419">
        <f>IF(G4419=1,F4419,CEILING(F4419,1))</f>
        <v/>
      </c>
      <c r="I4419">
        <f>IF(G4419=1,0,(H4419-F4419)*E4419)</f>
        <v/>
      </c>
      <c r="J4419">
        <f>E4419*F4419</f>
        <v/>
      </c>
    </row>
    <row r="4420">
      <c r="A4420">
        <f>Sources!A4420</f>
        <v/>
      </c>
      <c r="B4420">
        <f>Sources!B4420</f>
        <v/>
      </c>
      <c r="C4420">
        <f>Sources!D4420</f>
        <v/>
      </c>
      <c r="D4420">
        <f>Sources!E4420</f>
        <v/>
      </c>
      <c r="E4420">
        <f>Sources!F4420</f>
        <v/>
      </c>
      <c r="F4420">
        <f>Sources!H4420</f>
        <v/>
      </c>
      <c r="G4420">
        <f>IF(ABS(F4420-ROUND(F4420,0))&lt;0.001,1,0)</f>
        <v/>
      </c>
      <c r="H4420">
        <f>IF(G4420=1,F4420,CEILING(F4420,1))</f>
        <v/>
      </c>
      <c r="I4420">
        <f>IF(G4420=1,0,(H4420-F4420)*E4420)</f>
        <v/>
      </c>
      <c r="J4420">
        <f>E4420*F4420</f>
        <v/>
      </c>
    </row>
    <row r="4421">
      <c r="A4421">
        <f>Sources!A4421</f>
        <v/>
      </c>
      <c r="B4421">
        <f>Sources!B4421</f>
        <v/>
      </c>
      <c r="C4421">
        <f>Sources!D4421</f>
        <v/>
      </c>
      <c r="D4421">
        <f>Sources!E4421</f>
        <v/>
      </c>
      <c r="E4421">
        <f>Sources!F4421</f>
        <v/>
      </c>
      <c r="F4421">
        <f>Sources!H4421</f>
        <v/>
      </c>
      <c r="G4421">
        <f>IF(ABS(F4421-ROUND(F4421,0))&lt;0.001,1,0)</f>
        <v/>
      </c>
      <c r="H4421">
        <f>IF(G4421=1,F4421,CEILING(F4421,1))</f>
        <v/>
      </c>
      <c r="I4421">
        <f>IF(G4421=1,0,(H4421-F4421)*E4421)</f>
        <v/>
      </c>
      <c r="J4421">
        <f>E4421*F4421</f>
        <v/>
      </c>
    </row>
    <row r="4422">
      <c r="A4422">
        <f>Sources!A4422</f>
        <v/>
      </c>
      <c r="B4422">
        <f>Sources!B4422</f>
        <v/>
      </c>
      <c r="C4422">
        <f>Sources!D4422</f>
        <v/>
      </c>
      <c r="D4422">
        <f>Sources!E4422</f>
        <v/>
      </c>
      <c r="E4422">
        <f>Sources!F4422</f>
        <v/>
      </c>
      <c r="F4422">
        <f>Sources!H4422</f>
        <v/>
      </c>
      <c r="G4422">
        <f>IF(ABS(F4422-ROUND(F4422,0))&lt;0.001,1,0)</f>
        <v/>
      </c>
      <c r="H4422">
        <f>IF(G4422=1,F4422,CEILING(F4422,1))</f>
        <v/>
      </c>
      <c r="I4422">
        <f>IF(G4422=1,0,(H4422-F4422)*E4422)</f>
        <v/>
      </c>
      <c r="J4422">
        <f>E4422*F4422</f>
        <v/>
      </c>
    </row>
    <row r="4423">
      <c r="A4423">
        <f>Sources!A4423</f>
        <v/>
      </c>
      <c r="B4423">
        <f>Sources!B4423</f>
        <v/>
      </c>
      <c r="C4423">
        <f>Sources!D4423</f>
        <v/>
      </c>
      <c r="D4423">
        <f>Sources!E4423</f>
        <v/>
      </c>
      <c r="E4423">
        <f>Sources!F4423</f>
        <v/>
      </c>
      <c r="F4423">
        <f>Sources!H4423</f>
        <v/>
      </c>
      <c r="G4423">
        <f>IF(ABS(F4423-ROUND(F4423,0))&lt;0.001,1,0)</f>
        <v/>
      </c>
      <c r="H4423">
        <f>IF(G4423=1,F4423,CEILING(F4423,1))</f>
        <v/>
      </c>
      <c r="I4423">
        <f>IF(G4423=1,0,(H4423-F4423)*E4423)</f>
        <v/>
      </c>
      <c r="J4423">
        <f>E4423*F4423</f>
        <v/>
      </c>
    </row>
    <row r="4424">
      <c r="A4424">
        <f>Sources!A4424</f>
        <v/>
      </c>
      <c r="B4424">
        <f>Sources!B4424</f>
        <v/>
      </c>
      <c r="C4424">
        <f>Sources!D4424</f>
        <v/>
      </c>
      <c r="D4424">
        <f>Sources!E4424</f>
        <v/>
      </c>
      <c r="E4424">
        <f>Sources!F4424</f>
        <v/>
      </c>
      <c r="F4424">
        <f>Sources!H4424</f>
        <v/>
      </c>
      <c r="G4424">
        <f>IF(ABS(F4424-ROUND(F4424,0))&lt;0.001,1,0)</f>
        <v/>
      </c>
      <c r="H4424">
        <f>IF(G4424=1,F4424,CEILING(F4424,1))</f>
        <v/>
      </c>
      <c r="I4424">
        <f>IF(G4424=1,0,(H4424-F4424)*E4424)</f>
        <v/>
      </c>
      <c r="J4424">
        <f>E4424*F4424</f>
        <v/>
      </c>
    </row>
    <row r="4425">
      <c r="A4425">
        <f>Sources!A4425</f>
        <v/>
      </c>
      <c r="B4425">
        <f>Sources!B4425</f>
        <v/>
      </c>
      <c r="C4425">
        <f>Sources!D4425</f>
        <v/>
      </c>
      <c r="D4425">
        <f>Sources!E4425</f>
        <v/>
      </c>
      <c r="E4425">
        <f>Sources!F4425</f>
        <v/>
      </c>
      <c r="F4425">
        <f>Sources!H4425</f>
        <v/>
      </c>
      <c r="G4425">
        <f>IF(ABS(F4425-ROUND(F4425,0))&lt;0.001,1,0)</f>
        <v/>
      </c>
      <c r="H4425">
        <f>IF(G4425=1,F4425,CEILING(F4425,1))</f>
        <v/>
      </c>
      <c r="I4425">
        <f>IF(G4425=1,0,(H4425-F4425)*E4425)</f>
        <v/>
      </c>
      <c r="J4425">
        <f>E4425*F4425</f>
        <v/>
      </c>
    </row>
    <row r="4426">
      <c r="A4426">
        <f>Sources!A4426</f>
        <v/>
      </c>
      <c r="B4426">
        <f>Sources!B4426</f>
        <v/>
      </c>
      <c r="C4426">
        <f>Sources!D4426</f>
        <v/>
      </c>
      <c r="D4426">
        <f>Sources!E4426</f>
        <v/>
      </c>
      <c r="E4426">
        <f>Sources!F4426</f>
        <v/>
      </c>
      <c r="F4426">
        <f>Sources!H4426</f>
        <v/>
      </c>
      <c r="G4426">
        <f>IF(ABS(F4426-ROUND(F4426,0))&lt;0.001,1,0)</f>
        <v/>
      </c>
      <c r="H4426">
        <f>IF(G4426=1,F4426,CEILING(F4426,1))</f>
        <v/>
      </c>
      <c r="I4426">
        <f>IF(G4426=1,0,(H4426-F4426)*E4426)</f>
        <v/>
      </c>
      <c r="J4426">
        <f>E4426*F4426</f>
        <v/>
      </c>
    </row>
    <row r="4427">
      <c r="A4427">
        <f>Sources!A4427</f>
        <v/>
      </c>
      <c r="B4427">
        <f>Sources!B4427</f>
        <v/>
      </c>
      <c r="C4427">
        <f>Sources!D4427</f>
        <v/>
      </c>
      <c r="D4427">
        <f>Sources!E4427</f>
        <v/>
      </c>
      <c r="E4427">
        <f>Sources!F4427</f>
        <v/>
      </c>
      <c r="F4427">
        <f>Sources!H4427</f>
        <v/>
      </c>
      <c r="G4427">
        <f>IF(ABS(F4427-ROUND(F4427,0))&lt;0.001,1,0)</f>
        <v/>
      </c>
      <c r="H4427">
        <f>IF(G4427=1,F4427,CEILING(F4427,1))</f>
        <v/>
      </c>
      <c r="I4427">
        <f>IF(G4427=1,0,(H4427-F4427)*E4427)</f>
        <v/>
      </c>
      <c r="J4427">
        <f>E4427*F4427</f>
        <v/>
      </c>
    </row>
    <row r="4428">
      <c r="A4428">
        <f>Sources!A4428</f>
        <v/>
      </c>
      <c r="B4428">
        <f>Sources!B4428</f>
        <v/>
      </c>
      <c r="C4428">
        <f>Sources!D4428</f>
        <v/>
      </c>
      <c r="D4428">
        <f>Sources!E4428</f>
        <v/>
      </c>
      <c r="E4428">
        <f>Sources!F4428</f>
        <v/>
      </c>
      <c r="F4428">
        <f>Sources!H4428</f>
        <v/>
      </c>
      <c r="G4428">
        <f>IF(ABS(F4428-ROUND(F4428,0))&lt;0.001,1,0)</f>
        <v/>
      </c>
      <c r="H4428">
        <f>IF(G4428=1,F4428,CEILING(F4428,1))</f>
        <v/>
      </c>
      <c r="I4428">
        <f>IF(G4428=1,0,(H4428-F4428)*E4428)</f>
        <v/>
      </c>
      <c r="J4428">
        <f>E4428*F4428</f>
        <v/>
      </c>
    </row>
    <row r="4429">
      <c r="A4429">
        <f>Sources!A4429</f>
        <v/>
      </c>
      <c r="B4429">
        <f>Sources!B4429</f>
        <v/>
      </c>
      <c r="C4429">
        <f>Sources!D4429</f>
        <v/>
      </c>
      <c r="D4429">
        <f>Sources!E4429</f>
        <v/>
      </c>
      <c r="E4429">
        <f>Sources!F4429</f>
        <v/>
      </c>
      <c r="F4429">
        <f>Sources!H4429</f>
        <v/>
      </c>
      <c r="G4429">
        <f>IF(ABS(F4429-ROUND(F4429,0))&lt;0.001,1,0)</f>
        <v/>
      </c>
      <c r="H4429">
        <f>IF(G4429=1,F4429,CEILING(F4429,1))</f>
        <v/>
      </c>
      <c r="I4429">
        <f>IF(G4429=1,0,(H4429-F4429)*E4429)</f>
        <v/>
      </c>
      <c r="J4429">
        <f>E4429*F4429</f>
        <v/>
      </c>
    </row>
    <row r="4430">
      <c r="A4430">
        <f>Sources!A4430</f>
        <v/>
      </c>
      <c r="B4430">
        <f>Sources!B4430</f>
        <v/>
      </c>
      <c r="C4430">
        <f>Sources!D4430</f>
        <v/>
      </c>
      <c r="D4430">
        <f>Sources!E4430</f>
        <v/>
      </c>
      <c r="E4430">
        <f>Sources!F4430</f>
        <v/>
      </c>
      <c r="F4430">
        <f>Sources!H4430</f>
        <v/>
      </c>
      <c r="G4430">
        <f>IF(ABS(F4430-ROUND(F4430,0))&lt;0.001,1,0)</f>
        <v/>
      </c>
      <c r="H4430">
        <f>IF(G4430=1,F4430,CEILING(F4430,1))</f>
        <v/>
      </c>
      <c r="I4430">
        <f>IF(G4430=1,0,(H4430-F4430)*E4430)</f>
        <v/>
      </c>
      <c r="J4430">
        <f>E4430*F4430</f>
        <v/>
      </c>
    </row>
    <row r="4431">
      <c r="A4431">
        <f>Sources!A4431</f>
        <v/>
      </c>
      <c r="B4431">
        <f>Sources!B4431</f>
        <v/>
      </c>
      <c r="C4431">
        <f>Sources!D4431</f>
        <v/>
      </c>
      <c r="D4431">
        <f>Sources!E4431</f>
        <v/>
      </c>
      <c r="E4431">
        <f>Sources!F4431</f>
        <v/>
      </c>
      <c r="F4431">
        <f>Sources!H4431</f>
        <v/>
      </c>
      <c r="G4431">
        <f>IF(ABS(F4431-ROUND(F4431,0))&lt;0.001,1,0)</f>
        <v/>
      </c>
      <c r="H4431">
        <f>IF(G4431=1,F4431,CEILING(F4431,1))</f>
        <v/>
      </c>
      <c r="I4431">
        <f>IF(G4431=1,0,(H4431-F4431)*E4431)</f>
        <v/>
      </c>
      <c r="J4431">
        <f>E4431*F4431</f>
        <v/>
      </c>
    </row>
    <row r="4432">
      <c r="A4432">
        <f>Sources!A4432</f>
        <v/>
      </c>
      <c r="B4432">
        <f>Sources!B4432</f>
        <v/>
      </c>
      <c r="C4432">
        <f>Sources!D4432</f>
        <v/>
      </c>
      <c r="D4432">
        <f>Sources!E4432</f>
        <v/>
      </c>
      <c r="E4432">
        <f>Sources!F4432</f>
        <v/>
      </c>
      <c r="F4432">
        <f>Sources!H4432</f>
        <v/>
      </c>
      <c r="G4432">
        <f>IF(ABS(F4432-ROUND(F4432,0))&lt;0.001,1,0)</f>
        <v/>
      </c>
      <c r="H4432">
        <f>IF(G4432=1,F4432,CEILING(F4432,1))</f>
        <v/>
      </c>
      <c r="I4432">
        <f>IF(G4432=1,0,(H4432-F4432)*E4432)</f>
        <v/>
      </c>
      <c r="J4432">
        <f>E4432*F4432</f>
        <v/>
      </c>
    </row>
    <row r="4433">
      <c r="A4433">
        <f>Sources!A4433</f>
        <v/>
      </c>
      <c r="B4433">
        <f>Sources!B4433</f>
        <v/>
      </c>
      <c r="C4433">
        <f>Sources!D4433</f>
        <v/>
      </c>
      <c r="D4433">
        <f>Sources!E4433</f>
        <v/>
      </c>
      <c r="E4433">
        <f>Sources!F4433</f>
        <v/>
      </c>
      <c r="F4433">
        <f>Sources!H4433</f>
        <v/>
      </c>
      <c r="G4433">
        <f>IF(ABS(F4433-ROUND(F4433,0))&lt;0.001,1,0)</f>
        <v/>
      </c>
      <c r="H4433">
        <f>IF(G4433=1,F4433,CEILING(F4433,1))</f>
        <v/>
      </c>
      <c r="I4433">
        <f>IF(G4433=1,0,(H4433-F4433)*E4433)</f>
        <v/>
      </c>
      <c r="J4433">
        <f>E4433*F4433</f>
        <v/>
      </c>
    </row>
    <row r="4434">
      <c r="A4434">
        <f>Sources!A4434</f>
        <v/>
      </c>
      <c r="B4434">
        <f>Sources!B4434</f>
        <v/>
      </c>
      <c r="C4434">
        <f>Sources!D4434</f>
        <v/>
      </c>
      <c r="D4434">
        <f>Sources!E4434</f>
        <v/>
      </c>
      <c r="E4434">
        <f>Sources!F4434</f>
        <v/>
      </c>
      <c r="F4434">
        <f>Sources!H4434</f>
        <v/>
      </c>
      <c r="G4434">
        <f>IF(ABS(F4434-ROUND(F4434,0))&lt;0.001,1,0)</f>
        <v/>
      </c>
      <c r="H4434">
        <f>IF(G4434=1,F4434,CEILING(F4434,1))</f>
        <v/>
      </c>
      <c r="I4434">
        <f>IF(G4434=1,0,(H4434-F4434)*E4434)</f>
        <v/>
      </c>
      <c r="J4434">
        <f>E4434*F4434</f>
        <v/>
      </c>
    </row>
    <row r="4435">
      <c r="A4435">
        <f>Sources!A4435</f>
        <v/>
      </c>
      <c r="B4435">
        <f>Sources!B4435</f>
        <v/>
      </c>
      <c r="C4435">
        <f>Sources!D4435</f>
        <v/>
      </c>
      <c r="D4435">
        <f>Sources!E4435</f>
        <v/>
      </c>
      <c r="E4435">
        <f>Sources!F4435</f>
        <v/>
      </c>
      <c r="F4435">
        <f>Sources!H4435</f>
        <v/>
      </c>
      <c r="G4435">
        <f>IF(ABS(F4435-ROUND(F4435,0))&lt;0.001,1,0)</f>
        <v/>
      </c>
      <c r="H4435">
        <f>IF(G4435=1,F4435,CEILING(F4435,1))</f>
        <v/>
      </c>
      <c r="I4435">
        <f>IF(G4435=1,0,(H4435-F4435)*E4435)</f>
        <v/>
      </c>
      <c r="J4435">
        <f>E4435*F4435</f>
        <v/>
      </c>
    </row>
    <row r="4436">
      <c r="A4436">
        <f>Sources!A4436</f>
        <v/>
      </c>
      <c r="B4436">
        <f>Sources!B4436</f>
        <v/>
      </c>
      <c r="C4436">
        <f>Sources!D4436</f>
        <v/>
      </c>
      <c r="D4436">
        <f>Sources!E4436</f>
        <v/>
      </c>
      <c r="E4436">
        <f>Sources!F4436</f>
        <v/>
      </c>
      <c r="F4436">
        <f>Sources!H4436</f>
        <v/>
      </c>
      <c r="G4436">
        <f>IF(ABS(F4436-ROUND(F4436,0))&lt;0.001,1,0)</f>
        <v/>
      </c>
      <c r="H4436">
        <f>IF(G4436=1,F4436,CEILING(F4436,1))</f>
        <v/>
      </c>
      <c r="I4436">
        <f>IF(G4436=1,0,(H4436-F4436)*E4436)</f>
        <v/>
      </c>
      <c r="J4436">
        <f>E4436*F4436</f>
        <v/>
      </c>
    </row>
    <row r="4437">
      <c r="A4437">
        <f>Sources!A4437</f>
        <v/>
      </c>
      <c r="B4437">
        <f>Sources!B4437</f>
        <v/>
      </c>
      <c r="C4437">
        <f>Sources!D4437</f>
        <v/>
      </c>
      <c r="D4437">
        <f>Sources!E4437</f>
        <v/>
      </c>
      <c r="E4437">
        <f>Sources!F4437</f>
        <v/>
      </c>
      <c r="F4437">
        <f>Sources!H4437</f>
        <v/>
      </c>
      <c r="G4437">
        <f>IF(ABS(F4437-ROUND(F4437,0))&lt;0.001,1,0)</f>
        <v/>
      </c>
      <c r="H4437">
        <f>IF(G4437=1,F4437,CEILING(F4437,1))</f>
        <v/>
      </c>
      <c r="I4437">
        <f>IF(G4437=1,0,(H4437-F4437)*E4437)</f>
        <v/>
      </c>
      <c r="J4437">
        <f>E4437*F4437</f>
        <v/>
      </c>
    </row>
    <row r="4438">
      <c r="A4438">
        <f>Sources!A4438</f>
        <v/>
      </c>
      <c r="B4438">
        <f>Sources!B4438</f>
        <v/>
      </c>
      <c r="C4438">
        <f>Sources!D4438</f>
        <v/>
      </c>
      <c r="D4438">
        <f>Sources!E4438</f>
        <v/>
      </c>
      <c r="E4438">
        <f>Sources!F4438</f>
        <v/>
      </c>
      <c r="F4438">
        <f>Sources!H4438</f>
        <v/>
      </c>
      <c r="G4438">
        <f>IF(ABS(F4438-ROUND(F4438,0))&lt;0.001,1,0)</f>
        <v/>
      </c>
      <c r="H4438">
        <f>IF(G4438=1,F4438,CEILING(F4438,1))</f>
        <v/>
      </c>
      <c r="I4438">
        <f>IF(G4438=1,0,(H4438-F4438)*E4438)</f>
        <v/>
      </c>
      <c r="J4438">
        <f>E4438*F4438</f>
        <v/>
      </c>
    </row>
    <row r="4439">
      <c r="A4439">
        <f>Sources!A4439</f>
        <v/>
      </c>
      <c r="B4439">
        <f>Sources!B4439</f>
        <v/>
      </c>
      <c r="C4439">
        <f>Sources!D4439</f>
        <v/>
      </c>
      <c r="D4439">
        <f>Sources!E4439</f>
        <v/>
      </c>
      <c r="E4439">
        <f>Sources!F4439</f>
        <v/>
      </c>
      <c r="F4439">
        <f>Sources!H4439</f>
        <v/>
      </c>
      <c r="G4439">
        <f>IF(ABS(F4439-ROUND(F4439,0))&lt;0.001,1,0)</f>
        <v/>
      </c>
      <c r="H4439">
        <f>IF(G4439=1,F4439,CEILING(F4439,1))</f>
        <v/>
      </c>
      <c r="I4439">
        <f>IF(G4439=1,0,(H4439-F4439)*E4439)</f>
        <v/>
      </c>
      <c r="J4439">
        <f>E4439*F4439</f>
        <v/>
      </c>
    </row>
    <row r="4440">
      <c r="A4440">
        <f>Sources!A4440</f>
        <v/>
      </c>
      <c r="B4440">
        <f>Sources!B4440</f>
        <v/>
      </c>
      <c r="C4440">
        <f>Sources!D4440</f>
        <v/>
      </c>
      <c r="D4440">
        <f>Sources!E4440</f>
        <v/>
      </c>
      <c r="E4440">
        <f>Sources!F4440</f>
        <v/>
      </c>
      <c r="F4440">
        <f>Sources!H4440</f>
        <v/>
      </c>
      <c r="G4440">
        <f>IF(ABS(F4440-ROUND(F4440,0))&lt;0.001,1,0)</f>
        <v/>
      </c>
      <c r="H4440">
        <f>IF(G4440=1,F4440,CEILING(F4440,1))</f>
        <v/>
      </c>
      <c r="I4440">
        <f>IF(G4440=1,0,(H4440-F4440)*E4440)</f>
        <v/>
      </c>
      <c r="J4440">
        <f>E4440*F4440</f>
        <v/>
      </c>
    </row>
    <row r="4441">
      <c r="A4441">
        <f>Sources!A4441</f>
        <v/>
      </c>
      <c r="B4441">
        <f>Sources!B4441</f>
        <v/>
      </c>
      <c r="C4441">
        <f>Sources!D4441</f>
        <v/>
      </c>
      <c r="D4441">
        <f>Sources!E4441</f>
        <v/>
      </c>
      <c r="E4441">
        <f>Sources!F4441</f>
        <v/>
      </c>
      <c r="F4441">
        <f>Sources!H4441</f>
        <v/>
      </c>
      <c r="G4441">
        <f>IF(ABS(F4441-ROUND(F4441,0))&lt;0.001,1,0)</f>
        <v/>
      </c>
      <c r="H4441">
        <f>IF(G4441=1,F4441,CEILING(F4441,1))</f>
        <v/>
      </c>
      <c r="I4441">
        <f>IF(G4441=1,0,(H4441-F4441)*E4441)</f>
        <v/>
      </c>
      <c r="J4441">
        <f>E4441*F4441</f>
        <v/>
      </c>
    </row>
    <row r="4442">
      <c r="A4442">
        <f>Sources!A4442</f>
        <v/>
      </c>
      <c r="B4442">
        <f>Sources!B4442</f>
        <v/>
      </c>
      <c r="C4442">
        <f>Sources!D4442</f>
        <v/>
      </c>
      <c r="D4442">
        <f>Sources!E4442</f>
        <v/>
      </c>
      <c r="E4442">
        <f>Sources!F4442</f>
        <v/>
      </c>
      <c r="F4442">
        <f>Sources!H4442</f>
        <v/>
      </c>
      <c r="G4442">
        <f>IF(ABS(F4442-ROUND(F4442,0))&lt;0.001,1,0)</f>
        <v/>
      </c>
      <c r="H4442">
        <f>IF(G4442=1,F4442,CEILING(F4442,1))</f>
        <v/>
      </c>
      <c r="I4442">
        <f>IF(G4442=1,0,(H4442-F4442)*E4442)</f>
        <v/>
      </c>
      <c r="J4442">
        <f>E4442*F4442</f>
        <v/>
      </c>
    </row>
    <row r="4443">
      <c r="A4443">
        <f>Sources!A4443</f>
        <v/>
      </c>
      <c r="B4443">
        <f>Sources!B4443</f>
        <v/>
      </c>
      <c r="C4443">
        <f>Sources!D4443</f>
        <v/>
      </c>
      <c r="D4443">
        <f>Sources!E4443</f>
        <v/>
      </c>
      <c r="E4443">
        <f>Sources!F4443</f>
        <v/>
      </c>
      <c r="F4443">
        <f>Sources!H4443</f>
        <v/>
      </c>
      <c r="G4443">
        <f>IF(ABS(F4443-ROUND(F4443,0))&lt;0.001,1,0)</f>
        <v/>
      </c>
      <c r="H4443">
        <f>IF(G4443=1,F4443,CEILING(F4443,1))</f>
        <v/>
      </c>
      <c r="I4443">
        <f>IF(G4443=1,0,(H4443-F4443)*E4443)</f>
        <v/>
      </c>
      <c r="J4443">
        <f>E4443*F4443</f>
        <v/>
      </c>
    </row>
    <row r="4444">
      <c r="A4444">
        <f>Sources!A4444</f>
        <v/>
      </c>
      <c r="B4444">
        <f>Sources!B4444</f>
        <v/>
      </c>
      <c r="C4444">
        <f>Sources!D4444</f>
        <v/>
      </c>
      <c r="D4444">
        <f>Sources!E4444</f>
        <v/>
      </c>
      <c r="E4444">
        <f>Sources!F4444</f>
        <v/>
      </c>
      <c r="F4444">
        <f>Sources!H4444</f>
        <v/>
      </c>
      <c r="G4444">
        <f>IF(ABS(F4444-ROUND(F4444,0))&lt;0.001,1,0)</f>
        <v/>
      </c>
      <c r="H4444">
        <f>IF(G4444=1,F4444,CEILING(F4444,1))</f>
        <v/>
      </c>
      <c r="I4444">
        <f>IF(G4444=1,0,(H4444-F4444)*E4444)</f>
        <v/>
      </c>
      <c r="J4444">
        <f>E4444*F4444</f>
        <v/>
      </c>
    </row>
    <row r="4445">
      <c r="A4445">
        <f>Sources!A4445</f>
        <v/>
      </c>
      <c r="B4445">
        <f>Sources!B4445</f>
        <v/>
      </c>
      <c r="C4445">
        <f>Sources!D4445</f>
        <v/>
      </c>
      <c r="D4445">
        <f>Sources!E4445</f>
        <v/>
      </c>
      <c r="E4445">
        <f>Sources!F4445</f>
        <v/>
      </c>
      <c r="F4445">
        <f>Sources!H4445</f>
        <v/>
      </c>
      <c r="G4445">
        <f>IF(ABS(F4445-ROUND(F4445,0))&lt;0.001,1,0)</f>
        <v/>
      </c>
      <c r="H4445">
        <f>IF(G4445=1,F4445,CEILING(F4445,1))</f>
        <v/>
      </c>
      <c r="I4445">
        <f>IF(G4445=1,0,(H4445-F4445)*E4445)</f>
        <v/>
      </c>
      <c r="J4445">
        <f>E4445*F4445</f>
        <v/>
      </c>
    </row>
    <row r="4446">
      <c r="A4446">
        <f>Sources!A4446</f>
        <v/>
      </c>
      <c r="B4446">
        <f>Sources!B4446</f>
        <v/>
      </c>
      <c r="C4446">
        <f>Sources!D4446</f>
        <v/>
      </c>
      <c r="D4446">
        <f>Sources!E4446</f>
        <v/>
      </c>
      <c r="E4446">
        <f>Sources!F4446</f>
        <v/>
      </c>
      <c r="F4446">
        <f>Sources!H4446</f>
        <v/>
      </c>
      <c r="G4446">
        <f>IF(ABS(F4446-ROUND(F4446,0))&lt;0.001,1,0)</f>
        <v/>
      </c>
      <c r="H4446">
        <f>IF(G4446=1,F4446,CEILING(F4446,1))</f>
        <v/>
      </c>
      <c r="I4446">
        <f>IF(G4446=1,0,(H4446-F4446)*E4446)</f>
        <v/>
      </c>
      <c r="J4446">
        <f>E4446*F4446</f>
        <v/>
      </c>
    </row>
    <row r="4447">
      <c r="A4447">
        <f>Sources!A4447</f>
        <v/>
      </c>
      <c r="B4447">
        <f>Sources!B4447</f>
        <v/>
      </c>
      <c r="C4447">
        <f>Sources!D4447</f>
        <v/>
      </c>
      <c r="D4447">
        <f>Sources!E4447</f>
        <v/>
      </c>
      <c r="E4447">
        <f>Sources!F4447</f>
        <v/>
      </c>
      <c r="F4447">
        <f>Sources!H4447</f>
        <v/>
      </c>
      <c r="G4447">
        <f>IF(ABS(F4447-ROUND(F4447,0))&lt;0.001,1,0)</f>
        <v/>
      </c>
      <c r="H4447">
        <f>IF(G4447=1,F4447,CEILING(F4447,1))</f>
        <v/>
      </c>
      <c r="I4447">
        <f>IF(G4447=1,0,(H4447-F4447)*E4447)</f>
        <v/>
      </c>
      <c r="J4447">
        <f>E4447*F4447</f>
        <v/>
      </c>
    </row>
    <row r="4448">
      <c r="A4448">
        <f>Sources!A4448</f>
        <v/>
      </c>
      <c r="B4448">
        <f>Sources!B4448</f>
        <v/>
      </c>
      <c r="C4448">
        <f>Sources!D4448</f>
        <v/>
      </c>
      <c r="D4448">
        <f>Sources!E4448</f>
        <v/>
      </c>
      <c r="E4448">
        <f>Sources!F4448</f>
        <v/>
      </c>
      <c r="F4448">
        <f>Sources!H4448</f>
        <v/>
      </c>
      <c r="G4448">
        <f>IF(ABS(F4448-ROUND(F4448,0))&lt;0.001,1,0)</f>
        <v/>
      </c>
      <c r="H4448">
        <f>IF(G4448=1,F4448,CEILING(F4448,1))</f>
        <v/>
      </c>
      <c r="I4448">
        <f>IF(G4448=1,0,(H4448-F4448)*E4448)</f>
        <v/>
      </c>
      <c r="J4448">
        <f>E4448*F4448</f>
        <v/>
      </c>
    </row>
    <row r="4449">
      <c r="A4449">
        <f>Sources!A4449</f>
        <v/>
      </c>
      <c r="B4449">
        <f>Sources!B4449</f>
        <v/>
      </c>
      <c r="C4449">
        <f>Sources!D4449</f>
        <v/>
      </c>
      <c r="D4449">
        <f>Sources!E4449</f>
        <v/>
      </c>
      <c r="E4449">
        <f>Sources!F4449</f>
        <v/>
      </c>
      <c r="F4449">
        <f>Sources!H4449</f>
        <v/>
      </c>
      <c r="G4449">
        <f>IF(ABS(F4449-ROUND(F4449,0))&lt;0.001,1,0)</f>
        <v/>
      </c>
      <c r="H4449">
        <f>IF(G4449=1,F4449,CEILING(F4449,1))</f>
        <v/>
      </c>
      <c r="I4449">
        <f>IF(G4449=1,0,(H4449-F4449)*E4449)</f>
        <v/>
      </c>
      <c r="J4449">
        <f>E4449*F4449</f>
        <v/>
      </c>
    </row>
    <row r="4450">
      <c r="A4450">
        <f>Sources!A4450</f>
        <v/>
      </c>
      <c r="B4450">
        <f>Sources!B4450</f>
        <v/>
      </c>
      <c r="C4450">
        <f>Sources!D4450</f>
        <v/>
      </c>
      <c r="D4450">
        <f>Sources!E4450</f>
        <v/>
      </c>
      <c r="E4450">
        <f>Sources!F4450</f>
        <v/>
      </c>
      <c r="F4450">
        <f>Sources!H4450</f>
        <v/>
      </c>
      <c r="G4450">
        <f>IF(ABS(F4450-ROUND(F4450,0))&lt;0.001,1,0)</f>
        <v/>
      </c>
      <c r="H4450">
        <f>IF(G4450=1,F4450,CEILING(F4450,1))</f>
        <v/>
      </c>
      <c r="I4450">
        <f>IF(G4450=1,0,(H4450-F4450)*E4450)</f>
        <v/>
      </c>
      <c r="J4450">
        <f>E4450*F4450</f>
        <v/>
      </c>
    </row>
    <row r="4451">
      <c r="A4451">
        <f>Sources!A4451</f>
        <v/>
      </c>
      <c r="B4451">
        <f>Sources!B4451</f>
        <v/>
      </c>
      <c r="C4451">
        <f>Sources!D4451</f>
        <v/>
      </c>
      <c r="D4451">
        <f>Sources!E4451</f>
        <v/>
      </c>
      <c r="E4451">
        <f>Sources!F4451</f>
        <v/>
      </c>
      <c r="F4451">
        <f>Sources!H4451</f>
        <v/>
      </c>
      <c r="G4451">
        <f>IF(ABS(F4451-ROUND(F4451,0))&lt;0.001,1,0)</f>
        <v/>
      </c>
      <c r="H4451">
        <f>IF(G4451=1,F4451,CEILING(F4451,1))</f>
        <v/>
      </c>
      <c r="I4451">
        <f>IF(G4451=1,0,(H4451-F4451)*E4451)</f>
        <v/>
      </c>
      <c r="J4451">
        <f>E4451*F4451</f>
        <v/>
      </c>
    </row>
    <row r="4452">
      <c r="A4452">
        <f>Sources!A4452</f>
        <v/>
      </c>
      <c r="B4452">
        <f>Sources!B4452</f>
        <v/>
      </c>
      <c r="C4452">
        <f>Sources!D4452</f>
        <v/>
      </c>
      <c r="D4452">
        <f>Sources!E4452</f>
        <v/>
      </c>
      <c r="E4452">
        <f>Sources!F4452</f>
        <v/>
      </c>
      <c r="F4452">
        <f>Sources!H4452</f>
        <v/>
      </c>
      <c r="G4452">
        <f>IF(ABS(F4452-ROUND(F4452,0))&lt;0.001,1,0)</f>
        <v/>
      </c>
      <c r="H4452">
        <f>IF(G4452=1,F4452,CEILING(F4452,1))</f>
        <v/>
      </c>
      <c r="I4452">
        <f>IF(G4452=1,0,(H4452-F4452)*E4452)</f>
        <v/>
      </c>
      <c r="J4452">
        <f>E4452*F4452</f>
        <v/>
      </c>
    </row>
    <row r="4453">
      <c r="A4453">
        <f>Sources!A4453</f>
        <v/>
      </c>
      <c r="B4453">
        <f>Sources!B4453</f>
        <v/>
      </c>
      <c r="C4453">
        <f>Sources!D4453</f>
        <v/>
      </c>
      <c r="D4453">
        <f>Sources!E4453</f>
        <v/>
      </c>
      <c r="E4453">
        <f>Sources!F4453</f>
        <v/>
      </c>
      <c r="F4453">
        <f>Sources!H4453</f>
        <v/>
      </c>
      <c r="G4453">
        <f>IF(ABS(F4453-ROUND(F4453,0))&lt;0.001,1,0)</f>
        <v/>
      </c>
      <c r="H4453">
        <f>IF(G4453=1,F4453,CEILING(F4453,1))</f>
        <v/>
      </c>
      <c r="I4453">
        <f>IF(G4453=1,0,(H4453-F4453)*E4453)</f>
        <v/>
      </c>
      <c r="J4453">
        <f>E4453*F4453</f>
        <v/>
      </c>
    </row>
    <row r="4454">
      <c r="A4454">
        <f>Sources!A4454</f>
        <v/>
      </c>
      <c r="B4454">
        <f>Sources!B4454</f>
        <v/>
      </c>
      <c r="C4454">
        <f>Sources!D4454</f>
        <v/>
      </c>
      <c r="D4454">
        <f>Sources!E4454</f>
        <v/>
      </c>
      <c r="E4454">
        <f>Sources!F4454</f>
        <v/>
      </c>
      <c r="F4454">
        <f>Sources!H4454</f>
        <v/>
      </c>
      <c r="G4454">
        <f>IF(ABS(F4454-ROUND(F4454,0))&lt;0.001,1,0)</f>
        <v/>
      </c>
      <c r="H4454">
        <f>IF(G4454=1,F4454,CEILING(F4454,1))</f>
        <v/>
      </c>
      <c r="I4454">
        <f>IF(G4454=1,0,(H4454-F4454)*E4454)</f>
        <v/>
      </c>
      <c r="J4454">
        <f>E4454*F4454</f>
        <v/>
      </c>
    </row>
    <row r="4455">
      <c r="A4455">
        <f>Sources!A4455</f>
        <v/>
      </c>
      <c r="B4455">
        <f>Sources!B4455</f>
        <v/>
      </c>
      <c r="C4455">
        <f>Sources!D4455</f>
        <v/>
      </c>
      <c r="D4455">
        <f>Sources!E4455</f>
        <v/>
      </c>
      <c r="E4455">
        <f>Sources!F4455</f>
        <v/>
      </c>
      <c r="F4455">
        <f>Sources!H4455</f>
        <v/>
      </c>
      <c r="G4455">
        <f>IF(ABS(F4455-ROUND(F4455,0))&lt;0.001,1,0)</f>
        <v/>
      </c>
      <c r="H4455">
        <f>IF(G4455=1,F4455,CEILING(F4455,1))</f>
        <v/>
      </c>
      <c r="I4455">
        <f>IF(G4455=1,0,(H4455-F4455)*E4455)</f>
        <v/>
      </c>
      <c r="J4455">
        <f>E4455*F4455</f>
        <v/>
      </c>
    </row>
    <row r="4456">
      <c r="A4456">
        <f>Sources!A4456</f>
        <v/>
      </c>
      <c r="B4456">
        <f>Sources!B4456</f>
        <v/>
      </c>
      <c r="C4456">
        <f>Sources!D4456</f>
        <v/>
      </c>
      <c r="D4456">
        <f>Sources!E4456</f>
        <v/>
      </c>
      <c r="E4456">
        <f>Sources!F4456</f>
        <v/>
      </c>
      <c r="F4456">
        <f>Sources!H4456</f>
        <v/>
      </c>
      <c r="G4456">
        <f>IF(ABS(F4456-ROUND(F4456,0))&lt;0.001,1,0)</f>
        <v/>
      </c>
      <c r="H4456">
        <f>IF(G4456=1,F4456,CEILING(F4456,1))</f>
        <v/>
      </c>
      <c r="I4456">
        <f>IF(G4456=1,0,(H4456-F4456)*E4456)</f>
        <v/>
      </c>
      <c r="J4456">
        <f>E4456*F4456</f>
        <v/>
      </c>
    </row>
    <row r="4457">
      <c r="A4457">
        <f>Sources!A4457</f>
        <v/>
      </c>
      <c r="B4457">
        <f>Sources!B4457</f>
        <v/>
      </c>
      <c r="C4457">
        <f>Sources!D4457</f>
        <v/>
      </c>
      <c r="D4457">
        <f>Sources!E4457</f>
        <v/>
      </c>
      <c r="E4457">
        <f>Sources!F4457</f>
        <v/>
      </c>
      <c r="F4457">
        <f>Sources!H4457</f>
        <v/>
      </c>
      <c r="G4457">
        <f>IF(ABS(F4457-ROUND(F4457,0))&lt;0.001,1,0)</f>
        <v/>
      </c>
      <c r="H4457">
        <f>IF(G4457=1,F4457,CEILING(F4457,1))</f>
        <v/>
      </c>
      <c r="I4457">
        <f>IF(G4457=1,0,(H4457-F4457)*E4457)</f>
        <v/>
      </c>
      <c r="J4457">
        <f>E4457*F4457</f>
        <v/>
      </c>
    </row>
    <row r="4458">
      <c r="A4458">
        <f>Sources!A4458</f>
        <v/>
      </c>
      <c r="B4458">
        <f>Sources!B4458</f>
        <v/>
      </c>
      <c r="C4458">
        <f>Sources!D4458</f>
        <v/>
      </c>
      <c r="D4458">
        <f>Sources!E4458</f>
        <v/>
      </c>
      <c r="E4458">
        <f>Sources!F4458</f>
        <v/>
      </c>
      <c r="F4458">
        <f>Sources!H4458</f>
        <v/>
      </c>
      <c r="G4458">
        <f>IF(ABS(F4458-ROUND(F4458,0))&lt;0.001,1,0)</f>
        <v/>
      </c>
      <c r="H4458">
        <f>IF(G4458=1,F4458,CEILING(F4458,1))</f>
        <v/>
      </c>
      <c r="I4458">
        <f>IF(G4458=1,0,(H4458-F4458)*E4458)</f>
        <v/>
      </c>
      <c r="J4458">
        <f>E4458*F4458</f>
        <v/>
      </c>
    </row>
    <row r="4459">
      <c r="A4459">
        <f>Sources!A4459</f>
        <v/>
      </c>
      <c r="B4459">
        <f>Sources!B4459</f>
        <v/>
      </c>
      <c r="C4459">
        <f>Sources!D4459</f>
        <v/>
      </c>
      <c r="D4459">
        <f>Sources!E4459</f>
        <v/>
      </c>
      <c r="E4459">
        <f>Sources!F4459</f>
        <v/>
      </c>
      <c r="F4459">
        <f>Sources!H4459</f>
        <v/>
      </c>
      <c r="G4459">
        <f>IF(ABS(F4459-ROUND(F4459,0))&lt;0.001,1,0)</f>
        <v/>
      </c>
      <c r="H4459">
        <f>IF(G4459=1,F4459,CEILING(F4459,1))</f>
        <v/>
      </c>
      <c r="I4459">
        <f>IF(G4459=1,0,(H4459-F4459)*E4459)</f>
        <v/>
      </c>
      <c r="J4459">
        <f>E4459*F4459</f>
        <v/>
      </c>
    </row>
    <row r="4460">
      <c r="A4460">
        <f>Sources!A4460</f>
        <v/>
      </c>
      <c r="B4460">
        <f>Sources!B4460</f>
        <v/>
      </c>
      <c r="C4460">
        <f>Sources!D4460</f>
        <v/>
      </c>
      <c r="D4460">
        <f>Sources!E4460</f>
        <v/>
      </c>
      <c r="E4460">
        <f>Sources!F4460</f>
        <v/>
      </c>
      <c r="F4460">
        <f>Sources!H4460</f>
        <v/>
      </c>
      <c r="G4460">
        <f>IF(ABS(F4460-ROUND(F4460,0))&lt;0.001,1,0)</f>
        <v/>
      </c>
      <c r="H4460">
        <f>IF(G4460=1,F4460,CEILING(F4460,1))</f>
        <v/>
      </c>
      <c r="I4460">
        <f>IF(G4460=1,0,(H4460-F4460)*E4460)</f>
        <v/>
      </c>
      <c r="J4460">
        <f>E4460*F4460</f>
        <v/>
      </c>
    </row>
    <row r="4461">
      <c r="A4461">
        <f>Sources!A4461</f>
        <v/>
      </c>
      <c r="B4461">
        <f>Sources!B4461</f>
        <v/>
      </c>
      <c r="C4461">
        <f>Sources!D4461</f>
        <v/>
      </c>
      <c r="D4461">
        <f>Sources!E4461</f>
        <v/>
      </c>
      <c r="E4461">
        <f>Sources!F4461</f>
        <v/>
      </c>
      <c r="F4461">
        <f>Sources!H4461</f>
        <v/>
      </c>
      <c r="G4461">
        <f>IF(ABS(F4461-ROUND(F4461,0))&lt;0.001,1,0)</f>
        <v/>
      </c>
      <c r="H4461">
        <f>IF(G4461=1,F4461,CEILING(F4461,1))</f>
        <v/>
      </c>
      <c r="I4461">
        <f>IF(G4461=1,0,(H4461-F4461)*E4461)</f>
        <v/>
      </c>
      <c r="J4461">
        <f>E4461*F4461</f>
        <v/>
      </c>
    </row>
    <row r="4462">
      <c r="A4462">
        <f>Sources!A4462</f>
        <v/>
      </c>
      <c r="B4462">
        <f>Sources!B4462</f>
        <v/>
      </c>
      <c r="C4462">
        <f>Sources!D4462</f>
        <v/>
      </c>
      <c r="D4462">
        <f>Sources!E4462</f>
        <v/>
      </c>
      <c r="E4462">
        <f>Sources!F4462</f>
        <v/>
      </c>
      <c r="F4462">
        <f>Sources!H4462</f>
        <v/>
      </c>
      <c r="G4462">
        <f>IF(ABS(F4462-ROUND(F4462,0))&lt;0.001,1,0)</f>
        <v/>
      </c>
      <c r="H4462">
        <f>IF(G4462=1,F4462,CEILING(F4462,1))</f>
        <v/>
      </c>
      <c r="I4462">
        <f>IF(G4462=1,0,(H4462-F4462)*E4462)</f>
        <v/>
      </c>
      <c r="J4462">
        <f>E4462*F4462</f>
        <v/>
      </c>
    </row>
    <row r="4463">
      <c r="A4463">
        <f>Sources!A4463</f>
        <v/>
      </c>
      <c r="B4463">
        <f>Sources!B4463</f>
        <v/>
      </c>
      <c r="C4463">
        <f>Sources!D4463</f>
        <v/>
      </c>
      <c r="D4463">
        <f>Sources!E4463</f>
        <v/>
      </c>
      <c r="E4463">
        <f>Sources!F4463</f>
        <v/>
      </c>
      <c r="F4463">
        <f>Sources!H4463</f>
        <v/>
      </c>
      <c r="G4463">
        <f>IF(ABS(F4463-ROUND(F4463,0))&lt;0.001,1,0)</f>
        <v/>
      </c>
      <c r="H4463">
        <f>IF(G4463=1,F4463,CEILING(F4463,1))</f>
        <v/>
      </c>
      <c r="I4463">
        <f>IF(G4463=1,0,(H4463-F4463)*E4463)</f>
        <v/>
      </c>
      <c r="J4463">
        <f>E4463*F4463</f>
        <v/>
      </c>
    </row>
    <row r="4464">
      <c r="A4464">
        <f>Sources!A4464</f>
        <v/>
      </c>
      <c r="B4464">
        <f>Sources!B4464</f>
        <v/>
      </c>
      <c r="C4464">
        <f>Sources!D4464</f>
        <v/>
      </c>
      <c r="D4464">
        <f>Sources!E4464</f>
        <v/>
      </c>
      <c r="E4464">
        <f>Sources!F4464</f>
        <v/>
      </c>
      <c r="F4464">
        <f>Sources!H4464</f>
        <v/>
      </c>
      <c r="G4464">
        <f>IF(ABS(F4464-ROUND(F4464,0))&lt;0.001,1,0)</f>
        <v/>
      </c>
      <c r="H4464">
        <f>IF(G4464=1,F4464,CEILING(F4464,1))</f>
        <v/>
      </c>
      <c r="I4464">
        <f>IF(G4464=1,0,(H4464-F4464)*E4464)</f>
        <v/>
      </c>
      <c r="J4464">
        <f>E4464*F4464</f>
        <v/>
      </c>
    </row>
    <row r="4465">
      <c r="A4465">
        <f>Sources!A4465</f>
        <v/>
      </c>
      <c r="B4465">
        <f>Sources!B4465</f>
        <v/>
      </c>
      <c r="C4465">
        <f>Sources!D4465</f>
        <v/>
      </c>
      <c r="D4465">
        <f>Sources!E4465</f>
        <v/>
      </c>
      <c r="E4465">
        <f>Sources!F4465</f>
        <v/>
      </c>
      <c r="F4465">
        <f>Sources!H4465</f>
        <v/>
      </c>
      <c r="G4465">
        <f>IF(ABS(F4465-ROUND(F4465,0))&lt;0.001,1,0)</f>
        <v/>
      </c>
      <c r="H4465">
        <f>IF(G4465=1,F4465,CEILING(F4465,1))</f>
        <v/>
      </c>
      <c r="I4465">
        <f>IF(G4465=1,0,(H4465-F4465)*E4465)</f>
        <v/>
      </c>
      <c r="J4465">
        <f>E4465*F4465</f>
        <v/>
      </c>
    </row>
    <row r="4466">
      <c r="A4466">
        <f>Sources!A4466</f>
        <v/>
      </c>
      <c r="B4466">
        <f>Sources!B4466</f>
        <v/>
      </c>
      <c r="C4466">
        <f>Sources!D4466</f>
        <v/>
      </c>
      <c r="D4466">
        <f>Sources!E4466</f>
        <v/>
      </c>
      <c r="E4466">
        <f>Sources!F4466</f>
        <v/>
      </c>
      <c r="F4466">
        <f>Sources!H4466</f>
        <v/>
      </c>
      <c r="G4466">
        <f>IF(ABS(F4466-ROUND(F4466,0))&lt;0.001,1,0)</f>
        <v/>
      </c>
      <c r="H4466">
        <f>IF(G4466=1,F4466,CEILING(F4466,1))</f>
        <v/>
      </c>
      <c r="I4466">
        <f>IF(G4466=1,0,(H4466-F4466)*E4466)</f>
        <v/>
      </c>
      <c r="J4466">
        <f>E4466*F4466</f>
        <v/>
      </c>
    </row>
    <row r="4467">
      <c r="A4467">
        <f>Sources!A4467</f>
        <v/>
      </c>
      <c r="B4467">
        <f>Sources!B4467</f>
        <v/>
      </c>
      <c r="C4467">
        <f>Sources!D4467</f>
        <v/>
      </c>
      <c r="D4467">
        <f>Sources!E4467</f>
        <v/>
      </c>
      <c r="E4467">
        <f>Sources!F4467</f>
        <v/>
      </c>
      <c r="F4467">
        <f>Sources!H4467</f>
        <v/>
      </c>
      <c r="G4467">
        <f>IF(ABS(F4467-ROUND(F4467,0))&lt;0.001,1,0)</f>
        <v/>
      </c>
      <c r="H4467">
        <f>IF(G4467=1,F4467,CEILING(F4467,1))</f>
        <v/>
      </c>
      <c r="I4467">
        <f>IF(G4467=1,0,(H4467-F4467)*E4467)</f>
        <v/>
      </c>
      <c r="J4467">
        <f>E4467*F4467</f>
        <v/>
      </c>
    </row>
    <row r="4468">
      <c r="A4468">
        <f>Sources!A4468</f>
        <v/>
      </c>
      <c r="B4468">
        <f>Sources!B4468</f>
        <v/>
      </c>
      <c r="C4468">
        <f>Sources!D4468</f>
        <v/>
      </c>
      <c r="D4468">
        <f>Sources!E4468</f>
        <v/>
      </c>
      <c r="E4468">
        <f>Sources!F4468</f>
        <v/>
      </c>
      <c r="F4468">
        <f>Sources!H4468</f>
        <v/>
      </c>
      <c r="G4468">
        <f>IF(ABS(F4468-ROUND(F4468,0))&lt;0.001,1,0)</f>
        <v/>
      </c>
      <c r="H4468">
        <f>IF(G4468=1,F4468,CEILING(F4468,1))</f>
        <v/>
      </c>
      <c r="I4468">
        <f>IF(G4468=1,0,(H4468-F4468)*E4468)</f>
        <v/>
      </c>
      <c r="J4468">
        <f>E4468*F4468</f>
        <v/>
      </c>
    </row>
    <row r="4469">
      <c r="A4469">
        <f>Sources!A4469</f>
        <v/>
      </c>
      <c r="B4469">
        <f>Sources!B4469</f>
        <v/>
      </c>
      <c r="C4469">
        <f>Sources!D4469</f>
        <v/>
      </c>
      <c r="D4469">
        <f>Sources!E4469</f>
        <v/>
      </c>
      <c r="E4469">
        <f>Sources!F4469</f>
        <v/>
      </c>
      <c r="F4469">
        <f>Sources!H4469</f>
        <v/>
      </c>
      <c r="G4469">
        <f>IF(ABS(F4469-ROUND(F4469,0))&lt;0.001,1,0)</f>
        <v/>
      </c>
      <c r="H4469">
        <f>IF(G4469=1,F4469,CEILING(F4469,1))</f>
        <v/>
      </c>
      <c r="I4469">
        <f>IF(G4469=1,0,(H4469-F4469)*E4469)</f>
        <v/>
      </c>
      <c r="J4469">
        <f>E4469*F4469</f>
        <v/>
      </c>
    </row>
    <row r="4470">
      <c r="A4470">
        <f>Sources!A4470</f>
        <v/>
      </c>
      <c r="B4470">
        <f>Sources!B4470</f>
        <v/>
      </c>
      <c r="C4470">
        <f>Sources!D4470</f>
        <v/>
      </c>
      <c r="D4470">
        <f>Sources!E4470</f>
        <v/>
      </c>
      <c r="E4470">
        <f>Sources!F4470</f>
        <v/>
      </c>
      <c r="F4470">
        <f>Sources!H4470</f>
        <v/>
      </c>
      <c r="G4470">
        <f>IF(ABS(F4470-ROUND(F4470,0))&lt;0.001,1,0)</f>
        <v/>
      </c>
      <c r="H4470">
        <f>IF(G4470=1,F4470,CEILING(F4470,1))</f>
        <v/>
      </c>
      <c r="I4470">
        <f>IF(G4470=1,0,(H4470-F4470)*E4470)</f>
        <v/>
      </c>
      <c r="J4470">
        <f>E4470*F4470</f>
        <v/>
      </c>
    </row>
    <row r="4471">
      <c r="A4471">
        <f>Sources!A4471</f>
        <v/>
      </c>
      <c r="B4471">
        <f>Sources!B4471</f>
        <v/>
      </c>
      <c r="C4471">
        <f>Sources!D4471</f>
        <v/>
      </c>
      <c r="D4471">
        <f>Sources!E4471</f>
        <v/>
      </c>
      <c r="E4471">
        <f>Sources!F4471</f>
        <v/>
      </c>
      <c r="F4471">
        <f>Sources!H4471</f>
        <v/>
      </c>
      <c r="G4471">
        <f>IF(ABS(F4471-ROUND(F4471,0))&lt;0.001,1,0)</f>
        <v/>
      </c>
      <c r="H4471">
        <f>IF(G4471=1,F4471,CEILING(F4471,1))</f>
        <v/>
      </c>
      <c r="I4471">
        <f>IF(G4471=1,0,(H4471-F4471)*E4471)</f>
        <v/>
      </c>
      <c r="J4471">
        <f>E4471*F4471</f>
        <v/>
      </c>
    </row>
    <row r="4472">
      <c r="A4472">
        <f>Sources!A4472</f>
        <v/>
      </c>
      <c r="B4472">
        <f>Sources!B4472</f>
        <v/>
      </c>
      <c r="C4472">
        <f>Sources!D4472</f>
        <v/>
      </c>
      <c r="D4472">
        <f>Sources!E4472</f>
        <v/>
      </c>
      <c r="E4472">
        <f>Sources!F4472</f>
        <v/>
      </c>
      <c r="F4472">
        <f>Sources!H4472</f>
        <v/>
      </c>
      <c r="G4472">
        <f>IF(ABS(F4472-ROUND(F4472,0))&lt;0.001,1,0)</f>
        <v/>
      </c>
      <c r="H4472">
        <f>IF(G4472=1,F4472,CEILING(F4472,1))</f>
        <v/>
      </c>
      <c r="I4472">
        <f>IF(G4472=1,0,(H4472-F4472)*E4472)</f>
        <v/>
      </c>
      <c r="J4472">
        <f>E4472*F4472</f>
        <v/>
      </c>
    </row>
    <row r="4473">
      <c r="A4473">
        <f>Sources!A4473</f>
        <v/>
      </c>
      <c r="B4473">
        <f>Sources!B4473</f>
        <v/>
      </c>
      <c r="C4473">
        <f>Sources!D4473</f>
        <v/>
      </c>
      <c r="D4473">
        <f>Sources!E4473</f>
        <v/>
      </c>
      <c r="E4473">
        <f>Sources!F4473</f>
        <v/>
      </c>
      <c r="F4473">
        <f>Sources!H4473</f>
        <v/>
      </c>
      <c r="G4473">
        <f>IF(ABS(F4473-ROUND(F4473,0))&lt;0.001,1,0)</f>
        <v/>
      </c>
      <c r="H4473">
        <f>IF(G4473=1,F4473,CEILING(F4473,1))</f>
        <v/>
      </c>
      <c r="I4473">
        <f>IF(G4473=1,0,(H4473-F4473)*E4473)</f>
        <v/>
      </c>
      <c r="J4473">
        <f>E4473*F4473</f>
        <v/>
      </c>
    </row>
    <row r="4474">
      <c r="A4474">
        <f>Sources!A4474</f>
        <v/>
      </c>
      <c r="B4474">
        <f>Sources!B4474</f>
        <v/>
      </c>
      <c r="C4474">
        <f>Sources!D4474</f>
        <v/>
      </c>
      <c r="D4474">
        <f>Sources!E4474</f>
        <v/>
      </c>
      <c r="E4474">
        <f>Sources!F4474</f>
        <v/>
      </c>
      <c r="F4474">
        <f>Sources!H4474</f>
        <v/>
      </c>
      <c r="G4474">
        <f>IF(ABS(F4474-ROUND(F4474,0))&lt;0.001,1,0)</f>
        <v/>
      </c>
      <c r="H4474">
        <f>IF(G4474=1,F4474,CEILING(F4474,1))</f>
        <v/>
      </c>
      <c r="I4474">
        <f>IF(G4474=1,0,(H4474-F4474)*E4474)</f>
        <v/>
      </c>
      <c r="J4474">
        <f>E4474*F4474</f>
        <v/>
      </c>
    </row>
    <row r="4475">
      <c r="A4475">
        <f>Sources!A4475</f>
        <v/>
      </c>
      <c r="B4475">
        <f>Sources!B4475</f>
        <v/>
      </c>
      <c r="C4475">
        <f>Sources!D4475</f>
        <v/>
      </c>
      <c r="D4475">
        <f>Sources!E4475</f>
        <v/>
      </c>
      <c r="E4475">
        <f>Sources!F4475</f>
        <v/>
      </c>
      <c r="F4475">
        <f>Sources!H4475</f>
        <v/>
      </c>
      <c r="G4475">
        <f>IF(ABS(F4475-ROUND(F4475,0))&lt;0.001,1,0)</f>
        <v/>
      </c>
      <c r="H4475">
        <f>IF(G4475=1,F4475,CEILING(F4475,1))</f>
        <v/>
      </c>
      <c r="I4475">
        <f>IF(G4475=1,0,(H4475-F4475)*E4475)</f>
        <v/>
      </c>
      <c r="J4475">
        <f>E4475*F4475</f>
        <v/>
      </c>
    </row>
    <row r="4476">
      <c r="A4476">
        <f>Sources!A4476</f>
        <v/>
      </c>
      <c r="B4476">
        <f>Sources!B4476</f>
        <v/>
      </c>
      <c r="C4476">
        <f>Sources!D4476</f>
        <v/>
      </c>
      <c r="D4476">
        <f>Sources!E4476</f>
        <v/>
      </c>
      <c r="E4476">
        <f>Sources!F4476</f>
        <v/>
      </c>
      <c r="F4476">
        <f>Sources!H4476</f>
        <v/>
      </c>
      <c r="G4476">
        <f>IF(ABS(F4476-ROUND(F4476,0))&lt;0.001,1,0)</f>
        <v/>
      </c>
      <c r="H4476">
        <f>IF(G4476=1,F4476,CEILING(F4476,1))</f>
        <v/>
      </c>
      <c r="I4476">
        <f>IF(G4476=1,0,(H4476-F4476)*E4476)</f>
        <v/>
      </c>
      <c r="J4476">
        <f>E4476*F4476</f>
        <v/>
      </c>
    </row>
    <row r="4477">
      <c r="A4477">
        <f>Sources!A4477</f>
        <v/>
      </c>
      <c r="B4477">
        <f>Sources!B4477</f>
        <v/>
      </c>
      <c r="C4477">
        <f>Sources!D4477</f>
        <v/>
      </c>
      <c r="D4477">
        <f>Sources!E4477</f>
        <v/>
      </c>
      <c r="E4477">
        <f>Sources!F4477</f>
        <v/>
      </c>
      <c r="F4477">
        <f>Sources!H4477</f>
        <v/>
      </c>
      <c r="G4477">
        <f>IF(ABS(F4477-ROUND(F4477,0))&lt;0.001,1,0)</f>
        <v/>
      </c>
      <c r="H4477">
        <f>IF(G4477=1,F4477,CEILING(F4477,1))</f>
        <v/>
      </c>
      <c r="I4477">
        <f>IF(G4477=1,0,(H4477-F4477)*E4477)</f>
        <v/>
      </c>
      <c r="J4477">
        <f>E4477*F4477</f>
        <v/>
      </c>
    </row>
    <row r="4478">
      <c r="A4478">
        <f>Sources!A4478</f>
        <v/>
      </c>
      <c r="B4478">
        <f>Sources!B4478</f>
        <v/>
      </c>
      <c r="C4478">
        <f>Sources!D4478</f>
        <v/>
      </c>
      <c r="D4478">
        <f>Sources!E4478</f>
        <v/>
      </c>
      <c r="E4478">
        <f>Sources!F4478</f>
        <v/>
      </c>
      <c r="F4478">
        <f>Sources!H4478</f>
        <v/>
      </c>
      <c r="G4478">
        <f>IF(ABS(F4478-ROUND(F4478,0))&lt;0.001,1,0)</f>
        <v/>
      </c>
      <c r="H4478">
        <f>IF(G4478=1,F4478,CEILING(F4478,1))</f>
        <v/>
      </c>
      <c r="I4478">
        <f>IF(G4478=1,0,(H4478-F4478)*E4478)</f>
        <v/>
      </c>
      <c r="J4478">
        <f>E4478*F4478</f>
        <v/>
      </c>
    </row>
    <row r="4479">
      <c r="A4479">
        <f>Sources!A4479</f>
        <v/>
      </c>
      <c r="B4479">
        <f>Sources!B4479</f>
        <v/>
      </c>
      <c r="C4479">
        <f>Sources!D4479</f>
        <v/>
      </c>
      <c r="D4479">
        <f>Sources!E4479</f>
        <v/>
      </c>
      <c r="E4479">
        <f>Sources!F4479</f>
        <v/>
      </c>
      <c r="F4479">
        <f>Sources!H4479</f>
        <v/>
      </c>
      <c r="G4479">
        <f>IF(ABS(F4479-ROUND(F4479,0))&lt;0.001,1,0)</f>
        <v/>
      </c>
      <c r="H4479">
        <f>IF(G4479=1,F4479,CEILING(F4479,1))</f>
        <v/>
      </c>
      <c r="I4479">
        <f>IF(G4479=1,0,(H4479-F4479)*E4479)</f>
        <v/>
      </c>
      <c r="J4479">
        <f>E4479*F4479</f>
        <v/>
      </c>
    </row>
    <row r="4480">
      <c r="A4480">
        <f>Sources!A4480</f>
        <v/>
      </c>
      <c r="B4480">
        <f>Sources!B4480</f>
        <v/>
      </c>
      <c r="C4480">
        <f>Sources!D4480</f>
        <v/>
      </c>
      <c r="D4480">
        <f>Sources!E4480</f>
        <v/>
      </c>
      <c r="E4480">
        <f>Sources!F4480</f>
        <v/>
      </c>
      <c r="F4480">
        <f>Sources!H4480</f>
        <v/>
      </c>
      <c r="G4480">
        <f>IF(ABS(F4480-ROUND(F4480,0))&lt;0.001,1,0)</f>
        <v/>
      </c>
      <c r="H4480">
        <f>IF(G4480=1,F4480,CEILING(F4480,1))</f>
        <v/>
      </c>
      <c r="I4480">
        <f>IF(G4480=1,0,(H4480-F4480)*E4480)</f>
        <v/>
      </c>
      <c r="J4480">
        <f>E4480*F4480</f>
        <v/>
      </c>
    </row>
    <row r="4481">
      <c r="A4481">
        <f>Sources!A4481</f>
        <v/>
      </c>
      <c r="B4481">
        <f>Sources!B4481</f>
        <v/>
      </c>
      <c r="C4481">
        <f>Sources!D4481</f>
        <v/>
      </c>
      <c r="D4481">
        <f>Sources!E4481</f>
        <v/>
      </c>
      <c r="E4481">
        <f>Sources!F4481</f>
        <v/>
      </c>
      <c r="F4481">
        <f>Sources!H4481</f>
        <v/>
      </c>
      <c r="G4481">
        <f>IF(ABS(F4481-ROUND(F4481,0))&lt;0.001,1,0)</f>
        <v/>
      </c>
      <c r="H4481">
        <f>IF(G4481=1,F4481,CEILING(F4481,1))</f>
        <v/>
      </c>
      <c r="I4481">
        <f>IF(G4481=1,0,(H4481-F4481)*E4481)</f>
        <v/>
      </c>
      <c r="J4481">
        <f>E4481*F4481</f>
        <v/>
      </c>
    </row>
    <row r="4482">
      <c r="A4482">
        <f>Sources!A4482</f>
        <v/>
      </c>
      <c r="B4482">
        <f>Sources!B4482</f>
        <v/>
      </c>
      <c r="C4482">
        <f>Sources!D4482</f>
        <v/>
      </c>
      <c r="D4482">
        <f>Sources!E4482</f>
        <v/>
      </c>
      <c r="E4482">
        <f>Sources!F4482</f>
        <v/>
      </c>
      <c r="F4482">
        <f>Sources!H4482</f>
        <v/>
      </c>
      <c r="G4482">
        <f>IF(ABS(F4482-ROUND(F4482,0))&lt;0.001,1,0)</f>
        <v/>
      </c>
      <c r="H4482">
        <f>IF(G4482=1,F4482,CEILING(F4482,1))</f>
        <v/>
      </c>
      <c r="I4482">
        <f>IF(G4482=1,0,(H4482-F4482)*E4482)</f>
        <v/>
      </c>
      <c r="J4482">
        <f>E4482*F4482</f>
        <v/>
      </c>
    </row>
    <row r="4483">
      <c r="A4483">
        <f>Sources!A4483</f>
        <v/>
      </c>
      <c r="B4483">
        <f>Sources!B4483</f>
        <v/>
      </c>
      <c r="C4483">
        <f>Sources!D4483</f>
        <v/>
      </c>
      <c r="D4483">
        <f>Sources!E4483</f>
        <v/>
      </c>
      <c r="E4483">
        <f>Sources!F4483</f>
        <v/>
      </c>
      <c r="F4483">
        <f>Sources!H4483</f>
        <v/>
      </c>
      <c r="G4483">
        <f>IF(ABS(F4483-ROUND(F4483,0))&lt;0.001,1,0)</f>
        <v/>
      </c>
      <c r="H4483">
        <f>IF(G4483=1,F4483,CEILING(F4483,1))</f>
        <v/>
      </c>
      <c r="I4483">
        <f>IF(G4483=1,0,(H4483-F4483)*E4483)</f>
        <v/>
      </c>
      <c r="J4483">
        <f>E4483*F4483</f>
        <v/>
      </c>
    </row>
    <row r="4484">
      <c r="A4484">
        <f>Sources!A4484</f>
        <v/>
      </c>
      <c r="B4484">
        <f>Sources!B4484</f>
        <v/>
      </c>
      <c r="C4484">
        <f>Sources!D4484</f>
        <v/>
      </c>
      <c r="D4484">
        <f>Sources!E4484</f>
        <v/>
      </c>
      <c r="E4484">
        <f>Sources!F4484</f>
        <v/>
      </c>
      <c r="F4484">
        <f>Sources!H4484</f>
        <v/>
      </c>
      <c r="G4484">
        <f>IF(ABS(F4484-ROUND(F4484,0))&lt;0.001,1,0)</f>
        <v/>
      </c>
      <c r="H4484">
        <f>IF(G4484=1,F4484,CEILING(F4484,1))</f>
        <v/>
      </c>
      <c r="I4484">
        <f>IF(G4484=1,0,(H4484-F4484)*E4484)</f>
        <v/>
      </c>
      <c r="J4484">
        <f>E4484*F4484</f>
        <v/>
      </c>
    </row>
    <row r="4485">
      <c r="A4485">
        <f>Sources!A4485</f>
        <v/>
      </c>
      <c r="B4485">
        <f>Sources!B4485</f>
        <v/>
      </c>
      <c r="C4485">
        <f>Sources!D4485</f>
        <v/>
      </c>
      <c r="D4485">
        <f>Sources!E4485</f>
        <v/>
      </c>
      <c r="E4485">
        <f>Sources!F4485</f>
        <v/>
      </c>
      <c r="F4485">
        <f>Sources!H4485</f>
        <v/>
      </c>
      <c r="G4485">
        <f>IF(ABS(F4485-ROUND(F4485,0))&lt;0.001,1,0)</f>
        <v/>
      </c>
      <c r="H4485">
        <f>IF(G4485=1,F4485,CEILING(F4485,1))</f>
        <v/>
      </c>
      <c r="I4485">
        <f>IF(G4485=1,0,(H4485-F4485)*E4485)</f>
        <v/>
      </c>
      <c r="J4485">
        <f>E4485*F4485</f>
        <v/>
      </c>
    </row>
    <row r="4486">
      <c r="A4486">
        <f>Sources!A4486</f>
        <v/>
      </c>
      <c r="B4486">
        <f>Sources!B4486</f>
        <v/>
      </c>
      <c r="C4486">
        <f>Sources!D4486</f>
        <v/>
      </c>
      <c r="D4486">
        <f>Sources!E4486</f>
        <v/>
      </c>
      <c r="E4486">
        <f>Sources!F4486</f>
        <v/>
      </c>
      <c r="F4486">
        <f>Sources!H4486</f>
        <v/>
      </c>
      <c r="G4486">
        <f>IF(ABS(F4486-ROUND(F4486,0))&lt;0.001,1,0)</f>
        <v/>
      </c>
      <c r="H4486">
        <f>IF(G4486=1,F4486,CEILING(F4486,1))</f>
        <v/>
      </c>
      <c r="I4486">
        <f>IF(G4486=1,0,(H4486-F4486)*E4486)</f>
        <v/>
      </c>
      <c r="J4486">
        <f>E4486*F4486</f>
        <v/>
      </c>
    </row>
    <row r="4487">
      <c r="A4487">
        <f>Sources!A4487</f>
        <v/>
      </c>
      <c r="B4487">
        <f>Sources!B4487</f>
        <v/>
      </c>
      <c r="C4487">
        <f>Sources!D4487</f>
        <v/>
      </c>
      <c r="D4487">
        <f>Sources!E4487</f>
        <v/>
      </c>
      <c r="E4487">
        <f>Sources!F4487</f>
        <v/>
      </c>
      <c r="F4487">
        <f>Sources!H4487</f>
        <v/>
      </c>
      <c r="G4487">
        <f>IF(ABS(F4487-ROUND(F4487,0))&lt;0.001,1,0)</f>
        <v/>
      </c>
      <c r="H4487">
        <f>IF(G4487=1,F4487,CEILING(F4487,1))</f>
        <v/>
      </c>
      <c r="I4487">
        <f>IF(G4487=1,0,(H4487-F4487)*E4487)</f>
        <v/>
      </c>
      <c r="J4487">
        <f>E4487*F4487</f>
        <v/>
      </c>
    </row>
    <row r="4488">
      <c r="A4488">
        <f>Sources!A4488</f>
        <v/>
      </c>
      <c r="B4488">
        <f>Sources!B4488</f>
        <v/>
      </c>
      <c r="C4488">
        <f>Sources!D4488</f>
        <v/>
      </c>
      <c r="D4488">
        <f>Sources!E4488</f>
        <v/>
      </c>
      <c r="E4488">
        <f>Sources!F4488</f>
        <v/>
      </c>
      <c r="F4488">
        <f>Sources!H4488</f>
        <v/>
      </c>
      <c r="G4488">
        <f>IF(ABS(F4488-ROUND(F4488,0))&lt;0.001,1,0)</f>
        <v/>
      </c>
      <c r="H4488">
        <f>IF(G4488=1,F4488,CEILING(F4488,1))</f>
        <v/>
      </c>
      <c r="I4488">
        <f>IF(G4488=1,0,(H4488-F4488)*E4488)</f>
        <v/>
      </c>
      <c r="J4488">
        <f>E4488*F4488</f>
        <v/>
      </c>
    </row>
    <row r="4489">
      <c r="A4489">
        <f>Sources!A4489</f>
        <v/>
      </c>
      <c r="B4489">
        <f>Sources!B4489</f>
        <v/>
      </c>
      <c r="C4489">
        <f>Sources!D4489</f>
        <v/>
      </c>
      <c r="D4489">
        <f>Sources!E4489</f>
        <v/>
      </c>
      <c r="E4489">
        <f>Sources!F4489</f>
        <v/>
      </c>
      <c r="F4489">
        <f>Sources!H4489</f>
        <v/>
      </c>
      <c r="G4489">
        <f>IF(ABS(F4489-ROUND(F4489,0))&lt;0.001,1,0)</f>
        <v/>
      </c>
      <c r="H4489">
        <f>IF(G4489=1,F4489,CEILING(F4489,1))</f>
        <v/>
      </c>
      <c r="I4489">
        <f>IF(G4489=1,0,(H4489-F4489)*E4489)</f>
        <v/>
      </c>
      <c r="J4489">
        <f>E4489*F4489</f>
        <v/>
      </c>
    </row>
    <row r="4490">
      <c r="A4490">
        <f>Sources!A4490</f>
        <v/>
      </c>
      <c r="B4490">
        <f>Sources!B4490</f>
        <v/>
      </c>
      <c r="C4490">
        <f>Sources!D4490</f>
        <v/>
      </c>
      <c r="D4490">
        <f>Sources!E4490</f>
        <v/>
      </c>
      <c r="E4490">
        <f>Sources!F4490</f>
        <v/>
      </c>
      <c r="F4490">
        <f>Sources!H4490</f>
        <v/>
      </c>
      <c r="G4490">
        <f>IF(ABS(F4490-ROUND(F4490,0))&lt;0.001,1,0)</f>
        <v/>
      </c>
      <c r="H4490">
        <f>IF(G4490=1,F4490,CEILING(F4490,1))</f>
        <v/>
      </c>
      <c r="I4490">
        <f>IF(G4490=1,0,(H4490-F4490)*E4490)</f>
        <v/>
      </c>
      <c r="J4490">
        <f>E4490*F4490</f>
        <v/>
      </c>
    </row>
    <row r="4491">
      <c r="A4491">
        <f>Sources!A4491</f>
        <v/>
      </c>
      <c r="B4491">
        <f>Sources!B4491</f>
        <v/>
      </c>
      <c r="C4491">
        <f>Sources!D4491</f>
        <v/>
      </c>
      <c r="D4491">
        <f>Sources!E4491</f>
        <v/>
      </c>
      <c r="E4491">
        <f>Sources!F4491</f>
        <v/>
      </c>
      <c r="F4491">
        <f>Sources!H4491</f>
        <v/>
      </c>
      <c r="G4491">
        <f>IF(ABS(F4491-ROUND(F4491,0))&lt;0.001,1,0)</f>
        <v/>
      </c>
      <c r="H4491">
        <f>IF(G4491=1,F4491,CEILING(F4491,1))</f>
        <v/>
      </c>
      <c r="I4491">
        <f>IF(G4491=1,0,(H4491-F4491)*E4491)</f>
        <v/>
      </c>
      <c r="J4491">
        <f>E4491*F4491</f>
        <v/>
      </c>
    </row>
    <row r="4492">
      <c r="A4492">
        <f>Sources!A4492</f>
        <v/>
      </c>
      <c r="B4492">
        <f>Sources!B4492</f>
        <v/>
      </c>
      <c r="C4492">
        <f>Sources!D4492</f>
        <v/>
      </c>
      <c r="D4492">
        <f>Sources!E4492</f>
        <v/>
      </c>
      <c r="E4492">
        <f>Sources!F4492</f>
        <v/>
      </c>
      <c r="F4492">
        <f>Sources!H4492</f>
        <v/>
      </c>
      <c r="G4492">
        <f>IF(ABS(F4492-ROUND(F4492,0))&lt;0.001,1,0)</f>
        <v/>
      </c>
      <c r="H4492">
        <f>IF(G4492=1,F4492,CEILING(F4492,1))</f>
        <v/>
      </c>
      <c r="I4492">
        <f>IF(G4492=1,0,(H4492-F4492)*E4492)</f>
        <v/>
      </c>
      <c r="J4492">
        <f>E4492*F4492</f>
        <v/>
      </c>
    </row>
    <row r="4493">
      <c r="A4493">
        <f>Sources!A4493</f>
        <v/>
      </c>
      <c r="B4493">
        <f>Sources!B4493</f>
        <v/>
      </c>
      <c r="C4493">
        <f>Sources!D4493</f>
        <v/>
      </c>
      <c r="D4493">
        <f>Sources!E4493</f>
        <v/>
      </c>
      <c r="E4493">
        <f>Sources!F4493</f>
        <v/>
      </c>
      <c r="F4493">
        <f>Sources!H4493</f>
        <v/>
      </c>
      <c r="G4493">
        <f>IF(ABS(F4493-ROUND(F4493,0))&lt;0.001,1,0)</f>
        <v/>
      </c>
      <c r="H4493">
        <f>IF(G4493=1,F4493,CEILING(F4493,1))</f>
        <v/>
      </c>
      <c r="I4493">
        <f>IF(G4493=1,0,(H4493-F4493)*E4493)</f>
        <v/>
      </c>
      <c r="J4493">
        <f>E4493*F4493</f>
        <v/>
      </c>
    </row>
    <row r="4494">
      <c r="A4494">
        <f>Sources!A4494</f>
        <v/>
      </c>
      <c r="B4494">
        <f>Sources!B4494</f>
        <v/>
      </c>
      <c r="C4494">
        <f>Sources!D4494</f>
        <v/>
      </c>
      <c r="D4494">
        <f>Sources!E4494</f>
        <v/>
      </c>
      <c r="E4494">
        <f>Sources!F4494</f>
        <v/>
      </c>
      <c r="F4494">
        <f>Sources!H4494</f>
        <v/>
      </c>
      <c r="G4494">
        <f>IF(ABS(F4494-ROUND(F4494,0))&lt;0.001,1,0)</f>
        <v/>
      </c>
      <c r="H4494">
        <f>IF(G4494=1,F4494,CEILING(F4494,1))</f>
        <v/>
      </c>
      <c r="I4494">
        <f>IF(G4494=1,0,(H4494-F4494)*E4494)</f>
        <v/>
      </c>
      <c r="J4494">
        <f>E4494*F4494</f>
        <v/>
      </c>
    </row>
    <row r="4495">
      <c r="A4495">
        <f>Sources!A4495</f>
        <v/>
      </c>
      <c r="B4495">
        <f>Sources!B4495</f>
        <v/>
      </c>
      <c r="C4495">
        <f>Sources!D4495</f>
        <v/>
      </c>
      <c r="D4495">
        <f>Sources!E4495</f>
        <v/>
      </c>
      <c r="E4495">
        <f>Sources!F4495</f>
        <v/>
      </c>
      <c r="F4495">
        <f>Sources!H4495</f>
        <v/>
      </c>
      <c r="G4495">
        <f>IF(ABS(F4495-ROUND(F4495,0))&lt;0.001,1,0)</f>
        <v/>
      </c>
      <c r="H4495">
        <f>IF(G4495=1,F4495,CEILING(F4495,1))</f>
        <v/>
      </c>
      <c r="I4495">
        <f>IF(G4495=1,0,(H4495-F4495)*E4495)</f>
        <v/>
      </c>
      <c r="J4495">
        <f>E4495*F4495</f>
        <v/>
      </c>
    </row>
    <row r="4496">
      <c r="A4496">
        <f>Sources!A4496</f>
        <v/>
      </c>
      <c r="B4496">
        <f>Sources!B4496</f>
        <v/>
      </c>
      <c r="C4496">
        <f>Sources!D4496</f>
        <v/>
      </c>
      <c r="D4496">
        <f>Sources!E4496</f>
        <v/>
      </c>
      <c r="E4496">
        <f>Sources!F4496</f>
        <v/>
      </c>
      <c r="F4496">
        <f>Sources!H4496</f>
        <v/>
      </c>
      <c r="G4496">
        <f>IF(ABS(F4496-ROUND(F4496,0))&lt;0.001,1,0)</f>
        <v/>
      </c>
      <c r="H4496">
        <f>IF(G4496=1,F4496,CEILING(F4496,1))</f>
        <v/>
      </c>
      <c r="I4496">
        <f>IF(G4496=1,0,(H4496-F4496)*E4496)</f>
        <v/>
      </c>
      <c r="J4496">
        <f>E4496*F4496</f>
        <v/>
      </c>
    </row>
    <row r="4497">
      <c r="A4497">
        <f>Sources!A4497</f>
        <v/>
      </c>
      <c r="B4497">
        <f>Sources!B4497</f>
        <v/>
      </c>
      <c r="C4497">
        <f>Sources!D4497</f>
        <v/>
      </c>
      <c r="D4497">
        <f>Sources!E4497</f>
        <v/>
      </c>
      <c r="E4497">
        <f>Sources!F4497</f>
        <v/>
      </c>
      <c r="F4497">
        <f>Sources!H4497</f>
        <v/>
      </c>
      <c r="G4497">
        <f>IF(ABS(F4497-ROUND(F4497,0))&lt;0.001,1,0)</f>
        <v/>
      </c>
      <c r="H4497">
        <f>IF(G4497=1,F4497,CEILING(F4497,1))</f>
        <v/>
      </c>
      <c r="I4497">
        <f>IF(G4497=1,0,(H4497-F4497)*E4497)</f>
        <v/>
      </c>
      <c r="J4497">
        <f>E4497*F4497</f>
        <v/>
      </c>
    </row>
    <row r="4498">
      <c r="A4498">
        <f>Sources!A4498</f>
        <v/>
      </c>
      <c r="B4498">
        <f>Sources!B4498</f>
        <v/>
      </c>
      <c r="C4498">
        <f>Sources!D4498</f>
        <v/>
      </c>
      <c r="D4498">
        <f>Sources!E4498</f>
        <v/>
      </c>
      <c r="E4498">
        <f>Sources!F4498</f>
        <v/>
      </c>
      <c r="F4498">
        <f>Sources!H4498</f>
        <v/>
      </c>
      <c r="G4498">
        <f>IF(ABS(F4498-ROUND(F4498,0))&lt;0.001,1,0)</f>
        <v/>
      </c>
      <c r="H4498">
        <f>IF(G4498=1,F4498,CEILING(F4498,1))</f>
        <v/>
      </c>
      <c r="I4498">
        <f>IF(G4498=1,0,(H4498-F4498)*E4498)</f>
        <v/>
      </c>
      <c r="J4498">
        <f>E4498*F4498</f>
        <v/>
      </c>
    </row>
    <row r="4499">
      <c r="A4499">
        <f>Sources!A4499</f>
        <v/>
      </c>
      <c r="B4499">
        <f>Sources!B4499</f>
        <v/>
      </c>
      <c r="C4499">
        <f>Sources!D4499</f>
        <v/>
      </c>
      <c r="D4499">
        <f>Sources!E4499</f>
        <v/>
      </c>
      <c r="E4499">
        <f>Sources!F4499</f>
        <v/>
      </c>
      <c r="F4499">
        <f>Sources!H4499</f>
        <v/>
      </c>
      <c r="G4499">
        <f>IF(ABS(F4499-ROUND(F4499,0))&lt;0.001,1,0)</f>
        <v/>
      </c>
      <c r="H4499">
        <f>IF(G4499=1,F4499,CEILING(F4499,1))</f>
        <v/>
      </c>
      <c r="I4499">
        <f>IF(G4499=1,0,(H4499-F4499)*E4499)</f>
        <v/>
      </c>
      <c r="J4499">
        <f>E4499*F4499</f>
        <v/>
      </c>
    </row>
    <row r="4500">
      <c r="A4500">
        <f>Sources!A4500</f>
        <v/>
      </c>
      <c r="B4500">
        <f>Sources!B4500</f>
        <v/>
      </c>
      <c r="C4500">
        <f>Sources!D4500</f>
        <v/>
      </c>
      <c r="D4500">
        <f>Sources!E4500</f>
        <v/>
      </c>
      <c r="E4500">
        <f>Sources!F4500</f>
        <v/>
      </c>
      <c r="F4500">
        <f>Sources!H4500</f>
        <v/>
      </c>
      <c r="G4500">
        <f>IF(ABS(F4500-ROUND(F4500,0))&lt;0.001,1,0)</f>
        <v/>
      </c>
      <c r="H4500">
        <f>IF(G4500=1,F4500,CEILING(F4500,1))</f>
        <v/>
      </c>
      <c r="I4500">
        <f>IF(G4500=1,0,(H4500-F4500)*E4500)</f>
        <v/>
      </c>
      <c r="J4500">
        <f>E4500*F4500</f>
        <v/>
      </c>
    </row>
    <row r="4501">
      <c r="A4501">
        <f>Sources!A4501</f>
        <v/>
      </c>
      <c r="B4501">
        <f>Sources!B4501</f>
        <v/>
      </c>
      <c r="C4501">
        <f>Sources!D4501</f>
        <v/>
      </c>
      <c r="D4501">
        <f>Sources!E4501</f>
        <v/>
      </c>
      <c r="E4501">
        <f>Sources!F4501</f>
        <v/>
      </c>
      <c r="F4501">
        <f>Sources!H4501</f>
        <v/>
      </c>
      <c r="G4501">
        <f>IF(ABS(F4501-ROUND(F4501,0))&lt;0.001,1,0)</f>
        <v/>
      </c>
      <c r="H4501">
        <f>IF(G4501=1,F4501,CEILING(F4501,1))</f>
        <v/>
      </c>
      <c r="I4501">
        <f>IF(G4501=1,0,(H4501-F4501)*E4501)</f>
        <v/>
      </c>
      <c r="J4501">
        <f>E4501*F4501</f>
        <v/>
      </c>
    </row>
    <row r="4502">
      <c r="A4502">
        <f>Sources!A4502</f>
        <v/>
      </c>
      <c r="B4502">
        <f>Sources!B4502</f>
        <v/>
      </c>
      <c r="C4502">
        <f>Sources!D4502</f>
        <v/>
      </c>
      <c r="D4502">
        <f>Sources!E4502</f>
        <v/>
      </c>
      <c r="E4502">
        <f>Sources!F4502</f>
        <v/>
      </c>
      <c r="F4502">
        <f>Sources!H4502</f>
        <v/>
      </c>
      <c r="G4502">
        <f>IF(ABS(F4502-ROUND(F4502,0))&lt;0.001,1,0)</f>
        <v/>
      </c>
      <c r="H4502">
        <f>IF(G4502=1,F4502,CEILING(F4502,1))</f>
        <v/>
      </c>
      <c r="I4502">
        <f>IF(G4502=1,0,(H4502-F4502)*E4502)</f>
        <v/>
      </c>
      <c r="J4502">
        <f>E4502*F4502</f>
        <v/>
      </c>
    </row>
    <row r="4503">
      <c r="A4503">
        <f>Sources!A4503</f>
        <v/>
      </c>
      <c r="B4503">
        <f>Sources!B4503</f>
        <v/>
      </c>
      <c r="C4503">
        <f>Sources!D4503</f>
        <v/>
      </c>
      <c r="D4503">
        <f>Sources!E4503</f>
        <v/>
      </c>
      <c r="E4503">
        <f>Sources!F4503</f>
        <v/>
      </c>
      <c r="F4503">
        <f>Sources!H4503</f>
        <v/>
      </c>
      <c r="G4503">
        <f>IF(ABS(F4503-ROUND(F4503,0))&lt;0.001,1,0)</f>
        <v/>
      </c>
      <c r="H4503">
        <f>IF(G4503=1,F4503,CEILING(F4503,1))</f>
        <v/>
      </c>
      <c r="I4503">
        <f>IF(G4503=1,0,(H4503-F4503)*E4503)</f>
        <v/>
      </c>
      <c r="J4503">
        <f>E4503*F4503</f>
        <v/>
      </c>
    </row>
    <row r="4504">
      <c r="A4504">
        <f>Sources!A4504</f>
        <v/>
      </c>
      <c r="B4504">
        <f>Sources!B4504</f>
        <v/>
      </c>
      <c r="C4504">
        <f>Sources!D4504</f>
        <v/>
      </c>
      <c r="D4504">
        <f>Sources!E4504</f>
        <v/>
      </c>
      <c r="E4504">
        <f>Sources!F4504</f>
        <v/>
      </c>
      <c r="F4504">
        <f>Sources!H4504</f>
        <v/>
      </c>
      <c r="G4504">
        <f>IF(ABS(F4504-ROUND(F4504,0))&lt;0.001,1,0)</f>
        <v/>
      </c>
      <c r="H4504">
        <f>IF(G4504=1,F4504,CEILING(F4504,1))</f>
        <v/>
      </c>
      <c r="I4504">
        <f>IF(G4504=1,0,(H4504-F4504)*E4504)</f>
        <v/>
      </c>
      <c r="J4504">
        <f>E4504*F4504</f>
        <v/>
      </c>
    </row>
    <row r="4505">
      <c r="A4505">
        <f>Sources!A4505</f>
        <v/>
      </c>
      <c r="B4505">
        <f>Sources!B4505</f>
        <v/>
      </c>
      <c r="C4505">
        <f>Sources!D4505</f>
        <v/>
      </c>
      <c r="D4505">
        <f>Sources!E4505</f>
        <v/>
      </c>
      <c r="E4505">
        <f>Sources!F4505</f>
        <v/>
      </c>
      <c r="F4505">
        <f>Sources!H4505</f>
        <v/>
      </c>
      <c r="G4505">
        <f>IF(ABS(F4505-ROUND(F4505,0))&lt;0.001,1,0)</f>
        <v/>
      </c>
      <c r="H4505">
        <f>IF(G4505=1,F4505,CEILING(F4505,1))</f>
        <v/>
      </c>
      <c r="I4505">
        <f>IF(G4505=1,0,(H4505-F4505)*E4505)</f>
        <v/>
      </c>
      <c r="J4505">
        <f>E4505*F4505</f>
        <v/>
      </c>
    </row>
    <row r="4506">
      <c r="A4506">
        <f>Sources!A4506</f>
        <v/>
      </c>
      <c r="B4506">
        <f>Sources!B4506</f>
        <v/>
      </c>
      <c r="C4506">
        <f>Sources!D4506</f>
        <v/>
      </c>
      <c r="D4506">
        <f>Sources!E4506</f>
        <v/>
      </c>
      <c r="E4506">
        <f>Sources!F4506</f>
        <v/>
      </c>
      <c r="F4506">
        <f>Sources!H4506</f>
        <v/>
      </c>
      <c r="G4506">
        <f>IF(ABS(F4506-ROUND(F4506,0))&lt;0.001,1,0)</f>
        <v/>
      </c>
      <c r="H4506">
        <f>IF(G4506=1,F4506,CEILING(F4506,1))</f>
        <v/>
      </c>
      <c r="I4506">
        <f>IF(G4506=1,0,(H4506-F4506)*E4506)</f>
        <v/>
      </c>
      <c r="J4506">
        <f>E4506*F4506</f>
        <v/>
      </c>
    </row>
    <row r="4507">
      <c r="A4507">
        <f>Sources!A4507</f>
        <v/>
      </c>
      <c r="B4507">
        <f>Sources!B4507</f>
        <v/>
      </c>
      <c r="C4507">
        <f>Sources!D4507</f>
        <v/>
      </c>
      <c r="D4507">
        <f>Sources!E4507</f>
        <v/>
      </c>
      <c r="E4507">
        <f>Sources!F4507</f>
        <v/>
      </c>
      <c r="F4507">
        <f>Sources!H4507</f>
        <v/>
      </c>
      <c r="G4507">
        <f>IF(ABS(F4507-ROUND(F4507,0))&lt;0.001,1,0)</f>
        <v/>
      </c>
      <c r="H4507">
        <f>IF(G4507=1,F4507,CEILING(F4507,1))</f>
        <v/>
      </c>
      <c r="I4507">
        <f>IF(G4507=1,0,(H4507-F4507)*E4507)</f>
        <v/>
      </c>
      <c r="J4507">
        <f>E4507*F4507</f>
        <v/>
      </c>
    </row>
    <row r="4508">
      <c r="A4508">
        <f>Sources!A4508</f>
        <v/>
      </c>
      <c r="B4508">
        <f>Sources!B4508</f>
        <v/>
      </c>
      <c r="C4508">
        <f>Sources!D4508</f>
        <v/>
      </c>
      <c r="D4508">
        <f>Sources!E4508</f>
        <v/>
      </c>
      <c r="E4508">
        <f>Sources!F4508</f>
        <v/>
      </c>
      <c r="F4508">
        <f>Sources!H4508</f>
        <v/>
      </c>
      <c r="G4508">
        <f>IF(ABS(F4508-ROUND(F4508,0))&lt;0.001,1,0)</f>
        <v/>
      </c>
      <c r="H4508">
        <f>IF(G4508=1,F4508,CEILING(F4508,1))</f>
        <v/>
      </c>
      <c r="I4508">
        <f>IF(G4508=1,0,(H4508-F4508)*E4508)</f>
        <v/>
      </c>
      <c r="J4508">
        <f>E4508*F4508</f>
        <v/>
      </c>
    </row>
    <row r="4509">
      <c r="A4509">
        <f>Sources!A4509</f>
        <v/>
      </c>
      <c r="B4509">
        <f>Sources!B4509</f>
        <v/>
      </c>
      <c r="C4509">
        <f>Sources!D4509</f>
        <v/>
      </c>
      <c r="D4509">
        <f>Sources!E4509</f>
        <v/>
      </c>
      <c r="E4509">
        <f>Sources!F4509</f>
        <v/>
      </c>
      <c r="F4509">
        <f>Sources!H4509</f>
        <v/>
      </c>
      <c r="G4509">
        <f>IF(ABS(F4509-ROUND(F4509,0))&lt;0.001,1,0)</f>
        <v/>
      </c>
      <c r="H4509">
        <f>IF(G4509=1,F4509,CEILING(F4509,1))</f>
        <v/>
      </c>
      <c r="I4509">
        <f>IF(G4509=1,0,(H4509-F4509)*E4509)</f>
        <v/>
      </c>
      <c r="J4509">
        <f>E4509*F4509</f>
        <v/>
      </c>
    </row>
    <row r="4510">
      <c r="A4510">
        <f>Sources!A4510</f>
        <v/>
      </c>
      <c r="B4510">
        <f>Sources!B4510</f>
        <v/>
      </c>
      <c r="C4510">
        <f>Sources!D4510</f>
        <v/>
      </c>
      <c r="D4510">
        <f>Sources!E4510</f>
        <v/>
      </c>
      <c r="E4510">
        <f>Sources!F4510</f>
        <v/>
      </c>
      <c r="F4510">
        <f>Sources!H4510</f>
        <v/>
      </c>
      <c r="G4510">
        <f>IF(ABS(F4510-ROUND(F4510,0))&lt;0.001,1,0)</f>
        <v/>
      </c>
      <c r="H4510">
        <f>IF(G4510=1,F4510,CEILING(F4510,1))</f>
        <v/>
      </c>
      <c r="I4510">
        <f>IF(G4510=1,0,(H4510-F4510)*E4510)</f>
        <v/>
      </c>
      <c r="J4510">
        <f>E4510*F4510</f>
        <v/>
      </c>
    </row>
    <row r="4511">
      <c r="A4511">
        <f>Sources!A4511</f>
        <v/>
      </c>
      <c r="B4511">
        <f>Sources!B4511</f>
        <v/>
      </c>
      <c r="C4511">
        <f>Sources!D4511</f>
        <v/>
      </c>
      <c r="D4511">
        <f>Sources!E4511</f>
        <v/>
      </c>
      <c r="E4511">
        <f>Sources!F4511</f>
        <v/>
      </c>
      <c r="F4511">
        <f>Sources!H4511</f>
        <v/>
      </c>
      <c r="G4511">
        <f>IF(ABS(F4511-ROUND(F4511,0))&lt;0.001,1,0)</f>
        <v/>
      </c>
      <c r="H4511">
        <f>IF(G4511=1,F4511,CEILING(F4511,1))</f>
        <v/>
      </c>
      <c r="I4511">
        <f>IF(G4511=1,0,(H4511-F4511)*E4511)</f>
        <v/>
      </c>
      <c r="J4511">
        <f>E4511*F4511</f>
        <v/>
      </c>
    </row>
    <row r="4512">
      <c r="A4512">
        <f>Sources!A4512</f>
        <v/>
      </c>
      <c r="B4512">
        <f>Sources!B4512</f>
        <v/>
      </c>
      <c r="C4512">
        <f>Sources!D4512</f>
        <v/>
      </c>
      <c r="D4512">
        <f>Sources!E4512</f>
        <v/>
      </c>
      <c r="E4512">
        <f>Sources!F4512</f>
        <v/>
      </c>
      <c r="F4512">
        <f>Sources!H4512</f>
        <v/>
      </c>
      <c r="G4512">
        <f>IF(ABS(F4512-ROUND(F4512,0))&lt;0.001,1,0)</f>
        <v/>
      </c>
      <c r="H4512">
        <f>IF(G4512=1,F4512,CEILING(F4512,1))</f>
        <v/>
      </c>
      <c r="I4512">
        <f>IF(G4512=1,0,(H4512-F4512)*E4512)</f>
        <v/>
      </c>
      <c r="J4512">
        <f>E4512*F4512</f>
        <v/>
      </c>
    </row>
    <row r="4513">
      <c r="A4513">
        <f>Sources!A4513</f>
        <v/>
      </c>
      <c r="B4513">
        <f>Sources!B4513</f>
        <v/>
      </c>
      <c r="C4513">
        <f>Sources!D4513</f>
        <v/>
      </c>
      <c r="D4513">
        <f>Sources!E4513</f>
        <v/>
      </c>
      <c r="E4513">
        <f>Sources!F4513</f>
        <v/>
      </c>
      <c r="F4513">
        <f>Sources!H4513</f>
        <v/>
      </c>
      <c r="G4513">
        <f>IF(ABS(F4513-ROUND(F4513,0))&lt;0.001,1,0)</f>
        <v/>
      </c>
      <c r="H4513">
        <f>IF(G4513=1,F4513,CEILING(F4513,1))</f>
        <v/>
      </c>
      <c r="I4513">
        <f>IF(G4513=1,0,(H4513-F4513)*E4513)</f>
        <v/>
      </c>
      <c r="J4513">
        <f>E4513*F4513</f>
        <v/>
      </c>
    </row>
    <row r="4514">
      <c r="A4514">
        <f>Sources!A4514</f>
        <v/>
      </c>
      <c r="B4514">
        <f>Sources!B4514</f>
        <v/>
      </c>
      <c r="C4514">
        <f>Sources!D4514</f>
        <v/>
      </c>
      <c r="D4514">
        <f>Sources!E4514</f>
        <v/>
      </c>
      <c r="E4514">
        <f>Sources!F4514</f>
        <v/>
      </c>
      <c r="F4514">
        <f>Sources!H4514</f>
        <v/>
      </c>
      <c r="G4514">
        <f>IF(ABS(F4514-ROUND(F4514,0))&lt;0.001,1,0)</f>
        <v/>
      </c>
      <c r="H4514">
        <f>IF(G4514=1,F4514,CEILING(F4514,1))</f>
        <v/>
      </c>
      <c r="I4514">
        <f>IF(G4514=1,0,(H4514-F4514)*E4514)</f>
        <v/>
      </c>
      <c r="J4514">
        <f>E4514*F4514</f>
        <v/>
      </c>
    </row>
    <row r="4515">
      <c r="A4515">
        <f>Sources!A4515</f>
        <v/>
      </c>
      <c r="B4515">
        <f>Sources!B4515</f>
        <v/>
      </c>
      <c r="C4515">
        <f>Sources!D4515</f>
        <v/>
      </c>
      <c r="D4515">
        <f>Sources!E4515</f>
        <v/>
      </c>
      <c r="E4515">
        <f>Sources!F4515</f>
        <v/>
      </c>
      <c r="F4515">
        <f>Sources!H4515</f>
        <v/>
      </c>
      <c r="G4515">
        <f>IF(ABS(F4515-ROUND(F4515,0))&lt;0.001,1,0)</f>
        <v/>
      </c>
      <c r="H4515">
        <f>IF(G4515=1,F4515,CEILING(F4515,1))</f>
        <v/>
      </c>
      <c r="I4515">
        <f>IF(G4515=1,0,(H4515-F4515)*E4515)</f>
        <v/>
      </c>
      <c r="J4515">
        <f>E4515*F4515</f>
        <v/>
      </c>
    </row>
    <row r="4516">
      <c r="A4516">
        <f>Sources!A4516</f>
        <v/>
      </c>
      <c r="B4516">
        <f>Sources!B4516</f>
        <v/>
      </c>
      <c r="C4516">
        <f>Sources!D4516</f>
        <v/>
      </c>
      <c r="D4516">
        <f>Sources!E4516</f>
        <v/>
      </c>
      <c r="E4516">
        <f>Sources!F4516</f>
        <v/>
      </c>
      <c r="F4516">
        <f>Sources!H4516</f>
        <v/>
      </c>
      <c r="G4516">
        <f>IF(ABS(F4516-ROUND(F4516,0))&lt;0.001,1,0)</f>
        <v/>
      </c>
      <c r="H4516">
        <f>IF(G4516=1,F4516,CEILING(F4516,1))</f>
        <v/>
      </c>
      <c r="I4516">
        <f>IF(G4516=1,0,(H4516-F4516)*E4516)</f>
        <v/>
      </c>
      <c r="J4516">
        <f>E4516*F4516</f>
        <v/>
      </c>
    </row>
    <row r="4517">
      <c r="A4517">
        <f>Sources!A4517</f>
        <v/>
      </c>
      <c r="B4517">
        <f>Sources!B4517</f>
        <v/>
      </c>
      <c r="C4517">
        <f>Sources!D4517</f>
        <v/>
      </c>
      <c r="D4517">
        <f>Sources!E4517</f>
        <v/>
      </c>
      <c r="E4517">
        <f>Sources!F4517</f>
        <v/>
      </c>
      <c r="F4517">
        <f>Sources!H4517</f>
        <v/>
      </c>
      <c r="G4517">
        <f>IF(ABS(F4517-ROUND(F4517,0))&lt;0.001,1,0)</f>
        <v/>
      </c>
      <c r="H4517">
        <f>IF(G4517=1,F4517,CEILING(F4517,1))</f>
        <v/>
      </c>
      <c r="I4517">
        <f>IF(G4517=1,0,(H4517-F4517)*E4517)</f>
        <v/>
      </c>
      <c r="J4517">
        <f>E4517*F4517</f>
        <v/>
      </c>
    </row>
    <row r="4518">
      <c r="A4518">
        <f>Sources!A4518</f>
        <v/>
      </c>
      <c r="B4518">
        <f>Sources!B4518</f>
        <v/>
      </c>
      <c r="C4518">
        <f>Sources!D4518</f>
        <v/>
      </c>
      <c r="D4518">
        <f>Sources!E4518</f>
        <v/>
      </c>
      <c r="E4518">
        <f>Sources!F4518</f>
        <v/>
      </c>
      <c r="F4518">
        <f>Sources!H4518</f>
        <v/>
      </c>
      <c r="G4518">
        <f>IF(ABS(F4518-ROUND(F4518,0))&lt;0.001,1,0)</f>
        <v/>
      </c>
      <c r="H4518">
        <f>IF(G4518=1,F4518,CEILING(F4518,1))</f>
        <v/>
      </c>
      <c r="I4518">
        <f>IF(G4518=1,0,(H4518-F4518)*E4518)</f>
        <v/>
      </c>
      <c r="J4518">
        <f>E4518*F4518</f>
        <v/>
      </c>
    </row>
    <row r="4519">
      <c r="A4519">
        <f>Sources!A4519</f>
        <v/>
      </c>
      <c r="B4519">
        <f>Sources!B4519</f>
        <v/>
      </c>
      <c r="C4519">
        <f>Sources!D4519</f>
        <v/>
      </c>
      <c r="D4519">
        <f>Sources!E4519</f>
        <v/>
      </c>
      <c r="E4519">
        <f>Sources!F4519</f>
        <v/>
      </c>
      <c r="F4519">
        <f>Sources!H4519</f>
        <v/>
      </c>
      <c r="G4519">
        <f>IF(ABS(F4519-ROUND(F4519,0))&lt;0.001,1,0)</f>
        <v/>
      </c>
      <c r="H4519">
        <f>IF(G4519=1,F4519,CEILING(F4519,1))</f>
        <v/>
      </c>
      <c r="I4519">
        <f>IF(G4519=1,0,(H4519-F4519)*E4519)</f>
        <v/>
      </c>
      <c r="J4519">
        <f>E4519*F4519</f>
        <v/>
      </c>
    </row>
    <row r="4520">
      <c r="A4520">
        <f>Sources!A4520</f>
        <v/>
      </c>
      <c r="B4520">
        <f>Sources!B4520</f>
        <v/>
      </c>
      <c r="C4520">
        <f>Sources!D4520</f>
        <v/>
      </c>
      <c r="D4520">
        <f>Sources!E4520</f>
        <v/>
      </c>
      <c r="E4520">
        <f>Sources!F4520</f>
        <v/>
      </c>
      <c r="F4520">
        <f>Sources!H4520</f>
        <v/>
      </c>
      <c r="G4520">
        <f>IF(ABS(F4520-ROUND(F4520,0))&lt;0.001,1,0)</f>
        <v/>
      </c>
      <c r="H4520">
        <f>IF(G4520=1,F4520,CEILING(F4520,1))</f>
        <v/>
      </c>
      <c r="I4520">
        <f>IF(G4520=1,0,(H4520-F4520)*E4520)</f>
        <v/>
      </c>
      <c r="J4520">
        <f>E4520*F4520</f>
        <v/>
      </c>
    </row>
    <row r="4521">
      <c r="A4521">
        <f>Sources!A4521</f>
        <v/>
      </c>
      <c r="B4521">
        <f>Sources!B4521</f>
        <v/>
      </c>
      <c r="C4521">
        <f>Sources!D4521</f>
        <v/>
      </c>
      <c r="D4521">
        <f>Sources!E4521</f>
        <v/>
      </c>
      <c r="E4521">
        <f>Sources!F4521</f>
        <v/>
      </c>
      <c r="F4521">
        <f>Sources!H4521</f>
        <v/>
      </c>
      <c r="G4521">
        <f>IF(ABS(F4521-ROUND(F4521,0))&lt;0.001,1,0)</f>
        <v/>
      </c>
      <c r="H4521">
        <f>IF(G4521=1,F4521,CEILING(F4521,1))</f>
        <v/>
      </c>
      <c r="I4521">
        <f>IF(G4521=1,0,(H4521-F4521)*E4521)</f>
        <v/>
      </c>
      <c r="J4521">
        <f>E4521*F4521</f>
        <v/>
      </c>
    </row>
    <row r="4522">
      <c r="A4522">
        <f>Sources!A4522</f>
        <v/>
      </c>
      <c r="B4522">
        <f>Sources!B4522</f>
        <v/>
      </c>
      <c r="C4522">
        <f>Sources!D4522</f>
        <v/>
      </c>
      <c r="D4522">
        <f>Sources!E4522</f>
        <v/>
      </c>
      <c r="E4522">
        <f>Sources!F4522</f>
        <v/>
      </c>
      <c r="F4522">
        <f>Sources!H4522</f>
        <v/>
      </c>
      <c r="G4522">
        <f>IF(ABS(F4522-ROUND(F4522,0))&lt;0.001,1,0)</f>
        <v/>
      </c>
      <c r="H4522">
        <f>IF(G4522=1,F4522,CEILING(F4522,1))</f>
        <v/>
      </c>
      <c r="I4522">
        <f>IF(G4522=1,0,(H4522-F4522)*E4522)</f>
        <v/>
      </c>
      <c r="J4522">
        <f>E4522*F4522</f>
        <v/>
      </c>
    </row>
    <row r="4523">
      <c r="A4523">
        <f>Sources!A4523</f>
        <v/>
      </c>
      <c r="B4523">
        <f>Sources!B4523</f>
        <v/>
      </c>
      <c r="C4523">
        <f>Sources!D4523</f>
        <v/>
      </c>
      <c r="D4523">
        <f>Sources!E4523</f>
        <v/>
      </c>
      <c r="E4523">
        <f>Sources!F4523</f>
        <v/>
      </c>
      <c r="F4523">
        <f>Sources!H4523</f>
        <v/>
      </c>
      <c r="G4523">
        <f>IF(ABS(F4523-ROUND(F4523,0))&lt;0.001,1,0)</f>
        <v/>
      </c>
      <c r="H4523">
        <f>IF(G4523=1,F4523,CEILING(F4523,1))</f>
        <v/>
      </c>
      <c r="I4523">
        <f>IF(G4523=1,0,(H4523-F4523)*E4523)</f>
        <v/>
      </c>
      <c r="J4523">
        <f>E4523*F4523</f>
        <v/>
      </c>
    </row>
    <row r="4524">
      <c r="A4524">
        <f>Sources!A4524</f>
        <v/>
      </c>
      <c r="B4524">
        <f>Sources!B4524</f>
        <v/>
      </c>
      <c r="C4524">
        <f>Sources!D4524</f>
        <v/>
      </c>
      <c r="D4524">
        <f>Sources!E4524</f>
        <v/>
      </c>
      <c r="E4524">
        <f>Sources!F4524</f>
        <v/>
      </c>
      <c r="F4524">
        <f>Sources!H4524</f>
        <v/>
      </c>
      <c r="G4524">
        <f>IF(ABS(F4524-ROUND(F4524,0))&lt;0.001,1,0)</f>
        <v/>
      </c>
      <c r="H4524">
        <f>IF(G4524=1,F4524,CEILING(F4524,1))</f>
        <v/>
      </c>
      <c r="I4524">
        <f>IF(G4524=1,0,(H4524-F4524)*E4524)</f>
        <v/>
      </c>
      <c r="J4524">
        <f>E4524*F4524</f>
        <v/>
      </c>
    </row>
    <row r="4525">
      <c r="A4525">
        <f>Sources!A4525</f>
        <v/>
      </c>
      <c r="B4525">
        <f>Sources!B4525</f>
        <v/>
      </c>
      <c r="C4525">
        <f>Sources!D4525</f>
        <v/>
      </c>
      <c r="D4525">
        <f>Sources!E4525</f>
        <v/>
      </c>
      <c r="E4525">
        <f>Sources!F4525</f>
        <v/>
      </c>
      <c r="F4525">
        <f>Sources!H4525</f>
        <v/>
      </c>
      <c r="G4525">
        <f>IF(ABS(F4525-ROUND(F4525,0))&lt;0.001,1,0)</f>
        <v/>
      </c>
      <c r="H4525">
        <f>IF(G4525=1,F4525,CEILING(F4525,1))</f>
        <v/>
      </c>
      <c r="I4525">
        <f>IF(G4525=1,0,(H4525-F4525)*E4525)</f>
        <v/>
      </c>
      <c r="J4525">
        <f>E4525*F4525</f>
        <v/>
      </c>
    </row>
    <row r="4526">
      <c r="A4526">
        <f>Sources!A4526</f>
        <v/>
      </c>
      <c r="B4526">
        <f>Sources!B4526</f>
        <v/>
      </c>
      <c r="C4526">
        <f>Sources!D4526</f>
        <v/>
      </c>
      <c r="D4526">
        <f>Sources!E4526</f>
        <v/>
      </c>
      <c r="E4526">
        <f>Sources!F4526</f>
        <v/>
      </c>
      <c r="F4526">
        <f>Sources!H4526</f>
        <v/>
      </c>
      <c r="G4526">
        <f>IF(ABS(F4526-ROUND(F4526,0))&lt;0.001,1,0)</f>
        <v/>
      </c>
      <c r="H4526">
        <f>IF(G4526=1,F4526,CEILING(F4526,1))</f>
        <v/>
      </c>
      <c r="I4526">
        <f>IF(G4526=1,0,(H4526-F4526)*E4526)</f>
        <v/>
      </c>
      <c r="J4526">
        <f>E4526*F4526</f>
        <v/>
      </c>
    </row>
    <row r="4527">
      <c r="A4527">
        <f>Sources!A4527</f>
        <v/>
      </c>
      <c r="B4527">
        <f>Sources!B4527</f>
        <v/>
      </c>
      <c r="C4527">
        <f>Sources!D4527</f>
        <v/>
      </c>
      <c r="D4527">
        <f>Sources!E4527</f>
        <v/>
      </c>
      <c r="E4527">
        <f>Sources!F4527</f>
        <v/>
      </c>
      <c r="F4527">
        <f>Sources!H4527</f>
        <v/>
      </c>
      <c r="G4527">
        <f>IF(ABS(F4527-ROUND(F4527,0))&lt;0.001,1,0)</f>
        <v/>
      </c>
      <c r="H4527">
        <f>IF(G4527=1,F4527,CEILING(F4527,1))</f>
        <v/>
      </c>
      <c r="I4527">
        <f>IF(G4527=1,0,(H4527-F4527)*E4527)</f>
        <v/>
      </c>
      <c r="J4527">
        <f>E4527*F4527</f>
        <v/>
      </c>
    </row>
    <row r="4528">
      <c r="A4528">
        <f>Sources!A4528</f>
        <v/>
      </c>
      <c r="B4528">
        <f>Sources!B4528</f>
        <v/>
      </c>
      <c r="C4528">
        <f>Sources!D4528</f>
        <v/>
      </c>
      <c r="D4528">
        <f>Sources!E4528</f>
        <v/>
      </c>
      <c r="E4528">
        <f>Sources!F4528</f>
        <v/>
      </c>
      <c r="F4528">
        <f>Sources!H4528</f>
        <v/>
      </c>
      <c r="G4528">
        <f>IF(ABS(F4528-ROUND(F4528,0))&lt;0.001,1,0)</f>
        <v/>
      </c>
      <c r="H4528">
        <f>IF(G4528=1,F4528,CEILING(F4528,1))</f>
        <v/>
      </c>
      <c r="I4528">
        <f>IF(G4528=1,0,(H4528-F4528)*E4528)</f>
        <v/>
      </c>
      <c r="J4528">
        <f>E4528*F4528</f>
        <v/>
      </c>
    </row>
    <row r="4529">
      <c r="A4529">
        <f>Sources!A4529</f>
        <v/>
      </c>
      <c r="B4529">
        <f>Sources!B4529</f>
        <v/>
      </c>
      <c r="C4529">
        <f>Sources!D4529</f>
        <v/>
      </c>
      <c r="D4529">
        <f>Sources!E4529</f>
        <v/>
      </c>
      <c r="E4529">
        <f>Sources!F4529</f>
        <v/>
      </c>
      <c r="F4529">
        <f>Sources!H4529</f>
        <v/>
      </c>
      <c r="G4529">
        <f>IF(ABS(F4529-ROUND(F4529,0))&lt;0.001,1,0)</f>
        <v/>
      </c>
      <c r="H4529">
        <f>IF(G4529=1,F4529,CEILING(F4529,1))</f>
        <v/>
      </c>
      <c r="I4529">
        <f>IF(G4529=1,0,(H4529-F4529)*E4529)</f>
        <v/>
      </c>
      <c r="J4529">
        <f>E4529*F4529</f>
        <v/>
      </c>
    </row>
    <row r="4530">
      <c r="A4530">
        <f>Sources!A4530</f>
        <v/>
      </c>
      <c r="B4530">
        <f>Sources!B4530</f>
        <v/>
      </c>
      <c r="C4530">
        <f>Sources!D4530</f>
        <v/>
      </c>
      <c r="D4530">
        <f>Sources!E4530</f>
        <v/>
      </c>
      <c r="E4530">
        <f>Sources!F4530</f>
        <v/>
      </c>
      <c r="F4530">
        <f>Sources!H4530</f>
        <v/>
      </c>
      <c r="G4530">
        <f>IF(ABS(F4530-ROUND(F4530,0))&lt;0.001,1,0)</f>
        <v/>
      </c>
      <c r="H4530">
        <f>IF(G4530=1,F4530,CEILING(F4530,1))</f>
        <v/>
      </c>
      <c r="I4530">
        <f>IF(G4530=1,0,(H4530-F4530)*E4530)</f>
        <v/>
      </c>
      <c r="J4530">
        <f>E4530*F4530</f>
        <v/>
      </c>
    </row>
    <row r="4531">
      <c r="A4531">
        <f>Sources!A4531</f>
        <v/>
      </c>
      <c r="B4531">
        <f>Sources!B4531</f>
        <v/>
      </c>
      <c r="C4531">
        <f>Sources!D4531</f>
        <v/>
      </c>
      <c r="D4531">
        <f>Sources!E4531</f>
        <v/>
      </c>
      <c r="E4531">
        <f>Sources!F4531</f>
        <v/>
      </c>
      <c r="F4531">
        <f>Sources!H4531</f>
        <v/>
      </c>
      <c r="G4531">
        <f>IF(ABS(F4531-ROUND(F4531,0))&lt;0.001,1,0)</f>
        <v/>
      </c>
      <c r="H4531">
        <f>IF(G4531=1,F4531,CEILING(F4531,1))</f>
        <v/>
      </c>
      <c r="I4531">
        <f>IF(G4531=1,0,(H4531-F4531)*E4531)</f>
        <v/>
      </c>
      <c r="J4531">
        <f>E4531*F4531</f>
        <v/>
      </c>
    </row>
    <row r="4532">
      <c r="A4532">
        <f>Sources!A4532</f>
        <v/>
      </c>
      <c r="B4532">
        <f>Sources!B4532</f>
        <v/>
      </c>
      <c r="C4532">
        <f>Sources!D4532</f>
        <v/>
      </c>
      <c r="D4532">
        <f>Sources!E4532</f>
        <v/>
      </c>
      <c r="E4532">
        <f>Sources!F4532</f>
        <v/>
      </c>
      <c r="F4532">
        <f>Sources!H4532</f>
        <v/>
      </c>
      <c r="G4532">
        <f>IF(ABS(F4532-ROUND(F4532,0))&lt;0.001,1,0)</f>
        <v/>
      </c>
      <c r="H4532">
        <f>IF(G4532=1,F4532,CEILING(F4532,1))</f>
        <v/>
      </c>
      <c r="I4532">
        <f>IF(G4532=1,0,(H4532-F4532)*E4532)</f>
        <v/>
      </c>
      <c r="J4532">
        <f>E4532*F4532</f>
        <v/>
      </c>
    </row>
    <row r="4533">
      <c r="A4533">
        <f>Sources!A4533</f>
        <v/>
      </c>
      <c r="B4533">
        <f>Sources!B4533</f>
        <v/>
      </c>
      <c r="C4533">
        <f>Sources!D4533</f>
        <v/>
      </c>
      <c r="D4533">
        <f>Sources!E4533</f>
        <v/>
      </c>
      <c r="E4533">
        <f>Sources!F4533</f>
        <v/>
      </c>
      <c r="F4533">
        <f>Sources!H4533</f>
        <v/>
      </c>
      <c r="G4533">
        <f>IF(ABS(F4533-ROUND(F4533,0))&lt;0.001,1,0)</f>
        <v/>
      </c>
      <c r="H4533">
        <f>IF(G4533=1,F4533,CEILING(F4533,1))</f>
        <v/>
      </c>
      <c r="I4533">
        <f>IF(G4533=1,0,(H4533-F4533)*E4533)</f>
        <v/>
      </c>
      <c r="J4533">
        <f>E4533*F4533</f>
        <v/>
      </c>
    </row>
    <row r="4534">
      <c r="A4534">
        <f>Sources!A4534</f>
        <v/>
      </c>
      <c r="B4534">
        <f>Sources!B4534</f>
        <v/>
      </c>
      <c r="C4534">
        <f>Sources!D4534</f>
        <v/>
      </c>
      <c r="D4534">
        <f>Sources!E4534</f>
        <v/>
      </c>
      <c r="E4534">
        <f>Sources!F4534</f>
        <v/>
      </c>
      <c r="F4534">
        <f>Sources!H4534</f>
        <v/>
      </c>
      <c r="G4534">
        <f>IF(ABS(F4534-ROUND(F4534,0))&lt;0.001,1,0)</f>
        <v/>
      </c>
      <c r="H4534">
        <f>IF(G4534=1,F4534,CEILING(F4534,1))</f>
        <v/>
      </c>
      <c r="I4534">
        <f>IF(G4534=1,0,(H4534-F4534)*E4534)</f>
        <v/>
      </c>
      <c r="J4534">
        <f>E4534*F4534</f>
        <v/>
      </c>
    </row>
    <row r="4535">
      <c r="A4535">
        <f>Sources!A4535</f>
        <v/>
      </c>
      <c r="B4535">
        <f>Sources!B4535</f>
        <v/>
      </c>
      <c r="C4535">
        <f>Sources!D4535</f>
        <v/>
      </c>
      <c r="D4535">
        <f>Sources!E4535</f>
        <v/>
      </c>
      <c r="E4535">
        <f>Sources!F4535</f>
        <v/>
      </c>
      <c r="F4535">
        <f>Sources!H4535</f>
        <v/>
      </c>
      <c r="G4535">
        <f>IF(ABS(F4535-ROUND(F4535,0))&lt;0.001,1,0)</f>
        <v/>
      </c>
      <c r="H4535">
        <f>IF(G4535=1,F4535,CEILING(F4535,1))</f>
        <v/>
      </c>
      <c r="I4535">
        <f>IF(G4535=1,0,(H4535-F4535)*E4535)</f>
        <v/>
      </c>
      <c r="J4535">
        <f>E4535*F4535</f>
        <v/>
      </c>
    </row>
    <row r="4536">
      <c r="A4536">
        <f>Sources!A4536</f>
        <v/>
      </c>
      <c r="B4536">
        <f>Sources!B4536</f>
        <v/>
      </c>
      <c r="C4536">
        <f>Sources!D4536</f>
        <v/>
      </c>
      <c r="D4536">
        <f>Sources!E4536</f>
        <v/>
      </c>
      <c r="E4536">
        <f>Sources!F4536</f>
        <v/>
      </c>
      <c r="F4536">
        <f>Sources!H4536</f>
        <v/>
      </c>
      <c r="G4536">
        <f>IF(ABS(F4536-ROUND(F4536,0))&lt;0.001,1,0)</f>
        <v/>
      </c>
      <c r="H4536">
        <f>IF(G4536=1,F4536,CEILING(F4536,1))</f>
        <v/>
      </c>
      <c r="I4536">
        <f>IF(G4536=1,0,(H4536-F4536)*E4536)</f>
        <v/>
      </c>
      <c r="J4536">
        <f>E4536*F4536</f>
        <v/>
      </c>
    </row>
    <row r="4537">
      <c r="A4537">
        <f>Sources!A4537</f>
        <v/>
      </c>
      <c r="B4537">
        <f>Sources!B4537</f>
        <v/>
      </c>
      <c r="C4537">
        <f>Sources!D4537</f>
        <v/>
      </c>
      <c r="D4537">
        <f>Sources!E4537</f>
        <v/>
      </c>
      <c r="E4537">
        <f>Sources!F4537</f>
        <v/>
      </c>
      <c r="F4537">
        <f>Sources!H4537</f>
        <v/>
      </c>
      <c r="G4537">
        <f>IF(ABS(F4537-ROUND(F4537,0))&lt;0.001,1,0)</f>
        <v/>
      </c>
      <c r="H4537">
        <f>IF(G4537=1,F4537,CEILING(F4537,1))</f>
        <v/>
      </c>
      <c r="I4537">
        <f>IF(G4537=1,0,(H4537-F4537)*E4537)</f>
        <v/>
      </c>
      <c r="J4537">
        <f>E4537*F4537</f>
        <v/>
      </c>
    </row>
    <row r="4538">
      <c r="A4538">
        <f>Sources!A4538</f>
        <v/>
      </c>
      <c r="B4538">
        <f>Sources!B4538</f>
        <v/>
      </c>
      <c r="C4538">
        <f>Sources!D4538</f>
        <v/>
      </c>
      <c r="D4538">
        <f>Sources!E4538</f>
        <v/>
      </c>
      <c r="E4538">
        <f>Sources!F4538</f>
        <v/>
      </c>
      <c r="F4538">
        <f>Sources!H4538</f>
        <v/>
      </c>
      <c r="G4538">
        <f>IF(ABS(F4538-ROUND(F4538,0))&lt;0.001,1,0)</f>
        <v/>
      </c>
      <c r="H4538">
        <f>IF(G4538=1,F4538,CEILING(F4538,1))</f>
        <v/>
      </c>
      <c r="I4538">
        <f>IF(G4538=1,0,(H4538-F4538)*E4538)</f>
        <v/>
      </c>
      <c r="J4538">
        <f>E4538*F4538</f>
        <v/>
      </c>
    </row>
    <row r="4539">
      <c r="A4539">
        <f>Sources!A4539</f>
        <v/>
      </c>
      <c r="B4539">
        <f>Sources!B4539</f>
        <v/>
      </c>
      <c r="C4539">
        <f>Sources!D4539</f>
        <v/>
      </c>
      <c r="D4539">
        <f>Sources!E4539</f>
        <v/>
      </c>
      <c r="E4539">
        <f>Sources!F4539</f>
        <v/>
      </c>
      <c r="F4539">
        <f>Sources!H4539</f>
        <v/>
      </c>
      <c r="G4539">
        <f>IF(ABS(F4539-ROUND(F4539,0))&lt;0.001,1,0)</f>
        <v/>
      </c>
      <c r="H4539">
        <f>IF(G4539=1,F4539,CEILING(F4539,1))</f>
        <v/>
      </c>
      <c r="I4539">
        <f>IF(G4539=1,0,(H4539-F4539)*E4539)</f>
        <v/>
      </c>
      <c r="J4539">
        <f>E4539*F4539</f>
        <v/>
      </c>
    </row>
    <row r="4540">
      <c r="A4540">
        <f>Sources!A4540</f>
        <v/>
      </c>
      <c r="B4540">
        <f>Sources!B4540</f>
        <v/>
      </c>
      <c r="C4540">
        <f>Sources!D4540</f>
        <v/>
      </c>
      <c r="D4540">
        <f>Sources!E4540</f>
        <v/>
      </c>
      <c r="E4540">
        <f>Sources!F4540</f>
        <v/>
      </c>
      <c r="F4540">
        <f>Sources!H4540</f>
        <v/>
      </c>
      <c r="G4540">
        <f>IF(ABS(F4540-ROUND(F4540,0))&lt;0.001,1,0)</f>
        <v/>
      </c>
      <c r="H4540">
        <f>IF(G4540=1,F4540,CEILING(F4540,1))</f>
        <v/>
      </c>
      <c r="I4540">
        <f>IF(G4540=1,0,(H4540-F4540)*E4540)</f>
        <v/>
      </c>
      <c r="J4540">
        <f>E4540*F4540</f>
        <v/>
      </c>
    </row>
    <row r="4541">
      <c r="A4541">
        <f>Sources!A4541</f>
        <v/>
      </c>
      <c r="B4541">
        <f>Sources!B4541</f>
        <v/>
      </c>
      <c r="C4541">
        <f>Sources!D4541</f>
        <v/>
      </c>
      <c r="D4541">
        <f>Sources!E4541</f>
        <v/>
      </c>
      <c r="E4541">
        <f>Sources!F4541</f>
        <v/>
      </c>
      <c r="F4541">
        <f>Sources!H4541</f>
        <v/>
      </c>
      <c r="G4541">
        <f>IF(ABS(F4541-ROUND(F4541,0))&lt;0.001,1,0)</f>
        <v/>
      </c>
      <c r="H4541">
        <f>IF(G4541=1,F4541,CEILING(F4541,1))</f>
        <v/>
      </c>
      <c r="I4541">
        <f>IF(G4541=1,0,(H4541-F4541)*E4541)</f>
        <v/>
      </c>
      <c r="J4541">
        <f>E4541*F4541</f>
        <v/>
      </c>
    </row>
    <row r="4542">
      <c r="A4542">
        <f>Sources!A4542</f>
        <v/>
      </c>
      <c r="B4542">
        <f>Sources!B4542</f>
        <v/>
      </c>
      <c r="C4542">
        <f>Sources!D4542</f>
        <v/>
      </c>
      <c r="D4542">
        <f>Sources!E4542</f>
        <v/>
      </c>
      <c r="E4542">
        <f>Sources!F4542</f>
        <v/>
      </c>
      <c r="F4542">
        <f>Sources!H4542</f>
        <v/>
      </c>
      <c r="G4542">
        <f>IF(ABS(F4542-ROUND(F4542,0))&lt;0.001,1,0)</f>
        <v/>
      </c>
      <c r="H4542">
        <f>IF(G4542=1,F4542,CEILING(F4542,1))</f>
        <v/>
      </c>
      <c r="I4542">
        <f>IF(G4542=1,0,(H4542-F4542)*E4542)</f>
        <v/>
      </c>
      <c r="J4542">
        <f>E4542*F4542</f>
        <v/>
      </c>
    </row>
    <row r="4543">
      <c r="A4543">
        <f>Sources!A4543</f>
        <v/>
      </c>
      <c r="B4543">
        <f>Sources!B4543</f>
        <v/>
      </c>
      <c r="C4543">
        <f>Sources!D4543</f>
        <v/>
      </c>
      <c r="D4543">
        <f>Sources!E4543</f>
        <v/>
      </c>
      <c r="E4543">
        <f>Sources!F4543</f>
        <v/>
      </c>
      <c r="F4543">
        <f>Sources!H4543</f>
        <v/>
      </c>
      <c r="G4543">
        <f>IF(ABS(F4543-ROUND(F4543,0))&lt;0.001,1,0)</f>
        <v/>
      </c>
      <c r="H4543">
        <f>IF(G4543=1,F4543,CEILING(F4543,1))</f>
        <v/>
      </c>
      <c r="I4543">
        <f>IF(G4543=1,0,(H4543-F4543)*E4543)</f>
        <v/>
      </c>
      <c r="J4543">
        <f>E4543*F4543</f>
        <v/>
      </c>
    </row>
    <row r="4544">
      <c r="A4544">
        <f>Sources!A4544</f>
        <v/>
      </c>
      <c r="B4544">
        <f>Sources!B4544</f>
        <v/>
      </c>
      <c r="C4544">
        <f>Sources!D4544</f>
        <v/>
      </c>
      <c r="D4544">
        <f>Sources!E4544</f>
        <v/>
      </c>
      <c r="E4544">
        <f>Sources!F4544</f>
        <v/>
      </c>
      <c r="F4544">
        <f>Sources!H4544</f>
        <v/>
      </c>
      <c r="G4544">
        <f>IF(ABS(F4544-ROUND(F4544,0))&lt;0.001,1,0)</f>
        <v/>
      </c>
      <c r="H4544">
        <f>IF(G4544=1,F4544,CEILING(F4544,1))</f>
        <v/>
      </c>
      <c r="I4544">
        <f>IF(G4544=1,0,(H4544-F4544)*E4544)</f>
        <v/>
      </c>
      <c r="J4544">
        <f>E4544*F4544</f>
        <v/>
      </c>
    </row>
    <row r="4545">
      <c r="A4545">
        <f>Sources!A4545</f>
        <v/>
      </c>
      <c r="B4545">
        <f>Sources!B4545</f>
        <v/>
      </c>
      <c r="C4545">
        <f>Sources!D4545</f>
        <v/>
      </c>
      <c r="D4545">
        <f>Sources!E4545</f>
        <v/>
      </c>
      <c r="E4545">
        <f>Sources!F4545</f>
        <v/>
      </c>
      <c r="F4545">
        <f>Sources!H4545</f>
        <v/>
      </c>
      <c r="G4545">
        <f>IF(ABS(F4545-ROUND(F4545,0))&lt;0.001,1,0)</f>
        <v/>
      </c>
      <c r="H4545">
        <f>IF(G4545=1,F4545,CEILING(F4545,1))</f>
        <v/>
      </c>
      <c r="I4545">
        <f>IF(G4545=1,0,(H4545-F4545)*E4545)</f>
        <v/>
      </c>
      <c r="J4545">
        <f>E4545*F4545</f>
        <v/>
      </c>
    </row>
    <row r="4546">
      <c r="A4546">
        <f>Sources!A4546</f>
        <v/>
      </c>
      <c r="B4546">
        <f>Sources!B4546</f>
        <v/>
      </c>
      <c r="C4546">
        <f>Sources!D4546</f>
        <v/>
      </c>
      <c r="D4546">
        <f>Sources!E4546</f>
        <v/>
      </c>
      <c r="E4546">
        <f>Sources!F4546</f>
        <v/>
      </c>
      <c r="F4546">
        <f>Sources!H4546</f>
        <v/>
      </c>
      <c r="G4546">
        <f>IF(ABS(F4546-ROUND(F4546,0))&lt;0.001,1,0)</f>
        <v/>
      </c>
      <c r="H4546">
        <f>IF(G4546=1,F4546,CEILING(F4546,1))</f>
        <v/>
      </c>
      <c r="I4546">
        <f>IF(G4546=1,0,(H4546-F4546)*E4546)</f>
        <v/>
      </c>
      <c r="J4546">
        <f>E4546*F4546</f>
        <v/>
      </c>
    </row>
    <row r="4547">
      <c r="A4547">
        <f>Sources!A4547</f>
        <v/>
      </c>
      <c r="B4547">
        <f>Sources!B4547</f>
        <v/>
      </c>
      <c r="C4547">
        <f>Sources!D4547</f>
        <v/>
      </c>
      <c r="D4547">
        <f>Sources!E4547</f>
        <v/>
      </c>
      <c r="E4547">
        <f>Sources!F4547</f>
        <v/>
      </c>
      <c r="F4547">
        <f>Sources!H4547</f>
        <v/>
      </c>
      <c r="G4547">
        <f>IF(ABS(F4547-ROUND(F4547,0))&lt;0.001,1,0)</f>
        <v/>
      </c>
      <c r="H4547">
        <f>IF(G4547=1,F4547,CEILING(F4547,1))</f>
        <v/>
      </c>
      <c r="I4547">
        <f>IF(G4547=1,0,(H4547-F4547)*E4547)</f>
        <v/>
      </c>
      <c r="J4547">
        <f>E4547*F4547</f>
        <v/>
      </c>
    </row>
    <row r="4548">
      <c r="A4548">
        <f>Sources!A4548</f>
        <v/>
      </c>
      <c r="B4548">
        <f>Sources!B4548</f>
        <v/>
      </c>
      <c r="C4548">
        <f>Sources!D4548</f>
        <v/>
      </c>
      <c r="D4548">
        <f>Sources!E4548</f>
        <v/>
      </c>
      <c r="E4548">
        <f>Sources!F4548</f>
        <v/>
      </c>
      <c r="F4548">
        <f>Sources!H4548</f>
        <v/>
      </c>
      <c r="G4548">
        <f>IF(ABS(F4548-ROUND(F4548,0))&lt;0.001,1,0)</f>
        <v/>
      </c>
      <c r="H4548">
        <f>IF(G4548=1,F4548,CEILING(F4548,1))</f>
        <v/>
      </c>
      <c r="I4548">
        <f>IF(G4548=1,0,(H4548-F4548)*E4548)</f>
        <v/>
      </c>
      <c r="J4548">
        <f>E4548*F4548</f>
        <v/>
      </c>
    </row>
    <row r="4549">
      <c r="A4549">
        <f>Sources!A4549</f>
        <v/>
      </c>
      <c r="B4549">
        <f>Sources!B4549</f>
        <v/>
      </c>
      <c r="C4549">
        <f>Sources!D4549</f>
        <v/>
      </c>
      <c r="D4549">
        <f>Sources!E4549</f>
        <v/>
      </c>
      <c r="E4549">
        <f>Sources!F4549</f>
        <v/>
      </c>
      <c r="F4549">
        <f>Sources!H4549</f>
        <v/>
      </c>
      <c r="G4549">
        <f>IF(ABS(F4549-ROUND(F4549,0))&lt;0.001,1,0)</f>
        <v/>
      </c>
      <c r="H4549">
        <f>IF(G4549=1,F4549,CEILING(F4549,1))</f>
        <v/>
      </c>
      <c r="I4549">
        <f>IF(G4549=1,0,(H4549-F4549)*E4549)</f>
        <v/>
      </c>
      <c r="J4549">
        <f>E4549*F4549</f>
        <v/>
      </c>
    </row>
    <row r="4550">
      <c r="A4550">
        <f>Sources!A4550</f>
        <v/>
      </c>
      <c r="B4550">
        <f>Sources!B4550</f>
        <v/>
      </c>
      <c r="C4550">
        <f>Sources!D4550</f>
        <v/>
      </c>
      <c r="D4550">
        <f>Sources!E4550</f>
        <v/>
      </c>
      <c r="E4550">
        <f>Sources!F4550</f>
        <v/>
      </c>
      <c r="F4550">
        <f>Sources!H4550</f>
        <v/>
      </c>
      <c r="G4550">
        <f>IF(ABS(F4550-ROUND(F4550,0))&lt;0.001,1,0)</f>
        <v/>
      </c>
      <c r="H4550">
        <f>IF(G4550=1,F4550,CEILING(F4550,1))</f>
        <v/>
      </c>
      <c r="I4550">
        <f>IF(G4550=1,0,(H4550-F4550)*E4550)</f>
        <v/>
      </c>
      <c r="J4550">
        <f>E4550*F4550</f>
        <v/>
      </c>
    </row>
    <row r="4551">
      <c r="A4551">
        <f>Sources!A4551</f>
        <v/>
      </c>
      <c r="B4551">
        <f>Sources!B4551</f>
        <v/>
      </c>
      <c r="C4551">
        <f>Sources!D4551</f>
        <v/>
      </c>
      <c r="D4551">
        <f>Sources!E4551</f>
        <v/>
      </c>
      <c r="E4551">
        <f>Sources!F4551</f>
        <v/>
      </c>
      <c r="F4551">
        <f>Sources!H4551</f>
        <v/>
      </c>
      <c r="G4551">
        <f>IF(ABS(F4551-ROUND(F4551,0))&lt;0.001,1,0)</f>
        <v/>
      </c>
      <c r="H4551">
        <f>IF(G4551=1,F4551,CEILING(F4551,1))</f>
        <v/>
      </c>
      <c r="I4551">
        <f>IF(G4551=1,0,(H4551-F4551)*E4551)</f>
        <v/>
      </c>
      <c r="J4551">
        <f>E4551*F4551</f>
        <v/>
      </c>
    </row>
    <row r="4552">
      <c r="A4552">
        <f>Sources!A4552</f>
        <v/>
      </c>
      <c r="B4552">
        <f>Sources!B4552</f>
        <v/>
      </c>
      <c r="C4552">
        <f>Sources!D4552</f>
        <v/>
      </c>
      <c r="D4552">
        <f>Sources!E4552</f>
        <v/>
      </c>
      <c r="E4552">
        <f>Sources!F4552</f>
        <v/>
      </c>
      <c r="F4552">
        <f>Sources!H4552</f>
        <v/>
      </c>
      <c r="G4552">
        <f>IF(ABS(F4552-ROUND(F4552,0))&lt;0.001,1,0)</f>
        <v/>
      </c>
      <c r="H4552">
        <f>IF(G4552=1,F4552,CEILING(F4552,1))</f>
        <v/>
      </c>
      <c r="I4552">
        <f>IF(G4552=1,0,(H4552-F4552)*E4552)</f>
        <v/>
      </c>
      <c r="J4552">
        <f>E4552*F4552</f>
        <v/>
      </c>
    </row>
    <row r="4553">
      <c r="A4553">
        <f>Sources!A4553</f>
        <v/>
      </c>
      <c r="B4553">
        <f>Sources!B4553</f>
        <v/>
      </c>
      <c r="C4553">
        <f>Sources!D4553</f>
        <v/>
      </c>
      <c r="D4553">
        <f>Sources!E4553</f>
        <v/>
      </c>
      <c r="E4553">
        <f>Sources!F4553</f>
        <v/>
      </c>
      <c r="F4553">
        <f>Sources!H4553</f>
        <v/>
      </c>
      <c r="G4553">
        <f>IF(ABS(F4553-ROUND(F4553,0))&lt;0.001,1,0)</f>
        <v/>
      </c>
      <c r="H4553">
        <f>IF(G4553=1,F4553,CEILING(F4553,1))</f>
        <v/>
      </c>
      <c r="I4553">
        <f>IF(G4553=1,0,(H4553-F4553)*E4553)</f>
        <v/>
      </c>
      <c r="J4553">
        <f>E4553*F4553</f>
        <v/>
      </c>
    </row>
    <row r="4554">
      <c r="A4554">
        <f>Sources!A4554</f>
        <v/>
      </c>
      <c r="B4554">
        <f>Sources!B4554</f>
        <v/>
      </c>
      <c r="C4554">
        <f>Sources!D4554</f>
        <v/>
      </c>
      <c r="D4554">
        <f>Sources!E4554</f>
        <v/>
      </c>
      <c r="E4554">
        <f>Sources!F4554</f>
        <v/>
      </c>
      <c r="F4554">
        <f>Sources!H4554</f>
        <v/>
      </c>
      <c r="G4554">
        <f>IF(ABS(F4554-ROUND(F4554,0))&lt;0.001,1,0)</f>
        <v/>
      </c>
      <c r="H4554">
        <f>IF(G4554=1,F4554,CEILING(F4554,1))</f>
        <v/>
      </c>
      <c r="I4554">
        <f>IF(G4554=1,0,(H4554-F4554)*E4554)</f>
        <v/>
      </c>
      <c r="J4554">
        <f>E4554*F4554</f>
        <v/>
      </c>
    </row>
    <row r="4555">
      <c r="A4555">
        <f>Sources!A4555</f>
        <v/>
      </c>
      <c r="B4555">
        <f>Sources!B4555</f>
        <v/>
      </c>
      <c r="C4555">
        <f>Sources!D4555</f>
        <v/>
      </c>
      <c r="D4555">
        <f>Sources!E4555</f>
        <v/>
      </c>
      <c r="E4555">
        <f>Sources!F4555</f>
        <v/>
      </c>
      <c r="F4555">
        <f>Sources!H4555</f>
        <v/>
      </c>
      <c r="G4555">
        <f>IF(ABS(F4555-ROUND(F4555,0))&lt;0.001,1,0)</f>
        <v/>
      </c>
      <c r="H4555">
        <f>IF(G4555=1,F4555,CEILING(F4555,1))</f>
        <v/>
      </c>
      <c r="I4555">
        <f>IF(G4555=1,0,(H4555-F4555)*E4555)</f>
        <v/>
      </c>
      <c r="J4555">
        <f>E4555*F4555</f>
        <v/>
      </c>
    </row>
    <row r="4556">
      <c r="A4556">
        <f>Sources!A4556</f>
        <v/>
      </c>
      <c r="B4556">
        <f>Sources!B4556</f>
        <v/>
      </c>
      <c r="C4556">
        <f>Sources!D4556</f>
        <v/>
      </c>
      <c r="D4556">
        <f>Sources!E4556</f>
        <v/>
      </c>
      <c r="E4556">
        <f>Sources!F4556</f>
        <v/>
      </c>
      <c r="F4556">
        <f>Sources!H4556</f>
        <v/>
      </c>
      <c r="G4556">
        <f>IF(ABS(F4556-ROUND(F4556,0))&lt;0.001,1,0)</f>
        <v/>
      </c>
      <c r="H4556">
        <f>IF(G4556=1,F4556,CEILING(F4556,1))</f>
        <v/>
      </c>
      <c r="I4556">
        <f>IF(G4556=1,0,(H4556-F4556)*E4556)</f>
        <v/>
      </c>
      <c r="J4556">
        <f>E4556*F4556</f>
        <v/>
      </c>
    </row>
    <row r="4557">
      <c r="A4557">
        <f>Sources!A4557</f>
        <v/>
      </c>
      <c r="B4557">
        <f>Sources!B4557</f>
        <v/>
      </c>
      <c r="C4557">
        <f>Sources!D4557</f>
        <v/>
      </c>
      <c r="D4557">
        <f>Sources!E4557</f>
        <v/>
      </c>
      <c r="E4557">
        <f>Sources!F4557</f>
        <v/>
      </c>
      <c r="F4557">
        <f>Sources!H4557</f>
        <v/>
      </c>
      <c r="G4557">
        <f>IF(ABS(F4557-ROUND(F4557,0))&lt;0.001,1,0)</f>
        <v/>
      </c>
      <c r="H4557">
        <f>IF(G4557=1,F4557,CEILING(F4557,1))</f>
        <v/>
      </c>
      <c r="I4557">
        <f>IF(G4557=1,0,(H4557-F4557)*E4557)</f>
        <v/>
      </c>
      <c r="J4557">
        <f>E4557*F4557</f>
        <v/>
      </c>
    </row>
    <row r="4558">
      <c r="A4558">
        <f>Sources!A4558</f>
        <v/>
      </c>
      <c r="B4558">
        <f>Sources!B4558</f>
        <v/>
      </c>
      <c r="C4558">
        <f>Sources!D4558</f>
        <v/>
      </c>
      <c r="D4558">
        <f>Sources!E4558</f>
        <v/>
      </c>
      <c r="E4558">
        <f>Sources!F4558</f>
        <v/>
      </c>
      <c r="F4558">
        <f>Sources!H4558</f>
        <v/>
      </c>
      <c r="G4558">
        <f>IF(ABS(F4558-ROUND(F4558,0))&lt;0.001,1,0)</f>
        <v/>
      </c>
      <c r="H4558">
        <f>IF(G4558=1,F4558,CEILING(F4558,1))</f>
        <v/>
      </c>
      <c r="I4558">
        <f>IF(G4558=1,0,(H4558-F4558)*E4558)</f>
        <v/>
      </c>
      <c r="J4558">
        <f>E4558*F4558</f>
        <v/>
      </c>
    </row>
    <row r="4559">
      <c r="A4559">
        <f>Sources!A4559</f>
        <v/>
      </c>
      <c r="B4559">
        <f>Sources!B4559</f>
        <v/>
      </c>
      <c r="C4559">
        <f>Sources!D4559</f>
        <v/>
      </c>
      <c r="D4559">
        <f>Sources!E4559</f>
        <v/>
      </c>
      <c r="E4559">
        <f>Sources!F4559</f>
        <v/>
      </c>
      <c r="F4559">
        <f>Sources!H4559</f>
        <v/>
      </c>
      <c r="G4559">
        <f>IF(ABS(F4559-ROUND(F4559,0))&lt;0.001,1,0)</f>
        <v/>
      </c>
      <c r="H4559">
        <f>IF(G4559=1,F4559,CEILING(F4559,1))</f>
        <v/>
      </c>
      <c r="I4559">
        <f>IF(G4559=1,0,(H4559-F4559)*E4559)</f>
        <v/>
      </c>
      <c r="J4559">
        <f>E4559*F4559</f>
        <v/>
      </c>
    </row>
    <row r="4560">
      <c r="A4560">
        <f>Sources!A4560</f>
        <v/>
      </c>
      <c r="B4560">
        <f>Sources!B4560</f>
        <v/>
      </c>
      <c r="C4560">
        <f>Sources!D4560</f>
        <v/>
      </c>
      <c r="D4560">
        <f>Sources!E4560</f>
        <v/>
      </c>
      <c r="E4560">
        <f>Sources!F4560</f>
        <v/>
      </c>
      <c r="F4560">
        <f>Sources!H4560</f>
        <v/>
      </c>
      <c r="G4560">
        <f>IF(ABS(F4560-ROUND(F4560,0))&lt;0.001,1,0)</f>
        <v/>
      </c>
      <c r="H4560">
        <f>IF(G4560=1,F4560,CEILING(F4560,1))</f>
        <v/>
      </c>
      <c r="I4560">
        <f>IF(G4560=1,0,(H4560-F4560)*E4560)</f>
        <v/>
      </c>
      <c r="J4560">
        <f>E4560*F4560</f>
        <v/>
      </c>
    </row>
    <row r="4561">
      <c r="A4561">
        <f>Sources!A4561</f>
        <v/>
      </c>
      <c r="B4561">
        <f>Sources!B4561</f>
        <v/>
      </c>
      <c r="C4561">
        <f>Sources!D4561</f>
        <v/>
      </c>
      <c r="D4561">
        <f>Sources!E4561</f>
        <v/>
      </c>
      <c r="E4561">
        <f>Sources!F4561</f>
        <v/>
      </c>
      <c r="F4561">
        <f>Sources!H4561</f>
        <v/>
      </c>
      <c r="G4561">
        <f>IF(ABS(F4561-ROUND(F4561,0))&lt;0.001,1,0)</f>
        <v/>
      </c>
      <c r="H4561">
        <f>IF(G4561=1,F4561,CEILING(F4561,1))</f>
        <v/>
      </c>
      <c r="I4561">
        <f>IF(G4561=1,0,(H4561-F4561)*E4561)</f>
        <v/>
      </c>
      <c r="J4561">
        <f>E4561*F4561</f>
        <v/>
      </c>
    </row>
    <row r="4562">
      <c r="A4562">
        <f>Sources!A4562</f>
        <v/>
      </c>
      <c r="B4562">
        <f>Sources!B4562</f>
        <v/>
      </c>
      <c r="C4562">
        <f>Sources!D4562</f>
        <v/>
      </c>
      <c r="D4562">
        <f>Sources!E4562</f>
        <v/>
      </c>
      <c r="E4562">
        <f>Sources!F4562</f>
        <v/>
      </c>
      <c r="F4562">
        <f>Sources!H4562</f>
        <v/>
      </c>
      <c r="G4562">
        <f>IF(ABS(F4562-ROUND(F4562,0))&lt;0.001,1,0)</f>
        <v/>
      </c>
      <c r="H4562">
        <f>IF(G4562=1,F4562,CEILING(F4562,1))</f>
        <v/>
      </c>
      <c r="I4562">
        <f>IF(G4562=1,0,(H4562-F4562)*E4562)</f>
        <v/>
      </c>
      <c r="J4562">
        <f>E4562*F4562</f>
        <v/>
      </c>
    </row>
    <row r="4563">
      <c r="A4563">
        <f>Sources!A4563</f>
        <v/>
      </c>
      <c r="B4563">
        <f>Sources!B4563</f>
        <v/>
      </c>
      <c r="C4563">
        <f>Sources!D4563</f>
        <v/>
      </c>
      <c r="D4563">
        <f>Sources!E4563</f>
        <v/>
      </c>
      <c r="E4563">
        <f>Sources!F4563</f>
        <v/>
      </c>
      <c r="F4563">
        <f>Sources!H4563</f>
        <v/>
      </c>
      <c r="G4563">
        <f>IF(ABS(F4563-ROUND(F4563,0))&lt;0.001,1,0)</f>
        <v/>
      </c>
      <c r="H4563">
        <f>IF(G4563=1,F4563,CEILING(F4563,1))</f>
        <v/>
      </c>
      <c r="I4563">
        <f>IF(G4563=1,0,(H4563-F4563)*E4563)</f>
        <v/>
      </c>
      <c r="J4563">
        <f>E4563*F4563</f>
        <v/>
      </c>
    </row>
    <row r="4564">
      <c r="A4564">
        <f>Sources!A4564</f>
        <v/>
      </c>
      <c r="B4564">
        <f>Sources!B4564</f>
        <v/>
      </c>
      <c r="C4564">
        <f>Sources!D4564</f>
        <v/>
      </c>
      <c r="D4564">
        <f>Sources!E4564</f>
        <v/>
      </c>
      <c r="E4564">
        <f>Sources!F4564</f>
        <v/>
      </c>
      <c r="F4564">
        <f>Sources!H4564</f>
        <v/>
      </c>
      <c r="G4564">
        <f>IF(ABS(F4564-ROUND(F4564,0))&lt;0.001,1,0)</f>
        <v/>
      </c>
      <c r="H4564">
        <f>IF(G4564=1,F4564,CEILING(F4564,1))</f>
        <v/>
      </c>
      <c r="I4564">
        <f>IF(G4564=1,0,(H4564-F4564)*E4564)</f>
        <v/>
      </c>
      <c r="J4564">
        <f>E4564*F4564</f>
        <v/>
      </c>
    </row>
    <row r="4565">
      <c r="A4565">
        <f>Sources!A4565</f>
        <v/>
      </c>
      <c r="B4565">
        <f>Sources!B4565</f>
        <v/>
      </c>
      <c r="C4565">
        <f>Sources!D4565</f>
        <v/>
      </c>
      <c r="D4565">
        <f>Sources!E4565</f>
        <v/>
      </c>
      <c r="E4565">
        <f>Sources!F4565</f>
        <v/>
      </c>
      <c r="F4565">
        <f>Sources!H4565</f>
        <v/>
      </c>
      <c r="G4565">
        <f>IF(ABS(F4565-ROUND(F4565,0))&lt;0.001,1,0)</f>
        <v/>
      </c>
      <c r="H4565">
        <f>IF(G4565=1,F4565,CEILING(F4565,1))</f>
        <v/>
      </c>
      <c r="I4565">
        <f>IF(G4565=1,0,(H4565-F4565)*E4565)</f>
        <v/>
      </c>
      <c r="J4565">
        <f>E4565*F4565</f>
        <v/>
      </c>
    </row>
    <row r="4566">
      <c r="A4566">
        <f>Sources!A4566</f>
        <v/>
      </c>
      <c r="B4566">
        <f>Sources!B4566</f>
        <v/>
      </c>
      <c r="C4566">
        <f>Sources!D4566</f>
        <v/>
      </c>
      <c r="D4566">
        <f>Sources!E4566</f>
        <v/>
      </c>
      <c r="E4566">
        <f>Sources!F4566</f>
        <v/>
      </c>
      <c r="F4566">
        <f>Sources!H4566</f>
        <v/>
      </c>
      <c r="G4566">
        <f>IF(ABS(F4566-ROUND(F4566,0))&lt;0.001,1,0)</f>
        <v/>
      </c>
      <c r="H4566">
        <f>IF(G4566=1,F4566,CEILING(F4566,1))</f>
        <v/>
      </c>
      <c r="I4566">
        <f>IF(G4566=1,0,(H4566-F4566)*E4566)</f>
        <v/>
      </c>
      <c r="J4566">
        <f>E4566*F4566</f>
        <v/>
      </c>
    </row>
    <row r="4567">
      <c r="A4567">
        <f>Sources!A4567</f>
        <v/>
      </c>
      <c r="B4567">
        <f>Sources!B4567</f>
        <v/>
      </c>
      <c r="C4567">
        <f>Sources!D4567</f>
        <v/>
      </c>
      <c r="D4567">
        <f>Sources!E4567</f>
        <v/>
      </c>
      <c r="E4567">
        <f>Sources!F4567</f>
        <v/>
      </c>
      <c r="F4567">
        <f>Sources!H4567</f>
        <v/>
      </c>
      <c r="G4567">
        <f>IF(ABS(F4567-ROUND(F4567,0))&lt;0.001,1,0)</f>
        <v/>
      </c>
      <c r="H4567">
        <f>IF(G4567=1,F4567,CEILING(F4567,1))</f>
        <v/>
      </c>
      <c r="I4567">
        <f>IF(G4567=1,0,(H4567-F4567)*E4567)</f>
        <v/>
      </c>
      <c r="J4567">
        <f>E4567*F4567</f>
        <v/>
      </c>
    </row>
    <row r="4568">
      <c r="A4568">
        <f>Sources!A4568</f>
        <v/>
      </c>
      <c r="B4568">
        <f>Sources!B4568</f>
        <v/>
      </c>
      <c r="C4568">
        <f>Sources!D4568</f>
        <v/>
      </c>
      <c r="D4568">
        <f>Sources!E4568</f>
        <v/>
      </c>
      <c r="E4568">
        <f>Sources!F4568</f>
        <v/>
      </c>
      <c r="F4568">
        <f>Sources!H4568</f>
        <v/>
      </c>
      <c r="G4568">
        <f>IF(ABS(F4568-ROUND(F4568,0))&lt;0.001,1,0)</f>
        <v/>
      </c>
      <c r="H4568">
        <f>IF(G4568=1,F4568,CEILING(F4568,1))</f>
        <v/>
      </c>
      <c r="I4568">
        <f>IF(G4568=1,0,(H4568-F4568)*E4568)</f>
        <v/>
      </c>
      <c r="J4568">
        <f>E4568*F4568</f>
        <v/>
      </c>
    </row>
    <row r="4569">
      <c r="A4569">
        <f>Sources!A4569</f>
        <v/>
      </c>
      <c r="B4569">
        <f>Sources!B4569</f>
        <v/>
      </c>
      <c r="C4569">
        <f>Sources!D4569</f>
        <v/>
      </c>
      <c r="D4569">
        <f>Sources!E4569</f>
        <v/>
      </c>
      <c r="E4569">
        <f>Sources!F4569</f>
        <v/>
      </c>
      <c r="F4569">
        <f>Sources!H4569</f>
        <v/>
      </c>
      <c r="G4569">
        <f>IF(ABS(F4569-ROUND(F4569,0))&lt;0.001,1,0)</f>
        <v/>
      </c>
      <c r="H4569">
        <f>IF(G4569=1,F4569,CEILING(F4569,1))</f>
        <v/>
      </c>
      <c r="I4569">
        <f>IF(G4569=1,0,(H4569-F4569)*E4569)</f>
        <v/>
      </c>
      <c r="J4569">
        <f>E4569*F4569</f>
        <v/>
      </c>
    </row>
    <row r="4570">
      <c r="A4570">
        <f>Sources!A4570</f>
        <v/>
      </c>
      <c r="B4570">
        <f>Sources!B4570</f>
        <v/>
      </c>
      <c r="C4570">
        <f>Sources!D4570</f>
        <v/>
      </c>
      <c r="D4570">
        <f>Sources!E4570</f>
        <v/>
      </c>
      <c r="E4570">
        <f>Sources!F4570</f>
        <v/>
      </c>
      <c r="F4570">
        <f>Sources!H4570</f>
        <v/>
      </c>
      <c r="G4570">
        <f>IF(ABS(F4570-ROUND(F4570,0))&lt;0.001,1,0)</f>
        <v/>
      </c>
      <c r="H4570">
        <f>IF(G4570=1,F4570,CEILING(F4570,1))</f>
        <v/>
      </c>
      <c r="I4570">
        <f>IF(G4570=1,0,(H4570-F4570)*E4570)</f>
        <v/>
      </c>
      <c r="J4570">
        <f>E4570*F4570</f>
        <v/>
      </c>
    </row>
    <row r="4571">
      <c r="A4571">
        <f>Sources!A4571</f>
        <v/>
      </c>
      <c r="B4571">
        <f>Sources!B4571</f>
        <v/>
      </c>
      <c r="C4571">
        <f>Sources!D4571</f>
        <v/>
      </c>
      <c r="D4571">
        <f>Sources!E4571</f>
        <v/>
      </c>
      <c r="E4571">
        <f>Sources!F4571</f>
        <v/>
      </c>
      <c r="F4571">
        <f>Sources!H4571</f>
        <v/>
      </c>
      <c r="G4571">
        <f>IF(ABS(F4571-ROUND(F4571,0))&lt;0.001,1,0)</f>
        <v/>
      </c>
      <c r="H4571">
        <f>IF(G4571=1,F4571,CEILING(F4571,1))</f>
        <v/>
      </c>
      <c r="I4571">
        <f>IF(G4571=1,0,(H4571-F4571)*E4571)</f>
        <v/>
      </c>
      <c r="J4571">
        <f>E4571*F4571</f>
        <v/>
      </c>
    </row>
    <row r="4572">
      <c r="A4572">
        <f>Sources!A4572</f>
        <v/>
      </c>
      <c r="B4572">
        <f>Sources!B4572</f>
        <v/>
      </c>
      <c r="C4572">
        <f>Sources!D4572</f>
        <v/>
      </c>
      <c r="D4572">
        <f>Sources!E4572</f>
        <v/>
      </c>
      <c r="E4572">
        <f>Sources!F4572</f>
        <v/>
      </c>
      <c r="F4572">
        <f>Sources!H4572</f>
        <v/>
      </c>
      <c r="G4572">
        <f>IF(ABS(F4572-ROUND(F4572,0))&lt;0.001,1,0)</f>
        <v/>
      </c>
      <c r="H4572">
        <f>IF(G4572=1,F4572,CEILING(F4572,1))</f>
        <v/>
      </c>
      <c r="I4572">
        <f>IF(G4572=1,0,(H4572-F4572)*E4572)</f>
        <v/>
      </c>
      <c r="J4572">
        <f>E4572*F4572</f>
        <v/>
      </c>
    </row>
    <row r="4573">
      <c r="A4573">
        <f>Sources!A4573</f>
        <v/>
      </c>
      <c r="B4573">
        <f>Sources!B4573</f>
        <v/>
      </c>
      <c r="C4573">
        <f>Sources!D4573</f>
        <v/>
      </c>
      <c r="D4573">
        <f>Sources!E4573</f>
        <v/>
      </c>
      <c r="E4573">
        <f>Sources!F4573</f>
        <v/>
      </c>
      <c r="F4573">
        <f>Sources!H4573</f>
        <v/>
      </c>
      <c r="G4573">
        <f>IF(ABS(F4573-ROUND(F4573,0))&lt;0.001,1,0)</f>
        <v/>
      </c>
      <c r="H4573">
        <f>IF(G4573=1,F4573,CEILING(F4573,1))</f>
        <v/>
      </c>
      <c r="I4573">
        <f>IF(G4573=1,0,(H4573-F4573)*E4573)</f>
        <v/>
      </c>
      <c r="J4573">
        <f>E4573*F4573</f>
        <v/>
      </c>
    </row>
    <row r="4574">
      <c r="A4574">
        <f>Sources!A4574</f>
        <v/>
      </c>
      <c r="B4574">
        <f>Sources!B4574</f>
        <v/>
      </c>
      <c r="C4574">
        <f>Sources!D4574</f>
        <v/>
      </c>
      <c r="D4574">
        <f>Sources!E4574</f>
        <v/>
      </c>
      <c r="E4574">
        <f>Sources!F4574</f>
        <v/>
      </c>
      <c r="F4574">
        <f>Sources!H4574</f>
        <v/>
      </c>
      <c r="G4574">
        <f>IF(ABS(F4574-ROUND(F4574,0))&lt;0.001,1,0)</f>
        <v/>
      </c>
      <c r="H4574">
        <f>IF(G4574=1,F4574,CEILING(F4574,1))</f>
        <v/>
      </c>
      <c r="I4574">
        <f>IF(G4574=1,0,(H4574-F4574)*E4574)</f>
        <v/>
      </c>
      <c r="J4574">
        <f>E4574*F4574</f>
        <v/>
      </c>
    </row>
    <row r="4575">
      <c r="A4575">
        <f>Sources!A4575</f>
        <v/>
      </c>
      <c r="B4575">
        <f>Sources!B4575</f>
        <v/>
      </c>
      <c r="C4575">
        <f>Sources!D4575</f>
        <v/>
      </c>
      <c r="D4575">
        <f>Sources!E4575</f>
        <v/>
      </c>
      <c r="E4575">
        <f>Sources!F4575</f>
        <v/>
      </c>
      <c r="F4575">
        <f>Sources!H4575</f>
        <v/>
      </c>
      <c r="G4575">
        <f>IF(ABS(F4575-ROUND(F4575,0))&lt;0.001,1,0)</f>
        <v/>
      </c>
      <c r="H4575">
        <f>IF(G4575=1,F4575,CEILING(F4575,1))</f>
        <v/>
      </c>
      <c r="I4575">
        <f>IF(G4575=1,0,(H4575-F4575)*E4575)</f>
        <v/>
      </c>
      <c r="J4575">
        <f>E4575*F4575</f>
        <v/>
      </c>
    </row>
    <row r="4576">
      <c r="A4576">
        <f>Sources!A4576</f>
        <v/>
      </c>
      <c r="B4576">
        <f>Sources!B4576</f>
        <v/>
      </c>
      <c r="C4576">
        <f>Sources!D4576</f>
        <v/>
      </c>
      <c r="D4576">
        <f>Sources!E4576</f>
        <v/>
      </c>
      <c r="E4576">
        <f>Sources!F4576</f>
        <v/>
      </c>
      <c r="F4576">
        <f>Sources!H4576</f>
        <v/>
      </c>
      <c r="G4576">
        <f>IF(ABS(F4576-ROUND(F4576,0))&lt;0.001,1,0)</f>
        <v/>
      </c>
      <c r="H4576">
        <f>IF(G4576=1,F4576,CEILING(F4576,1))</f>
        <v/>
      </c>
      <c r="I4576">
        <f>IF(G4576=1,0,(H4576-F4576)*E4576)</f>
        <v/>
      </c>
      <c r="J4576">
        <f>E4576*F4576</f>
        <v/>
      </c>
    </row>
    <row r="4577">
      <c r="A4577">
        <f>Sources!A4577</f>
        <v/>
      </c>
      <c r="B4577">
        <f>Sources!B4577</f>
        <v/>
      </c>
      <c r="C4577">
        <f>Sources!D4577</f>
        <v/>
      </c>
      <c r="D4577">
        <f>Sources!E4577</f>
        <v/>
      </c>
      <c r="E4577">
        <f>Sources!F4577</f>
        <v/>
      </c>
      <c r="F4577">
        <f>Sources!H4577</f>
        <v/>
      </c>
      <c r="G4577">
        <f>IF(ABS(F4577-ROUND(F4577,0))&lt;0.001,1,0)</f>
        <v/>
      </c>
      <c r="H4577">
        <f>IF(G4577=1,F4577,CEILING(F4577,1))</f>
        <v/>
      </c>
      <c r="I4577">
        <f>IF(G4577=1,0,(H4577-F4577)*E4577)</f>
        <v/>
      </c>
      <c r="J4577">
        <f>E4577*F4577</f>
        <v/>
      </c>
    </row>
    <row r="4578">
      <c r="A4578">
        <f>Sources!A4578</f>
        <v/>
      </c>
      <c r="B4578">
        <f>Sources!B4578</f>
        <v/>
      </c>
      <c r="C4578">
        <f>Sources!D4578</f>
        <v/>
      </c>
      <c r="D4578">
        <f>Sources!E4578</f>
        <v/>
      </c>
      <c r="E4578">
        <f>Sources!F4578</f>
        <v/>
      </c>
      <c r="F4578">
        <f>Sources!H4578</f>
        <v/>
      </c>
      <c r="G4578">
        <f>IF(ABS(F4578-ROUND(F4578,0))&lt;0.001,1,0)</f>
        <v/>
      </c>
      <c r="H4578">
        <f>IF(G4578=1,F4578,CEILING(F4578,1))</f>
        <v/>
      </c>
      <c r="I4578">
        <f>IF(G4578=1,0,(H4578-F4578)*E4578)</f>
        <v/>
      </c>
      <c r="J4578">
        <f>E4578*F4578</f>
        <v/>
      </c>
    </row>
    <row r="4579">
      <c r="A4579">
        <f>Sources!A4579</f>
        <v/>
      </c>
      <c r="B4579">
        <f>Sources!B4579</f>
        <v/>
      </c>
      <c r="C4579">
        <f>Sources!D4579</f>
        <v/>
      </c>
      <c r="D4579">
        <f>Sources!E4579</f>
        <v/>
      </c>
      <c r="E4579">
        <f>Sources!F4579</f>
        <v/>
      </c>
      <c r="F4579">
        <f>Sources!H4579</f>
        <v/>
      </c>
      <c r="G4579">
        <f>IF(ABS(F4579-ROUND(F4579,0))&lt;0.001,1,0)</f>
        <v/>
      </c>
      <c r="H4579">
        <f>IF(G4579=1,F4579,CEILING(F4579,1))</f>
        <v/>
      </c>
      <c r="I4579">
        <f>IF(G4579=1,0,(H4579-F4579)*E4579)</f>
        <v/>
      </c>
      <c r="J4579">
        <f>E4579*F4579</f>
        <v/>
      </c>
    </row>
    <row r="4580">
      <c r="A4580">
        <f>Sources!A4580</f>
        <v/>
      </c>
      <c r="B4580">
        <f>Sources!B4580</f>
        <v/>
      </c>
      <c r="C4580">
        <f>Sources!D4580</f>
        <v/>
      </c>
      <c r="D4580">
        <f>Sources!E4580</f>
        <v/>
      </c>
      <c r="E4580">
        <f>Sources!F4580</f>
        <v/>
      </c>
      <c r="F4580">
        <f>Sources!H4580</f>
        <v/>
      </c>
      <c r="G4580">
        <f>IF(ABS(F4580-ROUND(F4580,0))&lt;0.001,1,0)</f>
        <v/>
      </c>
      <c r="H4580">
        <f>IF(G4580=1,F4580,CEILING(F4580,1))</f>
        <v/>
      </c>
      <c r="I4580">
        <f>IF(G4580=1,0,(H4580-F4580)*E4580)</f>
        <v/>
      </c>
      <c r="J4580">
        <f>E4580*F4580</f>
        <v/>
      </c>
    </row>
    <row r="4581">
      <c r="A4581">
        <f>Sources!A4581</f>
        <v/>
      </c>
      <c r="B4581">
        <f>Sources!B4581</f>
        <v/>
      </c>
      <c r="C4581">
        <f>Sources!D4581</f>
        <v/>
      </c>
      <c r="D4581">
        <f>Sources!E4581</f>
        <v/>
      </c>
      <c r="E4581">
        <f>Sources!F4581</f>
        <v/>
      </c>
      <c r="F4581">
        <f>Sources!H4581</f>
        <v/>
      </c>
      <c r="G4581">
        <f>IF(ABS(F4581-ROUND(F4581,0))&lt;0.001,1,0)</f>
        <v/>
      </c>
      <c r="H4581">
        <f>IF(G4581=1,F4581,CEILING(F4581,1))</f>
        <v/>
      </c>
      <c r="I4581">
        <f>IF(G4581=1,0,(H4581-F4581)*E4581)</f>
        <v/>
      </c>
      <c r="J4581">
        <f>E4581*F4581</f>
        <v/>
      </c>
    </row>
    <row r="4582">
      <c r="A4582">
        <f>Sources!A4582</f>
        <v/>
      </c>
      <c r="B4582">
        <f>Sources!B4582</f>
        <v/>
      </c>
      <c r="C4582">
        <f>Sources!D4582</f>
        <v/>
      </c>
      <c r="D4582">
        <f>Sources!E4582</f>
        <v/>
      </c>
      <c r="E4582">
        <f>Sources!F4582</f>
        <v/>
      </c>
      <c r="F4582">
        <f>Sources!H4582</f>
        <v/>
      </c>
      <c r="G4582">
        <f>IF(ABS(F4582-ROUND(F4582,0))&lt;0.001,1,0)</f>
        <v/>
      </c>
      <c r="H4582">
        <f>IF(G4582=1,F4582,CEILING(F4582,1))</f>
        <v/>
      </c>
      <c r="I4582">
        <f>IF(G4582=1,0,(H4582-F4582)*E4582)</f>
        <v/>
      </c>
      <c r="J4582">
        <f>E4582*F4582</f>
        <v/>
      </c>
    </row>
    <row r="4583">
      <c r="A4583">
        <f>Sources!A4583</f>
        <v/>
      </c>
      <c r="B4583">
        <f>Sources!B4583</f>
        <v/>
      </c>
      <c r="C4583">
        <f>Sources!D4583</f>
        <v/>
      </c>
      <c r="D4583">
        <f>Sources!E4583</f>
        <v/>
      </c>
      <c r="E4583">
        <f>Sources!F4583</f>
        <v/>
      </c>
      <c r="F4583">
        <f>Sources!H4583</f>
        <v/>
      </c>
      <c r="G4583">
        <f>IF(ABS(F4583-ROUND(F4583,0))&lt;0.001,1,0)</f>
        <v/>
      </c>
      <c r="H4583">
        <f>IF(G4583=1,F4583,CEILING(F4583,1))</f>
        <v/>
      </c>
      <c r="I4583">
        <f>IF(G4583=1,0,(H4583-F4583)*E4583)</f>
        <v/>
      </c>
      <c r="J4583">
        <f>E4583*F4583</f>
        <v/>
      </c>
    </row>
    <row r="4584">
      <c r="A4584">
        <f>Sources!A4584</f>
        <v/>
      </c>
      <c r="B4584">
        <f>Sources!B4584</f>
        <v/>
      </c>
      <c r="C4584">
        <f>Sources!D4584</f>
        <v/>
      </c>
      <c r="D4584">
        <f>Sources!E4584</f>
        <v/>
      </c>
      <c r="E4584">
        <f>Sources!F4584</f>
        <v/>
      </c>
      <c r="F4584">
        <f>Sources!H4584</f>
        <v/>
      </c>
      <c r="G4584">
        <f>IF(ABS(F4584-ROUND(F4584,0))&lt;0.001,1,0)</f>
        <v/>
      </c>
      <c r="H4584">
        <f>IF(G4584=1,F4584,CEILING(F4584,1))</f>
        <v/>
      </c>
      <c r="I4584">
        <f>IF(G4584=1,0,(H4584-F4584)*E4584)</f>
        <v/>
      </c>
      <c r="J4584">
        <f>E4584*F4584</f>
        <v/>
      </c>
    </row>
    <row r="4585">
      <c r="A4585">
        <f>Sources!A4585</f>
        <v/>
      </c>
      <c r="B4585">
        <f>Sources!B4585</f>
        <v/>
      </c>
      <c r="C4585">
        <f>Sources!D4585</f>
        <v/>
      </c>
      <c r="D4585">
        <f>Sources!E4585</f>
        <v/>
      </c>
      <c r="E4585">
        <f>Sources!F4585</f>
        <v/>
      </c>
      <c r="F4585">
        <f>Sources!H4585</f>
        <v/>
      </c>
      <c r="G4585">
        <f>IF(ABS(F4585-ROUND(F4585,0))&lt;0.001,1,0)</f>
        <v/>
      </c>
      <c r="H4585">
        <f>IF(G4585=1,F4585,CEILING(F4585,1))</f>
        <v/>
      </c>
      <c r="I4585">
        <f>IF(G4585=1,0,(H4585-F4585)*E4585)</f>
        <v/>
      </c>
      <c r="J4585">
        <f>E4585*F4585</f>
        <v/>
      </c>
    </row>
    <row r="4586">
      <c r="A4586">
        <f>Sources!A4586</f>
        <v/>
      </c>
      <c r="B4586">
        <f>Sources!B4586</f>
        <v/>
      </c>
      <c r="C4586">
        <f>Sources!D4586</f>
        <v/>
      </c>
      <c r="D4586">
        <f>Sources!E4586</f>
        <v/>
      </c>
      <c r="E4586">
        <f>Sources!F4586</f>
        <v/>
      </c>
      <c r="F4586">
        <f>Sources!H4586</f>
        <v/>
      </c>
      <c r="G4586">
        <f>IF(ABS(F4586-ROUND(F4586,0))&lt;0.001,1,0)</f>
        <v/>
      </c>
      <c r="H4586">
        <f>IF(G4586=1,F4586,CEILING(F4586,1))</f>
        <v/>
      </c>
      <c r="I4586">
        <f>IF(G4586=1,0,(H4586-F4586)*E4586)</f>
        <v/>
      </c>
      <c r="J4586">
        <f>E4586*F4586</f>
        <v/>
      </c>
    </row>
    <row r="4587">
      <c r="A4587">
        <f>Sources!A4587</f>
        <v/>
      </c>
      <c r="B4587">
        <f>Sources!B4587</f>
        <v/>
      </c>
      <c r="C4587">
        <f>Sources!D4587</f>
        <v/>
      </c>
      <c r="D4587">
        <f>Sources!E4587</f>
        <v/>
      </c>
      <c r="E4587">
        <f>Sources!F4587</f>
        <v/>
      </c>
      <c r="F4587">
        <f>Sources!H4587</f>
        <v/>
      </c>
      <c r="G4587">
        <f>IF(ABS(F4587-ROUND(F4587,0))&lt;0.001,1,0)</f>
        <v/>
      </c>
      <c r="H4587">
        <f>IF(G4587=1,F4587,CEILING(F4587,1))</f>
        <v/>
      </c>
      <c r="I4587">
        <f>IF(G4587=1,0,(H4587-F4587)*E4587)</f>
        <v/>
      </c>
      <c r="J4587">
        <f>E4587*F4587</f>
        <v/>
      </c>
    </row>
    <row r="4588">
      <c r="A4588">
        <f>Sources!A4588</f>
        <v/>
      </c>
      <c r="B4588">
        <f>Sources!B4588</f>
        <v/>
      </c>
      <c r="C4588">
        <f>Sources!D4588</f>
        <v/>
      </c>
      <c r="D4588">
        <f>Sources!E4588</f>
        <v/>
      </c>
      <c r="E4588">
        <f>Sources!F4588</f>
        <v/>
      </c>
      <c r="F4588">
        <f>Sources!H4588</f>
        <v/>
      </c>
      <c r="G4588">
        <f>IF(ABS(F4588-ROUND(F4588,0))&lt;0.001,1,0)</f>
        <v/>
      </c>
      <c r="H4588">
        <f>IF(G4588=1,F4588,CEILING(F4588,1))</f>
        <v/>
      </c>
      <c r="I4588">
        <f>IF(G4588=1,0,(H4588-F4588)*E4588)</f>
        <v/>
      </c>
      <c r="J4588">
        <f>E4588*F4588</f>
        <v/>
      </c>
    </row>
    <row r="4589">
      <c r="A4589">
        <f>Sources!A4589</f>
        <v/>
      </c>
      <c r="B4589">
        <f>Sources!B4589</f>
        <v/>
      </c>
      <c r="C4589">
        <f>Sources!D4589</f>
        <v/>
      </c>
      <c r="D4589">
        <f>Sources!E4589</f>
        <v/>
      </c>
      <c r="E4589">
        <f>Sources!F4589</f>
        <v/>
      </c>
      <c r="F4589">
        <f>Sources!H4589</f>
        <v/>
      </c>
      <c r="G4589">
        <f>IF(ABS(F4589-ROUND(F4589,0))&lt;0.001,1,0)</f>
        <v/>
      </c>
      <c r="H4589">
        <f>IF(G4589=1,F4589,CEILING(F4589,1))</f>
        <v/>
      </c>
      <c r="I4589">
        <f>IF(G4589=1,0,(H4589-F4589)*E4589)</f>
        <v/>
      </c>
      <c r="J4589">
        <f>E4589*F4589</f>
        <v/>
      </c>
    </row>
    <row r="4590">
      <c r="A4590">
        <f>Sources!A4590</f>
        <v/>
      </c>
      <c r="B4590">
        <f>Sources!B4590</f>
        <v/>
      </c>
      <c r="C4590">
        <f>Sources!D4590</f>
        <v/>
      </c>
      <c r="D4590">
        <f>Sources!E4590</f>
        <v/>
      </c>
      <c r="E4590">
        <f>Sources!F4590</f>
        <v/>
      </c>
      <c r="F4590">
        <f>Sources!H4590</f>
        <v/>
      </c>
      <c r="G4590">
        <f>IF(ABS(F4590-ROUND(F4590,0))&lt;0.001,1,0)</f>
        <v/>
      </c>
      <c r="H4590">
        <f>IF(G4590=1,F4590,CEILING(F4590,1))</f>
        <v/>
      </c>
      <c r="I4590">
        <f>IF(G4590=1,0,(H4590-F4590)*E4590)</f>
        <v/>
      </c>
      <c r="J4590">
        <f>E4590*F4590</f>
        <v/>
      </c>
    </row>
    <row r="4591">
      <c r="A4591">
        <f>Sources!A4591</f>
        <v/>
      </c>
      <c r="B4591">
        <f>Sources!B4591</f>
        <v/>
      </c>
      <c r="C4591">
        <f>Sources!D4591</f>
        <v/>
      </c>
      <c r="D4591">
        <f>Sources!E4591</f>
        <v/>
      </c>
      <c r="E4591">
        <f>Sources!F4591</f>
        <v/>
      </c>
      <c r="F4591">
        <f>Sources!H4591</f>
        <v/>
      </c>
      <c r="G4591">
        <f>IF(ABS(F4591-ROUND(F4591,0))&lt;0.001,1,0)</f>
        <v/>
      </c>
      <c r="H4591">
        <f>IF(G4591=1,F4591,CEILING(F4591,1))</f>
        <v/>
      </c>
      <c r="I4591">
        <f>IF(G4591=1,0,(H4591-F4591)*E4591)</f>
        <v/>
      </c>
      <c r="J4591">
        <f>E4591*F4591</f>
        <v/>
      </c>
    </row>
    <row r="4592">
      <c r="A4592">
        <f>Sources!A4592</f>
        <v/>
      </c>
      <c r="B4592">
        <f>Sources!B4592</f>
        <v/>
      </c>
      <c r="C4592">
        <f>Sources!D4592</f>
        <v/>
      </c>
      <c r="D4592">
        <f>Sources!E4592</f>
        <v/>
      </c>
      <c r="E4592">
        <f>Sources!F4592</f>
        <v/>
      </c>
      <c r="F4592">
        <f>Sources!H4592</f>
        <v/>
      </c>
      <c r="G4592">
        <f>IF(ABS(F4592-ROUND(F4592,0))&lt;0.001,1,0)</f>
        <v/>
      </c>
      <c r="H4592">
        <f>IF(G4592=1,F4592,CEILING(F4592,1))</f>
        <v/>
      </c>
      <c r="I4592">
        <f>IF(G4592=1,0,(H4592-F4592)*E4592)</f>
        <v/>
      </c>
      <c r="J4592">
        <f>E4592*F4592</f>
        <v/>
      </c>
    </row>
    <row r="4593">
      <c r="A4593">
        <f>Sources!A4593</f>
        <v/>
      </c>
      <c r="B4593">
        <f>Sources!B4593</f>
        <v/>
      </c>
      <c r="C4593">
        <f>Sources!D4593</f>
        <v/>
      </c>
      <c r="D4593">
        <f>Sources!E4593</f>
        <v/>
      </c>
      <c r="E4593">
        <f>Sources!F4593</f>
        <v/>
      </c>
      <c r="F4593">
        <f>Sources!H4593</f>
        <v/>
      </c>
      <c r="G4593">
        <f>IF(ABS(F4593-ROUND(F4593,0))&lt;0.001,1,0)</f>
        <v/>
      </c>
      <c r="H4593">
        <f>IF(G4593=1,F4593,CEILING(F4593,1))</f>
        <v/>
      </c>
      <c r="I4593">
        <f>IF(G4593=1,0,(H4593-F4593)*E4593)</f>
        <v/>
      </c>
      <c r="J4593">
        <f>E4593*F4593</f>
        <v/>
      </c>
    </row>
    <row r="4594">
      <c r="A4594">
        <f>Sources!A4594</f>
        <v/>
      </c>
      <c r="B4594">
        <f>Sources!B4594</f>
        <v/>
      </c>
      <c r="C4594">
        <f>Sources!D4594</f>
        <v/>
      </c>
      <c r="D4594">
        <f>Sources!E4594</f>
        <v/>
      </c>
      <c r="E4594">
        <f>Sources!F4594</f>
        <v/>
      </c>
      <c r="F4594">
        <f>Sources!H4594</f>
        <v/>
      </c>
      <c r="G4594">
        <f>IF(ABS(F4594-ROUND(F4594,0))&lt;0.001,1,0)</f>
        <v/>
      </c>
      <c r="H4594">
        <f>IF(G4594=1,F4594,CEILING(F4594,1))</f>
        <v/>
      </c>
      <c r="I4594">
        <f>IF(G4594=1,0,(H4594-F4594)*E4594)</f>
        <v/>
      </c>
      <c r="J4594">
        <f>E4594*F4594</f>
        <v/>
      </c>
    </row>
    <row r="4595">
      <c r="A4595">
        <f>Sources!A4595</f>
        <v/>
      </c>
      <c r="B4595">
        <f>Sources!B4595</f>
        <v/>
      </c>
      <c r="C4595">
        <f>Sources!D4595</f>
        <v/>
      </c>
      <c r="D4595">
        <f>Sources!E4595</f>
        <v/>
      </c>
      <c r="E4595">
        <f>Sources!F4595</f>
        <v/>
      </c>
      <c r="F4595">
        <f>Sources!H4595</f>
        <v/>
      </c>
      <c r="G4595">
        <f>IF(ABS(F4595-ROUND(F4595,0))&lt;0.001,1,0)</f>
        <v/>
      </c>
      <c r="H4595">
        <f>IF(G4595=1,F4595,CEILING(F4595,1))</f>
        <v/>
      </c>
      <c r="I4595">
        <f>IF(G4595=1,0,(H4595-F4595)*E4595)</f>
        <v/>
      </c>
      <c r="J4595">
        <f>E4595*F4595</f>
        <v/>
      </c>
    </row>
    <row r="4596">
      <c r="A4596">
        <f>Sources!A4596</f>
        <v/>
      </c>
      <c r="B4596">
        <f>Sources!B4596</f>
        <v/>
      </c>
      <c r="C4596">
        <f>Sources!D4596</f>
        <v/>
      </c>
      <c r="D4596">
        <f>Sources!E4596</f>
        <v/>
      </c>
      <c r="E4596">
        <f>Sources!F4596</f>
        <v/>
      </c>
      <c r="F4596">
        <f>Sources!H4596</f>
        <v/>
      </c>
      <c r="G4596">
        <f>IF(ABS(F4596-ROUND(F4596,0))&lt;0.001,1,0)</f>
        <v/>
      </c>
      <c r="H4596">
        <f>IF(G4596=1,F4596,CEILING(F4596,1))</f>
        <v/>
      </c>
      <c r="I4596">
        <f>IF(G4596=1,0,(H4596-F4596)*E4596)</f>
        <v/>
      </c>
      <c r="J4596">
        <f>E4596*F4596</f>
        <v/>
      </c>
    </row>
    <row r="4597">
      <c r="A4597">
        <f>Sources!A4597</f>
        <v/>
      </c>
      <c r="B4597">
        <f>Sources!B4597</f>
        <v/>
      </c>
      <c r="C4597">
        <f>Sources!D4597</f>
        <v/>
      </c>
      <c r="D4597">
        <f>Sources!E4597</f>
        <v/>
      </c>
      <c r="E4597">
        <f>Sources!F4597</f>
        <v/>
      </c>
      <c r="F4597">
        <f>Sources!H4597</f>
        <v/>
      </c>
      <c r="G4597">
        <f>IF(ABS(F4597-ROUND(F4597,0))&lt;0.001,1,0)</f>
        <v/>
      </c>
      <c r="H4597">
        <f>IF(G4597=1,F4597,CEILING(F4597,1))</f>
        <v/>
      </c>
      <c r="I4597">
        <f>IF(G4597=1,0,(H4597-F4597)*E4597)</f>
        <v/>
      </c>
      <c r="J4597">
        <f>E4597*F4597</f>
        <v/>
      </c>
    </row>
    <row r="4598">
      <c r="A4598">
        <f>Sources!A4598</f>
        <v/>
      </c>
      <c r="B4598">
        <f>Sources!B4598</f>
        <v/>
      </c>
      <c r="C4598">
        <f>Sources!D4598</f>
        <v/>
      </c>
      <c r="D4598">
        <f>Sources!E4598</f>
        <v/>
      </c>
      <c r="E4598">
        <f>Sources!F4598</f>
        <v/>
      </c>
      <c r="F4598">
        <f>Sources!H4598</f>
        <v/>
      </c>
      <c r="G4598">
        <f>IF(ABS(F4598-ROUND(F4598,0))&lt;0.001,1,0)</f>
        <v/>
      </c>
      <c r="H4598">
        <f>IF(G4598=1,F4598,CEILING(F4598,1))</f>
        <v/>
      </c>
      <c r="I4598">
        <f>IF(G4598=1,0,(H4598-F4598)*E4598)</f>
        <v/>
      </c>
      <c r="J4598">
        <f>E4598*F4598</f>
        <v/>
      </c>
    </row>
    <row r="4599">
      <c r="A4599">
        <f>Sources!A4599</f>
        <v/>
      </c>
      <c r="B4599">
        <f>Sources!B4599</f>
        <v/>
      </c>
      <c r="C4599">
        <f>Sources!D4599</f>
        <v/>
      </c>
      <c r="D4599">
        <f>Sources!E4599</f>
        <v/>
      </c>
      <c r="E4599">
        <f>Sources!F4599</f>
        <v/>
      </c>
      <c r="F4599">
        <f>Sources!H4599</f>
        <v/>
      </c>
      <c r="G4599">
        <f>IF(ABS(F4599-ROUND(F4599,0))&lt;0.001,1,0)</f>
        <v/>
      </c>
      <c r="H4599">
        <f>IF(G4599=1,F4599,CEILING(F4599,1))</f>
        <v/>
      </c>
      <c r="I4599">
        <f>IF(G4599=1,0,(H4599-F4599)*E4599)</f>
        <v/>
      </c>
      <c r="J4599">
        <f>E4599*F4599</f>
        <v/>
      </c>
    </row>
    <row r="4600">
      <c r="A4600">
        <f>Sources!A4600</f>
        <v/>
      </c>
      <c r="B4600">
        <f>Sources!B4600</f>
        <v/>
      </c>
      <c r="C4600">
        <f>Sources!D4600</f>
        <v/>
      </c>
      <c r="D4600">
        <f>Sources!E4600</f>
        <v/>
      </c>
      <c r="E4600">
        <f>Sources!F4600</f>
        <v/>
      </c>
      <c r="F4600">
        <f>Sources!H4600</f>
        <v/>
      </c>
      <c r="G4600">
        <f>IF(ABS(F4600-ROUND(F4600,0))&lt;0.001,1,0)</f>
        <v/>
      </c>
      <c r="H4600">
        <f>IF(G4600=1,F4600,CEILING(F4600,1))</f>
        <v/>
      </c>
      <c r="I4600">
        <f>IF(G4600=1,0,(H4600-F4600)*E4600)</f>
        <v/>
      </c>
      <c r="J4600">
        <f>E4600*F4600</f>
        <v/>
      </c>
    </row>
    <row r="4601">
      <c r="A4601">
        <f>Sources!A4601</f>
        <v/>
      </c>
      <c r="B4601">
        <f>Sources!B4601</f>
        <v/>
      </c>
      <c r="C4601">
        <f>Sources!D4601</f>
        <v/>
      </c>
      <c r="D4601">
        <f>Sources!E4601</f>
        <v/>
      </c>
      <c r="E4601">
        <f>Sources!F4601</f>
        <v/>
      </c>
      <c r="F4601">
        <f>Sources!H4601</f>
        <v/>
      </c>
      <c r="G4601">
        <f>IF(ABS(F4601-ROUND(F4601,0))&lt;0.001,1,0)</f>
        <v/>
      </c>
      <c r="H4601">
        <f>IF(G4601=1,F4601,CEILING(F4601,1))</f>
        <v/>
      </c>
      <c r="I4601">
        <f>IF(G4601=1,0,(H4601-F4601)*E4601)</f>
        <v/>
      </c>
      <c r="J4601">
        <f>E4601*F4601</f>
        <v/>
      </c>
    </row>
    <row r="4602">
      <c r="A4602">
        <f>Sources!A4602</f>
        <v/>
      </c>
      <c r="B4602">
        <f>Sources!B4602</f>
        <v/>
      </c>
      <c r="C4602">
        <f>Sources!D4602</f>
        <v/>
      </c>
      <c r="D4602">
        <f>Sources!E4602</f>
        <v/>
      </c>
      <c r="E4602">
        <f>Sources!F4602</f>
        <v/>
      </c>
      <c r="F4602">
        <f>Sources!H4602</f>
        <v/>
      </c>
      <c r="G4602">
        <f>IF(ABS(F4602-ROUND(F4602,0))&lt;0.001,1,0)</f>
        <v/>
      </c>
      <c r="H4602">
        <f>IF(G4602=1,F4602,CEILING(F4602,1))</f>
        <v/>
      </c>
      <c r="I4602">
        <f>IF(G4602=1,0,(H4602-F4602)*E4602)</f>
        <v/>
      </c>
      <c r="J4602">
        <f>E4602*F4602</f>
        <v/>
      </c>
    </row>
    <row r="4603">
      <c r="A4603">
        <f>Sources!A4603</f>
        <v/>
      </c>
      <c r="B4603">
        <f>Sources!B4603</f>
        <v/>
      </c>
      <c r="C4603">
        <f>Sources!D4603</f>
        <v/>
      </c>
      <c r="D4603">
        <f>Sources!E4603</f>
        <v/>
      </c>
      <c r="E4603">
        <f>Sources!F4603</f>
        <v/>
      </c>
      <c r="F4603">
        <f>Sources!H4603</f>
        <v/>
      </c>
      <c r="G4603">
        <f>IF(ABS(F4603-ROUND(F4603,0))&lt;0.001,1,0)</f>
        <v/>
      </c>
      <c r="H4603">
        <f>IF(G4603=1,F4603,CEILING(F4603,1))</f>
        <v/>
      </c>
      <c r="I4603">
        <f>IF(G4603=1,0,(H4603-F4603)*E4603)</f>
        <v/>
      </c>
      <c r="J4603">
        <f>E4603*F4603</f>
        <v/>
      </c>
    </row>
    <row r="4604">
      <c r="A4604">
        <f>Sources!A4604</f>
        <v/>
      </c>
      <c r="B4604">
        <f>Sources!B4604</f>
        <v/>
      </c>
      <c r="C4604">
        <f>Sources!D4604</f>
        <v/>
      </c>
      <c r="D4604">
        <f>Sources!E4604</f>
        <v/>
      </c>
      <c r="E4604">
        <f>Sources!F4604</f>
        <v/>
      </c>
      <c r="F4604">
        <f>Sources!H4604</f>
        <v/>
      </c>
      <c r="G4604">
        <f>IF(ABS(F4604-ROUND(F4604,0))&lt;0.001,1,0)</f>
        <v/>
      </c>
      <c r="H4604">
        <f>IF(G4604=1,F4604,CEILING(F4604,1))</f>
        <v/>
      </c>
      <c r="I4604">
        <f>IF(G4604=1,0,(H4604-F4604)*E4604)</f>
        <v/>
      </c>
      <c r="J4604">
        <f>E4604*F4604</f>
        <v/>
      </c>
    </row>
    <row r="4605">
      <c r="A4605">
        <f>Sources!A4605</f>
        <v/>
      </c>
      <c r="B4605">
        <f>Sources!B4605</f>
        <v/>
      </c>
      <c r="C4605">
        <f>Sources!D4605</f>
        <v/>
      </c>
      <c r="D4605">
        <f>Sources!E4605</f>
        <v/>
      </c>
      <c r="E4605">
        <f>Sources!F4605</f>
        <v/>
      </c>
      <c r="F4605">
        <f>Sources!H4605</f>
        <v/>
      </c>
      <c r="G4605">
        <f>IF(ABS(F4605-ROUND(F4605,0))&lt;0.001,1,0)</f>
        <v/>
      </c>
      <c r="H4605">
        <f>IF(G4605=1,F4605,CEILING(F4605,1))</f>
        <v/>
      </c>
      <c r="I4605">
        <f>IF(G4605=1,0,(H4605-F4605)*E4605)</f>
        <v/>
      </c>
      <c r="J4605">
        <f>E4605*F4605</f>
        <v/>
      </c>
    </row>
    <row r="4606">
      <c r="A4606">
        <f>Sources!A4606</f>
        <v/>
      </c>
      <c r="B4606">
        <f>Sources!B4606</f>
        <v/>
      </c>
      <c r="C4606">
        <f>Sources!D4606</f>
        <v/>
      </c>
      <c r="D4606">
        <f>Sources!E4606</f>
        <v/>
      </c>
      <c r="E4606">
        <f>Sources!F4606</f>
        <v/>
      </c>
      <c r="F4606">
        <f>Sources!H4606</f>
        <v/>
      </c>
      <c r="G4606">
        <f>IF(ABS(F4606-ROUND(F4606,0))&lt;0.001,1,0)</f>
        <v/>
      </c>
      <c r="H4606">
        <f>IF(G4606=1,F4606,CEILING(F4606,1))</f>
        <v/>
      </c>
      <c r="I4606">
        <f>IF(G4606=1,0,(H4606-F4606)*E4606)</f>
        <v/>
      </c>
      <c r="J4606">
        <f>E4606*F4606</f>
        <v/>
      </c>
    </row>
    <row r="4607">
      <c r="A4607">
        <f>Sources!A4607</f>
        <v/>
      </c>
      <c r="B4607">
        <f>Sources!B4607</f>
        <v/>
      </c>
      <c r="C4607">
        <f>Sources!D4607</f>
        <v/>
      </c>
      <c r="D4607">
        <f>Sources!E4607</f>
        <v/>
      </c>
      <c r="E4607">
        <f>Sources!F4607</f>
        <v/>
      </c>
      <c r="F4607">
        <f>Sources!H4607</f>
        <v/>
      </c>
      <c r="G4607">
        <f>IF(ABS(F4607-ROUND(F4607,0))&lt;0.001,1,0)</f>
        <v/>
      </c>
      <c r="H4607">
        <f>IF(G4607=1,F4607,CEILING(F4607,1))</f>
        <v/>
      </c>
      <c r="I4607">
        <f>IF(G4607=1,0,(H4607-F4607)*E4607)</f>
        <v/>
      </c>
      <c r="J4607">
        <f>E4607*F4607</f>
        <v/>
      </c>
    </row>
    <row r="4608">
      <c r="A4608">
        <f>Sources!A4608</f>
        <v/>
      </c>
      <c r="B4608">
        <f>Sources!B4608</f>
        <v/>
      </c>
      <c r="C4608">
        <f>Sources!D4608</f>
        <v/>
      </c>
      <c r="D4608">
        <f>Sources!E4608</f>
        <v/>
      </c>
      <c r="E4608">
        <f>Sources!F4608</f>
        <v/>
      </c>
      <c r="F4608">
        <f>Sources!H4608</f>
        <v/>
      </c>
      <c r="G4608">
        <f>IF(ABS(F4608-ROUND(F4608,0))&lt;0.001,1,0)</f>
        <v/>
      </c>
      <c r="H4608">
        <f>IF(G4608=1,F4608,CEILING(F4608,1))</f>
        <v/>
      </c>
      <c r="I4608">
        <f>IF(G4608=1,0,(H4608-F4608)*E4608)</f>
        <v/>
      </c>
      <c r="J4608">
        <f>E4608*F4608</f>
        <v/>
      </c>
    </row>
    <row r="4609">
      <c r="A4609">
        <f>Sources!A4609</f>
        <v/>
      </c>
      <c r="B4609">
        <f>Sources!B4609</f>
        <v/>
      </c>
      <c r="C4609">
        <f>Sources!D4609</f>
        <v/>
      </c>
      <c r="D4609">
        <f>Sources!E4609</f>
        <v/>
      </c>
      <c r="E4609">
        <f>Sources!F4609</f>
        <v/>
      </c>
      <c r="F4609">
        <f>Sources!H4609</f>
        <v/>
      </c>
      <c r="G4609">
        <f>IF(ABS(F4609-ROUND(F4609,0))&lt;0.001,1,0)</f>
        <v/>
      </c>
      <c r="H4609">
        <f>IF(G4609=1,F4609,CEILING(F4609,1))</f>
        <v/>
      </c>
      <c r="I4609">
        <f>IF(G4609=1,0,(H4609-F4609)*E4609)</f>
        <v/>
      </c>
      <c r="J4609">
        <f>E4609*F4609</f>
        <v/>
      </c>
    </row>
    <row r="4610">
      <c r="A4610">
        <f>Sources!A4610</f>
        <v/>
      </c>
      <c r="B4610">
        <f>Sources!B4610</f>
        <v/>
      </c>
      <c r="C4610">
        <f>Sources!D4610</f>
        <v/>
      </c>
      <c r="D4610">
        <f>Sources!E4610</f>
        <v/>
      </c>
      <c r="E4610">
        <f>Sources!F4610</f>
        <v/>
      </c>
      <c r="F4610">
        <f>Sources!H4610</f>
        <v/>
      </c>
      <c r="G4610">
        <f>IF(ABS(F4610-ROUND(F4610,0))&lt;0.001,1,0)</f>
        <v/>
      </c>
      <c r="H4610">
        <f>IF(G4610=1,F4610,CEILING(F4610,1))</f>
        <v/>
      </c>
      <c r="I4610">
        <f>IF(G4610=1,0,(H4610-F4610)*E4610)</f>
        <v/>
      </c>
      <c r="J4610">
        <f>E4610*F4610</f>
        <v/>
      </c>
    </row>
    <row r="4611">
      <c r="A4611">
        <f>Sources!A4611</f>
        <v/>
      </c>
      <c r="B4611">
        <f>Sources!B4611</f>
        <v/>
      </c>
      <c r="C4611">
        <f>Sources!D4611</f>
        <v/>
      </c>
      <c r="D4611">
        <f>Sources!E4611</f>
        <v/>
      </c>
      <c r="E4611">
        <f>Sources!F4611</f>
        <v/>
      </c>
      <c r="F4611">
        <f>Sources!H4611</f>
        <v/>
      </c>
      <c r="G4611">
        <f>IF(ABS(F4611-ROUND(F4611,0))&lt;0.001,1,0)</f>
        <v/>
      </c>
      <c r="H4611">
        <f>IF(G4611=1,F4611,CEILING(F4611,1))</f>
        <v/>
      </c>
      <c r="I4611">
        <f>IF(G4611=1,0,(H4611-F4611)*E4611)</f>
        <v/>
      </c>
      <c r="J4611">
        <f>E4611*F4611</f>
        <v/>
      </c>
    </row>
    <row r="4612">
      <c r="A4612">
        <f>Sources!A4612</f>
        <v/>
      </c>
      <c r="B4612">
        <f>Sources!B4612</f>
        <v/>
      </c>
      <c r="C4612">
        <f>Sources!D4612</f>
        <v/>
      </c>
      <c r="D4612">
        <f>Sources!E4612</f>
        <v/>
      </c>
      <c r="E4612">
        <f>Sources!F4612</f>
        <v/>
      </c>
      <c r="F4612">
        <f>Sources!H4612</f>
        <v/>
      </c>
      <c r="G4612">
        <f>IF(ABS(F4612-ROUND(F4612,0))&lt;0.001,1,0)</f>
        <v/>
      </c>
      <c r="H4612">
        <f>IF(G4612=1,F4612,CEILING(F4612,1))</f>
        <v/>
      </c>
      <c r="I4612">
        <f>IF(G4612=1,0,(H4612-F4612)*E4612)</f>
        <v/>
      </c>
      <c r="J4612">
        <f>E4612*F4612</f>
        <v/>
      </c>
    </row>
    <row r="4613">
      <c r="A4613">
        <f>Sources!A4613</f>
        <v/>
      </c>
      <c r="B4613">
        <f>Sources!B4613</f>
        <v/>
      </c>
      <c r="C4613">
        <f>Sources!D4613</f>
        <v/>
      </c>
      <c r="D4613">
        <f>Sources!E4613</f>
        <v/>
      </c>
      <c r="E4613">
        <f>Sources!F4613</f>
        <v/>
      </c>
      <c r="F4613">
        <f>Sources!H4613</f>
        <v/>
      </c>
      <c r="G4613">
        <f>IF(ABS(F4613-ROUND(F4613,0))&lt;0.001,1,0)</f>
        <v/>
      </c>
      <c r="H4613">
        <f>IF(G4613=1,F4613,CEILING(F4613,1))</f>
        <v/>
      </c>
      <c r="I4613">
        <f>IF(G4613=1,0,(H4613-F4613)*E4613)</f>
        <v/>
      </c>
      <c r="J4613">
        <f>E4613*F4613</f>
        <v/>
      </c>
    </row>
    <row r="4614">
      <c r="A4614">
        <f>Sources!A4614</f>
        <v/>
      </c>
      <c r="B4614">
        <f>Sources!B4614</f>
        <v/>
      </c>
      <c r="C4614">
        <f>Sources!D4614</f>
        <v/>
      </c>
      <c r="D4614">
        <f>Sources!E4614</f>
        <v/>
      </c>
      <c r="E4614">
        <f>Sources!F4614</f>
        <v/>
      </c>
      <c r="F4614">
        <f>Sources!H4614</f>
        <v/>
      </c>
      <c r="G4614">
        <f>IF(ABS(F4614-ROUND(F4614,0))&lt;0.001,1,0)</f>
        <v/>
      </c>
      <c r="H4614">
        <f>IF(G4614=1,F4614,CEILING(F4614,1))</f>
        <v/>
      </c>
      <c r="I4614">
        <f>IF(G4614=1,0,(H4614-F4614)*E4614)</f>
        <v/>
      </c>
      <c r="J4614">
        <f>E4614*F4614</f>
        <v/>
      </c>
    </row>
    <row r="4615">
      <c r="A4615">
        <f>Sources!A4615</f>
        <v/>
      </c>
      <c r="B4615">
        <f>Sources!B4615</f>
        <v/>
      </c>
      <c r="C4615">
        <f>Sources!D4615</f>
        <v/>
      </c>
      <c r="D4615">
        <f>Sources!E4615</f>
        <v/>
      </c>
      <c r="E4615">
        <f>Sources!F4615</f>
        <v/>
      </c>
      <c r="F4615">
        <f>Sources!H4615</f>
        <v/>
      </c>
      <c r="G4615">
        <f>IF(ABS(F4615-ROUND(F4615,0))&lt;0.001,1,0)</f>
        <v/>
      </c>
      <c r="H4615">
        <f>IF(G4615=1,F4615,CEILING(F4615,1))</f>
        <v/>
      </c>
      <c r="I4615">
        <f>IF(G4615=1,0,(H4615-F4615)*E4615)</f>
        <v/>
      </c>
      <c r="J4615">
        <f>E4615*F4615</f>
        <v/>
      </c>
    </row>
    <row r="4616">
      <c r="A4616">
        <f>Sources!A4616</f>
        <v/>
      </c>
      <c r="B4616">
        <f>Sources!B4616</f>
        <v/>
      </c>
      <c r="C4616">
        <f>Sources!D4616</f>
        <v/>
      </c>
      <c r="D4616">
        <f>Sources!E4616</f>
        <v/>
      </c>
      <c r="E4616">
        <f>Sources!F4616</f>
        <v/>
      </c>
      <c r="F4616">
        <f>Sources!H4616</f>
        <v/>
      </c>
      <c r="G4616">
        <f>IF(ABS(F4616-ROUND(F4616,0))&lt;0.001,1,0)</f>
        <v/>
      </c>
      <c r="H4616">
        <f>IF(G4616=1,F4616,CEILING(F4616,1))</f>
        <v/>
      </c>
      <c r="I4616">
        <f>IF(G4616=1,0,(H4616-F4616)*E4616)</f>
        <v/>
      </c>
      <c r="J4616">
        <f>E4616*F4616</f>
        <v/>
      </c>
    </row>
    <row r="4617">
      <c r="A4617">
        <f>Sources!A4617</f>
        <v/>
      </c>
      <c r="B4617">
        <f>Sources!B4617</f>
        <v/>
      </c>
      <c r="C4617">
        <f>Sources!D4617</f>
        <v/>
      </c>
      <c r="D4617">
        <f>Sources!E4617</f>
        <v/>
      </c>
      <c r="E4617">
        <f>Sources!F4617</f>
        <v/>
      </c>
      <c r="F4617">
        <f>Sources!H4617</f>
        <v/>
      </c>
      <c r="G4617">
        <f>IF(ABS(F4617-ROUND(F4617,0))&lt;0.001,1,0)</f>
        <v/>
      </c>
      <c r="H4617">
        <f>IF(G4617=1,F4617,CEILING(F4617,1))</f>
        <v/>
      </c>
      <c r="I4617">
        <f>IF(G4617=1,0,(H4617-F4617)*E4617)</f>
        <v/>
      </c>
      <c r="J4617">
        <f>E4617*F4617</f>
        <v/>
      </c>
    </row>
    <row r="4618">
      <c r="A4618">
        <f>Sources!A4618</f>
        <v/>
      </c>
      <c r="B4618">
        <f>Sources!B4618</f>
        <v/>
      </c>
      <c r="C4618">
        <f>Sources!D4618</f>
        <v/>
      </c>
      <c r="D4618">
        <f>Sources!E4618</f>
        <v/>
      </c>
      <c r="E4618">
        <f>Sources!F4618</f>
        <v/>
      </c>
      <c r="F4618">
        <f>Sources!H4618</f>
        <v/>
      </c>
      <c r="G4618">
        <f>IF(ABS(F4618-ROUND(F4618,0))&lt;0.001,1,0)</f>
        <v/>
      </c>
      <c r="H4618">
        <f>IF(G4618=1,F4618,CEILING(F4618,1))</f>
        <v/>
      </c>
      <c r="I4618">
        <f>IF(G4618=1,0,(H4618-F4618)*E4618)</f>
        <v/>
      </c>
      <c r="J4618">
        <f>E4618*F4618</f>
        <v/>
      </c>
    </row>
    <row r="4619">
      <c r="A4619">
        <f>Sources!A4619</f>
        <v/>
      </c>
      <c r="B4619">
        <f>Sources!B4619</f>
        <v/>
      </c>
      <c r="C4619">
        <f>Sources!D4619</f>
        <v/>
      </c>
      <c r="D4619">
        <f>Sources!E4619</f>
        <v/>
      </c>
      <c r="E4619">
        <f>Sources!F4619</f>
        <v/>
      </c>
      <c r="F4619">
        <f>Sources!H4619</f>
        <v/>
      </c>
      <c r="G4619">
        <f>IF(ABS(F4619-ROUND(F4619,0))&lt;0.001,1,0)</f>
        <v/>
      </c>
      <c r="H4619">
        <f>IF(G4619=1,F4619,CEILING(F4619,1))</f>
        <v/>
      </c>
      <c r="I4619">
        <f>IF(G4619=1,0,(H4619-F4619)*E4619)</f>
        <v/>
      </c>
      <c r="J4619">
        <f>E4619*F4619</f>
        <v/>
      </c>
    </row>
    <row r="4620">
      <c r="A4620">
        <f>Sources!A4620</f>
        <v/>
      </c>
      <c r="B4620">
        <f>Sources!B4620</f>
        <v/>
      </c>
      <c r="C4620">
        <f>Sources!D4620</f>
        <v/>
      </c>
      <c r="D4620">
        <f>Sources!E4620</f>
        <v/>
      </c>
      <c r="E4620">
        <f>Sources!F4620</f>
        <v/>
      </c>
      <c r="F4620">
        <f>Sources!H4620</f>
        <v/>
      </c>
      <c r="G4620">
        <f>IF(ABS(F4620-ROUND(F4620,0))&lt;0.001,1,0)</f>
        <v/>
      </c>
      <c r="H4620">
        <f>IF(G4620=1,F4620,CEILING(F4620,1))</f>
        <v/>
      </c>
      <c r="I4620">
        <f>IF(G4620=1,0,(H4620-F4620)*E4620)</f>
        <v/>
      </c>
      <c r="J4620">
        <f>E4620*F4620</f>
        <v/>
      </c>
    </row>
    <row r="4621">
      <c r="A4621">
        <f>Sources!A4621</f>
        <v/>
      </c>
      <c r="B4621">
        <f>Sources!B4621</f>
        <v/>
      </c>
      <c r="C4621">
        <f>Sources!D4621</f>
        <v/>
      </c>
      <c r="D4621">
        <f>Sources!E4621</f>
        <v/>
      </c>
      <c r="E4621">
        <f>Sources!F4621</f>
        <v/>
      </c>
      <c r="F4621">
        <f>Sources!H4621</f>
        <v/>
      </c>
      <c r="G4621">
        <f>IF(ABS(F4621-ROUND(F4621,0))&lt;0.001,1,0)</f>
        <v/>
      </c>
      <c r="H4621">
        <f>IF(G4621=1,F4621,CEILING(F4621,1))</f>
        <v/>
      </c>
      <c r="I4621">
        <f>IF(G4621=1,0,(H4621-F4621)*E4621)</f>
        <v/>
      </c>
      <c r="J4621">
        <f>E4621*F4621</f>
        <v/>
      </c>
    </row>
    <row r="4622">
      <c r="A4622">
        <f>Sources!A4622</f>
        <v/>
      </c>
      <c r="B4622">
        <f>Sources!B4622</f>
        <v/>
      </c>
      <c r="C4622">
        <f>Sources!D4622</f>
        <v/>
      </c>
      <c r="D4622">
        <f>Sources!E4622</f>
        <v/>
      </c>
      <c r="E4622">
        <f>Sources!F4622</f>
        <v/>
      </c>
      <c r="F4622">
        <f>Sources!H4622</f>
        <v/>
      </c>
      <c r="G4622">
        <f>IF(ABS(F4622-ROUND(F4622,0))&lt;0.001,1,0)</f>
        <v/>
      </c>
      <c r="H4622">
        <f>IF(G4622=1,F4622,CEILING(F4622,1))</f>
        <v/>
      </c>
      <c r="I4622">
        <f>IF(G4622=1,0,(H4622-F4622)*E4622)</f>
        <v/>
      </c>
      <c r="J4622">
        <f>E4622*F4622</f>
        <v/>
      </c>
    </row>
    <row r="4623">
      <c r="A4623">
        <f>Sources!A4623</f>
        <v/>
      </c>
      <c r="B4623">
        <f>Sources!B4623</f>
        <v/>
      </c>
      <c r="C4623">
        <f>Sources!D4623</f>
        <v/>
      </c>
      <c r="D4623">
        <f>Sources!E4623</f>
        <v/>
      </c>
      <c r="E4623">
        <f>Sources!F4623</f>
        <v/>
      </c>
      <c r="F4623">
        <f>Sources!H4623</f>
        <v/>
      </c>
      <c r="G4623">
        <f>IF(ABS(F4623-ROUND(F4623,0))&lt;0.001,1,0)</f>
        <v/>
      </c>
      <c r="H4623">
        <f>IF(G4623=1,F4623,CEILING(F4623,1))</f>
        <v/>
      </c>
      <c r="I4623">
        <f>IF(G4623=1,0,(H4623-F4623)*E4623)</f>
        <v/>
      </c>
      <c r="J4623">
        <f>E4623*F4623</f>
        <v/>
      </c>
    </row>
    <row r="4624">
      <c r="A4624">
        <f>Sources!A4624</f>
        <v/>
      </c>
      <c r="B4624">
        <f>Sources!B4624</f>
        <v/>
      </c>
      <c r="C4624">
        <f>Sources!D4624</f>
        <v/>
      </c>
      <c r="D4624">
        <f>Sources!E4624</f>
        <v/>
      </c>
      <c r="E4624">
        <f>Sources!F4624</f>
        <v/>
      </c>
      <c r="F4624">
        <f>Sources!H4624</f>
        <v/>
      </c>
      <c r="G4624">
        <f>IF(ABS(F4624-ROUND(F4624,0))&lt;0.001,1,0)</f>
        <v/>
      </c>
      <c r="H4624">
        <f>IF(G4624=1,F4624,CEILING(F4624,1))</f>
        <v/>
      </c>
      <c r="I4624">
        <f>IF(G4624=1,0,(H4624-F4624)*E4624)</f>
        <v/>
      </c>
      <c r="J4624">
        <f>E4624*F4624</f>
        <v/>
      </c>
    </row>
    <row r="4625">
      <c r="A4625">
        <f>Sources!A4625</f>
        <v/>
      </c>
      <c r="B4625">
        <f>Sources!B4625</f>
        <v/>
      </c>
      <c r="C4625">
        <f>Sources!D4625</f>
        <v/>
      </c>
      <c r="D4625">
        <f>Sources!E4625</f>
        <v/>
      </c>
      <c r="E4625">
        <f>Sources!F4625</f>
        <v/>
      </c>
      <c r="F4625">
        <f>Sources!H4625</f>
        <v/>
      </c>
      <c r="G4625">
        <f>IF(ABS(F4625-ROUND(F4625,0))&lt;0.001,1,0)</f>
        <v/>
      </c>
      <c r="H4625">
        <f>IF(G4625=1,F4625,CEILING(F4625,1))</f>
        <v/>
      </c>
      <c r="I4625">
        <f>IF(G4625=1,0,(H4625-F4625)*E4625)</f>
        <v/>
      </c>
      <c r="J4625">
        <f>E4625*F4625</f>
        <v/>
      </c>
    </row>
    <row r="4626">
      <c r="A4626">
        <f>Sources!A4626</f>
        <v/>
      </c>
      <c r="B4626">
        <f>Sources!B4626</f>
        <v/>
      </c>
      <c r="C4626">
        <f>Sources!D4626</f>
        <v/>
      </c>
      <c r="D4626">
        <f>Sources!E4626</f>
        <v/>
      </c>
      <c r="E4626">
        <f>Sources!F4626</f>
        <v/>
      </c>
      <c r="F4626">
        <f>Sources!H4626</f>
        <v/>
      </c>
      <c r="G4626">
        <f>IF(ABS(F4626-ROUND(F4626,0))&lt;0.001,1,0)</f>
        <v/>
      </c>
      <c r="H4626">
        <f>IF(G4626=1,F4626,CEILING(F4626,1))</f>
        <v/>
      </c>
      <c r="I4626">
        <f>IF(G4626=1,0,(H4626-F4626)*E4626)</f>
        <v/>
      </c>
      <c r="J4626">
        <f>E4626*F4626</f>
        <v/>
      </c>
    </row>
    <row r="4627">
      <c r="A4627">
        <f>Sources!A4627</f>
        <v/>
      </c>
      <c r="B4627">
        <f>Sources!B4627</f>
        <v/>
      </c>
      <c r="C4627">
        <f>Sources!D4627</f>
        <v/>
      </c>
      <c r="D4627">
        <f>Sources!E4627</f>
        <v/>
      </c>
      <c r="E4627">
        <f>Sources!F4627</f>
        <v/>
      </c>
      <c r="F4627">
        <f>Sources!H4627</f>
        <v/>
      </c>
      <c r="G4627">
        <f>IF(ABS(F4627-ROUND(F4627,0))&lt;0.001,1,0)</f>
        <v/>
      </c>
      <c r="H4627">
        <f>IF(G4627=1,F4627,CEILING(F4627,1))</f>
        <v/>
      </c>
      <c r="I4627">
        <f>IF(G4627=1,0,(H4627-F4627)*E4627)</f>
        <v/>
      </c>
      <c r="J4627">
        <f>E4627*F4627</f>
        <v/>
      </c>
    </row>
    <row r="4628">
      <c r="A4628">
        <f>Sources!A4628</f>
        <v/>
      </c>
      <c r="B4628">
        <f>Sources!B4628</f>
        <v/>
      </c>
      <c r="C4628">
        <f>Sources!D4628</f>
        <v/>
      </c>
      <c r="D4628">
        <f>Sources!E4628</f>
        <v/>
      </c>
      <c r="E4628">
        <f>Sources!F4628</f>
        <v/>
      </c>
      <c r="F4628">
        <f>Sources!H4628</f>
        <v/>
      </c>
      <c r="G4628">
        <f>IF(ABS(F4628-ROUND(F4628,0))&lt;0.001,1,0)</f>
        <v/>
      </c>
      <c r="H4628">
        <f>IF(G4628=1,F4628,CEILING(F4628,1))</f>
        <v/>
      </c>
      <c r="I4628">
        <f>IF(G4628=1,0,(H4628-F4628)*E4628)</f>
        <v/>
      </c>
      <c r="J4628">
        <f>E4628*F4628</f>
        <v/>
      </c>
    </row>
    <row r="4629">
      <c r="A4629">
        <f>Sources!A4629</f>
        <v/>
      </c>
      <c r="B4629">
        <f>Sources!B4629</f>
        <v/>
      </c>
      <c r="C4629">
        <f>Sources!D4629</f>
        <v/>
      </c>
      <c r="D4629">
        <f>Sources!E4629</f>
        <v/>
      </c>
      <c r="E4629">
        <f>Sources!F4629</f>
        <v/>
      </c>
      <c r="F4629">
        <f>Sources!H4629</f>
        <v/>
      </c>
      <c r="G4629">
        <f>IF(ABS(F4629-ROUND(F4629,0))&lt;0.001,1,0)</f>
        <v/>
      </c>
      <c r="H4629">
        <f>IF(G4629=1,F4629,CEILING(F4629,1))</f>
        <v/>
      </c>
      <c r="I4629">
        <f>IF(G4629=1,0,(H4629-F4629)*E4629)</f>
        <v/>
      </c>
      <c r="J4629">
        <f>E4629*F4629</f>
        <v/>
      </c>
    </row>
    <row r="4630">
      <c r="A4630">
        <f>Sources!A4630</f>
        <v/>
      </c>
      <c r="B4630">
        <f>Sources!B4630</f>
        <v/>
      </c>
      <c r="C4630">
        <f>Sources!D4630</f>
        <v/>
      </c>
      <c r="D4630">
        <f>Sources!E4630</f>
        <v/>
      </c>
      <c r="E4630">
        <f>Sources!F4630</f>
        <v/>
      </c>
      <c r="F4630">
        <f>Sources!H4630</f>
        <v/>
      </c>
      <c r="G4630">
        <f>IF(ABS(F4630-ROUND(F4630,0))&lt;0.001,1,0)</f>
        <v/>
      </c>
      <c r="H4630">
        <f>IF(G4630=1,F4630,CEILING(F4630,1))</f>
        <v/>
      </c>
      <c r="I4630">
        <f>IF(G4630=1,0,(H4630-F4630)*E4630)</f>
        <v/>
      </c>
      <c r="J4630">
        <f>E4630*F4630</f>
        <v/>
      </c>
    </row>
    <row r="4631">
      <c r="A4631">
        <f>Sources!A4631</f>
        <v/>
      </c>
      <c r="B4631">
        <f>Sources!B4631</f>
        <v/>
      </c>
      <c r="C4631">
        <f>Sources!D4631</f>
        <v/>
      </c>
      <c r="D4631">
        <f>Sources!E4631</f>
        <v/>
      </c>
      <c r="E4631">
        <f>Sources!F4631</f>
        <v/>
      </c>
      <c r="F4631">
        <f>Sources!H4631</f>
        <v/>
      </c>
      <c r="G4631">
        <f>IF(ABS(F4631-ROUND(F4631,0))&lt;0.001,1,0)</f>
        <v/>
      </c>
      <c r="H4631">
        <f>IF(G4631=1,F4631,CEILING(F4631,1))</f>
        <v/>
      </c>
      <c r="I4631">
        <f>IF(G4631=1,0,(H4631-F4631)*E4631)</f>
        <v/>
      </c>
      <c r="J4631">
        <f>E4631*F4631</f>
        <v/>
      </c>
    </row>
    <row r="4632">
      <c r="A4632">
        <f>Sources!A4632</f>
        <v/>
      </c>
      <c r="B4632">
        <f>Sources!B4632</f>
        <v/>
      </c>
      <c r="C4632">
        <f>Sources!D4632</f>
        <v/>
      </c>
      <c r="D4632">
        <f>Sources!E4632</f>
        <v/>
      </c>
      <c r="E4632">
        <f>Sources!F4632</f>
        <v/>
      </c>
      <c r="F4632">
        <f>Sources!H4632</f>
        <v/>
      </c>
      <c r="G4632">
        <f>IF(ABS(F4632-ROUND(F4632,0))&lt;0.001,1,0)</f>
        <v/>
      </c>
      <c r="H4632">
        <f>IF(G4632=1,F4632,CEILING(F4632,1))</f>
        <v/>
      </c>
      <c r="I4632">
        <f>IF(G4632=1,0,(H4632-F4632)*E4632)</f>
        <v/>
      </c>
      <c r="J4632">
        <f>E4632*F4632</f>
        <v/>
      </c>
    </row>
    <row r="4633">
      <c r="A4633">
        <f>Sources!A4633</f>
        <v/>
      </c>
      <c r="B4633">
        <f>Sources!B4633</f>
        <v/>
      </c>
      <c r="C4633">
        <f>Sources!D4633</f>
        <v/>
      </c>
      <c r="D4633">
        <f>Sources!E4633</f>
        <v/>
      </c>
      <c r="E4633">
        <f>Sources!F4633</f>
        <v/>
      </c>
      <c r="F4633">
        <f>Sources!H4633</f>
        <v/>
      </c>
      <c r="G4633">
        <f>IF(ABS(F4633-ROUND(F4633,0))&lt;0.001,1,0)</f>
        <v/>
      </c>
      <c r="H4633">
        <f>IF(G4633=1,F4633,CEILING(F4633,1))</f>
        <v/>
      </c>
      <c r="I4633">
        <f>IF(G4633=1,0,(H4633-F4633)*E4633)</f>
        <v/>
      </c>
      <c r="J4633">
        <f>E4633*F4633</f>
        <v/>
      </c>
    </row>
    <row r="4634">
      <c r="A4634">
        <f>Sources!A4634</f>
        <v/>
      </c>
      <c r="B4634">
        <f>Sources!B4634</f>
        <v/>
      </c>
      <c r="C4634">
        <f>Sources!D4634</f>
        <v/>
      </c>
      <c r="D4634">
        <f>Sources!E4634</f>
        <v/>
      </c>
      <c r="E4634">
        <f>Sources!F4634</f>
        <v/>
      </c>
      <c r="F4634">
        <f>Sources!H4634</f>
        <v/>
      </c>
      <c r="G4634">
        <f>IF(ABS(F4634-ROUND(F4634,0))&lt;0.001,1,0)</f>
        <v/>
      </c>
      <c r="H4634">
        <f>IF(G4634=1,F4634,CEILING(F4634,1))</f>
        <v/>
      </c>
      <c r="I4634">
        <f>IF(G4634=1,0,(H4634-F4634)*E4634)</f>
        <v/>
      </c>
      <c r="J4634">
        <f>E4634*F4634</f>
        <v/>
      </c>
    </row>
    <row r="4635">
      <c r="A4635">
        <f>Sources!A4635</f>
        <v/>
      </c>
      <c r="B4635">
        <f>Sources!B4635</f>
        <v/>
      </c>
      <c r="C4635">
        <f>Sources!D4635</f>
        <v/>
      </c>
      <c r="D4635">
        <f>Sources!E4635</f>
        <v/>
      </c>
      <c r="E4635">
        <f>Sources!F4635</f>
        <v/>
      </c>
      <c r="F4635">
        <f>Sources!H4635</f>
        <v/>
      </c>
      <c r="G4635">
        <f>IF(ABS(F4635-ROUND(F4635,0))&lt;0.001,1,0)</f>
        <v/>
      </c>
      <c r="H4635">
        <f>IF(G4635=1,F4635,CEILING(F4635,1))</f>
        <v/>
      </c>
      <c r="I4635">
        <f>IF(G4635=1,0,(H4635-F4635)*E4635)</f>
        <v/>
      </c>
      <c r="J4635">
        <f>E4635*F4635</f>
        <v/>
      </c>
    </row>
    <row r="4636">
      <c r="A4636">
        <f>Sources!A4636</f>
        <v/>
      </c>
      <c r="B4636">
        <f>Sources!B4636</f>
        <v/>
      </c>
      <c r="C4636">
        <f>Sources!D4636</f>
        <v/>
      </c>
      <c r="D4636">
        <f>Sources!E4636</f>
        <v/>
      </c>
      <c r="E4636">
        <f>Sources!F4636</f>
        <v/>
      </c>
      <c r="F4636">
        <f>Sources!H4636</f>
        <v/>
      </c>
      <c r="G4636">
        <f>IF(ABS(F4636-ROUND(F4636,0))&lt;0.001,1,0)</f>
        <v/>
      </c>
      <c r="H4636">
        <f>IF(G4636=1,F4636,CEILING(F4636,1))</f>
        <v/>
      </c>
      <c r="I4636">
        <f>IF(G4636=1,0,(H4636-F4636)*E4636)</f>
        <v/>
      </c>
      <c r="J4636">
        <f>E4636*F4636</f>
        <v/>
      </c>
    </row>
    <row r="4637">
      <c r="A4637">
        <f>Sources!A4637</f>
        <v/>
      </c>
      <c r="B4637">
        <f>Sources!B4637</f>
        <v/>
      </c>
      <c r="C4637">
        <f>Sources!D4637</f>
        <v/>
      </c>
      <c r="D4637">
        <f>Sources!E4637</f>
        <v/>
      </c>
      <c r="E4637">
        <f>Sources!F4637</f>
        <v/>
      </c>
      <c r="F4637">
        <f>Sources!H4637</f>
        <v/>
      </c>
      <c r="G4637">
        <f>IF(ABS(F4637-ROUND(F4637,0))&lt;0.001,1,0)</f>
        <v/>
      </c>
      <c r="H4637">
        <f>IF(G4637=1,F4637,CEILING(F4637,1))</f>
        <v/>
      </c>
      <c r="I4637">
        <f>IF(G4637=1,0,(H4637-F4637)*E4637)</f>
        <v/>
      </c>
      <c r="J4637">
        <f>E4637*F4637</f>
        <v/>
      </c>
    </row>
    <row r="4638">
      <c r="A4638">
        <f>Sources!A4638</f>
        <v/>
      </c>
      <c r="B4638">
        <f>Sources!B4638</f>
        <v/>
      </c>
      <c r="C4638">
        <f>Sources!D4638</f>
        <v/>
      </c>
      <c r="D4638">
        <f>Sources!E4638</f>
        <v/>
      </c>
      <c r="E4638">
        <f>Sources!F4638</f>
        <v/>
      </c>
      <c r="F4638">
        <f>Sources!H4638</f>
        <v/>
      </c>
      <c r="G4638">
        <f>IF(ABS(F4638-ROUND(F4638,0))&lt;0.001,1,0)</f>
        <v/>
      </c>
      <c r="H4638">
        <f>IF(G4638=1,F4638,CEILING(F4638,1))</f>
        <v/>
      </c>
      <c r="I4638">
        <f>IF(G4638=1,0,(H4638-F4638)*E4638)</f>
        <v/>
      </c>
      <c r="J4638">
        <f>E4638*F4638</f>
        <v/>
      </c>
    </row>
    <row r="4639">
      <c r="A4639">
        <f>Sources!A4639</f>
        <v/>
      </c>
      <c r="B4639">
        <f>Sources!B4639</f>
        <v/>
      </c>
      <c r="C4639">
        <f>Sources!D4639</f>
        <v/>
      </c>
      <c r="D4639">
        <f>Sources!E4639</f>
        <v/>
      </c>
      <c r="E4639">
        <f>Sources!F4639</f>
        <v/>
      </c>
      <c r="F4639">
        <f>Sources!H4639</f>
        <v/>
      </c>
      <c r="G4639">
        <f>IF(ABS(F4639-ROUND(F4639,0))&lt;0.001,1,0)</f>
        <v/>
      </c>
      <c r="H4639">
        <f>IF(G4639=1,F4639,CEILING(F4639,1))</f>
        <v/>
      </c>
      <c r="I4639">
        <f>IF(G4639=1,0,(H4639-F4639)*E4639)</f>
        <v/>
      </c>
      <c r="J4639">
        <f>E4639*F4639</f>
        <v/>
      </c>
    </row>
    <row r="4640">
      <c r="A4640">
        <f>Sources!A4640</f>
        <v/>
      </c>
      <c r="B4640">
        <f>Sources!B4640</f>
        <v/>
      </c>
      <c r="C4640">
        <f>Sources!D4640</f>
        <v/>
      </c>
      <c r="D4640">
        <f>Sources!E4640</f>
        <v/>
      </c>
      <c r="E4640">
        <f>Sources!F4640</f>
        <v/>
      </c>
      <c r="F4640">
        <f>Sources!H4640</f>
        <v/>
      </c>
      <c r="G4640">
        <f>IF(ABS(F4640-ROUND(F4640,0))&lt;0.001,1,0)</f>
        <v/>
      </c>
      <c r="H4640">
        <f>IF(G4640=1,F4640,CEILING(F4640,1))</f>
        <v/>
      </c>
      <c r="I4640">
        <f>IF(G4640=1,0,(H4640-F4640)*E4640)</f>
        <v/>
      </c>
      <c r="J4640">
        <f>E4640*F4640</f>
        <v/>
      </c>
    </row>
    <row r="4641">
      <c r="A4641">
        <f>Sources!A4641</f>
        <v/>
      </c>
      <c r="B4641">
        <f>Sources!B4641</f>
        <v/>
      </c>
      <c r="C4641">
        <f>Sources!D4641</f>
        <v/>
      </c>
      <c r="D4641">
        <f>Sources!E4641</f>
        <v/>
      </c>
      <c r="E4641">
        <f>Sources!F4641</f>
        <v/>
      </c>
      <c r="F4641">
        <f>Sources!H4641</f>
        <v/>
      </c>
      <c r="G4641">
        <f>IF(ABS(F4641-ROUND(F4641,0))&lt;0.001,1,0)</f>
        <v/>
      </c>
      <c r="H4641">
        <f>IF(G4641=1,F4641,CEILING(F4641,1))</f>
        <v/>
      </c>
      <c r="I4641">
        <f>IF(G4641=1,0,(H4641-F4641)*E4641)</f>
        <v/>
      </c>
      <c r="J4641">
        <f>E4641*F4641</f>
        <v/>
      </c>
    </row>
    <row r="4642">
      <c r="A4642">
        <f>Sources!A4642</f>
        <v/>
      </c>
      <c r="B4642">
        <f>Sources!B4642</f>
        <v/>
      </c>
      <c r="C4642">
        <f>Sources!D4642</f>
        <v/>
      </c>
      <c r="D4642">
        <f>Sources!E4642</f>
        <v/>
      </c>
      <c r="E4642">
        <f>Sources!F4642</f>
        <v/>
      </c>
      <c r="F4642">
        <f>Sources!H4642</f>
        <v/>
      </c>
      <c r="G4642">
        <f>IF(ABS(F4642-ROUND(F4642,0))&lt;0.001,1,0)</f>
        <v/>
      </c>
      <c r="H4642">
        <f>IF(G4642=1,F4642,CEILING(F4642,1))</f>
        <v/>
      </c>
      <c r="I4642">
        <f>IF(G4642=1,0,(H4642-F4642)*E4642)</f>
        <v/>
      </c>
      <c r="J4642">
        <f>E4642*F4642</f>
        <v/>
      </c>
    </row>
    <row r="4643">
      <c r="A4643">
        <f>Sources!A4643</f>
        <v/>
      </c>
      <c r="B4643">
        <f>Sources!B4643</f>
        <v/>
      </c>
      <c r="C4643">
        <f>Sources!D4643</f>
        <v/>
      </c>
      <c r="D4643">
        <f>Sources!E4643</f>
        <v/>
      </c>
      <c r="E4643">
        <f>Sources!F4643</f>
        <v/>
      </c>
      <c r="F4643">
        <f>Sources!H4643</f>
        <v/>
      </c>
      <c r="G4643">
        <f>IF(ABS(F4643-ROUND(F4643,0))&lt;0.001,1,0)</f>
        <v/>
      </c>
      <c r="H4643">
        <f>IF(G4643=1,F4643,CEILING(F4643,1))</f>
        <v/>
      </c>
      <c r="I4643">
        <f>IF(G4643=1,0,(H4643-F4643)*E4643)</f>
        <v/>
      </c>
      <c r="J4643">
        <f>E4643*F4643</f>
        <v/>
      </c>
    </row>
    <row r="4644">
      <c r="A4644">
        <f>Sources!A4644</f>
        <v/>
      </c>
      <c r="B4644">
        <f>Sources!B4644</f>
        <v/>
      </c>
      <c r="C4644">
        <f>Sources!D4644</f>
        <v/>
      </c>
      <c r="D4644">
        <f>Sources!E4644</f>
        <v/>
      </c>
      <c r="E4644">
        <f>Sources!F4644</f>
        <v/>
      </c>
      <c r="F4644">
        <f>Sources!H4644</f>
        <v/>
      </c>
      <c r="G4644">
        <f>IF(ABS(F4644-ROUND(F4644,0))&lt;0.001,1,0)</f>
        <v/>
      </c>
      <c r="H4644">
        <f>IF(G4644=1,F4644,CEILING(F4644,1))</f>
        <v/>
      </c>
      <c r="I4644">
        <f>IF(G4644=1,0,(H4644-F4644)*E4644)</f>
        <v/>
      </c>
      <c r="J4644">
        <f>E4644*F4644</f>
        <v/>
      </c>
    </row>
    <row r="4645">
      <c r="A4645">
        <f>Sources!A4645</f>
        <v/>
      </c>
      <c r="B4645">
        <f>Sources!B4645</f>
        <v/>
      </c>
      <c r="C4645">
        <f>Sources!D4645</f>
        <v/>
      </c>
      <c r="D4645">
        <f>Sources!E4645</f>
        <v/>
      </c>
      <c r="E4645">
        <f>Sources!F4645</f>
        <v/>
      </c>
      <c r="F4645">
        <f>Sources!H4645</f>
        <v/>
      </c>
      <c r="G4645">
        <f>IF(ABS(F4645-ROUND(F4645,0))&lt;0.001,1,0)</f>
        <v/>
      </c>
      <c r="H4645">
        <f>IF(G4645=1,F4645,CEILING(F4645,1))</f>
        <v/>
      </c>
      <c r="I4645">
        <f>IF(G4645=1,0,(H4645-F4645)*E4645)</f>
        <v/>
      </c>
      <c r="J4645">
        <f>E4645*F4645</f>
        <v/>
      </c>
    </row>
    <row r="4646">
      <c r="A4646">
        <f>Sources!A4646</f>
        <v/>
      </c>
      <c r="B4646">
        <f>Sources!B4646</f>
        <v/>
      </c>
      <c r="C4646">
        <f>Sources!D4646</f>
        <v/>
      </c>
      <c r="D4646">
        <f>Sources!E4646</f>
        <v/>
      </c>
      <c r="E4646">
        <f>Sources!F4646</f>
        <v/>
      </c>
      <c r="F4646">
        <f>Sources!H4646</f>
        <v/>
      </c>
      <c r="G4646">
        <f>IF(ABS(F4646-ROUND(F4646,0))&lt;0.001,1,0)</f>
        <v/>
      </c>
      <c r="H4646">
        <f>IF(G4646=1,F4646,CEILING(F4646,1))</f>
        <v/>
      </c>
      <c r="I4646">
        <f>IF(G4646=1,0,(H4646-F4646)*E4646)</f>
        <v/>
      </c>
      <c r="J4646">
        <f>E4646*F4646</f>
        <v/>
      </c>
    </row>
    <row r="4647">
      <c r="A4647">
        <f>Sources!A4647</f>
        <v/>
      </c>
      <c r="B4647">
        <f>Sources!B4647</f>
        <v/>
      </c>
      <c r="C4647">
        <f>Sources!D4647</f>
        <v/>
      </c>
      <c r="D4647">
        <f>Sources!E4647</f>
        <v/>
      </c>
      <c r="E4647">
        <f>Sources!F4647</f>
        <v/>
      </c>
      <c r="F4647">
        <f>Sources!H4647</f>
        <v/>
      </c>
      <c r="G4647">
        <f>IF(ABS(F4647-ROUND(F4647,0))&lt;0.001,1,0)</f>
        <v/>
      </c>
      <c r="H4647">
        <f>IF(G4647=1,F4647,CEILING(F4647,1))</f>
        <v/>
      </c>
      <c r="I4647">
        <f>IF(G4647=1,0,(H4647-F4647)*E4647)</f>
        <v/>
      </c>
      <c r="J4647">
        <f>E4647*F4647</f>
        <v/>
      </c>
    </row>
    <row r="4648">
      <c r="A4648">
        <f>Sources!A4648</f>
        <v/>
      </c>
      <c r="B4648">
        <f>Sources!B4648</f>
        <v/>
      </c>
      <c r="C4648">
        <f>Sources!D4648</f>
        <v/>
      </c>
      <c r="D4648">
        <f>Sources!E4648</f>
        <v/>
      </c>
      <c r="E4648">
        <f>Sources!F4648</f>
        <v/>
      </c>
      <c r="F4648">
        <f>Sources!H4648</f>
        <v/>
      </c>
      <c r="G4648">
        <f>IF(ABS(F4648-ROUND(F4648,0))&lt;0.001,1,0)</f>
        <v/>
      </c>
      <c r="H4648">
        <f>IF(G4648=1,F4648,CEILING(F4648,1))</f>
        <v/>
      </c>
      <c r="I4648">
        <f>IF(G4648=1,0,(H4648-F4648)*E4648)</f>
        <v/>
      </c>
      <c r="J4648">
        <f>E4648*F4648</f>
        <v/>
      </c>
    </row>
    <row r="4649">
      <c r="A4649">
        <f>Sources!A4649</f>
        <v/>
      </c>
      <c r="B4649">
        <f>Sources!B4649</f>
        <v/>
      </c>
      <c r="C4649">
        <f>Sources!D4649</f>
        <v/>
      </c>
      <c r="D4649">
        <f>Sources!E4649</f>
        <v/>
      </c>
      <c r="E4649">
        <f>Sources!F4649</f>
        <v/>
      </c>
      <c r="F4649">
        <f>Sources!H4649</f>
        <v/>
      </c>
      <c r="G4649">
        <f>IF(ABS(F4649-ROUND(F4649,0))&lt;0.001,1,0)</f>
        <v/>
      </c>
      <c r="H4649">
        <f>IF(G4649=1,F4649,CEILING(F4649,1))</f>
        <v/>
      </c>
      <c r="I4649">
        <f>IF(G4649=1,0,(H4649-F4649)*E4649)</f>
        <v/>
      </c>
      <c r="J4649">
        <f>E4649*F4649</f>
        <v/>
      </c>
    </row>
    <row r="4650">
      <c r="A4650">
        <f>Sources!A4650</f>
        <v/>
      </c>
      <c r="B4650">
        <f>Sources!B4650</f>
        <v/>
      </c>
      <c r="C4650">
        <f>Sources!D4650</f>
        <v/>
      </c>
      <c r="D4650">
        <f>Sources!E4650</f>
        <v/>
      </c>
      <c r="E4650">
        <f>Sources!F4650</f>
        <v/>
      </c>
      <c r="F4650">
        <f>Sources!H4650</f>
        <v/>
      </c>
      <c r="G4650">
        <f>IF(ABS(F4650-ROUND(F4650,0))&lt;0.001,1,0)</f>
        <v/>
      </c>
      <c r="H4650">
        <f>IF(G4650=1,F4650,CEILING(F4650,1))</f>
        <v/>
      </c>
      <c r="I4650">
        <f>IF(G4650=1,0,(H4650-F4650)*E4650)</f>
        <v/>
      </c>
      <c r="J4650">
        <f>E4650*F4650</f>
        <v/>
      </c>
    </row>
    <row r="4651">
      <c r="A4651">
        <f>Sources!A4651</f>
        <v/>
      </c>
      <c r="B4651">
        <f>Sources!B4651</f>
        <v/>
      </c>
      <c r="C4651">
        <f>Sources!D4651</f>
        <v/>
      </c>
      <c r="D4651">
        <f>Sources!E4651</f>
        <v/>
      </c>
      <c r="E4651">
        <f>Sources!F4651</f>
        <v/>
      </c>
      <c r="F4651">
        <f>Sources!H4651</f>
        <v/>
      </c>
      <c r="G4651">
        <f>IF(ABS(F4651-ROUND(F4651,0))&lt;0.001,1,0)</f>
        <v/>
      </c>
      <c r="H4651">
        <f>IF(G4651=1,F4651,CEILING(F4651,1))</f>
        <v/>
      </c>
      <c r="I4651">
        <f>IF(G4651=1,0,(H4651-F4651)*E4651)</f>
        <v/>
      </c>
      <c r="J4651">
        <f>E4651*F4651</f>
        <v/>
      </c>
    </row>
    <row r="4652">
      <c r="A4652">
        <f>Sources!A4652</f>
        <v/>
      </c>
      <c r="B4652">
        <f>Sources!B4652</f>
        <v/>
      </c>
      <c r="C4652">
        <f>Sources!D4652</f>
        <v/>
      </c>
      <c r="D4652">
        <f>Sources!E4652</f>
        <v/>
      </c>
      <c r="E4652">
        <f>Sources!F4652</f>
        <v/>
      </c>
      <c r="F4652">
        <f>Sources!H4652</f>
        <v/>
      </c>
      <c r="G4652">
        <f>IF(ABS(F4652-ROUND(F4652,0))&lt;0.001,1,0)</f>
        <v/>
      </c>
      <c r="H4652">
        <f>IF(G4652=1,F4652,CEILING(F4652,1))</f>
        <v/>
      </c>
      <c r="I4652">
        <f>IF(G4652=1,0,(H4652-F4652)*E4652)</f>
        <v/>
      </c>
      <c r="J4652">
        <f>E4652*F4652</f>
        <v/>
      </c>
    </row>
    <row r="4653">
      <c r="A4653">
        <f>Sources!A4653</f>
        <v/>
      </c>
      <c r="B4653">
        <f>Sources!B4653</f>
        <v/>
      </c>
      <c r="C4653">
        <f>Sources!D4653</f>
        <v/>
      </c>
      <c r="D4653">
        <f>Sources!E4653</f>
        <v/>
      </c>
      <c r="E4653">
        <f>Sources!F4653</f>
        <v/>
      </c>
      <c r="F4653">
        <f>Sources!H4653</f>
        <v/>
      </c>
      <c r="G4653">
        <f>IF(ABS(F4653-ROUND(F4653,0))&lt;0.001,1,0)</f>
        <v/>
      </c>
      <c r="H4653">
        <f>IF(G4653=1,F4653,CEILING(F4653,1))</f>
        <v/>
      </c>
      <c r="I4653">
        <f>IF(G4653=1,0,(H4653-F4653)*E4653)</f>
        <v/>
      </c>
      <c r="J4653">
        <f>E4653*F4653</f>
        <v/>
      </c>
    </row>
    <row r="4654">
      <c r="A4654">
        <f>Sources!A4654</f>
        <v/>
      </c>
      <c r="B4654">
        <f>Sources!B4654</f>
        <v/>
      </c>
      <c r="C4654">
        <f>Sources!D4654</f>
        <v/>
      </c>
      <c r="D4654">
        <f>Sources!E4654</f>
        <v/>
      </c>
      <c r="E4654">
        <f>Sources!F4654</f>
        <v/>
      </c>
      <c r="F4654">
        <f>Sources!H4654</f>
        <v/>
      </c>
      <c r="G4654">
        <f>IF(ABS(F4654-ROUND(F4654,0))&lt;0.001,1,0)</f>
        <v/>
      </c>
      <c r="H4654">
        <f>IF(G4654=1,F4654,CEILING(F4654,1))</f>
        <v/>
      </c>
      <c r="I4654">
        <f>IF(G4654=1,0,(H4654-F4654)*E4654)</f>
        <v/>
      </c>
      <c r="J4654">
        <f>E4654*F4654</f>
        <v/>
      </c>
    </row>
    <row r="4655">
      <c r="A4655">
        <f>Sources!A4655</f>
        <v/>
      </c>
      <c r="B4655">
        <f>Sources!B4655</f>
        <v/>
      </c>
      <c r="C4655">
        <f>Sources!D4655</f>
        <v/>
      </c>
      <c r="D4655">
        <f>Sources!E4655</f>
        <v/>
      </c>
      <c r="E4655">
        <f>Sources!F4655</f>
        <v/>
      </c>
      <c r="F4655">
        <f>Sources!H4655</f>
        <v/>
      </c>
      <c r="G4655">
        <f>IF(ABS(F4655-ROUND(F4655,0))&lt;0.001,1,0)</f>
        <v/>
      </c>
      <c r="H4655">
        <f>IF(G4655=1,F4655,CEILING(F4655,1))</f>
        <v/>
      </c>
      <c r="I4655">
        <f>IF(G4655=1,0,(H4655-F4655)*E4655)</f>
        <v/>
      </c>
      <c r="J4655">
        <f>E4655*F4655</f>
        <v/>
      </c>
    </row>
    <row r="4656">
      <c r="A4656">
        <f>Sources!A4656</f>
        <v/>
      </c>
      <c r="B4656">
        <f>Sources!B4656</f>
        <v/>
      </c>
      <c r="C4656">
        <f>Sources!D4656</f>
        <v/>
      </c>
      <c r="D4656">
        <f>Sources!E4656</f>
        <v/>
      </c>
      <c r="E4656">
        <f>Sources!F4656</f>
        <v/>
      </c>
      <c r="F4656">
        <f>Sources!H4656</f>
        <v/>
      </c>
      <c r="G4656">
        <f>IF(ABS(F4656-ROUND(F4656,0))&lt;0.001,1,0)</f>
        <v/>
      </c>
      <c r="H4656">
        <f>IF(G4656=1,F4656,CEILING(F4656,1))</f>
        <v/>
      </c>
      <c r="I4656">
        <f>IF(G4656=1,0,(H4656-F4656)*E4656)</f>
        <v/>
      </c>
      <c r="J4656">
        <f>E4656*F4656</f>
        <v/>
      </c>
    </row>
    <row r="4657">
      <c r="A4657">
        <f>Sources!A4657</f>
        <v/>
      </c>
      <c r="B4657">
        <f>Sources!B4657</f>
        <v/>
      </c>
      <c r="C4657">
        <f>Sources!D4657</f>
        <v/>
      </c>
      <c r="D4657">
        <f>Sources!E4657</f>
        <v/>
      </c>
      <c r="E4657">
        <f>Sources!F4657</f>
        <v/>
      </c>
      <c r="F4657">
        <f>Sources!H4657</f>
        <v/>
      </c>
      <c r="G4657">
        <f>IF(ABS(F4657-ROUND(F4657,0))&lt;0.001,1,0)</f>
        <v/>
      </c>
      <c r="H4657">
        <f>IF(G4657=1,F4657,CEILING(F4657,1))</f>
        <v/>
      </c>
      <c r="I4657">
        <f>IF(G4657=1,0,(H4657-F4657)*E4657)</f>
        <v/>
      </c>
      <c r="J4657">
        <f>E4657*F4657</f>
        <v/>
      </c>
    </row>
    <row r="4658">
      <c r="A4658">
        <f>Sources!A4658</f>
        <v/>
      </c>
      <c r="B4658">
        <f>Sources!B4658</f>
        <v/>
      </c>
      <c r="C4658">
        <f>Sources!D4658</f>
        <v/>
      </c>
      <c r="D4658">
        <f>Sources!E4658</f>
        <v/>
      </c>
      <c r="E4658">
        <f>Sources!F4658</f>
        <v/>
      </c>
      <c r="F4658">
        <f>Sources!H4658</f>
        <v/>
      </c>
      <c r="G4658">
        <f>IF(ABS(F4658-ROUND(F4658,0))&lt;0.001,1,0)</f>
        <v/>
      </c>
      <c r="H4658">
        <f>IF(G4658=1,F4658,CEILING(F4658,1))</f>
        <v/>
      </c>
      <c r="I4658">
        <f>IF(G4658=1,0,(H4658-F4658)*E4658)</f>
        <v/>
      </c>
      <c r="J4658">
        <f>E4658*F4658</f>
        <v/>
      </c>
    </row>
    <row r="4659">
      <c r="A4659">
        <f>Sources!A4659</f>
        <v/>
      </c>
      <c r="B4659">
        <f>Sources!B4659</f>
        <v/>
      </c>
      <c r="C4659">
        <f>Sources!D4659</f>
        <v/>
      </c>
      <c r="D4659">
        <f>Sources!E4659</f>
        <v/>
      </c>
      <c r="E4659">
        <f>Sources!F4659</f>
        <v/>
      </c>
      <c r="F4659">
        <f>Sources!H4659</f>
        <v/>
      </c>
      <c r="G4659">
        <f>IF(ABS(F4659-ROUND(F4659,0))&lt;0.001,1,0)</f>
        <v/>
      </c>
      <c r="H4659">
        <f>IF(G4659=1,F4659,CEILING(F4659,1))</f>
        <v/>
      </c>
      <c r="I4659">
        <f>IF(G4659=1,0,(H4659-F4659)*E4659)</f>
        <v/>
      </c>
      <c r="J4659">
        <f>E4659*F4659</f>
        <v/>
      </c>
    </row>
    <row r="4660">
      <c r="A4660">
        <f>Sources!A4660</f>
        <v/>
      </c>
      <c r="B4660">
        <f>Sources!B4660</f>
        <v/>
      </c>
      <c r="C4660">
        <f>Sources!D4660</f>
        <v/>
      </c>
      <c r="D4660">
        <f>Sources!E4660</f>
        <v/>
      </c>
      <c r="E4660">
        <f>Sources!F4660</f>
        <v/>
      </c>
      <c r="F4660">
        <f>Sources!H4660</f>
        <v/>
      </c>
      <c r="G4660">
        <f>IF(ABS(F4660-ROUND(F4660,0))&lt;0.001,1,0)</f>
        <v/>
      </c>
      <c r="H4660">
        <f>IF(G4660=1,F4660,CEILING(F4660,1))</f>
        <v/>
      </c>
      <c r="I4660">
        <f>IF(G4660=1,0,(H4660-F4660)*E4660)</f>
        <v/>
      </c>
      <c r="J4660">
        <f>E4660*F4660</f>
        <v/>
      </c>
    </row>
    <row r="4661">
      <c r="A4661">
        <f>Sources!A4661</f>
        <v/>
      </c>
      <c r="B4661">
        <f>Sources!B4661</f>
        <v/>
      </c>
      <c r="C4661">
        <f>Sources!D4661</f>
        <v/>
      </c>
      <c r="D4661">
        <f>Sources!E4661</f>
        <v/>
      </c>
      <c r="E4661">
        <f>Sources!F4661</f>
        <v/>
      </c>
      <c r="F4661">
        <f>Sources!H4661</f>
        <v/>
      </c>
      <c r="G4661">
        <f>IF(ABS(F4661-ROUND(F4661,0))&lt;0.001,1,0)</f>
        <v/>
      </c>
      <c r="H4661">
        <f>IF(G4661=1,F4661,CEILING(F4661,1))</f>
        <v/>
      </c>
      <c r="I4661">
        <f>IF(G4661=1,0,(H4661-F4661)*E4661)</f>
        <v/>
      </c>
      <c r="J4661">
        <f>E4661*F4661</f>
        <v/>
      </c>
    </row>
    <row r="4662">
      <c r="A4662">
        <f>Sources!A4662</f>
        <v/>
      </c>
      <c r="B4662">
        <f>Sources!B4662</f>
        <v/>
      </c>
      <c r="C4662">
        <f>Sources!D4662</f>
        <v/>
      </c>
      <c r="D4662">
        <f>Sources!E4662</f>
        <v/>
      </c>
      <c r="E4662">
        <f>Sources!F4662</f>
        <v/>
      </c>
      <c r="F4662">
        <f>Sources!H4662</f>
        <v/>
      </c>
      <c r="G4662">
        <f>IF(ABS(F4662-ROUND(F4662,0))&lt;0.001,1,0)</f>
        <v/>
      </c>
      <c r="H4662">
        <f>IF(G4662=1,F4662,CEILING(F4662,1))</f>
        <v/>
      </c>
      <c r="I4662">
        <f>IF(G4662=1,0,(H4662-F4662)*E4662)</f>
        <v/>
      </c>
      <c r="J4662">
        <f>E4662*F4662</f>
        <v/>
      </c>
    </row>
    <row r="4663">
      <c r="A4663">
        <f>Sources!A4663</f>
        <v/>
      </c>
      <c r="B4663">
        <f>Sources!B4663</f>
        <v/>
      </c>
      <c r="C4663">
        <f>Sources!D4663</f>
        <v/>
      </c>
      <c r="D4663">
        <f>Sources!E4663</f>
        <v/>
      </c>
      <c r="E4663">
        <f>Sources!F4663</f>
        <v/>
      </c>
      <c r="F4663">
        <f>Sources!H4663</f>
        <v/>
      </c>
      <c r="G4663">
        <f>IF(ABS(F4663-ROUND(F4663,0))&lt;0.001,1,0)</f>
        <v/>
      </c>
      <c r="H4663">
        <f>IF(G4663=1,F4663,CEILING(F4663,1))</f>
        <v/>
      </c>
      <c r="I4663">
        <f>IF(G4663=1,0,(H4663-F4663)*E4663)</f>
        <v/>
      </c>
      <c r="J4663">
        <f>E4663*F4663</f>
        <v/>
      </c>
    </row>
    <row r="4664">
      <c r="A4664">
        <f>Sources!A4664</f>
        <v/>
      </c>
      <c r="B4664">
        <f>Sources!B4664</f>
        <v/>
      </c>
      <c r="C4664">
        <f>Sources!D4664</f>
        <v/>
      </c>
      <c r="D4664">
        <f>Sources!E4664</f>
        <v/>
      </c>
      <c r="E4664">
        <f>Sources!F4664</f>
        <v/>
      </c>
      <c r="F4664">
        <f>Sources!H4664</f>
        <v/>
      </c>
      <c r="G4664">
        <f>IF(ABS(F4664-ROUND(F4664,0))&lt;0.001,1,0)</f>
        <v/>
      </c>
      <c r="H4664">
        <f>IF(G4664=1,F4664,CEILING(F4664,1))</f>
        <v/>
      </c>
      <c r="I4664">
        <f>IF(G4664=1,0,(H4664-F4664)*E4664)</f>
        <v/>
      </c>
      <c r="J4664">
        <f>E4664*F4664</f>
        <v/>
      </c>
    </row>
    <row r="4665">
      <c r="A4665">
        <f>Sources!A4665</f>
        <v/>
      </c>
      <c r="B4665">
        <f>Sources!B4665</f>
        <v/>
      </c>
      <c r="C4665">
        <f>Sources!D4665</f>
        <v/>
      </c>
      <c r="D4665">
        <f>Sources!E4665</f>
        <v/>
      </c>
      <c r="E4665">
        <f>Sources!F4665</f>
        <v/>
      </c>
      <c r="F4665">
        <f>Sources!H4665</f>
        <v/>
      </c>
      <c r="G4665">
        <f>IF(ABS(F4665-ROUND(F4665,0))&lt;0.001,1,0)</f>
        <v/>
      </c>
      <c r="H4665">
        <f>IF(G4665=1,F4665,CEILING(F4665,1))</f>
        <v/>
      </c>
      <c r="I4665">
        <f>IF(G4665=1,0,(H4665-F4665)*E4665)</f>
        <v/>
      </c>
      <c r="J4665">
        <f>E4665*F4665</f>
        <v/>
      </c>
    </row>
    <row r="4666">
      <c r="A4666">
        <f>Sources!A4666</f>
        <v/>
      </c>
      <c r="B4666">
        <f>Sources!B4666</f>
        <v/>
      </c>
      <c r="C4666">
        <f>Sources!D4666</f>
        <v/>
      </c>
      <c r="D4666">
        <f>Sources!E4666</f>
        <v/>
      </c>
      <c r="E4666">
        <f>Sources!F4666</f>
        <v/>
      </c>
      <c r="F4666">
        <f>Sources!H4666</f>
        <v/>
      </c>
      <c r="G4666">
        <f>IF(ABS(F4666-ROUND(F4666,0))&lt;0.001,1,0)</f>
        <v/>
      </c>
      <c r="H4666">
        <f>IF(G4666=1,F4666,CEILING(F4666,1))</f>
        <v/>
      </c>
      <c r="I4666">
        <f>IF(G4666=1,0,(H4666-F4666)*E4666)</f>
        <v/>
      </c>
      <c r="J4666">
        <f>E4666*F4666</f>
        <v/>
      </c>
    </row>
    <row r="4667">
      <c r="A4667">
        <f>Sources!A4667</f>
        <v/>
      </c>
      <c r="B4667">
        <f>Sources!B4667</f>
        <v/>
      </c>
      <c r="C4667">
        <f>Sources!D4667</f>
        <v/>
      </c>
      <c r="D4667">
        <f>Sources!E4667</f>
        <v/>
      </c>
      <c r="E4667">
        <f>Sources!F4667</f>
        <v/>
      </c>
      <c r="F4667">
        <f>Sources!H4667</f>
        <v/>
      </c>
      <c r="G4667">
        <f>IF(ABS(F4667-ROUND(F4667,0))&lt;0.001,1,0)</f>
        <v/>
      </c>
      <c r="H4667">
        <f>IF(G4667=1,F4667,CEILING(F4667,1))</f>
        <v/>
      </c>
      <c r="I4667">
        <f>IF(G4667=1,0,(H4667-F4667)*E4667)</f>
        <v/>
      </c>
      <c r="J4667">
        <f>E4667*F4667</f>
        <v/>
      </c>
    </row>
    <row r="4668">
      <c r="A4668">
        <f>Sources!A4668</f>
        <v/>
      </c>
      <c r="B4668">
        <f>Sources!B4668</f>
        <v/>
      </c>
      <c r="C4668">
        <f>Sources!D4668</f>
        <v/>
      </c>
      <c r="D4668">
        <f>Sources!E4668</f>
        <v/>
      </c>
      <c r="E4668">
        <f>Sources!F4668</f>
        <v/>
      </c>
      <c r="F4668">
        <f>Sources!H4668</f>
        <v/>
      </c>
      <c r="G4668">
        <f>IF(ABS(F4668-ROUND(F4668,0))&lt;0.001,1,0)</f>
        <v/>
      </c>
      <c r="H4668">
        <f>IF(G4668=1,F4668,CEILING(F4668,1))</f>
        <v/>
      </c>
      <c r="I4668">
        <f>IF(G4668=1,0,(H4668-F4668)*E4668)</f>
        <v/>
      </c>
      <c r="J4668">
        <f>E4668*F4668</f>
        <v/>
      </c>
    </row>
    <row r="4669">
      <c r="A4669">
        <f>Sources!A4669</f>
        <v/>
      </c>
      <c r="B4669">
        <f>Sources!B4669</f>
        <v/>
      </c>
      <c r="C4669">
        <f>Sources!D4669</f>
        <v/>
      </c>
      <c r="D4669">
        <f>Sources!E4669</f>
        <v/>
      </c>
      <c r="E4669">
        <f>Sources!F4669</f>
        <v/>
      </c>
      <c r="F4669">
        <f>Sources!H4669</f>
        <v/>
      </c>
      <c r="G4669">
        <f>IF(ABS(F4669-ROUND(F4669,0))&lt;0.001,1,0)</f>
        <v/>
      </c>
      <c r="H4669">
        <f>IF(G4669=1,F4669,CEILING(F4669,1))</f>
        <v/>
      </c>
      <c r="I4669">
        <f>IF(G4669=1,0,(H4669-F4669)*E4669)</f>
        <v/>
      </c>
      <c r="J4669">
        <f>E4669*F4669</f>
        <v/>
      </c>
    </row>
    <row r="4670">
      <c r="A4670">
        <f>Sources!A4670</f>
        <v/>
      </c>
      <c r="B4670">
        <f>Sources!B4670</f>
        <v/>
      </c>
      <c r="C4670">
        <f>Sources!D4670</f>
        <v/>
      </c>
      <c r="D4670">
        <f>Sources!E4670</f>
        <v/>
      </c>
      <c r="E4670">
        <f>Sources!F4670</f>
        <v/>
      </c>
      <c r="F4670">
        <f>Sources!H4670</f>
        <v/>
      </c>
      <c r="G4670">
        <f>IF(ABS(F4670-ROUND(F4670,0))&lt;0.001,1,0)</f>
        <v/>
      </c>
      <c r="H4670">
        <f>IF(G4670=1,F4670,CEILING(F4670,1))</f>
        <v/>
      </c>
      <c r="I4670">
        <f>IF(G4670=1,0,(H4670-F4670)*E4670)</f>
        <v/>
      </c>
      <c r="J4670">
        <f>E4670*F4670</f>
        <v/>
      </c>
    </row>
    <row r="4671">
      <c r="A4671">
        <f>Sources!A4671</f>
        <v/>
      </c>
      <c r="B4671">
        <f>Sources!B4671</f>
        <v/>
      </c>
      <c r="C4671">
        <f>Sources!D4671</f>
        <v/>
      </c>
      <c r="D4671">
        <f>Sources!E4671</f>
        <v/>
      </c>
      <c r="E4671">
        <f>Sources!F4671</f>
        <v/>
      </c>
      <c r="F4671">
        <f>Sources!H4671</f>
        <v/>
      </c>
      <c r="G4671">
        <f>IF(ABS(F4671-ROUND(F4671,0))&lt;0.001,1,0)</f>
        <v/>
      </c>
      <c r="H4671">
        <f>IF(G4671=1,F4671,CEILING(F4671,1))</f>
        <v/>
      </c>
      <c r="I4671">
        <f>IF(G4671=1,0,(H4671-F4671)*E4671)</f>
        <v/>
      </c>
      <c r="J4671">
        <f>E4671*F4671</f>
        <v/>
      </c>
    </row>
    <row r="4672">
      <c r="A4672">
        <f>Sources!A4672</f>
        <v/>
      </c>
      <c r="B4672">
        <f>Sources!B4672</f>
        <v/>
      </c>
      <c r="C4672">
        <f>Sources!D4672</f>
        <v/>
      </c>
      <c r="D4672">
        <f>Sources!E4672</f>
        <v/>
      </c>
      <c r="E4672">
        <f>Sources!F4672</f>
        <v/>
      </c>
      <c r="F4672">
        <f>Sources!H4672</f>
        <v/>
      </c>
      <c r="G4672">
        <f>IF(ABS(F4672-ROUND(F4672,0))&lt;0.001,1,0)</f>
        <v/>
      </c>
      <c r="H4672">
        <f>IF(G4672=1,F4672,CEILING(F4672,1))</f>
        <v/>
      </c>
      <c r="I4672">
        <f>IF(G4672=1,0,(H4672-F4672)*E4672)</f>
        <v/>
      </c>
      <c r="J4672">
        <f>E4672*F4672</f>
        <v/>
      </c>
    </row>
    <row r="4673">
      <c r="A4673">
        <f>Sources!A4673</f>
        <v/>
      </c>
      <c r="B4673">
        <f>Sources!B4673</f>
        <v/>
      </c>
      <c r="C4673">
        <f>Sources!D4673</f>
        <v/>
      </c>
      <c r="D4673">
        <f>Sources!E4673</f>
        <v/>
      </c>
      <c r="E4673">
        <f>Sources!F4673</f>
        <v/>
      </c>
      <c r="F4673">
        <f>Sources!H4673</f>
        <v/>
      </c>
      <c r="G4673">
        <f>IF(ABS(F4673-ROUND(F4673,0))&lt;0.001,1,0)</f>
        <v/>
      </c>
      <c r="H4673">
        <f>IF(G4673=1,F4673,CEILING(F4673,1))</f>
        <v/>
      </c>
      <c r="I4673">
        <f>IF(G4673=1,0,(H4673-F4673)*E4673)</f>
        <v/>
      </c>
      <c r="J4673">
        <f>E4673*F4673</f>
        <v/>
      </c>
    </row>
    <row r="4674">
      <c r="A4674">
        <f>Sources!A4674</f>
        <v/>
      </c>
      <c r="B4674">
        <f>Sources!B4674</f>
        <v/>
      </c>
      <c r="C4674">
        <f>Sources!D4674</f>
        <v/>
      </c>
      <c r="D4674">
        <f>Sources!E4674</f>
        <v/>
      </c>
      <c r="E4674">
        <f>Sources!F4674</f>
        <v/>
      </c>
      <c r="F4674">
        <f>Sources!H4674</f>
        <v/>
      </c>
      <c r="G4674">
        <f>IF(ABS(F4674-ROUND(F4674,0))&lt;0.001,1,0)</f>
        <v/>
      </c>
      <c r="H4674">
        <f>IF(G4674=1,F4674,CEILING(F4674,1))</f>
        <v/>
      </c>
      <c r="I4674">
        <f>IF(G4674=1,0,(H4674-F4674)*E4674)</f>
        <v/>
      </c>
      <c r="J4674">
        <f>E4674*F4674</f>
        <v/>
      </c>
    </row>
    <row r="4675">
      <c r="A4675">
        <f>Sources!A4675</f>
        <v/>
      </c>
      <c r="B4675">
        <f>Sources!B4675</f>
        <v/>
      </c>
      <c r="C4675">
        <f>Sources!D4675</f>
        <v/>
      </c>
      <c r="D4675">
        <f>Sources!E4675</f>
        <v/>
      </c>
      <c r="E4675">
        <f>Sources!F4675</f>
        <v/>
      </c>
      <c r="F4675">
        <f>Sources!H4675</f>
        <v/>
      </c>
      <c r="G4675">
        <f>IF(ABS(F4675-ROUND(F4675,0))&lt;0.001,1,0)</f>
        <v/>
      </c>
      <c r="H4675">
        <f>IF(G4675=1,F4675,CEILING(F4675,1))</f>
        <v/>
      </c>
      <c r="I4675">
        <f>IF(G4675=1,0,(H4675-F4675)*E4675)</f>
        <v/>
      </c>
      <c r="J4675">
        <f>E4675*F4675</f>
        <v/>
      </c>
    </row>
    <row r="4676">
      <c r="A4676">
        <f>Sources!A4676</f>
        <v/>
      </c>
      <c r="B4676">
        <f>Sources!B4676</f>
        <v/>
      </c>
      <c r="C4676">
        <f>Sources!D4676</f>
        <v/>
      </c>
      <c r="D4676">
        <f>Sources!E4676</f>
        <v/>
      </c>
      <c r="E4676">
        <f>Sources!F4676</f>
        <v/>
      </c>
      <c r="F4676">
        <f>Sources!H4676</f>
        <v/>
      </c>
      <c r="G4676">
        <f>IF(ABS(F4676-ROUND(F4676,0))&lt;0.001,1,0)</f>
        <v/>
      </c>
      <c r="H4676">
        <f>IF(G4676=1,F4676,CEILING(F4676,1))</f>
        <v/>
      </c>
      <c r="I4676">
        <f>IF(G4676=1,0,(H4676-F4676)*E4676)</f>
        <v/>
      </c>
      <c r="J4676">
        <f>E4676*F4676</f>
        <v/>
      </c>
    </row>
    <row r="4677">
      <c r="A4677">
        <f>Sources!A4677</f>
        <v/>
      </c>
      <c r="B4677">
        <f>Sources!B4677</f>
        <v/>
      </c>
      <c r="C4677">
        <f>Sources!D4677</f>
        <v/>
      </c>
      <c r="D4677">
        <f>Sources!E4677</f>
        <v/>
      </c>
      <c r="E4677">
        <f>Sources!F4677</f>
        <v/>
      </c>
      <c r="F4677">
        <f>Sources!H4677</f>
        <v/>
      </c>
      <c r="G4677">
        <f>IF(ABS(F4677-ROUND(F4677,0))&lt;0.001,1,0)</f>
        <v/>
      </c>
      <c r="H4677">
        <f>IF(G4677=1,F4677,CEILING(F4677,1))</f>
        <v/>
      </c>
      <c r="I4677">
        <f>IF(G4677=1,0,(H4677-F4677)*E4677)</f>
        <v/>
      </c>
      <c r="J4677">
        <f>E4677*F4677</f>
        <v/>
      </c>
    </row>
    <row r="4678">
      <c r="A4678">
        <f>Sources!A4678</f>
        <v/>
      </c>
      <c r="B4678">
        <f>Sources!B4678</f>
        <v/>
      </c>
      <c r="C4678">
        <f>Sources!D4678</f>
        <v/>
      </c>
      <c r="D4678">
        <f>Sources!E4678</f>
        <v/>
      </c>
      <c r="E4678">
        <f>Sources!F4678</f>
        <v/>
      </c>
      <c r="F4678">
        <f>Sources!H4678</f>
        <v/>
      </c>
      <c r="G4678">
        <f>IF(ABS(F4678-ROUND(F4678,0))&lt;0.001,1,0)</f>
        <v/>
      </c>
      <c r="H4678">
        <f>IF(G4678=1,F4678,CEILING(F4678,1))</f>
        <v/>
      </c>
      <c r="I4678">
        <f>IF(G4678=1,0,(H4678-F4678)*E4678)</f>
        <v/>
      </c>
      <c r="J4678">
        <f>E4678*F4678</f>
        <v/>
      </c>
    </row>
    <row r="4679">
      <c r="A4679">
        <f>Sources!A4679</f>
        <v/>
      </c>
      <c r="B4679">
        <f>Sources!B4679</f>
        <v/>
      </c>
      <c r="C4679">
        <f>Sources!D4679</f>
        <v/>
      </c>
      <c r="D4679">
        <f>Sources!E4679</f>
        <v/>
      </c>
      <c r="E4679">
        <f>Sources!F4679</f>
        <v/>
      </c>
      <c r="F4679">
        <f>Sources!H4679</f>
        <v/>
      </c>
      <c r="G4679">
        <f>IF(ABS(F4679-ROUND(F4679,0))&lt;0.001,1,0)</f>
        <v/>
      </c>
      <c r="H4679">
        <f>IF(G4679=1,F4679,CEILING(F4679,1))</f>
        <v/>
      </c>
      <c r="I4679">
        <f>IF(G4679=1,0,(H4679-F4679)*E4679)</f>
        <v/>
      </c>
      <c r="J4679">
        <f>E4679*F4679</f>
        <v/>
      </c>
    </row>
    <row r="4680">
      <c r="A4680">
        <f>Sources!A4680</f>
        <v/>
      </c>
      <c r="B4680">
        <f>Sources!B4680</f>
        <v/>
      </c>
      <c r="C4680">
        <f>Sources!D4680</f>
        <v/>
      </c>
      <c r="D4680">
        <f>Sources!E4680</f>
        <v/>
      </c>
      <c r="E4680">
        <f>Sources!F4680</f>
        <v/>
      </c>
      <c r="F4680">
        <f>Sources!H4680</f>
        <v/>
      </c>
      <c r="G4680">
        <f>IF(ABS(F4680-ROUND(F4680,0))&lt;0.001,1,0)</f>
        <v/>
      </c>
      <c r="H4680">
        <f>IF(G4680=1,F4680,CEILING(F4680,1))</f>
        <v/>
      </c>
      <c r="I4680">
        <f>IF(G4680=1,0,(H4680-F4680)*E4680)</f>
        <v/>
      </c>
      <c r="J4680">
        <f>E4680*F4680</f>
        <v/>
      </c>
    </row>
    <row r="4681">
      <c r="A4681">
        <f>Sources!A4681</f>
        <v/>
      </c>
      <c r="B4681">
        <f>Sources!B4681</f>
        <v/>
      </c>
      <c r="C4681">
        <f>Sources!D4681</f>
        <v/>
      </c>
      <c r="D4681">
        <f>Sources!E4681</f>
        <v/>
      </c>
      <c r="E4681">
        <f>Sources!F4681</f>
        <v/>
      </c>
      <c r="F4681">
        <f>Sources!H4681</f>
        <v/>
      </c>
      <c r="G4681">
        <f>IF(ABS(F4681-ROUND(F4681,0))&lt;0.001,1,0)</f>
        <v/>
      </c>
      <c r="H4681">
        <f>IF(G4681=1,F4681,CEILING(F4681,1))</f>
        <v/>
      </c>
      <c r="I4681">
        <f>IF(G4681=1,0,(H4681-F4681)*E4681)</f>
        <v/>
      </c>
      <c r="J4681">
        <f>E4681*F4681</f>
        <v/>
      </c>
    </row>
    <row r="4682">
      <c r="A4682">
        <f>Sources!A4682</f>
        <v/>
      </c>
      <c r="B4682">
        <f>Sources!B4682</f>
        <v/>
      </c>
      <c r="C4682">
        <f>Sources!D4682</f>
        <v/>
      </c>
      <c r="D4682">
        <f>Sources!E4682</f>
        <v/>
      </c>
      <c r="E4682">
        <f>Sources!F4682</f>
        <v/>
      </c>
      <c r="F4682">
        <f>Sources!H4682</f>
        <v/>
      </c>
      <c r="G4682">
        <f>IF(ABS(F4682-ROUND(F4682,0))&lt;0.001,1,0)</f>
        <v/>
      </c>
      <c r="H4682">
        <f>IF(G4682=1,F4682,CEILING(F4682,1))</f>
        <v/>
      </c>
      <c r="I4682">
        <f>IF(G4682=1,0,(H4682-F4682)*E4682)</f>
        <v/>
      </c>
      <c r="J4682">
        <f>E4682*F4682</f>
        <v/>
      </c>
    </row>
    <row r="4683">
      <c r="A4683">
        <f>Sources!A4683</f>
        <v/>
      </c>
      <c r="B4683">
        <f>Sources!B4683</f>
        <v/>
      </c>
      <c r="C4683">
        <f>Sources!D4683</f>
        <v/>
      </c>
      <c r="D4683">
        <f>Sources!E4683</f>
        <v/>
      </c>
      <c r="E4683">
        <f>Sources!F4683</f>
        <v/>
      </c>
      <c r="F4683">
        <f>Sources!H4683</f>
        <v/>
      </c>
      <c r="G4683">
        <f>IF(ABS(F4683-ROUND(F4683,0))&lt;0.001,1,0)</f>
        <v/>
      </c>
      <c r="H4683">
        <f>IF(G4683=1,F4683,CEILING(F4683,1))</f>
        <v/>
      </c>
      <c r="I4683">
        <f>IF(G4683=1,0,(H4683-F4683)*E4683)</f>
        <v/>
      </c>
      <c r="J4683">
        <f>E4683*F4683</f>
        <v/>
      </c>
    </row>
    <row r="4684">
      <c r="A4684">
        <f>Sources!A4684</f>
        <v/>
      </c>
      <c r="B4684">
        <f>Sources!B4684</f>
        <v/>
      </c>
      <c r="C4684">
        <f>Sources!D4684</f>
        <v/>
      </c>
      <c r="D4684">
        <f>Sources!E4684</f>
        <v/>
      </c>
      <c r="E4684">
        <f>Sources!F4684</f>
        <v/>
      </c>
      <c r="F4684">
        <f>Sources!H4684</f>
        <v/>
      </c>
      <c r="G4684">
        <f>IF(ABS(F4684-ROUND(F4684,0))&lt;0.001,1,0)</f>
        <v/>
      </c>
      <c r="H4684">
        <f>IF(G4684=1,F4684,CEILING(F4684,1))</f>
        <v/>
      </c>
      <c r="I4684">
        <f>IF(G4684=1,0,(H4684-F4684)*E4684)</f>
        <v/>
      </c>
      <c r="J4684">
        <f>E4684*F4684</f>
        <v/>
      </c>
    </row>
    <row r="4685">
      <c r="A4685">
        <f>Sources!A4685</f>
        <v/>
      </c>
      <c r="B4685">
        <f>Sources!B4685</f>
        <v/>
      </c>
      <c r="C4685">
        <f>Sources!D4685</f>
        <v/>
      </c>
      <c r="D4685">
        <f>Sources!E4685</f>
        <v/>
      </c>
      <c r="E4685">
        <f>Sources!F4685</f>
        <v/>
      </c>
      <c r="F4685">
        <f>Sources!H4685</f>
        <v/>
      </c>
      <c r="G4685">
        <f>IF(ABS(F4685-ROUND(F4685,0))&lt;0.001,1,0)</f>
        <v/>
      </c>
      <c r="H4685">
        <f>IF(G4685=1,F4685,CEILING(F4685,1))</f>
        <v/>
      </c>
      <c r="I4685">
        <f>IF(G4685=1,0,(H4685-F4685)*E4685)</f>
        <v/>
      </c>
      <c r="J4685">
        <f>E4685*F4685</f>
        <v/>
      </c>
    </row>
    <row r="4686">
      <c r="A4686">
        <f>Sources!A4686</f>
        <v/>
      </c>
      <c r="B4686">
        <f>Sources!B4686</f>
        <v/>
      </c>
      <c r="C4686">
        <f>Sources!D4686</f>
        <v/>
      </c>
      <c r="D4686">
        <f>Sources!E4686</f>
        <v/>
      </c>
      <c r="E4686">
        <f>Sources!F4686</f>
        <v/>
      </c>
      <c r="F4686">
        <f>Sources!H4686</f>
        <v/>
      </c>
      <c r="G4686">
        <f>IF(ABS(F4686-ROUND(F4686,0))&lt;0.001,1,0)</f>
        <v/>
      </c>
      <c r="H4686">
        <f>IF(G4686=1,F4686,CEILING(F4686,1))</f>
        <v/>
      </c>
      <c r="I4686">
        <f>IF(G4686=1,0,(H4686-F4686)*E4686)</f>
        <v/>
      </c>
      <c r="J4686">
        <f>E4686*F4686</f>
        <v/>
      </c>
    </row>
    <row r="4687">
      <c r="A4687">
        <f>Sources!A4687</f>
        <v/>
      </c>
      <c r="B4687">
        <f>Sources!B4687</f>
        <v/>
      </c>
      <c r="C4687">
        <f>Sources!D4687</f>
        <v/>
      </c>
      <c r="D4687">
        <f>Sources!E4687</f>
        <v/>
      </c>
      <c r="E4687">
        <f>Sources!F4687</f>
        <v/>
      </c>
      <c r="F4687">
        <f>Sources!H4687</f>
        <v/>
      </c>
      <c r="G4687">
        <f>IF(ABS(F4687-ROUND(F4687,0))&lt;0.001,1,0)</f>
        <v/>
      </c>
      <c r="H4687">
        <f>IF(G4687=1,F4687,CEILING(F4687,1))</f>
        <v/>
      </c>
      <c r="I4687">
        <f>IF(G4687=1,0,(H4687-F4687)*E4687)</f>
        <v/>
      </c>
      <c r="J4687">
        <f>E4687*F4687</f>
        <v/>
      </c>
    </row>
    <row r="4688">
      <c r="A4688">
        <f>Sources!A4688</f>
        <v/>
      </c>
      <c r="B4688">
        <f>Sources!B4688</f>
        <v/>
      </c>
      <c r="C4688">
        <f>Sources!D4688</f>
        <v/>
      </c>
      <c r="D4688">
        <f>Sources!E4688</f>
        <v/>
      </c>
      <c r="E4688">
        <f>Sources!F4688</f>
        <v/>
      </c>
      <c r="F4688">
        <f>Sources!H4688</f>
        <v/>
      </c>
      <c r="G4688">
        <f>IF(ABS(F4688-ROUND(F4688,0))&lt;0.001,1,0)</f>
        <v/>
      </c>
      <c r="H4688">
        <f>IF(G4688=1,F4688,CEILING(F4688,1))</f>
        <v/>
      </c>
      <c r="I4688">
        <f>IF(G4688=1,0,(H4688-F4688)*E4688)</f>
        <v/>
      </c>
      <c r="J4688">
        <f>E4688*F4688</f>
        <v/>
      </c>
    </row>
    <row r="4689">
      <c r="A4689">
        <f>Sources!A4689</f>
        <v/>
      </c>
      <c r="B4689">
        <f>Sources!B4689</f>
        <v/>
      </c>
      <c r="C4689">
        <f>Sources!D4689</f>
        <v/>
      </c>
      <c r="D4689">
        <f>Sources!E4689</f>
        <v/>
      </c>
      <c r="E4689">
        <f>Sources!F4689</f>
        <v/>
      </c>
      <c r="F4689">
        <f>Sources!H4689</f>
        <v/>
      </c>
      <c r="G4689">
        <f>IF(ABS(F4689-ROUND(F4689,0))&lt;0.001,1,0)</f>
        <v/>
      </c>
      <c r="H4689">
        <f>IF(G4689=1,F4689,CEILING(F4689,1))</f>
        <v/>
      </c>
      <c r="I4689">
        <f>IF(G4689=1,0,(H4689-F4689)*E4689)</f>
        <v/>
      </c>
      <c r="J4689">
        <f>E4689*F4689</f>
        <v/>
      </c>
    </row>
    <row r="4690">
      <c r="A4690">
        <f>Sources!A4690</f>
        <v/>
      </c>
      <c r="B4690">
        <f>Sources!B4690</f>
        <v/>
      </c>
      <c r="C4690">
        <f>Sources!D4690</f>
        <v/>
      </c>
      <c r="D4690">
        <f>Sources!E4690</f>
        <v/>
      </c>
      <c r="E4690">
        <f>Sources!F4690</f>
        <v/>
      </c>
      <c r="F4690">
        <f>Sources!H4690</f>
        <v/>
      </c>
      <c r="G4690">
        <f>IF(ABS(F4690-ROUND(F4690,0))&lt;0.001,1,0)</f>
        <v/>
      </c>
      <c r="H4690">
        <f>IF(G4690=1,F4690,CEILING(F4690,1))</f>
        <v/>
      </c>
      <c r="I4690">
        <f>IF(G4690=1,0,(H4690-F4690)*E4690)</f>
        <v/>
      </c>
      <c r="J4690">
        <f>E4690*F4690</f>
        <v/>
      </c>
    </row>
    <row r="4691">
      <c r="A4691">
        <f>Sources!A4691</f>
        <v/>
      </c>
      <c r="B4691">
        <f>Sources!B4691</f>
        <v/>
      </c>
      <c r="C4691">
        <f>Sources!D4691</f>
        <v/>
      </c>
      <c r="D4691">
        <f>Sources!E4691</f>
        <v/>
      </c>
      <c r="E4691">
        <f>Sources!F4691</f>
        <v/>
      </c>
      <c r="F4691">
        <f>Sources!H4691</f>
        <v/>
      </c>
      <c r="G4691">
        <f>IF(ABS(F4691-ROUND(F4691,0))&lt;0.001,1,0)</f>
        <v/>
      </c>
      <c r="H4691">
        <f>IF(G4691=1,F4691,CEILING(F4691,1))</f>
        <v/>
      </c>
      <c r="I4691">
        <f>IF(G4691=1,0,(H4691-F4691)*E4691)</f>
        <v/>
      </c>
      <c r="J4691">
        <f>E4691*F4691</f>
        <v/>
      </c>
    </row>
    <row r="4692">
      <c r="A4692">
        <f>Sources!A4692</f>
        <v/>
      </c>
      <c r="B4692">
        <f>Sources!B4692</f>
        <v/>
      </c>
      <c r="C4692">
        <f>Sources!D4692</f>
        <v/>
      </c>
      <c r="D4692">
        <f>Sources!E4692</f>
        <v/>
      </c>
      <c r="E4692">
        <f>Sources!F4692</f>
        <v/>
      </c>
      <c r="F4692">
        <f>Sources!H4692</f>
        <v/>
      </c>
      <c r="G4692">
        <f>IF(ABS(F4692-ROUND(F4692,0))&lt;0.001,1,0)</f>
        <v/>
      </c>
      <c r="H4692">
        <f>IF(G4692=1,F4692,CEILING(F4692,1))</f>
        <v/>
      </c>
      <c r="I4692">
        <f>IF(G4692=1,0,(H4692-F4692)*E4692)</f>
        <v/>
      </c>
      <c r="J4692">
        <f>E4692*F4692</f>
        <v/>
      </c>
    </row>
    <row r="4693">
      <c r="A4693">
        <f>Sources!A4693</f>
        <v/>
      </c>
      <c r="B4693">
        <f>Sources!B4693</f>
        <v/>
      </c>
      <c r="C4693">
        <f>Sources!D4693</f>
        <v/>
      </c>
      <c r="D4693">
        <f>Sources!E4693</f>
        <v/>
      </c>
      <c r="E4693">
        <f>Sources!F4693</f>
        <v/>
      </c>
      <c r="F4693">
        <f>Sources!H4693</f>
        <v/>
      </c>
      <c r="G4693">
        <f>IF(ABS(F4693-ROUND(F4693,0))&lt;0.001,1,0)</f>
        <v/>
      </c>
      <c r="H4693">
        <f>IF(G4693=1,F4693,CEILING(F4693,1))</f>
        <v/>
      </c>
      <c r="I4693">
        <f>IF(G4693=1,0,(H4693-F4693)*E4693)</f>
        <v/>
      </c>
      <c r="J4693">
        <f>E4693*F4693</f>
        <v/>
      </c>
    </row>
    <row r="4694">
      <c r="A4694">
        <f>Sources!A4694</f>
        <v/>
      </c>
      <c r="B4694">
        <f>Sources!B4694</f>
        <v/>
      </c>
      <c r="C4694">
        <f>Sources!D4694</f>
        <v/>
      </c>
      <c r="D4694">
        <f>Sources!E4694</f>
        <v/>
      </c>
      <c r="E4694">
        <f>Sources!F4694</f>
        <v/>
      </c>
      <c r="F4694">
        <f>Sources!H4694</f>
        <v/>
      </c>
      <c r="G4694">
        <f>IF(ABS(F4694-ROUND(F4694,0))&lt;0.001,1,0)</f>
        <v/>
      </c>
      <c r="H4694">
        <f>IF(G4694=1,F4694,CEILING(F4694,1))</f>
        <v/>
      </c>
      <c r="I4694">
        <f>IF(G4694=1,0,(H4694-F4694)*E4694)</f>
        <v/>
      </c>
      <c r="J4694">
        <f>E4694*F4694</f>
        <v/>
      </c>
    </row>
    <row r="4695">
      <c r="A4695">
        <f>Sources!A4695</f>
        <v/>
      </c>
      <c r="B4695">
        <f>Sources!B4695</f>
        <v/>
      </c>
      <c r="C4695">
        <f>Sources!D4695</f>
        <v/>
      </c>
      <c r="D4695">
        <f>Sources!E4695</f>
        <v/>
      </c>
      <c r="E4695">
        <f>Sources!F4695</f>
        <v/>
      </c>
      <c r="F4695">
        <f>Sources!H4695</f>
        <v/>
      </c>
      <c r="G4695">
        <f>IF(ABS(F4695-ROUND(F4695,0))&lt;0.001,1,0)</f>
        <v/>
      </c>
      <c r="H4695">
        <f>IF(G4695=1,F4695,CEILING(F4695,1))</f>
        <v/>
      </c>
      <c r="I4695">
        <f>IF(G4695=1,0,(H4695-F4695)*E4695)</f>
        <v/>
      </c>
      <c r="J4695">
        <f>E4695*F4695</f>
        <v/>
      </c>
    </row>
    <row r="4696">
      <c r="A4696">
        <f>Sources!A4696</f>
        <v/>
      </c>
      <c r="B4696">
        <f>Sources!B4696</f>
        <v/>
      </c>
      <c r="C4696">
        <f>Sources!D4696</f>
        <v/>
      </c>
      <c r="D4696">
        <f>Sources!E4696</f>
        <v/>
      </c>
      <c r="E4696">
        <f>Sources!F4696</f>
        <v/>
      </c>
      <c r="F4696">
        <f>Sources!H4696</f>
        <v/>
      </c>
      <c r="G4696">
        <f>IF(ABS(F4696-ROUND(F4696,0))&lt;0.001,1,0)</f>
        <v/>
      </c>
      <c r="H4696">
        <f>IF(G4696=1,F4696,CEILING(F4696,1))</f>
        <v/>
      </c>
      <c r="I4696">
        <f>IF(G4696=1,0,(H4696-F4696)*E4696)</f>
        <v/>
      </c>
      <c r="J4696">
        <f>E4696*F4696</f>
        <v/>
      </c>
    </row>
    <row r="4697">
      <c r="A4697">
        <f>Sources!A4697</f>
        <v/>
      </c>
      <c r="B4697">
        <f>Sources!B4697</f>
        <v/>
      </c>
      <c r="C4697">
        <f>Sources!D4697</f>
        <v/>
      </c>
      <c r="D4697">
        <f>Sources!E4697</f>
        <v/>
      </c>
      <c r="E4697">
        <f>Sources!F4697</f>
        <v/>
      </c>
      <c r="F4697">
        <f>Sources!H4697</f>
        <v/>
      </c>
      <c r="G4697">
        <f>IF(ABS(F4697-ROUND(F4697,0))&lt;0.001,1,0)</f>
        <v/>
      </c>
      <c r="H4697">
        <f>IF(G4697=1,F4697,CEILING(F4697,1))</f>
        <v/>
      </c>
      <c r="I4697">
        <f>IF(G4697=1,0,(H4697-F4697)*E4697)</f>
        <v/>
      </c>
      <c r="J4697">
        <f>E4697*F4697</f>
        <v/>
      </c>
    </row>
    <row r="4698">
      <c r="A4698">
        <f>Sources!A4698</f>
        <v/>
      </c>
      <c r="B4698">
        <f>Sources!B4698</f>
        <v/>
      </c>
      <c r="C4698">
        <f>Sources!D4698</f>
        <v/>
      </c>
      <c r="D4698">
        <f>Sources!E4698</f>
        <v/>
      </c>
      <c r="E4698">
        <f>Sources!F4698</f>
        <v/>
      </c>
      <c r="F4698">
        <f>Sources!H4698</f>
        <v/>
      </c>
      <c r="G4698">
        <f>IF(ABS(F4698-ROUND(F4698,0))&lt;0.001,1,0)</f>
        <v/>
      </c>
      <c r="H4698">
        <f>IF(G4698=1,F4698,CEILING(F4698,1))</f>
        <v/>
      </c>
      <c r="I4698">
        <f>IF(G4698=1,0,(H4698-F4698)*E4698)</f>
        <v/>
      </c>
      <c r="J4698">
        <f>E4698*F4698</f>
        <v/>
      </c>
    </row>
    <row r="4699">
      <c r="A4699">
        <f>Sources!A4699</f>
        <v/>
      </c>
      <c r="B4699">
        <f>Sources!B4699</f>
        <v/>
      </c>
      <c r="C4699">
        <f>Sources!D4699</f>
        <v/>
      </c>
      <c r="D4699">
        <f>Sources!E4699</f>
        <v/>
      </c>
      <c r="E4699">
        <f>Sources!F4699</f>
        <v/>
      </c>
      <c r="F4699">
        <f>Sources!H4699</f>
        <v/>
      </c>
      <c r="G4699">
        <f>IF(ABS(F4699-ROUND(F4699,0))&lt;0.001,1,0)</f>
        <v/>
      </c>
      <c r="H4699">
        <f>IF(G4699=1,F4699,CEILING(F4699,1))</f>
        <v/>
      </c>
      <c r="I4699">
        <f>IF(G4699=1,0,(H4699-F4699)*E4699)</f>
        <v/>
      </c>
      <c r="J4699">
        <f>E4699*F4699</f>
        <v/>
      </c>
    </row>
    <row r="4700">
      <c r="A4700">
        <f>Sources!A4700</f>
        <v/>
      </c>
      <c r="B4700">
        <f>Sources!B4700</f>
        <v/>
      </c>
      <c r="C4700">
        <f>Sources!D4700</f>
        <v/>
      </c>
      <c r="D4700">
        <f>Sources!E4700</f>
        <v/>
      </c>
      <c r="E4700">
        <f>Sources!F4700</f>
        <v/>
      </c>
      <c r="F4700">
        <f>Sources!H4700</f>
        <v/>
      </c>
      <c r="G4700">
        <f>IF(ABS(F4700-ROUND(F4700,0))&lt;0.001,1,0)</f>
        <v/>
      </c>
      <c r="H4700">
        <f>IF(G4700=1,F4700,CEILING(F4700,1))</f>
        <v/>
      </c>
      <c r="I4700">
        <f>IF(G4700=1,0,(H4700-F4700)*E4700)</f>
        <v/>
      </c>
      <c r="J4700">
        <f>E4700*F4700</f>
        <v/>
      </c>
    </row>
    <row r="4701">
      <c r="A4701">
        <f>Sources!A4701</f>
        <v/>
      </c>
      <c r="B4701">
        <f>Sources!B4701</f>
        <v/>
      </c>
      <c r="C4701">
        <f>Sources!D4701</f>
        <v/>
      </c>
      <c r="D4701">
        <f>Sources!E4701</f>
        <v/>
      </c>
      <c r="E4701">
        <f>Sources!F4701</f>
        <v/>
      </c>
      <c r="F4701">
        <f>Sources!H4701</f>
        <v/>
      </c>
      <c r="G4701">
        <f>IF(ABS(F4701-ROUND(F4701,0))&lt;0.001,1,0)</f>
        <v/>
      </c>
      <c r="H4701">
        <f>IF(G4701=1,F4701,CEILING(F4701,1))</f>
        <v/>
      </c>
      <c r="I4701">
        <f>IF(G4701=1,0,(H4701-F4701)*E4701)</f>
        <v/>
      </c>
      <c r="J4701">
        <f>E4701*F4701</f>
        <v/>
      </c>
    </row>
    <row r="4702">
      <c r="A4702">
        <f>Sources!A4702</f>
        <v/>
      </c>
      <c r="B4702">
        <f>Sources!B4702</f>
        <v/>
      </c>
      <c r="C4702">
        <f>Sources!D4702</f>
        <v/>
      </c>
      <c r="D4702">
        <f>Sources!E4702</f>
        <v/>
      </c>
      <c r="E4702">
        <f>Sources!F4702</f>
        <v/>
      </c>
      <c r="F4702">
        <f>Sources!H4702</f>
        <v/>
      </c>
      <c r="G4702">
        <f>IF(ABS(F4702-ROUND(F4702,0))&lt;0.001,1,0)</f>
        <v/>
      </c>
      <c r="H4702">
        <f>IF(G4702=1,F4702,CEILING(F4702,1))</f>
        <v/>
      </c>
      <c r="I4702">
        <f>IF(G4702=1,0,(H4702-F4702)*E4702)</f>
        <v/>
      </c>
      <c r="J4702">
        <f>E4702*F4702</f>
        <v/>
      </c>
    </row>
    <row r="4703">
      <c r="A4703">
        <f>Sources!A4703</f>
        <v/>
      </c>
      <c r="B4703">
        <f>Sources!B4703</f>
        <v/>
      </c>
      <c r="C4703">
        <f>Sources!D4703</f>
        <v/>
      </c>
      <c r="D4703">
        <f>Sources!E4703</f>
        <v/>
      </c>
      <c r="E4703">
        <f>Sources!F4703</f>
        <v/>
      </c>
      <c r="F4703">
        <f>Sources!H4703</f>
        <v/>
      </c>
      <c r="G4703">
        <f>IF(ABS(F4703-ROUND(F4703,0))&lt;0.001,1,0)</f>
        <v/>
      </c>
      <c r="H4703">
        <f>IF(G4703=1,F4703,CEILING(F4703,1))</f>
        <v/>
      </c>
      <c r="I4703">
        <f>IF(G4703=1,0,(H4703-F4703)*E4703)</f>
        <v/>
      </c>
      <c r="J4703">
        <f>E4703*F4703</f>
        <v/>
      </c>
    </row>
    <row r="4704">
      <c r="A4704">
        <f>Sources!A4704</f>
        <v/>
      </c>
      <c r="B4704">
        <f>Sources!B4704</f>
        <v/>
      </c>
      <c r="C4704">
        <f>Sources!D4704</f>
        <v/>
      </c>
      <c r="D4704">
        <f>Sources!E4704</f>
        <v/>
      </c>
      <c r="E4704">
        <f>Sources!F4704</f>
        <v/>
      </c>
      <c r="F4704">
        <f>Sources!H4704</f>
        <v/>
      </c>
      <c r="G4704">
        <f>IF(ABS(F4704-ROUND(F4704,0))&lt;0.001,1,0)</f>
        <v/>
      </c>
      <c r="H4704">
        <f>IF(G4704=1,F4704,CEILING(F4704,1))</f>
        <v/>
      </c>
      <c r="I4704">
        <f>IF(G4704=1,0,(H4704-F4704)*E4704)</f>
        <v/>
      </c>
      <c r="J4704">
        <f>E4704*F4704</f>
        <v/>
      </c>
    </row>
    <row r="4705">
      <c r="A4705">
        <f>Sources!A4705</f>
        <v/>
      </c>
      <c r="B4705">
        <f>Sources!B4705</f>
        <v/>
      </c>
      <c r="C4705">
        <f>Sources!D4705</f>
        <v/>
      </c>
      <c r="D4705">
        <f>Sources!E4705</f>
        <v/>
      </c>
      <c r="E4705">
        <f>Sources!F4705</f>
        <v/>
      </c>
      <c r="F4705">
        <f>Sources!H4705</f>
        <v/>
      </c>
      <c r="G4705">
        <f>IF(ABS(F4705-ROUND(F4705,0))&lt;0.001,1,0)</f>
        <v/>
      </c>
      <c r="H4705">
        <f>IF(G4705=1,F4705,CEILING(F4705,1))</f>
        <v/>
      </c>
      <c r="I4705">
        <f>IF(G4705=1,0,(H4705-F4705)*E4705)</f>
        <v/>
      </c>
      <c r="J4705">
        <f>E4705*F4705</f>
        <v/>
      </c>
    </row>
    <row r="4706">
      <c r="A4706">
        <f>Sources!A4706</f>
        <v/>
      </c>
      <c r="B4706">
        <f>Sources!B4706</f>
        <v/>
      </c>
      <c r="C4706">
        <f>Sources!D4706</f>
        <v/>
      </c>
      <c r="D4706">
        <f>Sources!E4706</f>
        <v/>
      </c>
      <c r="E4706">
        <f>Sources!F4706</f>
        <v/>
      </c>
      <c r="F4706">
        <f>Sources!H4706</f>
        <v/>
      </c>
      <c r="G4706">
        <f>IF(ABS(F4706-ROUND(F4706,0))&lt;0.001,1,0)</f>
        <v/>
      </c>
      <c r="H4706">
        <f>IF(G4706=1,F4706,CEILING(F4706,1))</f>
        <v/>
      </c>
      <c r="I4706">
        <f>IF(G4706=1,0,(H4706-F4706)*E4706)</f>
        <v/>
      </c>
      <c r="J4706">
        <f>E4706*F4706</f>
        <v/>
      </c>
    </row>
    <row r="4707">
      <c r="A4707">
        <f>Sources!A4707</f>
        <v/>
      </c>
      <c r="B4707">
        <f>Sources!B4707</f>
        <v/>
      </c>
      <c r="C4707">
        <f>Sources!D4707</f>
        <v/>
      </c>
      <c r="D4707">
        <f>Sources!E4707</f>
        <v/>
      </c>
      <c r="E4707">
        <f>Sources!F4707</f>
        <v/>
      </c>
      <c r="F4707">
        <f>Sources!H4707</f>
        <v/>
      </c>
      <c r="G4707">
        <f>IF(ABS(F4707-ROUND(F4707,0))&lt;0.001,1,0)</f>
        <v/>
      </c>
      <c r="H4707">
        <f>IF(G4707=1,F4707,CEILING(F4707,1))</f>
        <v/>
      </c>
      <c r="I4707">
        <f>IF(G4707=1,0,(H4707-F4707)*E4707)</f>
        <v/>
      </c>
      <c r="J4707">
        <f>E4707*F4707</f>
        <v/>
      </c>
    </row>
    <row r="4708">
      <c r="A4708">
        <f>Sources!A4708</f>
        <v/>
      </c>
      <c r="B4708">
        <f>Sources!B4708</f>
        <v/>
      </c>
      <c r="C4708">
        <f>Sources!D4708</f>
        <v/>
      </c>
      <c r="D4708">
        <f>Sources!E4708</f>
        <v/>
      </c>
      <c r="E4708">
        <f>Sources!F4708</f>
        <v/>
      </c>
      <c r="F4708">
        <f>Sources!H4708</f>
        <v/>
      </c>
      <c r="G4708">
        <f>IF(ABS(F4708-ROUND(F4708,0))&lt;0.001,1,0)</f>
        <v/>
      </c>
      <c r="H4708">
        <f>IF(G4708=1,F4708,CEILING(F4708,1))</f>
        <v/>
      </c>
      <c r="I4708">
        <f>IF(G4708=1,0,(H4708-F4708)*E4708)</f>
        <v/>
      </c>
      <c r="J4708">
        <f>E4708*F4708</f>
        <v/>
      </c>
    </row>
    <row r="4709">
      <c r="A4709">
        <f>Sources!A4709</f>
        <v/>
      </c>
      <c r="B4709">
        <f>Sources!B4709</f>
        <v/>
      </c>
      <c r="C4709">
        <f>Sources!D4709</f>
        <v/>
      </c>
      <c r="D4709">
        <f>Sources!E4709</f>
        <v/>
      </c>
      <c r="E4709">
        <f>Sources!F4709</f>
        <v/>
      </c>
      <c r="F4709">
        <f>Sources!H4709</f>
        <v/>
      </c>
      <c r="G4709">
        <f>IF(ABS(F4709-ROUND(F4709,0))&lt;0.001,1,0)</f>
        <v/>
      </c>
      <c r="H4709">
        <f>IF(G4709=1,F4709,CEILING(F4709,1))</f>
        <v/>
      </c>
      <c r="I4709">
        <f>IF(G4709=1,0,(H4709-F4709)*E4709)</f>
        <v/>
      </c>
      <c r="J4709">
        <f>E4709*F4709</f>
        <v/>
      </c>
    </row>
    <row r="4710">
      <c r="A4710">
        <f>Sources!A4710</f>
        <v/>
      </c>
      <c r="B4710">
        <f>Sources!B4710</f>
        <v/>
      </c>
      <c r="C4710">
        <f>Sources!D4710</f>
        <v/>
      </c>
      <c r="D4710">
        <f>Sources!E4710</f>
        <v/>
      </c>
      <c r="E4710">
        <f>Sources!F4710</f>
        <v/>
      </c>
      <c r="F4710">
        <f>Sources!H4710</f>
        <v/>
      </c>
      <c r="G4710">
        <f>IF(ABS(F4710-ROUND(F4710,0))&lt;0.001,1,0)</f>
        <v/>
      </c>
      <c r="H4710">
        <f>IF(G4710=1,F4710,CEILING(F4710,1))</f>
        <v/>
      </c>
      <c r="I4710">
        <f>IF(G4710=1,0,(H4710-F4710)*E4710)</f>
        <v/>
      </c>
      <c r="J4710">
        <f>E4710*F4710</f>
        <v/>
      </c>
    </row>
    <row r="4711">
      <c r="A4711">
        <f>Sources!A4711</f>
        <v/>
      </c>
      <c r="B4711">
        <f>Sources!B4711</f>
        <v/>
      </c>
      <c r="C4711">
        <f>Sources!D4711</f>
        <v/>
      </c>
      <c r="D4711">
        <f>Sources!E4711</f>
        <v/>
      </c>
      <c r="E4711">
        <f>Sources!F4711</f>
        <v/>
      </c>
      <c r="F4711">
        <f>Sources!H4711</f>
        <v/>
      </c>
      <c r="G4711">
        <f>IF(ABS(F4711-ROUND(F4711,0))&lt;0.001,1,0)</f>
        <v/>
      </c>
      <c r="H4711">
        <f>IF(G4711=1,F4711,CEILING(F4711,1))</f>
        <v/>
      </c>
      <c r="I4711">
        <f>IF(G4711=1,0,(H4711-F4711)*E4711)</f>
        <v/>
      </c>
      <c r="J4711">
        <f>E4711*F4711</f>
        <v/>
      </c>
    </row>
    <row r="4712">
      <c r="A4712">
        <f>Sources!A4712</f>
        <v/>
      </c>
      <c r="B4712">
        <f>Sources!B4712</f>
        <v/>
      </c>
      <c r="C4712">
        <f>Sources!D4712</f>
        <v/>
      </c>
      <c r="D4712">
        <f>Sources!E4712</f>
        <v/>
      </c>
      <c r="E4712">
        <f>Sources!F4712</f>
        <v/>
      </c>
      <c r="F4712">
        <f>Sources!H4712</f>
        <v/>
      </c>
      <c r="G4712">
        <f>IF(ABS(F4712-ROUND(F4712,0))&lt;0.001,1,0)</f>
        <v/>
      </c>
      <c r="H4712">
        <f>IF(G4712=1,F4712,CEILING(F4712,1))</f>
        <v/>
      </c>
      <c r="I4712">
        <f>IF(G4712=1,0,(H4712-F4712)*E4712)</f>
        <v/>
      </c>
      <c r="J4712">
        <f>E4712*F4712</f>
        <v/>
      </c>
    </row>
    <row r="4713">
      <c r="A4713">
        <f>Sources!A4713</f>
        <v/>
      </c>
      <c r="B4713">
        <f>Sources!B4713</f>
        <v/>
      </c>
      <c r="C4713">
        <f>Sources!D4713</f>
        <v/>
      </c>
      <c r="D4713">
        <f>Sources!E4713</f>
        <v/>
      </c>
      <c r="E4713">
        <f>Sources!F4713</f>
        <v/>
      </c>
      <c r="F4713">
        <f>Sources!H4713</f>
        <v/>
      </c>
      <c r="G4713">
        <f>IF(ABS(F4713-ROUND(F4713,0))&lt;0.001,1,0)</f>
        <v/>
      </c>
      <c r="H4713">
        <f>IF(G4713=1,F4713,CEILING(F4713,1))</f>
        <v/>
      </c>
      <c r="I4713">
        <f>IF(G4713=1,0,(H4713-F4713)*E4713)</f>
        <v/>
      </c>
      <c r="J4713">
        <f>E4713*F4713</f>
        <v/>
      </c>
    </row>
    <row r="4714">
      <c r="A4714">
        <f>Sources!A4714</f>
        <v/>
      </c>
      <c r="B4714">
        <f>Sources!B4714</f>
        <v/>
      </c>
      <c r="C4714">
        <f>Sources!D4714</f>
        <v/>
      </c>
      <c r="D4714">
        <f>Sources!E4714</f>
        <v/>
      </c>
      <c r="E4714">
        <f>Sources!F4714</f>
        <v/>
      </c>
      <c r="F4714">
        <f>Sources!H4714</f>
        <v/>
      </c>
      <c r="G4714">
        <f>IF(ABS(F4714-ROUND(F4714,0))&lt;0.001,1,0)</f>
        <v/>
      </c>
      <c r="H4714">
        <f>IF(G4714=1,F4714,CEILING(F4714,1))</f>
        <v/>
      </c>
      <c r="I4714">
        <f>IF(G4714=1,0,(H4714-F4714)*E4714)</f>
        <v/>
      </c>
      <c r="J4714">
        <f>E4714*F4714</f>
        <v/>
      </c>
    </row>
    <row r="4715">
      <c r="A4715">
        <f>Sources!A4715</f>
        <v/>
      </c>
      <c r="B4715">
        <f>Sources!B4715</f>
        <v/>
      </c>
      <c r="C4715">
        <f>Sources!D4715</f>
        <v/>
      </c>
      <c r="D4715">
        <f>Sources!E4715</f>
        <v/>
      </c>
      <c r="E4715">
        <f>Sources!F4715</f>
        <v/>
      </c>
      <c r="F4715">
        <f>Sources!H4715</f>
        <v/>
      </c>
      <c r="G4715">
        <f>IF(ABS(F4715-ROUND(F4715,0))&lt;0.001,1,0)</f>
        <v/>
      </c>
      <c r="H4715">
        <f>IF(G4715=1,F4715,CEILING(F4715,1))</f>
        <v/>
      </c>
      <c r="I4715">
        <f>IF(G4715=1,0,(H4715-F4715)*E4715)</f>
        <v/>
      </c>
      <c r="J4715">
        <f>E4715*F4715</f>
        <v/>
      </c>
    </row>
    <row r="4716">
      <c r="A4716">
        <f>Sources!A4716</f>
        <v/>
      </c>
      <c r="B4716">
        <f>Sources!B4716</f>
        <v/>
      </c>
      <c r="C4716">
        <f>Sources!D4716</f>
        <v/>
      </c>
      <c r="D4716">
        <f>Sources!E4716</f>
        <v/>
      </c>
      <c r="E4716">
        <f>Sources!F4716</f>
        <v/>
      </c>
      <c r="F4716">
        <f>Sources!H4716</f>
        <v/>
      </c>
      <c r="G4716">
        <f>IF(ABS(F4716-ROUND(F4716,0))&lt;0.001,1,0)</f>
        <v/>
      </c>
      <c r="H4716">
        <f>IF(G4716=1,F4716,CEILING(F4716,1))</f>
        <v/>
      </c>
      <c r="I4716">
        <f>IF(G4716=1,0,(H4716-F4716)*E4716)</f>
        <v/>
      </c>
      <c r="J4716">
        <f>E4716*F4716</f>
        <v/>
      </c>
    </row>
    <row r="4717">
      <c r="A4717">
        <f>Sources!A4717</f>
        <v/>
      </c>
      <c r="B4717">
        <f>Sources!B4717</f>
        <v/>
      </c>
      <c r="C4717">
        <f>Sources!D4717</f>
        <v/>
      </c>
      <c r="D4717">
        <f>Sources!E4717</f>
        <v/>
      </c>
      <c r="E4717">
        <f>Sources!F4717</f>
        <v/>
      </c>
      <c r="F4717">
        <f>Sources!H4717</f>
        <v/>
      </c>
      <c r="G4717">
        <f>IF(ABS(F4717-ROUND(F4717,0))&lt;0.001,1,0)</f>
        <v/>
      </c>
      <c r="H4717">
        <f>IF(G4717=1,F4717,CEILING(F4717,1))</f>
        <v/>
      </c>
      <c r="I4717">
        <f>IF(G4717=1,0,(H4717-F4717)*E4717)</f>
        <v/>
      </c>
      <c r="J4717">
        <f>E4717*F4717</f>
        <v/>
      </c>
    </row>
    <row r="4718">
      <c r="A4718">
        <f>Sources!A4718</f>
        <v/>
      </c>
      <c r="B4718">
        <f>Sources!B4718</f>
        <v/>
      </c>
      <c r="C4718">
        <f>Sources!D4718</f>
        <v/>
      </c>
      <c r="D4718">
        <f>Sources!E4718</f>
        <v/>
      </c>
      <c r="E4718">
        <f>Sources!F4718</f>
        <v/>
      </c>
      <c r="F4718">
        <f>Sources!H4718</f>
        <v/>
      </c>
      <c r="G4718">
        <f>IF(ABS(F4718-ROUND(F4718,0))&lt;0.001,1,0)</f>
        <v/>
      </c>
      <c r="H4718">
        <f>IF(G4718=1,F4718,CEILING(F4718,1))</f>
        <v/>
      </c>
      <c r="I4718">
        <f>IF(G4718=1,0,(H4718-F4718)*E4718)</f>
        <v/>
      </c>
      <c r="J4718">
        <f>E4718*F4718</f>
        <v/>
      </c>
    </row>
    <row r="4719">
      <c r="A4719">
        <f>Sources!A4719</f>
        <v/>
      </c>
      <c r="B4719">
        <f>Sources!B4719</f>
        <v/>
      </c>
      <c r="C4719">
        <f>Sources!D4719</f>
        <v/>
      </c>
      <c r="D4719">
        <f>Sources!E4719</f>
        <v/>
      </c>
      <c r="E4719">
        <f>Sources!F4719</f>
        <v/>
      </c>
      <c r="F4719">
        <f>Sources!H4719</f>
        <v/>
      </c>
      <c r="G4719">
        <f>IF(ABS(F4719-ROUND(F4719,0))&lt;0.001,1,0)</f>
        <v/>
      </c>
      <c r="H4719">
        <f>IF(G4719=1,F4719,CEILING(F4719,1))</f>
        <v/>
      </c>
      <c r="I4719">
        <f>IF(G4719=1,0,(H4719-F4719)*E4719)</f>
        <v/>
      </c>
      <c r="J4719">
        <f>E4719*F4719</f>
        <v/>
      </c>
    </row>
    <row r="4720">
      <c r="A4720">
        <f>Sources!A4720</f>
        <v/>
      </c>
      <c r="B4720">
        <f>Sources!B4720</f>
        <v/>
      </c>
      <c r="C4720">
        <f>Sources!D4720</f>
        <v/>
      </c>
      <c r="D4720">
        <f>Sources!E4720</f>
        <v/>
      </c>
      <c r="E4720">
        <f>Sources!F4720</f>
        <v/>
      </c>
      <c r="F4720">
        <f>Sources!H4720</f>
        <v/>
      </c>
      <c r="G4720">
        <f>IF(ABS(F4720-ROUND(F4720,0))&lt;0.001,1,0)</f>
        <v/>
      </c>
      <c r="H4720">
        <f>IF(G4720=1,F4720,CEILING(F4720,1))</f>
        <v/>
      </c>
      <c r="I4720">
        <f>IF(G4720=1,0,(H4720-F4720)*E4720)</f>
        <v/>
      </c>
      <c r="J4720">
        <f>E4720*F4720</f>
        <v/>
      </c>
    </row>
    <row r="4721">
      <c r="A4721">
        <f>Sources!A4721</f>
        <v/>
      </c>
      <c r="B4721">
        <f>Sources!B4721</f>
        <v/>
      </c>
      <c r="C4721">
        <f>Sources!D4721</f>
        <v/>
      </c>
      <c r="D4721">
        <f>Sources!E4721</f>
        <v/>
      </c>
      <c r="E4721">
        <f>Sources!F4721</f>
        <v/>
      </c>
      <c r="F4721">
        <f>Sources!H4721</f>
        <v/>
      </c>
      <c r="G4721">
        <f>IF(ABS(F4721-ROUND(F4721,0))&lt;0.001,1,0)</f>
        <v/>
      </c>
      <c r="H4721">
        <f>IF(G4721=1,F4721,CEILING(F4721,1))</f>
        <v/>
      </c>
      <c r="I4721">
        <f>IF(G4721=1,0,(H4721-F4721)*E4721)</f>
        <v/>
      </c>
      <c r="J4721">
        <f>E4721*F4721</f>
        <v/>
      </c>
    </row>
    <row r="4722">
      <c r="A4722">
        <f>Sources!A4722</f>
        <v/>
      </c>
      <c r="B4722">
        <f>Sources!B4722</f>
        <v/>
      </c>
      <c r="C4722">
        <f>Sources!D4722</f>
        <v/>
      </c>
      <c r="D4722">
        <f>Sources!E4722</f>
        <v/>
      </c>
      <c r="E4722">
        <f>Sources!F4722</f>
        <v/>
      </c>
      <c r="F4722">
        <f>Sources!H4722</f>
        <v/>
      </c>
      <c r="G4722">
        <f>IF(ABS(F4722-ROUND(F4722,0))&lt;0.001,1,0)</f>
        <v/>
      </c>
      <c r="H4722">
        <f>IF(G4722=1,F4722,CEILING(F4722,1))</f>
        <v/>
      </c>
      <c r="I4722">
        <f>IF(G4722=1,0,(H4722-F4722)*E4722)</f>
        <v/>
      </c>
      <c r="J4722">
        <f>E4722*F4722</f>
        <v/>
      </c>
    </row>
    <row r="4723">
      <c r="A4723">
        <f>Sources!A4723</f>
        <v/>
      </c>
      <c r="B4723">
        <f>Sources!B4723</f>
        <v/>
      </c>
      <c r="C4723">
        <f>Sources!D4723</f>
        <v/>
      </c>
      <c r="D4723">
        <f>Sources!E4723</f>
        <v/>
      </c>
      <c r="E4723">
        <f>Sources!F4723</f>
        <v/>
      </c>
      <c r="F4723">
        <f>Sources!H4723</f>
        <v/>
      </c>
      <c r="G4723">
        <f>IF(ABS(F4723-ROUND(F4723,0))&lt;0.001,1,0)</f>
        <v/>
      </c>
      <c r="H4723">
        <f>IF(G4723=1,F4723,CEILING(F4723,1))</f>
        <v/>
      </c>
      <c r="I4723">
        <f>IF(G4723=1,0,(H4723-F4723)*E4723)</f>
        <v/>
      </c>
      <c r="J4723">
        <f>E4723*F4723</f>
        <v/>
      </c>
    </row>
    <row r="4724">
      <c r="A4724">
        <f>Sources!A4724</f>
        <v/>
      </c>
      <c r="B4724">
        <f>Sources!B4724</f>
        <v/>
      </c>
      <c r="C4724">
        <f>Sources!D4724</f>
        <v/>
      </c>
      <c r="D4724">
        <f>Sources!E4724</f>
        <v/>
      </c>
      <c r="E4724">
        <f>Sources!F4724</f>
        <v/>
      </c>
      <c r="F4724">
        <f>Sources!H4724</f>
        <v/>
      </c>
      <c r="G4724">
        <f>IF(ABS(F4724-ROUND(F4724,0))&lt;0.001,1,0)</f>
        <v/>
      </c>
      <c r="H4724">
        <f>IF(G4724=1,F4724,CEILING(F4724,1))</f>
        <v/>
      </c>
      <c r="I4724">
        <f>IF(G4724=1,0,(H4724-F4724)*E4724)</f>
        <v/>
      </c>
      <c r="J4724">
        <f>E4724*F4724</f>
        <v/>
      </c>
    </row>
    <row r="4725">
      <c r="A4725">
        <f>Sources!A4725</f>
        <v/>
      </c>
      <c r="B4725">
        <f>Sources!B4725</f>
        <v/>
      </c>
      <c r="C4725">
        <f>Sources!D4725</f>
        <v/>
      </c>
      <c r="D4725">
        <f>Sources!E4725</f>
        <v/>
      </c>
      <c r="E4725">
        <f>Sources!F4725</f>
        <v/>
      </c>
      <c r="F4725">
        <f>Sources!H4725</f>
        <v/>
      </c>
      <c r="G4725">
        <f>IF(ABS(F4725-ROUND(F4725,0))&lt;0.001,1,0)</f>
        <v/>
      </c>
      <c r="H4725">
        <f>IF(G4725=1,F4725,CEILING(F4725,1))</f>
        <v/>
      </c>
      <c r="I4725">
        <f>IF(G4725=1,0,(H4725-F4725)*E4725)</f>
        <v/>
      </c>
      <c r="J4725">
        <f>E4725*F4725</f>
        <v/>
      </c>
    </row>
    <row r="4726">
      <c r="A4726">
        <f>Sources!A4726</f>
        <v/>
      </c>
      <c r="B4726">
        <f>Sources!B4726</f>
        <v/>
      </c>
      <c r="C4726">
        <f>Sources!D4726</f>
        <v/>
      </c>
      <c r="D4726">
        <f>Sources!E4726</f>
        <v/>
      </c>
      <c r="E4726">
        <f>Sources!F4726</f>
        <v/>
      </c>
      <c r="F4726">
        <f>Sources!H4726</f>
        <v/>
      </c>
      <c r="G4726">
        <f>IF(ABS(F4726-ROUND(F4726,0))&lt;0.001,1,0)</f>
        <v/>
      </c>
      <c r="H4726">
        <f>IF(G4726=1,F4726,CEILING(F4726,1))</f>
        <v/>
      </c>
      <c r="I4726">
        <f>IF(G4726=1,0,(H4726-F4726)*E4726)</f>
        <v/>
      </c>
      <c r="J4726">
        <f>E4726*F4726</f>
        <v/>
      </c>
    </row>
    <row r="4727">
      <c r="A4727">
        <f>Sources!A4727</f>
        <v/>
      </c>
      <c r="B4727">
        <f>Sources!B4727</f>
        <v/>
      </c>
      <c r="C4727">
        <f>Sources!D4727</f>
        <v/>
      </c>
      <c r="D4727">
        <f>Sources!E4727</f>
        <v/>
      </c>
      <c r="E4727">
        <f>Sources!F4727</f>
        <v/>
      </c>
      <c r="F4727">
        <f>Sources!H4727</f>
        <v/>
      </c>
      <c r="G4727">
        <f>IF(ABS(F4727-ROUND(F4727,0))&lt;0.001,1,0)</f>
        <v/>
      </c>
      <c r="H4727">
        <f>IF(G4727=1,F4727,CEILING(F4727,1))</f>
        <v/>
      </c>
      <c r="I4727">
        <f>IF(G4727=1,0,(H4727-F4727)*E4727)</f>
        <v/>
      </c>
      <c r="J4727">
        <f>E4727*F4727</f>
        <v/>
      </c>
    </row>
    <row r="4728">
      <c r="A4728">
        <f>Sources!A4728</f>
        <v/>
      </c>
      <c r="B4728">
        <f>Sources!B4728</f>
        <v/>
      </c>
      <c r="C4728">
        <f>Sources!D4728</f>
        <v/>
      </c>
      <c r="D4728">
        <f>Sources!E4728</f>
        <v/>
      </c>
      <c r="E4728">
        <f>Sources!F4728</f>
        <v/>
      </c>
      <c r="F4728">
        <f>Sources!H4728</f>
        <v/>
      </c>
      <c r="G4728">
        <f>IF(ABS(F4728-ROUND(F4728,0))&lt;0.001,1,0)</f>
        <v/>
      </c>
      <c r="H4728">
        <f>IF(G4728=1,F4728,CEILING(F4728,1))</f>
        <v/>
      </c>
      <c r="I4728">
        <f>IF(G4728=1,0,(H4728-F4728)*E4728)</f>
        <v/>
      </c>
      <c r="J4728">
        <f>E4728*F4728</f>
        <v/>
      </c>
    </row>
    <row r="4729">
      <c r="A4729">
        <f>Sources!A4729</f>
        <v/>
      </c>
      <c r="B4729">
        <f>Sources!B4729</f>
        <v/>
      </c>
      <c r="C4729">
        <f>Sources!D4729</f>
        <v/>
      </c>
      <c r="D4729">
        <f>Sources!E4729</f>
        <v/>
      </c>
      <c r="E4729">
        <f>Sources!F4729</f>
        <v/>
      </c>
      <c r="F4729">
        <f>Sources!H4729</f>
        <v/>
      </c>
      <c r="G4729">
        <f>IF(ABS(F4729-ROUND(F4729,0))&lt;0.001,1,0)</f>
        <v/>
      </c>
      <c r="H4729">
        <f>IF(G4729=1,F4729,CEILING(F4729,1))</f>
        <v/>
      </c>
      <c r="I4729">
        <f>IF(G4729=1,0,(H4729-F4729)*E4729)</f>
        <v/>
      </c>
      <c r="J4729">
        <f>E4729*F4729</f>
        <v/>
      </c>
    </row>
    <row r="4730">
      <c r="A4730">
        <f>Sources!A4730</f>
        <v/>
      </c>
      <c r="B4730">
        <f>Sources!B4730</f>
        <v/>
      </c>
      <c r="C4730">
        <f>Sources!D4730</f>
        <v/>
      </c>
      <c r="D4730">
        <f>Sources!E4730</f>
        <v/>
      </c>
      <c r="E4730">
        <f>Sources!F4730</f>
        <v/>
      </c>
      <c r="F4730">
        <f>Sources!H4730</f>
        <v/>
      </c>
      <c r="G4730">
        <f>IF(ABS(F4730-ROUND(F4730,0))&lt;0.001,1,0)</f>
        <v/>
      </c>
      <c r="H4730">
        <f>IF(G4730=1,F4730,CEILING(F4730,1))</f>
        <v/>
      </c>
      <c r="I4730">
        <f>IF(G4730=1,0,(H4730-F4730)*E4730)</f>
        <v/>
      </c>
      <c r="J4730">
        <f>E4730*F4730</f>
        <v/>
      </c>
    </row>
    <row r="4731">
      <c r="A4731">
        <f>Sources!A4731</f>
        <v/>
      </c>
      <c r="B4731">
        <f>Sources!B4731</f>
        <v/>
      </c>
      <c r="C4731">
        <f>Sources!D4731</f>
        <v/>
      </c>
      <c r="D4731">
        <f>Sources!E4731</f>
        <v/>
      </c>
      <c r="E4731">
        <f>Sources!F4731</f>
        <v/>
      </c>
      <c r="F4731">
        <f>Sources!H4731</f>
        <v/>
      </c>
      <c r="G4731">
        <f>IF(ABS(F4731-ROUND(F4731,0))&lt;0.001,1,0)</f>
        <v/>
      </c>
      <c r="H4731">
        <f>IF(G4731=1,F4731,CEILING(F4731,1))</f>
        <v/>
      </c>
      <c r="I4731">
        <f>IF(G4731=1,0,(H4731-F4731)*E4731)</f>
        <v/>
      </c>
      <c r="J4731">
        <f>E4731*F4731</f>
        <v/>
      </c>
    </row>
    <row r="4732">
      <c r="A4732">
        <f>Sources!A4732</f>
        <v/>
      </c>
      <c r="B4732">
        <f>Sources!B4732</f>
        <v/>
      </c>
      <c r="C4732">
        <f>Sources!D4732</f>
        <v/>
      </c>
      <c r="D4732">
        <f>Sources!E4732</f>
        <v/>
      </c>
      <c r="E4732">
        <f>Sources!F4732</f>
        <v/>
      </c>
      <c r="F4732">
        <f>Sources!H4732</f>
        <v/>
      </c>
      <c r="G4732">
        <f>IF(ABS(F4732-ROUND(F4732,0))&lt;0.001,1,0)</f>
        <v/>
      </c>
      <c r="H4732">
        <f>IF(G4732=1,F4732,CEILING(F4732,1))</f>
        <v/>
      </c>
      <c r="I4732">
        <f>IF(G4732=1,0,(H4732-F4732)*E4732)</f>
        <v/>
      </c>
      <c r="J4732">
        <f>E4732*F4732</f>
        <v/>
      </c>
    </row>
    <row r="4733">
      <c r="A4733">
        <f>Sources!A4733</f>
        <v/>
      </c>
      <c r="B4733">
        <f>Sources!B4733</f>
        <v/>
      </c>
      <c r="C4733">
        <f>Sources!D4733</f>
        <v/>
      </c>
      <c r="D4733">
        <f>Sources!E4733</f>
        <v/>
      </c>
      <c r="E4733">
        <f>Sources!F4733</f>
        <v/>
      </c>
      <c r="F4733">
        <f>Sources!H4733</f>
        <v/>
      </c>
      <c r="G4733">
        <f>IF(ABS(F4733-ROUND(F4733,0))&lt;0.001,1,0)</f>
        <v/>
      </c>
      <c r="H4733">
        <f>IF(G4733=1,F4733,CEILING(F4733,1))</f>
        <v/>
      </c>
      <c r="I4733">
        <f>IF(G4733=1,0,(H4733-F4733)*E4733)</f>
        <v/>
      </c>
      <c r="J4733">
        <f>E4733*F4733</f>
        <v/>
      </c>
    </row>
    <row r="4734">
      <c r="A4734">
        <f>Sources!A4734</f>
        <v/>
      </c>
      <c r="B4734">
        <f>Sources!B4734</f>
        <v/>
      </c>
      <c r="C4734">
        <f>Sources!D4734</f>
        <v/>
      </c>
      <c r="D4734">
        <f>Sources!E4734</f>
        <v/>
      </c>
      <c r="E4734">
        <f>Sources!F4734</f>
        <v/>
      </c>
      <c r="F4734">
        <f>Sources!H4734</f>
        <v/>
      </c>
      <c r="G4734">
        <f>IF(ABS(F4734-ROUND(F4734,0))&lt;0.001,1,0)</f>
        <v/>
      </c>
      <c r="H4734">
        <f>IF(G4734=1,F4734,CEILING(F4734,1))</f>
        <v/>
      </c>
      <c r="I4734">
        <f>IF(G4734=1,0,(H4734-F4734)*E4734)</f>
        <v/>
      </c>
      <c r="J4734">
        <f>E4734*F4734</f>
        <v/>
      </c>
    </row>
    <row r="4735">
      <c r="A4735">
        <f>Sources!A4735</f>
        <v/>
      </c>
      <c r="B4735">
        <f>Sources!B4735</f>
        <v/>
      </c>
      <c r="C4735">
        <f>Sources!D4735</f>
        <v/>
      </c>
      <c r="D4735">
        <f>Sources!E4735</f>
        <v/>
      </c>
      <c r="E4735">
        <f>Sources!F4735</f>
        <v/>
      </c>
      <c r="F4735">
        <f>Sources!H4735</f>
        <v/>
      </c>
      <c r="G4735">
        <f>IF(ABS(F4735-ROUND(F4735,0))&lt;0.001,1,0)</f>
        <v/>
      </c>
      <c r="H4735">
        <f>IF(G4735=1,F4735,CEILING(F4735,1))</f>
        <v/>
      </c>
      <c r="I4735">
        <f>IF(G4735=1,0,(H4735-F4735)*E4735)</f>
        <v/>
      </c>
      <c r="J4735">
        <f>E4735*F4735</f>
        <v/>
      </c>
    </row>
    <row r="4736">
      <c r="A4736">
        <f>Sources!A4736</f>
        <v/>
      </c>
      <c r="B4736">
        <f>Sources!B4736</f>
        <v/>
      </c>
      <c r="C4736">
        <f>Sources!D4736</f>
        <v/>
      </c>
      <c r="D4736">
        <f>Sources!E4736</f>
        <v/>
      </c>
      <c r="E4736">
        <f>Sources!F4736</f>
        <v/>
      </c>
      <c r="F4736">
        <f>Sources!H4736</f>
        <v/>
      </c>
      <c r="G4736">
        <f>IF(ABS(F4736-ROUND(F4736,0))&lt;0.001,1,0)</f>
        <v/>
      </c>
      <c r="H4736">
        <f>IF(G4736=1,F4736,CEILING(F4736,1))</f>
        <v/>
      </c>
      <c r="I4736">
        <f>IF(G4736=1,0,(H4736-F4736)*E4736)</f>
        <v/>
      </c>
      <c r="J4736">
        <f>E4736*F4736</f>
        <v/>
      </c>
    </row>
    <row r="4737">
      <c r="A4737">
        <f>Sources!A4737</f>
        <v/>
      </c>
      <c r="B4737">
        <f>Sources!B4737</f>
        <v/>
      </c>
      <c r="C4737">
        <f>Sources!D4737</f>
        <v/>
      </c>
      <c r="D4737">
        <f>Sources!E4737</f>
        <v/>
      </c>
      <c r="E4737">
        <f>Sources!F4737</f>
        <v/>
      </c>
      <c r="F4737">
        <f>Sources!H4737</f>
        <v/>
      </c>
      <c r="G4737">
        <f>IF(ABS(F4737-ROUND(F4737,0))&lt;0.001,1,0)</f>
        <v/>
      </c>
      <c r="H4737">
        <f>IF(G4737=1,F4737,CEILING(F4737,1))</f>
        <v/>
      </c>
      <c r="I4737">
        <f>IF(G4737=1,0,(H4737-F4737)*E4737)</f>
        <v/>
      </c>
      <c r="J4737">
        <f>E4737*F4737</f>
        <v/>
      </c>
    </row>
    <row r="4738">
      <c r="A4738">
        <f>Sources!A4738</f>
        <v/>
      </c>
      <c r="B4738">
        <f>Sources!B4738</f>
        <v/>
      </c>
      <c r="C4738">
        <f>Sources!D4738</f>
        <v/>
      </c>
      <c r="D4738">
        <f>Sources!E4738</f>
        <v/>
      </c>
      <c r="E4738">
        <f>Sources!F4738</f>
        <v/>
      </c>
      <c r="F4738">
        <f>Sources!H4738</f>
        <v/>
      </c>
      <c r="G4738">
        <f>IF(ABS(F4738-ROUND(F4738,0))&lt;0.001,1,0)</f>
        <v/>
      </c>
      <c r="H4738">
        <f>IF(G4738=1,F4738,CEILING(F4738,1))</f>
        <v/>
      </c>
      <c r="I4738">
        <f>IF(G4738=1,0,(H4738-F4738)*E4738)</f>
        <v/>
      </c>
      <c r="J4738">
        <f>E4738*F4738</f>
        <v/>
      </c>
    </row>
    <row r="4739">
      <c r="A4739">
        <f>Sources!A4739</f>
        <v/>
      </c>
      <c r="B4739">
        <f>Sources!B4739</f>
        <v/>
      </c>
      <c r="C4739">
        <f>Sources!D4739</f>
        <v/>
      </c>
      <c r="D4739">
        <f>Sources!E4739</f>
        <v/>
      </c>
      <c r="E4739">
        <f>Sources!F4739</f>
        <v/>
      </c>
      <c r="F4739">
        <f>Sources!H4739</f>
        <v/>
      </c>
      <c r="G4739">
        <f>IF(ABS(F4739-ROUND(F4739,0))&lt;0.001,1,0)</f>
        <v/>
      </c>
      <c r="H4739">
        <f>IF(G4739=1,F4739,CEILING(F4739,1))</f>
        <v/>
      </c>
      <c r="I4739">
        <f>IF(G4739=1,0,(H4739-F4739)*E4739)</f>
        <v/>
      </c>
      <c r="J4739">
        <f>E4739*F4739</f>
        <v/>
      </c>
    </row>
    <row r="4740">
      <c r="A4740">
        <f>Sources!A4740</f>
        <v/>
      </c>
      <c r="B4740">
        <f>Sources!B4740</f>
        <v/>
      </c>
      <c r="C4740">
        <f>Sources!D4740</f>
        <v/>
      </c>
      <c r="D4740">
        <f>Sources!E4740</f>
        <v/>
      </c>
      <c r="E4740">
        <f>Sources!F4740</f>
        <v/>
      </c>
      <c r="F4740">
        <f>Sources!H4740</f>
        <v/>
      </c>
      <c r="G4740">
        <f>IF(ABS(F4740-ROUND(F4740,0))&lt;0.001,1,0)</f>
        <v/>
      </c>
      <c r="H4740">
        <f>IF(G4740=1,F4740,CEILING(F4740,1))</f>
        <v/>
      </c>
      <c r="I4740">
        <f>IF(G4740=1,0,(H4740-F4740)*E4740)</f>
        <v/>
      </c>
      <c r="J4740">
        <f>E4740*F4740</f>
        <v/>
      </c>
    </row>
    <row r="4741">
      <c r="A4741">
        <f>Sources!A4741</f>
        <v/>
      </c>
      <c r="B4741">
        <f>Sources!B4741</f>
        <v/>
      </c>
      <c r="C4741">
        <f>Sources!D4741</f>
        <v/>
      </c>
      <c r="D4741">
        <f>Sources!E4741</f>
        <v/>
      </c>
      <c r="E4741">
        <f>Sources!F4741</f>
        <v/>
      </c>
      <c r="F4741">
        <f>Sources!H4741</f>
        <v/>
      </c>
      <c r="G4741">
        <f>IF(ABS(F4741-ROUND(F4741,0))&lt;0.001,1,0)</f>
        <v/>
      </c>
      <c r="H4741">
        <f>IF(G4741=1,F4741,CEILING(F4741,1))</f>
        <v/>
      </c>
      <c r="I4741">
        <f>IF(G4741=1,0,(H4741-F4741)*E4741)</f>
        <v/>
      </c>
      <c r="J4741">
        <f>E4741*F4741</f>
        <v/>
      </c>
    </row>
    <row r="4742">
      <c r="A4742">
        <f>Sources!A4742</f>
        <v/>
      </c>
      <c r="B4742">
        <f>Sources!B4742</f>
        <v/>
      </c>
      <c r="C4742">
        <f>Sources!D4742</f>
        <v/>
      </c>
      <c r="D4742">
        <f>Sources!E4742</f>
        <v/>
      </c>
      <c r="E4742">
        <f>Sources!F4742</f>
        <v/>
      </c>
      <c r="F4742">
        <f>Sources!H4742</f>
        <v/>
      </c>
      <c r="G4742">
        <f>IF(ABS(F4742-ROUND(F4742,0))&lt;0.001,1,0)</f>
        <v/>
      </c>
      <c r="H4742">
        <f>IF(G4742=1,F4742,CEILING(F4742,1))</f>
        <v/>
      </c>
      <c r="I4742">
        <f>IF(G4742=1,0,(H4742-F4742)*E4742)</f>
        <v/>
      </c>
      <c r="J4742">
        <f>E4742*F4742</f>
        <v/>
      </c>
    </row>
    <row r="4743">
      <c r="A4743">
        <f>Sources!A4743</f>
        <v/>
      </c>
      <c r="B4743">
        <f>Sources!B4743</f>
        <v/>
      </c>
      <c r="C4743">
        <f>Sources!D4743</f>
        <v/>
      </c>
      <c r="D4743">
        <f>Sources!E4743</f>
        <v/>
      </c>
      <c r="E4743">
        <f>Sources!F4743</f>
        <v/>
      </c>
      <c r="F4743">
        <f>Sources!H4743</f>
        <v/>
      </c>
      <c r="G4743">
        <f>IF(ABS(F4743-ROUND(F4743,0))&lt;0.001,1,0)</f>
        <v/>
      </c>
      <c r="H4743">
        <f>IF(G4743=1,F4743,CEILING(F4743,1))</f>
        <v/>
      </c>
      <c r="I4743">
        <f>IF(G4743=1,0,(H4743-F4743)*E4743)</f>
        <v/>
      </c>
      <c r="J4743">
        <f>E4743*F4743</f>
        <v/>
      </c>
    </row>
    <row r="4744">
      <c r="A4744">
        <f>Sources!A4744</f>
        <v/>
      </c>
      <c r="B4744">
        <f>Sources!B4744</f>
        <v/>
      </c>
      <c r="C4744">
        <f>Sources!D4744</f>
        <v/>
      </c>
      <c r="D4744">
        <f>Sources!E4744</f>
        <v/>
      </c>
      <c r="E4744">
        <f>Sources!F4744</f>
        <v/>
      </c>
      <c r="F4744">
        <f>Sources!H4744</f>
        <v/>
      </c>
      <c r="G4744">
        <f>IF(ABS(F4744-ROUND(F4744,0))&lt;0.001,1,0)</f>
        <v/>
      </c>
      <c r="H4744">
        <f>IF(G4744=1,F4744,CEILING(F4744,1))</f>
        <v/>
      </c>
      <c r="I4744">
        <f>IF(G4744=1,0,(H4744-F4744)*E4744)</f>
        <v/>
      </c>
      <c r="J4744">
        <f>E4744*F4744</f>
        <v/>
      </c>
    </row>
    <row r="4745">
      <c r="A4745">
        <f>Sources!A4745</f>
        <v/>
      </c>
      <c r="B4745">
        <f>Sources!B4745</f>
        <v/>
      </c>
      <c r="C4745">
        <f>Sources!D4745</f>
        <v/>
      </c>
      <c r="D4745">
        <f>Sources!E4745</f>
        <v/>
      </c>
      <c r="E4745">
        <f>Sources!F4745</f>
        <v/>
      </c>
      <c r="F4745">
        <f>Sources!H4745</f>
        <v/>
      </c>
      <c r="G4745">
        <f>IF(ABS(F4745-ROUND(F4745,0))&lt;0.001,1,0)</f>
        <v/>
      </c>
      <c r="H4745">
        <f>IF(G4745=1,F4745,CEILING(F4745,1))</f>
        <v/>
      </c>
      <c r="I4745">
        <f>IF(G4745=1,0,(H4745-F4745)*E4745)</f>
        <v/>
      </c>
      <c r="J4745">
        <f>E4745*F4745</f>
        <v/>
      </c>
    </row>
    <row r="4746">
      <c r="A4746">
        <f>Sources!A4746</f>
        <v/>
      </c>
      <c r="B4746">
        <f>Sources!B4746</f>
        <v/>
      </c>
      <c r="C4746">
        <f>Sources!D4746</f>
        <v/>
      </c>
      <c r="D4746">
        <f>Sources!E4746</f>
        <v/>
      </c>
      <c r="E4746">
        <f>Sources!F4746</f>
        <v/>
      </c>
      <c r="F4746">
        <f>Sources!H4746</f>
        <v/>
      </c>
      <c r="G4746">
        <f>IF(ABS(F4746-ROUND(F4746,0))&lt;0.001,1,0)</f>
        <v/>
      </c>
      <c r="H4746">
        <f>IF(G4746=1,F4746,CEILING(F4746,1))</f>
        <v/>
      </c>
      <c r="I4746">
        <f>IF(G4746=1,0,(H4746-F4746)*E4746)</f>
        <v/>
      </c>
      <c r="J4746">
        <f>E4746*F4746</f>
        <v/>
      </c>
    </row>
    <row r="4747">
      <c r="A4747">
        <f>Sources!A4747</f>
        <v/>
      </c>
      <c r="B4747">
        <f>Sources!B4747</f>
        <v/>
      </c>
      <c r="C4747">
        <f>Sources!D4747</f>
        <v/>
      </c>
      <c r="D4747">
        <f>Sources!E4747</f>
        <v/>
      </c>
      <c r="E4747">
        <f>Sources!F4747</f>
        <v/>
      </c>
      <c r="F4747">
        <f>Sources!H4747</f>
        <v/>
      </c>
      <c r="G4747">
        <f>IF(ABS(F4747-ROUND(F4747,0))&lt;0.001,1,0)</f>
        <v/>
      </c>
      <c r="H4747">
        <f>IF(G4747=1,F4747,CEILING(F4747,1))</f>
        <v/>
      </c>
      <c r="I4747">
        <f>IF(G4747=1,0,(H4747-F4747)*E4747)</f>
        <v/>
      </c>
      <c r="J4747">
        <f>E4747*F4747</f>
        <v/>
      </c>
    </row>
    <row r="4748">
      <c r="A4748">
        <f>Sources!A4748</f>
        <v/>
      </c>
      <c r="B4748">
        <f>Sources!B4748</f>
        <v/>
      </c>
      <c r="C4748">
        <f>Sources!D4748</f>
        <v/>
      </c>
      <c r="D4748">
        <f>Sources!E4748</f>
        <v/>
      </c>
      <c r="E4748">
        <f>Sources!F4748</f>
        <v/>
      </c>
      <c r="F4748">
        <f>Sources!H4748</f>
        <v/>
      </c>
      <c r="G4748">
        <f>IF(ABS(F4748-ROUND(F4748,0))&lt;0.001,1,0)</f>
        <v/>
      </c>
      <c r="H4748">
        <f>IF(G4748=1,F4748,CEILING(F4748,1))</f>
        <v/>
      </c>
      <c r="I4748">
        <f>IF(G4748=1,0,(H4748-F4748)*E4748)</f>
        <v/>
      </c>
      <c r="J4748">
        <f>E4748*F4748</f>
        <v/>
      </c>
    </row>
    <row r="4749">
      <c r="A4749">
        <f>Sources!A4749</f>
        <v/>
      </c>
      <c r="B4749">
        <f>Sources!B4749</f>
        <v/>
      </c>
      <c r="C4749">
        <f>Sources!D4749</f>
        <v/>
      </c>
      <c r="D4749">
        <f>Sources!E4749</f>
        <v/>
      </c>
      <c r="E4749">
        <f>Sources!F4749</f>
        <v/>
      </c>
      <c r="F4749">
        <f>Sources!H4749</f>
        <v/>
      </c>
      <c r="G4749">
        <f>IF(ABS(F4749-ROUND(F4749,0))&lt;0.001,1,0)</f>
        <v/>
      </c>
      <c r="H4749">
        <f>IF(G4749=1,F4749,CEILING(F4749,1))</f>
        <v/>
      </c>
      <c r="I4749">
        <f>IF(G4749=1,0,(H4749-F4749)*E4749)</f>
        <v/>
      </c>
      <c r="J4749">
        <f>E4749*F4749</f>
        <v/>
      </c>
    </row>
    <row r="4750">
      <c r="A4750">
        <f>Sources!A4750</f>
        <v/>
      </c>
      <c r="B4750">
        <f>Sources!B4750</f>
        <v/>
      </c>
      <c r="C4750">
        <f>Sources!D4750</f>
        <v/>
      </c>
      <c r="D4750">
        <f>Sources!E4750</f>
        <v/>
      </c>
      <c r="E4750">
        <f>Sources!F4750</f>
        <v/>
      </c>
      <c r="F4750">
        <f>Sources!H4750</f>
        <v/>
      </c>
      <c r="G4750">
        <f>IF(ABS(F4750-ROUND(F4750,0))&lt;0.001,1,0)</f>
        <v/>
      </c>
      <c r="H4750">
        <f>IF(G4750=1,F4750,CEILING(F4750,1))</f>
        <v/>
      </c>
      <c r="I4750">
        <f>IF(G4750=1,0,(H4750-F4750)*E4750)</f>
        <v/>
      </c>
      <c r="J4750">
        <f>E4750*F4750</f>
        <v/>
      </c>
    </row>
    <row r="4751">
      <c r="A4751">
        <f>Sources!A4751</f>
        <v/>
      </c>
      <c r="B4751">
        <f>Sources!B4751</f>
        <v/>
      </c>
      <c r="C4751">
        <f>Sources!D4751</f>
        <v/>
      </c>
      <c r="D4751">
        <f>Sources!E4751</f>
        <v/>
      </c>
      <c r="E4751">
        <f>Sources!F4751</f>
        <v/>
      </c>
      <c r="F4751">
        <f>Sources!H4751</f>
        <v/>
      </c>
      <c r="G4751">
        <f>IF(ABS(F4751-ROUND(F4751,0))&lt;0.001,1,0)</f>
        <v/>
      </c>
      <c r="H4751">
        <f>IF(G4751=1,F4751,CEILING(F4751,1))</f>
        <v/>
      </c>
      <c r="I4751">
        <f>IF(G4751=1,0,(H4751-F4751)*E4751)</f>
        <v/>
      </c>
      <c r="J4751">
        <f>E4751*F4751</f>
        <v/>
      </c>
    </row>
    <row r="4752">
      <c r="A4752">
        <f>Sources!A4752</f>
        <v/>
      </c>
      <c r="B4752">
        <f>Sources!B4752</f>
        <v/>
      </c>
      <c r="C4752">
        <f>Sources!D4752</f>
        <v/>
      </c>
      <c r="D4752">
        <f>Sources!E4752</f>
        <v/>
      </c>
      <c r="E4752">
        <f>Sources!F4752</f>
        <v/>
      </c>
      <c r="F4752">
        <f>Sources!H4752</f>
        <v/>
      </c>
      <c r="G4752">
        <f>IF(ABS(F4752-ROUND(F4752,0))&lt;0.001,1,0)</f>
        <v/>
      </c>
      <c r="H4752">
        <f>IF(G4752=1,F4752,CEILING(F4752,1))</f>
        <v/>
      </c>
      <c r="I4752">
        <f>IF(G4752=1,0,(H4752-F4752)*E4752)</f>
        <v/>
      </c>
      <c r="J4752">
        <f>E4752*F4752</f>
        <v/>
      </c>
    </row>
    <row r="4753">
      <c r="A4753">
        <f>Sources!A4753</f>
        <v/>
      </c>
      <c r="B4753">
        <f>Sources!B4753</f>
        <v/>
      </c>
      <c r="C4753">
        <f>Sources!D4753</f>
        <v/>
      </c>
      <c r="D4753">
        <f>Sources!E4753</f>
        <v/>
      </c>
      <c r="E4753">
        <f>Sources!F4753</f>
        <v/>
      </c>
      <c r="F4753">
        <f>Sources!H4753</f>
        <v/>
      </c>
      <c r="G4753">
        <f>IF(ABS(F4753-ROUND(F4753,0))&lt;0.001,1,0)</f>
        <v/>
      </c>
      <c r="H4753">
        <f>IF(G4753=1,F4753,CEILING(F4753,1))</f>
        <v/>
      </c>
      <c r="I4753">
        <f>IF(G4753=1,0,(H4753-F4753)*E4753)</f>
        <v/>
      </c>
      <c r="J4753">
        <f>E4753*F4753</f>
        <v/>
      </c>
    </row>
    <row r="4754">
      <c r="A4754">
        <f>Sources!A4754</f>
        <v/>
      </c>
      <c r="B4754">
        <f>Sources!B4754</f>
        <v/>
      </c>
      <c r="C4754">
        <f>Sources!D4754</f>
        <v/>
      </c>
      <c r="D4754">
        <f>Sources!E4754</f>
        <v/>
      </c>
      <c r="E4754">
        <f>Sources!F4754</f>
        <v/>
      </c>
      <c r="F4754">
        <f>Sources!H4754</f>
        <v/>
      </c>
      <c r="G4754">
        <f>IF(ABS(F4754-ROUND(F4754,0))&lt;0.001,1,0)</f>
        <v/>
      </c>
      <c r="H4754">
        <f>IF(G4754=1,F4754,CEILING(F4754,1))</f>
        <v/>
      </c>
      <c r="I4754">
        <f>IF(G4754=1,0,(H4754-F4754)*E4754)</f>
        <v/>
      </c>
      <c r="J4754">
        <f>E4754*F4754</f>
        <v/>
      </c>
    </row>
    <row r="4755">
      <c r="A4755">
        <f>Sources!A4755</f>
        <v/>
      </c>
      <c r="B4755">
        <f>Sources!B4755</f>
        <v/>
      </c>
      <c r="C4755">
        <f>Sources!D4755</f>
        <v/>
      </c>
      <c r="D4755">
        <f>Sources!E4755</f>
        <v/>
      </c>
      <c r="E4755">
        <f>Sources!F4755</f>
        <v/>
      </c>
      <c r="F4755">
        <f>Sources!H4755</f>
        <v/>
      </c>
      <c r="G4755">
        <f>IF(ABS(F4755-ROUND(F4755,0))&lt;0.001,1,0)</f>
        <v/>
      </c>
      <c r="H4755">
        <f>IF(G4755=1,F4755,CEILING(F4755,1))</f>
        <v/>
      </c>
      <c r="I4755">
        <f>IF(G4755=1,0,(H4755-F4755)*E4755)</f>
        <v/>
      </c>
      <c r="J4755">
        <f>E4755*F4755</f>
        <v/>
      </c>
    </row>
    <row r="4756">
      <c r="A4756">
        <f>Sources!A4756</f>
        <v/>
      </c>
      <c r="B4756">
        <f>Sources!B4756</f>
        <v/>
      </c>
      <c r="C4756">
        <f>Sources!D4756</f>
        <v/>
      </c>
      <c r="D4756">
        <f>Sources!E4756</f>
        <v/>
      </c>
      <c r="E4756">
        <f>Sources!F4756</f>
        <v/>
      </c>
      <c r="F4756">
        <f>Sources!H4756</f>
        <v/>
      </c>
      <c r="G4756">
        <f>IF(ABS(F4756-ROUND(F4756,0))&lt;0.001,1,0)</f>
        <v/>
      </c>
      <c r="H4756">
        <f>IF(G4756=1,F4756,CEILING(F4756,1))</f>
        <v/>
      </c>
      <c r="I4756">
        <f>IF(G4756=1,0,(H4756-F4756)*E4756)</f>
        <v/>
      </c>
      <c r="J4756">
        <f>E4756*F4756</f>
        <v/>
      </c>
    </row>
    <row r="4757">
      <c r="A4757">
        <f>Sources!A4757</f>
        <v/>
      </c>
      <c r="B4757">
        <f>Sources!B4757</f>
        <v/>
      </c>
      <c r="C4757">
        <f>Sources!D4757</f>
        <v/>
      </c>
      <c r="D4757">
        <f>Sources!E4757</f>
        <v/>
      </c>
      <c r="E4757">
        <f>Sources!F4757</f>
        <v/>
      </c>
      <c r="F4757">
        <f>Sources!H4757</f>
        <v/>
      </c>
      <c r="G4757">
        <f>IF(ABS(F4757-ROUND(F4757,0))&lt;0.001,1,0)</f>
        <v/>
      </c>
      <c r="H4757">
        <f>IF(G4757=1,F4757,CEILING(F4757,1))</f>
        <v/>
      </c>
      <c r="I4757">
        <f>IF(G4757=1,0,(H4757-F4757)*E4757)</f>
        <v/>
      </c>
      <c r="J4757">
        <f>E4757*F4757</f>
        <v/>
      </c>
    </row>
    <row r="4758">
      <c r="A4758">
        <f>Sources!A4758</f>
        <v/>
      </c>
      <c r="B4758">
        <f>Sources!B4758</f>
        <v/>
      </c>
      <c r="C4758">
        <f>Sources!D4758</f>
        <v/>
      </c>
      <c r="D4758">
        <f>Sources!E4758</f>
        <v/>
      </c>
      <c r="E4758">
        <f>Sources!F4758</f>
        <v/>
      </c>
      <c r="F4758">
        <f>Sources!H4758</f>
        <v/>
      </c>
      <c r="G4758">
        <f>IF(ABS(F4758-ROUND(F4758,0))&lt;0.001,1,0)</f>
        <v/>
      </c>
      <c r="H4758">
        <f>IF(G4758=1,F4758,CEILING(F4758,1))</f>
        <v/>
      </c>
      <c r="I4758">
        <f>IF(G4758=1,0,(H4758-F4758)*E4758)</f>
        <v/>
      </c>
      <c r="J4758">
        <f>E4758*F4758</f>
        <v/>
      </c>
    </row>
    <row r="4759">
      <c r="A4759">
        <f>Sources!A4759</f>
        <v/>
      </c>
      <c r="B4759">
        <f>Sources!B4759</f>
        <v/>
      </c>
      <c r="C4759">
        <f>Sources!D4759</f>
        <v/>
      </c>
      <c r="D4759">
        <f>Sources!E4759</f>
        <v/>
      </c>
      <c r="E4759">
        <f>Sources!F4759</f>
        <v/>
      </c>
      <c r="F4759">
        <f>Sources!H4759</f>
        <v/>
      </c>
      <c r="G4759">
        <f>IF(ABS(F4759-ROUND(F4759,0))&lt;0.001,1,0)</f>
        <v/>
      </c>
      <c r="H4759">
        <f>IF(G4759=1,F4759,CEILING(F4759,1))</f>
        <v/>
      </c>
      <c r="I4759">
        <f>IF(G4759=1,0,(H4759-F4759)*E4759)</f>
        <v/>
      </c>
      <c r="J4759">
        <f>E4759*F4759</f>
        <v/>
      </c>
    </row>
    <row r="4760">
      <c r="A4760">
        <f>Sources!A4760</f>
        <v/>
      </c>
      <c r="B4760">
        <f>Sources!B4760</f>
        <v/>
      </c>
      <c r="C4760">
        <f>Sources!D4760</f>
        <v/>
      </c>
      <c r="D4760">
        <f>Sources!E4760</f>
        <v/>
      </c>
      <c r="E4760">
        <f>Sources!F4760</f>
        <v/>
      </c>
      <c r="F4760">
        <f>Sources!H4760</f>
        <v/>
      </c>
      <c r="G4760">
        <f>IF(ABS(F4760-ROUND(F4760,0))&lt;0.001,1,0)</f>
        <v/>
      </c>
      <c r="H4760">
        <f>IF(G4760=1,F4760,CEILING(F4760,1))</f>
        <v/>
      </c>
      <c r="I4760">
        <f>IF(G4760=1,0,(H4760-F4760)*E4760)</f>
        <v/>
      </c>
      <c r="J4760">
        <f>E4760*F4760</f>
        <v/>
      </c>
    </row>
    <row r="4761">
      <c r="A4761">
        <f>Sources!A4761</f>
        <v/>
      </c>
      <c r="B4761">
        <f>Sources!B4761</f>
        <v/>
      </c>
      <c r="C4761">
        <f>Sources!D4761</f>
        <v/>
      </c>
      <c r="D4761">
        <f>Sources!E4761</f>
        <v/>
      </c>
      <c r="E4761">
        <f>Sources!F4761</f>
        <v/>
      </c>
      <c r="F4761">
        <f>Sources!H4761</f>
        <v/>
      </c>
      <c r="G4761">
        <f>IF(ABS(F4761-ROUND(F4761,0))&lt;0.001,1,0)</f>
        <v/>
      </c>
      <c r="H4761">
        <f>IF(G4761=1,F4761,CEILING(F4761,1))</f>
        <v/>
      </c>
      <c r="I4761">
        <f>IF(G4761=1,0,(H4761-F4761)*E4761)</f>
        <v/>
      </c>
      <c r="J4761">
        <f>E4761*F4761</f>
        <v/>
      </c>
    </row>
    <row r="4762">
      <c r="A4762">
        <f>Sources!A4762</f>
        <v/>
      </c>
      <c r="B4762">
        <f>Sources!B4762</f>
        <v/>
      </c>
      <c r="C4762">
        <f>Sources!D4762</f>
        <v/>
      </c>
      <c r="D4762">
        <f>Sources!E4762</f>
        <v/>
      </c>
      <c r="E4762">
        <f>Sources!F4762</f>
        <v/>
      </c>
      <c r="F4762">
        <f>Sources!H4762</f>
        <v/>
      </c>
      <c r="G4762">
        <f>IF(ABS(F4762-ROUND(F4762,0))&lt;0.001,1,0)</f>
        <v/>
      </c>
      <c r="H4762">
        <f>IF(G4762=1,F4762,CEILING(F4762,1))</f>
        <v/>
      </c>
      <c r="I4762">
        <f>IF(G4762=1,0,(H4762-F4762)*E4762)</f>
        <v/>
      </c>
      <c r="J4762">
        <f>E4762*F4762</f>
        <v/>
      </c>
    </row>
    <row r="4763">
      <c r="A4763">
        <f>Sources!A4763</f>
        <v/>
      </c>
      <c r="B4763">
        <f>Sources!B4763</f>
        <v/>
      </c>
      <c r="C4763">
        <f>Sources!D4763</f>
        <v/>
      </c>
      <c r="D4763">
        <f>Sources!E4763</f>
        <v/>
      </c>
      <c r="E4763">
        <f>Sources!F4763</f>
        <v/>
      </c>
      <c r="F4763">
        <f>Sources!H4763</f>
        <v/>
      </c>
      <c r="G4763">
        <f>IF(ABS(F4763-ROUND(F4763,0))&lt;0.001,1,0)</f>
        <v/>
      </c>
      <c r="H4763">
        <f>IF(G4763=1,F4763,CEILING(F4763,1))</f>
        <v/>
      </c>
      <c r="I4763">
        <f>IF(G4763=1,0,(H4763-F4763)*E4763)</f>
        <v/>
      </c>
      <c r="J4763">
        <f>E4763*F4763</f>
        <v/>
      </c>
    </row>
    <row r="4764">
      <c r="A4764">
        <f>Sources!A4764</f>
        <v/>
      </c>
      <c r="B4764">
        <f>Sources!B4764</f>
        <v/>
      </c>
      <c r="C4764">
        <f>Sources!D4764</f>
        <v/>
      </c>
      <c r="D4764">
        <f>Sources!E4764</f>
        <v/>
      </c>
      <c r="E4764">
        <f>Sources!F4764</f>
        <v/>
      </c>
      <c r="F4764">
        <f>Sources!H4764</f>
        <v/>
      </c>
      <c r="G4764">
        <f>IF(ABS(F4764-ROUND(F4764,0))&lt;0.001,1,0)</f>
        <v/>
      </c>
      <c r="H4764">
        <f>IF(G4764=1,F4764,CEILING(F4764,1))</f>
        <v/>
      </c>
      <c r="I4764">
        <f>IF(G4764=1,0,(H4764-F4764)*E4764)</f>
        <v/>
      </c>
      <c r="J4764">
        <f>E4764*F4764</f>
        <v/>
      </c>
    </row>
    <row r="4765">
      <c r="A4765">
        <f>Sources!A4765</f>
        <v/>
      </c>
      <c r="B4765">
        <f>Sources!B4765</f>
        <v/>
      </c>
      <c r="C4765">
        <f>Sources!D4765</f>
        <v/>
      </c>
      <c r="D4765">
        <f>Sources!E4765</f>
        <v/>
      </c>
      <c r="E4765">
        <f>Sources!F4765</f>
        <v/>
      </c>
      <c r="F4765">
        <f>Sources!H4765</f>
        <v/>
      </c>
      <c r="G4765">
        <f>IF(ABS(F4765-ROUND(F4765,0))&lt;0.001,1,0)</f>
        <v/>
      </c>
      <c r="H4765">
        <f>IF(G4765=1,F4765,CEILING(F4765,1))</f>
        <v/>
      </c>
      <c r="I4765">
        <f>IF(G4765=1,0,(H4765-F4765)*E4765)</f>
        <v/>
      </c>
      <c r="J4765">
        <f>E4765*F4765</f>
        <v/>
      </c>
    </row>
    <row r="4766">
      <c r="A4766">
        <f>Sources!A4766</f>
        <v/>
      </c>
      <c r="B4766">
        <f>Sources!B4766</f>
        <v/>
      </c>
      <c r="C4766">
        <f>Sources!D4766</f>
        <v/>
      </c>
      <c r="D4766">
        <f>Sources!E4766</f>
        <v/>
      </c>
      <c r="E4766">
        <f>Sources!F4766</f>
        <v/>
      </c>
      <c r="F4766">
        <f>Sources!H4766</f>
        <v/>
      </c>
      <c r="G4766">
        <f>IF(ABS(F4766-ROUND(F4766,0))&lt;0.001,1,0)</f>
        <v/>
      </c>
      <c r="H4766">
        <f>IF(G4766=1,F4766,CEILING(F4766,1))</f>
        <v/>
      </c>
      <c r="I4766">
        <f>IF(G4766=1,0,(H4766-F4766)*E4766)</f>
        <v/>
      </c>
      <c r="J4766">
        <f>E4766*F4766</f>
        <v/>
      </c>
    </row>
    <row r="4767">
      <c r="A4767">
        <f>Sources!A4767</f>
        <v/>
      </c>
      <c r="B4767">
        <f>Sources!B4767</f>
        <v/>
      </c>
      <c r="C4767">
        <f>Sources!D4767</f>
        <v/>
      </c>
      <c r="D4767">
        <f>Sources!E4767</f>
        <v/>
      </c>
      <c r="E4767">
        <f>Sources!F4767</f>
        <v/>
      </c>
      <c r="F4767">
        <f>Sources!H4767</f>
        <v/>
      </c>
      <c r="G4767">
        <f>IF(ABS(F4767-ROUND(F4767,0))&lt;0.001,1,0)</f>
        <v/>
      </c>
      <c r="H4767">
        <f>IF(G4767=1,F4767,CEILING(F4767,1))</f>
        <v/>
      </c>
      <c r="I4767">
        <f>IF(G4767=1,0,(H4767-F4767)*E4767)</f>
        <v/>
      </c>
      <c r="J4767">
        <f>E4767*F4767</f>
        <v/>
      </c>
    </row>
    <row r="4768">
      <c r="A4768">
        <f>Sources!A4768</f>
        <v/>
      </c>
      <c r="B4768">
        <f>Sources!B4768</f>
        <v/>
      </c>
      <c r="C4768">
        <f>Sources!D4768</f>
        <v/>
      </c>
      <c r="D4768">
        <f>Sources!E4768</f>
        <v/>
      </c>
      <c r="E4768">
        <f>Sources!F4768</f>
        <v/>
      </c>
      <c r="F4768">
        <f>Sources!H4768</f>
        <v/>
      </c>
      <c r="G4768">
        <f>IF(ABS(F4768-ROUND(F4768,0))&lt;0.001,1,0)</f>
        <v/>
      </c>
      <c r="H4768">
        <f>IF(G4768=1,F4768,CEILING(F4768,1))</f>
        <v/>
      </c>
      <c r="I4768">
        <f>IF(G4768=1,0,(H4768-F4768)*E4768)</f>
        <v/>
      </c>
      <c r="J4768">
        <f>E4768*F4768</f>
        <v/>
      </c>
    </row>
    <row r="4769">
      <c r="A4769">
        <f>Sources!A4769</f>
        <v/>
      </c>
      <c r="B4769">
        <f>Sources!B4769</f>
        <v/>
      </c>
      <c r="C4769">
        <f>Sources!D4769</f>
        <v/>
      </c>
      <c r="D4769">
        <f>Sources!E4769</f>
        <v/>
      </c>
      <c r="E4769">
        <f>Sources!F4769</f>
        <v/>
      </c>
      <c r="F4769">
        <f>Sources!H4769</f>
        <v/>
      </c>
      <c r="G4769">
        <f>IF(ABS(F4769-ROUND(F4769,0))&lt;0.001,1,0)</f>
        <v/>
      </c>
      <c r="H4769">
        <f>IF(G4769=1,F4769,CEILING(F4769,1))</f>
        <v/>
      </c>
      <c r="I4769">
        <f>IF(G4769=1,0,(H4769-F4769)*E4769)</f>
        <v/>
      </c>
      <c r="J4769">
        <f>E4769*F4769</f>
        <v/>
      </c>
    </row>
    <row r="4770">
      <c r="A4770">
        <f>Sources!A4770</f>
        <v/>
      </c>
      <c r="B4770">
        <f>Sources!B4770</f>
        <v/>
      </c>
      <c r="C4770">
        <f>Sources!D4770</f>
        <v/>
      </c>
      <c r="D4770">
        <f>Sources!E4770</f>
        <v/>
      </c>
      <c r="E4770">
        <f>Sources!F4770</f>
        <v/>
      </c>
      <c r="F4770">
        <f>Sources!H4770</f>
        <v/>
      </c>
      <c r="G4770">
        <f>IF(ABS(F4770-ROUND(F4770,0))&lt;0.001,1,0)</f>
        <v/>
      </c>
      <c r="H4770">
        <f>IF(G4770=1,F4770,CEILING(F4770,1))</f>
        <v/>
      </c>
      <c r="I4770">
        <f>IF(G4770=1,0,(H4770-F4770)*E4770)</f>
        <v/>
      </c>
      <c r="J4770">
        <f>E4770*F4770</f>
        <v/>
      </c>
    </row>
    <row r="4771">
      <c r="A4771">
        <f>Sources!A4771</f>
        <v/>
      </c>
      <c r="B4771">
        <f>Sources!B4771</f>
        <v/>
      </c>
      <c r="C4771">
        <f>Sources!D4771</f>
        <v/>
      </c>
      <c r="D4771">
        <f>Sources!E4771</f>
        <v/>
      </c>
      <c r="E4771">
        <f>Sources!F4771</f>
        <v/>
      </c>
      <c r="F4771">
        <f>Sources!H4771</f>
        <v/>
      </c>
      <c r="G4771">
        <f>IF(ABS(F4771-ROUND(F4771,0))&lt;0.001,1,0)</f>
        <v/>
      </c>
      <c r="H4771">
        <f>IF(G4771=1,F4771,CEILING(F4771,1))</f>
        <v/>
      </c>
      <c r="I4771">
        <f>IF(G4771=1,0,(H4771-F4771)*E4771)</f>
        <v/>
      </c>
      <c r="J4771">
        <f>E4771*F4771</f>
        <v/>
      </c>
    </row>
    <row r="4772">
      <c r="A4772">
        <f>Sources!A4772</f>
        <v/>
      </c>
      <c r="B4772">
        <f>Sources!B4772</f>
        <v/>
      </c>
      <c r="C4772">
        <f>Sources!D4772</f>
        <v/>
      </c>
      <c r="D4772">
        <f>Sources!E4772</f>
        <v/>
      </c>
      <c r="E4772">
        <f>Sources!F4772</f>
        <v/>
      </c>
      <c r="F4772">
        <f>Sources!H4772</f>
        <v/>
      </c>
      <c r="G4772">
        <f>IF(ABS(F4772-ROUND(F4772,0))&lt;0.001,1,0)</f>
        <v/>
      </c>
      <c r="H4772">
        <f>IF(G4772=1,F4772,CEILING(F4772,1))</f>
        <v/>
      </c>
      <c r="I4772">
        <f>IF(G4772=1,0,(H4772-F4772)*E4772)</f>
        <v/>
      </c>
      <c r="J4772">
        <f>E4772*F4772</f>
        <v/>
      </c>
    </row>
    <row r="4773">
      <c r="A4773">
        <f>Sources!A4773</f>
        <v/>
      </c>
      <c r="B4773">
        <f>Sources!B4773</f>
        <v/>
      </c>
      <c r="C4773">
        <f>Sources!D4773</f>
        <v/>
      </c>
      <c r="D4773">
        <f>Sources!E4773</f>
        <v/>
      </c>
      <c r="E4773">
        <f>Sources!F4773</f>
        <v/>
      </c>
      <c r="F4773">
        <f>Sources!H4773</f>
        <v/>
      </c>
      <c r="G4773">
        <f>IF(ABS(F4773-ROUND(F4773,0))&lt;0.001,1,0)</f>
        <v/>
      </c>
      <c r="H4773">
        <f>IF(G4773=1,F4773,CEILING(F4773,1))</f>
        <v/>
      </c>
      <c r="I4773">
        <f>IF(G4773=1,0,(H4773-F4773)*E4773)</f>
        <v/>
      </c>
      <c r="J4773">
        <f>E4773*F4773</f>
        <v/>
      </c>
    </row>
    <row r="4774">
      <c r="A4774">
        <f>Sources!A4774</f>
        <v/>
      </c>
      <c r="B4774">
        <f>Sources!B4774</f>
        <v/>
      </c>
      <c r="C4774">
        <f>Sources!D4774</f>
        <v/>
      </c>
      <c r="D4774">
        <f>Sources!E4774</f>
        <v/>
      </c>
      <c r="E4774">
        <f>Sources!F4774</f>
        <v/>
      </c>
      <c r="F4774">
        <f>Sources!H4774</f>
        <v/>
      </c>
      <c r="G4774">
        <f>IF(ABS(F4774-ROUND(F4774,0))&lt;0.001,1,0)</f>
        <v/>
      </c>
      <c r="H4774">
        <f>IF(G4774=1,F4774,CEILING(F4774,1))</f>
        <v/>
      </c>
      <c r="I4774">
        <f>IF(G4774=1,0,(H4774-F4774)*E4774)</f>
        <v/>
      </c>
      <c r="J4774">
        <f>E4774*F4774</f>
        <v/>
      </c>
    </row>
    <row r="4775">
      <c r="A4775">
        <f>Sources!A4775</f>
        <v/>
      </c>
      <c r="B4775">
        <f>Sources!B4775</f>
        <v/>
      </c>
      <c r="C4775">
        <f>Sources!D4775</f>
        <v/>
      </c>
      <c r="D4775">
        <f>Sources!E4775</f>
        <v/>
      </c>
      <c r="E4775">
        <f>Sources!F4775</f>
        <v/>
      </c>
      <c r="F4775">
        <f>Sources!H4775</f>
        <v/>
      </c>
      <c r="G4775">
        <f>IF(ABS(F4775-ROUND(F4775,0))&lt;0.001,1,0)</f>
        <v/>
      </c>
      <c r="H4775">
        <f>IF(G4775=1,F4775,CEILING(F4775,1))</f>
        <v/>
      </c>
      <c r="I4775">
        <f>IF(G4775=1,0,(H4775-F4775)*E4775)</f>
        <v/>
      </c>
      <c r="J4775">
        <f>E4775*F4775</f>
        <v/>
      </c>
    </row>
    <row r="4776">
      <c r="A4776">
        <f>Sources!A4776</f>
        <v/>
      </c>
      <c r="B4776">
        <f>Sources!B4776</f>
        <v/>
      </c>
      <c r="C4776">
        <f>Sources!D4776</f>
        <v/>
      </c>
      <c r="D4776">
        <f>Sources!E4776</f>
        <v/>
      </c>
      <c r="E4776">
        <f>Sources!F4776</f>
        <v/>
      </c>
      <c r="F4776">
        <f>Sources!H4776</f>
        <v/>
      </c>
      <c r="G4776">
        <f>IF(ABS(F4776-ROUND(F4776,0))&lt;0.001,1,0)</f>
        <v/>
      </c>
      <c r="H4776">
        <f>IF(G4776=1,F4776,CEILING(F4776,1))</f>
        <v/>
      </c>
      <c r="I4776">
        <f>IF(G4776=1,0,(H4776-F4776)*E4776)</f>
        <v/>
      </c>
      <c r="J4776">
        <f>E4776*F4776</f>
        <v/>
      </c>
    </row>
    <row r="4777">
      <c r="A4777">
        <f>Sources!A4777</f>
        <v/>
      </c>
      <c r="B4777">
        <f>Sources!B4777</f>
        <v/>
      </c>
      <c r="C4777">
        <f>Sources!D4777</f>
        <v/>
      </c>
      <c r="D4777">
        <f>Sources!E4777</f>
        <v/>
      </c>
      <c r="E4777">
        <f>Sources!F4777</f>
        <v/>
      </c>
      <c r="F4777">
        <f>Sources!H4777</f>
        <v/>
      </c>
      <c r="G4777">
        <f>IF(ABS(F4777-ROUND(F4777,0))&lt;0.001,1,0)</f>
        <v/>
      </c>
      <c r="H4777">
        <f>IF(G4777=1,F4777,CEILING(F4777,1))</f>
        <v/>
      </c>
      <c r="I4777">
        <f>IF(G4777=1,0,(H4777-F4777)*E4777)</f>
        <v/>
      </c>
      <c r="J4777">
        <f>E4777*F4777</f>
        <v/>
      </c>
    </row>
    <row r="4778">
      <c r="A4778">
        <f>Sources!A4778</f>
        <v/>
      </c>
      <c r="B4778">
        <f>Sources!B4778</f>
        <v/>
      </c>
      <c r="C4778">
        <f>Sources!D4778</f>
        <v/>
      </c>
      <c r="D4778">
        <f>Sources!E4778</f>
        <v/>
      </c>
      <c r="E4778">
        <f>Sources!F4778</f>
        <v/>
      </c>
      <c r="F4778">
        <f>Sources!H4778</f>
        <v/>
      </c>
      <c r="G4778">
        <f>IF(ABS(F4778-ROUND(F4778,0))&lt;0.001,1,0)</f>
        <v/>
      </c>
      <c r="H4778">
        <f>IF(G4778=1,F4778,CEILING(F4778,1))</f>
        <v/>
      </c>
      <c r="I4778">
        <f>IF(G4778=1,0,(H4778-F4778)*E4778)</f>
        <v/>
      </c>
      <c r="J4778">
        <f>E4778*F4778</f>
        <v/>
      </c>
    </row>
    <row r="4779">
      <c r="A4779">
        <f>Sources!A4779</f>
        <v/>
      </c>
      <c r="B4779">
        <f>Sources!B4779</f>
        <v/>
      </c>
      <c r="C4779">
        <f>Sources!D4779</f>
        <v/>
      </c>
      <c r="D4779">
        <f>Sources!E4779</f>
        <v/>
      </c>
      <c r="E4779">
        <f>Sources!F4779</f>
        <v/>
      </c>
      <c r="F4779">
        <f>Sources!H4779</f>
        <v/>
      </c>
      <c r="G4779">
        <f>IF(ABS(F4779-ROUND(F4779,0))&lt;0.001,1,0)</f>
        <v/>
      </c>
      <c r="H4779">
        <f>IF(G4779=1,F4779,CEILING(F4779,1))</f>
        <v/>
      </c>
      <c r="I4779">
        <f>IF(G4779=1,0,(H4779-F4779)*E4779)</f>
        <v/>
      </c>
      <c r="J4779">
        <f>E4779*F4779</f>
        <v/>
      </c>
    </row>
    <row r="4780">
      <c r="A4780">
        <f>Sources!A4780</f>
        <v/>
      </c>
      <c r="B4780">
        <f>Sources!B4780</f>
        <v/>
      </c>
      <c r="C4780">
        <f>Sources!D4780</f>
        <v/>
      </c>
      <c r="D4780">
        <f>Sources!E4780</f>
        <v/>
      </c>
      <c r="E4780">
        <f>Sources!F4780</f>
        <v/>
      </c>
      <c r="F4780">
        <f>Sources!H4780</f>
        <v/>
      </c>
      <c r="G4780">
        <f>IF(ABS(F4780-ROUND(F4780,0))&lt;0.001,1,0)</f>
        <v/>
      </c>
      <c r="H4780">
        <f>IF(G4780=1,F4780,CEILING(F4780,1))</f>
        <v/>
      </c>
      <c r="I4780">
        <f>IF(G4780=1,0,(H4780-F4780)*E4780)</f>
        <v/>
      </c>
      <c r="J4780">
        <f>E4780*F4780</f>
        <v/>
      </c>
    </row>
    <row r="4781">
      <c r="A4781">
        <f>Sources!A4781</f>
        <v/>
      </c>
      <c r="B4781">
        <f>Sources!B4781</f>
        <v/>
      </c>
      <c r="C4781">
        <f>Sources!D4781</f>
        <v/>
      </c>
      <c r="D4781">
        <f>Sources!E4781</f>
        <v/>
      </c>
      <c r="E4781">
        <f>Sources!F4781</f>
        <v/>
      </c>
      <c r="F4781">
        <f>Sources!H4781</f>
        <v/>
      </c>
      <c r="G4781">
        <f>IF(ABS(F4781-ROUND(F4781,0))&lt;0.001,1,0)</f>
        <v/>
      </c>
      <c r="H4781">
        <f>IF(G4781=1,F4781,CEILING(F4781,1))</f>
        <v/>
      </c>
      <c r="I4781">
        <f>IF(G4781=1,0,(H4781-F4781)*E4781)</f>
        <v/>
      </c>
      <c r="J4781">
        <f>E4781*F4781</f>
        <v/>
      </c>
    </row>
    <row r="4782">
      <c r="A4782">
        <f>Sources!A4782</f>
        <v/>
      </c>
      <c r="B4782">
        <f>Sources!B4782</f>
        <v/>
      </c>
      <c r="C4782">
        <f>Sources!D4782</f>
        <v/>
      </c>
      <c r="D4782">
        <f>Sources!E4782</f>
        <v/>
      </c>
      <c r="E4782">
        <f>Sources!F4782</f>
        <v/>
      </c>
      <c r="F4782">
        <f>Sources!H4782</f>
        <v/>
      </c>
      <c r="G4782">
        <f>IF(ABS(F4782-ROUND(F4782,0))&lt;0.001,1,0)</f>
        <v/>
      </c>
      <c r="H4782">
        <f>IF(G4782=1,F4782,CEILING(F4782,1))</f>
        <v/>
      </c>
      <c r="I4782">
        <f>IF(G4782=1,0,(H4782-F4782)*E4782)</f>
        <v/>
      </c>
      <c r="J4782">
        <f>E4782*F4782</f>
        <v/>
      </c>
    </row>
    <row r="4783">
      <c r="A4783">
        <f>Sources!A4783</f>
        <v/>
      </c>
      <c r="B4783">
        <f>Sources!B4783</f>
        <v/>
      </c>
      <c r="C4783">
        <f>Sources!D4783</f>
        <v/>
      </c>
      <c r="D4783">
        <f>Sources!E4783</f>
        <v/>
      </c>
      <c r="E4783">
        <f>Sources!F4783</f>
        <v/>
      </c>
      <c r="F4783">
        <f>Sources!H4783</f>
        <v/>
      </c>
      <c r="G4783">
        <f>IF(ABS(F4783-ROUND(F4783,0))&lt;0.001,1,0)</f>
        <v/>
      </c>
      <c r="H4783">
        <f>IF(G4783=1,F4783,CEILING(F4783,1))</f>
        <v/>
      </c>
      <c r="I4783">
        <f>IF(G4783=1,0,(H4783-F4783)*E4783)</f>
        <v/>
      </c>
      <c r="J4783">
        <f>E4783*F4783</f>
        <v/>
      </c>
    </row>
    <row r="4784">
      <c r="A4784">
        <f>Sources!A4784</f>
        <v/>
      </c>
      <c r="B4784">
        <f>Sources!B4784</f>
        <v/>
      </c>
      <c r="C4784">
        <f>Sources!D4784</f>
        <v/>
      </c>
      <c r="D4784">
        <f>Sources!E4784</f>
        <v/>
      </c>
      <c r="E4784">
        <f>Sources!F4784</f>
        <v/>
      </c>
      <c r="F4784">
        <f>Sources!H4784</f>
        <v/>
      </c>
      <c r="G4784">
        <f>IF(ABS(F4784-ROUND(F4784,0))&lt;0.001,1,0)</f>
        <v/>
      </c>
      <c r="H4784">
        <f>IF(G4784=1,F4784,CEILING(F4784,1))</f>
        <v/>
      </c>
      <c r="I4784">
        <f>IF(G4784=1,0,(H4784-F4784)*E4784)</f>
        <v/>
      </c>
      <c r="J4784">
        <f>E4784*F4784</f>
        <v/>
      </c>
    </row>
    <row r="4785">
      <c r="A4785">
        <f>Sources!A4785</f>
        <v/>
      </c>
      <c r="B4785">
        <f>Sources!B4785</f>
        <v/>
      </c>
      <c r="C4785">
        <f>Sources!D4785</f>
        <v/>
      </c>
      <c r="D4785">
        <f>Sources!E4785</f>
        <v/>
      </c>
      <c r="E4785">
        <f>Sources!F4785</f>
        <v/>
      </c>
      <c r="F4785">
        <f>Sources!H4785</f>
        <v/>
      </c>
      <c r="G4785">
        <f>IF(ABS(F4785-ROUND(F4785,0))&lt;0.001,1,0)</f>
        <v/>
      </c>
      <c r="H4785">
        <f>IF(G4785=1,F4785,CEILING(F4785,1))</f>
        <v/>
      </c>
      <c r="I4785">
        <f>IF(G4785=1,0,(H4785-F4785)*E4785)</f>
        <v/>
      </c>
      <c r="J4785">
        <f>E4785*F4785</f>
        <v/>
      </c>
    </row>
    <row r="4786">
      <c r="A4786">
        <f>Sources!A4786</f>
        <v/>
      </c>
      <c r="B4786">
        <f>Sources!B4786</f>
        <v/>
      </c>
      <c r="C4786">
        <f>Sources!D4786</f>
        <v/>
      </c>
      <c r="D4786">
        <f>Sources!E4786</f>
        <v/>
      </c>
      <c r="E4786">
        <f>Sources!F4786</f>
        <v/>
      </c>
      <c r="F4786">
        <f>Sources!H4786</f>
        <v/>
      </c>
      <c r="G4786">
        <f>IF(ABS(F4786-ROUND(F4786,0))&lt;0.001,1,0)</f>
        <v/>
      </c>
      <c r="H4786">
        <f>IF(G4786=1,F4786,CEILING(F4786,1))</f>
        <v/>
      </c>
      <c r="I4786">
        <f>IF(G4786=1,0,(H4786-F4786)*E4786)</f>
        <v/>
      </c>
      <c r="J4786">
        <f>E4786*F4786</f>
        <v/>
      </c>
    </row>
    <row r="4787">
      <c r="A4787">
        <f>Sources!A4787</f>
        <v/>
      </c>
      <c r="B4787">
        <f>Sources!B4787</f>
        <v/>
      </c>
      <c r="C4787">
        <f>Sources!D4787</f>
        <v/>
      </c>
      <c r="D4787">
        <f>Sources!E4787</f>
        <v/>
      </c>
      <c r="E4787">
        <f>Sources!F4787</f>
        <v/>
      </c>
      <c r="F4787">
        <f>Sources!H4787</f>
        <v/>
      </c>
      <c r="G4787">
        <f>IF(ABS(F4787-ROUND(F4787,0))&lt;0.001,1,0)</f>
        <v/>
      </c>
      <c r="H4787">
        <f>IF(G4787=1,F4787,CEILING(F4787,1))</f>
        <v/>
      </c>
      <c r="I4787">
        <f>IF(G4787=1,0,(H4787-F4787)*E4787)</f>
        <v/>
      </c>
      <c r="J4787">
        <f>E4787*F4787</f>
        <v/>
      </c>
    </row>
    <row r="4788">
      <c r="A4788">
        <f>Sources!A4788</f>
        <v/>
      </c>
      <c r="B4788">
        <f>Sources!B4788</f>
        <v/>
      </c>
      <c r="C4788">
        <f>Sources!D4788</f>
        <v/>
      </c>
      <c r="D4788">
        <f>Sources!E4788</f>
        <v/>
      </c>
      <c r="E4788">
        <f>Sources!F4788</f>
        <v/>
      </c>
      <c r="F4788">
        <f>Sources!H4788</f>
        <v/>
      </c>
      <c r="G4788">
        <f>IF(ABS(F4788-ROUND(F4788,0))&lt;0.001,1,0)</f>
        <v/>
      </c>
      <c r="H4788">
        <f>IF(G4788=1,F4788,CEILING(F4788,1))</f>
        <v/>
      </c>
      <c r="I4788">
        <f>IF(G4788=1,0,(H4788-F4788)*E4788)</f>
        <v/>
      </c>
      <c r="J4788">
        <f>E4788*F4788</f>
        <v/>
      </c>
    </row>
    <row r="4789">
      <c r="A4789">
        <f>Sources!A4789</f>
        <v/>
      </c>
      <c r="B4789">
        <f>Sources!B4789</f>
        <v/>
      </c>
      <c r="C4789">
        <f>Sources!D4789</f>
        <v/>
      </c>
      <c r="D4789">
        <f>Sources!E4789</f>
        <v/>
      </c>
      <c r="E4789">
        <f>Sources!F4789</f>
        <v/>
      </c>
      <c r="F4789">
        <f>Sources!H4789</f>
        <v/>
      </c>
      <c r="G4789">
        <f>IF(ABS(F4789-ROUND(F4789,0))&lt;0.001,1,0)</f>
        <v/>
      </c>
      <c r="H4789">
        <f>IF(G4789=1,F4789,CEILING(F4789,1))</f>
        <v/>
      </c>
      <c r="I4789">
        <f>IF(G4789=1,0,(H4789-F4789)*E4789)</f>
        <v/>
      </c>
      <c r="J4789">
        <f>E4789*F4789</f>
        <v/>
      </c>
    </row>
    <row r="4790">
      <c r="A4790">
        <f>Sources!A4790</f>
        <v/>
      </c>
      <c r="B4790">
        <f>Sources!B4790</f>
        <v/>
      </c>
      <c r="C4790">
        <f>Sources!D4790</f>
        <v/>
      </c>
      <c r="D4790">
        <f>Sources!E4790</f>
        <v/>
      </c>
      <c r="E4790">
        <f>Sources!F4790</f>
        <v/>
      </c>
      <c r="F4790">
        <f>Sources!H4790</f>
        <v/>
      </c>
      <c r="G4790">
        <f>IF(ABS(F4790-ROUND(F4790,0))&lt;0.001,1,0)</f>
        <v/>
      </c>
      <c r="H4790">
        <f>IF(G4790=1,F4790,CEILING(F4790,1))</f>
        <v/>
      </c>
      <c r="I4790">
        <f>IF(G4790=1,0,(H4790-F4790)*E4790)</f>
        <v/>
      </c>
      <c r="J4790">
        <f>E4790*F4790</f>
        <v/>
      </c>
    </row>
    <row r="4791">
      <c r="A4791">
        <f>Sources!A4791</f>
        <v/>
      </c>
      <c r="B4791">
        <f>Sources!B4791</f>
        <v/>
      </c>
      <c r="C4791">
        <f>Sources!D4791</f>
        <v/>
      </c>
      <c r="D4791">
        <f>Sources!E4791</f>
        <v/>
      </c>
      <c r="E4791">
        <f>Sources!F4791</f>
        <v/>
      </c>
      <c r="F4791">
        <f>Sources!H4791</f>
        <v/>
      </c>
      <c r="G4791">
        <f>IF(ABS(F4791-ROUND(F4791,0))&lt;0.001,1,0)</f>
        <v/>
      </c>
      <c r="H4791">
        <f>IF(G4791=1,F4791,CEILING(F4791,1))</f>
        <v/>
      </c>
      <c r="I4791">
        <f>IF(G4791=1,0,(H4791-F4791)*E4791)</f>
        <v/>
      </c>
      <c r="J4791">
        <f>E4791*F4791</f>
        <v/>
      </c>
    </row>
    <row r="4792">
      <c r="A4792">
        <f>Sources!A4792</f>
        <v/>
      </c>
      <c r="B4792">
        <f>Sources!B4792</f>
        <v/>
      </c>
      <c r="C4792">
        <f>Sources!D4792</f>
        <v/>
      </c>
      <c r="D4792">
        <f>Sources!E4792</f>
        <v/>
      </c>
      <c r="E4792">
        <f>Sources!F4792</f>
        <v/>
      </c>
      <c r="F4792">
        <f>Sources!H4792</f>
        <v/>
      </c>
      <c r="G4792">
        <f>IF(ABS(F4792-ROUND(F4792,0))&lt;0.001,1,0)</f>
        <v/>
      </c>
      <c r="H4792">
        <f>IF(G4792=1,F4792,CEILING(F4792,1))</f>
        <v/>
      </c>
      <c r="I4792">
        <f>IF(G4792=1,0,(H4792-F4792)*E4792)</f>
        <v/>
      </c>
      <c r="J4792">
        <f>E4792*F4792</f>
        <v/>
      </c>
    </row>
    <row r="4793">
      <c r="A4793">
        <f>Sources!A4793</f>
        <v/>
      </c>
      <c r="B4793">
        <f>Sources!B4793</f>
        <v/>
      </c>
      <c r="C4793">
        <f>Sources!D4793</f>
        <v/>
      </c>
      <c r="D4793">
        <f>Sources!E4793</f>
        <v/>
      </c>
      <c r="E4793">
        <f>Sources!F4793</f>
        <v/>
      </c>
      <c r="F4793">
        <f>Sources!H4793</f>
        <v/>
      </c>
      <c r="G4793">
        <f>IF(ABS(F4793-ROUND(F4793,0))&lt;0.001,1,0)</f>
        <v/>
      </c>
      <c r="H4793">
        <f>IF(G4793=1,F4793,CEILING(F4793,1))</f>
        <v/>
      </c>
      <c r="I4793">
        <f>IF(G4793=1,0,(H4793-F4793)*E4793)</f>
        <v/>
      </c>
      <c r="J4793">
        <f>E4793*F4793</f>
        <v/>
      </c>
    </row>
    <row r="4794">
      <c r="A4794">
        <f>Sources!A4794</f>
        <v/>
      </c>
      <c r="B4794">
        <f>Sources!B4794</f>
        <v/>
      </c>
      <c r="C4794">
        <f>Sources!D4794</f>
        <v/>
      </c>
      <c r="D4794">
        <f>Sources!E4794</f>
        <v/>
      </c>
      <c r="E4794">
        <f>Sources!F4794</f>
        <v/>
      </c>
      <c r="F4794">
        <f>Sources!H4794</f>
        <v/>
      </c>
      <c r="G4794">
        <f>IF(ABS(F4794-ROUND(F4794,0))&lt;0.001,1,0)</f>
        <v/>
      </c>
      <c r="H4794">
        <f>IF(G4794=1,F4794,CEILING(F4794,1))</f>
        <v/>
      </c>
      <c r="I4794">
        <f>IF(G4794=1,0,(H4794-F4794)*E4794)</f>
        <v/>
      </c>
      <c r="J4794">
        <f>E4794*F4794</f>
        <v/>
      </c>
    </row>
    <row r="4795">
      <c r="A4795">
        <f>Sources!A4795</f>
        <v/>
      </c>
      <c r="B4795">
        <f>Sources!B4795</f>
        <v/>
      </c>
      <c r="C4795">
        <f>Sources!D4795</f>
        <v/>
      </c>
      <c r="D4795">
        <f>Sources!E4795</f>
        <v/>
      </c>
      <c r="E4795">
        <f>Sources!F4795</f>
        <v/>
      </c>
      <c r="F4795">
        <f>Sources!H4795</f>
        <v/>
      </c>
      <c r="G4795">
        <f>IF(ABS(F4795-ROUND(F4795,0))&lt;0.001,1,0)</f>
        <v/>
      </c>
      <c r="H4795">
        <f>IF(G4795=1,F4795,CEILING(F4795,1))</f>
        <v/>
      </c>
      <c r="I4795">
        <f>IF(G4795=1,0,(H4795-F4795)*E4795)</f>
        <v/>
      </c>
      <c r="J4795">
        <f>E4795*F4795</f>
        <v/>
      </c>
    </row>
    <row r="4796">
      <c r="A4796">
        <f>Sources!A4796</f>
        <v/>
      </c>
      <c r="B4796">
        <f>Sources!B4796</f>
        <v/>
      </c>
      <c r="C4796">
        <f>Sources!D4796</f>
        <v/>
      </c>
      <c r="D4796">
        <f>Sources!E4796</f>
        <v/>
      </c>
      <c r="E4796">
        <f>Sources!F4796</f>
        <v/>
      </c>
      <c r="F4796">
        <f>Sources!H4796</f>
        <v/>
      </c>
      <c r="G4796">
        <f>IF(ABS(F4796-ROUND(F4796,0))&lt;0.001,1,0)</f>
        <v/>
      </c>
      <c r="H4796">
        <f>IF(G4796=1,F4796,CEILING(F4796,1))</f>
        <v/>
      </c>
      <c r="I4796">
        <f>IF(G4796=1,0,(H4796-F4796)*E4796)</f>
        <v/>
      </c>
      <c r="J4796">
        <f>E4796*F4796</f>
        <v/>
      </c>
    </row>
    <row r="4797">
      <c r="A4797">
        <f>Sources!A4797</f>
        <v/>
      </c>
      <c r="B4797">
        <f>Sources!B4797</f>
        <v/>
      </c>
      <c r="C4797">
        <f>Sources!D4797</f>
        <v/>
      </c>
      <c r="D4797">
        <f>Sources!E4797</f>
        <v/>
      </c>
      <c r="E4797">
        <f>Sources!F4797</f>
        <v/>
      </c>
      <c r="F4797">
        <f>Sources!H4797</f>
        <v/>
      </c>
      <c r="G4797">
        <f>IF(ABS(F4797-ROUND(F4797,0))&lt;0.001,1,0)</f>
        <v/>
      </c>
      <c r="H4797">
        <f>IF(G4797=1,F4797,CEILING(F4797,1))</f>
        <v/>
      </c>
      <c r="I4797">
        <f>IF(G4797=1,0,(H4797-F4797)*E4797)</f>
        <v/>
      </c>
      <c r="J4797">
        <f>E4797*F4797</f>
        <v/>
      </c>
    </row>
    <row r="4798">
      <c r="A4798">
        <f>Sources!A4798</f>
        <v/>
      </c>
      <c r="B4798">
        <f>Sources!B4798</f>
        <v/>
      </c>
      <c r="C4798">
        <f>Sources!D4798</f>
        <v/>
      </c>
      <c r="D4798">
        <f>Sources!E4798</f>
        <v/>
      </c>
      <c r="E4798">
        <f>Sources!F4798</f>
        <v/>
      </c>
      <c r="F4798">
        <f>Sources!H4798</f>
        <v/>
      </c>
      <c r="G4798">
        <f>IF(ABS(F4798-ROUND(F4798,0))&lt;0.001,1,0)</f>
        <v/>
      </c>
      <c r="H4798">
        <f>IF(G4798=1,F4798,CEILING(F4798,1))</f>
        <v/>
      </c>
      <c r="I4798">
        <f>IF(G4798=1,0,(H4798-F4798)*E4798)</f>
        <v/>
      </c>
      <c r="J4798">
        <f>E4798*F4798</f>
        <v/>
      </c>
    </row>
    <row r="4799">
      <c r="A4799">
        <f>Sources!A4799</f>
        <v/>
      </c>
      <c r="B4799">
        <f>Sources!B4799</f>
        <v/>
      </c>
      <c r="C4799">
        <f>Sources!D4799</f>
        <v/>
      </c>
      <c r="D4799">
        <f>Sources!E4799</f>
        <v/>
      </c>
      <c r="E4799">
        <f>Sources!F4799</f>
        <v/>
      </c>
      <c r="F4799">
        <f>Sources!H4799</f>
        <v/>
      </c>
      <c r="G4799">
        <f>IF(ABS(F4799-ROUND(F4799,0))&lt;0.001,1,0)</f>
        <v/>
      </c>
      <c r="H4799">
        <f>IF(G4799=1,F4799,CEILING(F4799,1))</f>
        <v/>
      </c>
      <c r="I4799">
        <f>IF(G4799=1,0,(H4799-F4799)*E4799)</f>
        <v/>
      </c>
      <c r="J4799">
        <f>E4799*F4799</f>
        <v/>
      </c>
    </row>
    <row r="4800">
      <c r="A4800">
        <f>Sources!A4800</f>
        <v/>
      </c>
      <c r="B4800">
        <f>Sources!B4800</f>
        <v/>
      </c>
      <c r="C4800">
        <f>Sources!D4800</f>
        <v/>
      </c>
      <c r="D4800">
        <f>Sources!E4800</f>
        <v/>
      </c>
      <c r="E4800">
        <f>Sources!F4800</f>
        <v/>
      </c>
      <c r="F4800">
        <f>Sources!H4800</f>
        <v/>
      </c>
      <c r="G4800">
        <f>IF(ABS(F4800-ROUND(F4800,0))&lt;0.001,1,0)</f>
        <v/>
      </c>
      <c r="H4800">
        <f>IF(G4800=1,F4800,CEILING(F4800,1))</f>
        <v/>
      </c>
      <c r="I4800">
        <f>IF(G4800=1,0,(H4800-F4800)*E4800)</f>
        <v/>
      </c>
      <c r="J4800">
        <f>E4800*F4800</f>
        <v/>
      </c>
    </row>
    <row r="4801">
      <c r="A4801">
        <f>Sources!A4801</f>
        <v/>
      </c>
      <c r="B4801">
        <f>Sources!B4801</f>
        <v/>
      </c>
      <c r="C4801">
        <f>Sources!D4801</f>
        <v/>
      </c>
      <c r="D4801">
        <f>Sources!E4801</f>
        <v/>
      </c>
      <c r="E4801">
        <f>Sources!F4801</f>
        <v/>
      </c>
      <c r="F4801">
        <f>Sources!H4801</f>
        <v/>
      </c>
      <c r="G4801">
        <f>IF(ABS(F4801-ROUND(F4801,0))&lt;0.001,1,0)</f>
        <v/>
      </c>
      <c r="H4801">
        <f>IF(G4801=1,F4801,CEILING(F4801,1))</f>
        <v/>
      </c>
      <c r="I4801">
        <f>IF(G4801=1,0,(H4801-F4801)*E4801)</f>
        <v/>
      </c>
      <c r="J4801">
        <f>E4801*F4801</f>
        <v/>
      </c>
    </row>
    <row r="4802">
      <c r="A4802">
        <f>Sources!A4802</f>
        <v/>
      </c>
      <c r="B4802">
        <f>Sources!B4802</f>
        <v/>
      </c>
      <c r="C4802">
        <f>Sources!D4802</f>
        <v/>
      </c>
      <c r="D4802">
        <f>Sources!E4802</f>
        <v/>
      </c>
      <c r="E4802">
        <f>Sources!F4802</f>
        <v/>
      </c>
      <c r="F4802">
        <f>Sources!H4802</f>
        <v/>
      </c>
      <c r="G4802">
        <f>IF(ABS(F4802-ROUND(F4802,0))&lt;0.001,1,0)</f>
        <v/>
      </c>
      <c r="H4802">
        <f>IF(G4802=1,F4802,CEILING(F4802,1))</f>
        <v/>
      </c>
      <c r="I4802">
        <f>IF(G4802=1,0,(H4802-F4802)*E4802)</f>
        <v/>
      </c>
      <c r="J4802">
        <f>E4802*F4802</f>
        <v/>
      </c>
    </row>
    <row r="4803">
      <c r="A4803">
        <f>Sources!A4803</f>
        <v/>
      </c>
      <c r="B4803">
        <f>Sources!B4803</f>
        <v/>
      </c>
      <c r="C4803">
        <f>Sources!D4803</f>
        <v/>
      </c>
      <c r="D4803">
        <f>Sources!E4803</f>
        <v/>
      </c>
      <c r="E4803">
        <f>Sources!F4803</f>
        <v/>
      </c>
      <c r="F4803">
        <f>Sources!H4803</f>
        <v/>
      </c>
      <c r="G4803">
        <f>IF(ABS(F4803-ROUND(F4803,0))&lt;0.001,1,0)</f>
        <v/>
      </c>
      <c r="H4803">
        <f>IF(G4803=1,F4803,CEILING(F4803,1))</f>
        <v/>
      </c>
      <c r="I4803">
        <f>IF(G4803=1,0,(H4803-F4803)*E4803)</f>
        <v/>
      </c>
      <c r="J4803">
        <f>E4803*F4803</f>
        <v/>
      </c>
    </row>
    <row r="4804">
      <c r="A4804">
        <f>Sources!A4804</f>
        <v/>
      </c>
      <c r="B4804">
        <f>Sources!B4804</f>
        <v/>
      </c>
      <c r="C4804">
        <f>Sources!D4804</f>
        <v/>
      </c>
      <c r="D4804">
        <f>Sources!E4804</f>
        <v/>
      </c>
      <c r="E4804">
        <f>Sources!F4804</f>
        <v/>
      </c>
      <c r="F4804">
        <f>Sources!H4804</f>
        <v/>
      </c>
      <c r="G4804">
        <f>IF(ABS(F4804-ROUND(F4804,0))&lt;0.001,1,0)</f>
        <v/>
      </c>
      <c r="H4804">
        <f>IF(G4804=1,F4804,CEILING(F4804,1))</f>
        <v/>
      </c>
      <c r="I4804">
        <f>IF(G4804=1,0,(H4804-F4804)*E4804)</f>
        <v/>
      </c>
      <c r="J4804">
        <f>E4804*F4804</f>
        <v/>
      </c>
    </row>
    <row r="4805">
      <c r="A4805">
        <f>Sources!A4805</f>
        <v/>
      </c>
      <c r="B4805">
        <f>Sources!B4805</f>
        <v/>
      </c>
      <c r="C4805">
        <f>Sources!D4805</f>
        <v/>
      </c>
      <c r="D4805">
        <f>Sources!E4805</f>
        <v/>
      </c>
      <c r="E4805">
        <f>Sources!F4805</f>
        <v/>
      </c>
      <c r="F4805">
        <f>Sources!H4805</f>
        <v/>
      </c>
      <c r="G4805">
        <f>IF(ABS(F4805-ROUND(F4805,0))&lt;0.001,1,0)</f>
        <v/>
      </c>
      <c r="H4805">
        <f>IF(G4805=1,F4805,CEILING(F4805,1))</f>
        <v/>
      </c>
      <c r="I4805">
        <f>IF(G4805=1,0,(H4805-F4805)*E4805)</f>
        <v/>
      </c>
      <c r="J4805">
        <f>E4805*F4805</f>
        <v/>
      </c>
    </row>
    <row r="4806">
      <c r="A4806">
        <f>Sources!A4806</f>
        <v/>
      </c>
      <c r="B4806">
        <f>Sources!B4806</f>
        <v/>
      </c>
      <c r="C4806">
        <f>Sources!D4806</f>
        <v/>
      </c>
      <c r="D4806">
        <f>Sources!E4806</f>
        <v/>
      </c>
      <c r="E4806">
        <f>Sources!F4806</f>
        <v/>
      </c>
      <c r="F4806">
        <f>Sources!H4806</f>
        <v/>
      </c>
      <c r="G4806">
        <f>IF(ABS(F4806-ROUND(F4806,0))&lt;0.001,1,0)</f>
        <v/>
      </c>
      <c r="H4806">
        <f>IF(G4806=1,F4806,CEILING(F4806,1))</f>
        <v/>
      </c>
      <c r="I4806">
        <f>IF(G4806=1,0,(H4806-F4806)*E4806)</f>
        <v/>
      </c>
      <c r="J4806">
        <f>E4806*F4806</f>
        <v/>
      </c>
    </row>
    <row r="4807">
      <c r="A4807">
        <f>Sources!A4807</f>
        <v/>
      </c>
      <c r="B4807">
        <f>Sources!B4807</f>
        <v/>
      </c>
      <c r="C4807">
        <f>Sources!D4807</f>
        <v/>
      </c>
      <c r="D4807">
        <f>Sources!E4807</f>
        <v/>
      </c>
      <c r="E4807">
        <f>Sources!F4807</f>
        <v/>
      </c>
      <c r="F4807">
        <f>Sources!H4807</f>
        <v/>
      </c>
      <c r="G4807">
        <f>IF(ABS(F4807-ROUND(F4807,0))&lt;0.001,1,0)</f>
        <v/>
      </c>
      <c r="H4807">
        <f>IF(G4807=1,F4807,CEILING(F4807,1))</f>
        <v/>
      </c>
      <c r="I4807">
        <f>IF(G4807=1,0,(H4807-F4807)*E4807)</f>
        <v/>
      </c>
      <c r="J4807">
        <f>E4807*F4807</f>
        <v/>
      </c>
    </row>
    <row r="4808">
      <c r="A4808">
        <f>Sources!A4808</f>
        <v/>
      </c>
      <c r="B4808">
        <f>Sources!B4808</f>
        <v/>
      </c>
      <c r="C4808">
        <f>Sources!D4808</f>
        <v/>
      </c>
      <c r="D4808">
        <f>Sources!E4808</f>
        <v/>
      </c>
      <c r="E4808">
        <f>Sources!F4808</f>
        <v/>
      </c>
      <c r="F4808">
        <f>Sources!H4808</f>
        <v/>
      </c>
      <c r="G4808">
        <f>IF(ABS(F4808-ROUND(F4808,0))&lt;0.001,1,0)</f>
        <v/>
      </c>
      <c r="H4808">
        <f>IF(G4808=1,F4808,CEILING(F4808,1))</f>
        <v/>
      </c>
      <c r="I4808">
        <f>IF(G4808=1,0,(H4808-F4808)*E4808)</f>
        <v/>
      </c>
      <c r="J4808">
        <f>E4808*F4808</f>
        <v/>
      </c>
    </row>
    <row r="4809">
      <c r="A4809">
        <f>Sources!A4809</f>
        <v/>
      </c>
      <c r="B4809">
        <f>Sources!B4809</f>
        <v/>
      </c>
      <c r="C4809">
        <f>Sources!D4809</f>
        <v/>
      </c>
      <c r="D4809">
        <f>Sources!E4809</f>
        <v/>
      </c>
      <c r="E4809">
        <f>Sources!F4809</f>
        <v/>
      </c>
      <c r="F4809">
        <f>Sources!H4809</f>
        <v/>
      </c>
      <c r="G4809">
        <f>IF(ABS(F4809-ROUND(F4809,0))&lt;0.001,1,0)</f>
        <v/>
      </c>
      <c r="H4809">
        <f>IF(G4809=1,F4809,CEILING(F4809,1))</f>
        <v/>
      </c>
      <c r="I4809">
        <f>IF(G4809=1,0,(H4809-F4809)*E4809)</f>
        <v/>
      </c>
      <c r="J4809">
        <f>E4809*F4809</f>
        <v/>
      </c>
    </row>
    <row r="4810">
      <c r="A4810">
        <f>Sources!A4810</f>
        <v/>
      </c>
      <c r="B4810">
        <f>Sources!B4810</f>
        <v/>
      </c>
      <c r="C4810">
        <f>Sources!D4810</f>
        <v/>
      </c>
      <c r="D4810">
        <f>Sources!E4810</f>
        <v/>
      </c>
      <c r="E4810">
        <f>Sources!F4810</f>
        <v/>
      </c>
      <c r="F4810">
        <f>Sources!H4810</f>
        <v/>
      </c>
      <c r="G4810">
        <f>IF(ABS(F4810-ROUND(F4810,0))&lt;0.001,1,0)</f>
        <v/>
      </c>
      <c r="H4810">
        <f>IF(G4810=1,F4810,CEILING(F4810,1))</f>
        <v/>
      </c>
      <c r="I4810">
        <f>IF(G4810=1,0,(H4810-F4810)*E4810)</f>
        <v/>
      </c>
      <c r="J4810">
        <f>E4810*F4810</f>
        <v/>
      </c>
    </row>
    <row r="4811">
      <c r="A4811">
        <f>Sources!A4811</f>
        <v/>
      </c>
      <c r="B4811">
        <f>Sources!B4811</f>
        <v/>
      </c>
      <c r="C4811">
        <f>Sources!D4811</f>
        <v/>
      </c>
      <c r="D4811">
        <f>Sources!E4811</f>
        <v/>
      </c>
      <c r="E4811">
        <f>Sources!F4811</f>
        <v/>
      </c>
      <c r="F4811">
        <f>Sources!H4811</f>
        <v/>
      </c>
      <c r="G4811">
        <f>IF(ABS(F4811-ROUND(F4811,0))&lt;0.001,1,0)</f>
        <v/>
      </c>
      <c r="H4811">
        <f>IF(G4811=1,F4811,CEILING(F4811,1))</f>
        <v/>
      </c>
      <c r="I4811">
        <f>IF(G4811=1,0,(H4811-F4811)*E4811)</f>
        <v/>
      </c>
      <c r="J4811">
        <f>E4811*F4811</f>
        <v/>
      </c>
    </row>
    <row r="4812">
      <c r="A4812">
        <f>Sources!A4812</f>
        <v/>
      </c>
      <c r="B4812">
        <f>Sources!B4812</f>
        <v/>
      </c>
      <c r="C4812">
        <f>Sources!D4812</f>
        <v/>
      </c>
      <c r="D4812">
        <f>Sources!E4812</f>
        <v/>
      </c>
      <c r="E4812">
        <f>Sources!F4812</f>
        <v/>
      </c>
      <c r="F4812">
        <f>Sources!H4812</f>
        <v/>
      </c>
      <c r="G4812">
        <f>IF(ABS(F4812-ROUND(F4812,0))&lt;0.001,1,0)</f>
        <v/>
      </c>
      <c r="H4812">
        <f>IF(G4812=1,F4812,CEILING(F4812,1))</f>
        <v/>
      </c>
      <c r="I4812">
        <f>IF(G4812=1,0,(H4812-F4812)*E4812)</f>
        <v/>
      </c>
      <c r="J4812">
        <f>E4812*F4812</f>
        <v/>
      </c>
    </row>
    <row r="4813">
      <c r="A4813">
        <f>Sources!A4813</f>
        <v/>
      </c>
      <c r="B4813">
        <f>Sources!B4813</f>
        <v/>
      </c>
      <c r="C4813">
        <f>Sources!D4813</f>
        <v/>
      </c>
      <c r="D4813">
        <f>Sources!E4813</f>
        <v/>
      </c>
      <c r="E4813">
        <f>Sources!F4813</f>
        <v/>
      </c>
      <c r="F4813">
        <f>Sources!H4813</f>
        <v/>
      </c>
      <c r="G4813">
        <f>IF(ABS(F4813-ROUND(F4813,0))&lt;0.001,1,0)</f>
        <v/>
      </c>
      <c r="H4813">
        <f>IF(G4813=1,F4813,CEILING(F4813,1))</f>
        <v/>
      </c>
      <c r="I4813">
        <f>IF(G4813=1,0,(H4813-F4813)*E4813)</f>
        <v/>
      </c>
      <c r="J4813">
        <f>E4813*F4813</f>
        <v/>
      </c>
    </row>
    <row r="4814">
      <c r="A4814">
        <f>Sources!A4814</f>
        <v/>
      </c>
      <c r="B4814">
        <f>Sources!B4814</f>
        <v/>
      </c>
      <c r="C4814">
        <f>Sources!D4814</f>
        <v/>
      </c>
      <c r="D4814">
        <f>Sources!E4814</f>
        <v/>
      </c>
      <c r="E4814">
        <f>Sources!F4814</f>
        <v/>
      </c>
      <c r="F4814">
        <f>Sources!H4814</f>
        <v/>
      </c>
      <c r="G4814">
        <f>IF(ABS(F4814-ROUND(F4814,0))&lt;0.001,1,0)</f>
        <v/>
      </c>
      <c r="H4814">
        <f>IF(G4814=1,F4814,CEILING(F4814,1))</f>
        <v/>
      </c>
      <c r="I4814">
        <f>IF(G4814=1,0,(H4814-F4814)*E4814)</f>
        <v/>
      </c>
      <c r="J4814">
        <f>E4814*F4814</f>
        <v/>
      </c>
    </row>
    <row r="4815">
      <c r="A4815">
        <f>Sources!A4815</f>
        <v/>
      </c>
      <c r="B4815">
        <f>Sources!B4815</f>
        <v/>
      </c>
      <c r="C4815">
        <f>Sources!D4815</f>
        <v/>
      </c>
      <c r="D4815">
        <f>Sources!E4815</f>
        <v/>
      </c>
      <c r="E4815">
        <f>Sources!F4815</f>
        <v/>
      </c>
      <c r="F4815">
        <f>Sources!H4815</f>
        <v/>
      </c>
      <c r="G4815">
        <f>IF(ABS(F4815-ROUND(F4815,0))&lt;0.001,1,0)</f>
        <v/>
      </c>
      <c r="H4815">
        <f>IF(G4815=1,F4815,CEILING(F4815,1))</f>
        <v/>
      </c>
      <c r="I4815">
        <f>IF(G4815=1,0,(H4815-F4815)*E4815)</f>
        <v/>
      </c>
      <c r="J4815">
        <f>E4815*F4815</f>
        <v/>
      </c>
    </row>
    <row r="4816">
      <c r="A4816">
        <f>Sources!A4816</f>
        <v/>
      </c>
      <c r="B4816">
        <f>Sources!B4816</f>
        <v/>
      </c>
      <c r="C4816">
        <f>Sources!D4816</f>
        <v/>
      </c>
      <c r="D4816">
        <f>Sources!E4816</f>
        <v/>
      </c>
      <c r="E4816">
        <f>Sources!F4816</f>
        <v/>
      </c>
      <c r="F4816">
        <f>Sources!H4816</f>
        <v/>
      </c>
      <c r="G4816">
        <f>IF(ABS(F4816-ROUND(F4816,0))&lt;0.001,1,0)</f>
        <v/>
      </c>
      <c r="H4816">
        <f>IF(G4816=1,F4816,CEILING(F4816,1))</f>
        <v/>
      </c>
      <c r="I4816">
        <f>IF(G4816=1,0,(H4816-F4816)*E4816)</f>
        <v/>
      </c>
      <c r="J4816">
        <f>E4816*F4816</f>
        <v/>
      </c>
    </row>
    <row r="4817">
      <c r="A4817">
        <f>Sources!A4817</f>
        <v/>
      </c>
      <c r="B4817">
        <f>Sources!B4817</f>
        <v/>
      </c>
      <c r="C4817">
        <f>Sources!D4817</f>
        <v/>
      </c>
      <c r="D4817">
        <f>Sources!E4817</f>
        <v/>
      </c>
      <c r="E4817">
        <f>Sources!F4817</f>
        <v/>
      </c>
      <c r="F4817">
        <f>Sources!H4817</f>
        <v/>
      </c>
      <c r="G4817">
        <f>IF(ABS(F4817-ROUND(F4817,0))&lt;0.001,1,0)</f>
        <v/>
      </c>
      <c r="H4817">
        <f>IF(G4817=1,F4817,CEILING(F4817,1))</f>
        <v/>
      </c>
      <c r="I4817">
        <f>IF(G4817=1,0,(H4817-F4817)*E4817)</f>
        <v/>
      </c>
      <c r="J4817">
        <f>E4817*F4817</f>
        <v/>
      </c>
    </row>
    <row r="4818">
      <c r="A4818">
        <f>Sources!A4818</f>
        <v/>
      </c>
      <c r="B4818">
        <f>Sources!B4818</f>
        <v/>
      </c>
      <c r="C4818">
        <f>Sources!D4818</f>
        <v/>
      </c>
      <c r="D4818">
        <f>Sources!E4818</f>
        <v/>
      </c>
      <c r="E4818">
        <f>Sources!F4818</f>
        <v/>
      </c>
      <c r="F4818">
        <f>Sources!H4818</f>
        <v/>
      </c>
      <c r="G4818">
        <f>IF(ABS(F4818-ROUND(F4818,0))&lt;0.001,1,0)</f>
        <v/>
      </c>
      <c r="H4818">
        <f>IF(G4818=1,F4818,CEILING(F4818,1))</f>
        <v/>
      </c>
      <c r="I4818">
        <f>IF(G4818=1,0,(H4818-F4818)*E4818)</f>
        <v/>
      </c>
      <c r="J4818">
        <f>E4818*F4818</f>
        <v/>
      </c>
    </row>
    <row r="4819">
      <c r="A4819">
        <f>Sources!A4819</f>
        <v/>
      </c>
      <c r="B4819">
        <f>Sources!B4819</f>
        <v/>
      </c>
      <c r="C4819">
        <f>Sources!D4819</f>
        <v/>
      </c>
      <c r="D4819">
        <f>Sources!E4819</f>
        <v/>
      </c>
      <c r="E4819">
        <f>Sources!F4819</f>
        <v/>
      </c>
      <c r="F4819">
        <f>Sources!H4819</f>
        <v/>
      </c>
      <c r="G4819">
        <f>IF(ABS(F4819-ROUND(F4819,0))&lt;0.001,1,0)</f>
        <v/>
      </c>
      <c r="H4819">
        <f>IF(G4819=1,F4819,CEILING(F4819,1))</f>
        <v/>
      </c>
      <c r="I4819">
        <f>IF(G4819=1,0,(H4819-F4819)*E4819)</f>
        <v/>
      </c>
      <c r="J4819">
        <f>E4819*F4819</f>
        <v/>
      </c>
    </row>
    <row r="4820">
      <c r="A4820">
        <f>Sources!A4820</f>
        <v/>
      </c>
      <c r="B4820">
        <f>Sources!B4820</f>
        <v/>
      </c>
      <c r="C4820">
        <f>Sources!D4820</f>
        <v/>
      </c>
      <c r="D4820">
        <f>Sources!E4820</f>
        <v/>
      </c>
      <c r="E4820">
        <f>Sources!F4820</f>
        <v/>
      </c>
      <c r="F4820">
        <f>Sources!H4820</f>
        <v/>
      </c>
      <c r="G4820">
        <f>IF(ABS(F4820-ROUND(F4820,0))&lt;0.001,1,0)</f>
        <v/>
      </c>
      <c r="H4820">
        <f>IF(G4820=1,F4820,CEILING(F4820,1))</f>
        <v/>
      </c>
      <c r="I4820">
        <f>IF(G4820=1,0,(H4820-F4820)*E4820)</f>
        <v/>
      </c>
      <c r="J4820">
        <f>E4820*F4820</f>
        <v/>
      </c>
    </row>
    <row r="4821">
      <c r="A4821">
        <f>Sources!A4821</f>
        <v/>
      </c>
      <c r="B4821">
        <f>Sources!B4821</f>
        <v/>
      </c>
      <c r="C4821">
        <f>Sources!D4821</f>
        <v/>
      </c>
      <c r="D4821">
        <f>Sources!E4821</f>
        <v/>
      </c>
      <c r="E4821">
        <f>Sources!F4821</f>
        <v/>
      </c>
      <c r="F4821">
        <f>Sources!H4821</f>
        <v/>
      </c>
      <c r="G4821">
        <f>IF(ABS(F4821-ROUND(F4821,0))&lt;0.001,1,0)</f>
        <v/>
      </c>
      <c r="H4821">
        <f>IF(G4821=1,F4821,CEILING(F4821,1))</f>
        <v/>
      </c>
      <c r="I4821">
        <f>IF(G4821=1,0,(H4821-F4821)*E4821)</f>
        <v/>
      </c>
      <c r="J4821">
        <f>E4821*F4821</f>
        <v/>
      </c>
    </row>
    <row r="4822">
      <c r="A4822">
        <f>Sources!A4822</f>
        <v/>
      </c>
      <c r="B4822">
        <f>Sources!B4822</f>
        <v/>
      </c>
      <c r="C4822">
        <f>Sources!D4822</f>
        <v/>
      </c>
      <c r="D4822">
        <f>Sources!E4822</f>
        <v/>
      </c>
      <c r="E4822">
        <f>Sources!F4822</f>
        <v/>
      </c>
      <c r="F4822">
        <f>Sources!H4822</f>
        <v/>
      </c>
      <c r="G4822">
        <f>IF(ABS(F4822-ROUND(F4822,0))&lt;0.001,1,0)</f>
        <v/>
      </c>
      <c r="H4822">
        <f>IF(G4822=1,F4822,CEILING(F4822,1))</f>
        <v/>
      </c>
      <c r="I4822">
        <f>IF(G4822=1,0,(H4822-F4822)*E4822)</f>
        <v/>
      </c>
      <c r="J4822">
        <f>E4822*F4822</f>
        <v/>
      </c>
    </row>
    <row r="4823">
      <c r="A4823">
        <f>Sources!A4823</f>
        <v/>
      </c>
      <c r="B4823">
        <f>Sources!B4823</f>
        <v/>
      </c>
      <c r="C4823">
        <f>Sources!D4823</f>
        <v/>
      </c>
      <c r="D4823">
        <f>Sources!E4823</f>
        <v/>
      </c>
      <c r="E4823">
        <f>Sources!F4823</f>
        <v/>
      </c>
      <c r="F4823">
        <f>Sources!H4823</f>
        <v/>
      </c>
      <c r="G4823">
        <f>IF(ABS(F4823-ROUND(F4823,0))&lt;0.001,1,0)</f>
        <v/>
      </c>
      <c r="H4823">
        <f>IF(G4823=1,F4823,CEILING(F4823,1))</f>
        <v/>
      </c>
      <c r="I4823">
        <f>IF(G4823=1,0,(H4823-F4823)*E4823)</f>
        <v/>
      </c>
      <c r="J4823">
        <f>E4823*F4823</f>
        <v/>
      </c>
    </row>
    <row r="4824">
      <c r="A4824">
        <f>Sources!A4824</f>
        <v/>
      </c>
      <c r="B4824">
        <f>Sources!B4824</f>
        <v/>
      </c>
      <c r="C4824">
        <f>Sources!D4824</f>
        <v/>
      </c>
      <c r="D4824">
        <f>Sources!E4824</f>
        <v/>
      </c>
      <c r="E4824">
        <f>Sources!F4824</f>
        <v/>
      </c>
      <c r="F4824">
        <f>Sources!H4824</f>
        <v/>
      </c>
      <c r="G4824">
        <f>IF(ABS(F4824-ROUND(F4824,0))&lt;0.001,1,0)</f>
        <v/>
      </c>
      <c r="H4824">
        <f>IF(G4824=1,F4824,CEILING(F4824,1))</f>
        <v/>
      </c>
      <c r="I4824">
        <f>IF(G4824=1,0,(H4824-F4824)*E4824)</f>
        <v/>
      </c>
      <c r="J4824">
        <f>E4824*F4824</f>
        <v/>
      </c>
    </row>
    <row r="4825">
      <c r="A4825">
        <f>Sources!A4825</f>
        <v/>
      </c>
      <c r="B4825">
        <f>Sources!B4825</f>
        <v/>
      </c>
      <c r="C4825">
        <f>Sources!D4825</f>
        <v/>
      </c>
      <c r="D4825">
        <f>Sources!E4825</f>
        <v/>
      </c>
      <c r="E4825">
        <f>Sources!F4825</f>
        <v/>
      </c>
      <c r="F4825">
        <f>Sources!H4825</f>
        <v/>
      </c>
      <c r="G4825">
        <f>IF(ABS(F4825-ROUND(F4825,0))&lt;0.001,1,0)</f>
        <v/>
      </c>
      <c r="H4825">
        <f>IF(G4825=1,F4825,CEILING(F4825,1))</f>
        <v/>
      </c>
      <c r="I4825">
        <f>IF(G4825=1,0,(H4825-F4825)*E4825)</f>
        <v/>
      </c>
      <c r="J4825">
        <f>E4825*F4825</f>
        <v/>
      </c>
    </row>
    <row r="4826">
      <c r="A4826">
        <f>Sources!A4826</f>
        <v/>
      </c>
      <c r="B4826">
        <f>Sources!B4826</f>
        <v/>
      </c>
      <c r="C4826">
        <f>Sources!D4826</f>
        <v/>
      </c>
      <c r="D4826">
        <f>Sources!E4826</f>
        <v/>
      </c>
      <c r="E4826">
        <f>Sources!F4826</f>
        <v/>
      </c>
      <c r="F4826">
        <f>Sources!H4826</f>
        <v/>
      </c>
      <c r="G4826">
        <f>IF(ABS(F4826-ROUND(F4826,0))&lt;0.001,1,0)</f>
        <v/>
      </c>
      <c r="H4826">
        <f>IF(G4826=1,F4826,CEILING(F4826,1))</f>
        <v/>
      </c>
      <c r="I4826">
        <f>IF(G4826=1,0,(H4826-F4826)*E4826)</f>
        <v/>
      </c>
      <c r="J4826">
        <f>E4826*F4826</f>
        <v/>
      </c>
    </row>
    <row r="4827">
      <c r="A4827">
        <f>Sources!A4827</f>
        <v/>
      </c>
      <c r="B4827">
        <f>Sources!B4827</f>
        <v/>
      </c>
      <c r="C4827">
        <f>Sources!D4827</f>
        <v/>
      </c>
      <c r="D4827">
        <f>Sources!E4827</f>
        <v/>
      </c>
      <c r="E4827">
        <f>Sources!F4827</f>
        <v/>
      </c>
      <c r="F4827">
        <f>Sources!H4827</f>
        <v/>
      </c>
      <c r="G4827">
        <f>IF(ABS(F4827-ROUND(F4827,0))&lt;0.001,1,0)</f>
        <v/>
      </c>
      <c r="H4827">
        <f>IF(G4827=1,F4827,CEILING(F4827,1))</f>
        <v/>
      </c>
      <c r="I4827">
        <f>IF(G4827=1,0,(H4827-F4827)*E4827)</f>
        <v/>
      </c>
      <c r="J4827">
        <f>E4827*F4827</f>
        <v/>
      </c>
    </row>
    <row r="4828">
      <c r="A4828">
        <f>Sources!A4828</f>
        <v/>
      </c>
      <c r="B4828">
        <f>Sources!B4828</f>
        <v/>
      </c>
      <c r="C4828">
        <f>Sources!D4828</f>
        <v/>
      </c>
      <c r="D4828">
        <f>Sources!E4828</f>
        <v/>
      </c>
      <c r="E4828">
        <f>Sources!F4828</f>
        <v/>
      </c>
      <c r="F4828">
        <f>Sources!H4828</f>
        <v/>
      </c>
      <c r="G4828">
        <f>IF(ABS(F4828-ROUND(F4828,0))&lt;0.001,1,0)</f>
        <v/>
      </c>
      <c r="H4828">
        <f>IF(G4828=1,F4828,CEILING(F4828,1))</f>
        <v/>
      </c>
      <c r="I4828">
        <f>IF(G4828=1,0,(H4828-F4828)*E4828)</f>
        <v/>
      </c>
      <c r="J4828">
        <f>E4828*F4828</f>
        <v/>
      </c>
    </row>
    <row r="4829">
      <c r="A4829">
        <f>Sources!A4829</f>
        <v/>
      </c>
      <c r="B4829">
        <f>Sources!B4829</f>
        <v/>
      </c>
      <c r="C4829">
        <f>Sources!D4829</f>
        <v/>
      </c>
      <c r="D4829">
        <f>Sources!E4829</f>
        <v/>
      </c>
      <c r="E4829">
        <f>Sources!F4829</f>
        <v/>
      </c>
      <c r="F4829">
        <f>Sources!H4829</f>
        <v/>
      </c>
      <c r="G4829">
        <f>IF(ABS(F4829-ROUND(F4829,0))&lt;0.001,1,0)</f>
        <v/>
      </c>
      <c r="H4829">
        <f>IF(G4829=1,F4829,CEILING(F4829,1))</f>
        <v/>
      </c>
      <c r="I4829">
        <f>IF(G4829=1,0,(H4829-F4829)*E4829)</f>
        <v/>
      </c>
      <c r="J4829">
        <f>E4829*F4829</f>
        <v/>
      </c>
    </row>
    <row r="4830">
      <c r="A4830">
        <f>Sources!A4830</f>
        <v/>
      </c>
      <c r="B4830">
        <f>Sources!B4830</f>
        <v/>
      </c>
      <c r="C4830">
        <f>Sources!D4830</f>
        <v/>
      </c>
      <c r="D4830">
        <f>Sources!E4830</f>
        <v/>
      </c>
      <c r="E4830">
        <f>Sources!F4830</f>
        <v/>
      </c>
      <c r="F4830">
        <f>Sources!H4830</f>
        <v/>
      </c>
      <c r="G4830">
        <f>IF(ABS(F4830-ROUND(F4830,0))&lt;0.001,1,0)</f>
        <v/>
      </c>
      <c r="H4830">
        <f>IF(G4830=1,F4830,CEILING(F4830,1))</f>
        <v/>
      </c>
      <c r="I4830">
        <f>IF(G4830=1,0,(H4830-F4830)*E4830)</f>
        <v/>
      </c>
      <c r="J4830">
        <f>E4830*F4830</f>
        <v/>
      </c>
    </row>
    <row r="4831">
      <c r="A4831">
        <f>Sources!A4831</f>
        <v/>
      </c>
      <c r="B4831">
        <f>Sources!B4831</f>
        <v/>
      </c>
      <c r="C4831">
        <f>Sources!D4831</f>
        <v/>
      </c>
      <c r="D4831">
        <f>Sources!E4831</f>
        <v/>
      </c>
      <c r="E4831">
        <f>Sources!F4831</f>
        <v/>
      </c>
      <c r="F4831">
        <f>Sources!H4831</f>
        <v/>
      </c>
      <c r="G4831">
        <f>IF(ABS(F4831-ROUND(F4831,0))&lt;0.001,1,0)</f>
        <v/>
      </c>
      <c r="H4831">
        <f>IF(G4831=1,F4831,CEILING(F4831,1))</f>
        <v/>
      </c>
      <c r="I4831">
        <f>IF(G4831=1,0,(H4831-F4831)*E4831)</f>
        <v/>
      </c>
      <c r="J4831">
        <f>E4831*F4831</f>
        <v/>
      </c>
    </row>
    <row r="4832">
      <c r="A4832">
        <f>Sources!A4832</f>
        <v/>
      </c>
      <c r="B4832">
        <f>Sources!B4832</f>
        <v/>
      </c>
      <c r="C4832">
        <f>Sources!D4832</f>
        <v/>
      </c>
      <c r="D4832">
        <f>Sources!E4832</f>
        <v/>
      </c>
      <c r="E4832">
        <f>Sources!F4832</f>
        <v/>
      </c>
      <c r="F4832">
        <f>Sources!H4832</f>
        <v/>
      </c>
      <c r="G4832">
        <f>IF(ABS(F4832-ROUND(F4832,0))&lt;0.001,1,0)</f>
        <v/>
      </c>
      <c r="H4832">
        <f>IF(G4832=1,F4832,CEILING(F4832,1))</f>
        <v/>
      </c>
      <c r="I4832">
        <f>IF(G4832=1,0,(H4832-F4832)*E4832)</f>
        <v/>
      </c>
      <c r="J4832">
        <f>E4832*F4832</f>
        <v/>
      </c>
    </row>
    <row r="4833">
      <c r="A4833">
        <f>Sources!A4833</f>
        <v/>
      </c>
      <c r="B4833">
        <f>Sources!B4833</f>
        <v/>
      </c>
      <c r="C4833">
        <f>Sources!D4833</f>
        <v/>
      </c>
      <c r="D4833">
        <f>Sources!E4833</f>
        <v/>
      </c>
      <c r="E4833">
        <f>Sources!F4833</f>
        <v/>
      </c>
      <c r="F4833">
        <f>Sources!H4833</f>
        <v/>
      </c>
      <c r="G4833">
        <f>IF(ABS(F4833-ROUND(F4833,0))&lt;0.001,1,0)</f>
        <v/>
      </c>
      <c r="H4833">
        <f>IF(G4833=1,F4833,CEILING(F4833,1))</f>
        <v/>
      </c>
      <c r="I4833">
        <f>IF(G4833=1,0,(H4833-F4833)*E4833)</f>
        <v/>
      </c>
      <c r="J4833">
        <f>E4833*F4833</f>
        <v/>
      </c>
    </row>
    <row r="4834">
      <c r="A4834">
        <f>Sources!A4834</f>
        <v/>
      </c>
      <c r="B4834">
        <f>Sources!B4834</f>
        <v/>
      </c>
      <c r="C4834">
        <f>Sources!D4834</f>
        <v/>
      </c>
      <c r="D4834">
        <f>Sources!E4834</f>
        <v/>
      </c>
      <c r="E4834">
        <f>Sources!F4834</f>
        <v/>
      </c>
      <c r="F4834">
        <f>Sources!H4834</f>
        <v/>
      </c>
      <c r="G4834">
        <f>IF(ABS(F4834-ROUND(F4834,0))&lt;0.001,1,0)</f>
        <v/>
      </c>
      <c r="H4834">
        <f>IF(G4834=1,F4834,CEILING(F4834,1))</f>
        <v/>
      </c>
      <c r="I4834">
        <f>IF(G4834=1,0,(H4834-F4834)*E4834)</f>
        <v/>
      </c>
      <c r="J4834">
        <f>E4834*F4834</f>
        <v/>
      </c>
    </row>
    <row r="4835">
      <c r="A4835">
        <f>Sources!A4835</f>
        <v/>
      </c>
      <c r="B4835">
        <f>Sources!B4835</f>
        <v/>
      </c>
      <c r="C4835">
        <f>Sources!D4835</f>
        <v/>
      </c>
      <c r="D4835">
        <f>Sources!E4835</f>
        <v/>
      </c>
      <c r="E4835">
        <f>Sources!F4835</f>
        <v/>
      </c>
      <c r="F4835">
        <f>Sources!H4835</f>
        <v/>
      </c>
      <c r="G4835">
        <f>IF(ABS(F4835-ROUND(F4835,0))&lt;0.001,1,0)</f>
        <v/>
      </c>
      <c r="H4835">
        <f>IF(G4835=1,F4835,CEILING(F4835,1))</f>
        <v/>
      </c>
      <c r="I4835">
        <f>IF(G4835=1,0,(H4835-F4835)*E4835)</f>
        <v/>
      </c>
      <c r="J4835">
        <f>E4835*F4835</f>
        <v/>
      </c>
    </row>
    <row r="4836">
      <c r="A4836">
        <f>Sources!A4836</f>
        <v/>
      </c>
      <c r="B4836">
        <f>Sources!B4836</f>
        <v/>
      </c>
      <c r="C4836">
        <f>Sources!D4836</f>
        <v/>
      </c>
      <c r="D4836">
        <f>Sources!E4836</f>
        <v/>
      </c>
      <c r="E4836">
        <f>Sources!F4836</f>
        <v/>
      </c>
      <c r="F4836">
        <f>Sources!H4836</f>
        <v/>
      </c>
      <c r="G4836">
        <f>IF(ABS(F4836-ROUND(F4836,0))&lt;0.001,1,0)</f>
        <v/>
      </c>
      <c r="H4836">
        <f>IF(G4836=1,F4836,CEILING(F4836,1))</f>
        <v/>
      </c>
      <c r="I4836">
        <f>IF(G4836=1,0,(H4836-F4836)*E4836)</f>
        <v/>
      </c>
      <c r="J4836">
        <f>E4836*F4836</f>
        <v/>
      </c>
    </row>
    <row r="4837">
      <c r="A4837">
        <f>Sources!A4837</f>
        <v/>
      </c>
      <c r="B4837">
        <f>Sources!B4837</f>
        <v/>
      </c>
      <c r="C4837">
        <f>Sources!D4837</f>
        <v/>
      </c>
      <c r="D4837">
        <f>Sources!E4837</f>
        <v/>
      </c>
      <c r="E4837">
        <f>Sources!F4837</f>
        <v/>
      </c>
      <c r="F4837">
        <f>Sources!H4837</f>
        <v/>
      </c>
      <c r="G4837">
        <f>IF(ABS(F4837-ROUND(F4837,0))&lt;0.001,1,0)</f>
        <v/>
      </c>
      <c r="H4837">
        <f>IF(G4837=1,F4837,CEILING(F4837,1))</f>
        <v/>
      </c>
      <c r="I4837">
        <f>IF(G4837=1,0,(H4837-F4837)*E4837)</f>
        <v/>
      </c>
      <c r="J4837">
        <f>E4837*F4837</f>
        <v/>
      </c>
    </row>
    <row r="4838">
      <c r="A4838">
        <f>Sources!A4838</f>
        <v/>
      </c>
      <c r="B4838">
        <f>Sources!B4838</f>
        <v/>
      </c>
      <c r="C4838">
        <f>Sources!D4838</f>
        <v/>
      </c>
      <c r="D4838">
        <f>Sources!E4838</f>
        <v/>
      </c>
      <c r="E4838">
        <f>Sources!F4838</f>
        <v/>
      </c>
      <c r="F4838">
        <f>Sources!H4838</f>
        <v/>
      </c>
      <c r="G4838">
        <f>IF(ABS(F4838-ROUND(F4838,0))&lt;0.001,1,0)</f>
        <v/>
      </c>
      <c r="H4838">
        <f>IF(G4838=1,F4838,CEILING(F4838,1))</f>
        <v/>
      </c>
      <c r="I4838">
        <f>IF(G4838=1,0,(H4838-F4838)*E4838)</f>
        <v/>
      </c>
      <c r="J4838">
        <f>E4838*F4838</f>
        <v/>
      </c>
    </row>
    <row r="4839">
      <c r="A4839">
        <f>Sources!A4839</f>
        <v/>
      </c>
      <c r="B4839">
        <f>Sources!B4839</f>
        <v/>
      </c>
      <c r="C4839">
        <f>Sources!D4839</f>
        <v/>
      </c>
      <c r="D4839">
        <f>Sources!E4839</f>
        <v/>
      </c>
      <c r="E4839">
        <f>Sources!F4839</f>
        <v/>
      </c>
      <c r="F4839">
        <f>Sources!H4839</f>
        <v/>
      </c>
      <c r="G4839">
        <f>IF(ABS(F4839-ROUND(F4839,0))&lt;0.001,1,0)</f>
        <v/>
      </c>
      <c r="H4839">
        <f>IF(G4839=1,F4839,CEILING(F4839,1))</f>
        <v/>
      </c>
      <c r="I4839">
        <f>IF(G4839=1,0,(H4839-F4839)*E4839)</f>
        <v/>
      </c>
      <c r="J4839">
        <f>E4839*F4839</f>
        <v/>
      </c>
    </row>
    <row r="4840">
      <c r="A4840">
        <f>Sources!A4840</f>
        <v/>
      </c>
      <c r="B4840">
        <f>Sources!B4840</f>
        <v/>
      </c>
      <c r="C4840">
        <f>Sources!D4840</f>
        <v/>
      </c>
      <c r="D4840">
        <f>Sources!E4840</f>
        <v/>
      </c>
      <c r="E4840">
        <f>Sources!F4840</f>
        <v/>
      </c>
      <c r="F4840">
        <f>Sources!H4840</f>
        <v/>
      </c>
      <c r="G4840">
        <f>IF(ABS(F4840-ROUND(F4840,0))&lt;0.001,1,0)</f>
        <v/>
      </c>
      <c r="H4840">
        <f>IF(G4840=1,F4840,CEILING(F4840,1))</f>
        <v/>
      </c>
      <c r="I4840">
        <f>IF(G4840=1,0,(H4840-F4840)*E4840)</f>
        <v/>
      </c>
      <c r="J4840">
        <f>E4840*F4840</f>
        <v/>
      </c>
    </row>
    <row r="4841">
      <c r="A4841">
        <f>Sources!A4841</f>
        <v/>
      </c>
      <c r="B4841">
        <f>Sources!B4841</f>
        <v/>
      </c>
      <c r="C4841">
        <f>Sources!D4841</f>
        <v/>
      </c>
      <c r="D4841">
        <f>Sources!E4841</f>
        <v/>
      </c>
      <c r="E4841">
        <f>Sources!F4841</f>
        <v/>
      </c>
      <c r="F4841">
        <f>Sources!H4841</f>
        <v/>
      </c>
      <c r="G4841">
        <f>IF(ABS(F4841-ROUND(F4841,0))&lt;0.001,1,0)</f>
        <v/>
      </c>
      <c r="H4841">
        <f>IF(G4841=1,F4841,CEILING(F4841,1))</f>
        <v/>
      </c>
      <c r="I4841">
        <f>IF(G4841=1,0,(H4841-F4841)*E4841)</f>
        <v/>
      </c>
      <c r="J4841">
        <f>E4841*F4841</f>
        <v/>
      </c>
    </row>
    <row r="4842">
      <c r="A4842">
        <f>Sources!A4842</f>
        <v/>
      </c>
      <c r="B4842">
        <f>Sources!B4842</f>
        <v/>
      </c>
      <c r="C4842">
        <f>Sources!D4842</f>
        <v/>
      </c>
      <c r="D4842">
        <f>Sources!E4842</f>
        <v/>
      </c>
      <c r="E4842">
        <f>Sources!F4842</f>
        <v/>
      </c>
      <c r="F4842">
        <f>Sources!H4842</f>
        <v/>
      </c>
      <c r="G4842">
        <f>IF(ABS(F4842-ROUND(F4842,0))&lt;0.001,1,0)</f>
        <v/>
      </c>
      <c r="H4842">
        <f>IF(G4842=1,F4842,CEILING(F4842,1))</f>
        <v/>
      </c>
      <c r="I4842">
        <f>IF(G4842=1,0,(H4842-F4842)*E4842)</f>
        <v/>
      </c>
      <c r="J4842">
        <f>E4842*F4842</f>
        <v/>
      </c>
    </row>
    <row r="4843">
      <c r="A4843">
        <f>Sources!A4843</f>
        <v/>
      </c>
      <c r="B4843">
        <f>Sources!B4843</f>
        <v/>
      </c>
      <c r="C4843">
        <f>Sources!D4843</f>
        <v/>
      </c>
      <c r="D4843">
        <f>Sources!E4843</f>
        <v/>
      </c>
      <c r="E4843">
        <f>Sources!F4843</f>
        <v/>
      </c>
      <c r="F4843">
        <f>Sources!H4843</f>
        <v/>
      </c>
      <c r="G4843">
        <f>IF(ABS(F4843-ROUND(F4843,0))&lt;0.001,1,0)</f>
        <v/>
      </c>
      <c r="H4843">
        <f>IF(G4843=1,F4843,CEILING(F4843,1))</f>
        <v/>
      </c>
      <c r="I4843">
        <f>IF(G4843=1,0,(H4843-F4843)*E4843)</f>
        <v/>
      </c>
      <c r="J4843">
        <f>E4843*F4843</f>
        <v/>
      </c>
    </row>
    <row r="4844">
      <c r="A4844">
        <f>Sources!A4844</f>
        <v/>
      </c>
      <c r="B4844">
        <f>Sources!B4844</f>
        <v/>
      </c>
      <c r="C4844">
        <f>Sources!D4844</f>
        <v/>
      </c>
      <c r="D4844">
        <f>Sources!E4844</f>
        <v/>
      </c>
      <c r="E4844">
        <f>Sources!F4844</f>
        <v/>
      </c>
      <c r="F4844">
        <f>Sources!H4844</f>
        <v/>
      </c>
      <c r="G4844">
        <f>IF(ABS(F4844-ROUND(F4844,0))&lt;0.001,1,0)</f>
        <v/>
      </c>
      <c r="H4844">
        <f>IF(G4844=1,F4844,CEILING(F4844,1))</f>
        <v/>
      </c>
      <c r="I4844">
        <f>IF(G4844=1,0,(H4844-F4844)*E4844)</f>
        <v/>
      </c>
      <c r="J4844">
        <f>E4844*F4844</f>
        <v/>
      </c>
    </row>
    <row r="4845">
      <c r="A4845">
        <f>Sources!A4845</f>
        <v/>
      </c>
      <c r="B4845">
        <f>Sources!B4845</f>
        <v/>
      </c>
      <c r="C4845">
        <f>Sources!D4845</f>
        <v/>
      </c>
      <c r="D4845">
        <f>Sources!E4845</f>
        <v/>
      </c>
      <c r="E4845">
        <f>Sources!F4845</f>
        <v/>
      </c>
      <c r="F4845">
        <f>Sources!H4845</f>
        <v/>
      </c>
      <c r="G4845">
        <f>IF(ABS(F4845-ROUND(F4845,0))&lt;0.001,1,0)</f>
        <v/>
      </c>
      <c r="H4845">
        <f>IF(G4845=1,F4845,CEILING(F4845,1))</f>
        <v/>
      </c>
      <c r="I4845">
        <f>IF(G4845=1,0,(H4845-F4845)*E4845)</f>
        <v/>
      </c>
      <c r="J4845">
        <f>E4845*F4845</f>
        <v/>
      </c>
    </row>
    <row r="4846">
      <c r="A4846">
        <f>Sources!A4846</f>
        <v/>
      </c>
      <c r="B4846">
        <f>Sources!B4846</f>
        <v/>
      </c>
      <c r="C4846">
        <f>Sources!D4846</f>
        <v/>
      </c>
      <c r="D4846">
        <f>Sources!E4846</f>
        <v/>
      </c>
      <c r="E4846">
        <f>Sources!F4846</f>
        <v/>
      </c>
      <c r="F4846">
        <f>Sources!H4846</f>
        <v/>
      </c>
      <c r="G4846">
        <f>IF(ABS(F4846-ROUND(F4846,0))&lt;0.001,1,0)</f>
        <v/>
      </c>
      <c r="H4846">
        <f>IF(G4846=1,F4846,CEILING(F4846,1))</f>
        <v/>
      </c>
      <c r="I4846">
        <f>IF(G4846=1,0,(H4846-F4846)*E4846)</f>
        <v/>
      </c>
      <c r="J4846">
        <f>E4846*F4846</f>
        <v/>
      </c>
    </row>
    <row r="4847">
      <c r="A4847">
        <f>Sources!A4847</f>
        <v/>
      </c>
      <c r="B4847">
        <f>Sources!B4847</f>
        <v/>
      </c>
      <c r="C4847">
        <f>Sources!D4847</f>
        <v/>
      </c>
      <c r="D4847">
        <f>Sources!E4847</f>
        <v/>
      </c>
      <c r="E4847">
        <f>Sources!F4847</f>
        <v/>
      </c>
      <c r="F4847">
        <f>Sources!H4847</f>
        <v/>
      </c>
      <c r="G4847">
        <f>IF(ABS(F4847-ROUND(F4847,0))&lt;0.001,1,0)</f>
        <v/>
      </c>
      <c r="H4847">
        <f>IF(G4847=1,F4847,CEILING(F4847,1))</f>
        <v/>
      </c>
      <c r="I4847">
        <f>IF(G4847=1,0,(H4847-F4847)*E4847)</f>
        <v/>
      </c>
      <c r="J4847">
        <f>E4847*F4847</f>
        <v/>
      </c>
    </row>
    <row r="4848">
      <c r="A4848">
        <f>Sources!A4848</f>
        <v/>
      </c>
      <c r="B4848">
        <f>Sources!B4848</f>
        <v/>
      </c>
      <c r="C4848">
        <f>Sources!D4848</f>
        <v/>
      </c>
      <c r="D4848">
        <f>Sources!E4848</f>
        <v/>
      </c>
      <c r="E4848">
        <f>Sources!F4848</f>
        <v/>
      </c>
      <c r="F4848">
        <f>Sources!H4848</f>
        <v/>
      </c>
      <c r="G4848">
        <f>IF(ABS(F4848-ROUND(F4848,0))&lt;0.001,1,0)</f>
        <v/>
      </c>
      <c r="H4848">
        <f>IF(G4848=1,F4848,CEILING(F4848,1))</f>
        <v/>
      </c>
      <c r="I4848">
        <f>IF(G4848=1,0,(H4848-F4848)*E4848)</f>
        <v/>
      </c>
      <c r="J4848">
        <f>E4848*F4848</f>
        <v/>
      </c>
    </row>
    <row r="4849">
      <c r="A4849">
        <f>Sources!A4849</f>
        <v/>
      </c>
      <c r="B4849">
        <f>Sources!B4849</f>
        <v/>
      </c>
      <c r="C4849">
        <f>Sources!D4849</f>
        <v/>
      </c>
      <c r="D4849">
        <f>Sources!E4849</f>
        <v/>
      </c>
      <c r="E4849">
        <f>Sources!F4849</f>
        <v/>
      </c>
      <c r="F4849">
        <f>Sources!H4849</f>
        <v/>
      </c>
      <c r="G4849">
        <f>IF(ABS(F4849-ROUND(F4849,0))&lt;0.001,1,0)</f>
        <v/>
      </c>
      <c r="H4849">
        <f>IF(G4849=1,F4849,CEILING(F4849,1))</f>
        <v/>
      </c>
      <c r="I4849">
        <f>IF(G4849=1,0,(H4849-F4849)*E4849)</f>
        <v/>
      </c>
      <c r="J4849">
        <f>E4849*F4849</f>
        <v/>
      </c>
    </row>
    <row r="4850">
      <c r="A4850">
        <f>Sources!A4850</f>
        <v/>
      </c>
      <c r="B4850">
        <f>Sources!B4850</f>
        <v/>
      </c>
      <c r="C4850">
        <f>Sources!D4850</f>
        <v/>
      </c>
      <c r="D4850">
        <f>Sources!E4850</f>
        <v/>
      </c>
      <c r="E4850">
        <f>Sources!F4850</f>
        <v/>
      </c>
      <c r="F4850">
        <f>Sources!H4850</f>
        <v/>
      </c>
      <c r="G4850">
        <f>IF(ABS(F4850-ROUND(F4850,0))&lt;0.001,1,0)</f>
        <v/>
      </c>
      <c r="H4850">
        <f>IF(G4850=1,F4850,CEILING(F4850,1))</f>
        <v/>
      </c>
      <c r="I4850">
        <f>IF(G4850=1,0,(H4850-F4850)*E4850)</f>
        <v/>
      </c>
      <c r="J4850">
        <f>E4850*F4850</f>
        <v/>
      </c>
    </row>
    <row r="4851">
      <c r="A4851">
        <f>Sources!A4851</f>
        <v/>
      </c>
      <c r="B4851">
        <f>Sources!B4851</f>
        <v/>
      </c>
      <c r="C4851">
        <f>Sources!D4851</f>
        <v/>
      </c>
      <c r="D4851">
        <f>Sources!E4851</f>
        <v/>
      </c>
      <c r="E4851">
        <f>Sources!F4851</f>
        <v/>
      </c>
      <c r="F4851">
        <f>Sources!H4851</f>
        <v/>
      </c>
      <c r="G4851">
        <f>IF(ABS(F4851-ROUND(F4851,0))&lt;0.001,1,0)</f>
        <v/>
      </c>
      <c r="H4851">
        <f>IF(G4851=1,F4851,CEILING(F4851,1))</f>
        <v/>
      </c>
      <c r="I4851">
        <f>IF(G4851=1,0,(H4851-F4851)*E4851)</f>
        <v/>
      </c>
      <c r="J4851">
        <f>E4851*F4851</f>
        <v/>
      </c>
    </row>
    <row r="4852">
      <c r="A4852">
        <f>Sources!A4852</f>
        <v/>
      </c>
      <c r="B4852">
        <f>Sources!B4852</f>
        <v/>
      </c>
      <c r="C4852">
        <f>Sources!D4852</f>
        <v/>
      </c>
      <c r="D4852">
        <f>Sources!E4852</f>
        <v/>
      </c>
      <c r="E4852">
        <f>Sources!F4852</f>
        <v/>
      </c>
      <c r="F4852">
        <f>Sources!H4852</f>
        <v/>
      </c>
      <c r="G4852">
        <f>IF(ABS(F4852-ROUND(F4852,0))&lt;0.001,1,0)</f>
        <v/>
      </c>
      <c r="H4852">
        <f>IF(G4852=1,F4852,CEILING(F4852,1))</f>
        <v/>
      </c>
      <c r="I4852">
        <f>IF(G4852=1,0,(H4852-F4852)*E4852)</f>
        <v/>
      </c>
      <c r="J4852">
        <f>E4852*F4852</f>
        <v/>
      </c>
    </row>
    <row r="4853">
      <c r="A4853">
        <f>Sources!A4853</f>
        <v/>
      </c>
      <c r="B4853">
        <f>Sources!B4853</f>
        <v/>
      </c>
      <c r="C4853">
        <f>Sources!D4853</f>
        <v/>
      </c>
      <c r="D4853">
        <f>Sources!E4853</f>
        <v/>
      </c>
      <c r="E4853">
        <f>Sources!F4853</f>
        <v/>
      </c>
      <c r="F4853">
        <f>Sources!H4853</f>
        <v/>
      </c>
      <c r="G4853">
        <f>IF(ABS(F4853-ROUND(F4853,0))&lt;0.001,1,0)</f>
        <v/>
      </c>
      <c r="H4853">
        <f>IF(G4853=1,F4853,CEILING(F4853,1))</f>
        <v/>
      </c>
      <c r="I4853">
        <f>IF(G4853=1,0,(H4853-F4853)*E4853)</f>
        <v/>
      </c>
      <c r="J4853">
        <f>E4853*F4853</f>
        <v/>
      </c>
    </row>
    <row r="4854">
      <c r="A4854">
        <f>Sources!A4854</f>
        <v/>
      </c>
      <c r="B4854">
        <f>Sources!B4854</f>
        <v/>
      </c>
      <c r="C4854">
        <f>Sources!D4854</f>
        <v/>
      </c>
      <c r="D4854">
        <f>Sources!E4854</f>
        <v/>
      </c>
      <c r="E4854">
        <f>Sources!F4854</f>
        <v/>
      </c>
      <c r="F4854">
        <f>Sources!H4854</f>
        <v/>
      </c>
      <c r="G4854">
        <f>IF(ABS(F4854-ROUND(F4854,0))&lt;0.001,1,0)</f>
        <v/>
      </c>
      <c r="H4854">
        <f>IF(G4854=1,F4854,CEILING(F4854,1))</f>
        <v/>
      </c>
      <c r="I4854">
        <f>IF(G4854=1,0,(H4854-F4854)*E4854)</f>
        <v/>
      </c>
      <c r="J4854">
        <f>E4854*F4854</f>
        <v/>
      </c>
    </row>
    <row r="4855">
      <c r="A4855">
        <f>Sources!A4855</f>
        <v/>
      </c>
      <c r="B4855">
        <f>Sources!B4855</f>
        <v/>
      </c>
      <c r="C4855">
        <f>Sources!D4855</f>
        <v/>
      </c>
      <c r="D4855">
        <f>Sources!E4855</f>
        <v/>
      </c>
      <c r="E4855">
        <f>Sources!F4855</f>
        <v/>
      </c>
      <c r="F4855">
        <f>Sources!H4855</f>
        <v/>
      </c>
      <c r="G4855">
        <f>IF(ABS(F4855-ROUND(F4855,0))&lt;0.001,1,0)</f>
        <v/>
      </c>
      <c r="H4855">
        <f>IF(G4855=1,F4855,CEILING(F4855,1))</f>
        <v/>
      </c>
      <c r="I4855">
        <f>IF(G4855=1,0,(H4855-F4855)*E4855)</f>
        <v/>
      </c>
      <c r="J4855">
        <f>E4855*F4855</f>
        <v/>
      </c>
    </row>
    <row r="4856">
      <c r="A4856">
        <f>Sources!A4856</f>
        <v/>
      </c>
      <c r="B4856">
        <f>Sources!B4856</f>
        <v/>
      </c>
      <c r="C4856">
        <f>Sources!D4856</f>
        <v/>
      </c>
      <c r="D4856">
        <f>Sources!E4856</f>
        <v/>
      </c>
      <c r="E4856">
        <f>Sources!F4856</f>
        <v/>
      </c>
      <c r="F4856">
        <f>Sources!H4856</f>
        <v/>
      </c>
      <c r="G4856">
        <f>IF(ABS(F4856-ROUND(F4856,0))&lt;0.001,1,0)</f>
        <v/>
      </c>
      <c r="H4856">
        <f>IF(G4856=1,F4856,CEILING(F4856,1))</f>
        <v/>
      </c>
      <c r="I4856">
        <f>IF(G4856=1,0,(H4856-F4856)*E4856)</f>
        <v/>
      </c>
      <c r="J4856">
        <f>E4856*F4856</f>
        <v/>
      </c>
    </row>
    <row r="4857">
      <c r="A4857">
        <f>Sources!A4857</f>
        <v/>
      </c>
      <c r="B4857">
        <f>Sources!B4857</f>
        <v/>
      </c>
      <c r="C4857">
        <f>Sources!D4857</f>
        <v/>
      </c>
      <c r="D4857">
        <f>Sources!E4857</f>
        <v/>
      </c>
      <c r="E4857">
        <f>Sources!F4857</f>
        <v/>
      </c>
      <c r="F4857">
        <f>Sources!H4857</f>
        <v/>
      </c>
      <c r="G4857">
        <f>IF(ABS(F4857-ROUND(F4857,0))&lt;0.001,1,0)</f>
        <v/>
      </c>
      <c r="H4857">
        <f>IF(G4857=1,F4857,CEILING(F4857,1))</f>
        <v/>
      </c>
      <c r="I4857">
        <f>IF(G4857=1,0,(H4857-F4857)*E4857)</f>
        <v/>
      </c>
      <c r="J4857">
        <f>E4857*F4857</f>
        <v/>
      </c>
    </row>
    <row r="4858">
      <c r="A4858">
        <f>Sources!A4858</f>
        <v/>
      </c>
      <c r="B4858">
        <f>Sources!B4858</f>
        <v/>
      </c>
      <c r="C4858">
        <f>Sources!D4858</f>
        <v/>
      </c>
      <c r="D4858">
        <f>Sources!E4858</f>
        <v/>
      </c>
      <c r="E4858">
        <f>Sources!F4858</f>
        <v/>
      </c>
      <c r="F4858">
        <f>Sources!H4858</f>
        <v/>
      </c>
      <c r="G4858">
        <f>IF(ABS(F4858-ROUND(F4858,0))&lt;0.001,1,0)</f>
        <v/>
      </c>
      <c r="H4858">
        <f>IF(G4858=1,F4858,CEILING(F4858,1))</f>
        <v/>
      </c>
      <c r="I4858">
        <f>IF(G4858=1,0,(H4858-F4858)*E4858)</f>
        <v/>
      </c>
      <c r="J4858">
        <f>E4858*F4858</f>
        <v/>
      </c>
    </row>
    <row r="4859">
      <c r="A4859">
        <f>Sources!A4859</f>
        <v/>
      </c>
      <c r="B4859">
        <f>Sources!B4859</f>
        <v/>
      </c>
      <c r="C4859">
        <f>Sources!D4859</f>
        <v/>
      </c>
      <c r="D4859">
        <f>Sources!E4859</f>
        <v/>
      </c>
      <c r="E4859">
        <f>Sources!F4859</f>
        <v/>
      </c>
      <c r="F4859">
        <f>Sources!H4859</f>
        <v/>
      </c>
      <c r="G4859">
        <f>IF(ABS(F4859-ROUND(F4859,0))&lt;0.001,1,0)</f>
        <v/>
      </c>
      <c r="H4859">
        <f>IF(G4859=1,F4859,CEILING(F4859,1))</f>
        <v/>
      </c>
      <c r="I4859">
        <f>IF(G4859=1,0,(H4859-F4859)*E4859)</f>
        <v/>
      </c>
      <c r="J4859">
        <f>E4859*F4859</f>
        <v/>
      </c>
    </row>
    <row r="4860">
      <c r="A4860">
        <f>Sources!A4860</f>
        <v/>
      </c>
      <c r="B4860">
        <f>Sources!B4860</f>
        <v/>
      </c>
      <c r="C4860">
        <f>Sources!D4860</f>
        <v/>
      </c>
      <c r="D4860">
        <f>Sources!E4860</f>
        <v/>
      </c>
      <c r="E4860">
        <f>Sources!F4860</f>
        <v/>
      </c>
      <c r="F4860">
        <f>Sources!H4860</f>
        <v/>
      </c>
      <c r="G4860">
        <f>IF(ABS(F4860-ROUND(F4860,0))&lt;0.001,1,0)</f>
        <v/>
      </c>
      <c r="H4860">
        <f>IF(G4860=1,F4860,CEILING(F4860,1))</f>
        <v/>
      </c>
      <c r="I4860">
        <f>IF(G4860=1,0,(H4860-F4860)*E4860)</f>
        <v/>
      </c>
      <c r="J4860">
        <f>E4860*F4860</f>
        <v/>
      </c>
    </row>
    <row r="4861">
      <c r="A4861">
        <f>Sources!A4861</f>
        <v/>
      </c>
      <c r="B4861">
        <f>Sources!B4861</f>
        <v/>
      </c>
      <c r="C4861">
        <f>Sources!D4861</f>
        <v/>
      </c>
      <c r="D4861">
        <f>Sources!E4861</f>
        <v/>
      </c>
      <c r="E4861">
        <f>Sources!F4861</f>
        <v/>
      </c>
      <c r="F4861">
        <f>Sources!H4861</f>
        <v/>
      </c>
      <c r="G4861">
        <f>IF(ABS(F4861-ROUND(F4861,0))&lt;0.001,1,0)</f>
        <v/>
      </c>
      <c r="H4861">
        <f>IF(G4861=1,F4861,CEILING(F4861,1))</f>
        <v/>
      </c>
      <c r="I4861">
        <f>IF(G4861=1,0,(H4861-F4861)*E4861)</f>
        <v/>
      </c>
      <c r="J4861">
        <f>E4861*F4861</f>
        <v/>
      </c>
    </row>
    <row r="4862">
      <c r="A4862">
        <f>Sources!A4862</f>
        <v/>
      </c>
      <c r="B4862">
        <f>Sources!B4862</f>
        <v/>
      </c>
      <c r="C4862">
        <f>Sources!D4862</f>
        <v/>
      </c>
      <c r="D4862">
        <f>Sources!E4862</f>
        <v/>
      </c>
      <c r="E4862">
        <f>Sources!F4862</f>
        <v/>
      </c>
      <c r="F4862">
        <f>Sources!H4862</f>
        <v/>
      </c>
      <c r="G4862">
        <f>IF(ABS(F4862-ROUND(F4862,0))&lt;0.001,1,0)</f>
        <v/>
      </c>
      <c r="H4862">
        <f>IF(G4862=1,F4862,CEILING(F4862,1))</f>
        <v/>
      </c>
      <c r="I4862">
        <f>IF(G4862=1,0,(H4862-F4862)*E4862)</f>
        <v/>
      </c>
      <c r="J4862">
        <f>E4862*F4862</f>
        <v/>
      </c>
    </row>
    <row r="4863">
      <c r="A4863">
        <f>Sources!A4863</f>
        <v/>
      </c>
      <c r="B4863">
        <f>Sources!B4863</f>
        <v/>
      </c>
      <c r="C4863">
        <f>Sources!D4863</f>
        <v/>
      </c>
      <c r="D4863">
        <f>Sources!E4863</f>
        <v/>
      </c>
      <c r="E4863">
        <f>Sources!F4863</f>
        <v/>
      </c>
      <c r="F4863">
        <f>Sources!H4863</f>
        <v/>
      </c>
      <c r="G4863">
        <f>IF(ABS(F4863-ROUND(F4863,0))&lt;0.001,1,0)</f>
        <v/>
      </c>
      <c r="H4863">
        <f>IF(G4863=1,F4863,CEILING(F4863,1))</f>
        <v/>
      </c>
      <c r="I4863">
        <f>IF(G4863=1,0,(H4863-F4863)*E4863)</f>
        <v/>
      </c>
      <c r="J4863">
        <f>E4863*F4863</f>
        <v/>
      </c>
    </row>
    <row r="4864">
      <c r="A4864">
        <f>Sources!A4864</f>
        <v/>
      </c>
      <c r="B4864">
        <f>Sources!B4864</f>
        <v/>
      </c>
      <c r="C4864">
        <f>Sources!D4864</f>
        <v/>
      </c>
      <c r="D4864">
        <f>Sources!E4864</f>
        <v/>
      </c>
      <c r="E4864">
        <f>Sources!F4864</f>
        <v/>
      </c>
      <c r="F4864">
        <f>Sources!H4864</f>
        <v/>
      </c>
      <c r="G4864">
        <f>IF(ABS(F4864-ROUND(F4864,0))&lt;0.001,1,0)</f>
        <v/>
      </c>
      <c r="H4864">
        <f>IF(G4864=1,F4864,CEILING(F4864,1))</f>
        <v/>
      </c>
      <c r="I4864">
        <f>IF(G4864=1,0,(H4864-F4864)*E4864)</f>
        <v/>
      </c>
      <c r="J4864">
        <f>E4864*F4864</f>
        <v/>
      </c>
    </row>
    <row r="4865">
      <c r="A4865">
        <f>Sources!A4865</f>
        <v/>
      </c>
      <c r="B4865">
        <f>Sources!B4865</f>
        <v/>
      </c>
      <c r="C4865">
        <f>Sources!D4865</f>
        <v/>
      </c>
      <c r="D4865">
        <f>Sources!E4865</f>
        <v/>
      </c>
      <c r="E4865">
        <f>Sources!F4865</f>
        <v/>
      </c>
      <c r="F4865">
        <f>Sources!H4865</f>
        <v/>
      </c>
      <c r="G4865">
        <f>IF(ABS(F4865-ROUND(F4865,0))&lt;0.001,1,0)</f>
        <v/>
      </c>
      <c r="H4865">
        <f>IF(G4865=1,F4865,CEILING(F4865,1))</f>
        <v/>
      </c>
      <c r="I4865">
        <f>IF(G4865=1,0,(H4865-F4865)*E4865)</f>
        <v/>
      </c>
      <c r="J4865">
        <f>E4865*F4865</f>
        <v/>
      </c>
    </row>
    <row r="4866">
      <c r="A4866">
        <f>Sources!A4866</f>
        <v/>
      </c>
      <c r="B4866">
        <f>Sources!B4866</f>
        <v/>
      </c>
      <c r="C4866">
        <f>Sources!D4866</f>
        <v/>
      </c>
      <c r="D4866">
        <f>Sources!E4866</f>
        <v/>
      </c>
      <c r="E4866">
        <f>Sources!F4866</f>
        <v/>
      </c>
      <c r="F4866">
        <f>Sources!H4866</f>
        <v/>
      </c>
      <c r="G4866">
        <f>IF(ABS(F4866-ROUND(F4866,0))&lt;0.001,1,0)</f>
        <v/>
      </c>
      <c r="H4866">
        <f>IF(G4866=1,F4866,CEILING(F4866,1))</f>
        <v/>
      </c>
      <c r="I4866">
        <f>IF(G4866=1,0,(H4866-F4866)*E4866)</f>
        <v/>
      </c>
      <c r="J4866">
        <f>E4866*F4866</f>
        <v/>
      </c>
    </row>
    <row r="4867">
      <c r="A4867">
        <f>Sources!A4867</f>
        <v/>
      </c>
      <c r="B4867">
        <f>Sources!B4867</f>
        <v/>
      </c>
      <c r="C4867">
        <f>Sources!D4867</f>
        <v/>
      </c>
      <c r="D4867">
        <f>Sources!E4867</f>
        <v/>
      </c>
      <c r="E4867">
        <f>Sources!F4867</f>
        <v/>
      </c>
      <c r="F4867">
        <f>Sources!H4867</f>
        <v/>
      </c>
      <c r="G4867">
        <f>IF(ABS(F4867-ROUND(F4867,0))&lt;0.001,1,0)</f>
        <v/>
      </c>
      <c r="H4867">
        <f>IF(G4867=1,F4867,CEILING(F4867,1))</f>
        <v/>
      </c>
      <c r="I4867">
        <f>IF(G4867=1,0,(H4867-F4867)*E4867)</f>
        <v/>
      </c>
      <c r="J4867">
        <f>E4867*F4867</f>
        <v/>
      </c>
    </row>
    <row r="4868">
      <c r="A4868">
        <f>Sources!A4868</f>
        <v/>
      </c>
      <c r="B4868">
        <f>Sources!B4868</f>
        <v/>
      </c>
      <c r="C4868">
        <f>Sources!D4868</f>
        <v/>
      </c>
      <c r="D4868">
        <f>Sources!E4868</f>
        <v/>
      </c>
      <c r="E4868">
        <f>Sources!F4868</f>
        <v/>
      </c>
      <c r="F4868">
        <f>Sources!H4868</f>
        <v/>
      </c>
      <c r="G4868">
        <f>IF(ABS(F4868-ROUND(F4868,0))&lt;0.001,1,0)</f>
        <v/>
      </c>
      <c r="H4868">
        <f>IF(G4868=1,F4868,CEILING(F4868,1))</f>
        <v/>
      </c>
      <c r="I4868">
        <f>IF(G4868=1,0,(H4868-F4868)*E4868)</f>
        <v/>
      </c>
      <c r="J4868">
        <f>E4868*F4868</f>
        <v/>
      </c>
    </row>
    <row r="4869">
      <c r="A4869">
        <f>Sources!A4869</f>
        <v/>
      </c>
      <c r="B4869">
        <f>Sources!B4869</f>
        <v/>
      </c>
      <c r="C4869">
        <f>Sources!D4869</f>
        <v/>
      </c>
      <c r="D4869">
        <f>Sources!E4869</f>
        <v/>
      </c>
      <c r="E4869">
        <f>Sources!F4869</f>
        <v/>
      </c>
      <c r="F4869">
        <f>Sources!H4869</f>
        <v/>
      </c>
      <c r="G4869">
        <f>IF(ABS(F4869-ROUND(F4869,0))&lt;0.001,1,0)</f>
        <v/>
      </c>
      <c r="H4869">
        <f>IF(G4869=1,F4869,CEILING(F4869,1))</f>
        <v/>
      </c>
      <c r="I4869">
        <f>IF(G4869=1,0,(H4869-F4869)*E4869)</f>
        <v/>
      </c>
      <c r="J4869">
        <f>E4869*F4869</f>
        <v/>
      </c>
    </row>
    <row r="4870">
      <c r="A4870">
        <f>Sources!A4870</f>
        <v/>
      </c>
      <c r="B4870">
        <f>Sources!B4870</f>
        <v/>
      </c>
      <c r="C4870">
        <f>Sources!D4870</f>
        <v/>
      </c>
      <c r="D4870">
        <f>Sources!E4870</f>
        <v/>
      </c>
      <c r="E4870">
        <f>Sources!F4870</f>
        <v/>
      </c>
      <c r="F4870">
        <f>Sources!H4870</f>
        <v/>
      </c>
      <c r="G4870">
        <f>IF(ABS(F4870-ROUND(F4870,0))&lt;0.001,1,0)</f>
        <v/>
      </c>
      <c r="H4870">
        <f>IF(G4870=1,F4870,CEILING(F4870,1))</f>
        <v/>
      </c>
      <c r="I4870">
        <f>IF(G4870=1,0,(H4870-F4870)*E4870)</f>
        <v/>
      </c>
      <c r="J4870">
        <f>E4870*F4870</f>
        <v/>
      </c>
    </row>
    <row r="4871">
      <c r="A4871">
        <f>Sources!A4871</f>
        <v/>
      </c>
      <c r="B4871">
        <f>Sources!B4871</f>
        <v/>
      </c>
      <c r="C4871">
        <f>Sources!D4871</f>
        <v/>
      </c>
      <c r="D4871">
        <f>Sources!E4871</f>
        <v/>
      </c>
      <c r="E4871">
        <f>Sources!F4871</f>
        <v/>
      </c>
      <c r="F4871">
        <f>Sources!H4871</f>
        <v/>
      </c>
      <c r="G4871">
        <f>IF(ABS(F4871-ROUND(F4871,0))&lt;0.001,1,0)</f>
        <v/>
      </c>
      <c r="H4871">
        <f>IF(G4871=1,F4871,CEILING(F4871,1))</f>
        <v/>
      </c>
      <c r="I4871">
        <f>IF(G4871=1,0,(H4871-F4871)*E4871)</f>
        <v/>
      </c>
      <c r="J4871">
        <f>E4871*F4871</f>
        <v/>
      </c>
    </row>
    <row r="4872">
      <c r="A4872">
        <f>Sources!A4872</f>
        <v/>
      </c>
      <c r="B4872">
        <f>Sources!B4872</f>
        <v/>
      </c>
      <c r="C4872">
        <f>Sources!D4872</f>
        <v/>
      </c>
      <c r="D4872">
        <f>Sources!E4872</f>
        <v/>
      </c>
      <c r="E4872">
        <f>Sources!F4872</f>
        <v/>
      </c>
      <c r="F4872">
        <f>Sources!H4872</f>
        <v/>
      </c>
      <c r="G4872">
        <f>IF(ABS(F4872-ROUND(F4872,0))&lt;0.001,1,0)</f>
        <v/>
      </c>
      <c r="H4872">
        <f>IF(G4872=1,F4872,CEILING(F4872,1))</f>
        <v/>
      </c>
      <c r="I4872">
        <f>IF(G4872=1,0,(H4872-F4872)*E4872)</f>
        <v/>
      </c>
      <c r="J4872">
        <f>E4872*F4872</f>
        <v/>
      </c>
    </row>
    <row r="4873">
      <c r="A4873">
        <f>Sources!A4873</f>
        <v/>
      </c>
      <c r="B4873">
        <f>Sources!B4873</f>
        <v/>
      </c>
      <c r="C4873">
        <f>Sources!D4873</f>
        <v/>
      </c>
      <c r="D4873">
        <f>Sources!E4873</f>
        <v/>
      </c>
      <c r="E4873">
        <f>Sources!F4873</f>
        <v/>
      </c>
      <c r="F4873">
        <f>Sources!H4873</f>
        <v/>
      </c>
      <c r="G4873">
        <f>IF(ABS(F4873-ROUND(F4873,0))&lt;0.001,1,0)</f>
        <v/>
      </c>
      <c r="H4873">
        <f>IF(G4873=1,F4873,CEILING(F4873,1))</f>
        <v/>
      </c>
      <c r="I4873">
        <f>IF(G4873=1,0,(H4873-F4873)*E4873)</f>
        <v/>
      </c>
      <c r="J4873">
        <f>E4873*F4873</f>
        <v/>
      </c>
    </row>
    <row r="4874">
      <c r="A4874">
        <f>Sources!A4874</f>
        <v/>
      </c>
      <c r="B4874">
        <f>Sources!B4874</f>
        <v/>
      </c>
      <c r="C4874">
        <f>Sources!D4874</f>
        <v/>
      </c>
      <c r="D4874">
        <f>Sources!E4874</f>
        <v/>
      </c>
      <c r="E4874">
        <f>Sources!F4874</f>
        <v/>
      </c>
      <c r="F4874">
        <f>Sources!H4874</f>
        <v/>
      </c>
      <c r="G4874">
        <f>IF(ABS(F4874-ROUND(F4874,0))&lt;0.001,1,0)</f>
        <v/>
      </c>
      <c r="H4874">
        <f>IF(G4874=1,F4874,CEILING(F4874,1))</f>
        <v/>
      </c>
      <c r="I4874">
        <f>IF(G4874=1,0,(H4874-F4874)*E4874)</f>
        <v/>
      </c>
      <c r="J4874">
        <f>E4874*F4874</f>
        <v/>
      </c>
    </row>
    <row r="4875">
      <c r="A4875">
        <f>Sources!A4875</f>
        <v/>
      </c>
      <c r="B4875">
        <f>Sources!B4875</f>
        <v/>
      </c>
      <c r="C4875">
        <f>Sources!D4875</f>
        <v/>
      </c>
      <c r="D4875">
        <f>Sources!E4875</f>
        <v/>
      </c>
      <c r="E4875">
        <f>Sources!F4875</f>
        <v/>
      </c>
      <c r="F4875">
        <f>Sources!H4875</f>
        <v/>
      </c>
      <c r="G4875">
        <f>IF(ABS(F4875-ROUND(F4875,0))&lt;0.001,1,0)</f>
        <v/>
      </c>
      <c r="H4875">
        <f>IF(G4875=1,F4875,CEILING(F4875,1))</f>
        <v/>
      </c>
      <c r="I4875">
        <f>IF(G4875=1,0,(H4875-F4875)*E4875)</f>
        <v/>
      </c>
      <c r="J4875">
        <f>E4875*F4875</f>
        <v/>
      </c>
    </row>
    <row r="4876">
      <c r="A4876">
        <f>Sources!A4876</f>
        <v/>
      </c>
      <c r="B4876">
        <f>Sources!B4876</f>
        <v/>
      </c>
      <c r="C4876">
        <f>Sources!D4876</f>
        <v/>
      </c>
      <c r="D4876">
        <f>Sources!E4876</f>
        <v/>
      </c>
      <c r="E4876">
        <f>Sources!F4876</f>
        <v/>
      </c>
      <c r="F4876">
        <f>Sources!H4876</f>
        <v/>
      </c>
      <c r="G4876">
        <f>IF(ABS(F4876-ROUND(F4876,0))&lt;0.001,1,0)</f>
        <v/>
      </c>
      <c r="H4876">
        <f>IF(G4876=1,F4876,CEILING(F4876,1))</f>
        <v/>
      </c>
      <c r="I4876">
        <f>IF(G4876=1,0,(H4876-F4876)*E4876)</f>
        <v/>
      </c>
      <c r="J4876">
        <f>E4876*F4876</f>
        <v/>
      </c>
    </row>
    <row r="4877">
      <c r="A4877">
        <f>Sources!A4877</f>
        <v/>
      </c>
      <c r="B4877">
        <f>Sources!B4877</f>
        <v/>
      </c>
      <c r="C4877">
        <f>Sources!D4877</f>
        <v/>
      </c>
      <c r="D4877">
        <f>Sources!E4877</f>
        <v/>
      </c>
      <c r="E4877">
        <f>Sources!F4877</f>
        <v/>
      </c>
      <c r="F4877">
        <f>Sources!H4877</f>
        <v/>
      </c>
      <c r="G4877">
        <f>IF(ABS(F4877-ROUND(F4877,0))&lt;0.001,1,0)</f>
        <v/>
      </c>
      <c r="H4877">
        <f>IF(G4877=1,F4877,CEILING(F4877,1))</f>
        <v/>
      </c>
      <c r="I4877">
        <f>IF(G4877=1,0,(H4877-F4877)*E4877)</f>
        <v/>
      </c>
      <c r="J4877">
        <f>E4877*F4877</f>
        <v/>
      </c>
    </row>
    <row r="4878">
      <c r="A4878">
        <f>Sources!A4878</f>
        <v/>
      </c>
      <c r="B4878">
        <f>Sources!B4878</f>
        <v/>
      </c>
      <c r="C4878">
        <f>Sources!D4878</f>
        <v/>
      </c>
      <c r="D4878">
        <f>Sources!E4878</f>
        <v/>
      </c>
      <c r="E4878">
        <f>Sources!F4878</f>
        <v/>
      </c>
      <c r="F4878">
        <f>Sources!H4878</f>
        <v/>
      </c>
      <c r="G4878">
        <f>IF(ABS(F4878-ROUND(F4878,0))&lt;0.001,1,0)</f>
        <v/>
      </c>
      <c r="H4878">
        <f>IF(G4878=1,F4878,CEILING(F4878,1))</f>
        <v/>
      </c>
      <c r="I4878">
        <f>IF(G4878=1,0,(H4878-F4878)*E4878)</f>
        <v/>
      </c>
      <c r="J4878">
        <f>E4878*F4878</f>
        <v/>
      </c>
    </row>
    <row r="4879">
      <c r="A4879">
        <f>Sources!A4879</f>
        <v/>
      </c>
      <c r="B4879">
        <f>Sources!B4879</f>
        <v/>
      </c>
      <c r="C4879">
        <f>Sources!D4879</f>
        <v/>
      </c>
      <c r="D4879">
        <f>Sources!E4879</f>
        <v/>
      </c>
      <c r="E4879">
        <f>Sources!F4879</f>
        <v/>
      </c>
      <c r="F4879">
        <f>Sources!H4879</f>
        <v/>
      </c>
      <c r="G4879">
        <f>IF(ABS(F4879-ROUND(F4879,0))&lt;0.001,1,0)</f>
        <v/>
      </c>
      <c r="H4879">
        <f>IF(G4879=1,F4879,CEILING(F4879,1))</f>
        <v/>
      </c>
      <c r="I4879">
        <f>IF(G4879=1,0,(H4879-F4879)*E4879)</f>
        <v/>
      </c>
      <c r="J4879">
        <f>E4879*F4879</f>
        <v/>
      </c>
    </row>
    <row r="4880">
      <c r="A4880">
        <f>Sources!A4880</f>
        <v/>
      </c>
      <c r="B4880">
        <f>Sources!B4880</f>
        <v/>
      </c>
      <c r="C4880">
        <f>Sources!D4880</f>
        <v/>
      </c>
      <c r="D4880">
        <f>Sources!E4880</f>
        <v/>
      </c>
      <c r="E4880">
        <f>Sources!F4880</f>
        <v/>
      </c>
      <c r="F4880">
        <f>Sources!H4880</f>
        <v/>
      </c>
      <c r="G4880">
        <f>IF(ABS(F4880-ROUND(F4880,0))&lt;0.001,1,0)</f>
        <v/>
      </c>
      <c r="H4880">
        <f>IF(G4880=1,F4880,CEILING(F4880,1))</f>
        <v/>
      </c>
      <c r="I4880">
        <f>IF(G4880=1,0,(H4880-F4880)*E4880)</f>
        <v/>
      </c>
      <c r="J4880">
        <f>E4880*F4880</f>
        <v/>
      </c>
    </row>
    <row r="4881">
      <c r="A4881">
        <f>Sources!A4881</f>
        <v/>
      </c>
      <c r="B4881">
        <f>Sources!B4881</f>
        <v/>
      </c>
      <c r="C4881">
        <f>Sources!D4881</f>
        <v/>
      </c>
      <c r="D4881">
        <f>Sources!E4881</f>
        <v/>
      </c>
      <c r="E4881">
        <f>Sources!F4881</f>
        <v/>
      </c>
      <c r="F4881">
        <f>Sources!H4881</f>
        <v/>
      </c>
      <c r="G4881">
        <f>IF(ABS(F4881-ROUND(F4881,0))&lt;0.001,1,0)</f>
        <v/>
      </c>
      <c r="H4881">
        <f>IF(G4881=1,F4881,CEILING(F4881,1))</f>
        <v/>
      </c>
      <c r="I4881">
        <f>IF(G4881=1,0,(H4881-F4881)*E4881)</f>
        <v/>
      </c>
      <c r="J4881">
        <f>E4881*F4881</f>
        <v/>
      </c>
    </row>
    <row r="4882">
      <c r="A4882">
        <f>Sources!A4882</f>
        <v/>
      </c>
      <c r="B4882">
        <f>Sources!B4882</f>
        <v/>
      </c>
      <c r="C4882">
        <f>Sources!D4882</f>
        <v/>
      </c>
      <c r="D4882">
        <f>Sources!E4882</f>
        <v/>
      </c>
      <c r="E4882">
        <f>Sources!F4882</f>
        <v/>
      </c>
      <c r="F4882">
        <f>Sources!H4882</f>
        <v/>
      </c>
      <c r="G4882">
        <f>IF(ABS(F4882-ROUND(F4882,0))&lt;0.001,1,0)</f>
        <v/>
      </c>
      <c r="H4882">
        <f>IF(G4882=1,F4882,CEILING(F4882,1))</f>
        <v/>
      </c>
      <c r="I4882">
        <f>IF(G4882=1,0,(H4882-F4882)*E4882)</f>
        <v/>
      </c>
      <c r="J4882">
        <f>E4882*F4882</f>
        <v/>
      </c>
    </row>
    <row r="4883">
      <c r="A4883">
        <f>Sources!A4883</f>
        <v/>
      </c>
      <c r="B4883">
        <f>Sources!B4883</f>
        <v/>
      </c>
      <c r="C4883">
        <f>Sources!D4883</f>
        <v/>
      </c>
      <c r="D4883">
        <f>Sources!E4883</f>
        <v/>
      </c>
      <c r="E4883">
        <f>Sources!F4883</f>
        <v/>
      </c>
      <c r="F4883">
        <f>Sources!H4883</f>
        <v/>
      </c>
      <c r="G4883">
        <f>IF(ABS(F4883-ROUND(F4883,0))&lt;0.001,1,0)</f>
        <v/>
      </c>
      <c r="H4883">
        <f>IF(G4883=1,F4883,CEILING(F4883,1))</f>
        <v/>
      </c>
      <c r="I4883">
        <f>IF(G4883=1,0,(H4883-F4883)*E4883)</f>
        <v/>
      </c>
      <c r="J4883">
        <f>E4883*F4883</f>
        <v/>
      </c>
    </row>
    <row r="4884">
      <c r="A4884">
        <f>Sources!A4884</f>
        <v/>
      </c>
      <c r="B4884">
        <f>Sources!B4884</f>
        <v/>
      </c>
      <c r="C4884">
        <f>Sources!D4884</f>
        <v/>
      </c>
      <c r="D4884">
        <f>Sources!E4884</f>
        <v/>
      </c>
      <c r="E4884">
        <f>Sources!F4884</f>
        <v/>
      </c>
      <c r="F4884">
        <f>Sources!H4884</f>
        <v/>
      </c>
      <c r="G4884">
        <f>IF(ABS(F4884-ROUND(F4884,0))&lt;0.001,1,0)</f>
        <v/>
      </c>
      <c r="H4884">
        <f>IF(G4884=1,F4884,CEILING(F4884,1))</f>
        <v/>
      </c>
      <c r="I4884">
        <f>IF(G4884=1,0,(H4884-F4884)*E4884)</f>
        <v/>
      </c>
      <c r="J4884">
        <f>E4884*F4884</f>
        <v/>
      </c>
    </row>
    <row r="4885">
      <c r="A4885">
        <f>Sources!A4885</f>
        <v/>
      </c>
      <c r="B4885">
        <f>Sources!B4885</f>
        <v/>
      </c>
      <c r="C4885">
        <f>Sources!D4885</f>
        <v/>
      </c>
      <c r="D4885">
        <f>Sources!E4885</f>
        <v/>
      </c>
      <c r="E4885">
        <f>Sources!F4885</f>
        <v/>
      </c>
      <c r="F4885">
        <f>Sources!H4885</f>
        <v/>
      </c>
      <c r="G4885">
        <f>IF(ABS(F4885-ROUND(F4885,0))&lt;0.001,1,0)</f>
        <v/>
      </c>
      <c r="H4885">
        <f>IF(G4885=1,F4885,CEILING(F4885,1))</f>
        <v/>
      </c>
      <c r="I4885">
        <f>IF(G4885=1,0,(H4885-F4885)*E4885)</f>
        <v/>
      </c>
      <c r="J4885">
        <f>E4885*F4885</f>
        <v/>
      </c>
    </row>
    <row r="4886">
      <c r="A4886">
        <f>Sources!A4886</f>
        <v/>
      </c>
      <c r="B4886">
        <f>Sources!B4886</f>
        <v/>
      </c>
      <c r="C4886">
        <f>Sources!D4886</f>
        <v/>
      </c>
      <c r="D4886">
        <f>Sources!E4886</f>
        <v/>
      </c>
      <c r="E4886">
        <f>Sources!F4886</f>
        <v/>
      </c>
      <c r="F4886">
        <f>Sources!H4886</f>
        <v/>
      </c>
      <c r="G4886">
        <f>IF(ABS(F4886-ROUND(F4886,0))&lt;0.001,1,0)</f>
        <v/>
      </c>
      <c r="H4886">
        <f>IF(G4886=1,F4886,CEILING(F4886,1))</f>
        <v/>
      </c>
      <c r="I4886">
        <f>IF(G4886=1,0,(H4886-F4886)*E4886)</f>
        <v/>
      </c>
      <c r="J4886">
        <f>E4886*F4886</f>
        <v/>
      </c>
    </row>
    <row r="4887">
      <c r="A4887">
        <f>Sources!A4887</f>
        <v/>
      </c>
      <c r="B4887">
        <f>Sources!B4887</f>
        <v/>
      </c>
      <c r="C4887">
        <f>Sources!D4887</f>
        <v/>
      </c>
      <c r="D4887">
        <f>Sources!E4887</f>
        <v/>
      </c>
      <c r="E4887">
        <f>Sources!F4887</f>
        <v/>
      </c>
      <c r="F4887">
        <f>Sources!H4887</f>
        <v/>
      </c>
      <c r="G4887">
        <f>IF(ABS(F4887-ROUND(F4887,0))&lt;0.001,1,0)</f>
        <v/>
      </c>
      <c r="H4887">
        <f>IF(G4887=1,F4887,CEILING(F4887,1))</f>
        <v/>
      </c>
      <c r="I4887">
        <f>IF(G4887=1,0,(H4887-F4887)*E4887)</f>
        <v/>
      </c>
      <c r="J4887">
        <f>E4887*F4887</f>
        <v/>
      </c>
    </row>
    <row r="4888">
      <c r="A4888">
        <f>Sources!A4888</f>
        <v/>
      </c>
      <c r="B4888">
        <f>Sources!B4888</f>
        <v/>
      </c>
      <c r="C4888">
        <f>Sources!D4888</f>
        <v/>
      </c>
      <c r="D4888">
        <f>Sources!E4888</f>
        <v/>
      </c>
      <c r="E4888">
        <f>Sources!F4888</f>
        <v/>
      </c>
      <c r="F4888">
        <f>Sources!H4888</f>
        <v/>
      </c>
      <c r="G4888">
        <f>IF(ABS(F4888-ROUND(F4888,0))&lt;0.001,1,0)</f>
        <v/>
      </c>
      <c r="H4888">
        <f>IF(G4888=1,F4888,CEILING(F4888,1))</f>
        <v/>
      </c>
      <c r="I4888">
        <f>IF(G4888=1,0,(H4888-F4888)*E4888)</f>
        <v/>
      </c>
      <c r="J4888">
        <f>E4888*F4888</f>
        <v/>
      </c>
    </row>
    <row r="4889">
      <c r="A4889">
        <f>Sources!A4889</f>
        <v/>
      </c>
      <c r="B4889">
        <f>Sources!B4889</f>
        <v/>
      </c>
      <c r="C4889">
        <f>Sources!D4889</f>
        <v/>
      </c>
      <c r="D4889">
        <f>Sources!E4889</f>
        <v/>
      </c>
      <c r="E4889">
        <f>Sources!F4889</f>
        <v/>
      </c>
      <c r="F4889">
        <f>Sources!H4889</f>
        <v/>
      </c>
      <c r="G4889">
        <f>IF(ABS(F4889-ROUND(F4889,0))&lt;0.001,1,0)</f>
        <v/>
      </c>
      <c r="H4889">
        <f>IF(G4889=1,F4889,CEILING(F4889,1))</f>
        <v/>
      </c>
      <c r="I4889">
        <f>IF(G4889=1,0,(H4889-F4889)*E4889)</f>
        <v/>
      </c>
      <c r="J4889">
        <f>E4889*F4889</f>
        <v/>
      </c>
    </row>
    <row r="4890">
      <c r="A4890">
        <f>Sources!A4890</f>
        <v/>
      </c>
      <c r="B4890">
        <f>Sources!B4890</f>
        <v/>
      </c>
      <c r="C4890">
        <f>Sources!D4890</f>
        <v/>
      </c>
      <c r="D4890">
        <f>Sources!E4890</f>
        <v/>
      </c>
      <c r="E4890">
        <f>Sources!F4890</f>
        <v/>
      </c>
      <c r="F4890">
        <f>Sources!H4890</f>
        <v/>
      </c>
      <c r="G4890">
        <f>IF(ABS(F4890-ROUND(F4890,0))&lt;0.001,1,0)</f>
        <v/>
      </c>
      <c r="H4890">
        <f>IF(G4890=1,F4890,CEILING(F4890,1))</f>
        <v/>
      </c>
      <c r="I4890">
        <f>IF(G4890=1,0,(H4890-F4890)*E4890)</f>
        <v/>
      </c>
      <c r="J4890">
        <f>E4890*F4890</f>
        <v/>
      </c>
    </row>
    <row r="4891">
      <c r="A4891">
        <f>Sources!A4891</f>
        <v/>
      </c>
      <c r="B4891">
        <f>Sources!B4891</f>
        <v/>
      </c>
      <c r="C4891">
        <f>Sources!D4891</f>
        <v/>
      </c>
      <c r="D4891">
        <f>Sources!E4891</f>
        <v/>
      </c>
      <c r="E4891">
        <f>Sources!F4891</f>
        <v/>
      </c>
      <c r="F4891">
        <f>Sources!H4891</f>
        <v/>
      </c>
      <c r="G4891">
        <f>IF(ABS(F4891-ROUND(F4891,0))&lt;0.001,1,0)</f>
        <v/>
      </c>
      <c r="H4891">
        <f>IF(G4891=1,F4891,CEILING(F4891,1))</f>
        <v/>
      </c>
      <c r="I4891">
        <f>IF(G4891=1,0,(H4891-F4891)*E4891)</f>
        <v/>
      </c>
      <c r="J4891">
        <f>E4891*F4891</f>
        <v/>
      </c>
    </row>
    <row r="4892">
      <c r="A4892">
        <f>Sources!A4892</f>
        <v/>
      </c>
      <c r="B4892">
        <f>Sources!B4892</f>
        <v/>
      </c>
      <c r="C4892">
        <f>Sources!D4892</f>
        <v/>
      </c>
      <c r="D4892">
        <f>Sources!E4892</f>
        <v/>
      </c>
      <c r="E4892">
        <f>Sources!F4892</f>
        <v/>
      </c>
      <c r="F4892">
        <f>Sources!H4892</f>
        <v/>
      </c>
      <c r="G4892">
        <f>IF(ABS(F4892-ROUND(F4892,0))&lt;0.001,1,0)</f>
        <v/>
      </c>
      <c r="H4892">
        <f>IF(G4892=1,F4892,CEILING(F4892,1))</f>
        <v/>
      </c>
      <c r="I4892">
        <f>IF(G4892=1,0,(H4892-F4892)*E4892)</f>
        <v/>
      </c>
      <c r="J4892">
        <f>E4892*F4892</f>
        <v/>
      </c>
    </row>
    <row r="4893">
      <c r="A4893">
        <f>Sources!A4893</f>
        <v/>
      </c>
      <c r="B4893">
        <f>Sources!B4893</f>
        <v/>
      </c>
      <c r="C4893">
        <f>Sources!D4893</f>
        <v/>
      </c>
      <c r="D4893">
        <f>Sources!E4893</f>
        <v/>
      </c>
      <c r="E4893">
        <f>Sources!F4893</f>
        <v/>
      </c>
      <c r="F4893">
        <f>Sources!H4893</f>
        <v/>
      </c>
      <c r="G4893">
        <f>IF(ABS(F4893-ROUND(F4893,0))&lt;0.001,1,0)</f>
        <v/>
      </c>
      <c r="H4893">
        <f>IF(G4893=1,F4893,CEILING(F4893,1))</f>
        <v/>
      </c>
      <c r="I4893">
        <f>IF(G4893=1,0,(H4893-F4893)*E4893)</f>
        <v/>
      </c>
      <c r="J4893">
        <f>E4893*F4893</f>
        <v/>
      </c>
    </row>
    <row r="4894">
      <c r="A4894">
        <f>Sources!A4894</f>
        <v/>
      </c>
      <c r="B4894">
        <f>Sources!B4894</f>
        <v/>
      </c>
      <c r="C4894">
        <f>Sources!D4894</f>
        <v/>
      </c>
      <c r="D4894">
        <f>Sources!E4894</f>
        <v/>
      </c>
      <c r="E4894">
        <f>Sources!F4894</f>
        <v/>
      </c>
      <c r="F4894">
        <f>Sources!H4894</f>
        <v/>
      </c>
      <c r="G4894">
        <f>IF(ABS(F4894-ROUND(F4894,0))&lt;0.001,1,0)</f>
        <v/>
      </c>
      <c r="H4894">
        <f>IF(G4894=1,F4894,CEILING(F4894,1))</f>
        <v/>
      </c>
      <c r="I4894">
        <f>IF(G4894=1,0,(H4894-F4894)*E4894)</f>
        <v/>
      </c>
      <c r="J4894">
        <f>E4894*F4894</f>
        <v/>
      </c>
    </row>
    <row r="4895">
      <c r="A4895">
        <f>Sources!A4895</f>
        <v/>
      </c>
      <c r="B4895">
        <f>Sources!B4895</f>
        <v/>
      </c>
      <c r="C4895">
        <f>Sources!D4895</f>
        <v/>
      </c>
      <c r="D4895">
        <f>Sources!E4895</f>
        <v/>
      </c>
      <c r="E4895">
        <f>Sources!F4895</f>
        <v/>
      </c>
      <c r="F4895">
        <f>Sources!H4895</f>
        <v/>
      </c>
      <c r="G4895">
        <f>IF(ABS(F4895-ROUND(F4895,0))&lt;0.001,1,0)</f>
        <v/>
      </c>
      <c r="H4895">
        <f>IF(G4895=1,F4895,CEILING(F4895,1))</f>
        <v/>
      </c>
      <c r="I4895">
        <f>IF(G4895=1,0,(H4895-F4895)*E4895)</f>
        <v/>
      </c>
      <c r="J4895">
        <f>E4895*F4895</f>
        <v/>
      </c>
    </row>
    <row r="4896">
      <c r="A4896">
        <f>Sources!A4896</f>
        <v/>
      </c>
      <c r="B4896">
        <f>Sources!B4896</f>
        <v/>
      </c>
      <c r="C4896">
        <f>Sources!D4896</f>
        <v/>
      </c>
      <c r="D4896">
        <f>Sources!E4896</f>
        <v/>
      </c>
      <c r="E4896">
        <f>Sources!F4896</f>
        <v/>
      </c>
      <c r="F4896">
        <f>Sources!H4896</f>
        <v/>
      </c>
      <c r="G4896">
        <f>IF(ABS(F4896-ROUND(F4896,0))&lt;0.001,1,0)</f>
        <v/>
      </c>
      <c r="H4896">
        <f>IF(G4896=1,F4896,CEILING(F4896,1))</f>
        <v/>
      </c>
      <c r="I4896">
        <f>IF(G4896=1,0,(H4896-F4896)*E4896)</f>
        <v/>
      </c>
      <c r="J4896">
        <f>E4896*F4896</f>
        <v/>
      </c>
    </row>
    <row r="4897">
      <c r="A4897">
        <f>Sources!A4897</f>
        <v/>
      </c>
      <c r="B4897">
        <f>Sources!B4897</f>
        <v/>
      </c>
      <c r="C4897">
        <f>Sources!D4897</f>
        <v/>
      </c>
      <c r="D4897">
        <f>Sources!E4897</f>
        <v/>
      </c>
      <c r="E4897">
        <f>Sources!F4897</f>
        <v/>
      </c>
      <c r="F4897">
        <f>Sources!H4897</f>
        <v/>
      </c>
      <c r="G4897">
        <f>IF(ABS(F4897-ROUND(F4897,0))&lt;0.001,1,0)</f>
        <v/>
      </c>
      <c r="H4897">
        <f>IF(G4897=1,F4897,CEILING(F4897,1))</f>
        <v/>
      </c>
      <c r="I4897">
        <f>IF(G4897=1,0,(H4897-F4897)*E4897)</f>
        <v/>
      </c>
      <c r="J4897">
        <f>E4897*F4897</f>
        <v/>
      </c>
    </row>
    <row r="4898">
      <c r="A4898">
        <f>Sources!A4898</f>
        <v/>
      </c>
      <c r="B4898">
        <f>Sources!B4898</f>
        <v/>
      </c>
      <c r="C4898">
        <f>Sources!D4898</f>
        <v/>
      </c>
      <c r="D4898">
        <f>Sources!E4898</f>
        <v/>
      </c>
      <c r="E4898">
        <f>Sources!F4898</f>
        <v/>
      </c>
      <c r="F4898">
        <f>Sources!H4898</f>
        <v/>
      </c>
      <c r="G4898">
        <f>IF(ABS(F4898-ROUND(F4898,0))&lt;0.001,1,0)</f>
        <v/>
      </c>
      <c r="H4898">
        <f>IF(G4898=1,F4898,CEILING(F4898,1))</f>
        <v/>
      </c>
      <c r="I4898">
        <f>IF(G4898=1,0,(H4898-F4898)*E4898)</f>
        <v/>
      </c>
      <c r="J4898">
        <f>E4898*F4898</f>
        <v/>
      </c>
    </row>
    <row r="4899">
      <c r="A4899">
        <f>Sources!A4899</f>
        <v/>
      </c>
      <c r="B4899">
        <f>Sources!B4899</f>
        <v/>
      </c>
      <c r="C4899">
        <f>Sources!D4899</f>
        <v/>
      </c>
      <c r="D4899">
        <f>Sources!E4899</f>
        <v/>
      </c>
      <c r="E4899">
        <f>Sources!F4899</f>
        <v/>
      </c>
      <c r="F4899">
        <f>Sources!H4899</f>
        <v/>
      </c>
      <c r="G4899">
        <f>IF(ABS(F4899-ROUND(F4899,0))&lt;0.001,1,0)</f>
        <v/>
      </c>
      <c r="H4899">
        <f>IF(G4899=1,F4899,CEILING(F4899,1))</f>
        <v/>
      </c>
      <c r="I4899">
        <f>IF(G4899=1,0,(H4899-F4899)*E4899)</f>
        <v/>
      </c>
      <c r="J4899">
        <f>E4899*F4899</f>
        <v/>
      </c>
    </row>
    <row r="4900">
      <c r="A4900">
        <f>Sources!A4900</f>
        <v/>
      </c>
      <c r="B4900">
        <f>Sources!B4900</f>
        <v/>
      </c>
      <c r="C4900">
        <f>Sources!D4900</f>
        <v/>
      </c>
      <c r="D4900">
        <f>Sources!E4900</f>
        <v/>
      </c>
      <c r="E4900">
        <f>Sources!F4900</f>
        <v/>
      </c>
      <c r="F4900">
        <f>Sources!H4900</f>
        <v/>
      </c>
      <c r="G4900">
        <f>IF(ABS(F4900-ROUND(F4900,0))&lt;0.001,1,0)</f>
        <v/>
      </c>
      <c r="H4900">
        <f>IF(G4900=1,F4900,CEILING(F4900,1))</f>
        <v/>
      </c>
      <c r="I4900">
        <f>IF(G4900=1,0,(H4900-F4900)*E4900)</f>
        <v/>
      </c>
      <c r="J4900">
        <f>E4900*F4900</f>
        <v/>
      </c>
    </row>
    <row r="4901">
      <c r="A4901">
        <f>Sources!A4901</f>
        <v/>
      </c>
      <c r="B4901">
        <f>Sources!B4901</f>
        <v/>
      </c>
      <c r="C4901">
        <f>Sources!D4901</f>
        <v/>
      </c>
      <c r="D4901">
        <f>Sources!E4901</f>
        <v/>
      </c>
      <c r="E4901">
        <f>Sources!F4901</f>
        <v/>
      </c>
      <c r="F4901">
        <f>Sources!H4901</f>
        <v/>
      </c>
      <c r="G4901">
        <f>IF(ABS(F4901-ROUND(F4901,0))&lt;0.001,1,0)</f>
        <v/>
      </c>
      <c r="H4901">
        <f>IF(G4901=1,F4901,CEILING(F4901,1))</f>
        <v/>
      </c>
      <c r="I4901">
        <f>IF(G4901=1,0,(H4901-F4901)*E4901)</f>
        <v/>
      </c>
      <c r="J4901">
        <f>E4901*F4901</f>
        <v/>
      </c>
    </row>
    <row r="4902">
      <c r="A4902">
        <f>Sources!A4902</f>
        <v/>
      </c>
      <c r="B4902">
        <f>Sources!B4902</f>
        <v/>
      </c>
      <c r="C4902">
        <f>Sources!D4902</f>
        <v/>
      </c>
      <c r="D4902">
        <f>Sources!E4902</f>
        <v/>
      </c>
      <c r="E4902">
        <f>Sources!F4902</f>
        <v/>
      </c>
      <c r="F4902">
        <f>Sources!H4902</f>
        <v/>
      </c>
      <c r="G4902">
        <f>IF(ABS(F4902-ROUND(F4902,0))&lt;0.001,1,0)</f>
        <v/>
      </c>
      <c r="H4902">
        <f>IF(G4902=1,F4902,CEILING(F4902,1))</f>
        <v/>
      </c>
      <c r="I4902">
        <f>IF(G4902=1,0,(H4902-F4902)*E4902)</f>
        <v/>
      </c>
      <c r="J4902">
        <f>E4902*F4902</f>
        <v/>
      </c>
    </row>
    <row r="4903">
      <c r="A4903">
        <f>Sources!A4903</f>
        <v/>
      </c>
      <c r="B4903">
        <f>Sources!B4903</f>
        <v/>
      </c>
      <c r="C4903">
        <f>Sources!D4903</f>
        <v/>
      </c>
      <c r="D4903">
        <f>Sources!E4903</f>
        <v/>
      </c>
      <c r="E4903">
        <f>Sources!F4903</f>
        <v/>
      </c>
      <c r="F4903">
        <f>Sources!H4903</f>
        <v/>
      </c>
      <c r="G4903">
        <f>IF(ABS(F4903-ROUND(F4903,0))&lt;0.001,1,0)</f>
        <v/>
      </c>
      <c r="H4903">
        <f>IF(G4903=1,F4903,CEILING(F4903,1))</f>
        <v/>
      </c>
      <c r="I4903">
        <f>IF(G4903=1,0,(H4903-F4903)*E4903)</f>
        <v/>
      </c>
      <c r="J4903">
        <f>E4903*F4903</f>
        <v/>
      </c>
    </row>
    <row r="4904">
      <c r="A4904">
        <f>Sources!A4904</f>
        <v/>
      </c>
      <c r="B4904">
        <f>Sources!B4904</f>
        <v/>
      </c>
      <c r="C4904">
        <f>Sources!D4904</f>
        <v/>
      </c>
      <c r="D4904">
        <f>Sources!E4904</f>
        <v/>
      </c>
      <c r="E4904">
        <f>Sources!F4904</f>
        <v/>
      </c>
      <c r="F4904">
        <f>Sources!H4904</f>
        <v/>
      </c>
      <c r="G4904">
        <f>IF(ABS(F4904-ROUND(F4904,0))&lt;0.001,1,0)</f>
        <v/>
      </c>
      <c r="H4904">
        <f>IF(G4904=1,F4904,CEILING(F4904,1))</f>
        <v/>
      </c>
      <c r="I4904">
        <f>IF(G4904=1,0,(H4904-F4904)*E4904)</f>
        <v/>
      </c>
      <c r="J4904">
        <f>E4904*F4904</f>
        <v/>
      </c>
    </row>
    <row r="4905">
      <c r="A4905">
        <f>Sources!A4905</f>
        <v/>
      </c>
      <c r="B4905">
        <f>Sources!B4905</f>
        <v/>
      </c>
      <c r="C4905">
        <f>Sources!D4905</f>
        <v/>
      </c>
      <c r="D4905">
        <f>Sources!E4905</f>
        <v/>
      </c>
      <c r="E4905">
        <f>Sources!F4905</f>
        <v/>
      </c>
      <c r="F4905">
        <f>Sources!H4905</f>
        <v/>
      </c>
      <c r="G4905">
        <f>IF(ABS(F4905-ROUND(F4905,0))&lt;0.001,1,0)</f>
        <v/>
      </c>
      <c r="H4905">
        <f>IF(G4905=1,F4905,CEILING(F4905,1))</f>
        <v/>
      </c>
      <c r="I4905">
        <f>IF(G4905=1,0,(H4905-F4905)*E4905)</f>
        <v/>
      </c>
      <c r="J4905">
        <f>E4905*F4905</f>
        <v/>
      </c>
    </row>
    <row r="4906">
      <c r="A4906">
        <f>Sources!A4906</f>
        <v/>
      </c>
      <c r="B4906">
        <f>Sources!B4906</f>
        <v/>
      </c>
      <c r="C4906">
        <f>Sources!D4906</f>
        <v/>
      </c>
      <c r="D4906">
        <f>Sources!E4906</f>
        <v/>
      </c>
      <c r="E4906">
        <f>Sources!F4906</f>
        <v/>
      </c>
      <c r="F4906">
        <f>Sources!H4906</f>
        <v/>
      </c>
      <c r="G4906">
        <f>IF(ABS(F4906-ROUND(F4906,0))&lt;0.001,1,0)</f>
        <v/>
      </c>
      <c r="H4906">
        <f>IF(G4906=1,F4906,CEILING(F4906,1))</f>
        <v/>
      </c>
      <c r="I4906">
        <f>IF(G4906=1,0,(H4906-F4906)*E4906)</f>
        <v/>
      </c>
      <c r="J4906">
        <f>E4906*F4906</f>
        <v/>
      </c>
    </row>
    <row r="4907">
      <c r="A4907">
        <f>Sources!A4907</f>
        <v/>
      </c>
      <c r="B4907">
        <f>Sources!B4907</f>
        <v/>
      </c>
      <c r="C4907">
        <f>Sources!D4907</f>
        <v/>
      </c>
      <c r="D4907">
        <f>Sources!E4907</f>
        <v/>
      </c>
      <c r="E4907">
        <f>Sources!F4907</f>
        <v/>
      </c>
      <c r="F4907">
        <f>Sources!H4907</f>
        <v/>
      </c>
      <c r="G4907">
        <f>IF(ABS(F4907-ROUND(F4907,0))&lt;0.001,1,0)</f>
        <v/>
      </c>
      <c r="H4907">
        <f>IF(G4907=1,F4907,CEILING(F4907,1))</f>
        <v/>
      </c>
      <c r="I4907">
        <f>IF(G4907=1,0,(H4907-F4907)*E4907)</f>
        <v/>
      </c>
      <c r="J4907">
        <f>E4907*F4907</f>
        <v/>
      </c>
    </row>
    <row r="4908">
      <c r="A4908">
        <f>Sources!A4908</f>
        <v/>
      </c>
      <c r="B4908">
        <f>Sources!B4908</f>
        <v/>
      </c>
      <c r="C4908">
        <f>Sources!D4908</f>
        <v/>
      </c>
      <c r="D4908">
        <f>Sources!E4908</f>
        <v/>
      </c>
      <c r="E4908">
        <f>Sources!F4908</f>
        <v/>
      </c>
      <c r="F4908">
        <f>Sources!H4908</f>
        <v/>
      </c>
      <c r="G4908">
        <f>IF(ABS(F4908-ROUND(F4908,0))&lt;0.001,1,0)</f>
        <v/>
      </c>
      <c r="H4908">
        <f>IF(G4908=1,F4908,CEILING(F4908,1))</f>
        <v/>
      </c>
      <c r="I4908">
        <f>IF(G4908=1,0,(H4908-F4908)*E4908)</f>
        <v/>
      </c>
      <c r="J4908">
        <f>E4908*F4908</f>
        <v/>
      </c>
    </row>
    <row r="4909">
      <c r="A4909">
        <f>Sources!A4909</f>
        <v/>
      </c>
      <c r="B4909">
        <f>Sources!B4909</f>
        <v/>
      </c>
      <c r="C4909">
        <f>Sources!D4909</f>
        <v/>
      </c>
      <c r="D4909">
        <f>Sources!E4909</f>
        <v/>
      </c>
      <c r="E4909">
        <f>Sources!F4909</f>
        <v/>
      </c>
      <c r="F4909">
        <f>Sources!H4909</f>
        <v/>
      </c>
      <c r="G4909">
        <f>IF(ABS(F4909-ROUND(F4909,0))&lt;0.001,1,0)</f>
        <v/>
      </c>
      <c r="H4909">
        <f>IF(G4909=1,F4909,CEILING(F4909,1))</f>
        <v/>
      </c>
      <c r="I4909">
        <f>IF(G4909=1,0,(H4909-F4909)*E4909)</f>
        <v/>
      </c>
      <c r="J4909">
        <f>E4909*F4909</f>
        <v/>
      </c>
    </row>
    <row r="4910">
      <c r="A4910">
        <f>Sources!A4910</f>
        <v/>
      </c>
      <c r="B4910">
        <f>Sources!B4910</f>
        <v/>
      </c>
      <c r="C4910">
        <f>Sources!D4910</f>
        <v/>
      </c>
      <c r="D4910">
        <f>Sources!E4910</f>
        <v/>
      </c>
      <c r="E4910">
        <f>Sources!F4910</f>
        <v/>
      </c>
      <c r="F4910">
        <f>Sources!H4910</f>
        <v/>
      </c>
      <c r="G4910">
        <f>IF(ABS(F4910-ROUND(F4910,0))&lt;0.001,1,0)</f>
        <v/>
      </c>
      <c r="H4910">
        <f>IF(G4910=1,F4910,CEILING(F4910,1))</f>
        <v/>
      </c>
      <c r="I4910">
        <f>IF(G4910=1,0,(H4910-F4910)*E4910)</f>
        <v/>
      </c>
      <c r="J4910">
        <f>E4910*F4910</f>
        <v/>
      </c>
    </row>
    <row r="4911">
      <c r="A4911">
        <f>Sources!A4911</f>
        <v/>
      </c>
      <c r="B4911">
        <f>Sources!B4911</f>
        <v/>
      </c>
      <c r="C4911">
        <f>Sources!D4911</f>
        <v/>
      </c>
      <c r="D4911">
        <f>Sources!E4911</f>
        <v/>
      </c>
      <c r="E4911">
        <f>Sources!F4911</f>
        <v/>
      </c>
      <c r="F4911">
        <f>Sources!H4911</f>
        <v/>
      </c>
      <c r="G4911">
        <f>IF(ABS(F4911-ROUND(F4911,0))&lt;0.001,1,0)</f>
        <v/>
      </c>
      <c r="H4911">
        <f>IF(G4911=1,F4911,CEILING(F4911,1))</f>
        <v/>
      </c>
      <c r="I4911">
        <f>IF(G4911=1,0,(H4911-F4911)*E4911)</f>
        <v/>
      </c>
      <c r="J4911">
        <f>E4911*F4911</f>
        <v/>
      </c>
    </row>
    <row r="4912">
      <c r="A4912">
        <f>Sources!A4912</f>
        <v/>
      </c>
      <c r="B4912">
        <f>Sources!B4912</f>
        <v/>
      </c>
      <c r="C4912">
        <f>Sources!D4912</f>
        <v/>
      </c>
      <c r="D4912">
        <f>Sources!E4912</f>
        <v/>
      </c>
      <c r="E4912">
        <f>Sources!F4912</f>
        <v/>
      </c>
      <c r="F4912">
        <f>Sources!H4912</f>
        <v/>
      </c>
      <c r="G4912">
        <f>IF(ABS(F4912-ROUND(F4912,0))&lt;0.001,1,0)</f>
        <v/>
      </c>
      <c r="H4912">
        <f>IF(G4912=1,F4912,CEILING(F4912,1))</f>
        <v/>
      </c>
      <c r="I4912">
        <f>IF(G4912=1,0,(H4912-F4912)*E4912)</f>
        <v/>
      </c>
      <c r="J4912">
        <f>E4912*F4912</f>
        <v/>
      </c>
    </row>
    <row r="4913">
      <c r="A4913">
        <f>Sources!A4913</f>
        <v/>
      </c>
      <c r="B4913">
        <f>Sources!B4913</f>
        <v/>
      </c>
      <c r="C4913">
        <f>Sources!D4913</f>
        <v/>
      </c>
      <c r="D4913">
        <f>Sources!E4913</f>
        <v/>
      </c>
      <c r="E4913">
        <f>Sources!F4913</f>
        <v/>
      </c>
      <c r="F4913">
        <f>Sources!H4913</f>
        <v/>
      </c>
      <c r="G4913">
        <f>IF(ABS(F4913-ROUND(F4913,0))&lt;0.001,1,0)</f>
        <v/>
      </c>
      <c r="H4913">
        <f>IF(G4913=1,F4913,CEILING(F4913,1))</f>
        <v/>
      </c>
      <c r="I4913">
        <f>IF(G4913=1,0,(H4913-F4913)*E4913)</f>
        <v/>
      </c>
      <c r="J4913">
        <f>E4913*F4913</f>
        <v/>
      </c>
    </row>
    <row r="4914">
      <c r="A4914">
        <f>Sources!A4914</f>
        <v/>
      </c>
      <c r="B4914">
        <f>Sources!B4914</f>
        <v/>
      </c>
      <c r="C4914">
        <f>Sources!D4914</f>
        <v/>
      </c>
      <c r="D4914">
        <f>Sources!E4914</f>
        <v/>
      </c>
      <c r="E4914">
        <f>Sources!F4914</f>
        <v/>
      </c>
      <c r="F4914">
        <f>Sources!H4914</f>
        <v/>
      </c>
      <c r="G4914">
        <f>IF(ABS(F4914-ROUND(F4914,0))&lt;0.001,1,0)</f>
        <v/>
      </c>
      <c r="H4914">
        <f>IF(G4914=1,F4914,CEILING(F4914,1))</f>
        <v/>
      </c>
      <c r="I4914">
        <f>IF(G4914=1,0,(H4914-F4914)*E4914)</f>
        <v/>
      </c>
      <c r="J4914">
        <f>E4914*F4914</f>
        <v/>
      </c>
    </row>
    <row r="4915">
      <c r="A4915">
        <f>Sources!A4915</f>
        <v/>
      </c>
      <c r="B4915">
        <f>Sources!B4915</f>
        <v/>
      </c>
      <c r="C4915">
        <f>Sources!D4915</f>
        <v/>
      </c>
      <c r="D4915">
        <f>Sources!E4915</f>
        <v/>
      </c>
      <c r="E4915">
        <f>Sources!F4915</f>
        <v/>
      </c>
      <c r="F4915">
        <f>Sources!H4915</f>
        <v/>
      </c>
      <c r="G4915">
        <f>IF(ABS(F4915-ROUND(F4915,0))&lt;0.001,1,0)</f>
        <v/>
      </c>
      <c r="H4915">
        <f>IF(G4915=1,F4915,CEILING(F4915,1))</f>
        <v/>
      </c>
      <c r="I4915">
        <f>IF(G4915=1,0,(H4915-F4915)*E4915)</f>
        <v/>
      </c>
      <c r="J4915">
        <f>E4915*F4915</f>
        <v/>
      </c>
    </row>
    <row r="4916">
      <c r="A4916">
        <f>Sources!A4916</f>
        <v/>
      </c>
      <c r="B4916">
        <f>Sources!B4916</f>
        <v/>
      </c>
      <c r="C4916">
        <f>Sources!D4916</f>
        <v/>
      </c>
      <c r="D4916">
        <f>Sources!E4916</f>
        <v/>
      </c>
      <c r="E4916">
        <f>Sources!F4916</f>
        <v/>
      </c>
      <c r="F4916">
        <f>Sources!H4916</f>
        <v/>
      </c>
      <c r="G4916">
        <f>IF(ABS(F4916-ROUND(F4916,0))&lt;0.001,1,0)</f>
        <v/>
      </c>
      <c r="H4916">
        <f>IF(G4916=1,F4916,CEILING(F4916,1))</f>
        <v/>
      </c>
      <c r="I4916">
        <f>IF(G4916=1,0,(H4916-F4916)*E4916)</f>
        <v/>
      </c>
      <c r="J4916">
        <f>E4916*F4916</f>
        <v/>
      </c>
    </row>
    <row r="4917">
      <c r="A4917">
        <f>Sources!A4917</f>
        <v/>
      </c>
      <c r="B4917">
        <f>Sources!B4917</f>
        <v/>
      </c>
      <c r="C4917">
        <f>Sources!D4917</f>
        <v/>
      </c>
      <c r="D4917">
        <f>Sources!E4917</f>
        <v/>
      </c>
      <c r="E4917">
        <f>Sources!F4917</f>
        <v/>
      </c>
      <c r="F4917">
        <f>Sources!H4917</f>
        <v/>
      </c>
      <c r="G4917">
        <f>IF(ABS(F4917-ROUND(F4917,0))&lt;0.001,1,0)</f>
        <v/>
      </c>
      <c r="H4917">
        <f>IF(G4917=1,F4917,CEILING(F4917,1))</f>
        <v/>
      </c>
      <c r="I4917">
        <f>IF(G4917=1,0,(H4917-F4917)*E4917)</f>
        <v/>
      </c>
      <c r="J4917">
        <f>E4917*F4917</f>
        <v/>
      </c>
    </row>
    <row r="4918">
      <c r="A4918">
        <f>Sources!A4918</f>
        <v/>
      </c>
      <c r="B4918">
        <f>Sources!B4918</f>
        <v/>
      </c>
      <c r="C4918">
        <f>Sources!D4918</f>
        <v/>
      </c>
      <c r="D4918">
        <f>Sources!E4918</f>
        <v/>
      </c>
      <c r="E4918">
        <f>Sources!F4918</f>
        <v/>
      </c>
      <c r="F4918">
        <f>Sources!H4918</f>
        <v/>
      </c>
      <c r="G4918">
        <f>IF(ABS(F4918-ROUND(F4918,0))&lt;0.001,1,0)</f>
        <v/>
      </c>
      <c r="H4918">
        <f>IF(G4918=1,F4918,CEILING(F4918,1))</f>
        <v/>
      </c>
      <c r="I4918">
        <f>IF(G4918=1,0,(H4918-F4918)*E4918)</f>
        <v/>
      </c>
      <c r="J4918">
        <f>E4918*F4918</f>
        <v/>
      </c>
    </row>
    <row r="4919">
      <c r="A4919">
        <f>Sources!A4919</f>
        <v/>
      </c>
      <c r="B4919">
        <f>Sources!B4919</f>
        <v/>
      </c>
      <c r="C4919">
        <f>Sources!D4919</f>
        <v/>
      </c>
      <c r="D4919">
        <f>Sources!E4919</f>
        <v/>
      </c>
      <c r="E4919">
        <f>Sources!F4919</f>
        <v/>
      </c>
      <c r="F4919">
        <f>Sources!H4919</f>
        <v/>
      </c>
      <c r="G4919">
        <f>IF(ABS(F4919-ROUND(F4919,0))&lt;0.001,1,0)</f>
        <v/>
      </c>
      <c r="H4919">
        <f>IF(G4919=1,F4919,CEILING(F4919,1))</f>
        <v/>
      </c>
      <c r="I4919">
        <f>IF(G4919=1,0,(H4919-F4919)*E4919)</f>
        <v/>
      </c>
      <c r="J4919">
        <f>E4919*F4919</f>
        <v/>
      </c>
    </row>
    <row r="4920">
      <c r="A4920">
        <f>Sources!A4920</f>
        <v/>
      </c>
      <c r="B4920">
        <f>Sources!B4920</f>
        <v/>
      </c>
      <c r="C4920">
        <f>Sources!D4920</f>
        <v/>
      </c>
      <c r="D4920">
        <f>Sources!E4920</f>
        <v/>
      </c>
      <c r="E4920">
        <f>Sources!F4920</f>
        <v/>
      </c>
      <c r="F4920">
        <f>Sources!H4920</f>
        <v/>
      </c>
      <c r="G4920">
        <f>IF(ABS(F4920-ROUND(F4920,0))&lt;0.001,1,0)</f>
        <v/>
      </c>
      <c r="H4920">
        <f>IF(G4920=1,F4920,CEILING(F4920,1))</f>
        <v/>
      </c>
      <c r="I4920">
        <f>IF(G4920=1,0,(H4920-F4920)*E4920)</f>
        <v/>
      </c>
      <c r="J4920">
        <f>E4920*F4920</f>
        <v/>
      </c>
    </row>
    <row r="4921">
      <c r="A4921">
        <f>Sources!A4921</f>
        <v/>
      </c>
      <c r="B4921">
        <f>Sources!B4921</f>
        <v/>
      </c>
      <c r="C4921">
        <f>Sources!D4921</f>
        <v/>
      </c>
      <c r="D4921">
        <f>Sources!E4921</f>
        <v/>
      </c>
      <c r="E4921">
        <f>Sources!F4921</f>
        <v/>
      </c>
      <c r="F4921">
        <f>Sources!H4921</f>
        <v/>
      </c>
      <c r="G4921">
        <f>IF(ABS(F4921-ROUND(F4921,0))&lt;0.001,1,0)</f>
        <v/>
      </c>
      <c r="H4921">
        <f>IF(G4921=1,F4921,CEILING(F4921,1))</f>
        <v/>
      </c>
      <c r="I4921">
        <f>IF(G4921=1,0,(H4921-F4921)*E4921)</f>
        <v/>
      </c>
      <c r="J4921">
        <f>E4921*F4921</f>
        <v/>
      </c>
    </row>
    <row r="4922">
      <c r="A4922">
        <f>Sources!A4922</f>
        <v/>
      </c>
      <c r="B4922">
        <f>Sources!B4922</f>
        <v/>
      </c>
      <c r="C4922">
        <f>Sources!D4922</f>
        <v/>
      </c>
      <c r="D4922">
        <f>Sources!E4922</f>
        <v/>
      </c>
      <c r="E4922">
        <f>Sources!F4922</f>
        <v/>
      </c>
      <c r="F4922">
        <f>Sources!H4922</f>
        <v/>
      </c>
      <c r="G4922">
        <f>IF(ABS(F4922-ROUND(F4922,0))&lt;0.001,1,0)</f>
        <v/>
      </c>
      <c r="H4922">
        <f>IF(G4922=1,F4922,CEILING(F4922,1))</f>
        <v/>
      </c>
      <c r="I4922">
        <f>IF(G4922=1,0,(H4922-F4922)*E4922)</f>
        <v/>
      </c>
      <c r="J4922">
        <f>E4922*F4922</f>
        <v/>
      </c>
    </row>
    <row r="4923">
      <c r="A4923">
        <f>Sources!A4923</f>
        <v/>
      </c>
      <c r="B4923">
        <f>Sources!B4923</f>
        <v/>
      </c>
      <c r="C4923">
        <f>Sources!D4923</f>
        <v/>
      </c>
      <c r="D4923">
        <f>Sources!E4923</f>
        <v/>
      </c>
      <c r="E4923">
        <f>Sources!F4923</f>
        <v/>
      </c>
      <c r="F4923">
        <f>Sources!H4923</f>
        <v/>
      </c>
      <c r="G4923">
        <f>IF(ABS(F4923-ROUND(F4923,0))&lt;0.001,1,0)</f>
        <v/>
      </c>
      <c r="H4923">
        <f>IF(G4923=1,F4923,CEILING(F4923,1))</f>
        <v/>
      </c>
      <c r="I4923">
        <f>IF(G4923=1,0,(H4923-F4923)*E4923)</f>
        <v/>
      </c>
      <c r="J4923">
        <f>E4923*F4923</f>
        <v/>
      </c>
    </row>
    <row r="4924">
      <c r="A4924">
        <f>Sources!A4924</f>
        <v/>
      </c>
      <c r="B4924">
        <f>Sources!B4924</f>
        <v/>
      </c>
      <c r="C4924">
        <f>Sources!D4924</f>
        <v/>
      </c>
      <c r="D4924">
        <f>Sources!E4924</f>
        <v/>
      </c>
      <c r="E4924">
        <f>Sources!F4924</f>
        <v/>
      </c>
      <c r="F4924">
        <f>Sources!H4924</f>
        <v/>
      </c>
      <c r="G4924">
        <f>IF(ABS(F4924-ROUND(F4924,0))&lt;0.001,1,0)</f>
        <v/>
      </c>
      <c r="H4924">
        <f>IF(G4924=1,F4924,CEILING(F4924,1))</f>
        <v/>
      </c>
      <c r="I4924">
        <f>IF(G4924=1,0,(H4924-F4924)*E4924)</f>
        <v/>
      </c>
      <c r="J4924">
        <f>E4924*F4924</f>
        <v/>
      </c>
    </row>
    <row r="4925">
      <c r="A4925">
        <f>Sources!A4925</f>
        <v/>
      </c>
      <c r="B4925">
        <f>Sources!B4925</f>
        <v/>
      </c>
      <c r="C4925">
        <f>Sources!D4925</f>
        <v/>
      </c>
      <c r="D4925">
        <f>Sources!E4925</f>
        <v/>
      </c>
      <c r="E4925">
        <f>Sources!F4925</f>
        <v/>
      </c>
      <c r="F4925">
        <f>Sources!H4925</f>
        <v/>
      </c>
      <c r="G4925">
        <f>IF(ABS(F4925-ROUND(F4925,0))&lt;0.001,1,0)</f>
        <v/>
      </c>
      <c r="H4925">
        <f>IF(G4925=1,F4925,CEILING(F4925,1))</f>
        <v/>
      </c>
      <c r="I4925">
        <f>IF(G4925=1,0,(H4925-F4925)*E4925)</f>
        <v/>
      </c>
      <c r="J4925">
        <f>E4925*F4925</f>
        <v/>
      </c>
    </row>
    <row r="4926">
      <c r="A4926">
        <f>Sources!A4926</f>
        <v/>
      </c>
      <c r="B4926">
        <f>Sources!B4926</f>
        <v/>
      </c>
      <c r="C4926">
        <f>Sources!D4926</f>
        <v/>
      </c>
      <c r="D4926">
        <f>Sources!E4926</f>
        <v/>
      </c>
      <c r="E4926">
        <f>Sources!F4926</f>
        <v/>
      </c>
      <c r="F4926">
        <f>Sources!H4926</f>
        <v/>
      </c>
      <c r="G4926">
        <f>IF(ABS(F4926-ROUND(F4926,0))&lt;0.001,1,0)</f>
        <v/>
      </c>
      <c r="H4926">
        <f>IF(G4926=1,F4926,CEILING(F4926,1))</f>
        <v/>
      </c>
      <c r="I4926">
        <f>IF(G4926=1,0,(H4926-F4926)*E4926)</f>
        <v/>
      </c>
      <c r="J4926">
        <f>E4926*F4926</f>
        <v/>
      </c>
    </row>
    <row r="4927">
      <c r="A4927">
        <f>Sources!A4927</f>
        <v/>
      </c>
      <c r="B4927">
        <f>Sources!B4927</f>
        <v/>
      </c>
      <c r="C4927">
        <f>Sources!D4927</f>
        <v/>
      </c>
      <c r="D4927">
        <f>Sources!E4927</f>
        <v/>
      </c>
      <c r="E4927">
        <f>Sources!F4927</f>
        <v/>
      </c>
      <c r="F4927">
        <f>Sources!H4927</f>
        <v/>
      </c>
      <c r="G4927">
        <f>IF(ABS(F4927-ROUND(F4927,0))&lt;0.001,1,0)</f>
        <v/>
      </c>
      <c r="H4927">
        <f>IF(G4927=1,F4927,CEILING(F4927,1))</f>
        <v/>
      </c>
      <c r="I4927">
        <f>IF(G4927=1,0,(H4927-F4927)*E4927)</f>
        <v/>
      </c>
      <c r="J4927">
        <f>E4927*F4927</f>
        <v/>
      </c>
    </row>
    <row r="4928">
      <c r="A4928">
        <f>Sources!A4928</f>
        <v/>
      </c>
      <c r="B4928">
        <f>Sources!B4928</f>
        <v/>
      </c>
      <c r="C4928">
        <f>Sources!D4928</f>
        <v/>
      </c>
      <c r="D4928">
        <f>Sources!E4928</f>
        <v/>
      </c>
      <c r="E4928">
        <f>Sources!F4928</f>
        <v/>
      </c>
      <c r="F4928">
        <f>Sources!H4928</f>
        <v/>
      </c>
      <c r="G4928">
        <f>IF(ABS(F4928-ROUND(F4928,0))&lt;0.001,1,0)</f>
        <v/>
      </c>
      <c r="H4928">
        <f>IF(G4928=1,F4928,CEILING(F4928,1))</f>
        <v/>
      </c>
      <c r="I4928">
        <f>IF(G4928=1,0,(H4928-F4928)*E4928)</f>
        <v/>
      </c>
      <c r="J4928">
        <f>E4928*F4928</f>
        <v/>
      </c>
    </row>
    <row r="4929">
      <c r="A4929">
        <f>Sources!A4929</f>
        <v/>
      </c>
      <c r="B4929">
        <f>Sources!B4929</f>
        <v/>
      </c>
      <c r="C4929">
        <f>Sources!D4929</f>
        <v/>
      </c>
      <c r="D4929">
        <f>Sources!E4929</f>
        <v/>
      </c>
      <c r="E4929">
        <f>Sources!F4929</f>
        <v/>
      </c>
      <c r="F4929">
        <f>Sources!H4929</f>
        <v/>
      </c>
      <c r="G4929">
        <f>IF(ABS(F4929-ROUND(F4929,0))&lt;0.001,1,0)</f>
        <v/>
      </c>
      <c r="H4929">
        <f>IF(G4929=1,F4929,CEILING(F4929,1))</f>
        <v/>
      </c>
      <c r="I4929">
        <f>IF(G4929=1,0,(H4929-F4929)*E4929)</f>
        <v/>
      </c>
      <c r="J4929">
        <f>E4929*F4929</f>
        <v/>
      </c>
    </row>
    <row r="4930">
      <c r="A4930">
        <f>Sources!A4930</f>
        <v/>
      </c>
      <c r="B4930">
        <f>Sources!B4930</f>
        <v/>
      </c>
      <c r="C4930">
        <f>Sources!D4930</f>
        <v/>
      </c>
      <c r="D4930">
        <f>Sources!E4930</f>
        <v/>
      </c>
      <c r="E4930">
        <f>Sources!F4930</f>
        <v/>
      </c>
      <c r="F4930">
        <f>Sources!H4930</f>
        <v/>
      </c>
      <c r="G4930">
        <f>IF(ABS(F4930-ROUND(F4930,0))&lt;0.001,1,0)</f>
        <v/>
      </c>
      <c r="H4930">
        <f>IF(G4930=1,F4930,CEILING(F4930,1))</f>
        <v/>
      </c>
      <c r="I4930">
        <f>IF(G4930=1,0,(H4930-F4930)*E4930)</f>
        <v/>
      </c>
      <c r="J4930">
        <f>E4930*F4930</f>
        <v/>
      </c>
    </row>
    <row r="4931">
      <c r="A4931">
        <f>Sources!A4931</f>
        <v/>
      </c>
      <c r="B4931">
        <f>Sources!B4931</f>
        <v/>
      </c>
      <c r="C4931">
        <f>Sources!D4931</f>
        <v/>
      </c>
      <c r="D4931">
        <f>Sources!E4931</f>
        <v/>
      </c>
      <c r="E4931">
        <f>Sources!F4931</f>
        <v/>
      </c>
      <c r="F4931">
        <f>Sources!H4931</f>
        <v/>
      </c>
      <c r="G4931">
        <f>IF(ABS(F4931-ROUND(F4931,0))&lt;0.001,1,0)</f>
        <v/>
      </c>
      <c r="H4931">
        <f>IF(G4931=1,F4931,CEILING(F4931,1))</f>
        <v/>
      </c>
      <c r="I4931">
        <f>IF(G4931=1,0,(H4931-F4931)*E4931)</f>
        <v/>
      </c>
      <c r="J4931">
        <f>E4931*F4931</f>
        <v/>
      </c>
    </row>
    <row r="4932">
      <c r="A4932">
        <f>Sources!A4932</f>
        <v/>
      </c>
      <c r="B4932">
        <f>Sources!B4932</f>
        <v/>
      </c>
      <c r="C4932">
        <f>Sources!D4932</f>
        <v/>
      </c>
      <c r="D4932">
        <f>Sources!E4932</f>
        <v/>
      </c>
      <c r="E4932">
        <f>Sources!F4932</f>
        <v/>
      </c>
      <c r="F4932">
        <f>Sources!H4932</f>
        <v/>
      </c>
      <c r="G4932">
        <f>IF(ABS(F4932-ROUND(F4932,0))&lt;0.001,1,0)</f>
        <v/>
      </c>
      <c r="H4932">
        <f>IF(G4932=1,F4932,CEILING(F4932,1))</f>
        <v/>
      </c>
      <c r="I4932">
        <f>IF(G4932=1,0,(H4932-F4932)*E4932)</f>
        <v/>
      </c>
      <c r="J4932">
        <f>E4932*F4932</f>
        <v/>
      </c>
    </row>
    <row r="4933">
      <c r="A4933">
        <f>Sources!A4933</f>
        <v/>
      </c>
      <c r="B4933">
        <f>Sources!B4933</f>
        <v/>
      </c>
      <c r="C4933">
        <f>Sources!D4933</f>
        <v/>
      </c>
      <c r="D4933">
        <f>Sources!E4933</f>
        <v/>
      </c>
      <c r="E4933">
        <f>Sources!F4933</f>
        <v/>
      </c>
      <c r="F4933">
        <f>Sources!H4933</f>
        <v/>
      </c>
      <c r="G4933">
        <f>IF(ABS(F4933-ROUND(F4933,0))&lt;0.001,1,0)</f>
        <v/>
      </c>
      <c r="H4933">
        <f>IF(G4933=1,F4933,CEILING(F4933,1))</f>
        <v/>
      </c>
      <c r="I4933">
        <f>IF(G4933=1,0,(H4933-F4933)*E4933)</f>
        <v/>
      </c>
      <c r="J4933">
        <f>E4933*F4933</f>
        <v/>
      </c>
    </row>
    <row r="4934">
      <c r="A4934">
        <f>Sources!A4934</f>
        <v/>
      </c>
      <c r="B4934">
        <f>Sources!B4934</f>
        <v/>
      </c>
      <c r="C4934">
        <f>Sources!D4934</f>
        <v/>
      </c>
      <c r="D4934">
        <f>Sources!E4934</f>
        <v/>
      </c>
      <c r="E4934">
        <f>Sources!F4934</f>
        <v/>
      </c>
      <c r="F4934">
        <f>Sources!H4934</f>
        <v/>
      </c>
      <c r="G4934">
        <f>IF(ABS(F4934-ROUND(F4934,0))&lt;0.001,1,0)</f>
        <v/>
      </c>
      <c r="H4934">
        <f>IF(G4934=1,F4934,CEILING(F4934,1))</f>
        <v/>
      </c>
      <c r="I4934">
        <f>IF(G4934=1,0,(H4934-F4934)*E4934)</f>
        <v/>
      </c>
      <c r="J4934">
        <f>E4934*F4934</f>
        <v/>
      </c>
    </row>
    <row r="4935">
      <c r="A4935">
        <f>Sources!A4935</f>
        <v/>
      </c>
      <c r="B4935">
        <f>Sources!B4935</f>
        <v/>
      </c>
      <c r="C4935">
        <f>Sources!D4935</f>
        <v/>
      </c>
      <c r="D4935">
        <f>Sources!E4935</f>
        <v/>
      </c>
      <c r="E4935">
        <f>Sources!F4935</f>
        <v/>
      </c>
      <c r="F4935">
        <f>Sources!H4935</f>
        <v/>
      </c>
      <c r="G4935">
        <f>IF(ABS(F4935-ROUND(F4935,0))&lt;0.001,1,0)</f>
        <v/>
      </c>
      <c r="H4935">
        <f>IF(G4935=1,F4935,CEILING(F4935,1))</f>
        <v/>
      </c>
      <c r="I4935">
        <f>IF(G4935=1,0,(H4935-F4935)*E4935)</f>
        <v/>
      </c>
      <c r="J4935">
        <f>E4935*F4935</f>
        <v/>
      </c>
    </row>
    <row r="4936">
      <c r="A4936">
        <f>Sources!A4936</f>
        <v/>
      </c>
      <c r="B4936">
        <f>Sources!B4936</f>
        <v/>
      </c>
      <c r="C4936">
        <f>Sources!D4936</f>
        <v/>
      </c>
      <c r="D4936">
        <f>Sources!E4936</f>
        <v/>
      </c>
      <c r="E4936">
        <f>Sources!F4936</f>
        <v/>
      </c>
      <c r="F4936">
        <f>Sources!H4936</f>
        <v/>
      </c>
      <c r="G4936">
        <f>IF(ABS(F4936-ROUND(F4936,0))&lt;0.001,1,0)</f>
        <v/>
      </c>
      <c r="H4936">
        <f>IF(G4936=1,F4936,CEILING(F4936,1))</f>
        <v/>
      </c>
      <c r="I4936">
        <f>IF(G4936=1,0,(H4936-F4936)*E4936)</f>
        <v/>
      </c>
      <c r="J4936">
        <f>E4936*F4936</f>
        <v/>
      </c>
    </row>
    <row r="4937">
      <c r="A4937">
        <f>Sources!A4937</f>
        <v/>
      </c>
      <c r="B4937">
        <f>Sources!B4937</f>
        <v/>
      </c>
      <c r="C4937">
        <f>Sources!D4937</f>
        <v/>
      </c>
      <c r="D4937">
        <f>Sources!E4937</f>
        <v/>
      </c>
      <c r="E4937">
        <f>Sources!F4937</f>
        <v/>
      </c>
      <c r="F4937">
        <f>Sources!H4937</f>
        <v/>
      </c>
      <c r="G4937">
        <f>IF(ABS(F4937-ROUND(F4937,0))&lt;0.001,1,0)</f>
        <v/>
      </c>
      <c r="H4937">
        <f>IF(G4937=1,F4937,CEILING(F4937,1))</f>
        <v/>
      </c>
      <c r="I4937">
        <f>IF(G4937=1,0,(H4937-F4937)*E4937)</f>
        <v/>
      </c>
      <c r="J4937">
        <f>E4937*F4937</f>
        <v/>
      </c>
    </row>
    <row r="4938">
      <c r="A4938">
        <f>Sources!A4938</f>
        <v/>
      </c>
      <c r="B4938">
        <f>Sources!B4938</f>
        <v/>
      </c>
      <c r="C4938">
        <f>Sources!D4938</f>
        <v/>
      </c>
      <c r="D4938">
        <f>Sources!E4938</f>
        <v/>
      </c>
      <c r="E4938">
        <f>Sources!F4938</f>
        <v/>
      </c>
      <c r="F4938">
        <f>Sources!H4938</f>
        <v/>
      </c>
      <c r="G4938">
        <f>IF(ABS(F4938-ROUND(F4938,0))&lt;0.001,1,0)</f>
        <v/>
      </c>
      <c r="H4938">
        <f>IF(G4938=1,F4938,CEILING(F4938,1))</f>
        <v/>
      </c>
      <c r="I4938">
        <f>IF(G4938=1,0,(H4938-F4938)*E4938)</f>
        <v/>
      </c>
      <c r="J4938">
        <f>E4938*F4938</f>
        <v/>
      </c>
    </row>
    <row r="4939">
      <c r="A4939">
        <f>Sources!A4939</f>
        <v/>
      </c>
      <c r="B4939">
        <f>Sources!B4939</f>
        <v/>
      </c>
      <c r="C4939">
        <f>Sources!D4939</f>
        <v/>
      </c>
      <c r="D4939">
        <f>Sources!E4939</f>
        <v/>
      </c>
      <c r="E4939">
        <f>Sources!F4939</f>
        <v/>
      </c>
      <c r="F4939">
        <f>Sources!H4939</f>
        <v/>
      </c>
      <c r="G4939">
        <f>IF(ABS(F4939-ROUND(F4939,0))&lt;0.001,1,0)</f>
        <v/>
      </c>
      <c r="H4939">
        <f>IF(G4939=1,F4939,CEILING(F4939,1))</f>
        <v/>
      </c>
      <c r="I4939">
        <f>IF(G4939=1,0,(H4939-F4939)*E4939)</f>
        <v/>
      </c>
      <c r="J4939">
        <f>E4939*F4939</f>
        <v/>
      </c>
    </row>
    <row r="4940">
      <c r="A4940">
        <f>Sources!A4940</f>
        <v/>
      </c>
      <c r="B4940">
        <f>Sources!B4940</f>
        <v/>
      </c>
      <c r="C4940">
        <f>Sources!D4940</f>
        <v/>
      </c>
      <c r="D4940">
        <f>Sources!E4940</f>
        <v/>
      </c>
      <c r="E4940">
        <f>Sources!F4940</f>
        <v/>
      </c>
      <c r="F4940">
        <f>Sources!H4940</f>
        <v/>
      </c>
      <c r="G4940">
        <f>IF(ABS(F4940-ROUND(F4940,0))&lt;0.001,1,0)</f>
        <v/>
      </c>
      <c r="H4940">
        <f>IF(G4940=1,F4940,CEILING(F4940,1))</f>
        <v/>
      </c>
      <c r="I4940">
        <f>IF(G4940=1,0,(H4940-F4940)*E4940)</f>
        <v/>
      </c>
      <c r="J4940">
        <f>E4940*F4940</f>
        <v/>
      </c>
    </row>
    <row r="4941">
      <c r="A4941">
        <f>Sources!A4941</f>
        <v/>
      </c>
      <c r="B4941">
        <f>Sources!B4941</f>
        <v/>
      </c>
      <c r="C4941">
        <f>Sources!D4941</f>
        <v/>
      </c>
      <c r="D4941">
        <f>Sources!E4941</f>
        <v/>
      </c>
      <c r="E4941">
        <f>Sources!F4941</f>
        <v/>
      </c>
      <c r="F4941">
        <f>Sources!H4941</f>
        <v/>
      </c>
      <c r="G4941">
        <f>IF(ABS(F4941-ROUND(F4941,0))&lt;0.001,1,0)</f>
        <v/>
      </c>
      <c r="H4941">
        <f>IF(G4941=1,F4941,CEILING(F4941,1))</f>
        <v/>
      </c>
      <c r="I4941">
        <f>IF(G4941=1,0,(H4941-F4941)*E4941)</f>
        <v/>
      </c>
      <c r="J4941">
        <f>E4941*F4941</f>
        <v/>
      </c>
    </row>
    <row r="4942">
      <c r="A4942">
        <f>Sources!A4942</f>
        <v/>
      </c>
      <c r="B4942">
        <f>Sources!B4942</f>
        <v/>
      </c>
      <c r="C4942">
        <f>Sources!D4942</f>
        <v/>
      </c>
      <c r="D4942">
        <f>Sources!E4942</f>
        <v/>
      </c>
      <c r="E4942">
        <f>Sources!F4942</f>
        <v/>
      </c>
      <c r="F4942">
        <f>Sources!H4942</f>
        <v/>
      </c>
      <c r="G4942">
        <f>IF(ABS(F4942-ROUND(F4942,0))&lt;0.001,1,0)</f>
        <v/>
      </c>
      <c r="H4942">
        <f>IF(G4942=1,F4942,CEILING(F4942,1))</f>
        <v/>
      </c>
      <c r="I4942">
        <f>IF(G4942=1,0,(H4942-F4942)*E4942)</f>
        <v/>
      </c>
      <c r="J4942">
        <f>E4942*F4942</f>
        <v/>
      </c>
    </row>
    <row r="4943">
      <c r="A4943">
        <f>Sources!A4943</f>
        <v/>
      </c>
      <c r="B4943">
        <f>Sources!B4943</f>
        <v/>
      </c>
      <c r="C4943">
        <f>Sources!D4943</f>
        <v/>
      </c>
      <c r="D4943">
        <f>Sources!E4943</f>
        <v/>
      </c>
      <c r="E4943">
        <f>Sources!F4943</f>
        <v/>
      </c>
      <c r="F4943">
        <f>Sources!H4943</f>
        <v/>
      </c>
      <c r="G4943">
        <f>IF(ABS(F4943-ROUND(F4943,0))&lt;0.001,1,0)</f>
        <v/>
      </c>
      <c r="H4943">
        <f>IF(G4943=1,F4943,CEILING(F4943,1))</f>
        <v/>
      </c>
      <c r="I4943">
        <f>IF(G4943=1,0,(H4943-F4943)*E4943)</f>
        <v/>
      </c>
      <c r="J4943">
        <f>E4943*F4943</f>
        <v/>
      </c>
    </row>
    <row r="4944">
      <c r="A4944">
        <f>Sources!A4944</f>
        <v/>
      </c>
      <c r="B4944">
        <f>Sources!B4944</f>
        <v/>
      </c>
      <c r="C4944">
        <f>Sources!D4944</f>
        <v/>
      </c>
      <c r="D4944">
        <f>Sources!E4944</f>
        <v/>
      </c>
      <c r="E4944">
        <f>Sources!F4944</f>
        <v/>
      </c>
      <c r="F4944">
        <f>Sources!H4944</f>
        <v/>
      </c>
      <c r="G4944">
        <f>IF(ABS(F4944-ROUND(F4944,0))&lt;0.001,1,0)</f>
        <v/>
      </c>
      <c r="H4944">
        <f>IF(G4944=1,F4944,CEILING(F4944,1))</f>
        <v/>
      </c>
      <c r="I4944">
        <f>IF(G4944=1,0,(H4944-F4944)*E4944)</f>
        <v/>
      </c>
      <c r="J4944">
        <f>E4944*F4944</f>
        <v/>
      </c>
    </row>
    <row r="4945">
      <c r="A4945">
        <f>Sources!A4945</f>
        <v/>
      </c>
      <c r="B4945">
        <f>Sources!B4945</f>
        <v/>
      </c>
      <c r="C4945">
        <f>Sources!D4945</f>
        <v/>
      </c>
      <c r="D4945">
        <f>Sources!E4945</f>
        <v/>
      </c>
      <c r="E4945">
        <f>Sources!F4945</f>
        <v/>
      </c>
      <c r="F4945">
        <f>Sources!H4945</f>
        <v/>
      </c>
      <c r="G4945">
        <f>IF(ABS(F4945-ROUND(F4945,0))&lt;0.001,1,0)</f>
        <v/>
      </c>
      <c r="H4945">
        <f>IF(G4945=1,F4945,CEILING(F4945,1))</f>
        <v/>
      </c>
      <c r="I4945">
        <f>IF(G4945=1,0,(H4945-F4945)*E4945)</f>
        <v/>
      </c>
      <c r="J4945">
        <f>E4945*F4945</f>
        <v/>
      </c>
    </row>
    <row r="4946">
      <c r="A4946">
        <f>Sources!A4946</f>
        <v/>
      </c>
      <c r="B4946">
        <f>Sources!B4946</f>
        <v/>
      </c>
      <c r="C4946">
        <f>Sources!D4946</f>
        <v/>
      </c>
      <c r="D4946">
        <f>Sources!E4946</f>
        <v/>
      </c>
      <c r="E4946">
        <f>Sources!F4946</f>
        <v/>
      </c>
      <c r="F4946">
        <f>Sources!H4946</f>
        <v/>
      </c>
      <c r="G4946">
        <f>IF(ABS(F4946-ROUND(F4946,0))&lt;0.001,1,0)</f>
        <v/>
      </c>
      <c r="H4946">
        <f>IF(G4946=1,F4946,CEILING(F4946,1))</f>
        <v/>
      </c>
      <c r="I4946">
        <f>IF(G4946=1,0,(H4946-F4946)*E4946)</f>
        <v/>
      </c>
      <c r="J4946">
        <f>E4946*F4946</f>
        <v/>
      </c>
    </row>
    <row r="4947">
      <c r="A4947">
        <f>Sources!A4947</f>
        <v/>
      </c>
      <c r="B4947">
        <f>Sources!B4947</f>
        <v/>
      </c>
      <c r="C4947">
        <f>Sources!D4947</f>
        <v/>
      </c>
      <c r="D4947">
        <f>Sources!E4947</f>
        <v/>
      </c>
      <c r="E4947">
        <f>Sources!F4947</f>
        <v/>
      </c>
      <c r="F4947">
        <f>Sources!H4947</f>
        <v/>
      </c>
      <c r="G4947">
        <f>IF(ABS(F4947-ROUND(F4947,0))&lt;0.001,1,0)</f>
        <v/>
      </c>
      <c r="H4947">
        <f>IF(G4947=1,F4947,CEILING(F4947,1))</f>
        <v/>
      </c>
      <c r="I4947">
        <f>IF(G4947=1,0,(H4947-F4947)*E4947)</f>
        <v/>
      </c>
      <c r="J4947">
        <f>E4947*F4947</f>
        <v/>
      </c>
    </row>
    <row r="4948">
      <c r="A4948">
        <f>Sources!A4948</f>
        <v/>
      </c>
      <c r="B4948">
        <f>Sources!B4948</f>
        <v/>
      </c>
      <c r="C4948">
        <f>Sources!D4948</f>
        <v/>
      </c>
      <c r="D4948">
        <f>Sources!E4948</f>
        <v/>
      </c>
      <c r="E4948">
        <f>Sources!F4948</f>
        <v/>
      </c>
      <c r="F4948">
        <f>Sources!H4948</f>
        <v/>
      </c>
      <c r="G4948">
        <f>IF(ABS(F4948-ROUND(F4948,0))&lt;0.001,1,0)</f>
        <v/>
      </c>
      <c r="H4948">
        <f>IF(G4948=1,F4948,CEILING(F4948,1))</f>
        <v/>
      </c>
      <c r="I4948">
        <f>IF(G4948=1,0,(H4948-F4948)*E4948)</f>
        <v/>
      </c>
      <c r="J4948">
        <f>E4948*F4948</f>
        <v/>
      </c>
    </row>
    <row r="4949">
      <c r="A4949">
        <f>Sources!A4949</f>
        <v/>
      </c>
      <c r="B4949">
        <f>Sources!B4949</f>
        <v/>
      </c>
      <c r="C4949">
        <f>Sources!D4949</f>
        <v/>
      </c>
      <c r="D4949">
        <f>Sources!E4949</f>
        <v/>
      </c>
      <c r="E4949">
        <f>Sources!F4949</f>
        <v/>
      </c>
      <c r="F4949">
        <f>Sources!H4949</f>
        <v/>
      </c>
      <c r="G4949">
        <f>IF(ABS(F4949-ROUND(F4949,0))&lt;0.001,1,0)</f>
        <v/>
      </c>
      <c r="H4949">
        <f>IF(G4949=1,F4949,CEILING(F4949,1))</f>
        <v/>
      </c>
      <c r="I4949">
        <f>IF(G4949=1,0,(H4949-F4949)*E4949)</f>
        <v/>
      </c>
      <c r="J4949">
        <f>E4949*F4949</f>
        <v/>
      </c>
    </row>
    <row r="4950">
      <c r="A4950">
        <f>Sources!A4950</f>
        <v/>
      </c>
      <c r="B4950">
        <f>Sources!B4950</f>
        <v/>
      </c>
      <c r="C4950">
        <f>Sources!D4950</f>
        <v/>
      </c>
      <c r="D4950">
        <f>Sources!E4950</f>
        <v/>
      </c>
      <c r="E4950">
        <f>Sources!F4950</f>
        <v/>
      </c>
      <c r="F4950">
        <f>Sources!H4950</f>
        <v/>
      </c>
      <c r="G4950">
        <f>IF(ABS(F4950-ROUND(F4950,0))&lt;0.001,1,0)</f>
        <v/>
      </c>
      <c r="H4950">
        <f>IF(G4950=1,F4950,CEILING(F4950,1))</f>
        <v/>
      </c>
      <c r="I4950">
        <f>IF(G4950=1,0,(H4950-F4950)*E4950)</f>
        <v/>
      </c>
      <c r="J4950">
        <f>E4950*F4950</f>
        <v/>
      </c>
    </row>
    <row r="4951">
      <c r="A4951">
        <f>Sources!A4951</f>
        <v/>
      </c>
      <c r="B4951">
        <f>Sources!B4951</f>
        <v/>
      </c>
      <c r="C4951">
        <f>Sources!D4951</f>
        <v/>
      </c>
      <c r="D4951">
        <f>Sources!E4951</f>
        <v/>
      </c>
      <c r="E4951">
        <f>Sources!F4951</f>
        <v/>
      </c>
      <c r="F4951">
        <f>Sources!H4951</f>
        <v/>
      </c>
      <c r="G4951">
        <f>IF(ABS(F4951-ROUND(F4951,0))&lt;0.001,1,0)</f>
        <v/>
      </c>
      <c r="H4951">
        <f>IF(G4951=1,F4951,CEILING(F4951,1))</f>
        <v/>
      </c>
      <c r="I4951">
        <f>IF(G4951=1,0,(H4951-F4951)*E4951)</f>
        <v/>
      </c>
      <c r="J4951">
        <f>E4951*F4951</f>
        <v/>
      </c>
    </row>
    <row r="4952">
      <c r="A4952">
        <f>Sources!A4952</f>
        <v/>
      </c>
      <c r="B4952">
        <f>Sources!B4952</f>
        <v/>
      </c>
      <c r="C4952">
        <f>Sources!D4952</f>
        <v/>
      </c>
      <c r="D4952">
        <f>Sources!E4952</f>
        <v/>
      </c>
      <c r="E4952">
        <f>Sources!F4952</f>
        <v/>
      </c>
      <c r="F4952">
        <f>Sources!H4952</f>
        <v/>
      </c>
      <c r="G4952">
        <f>IF(ABS(F4952-ROUND(F4952,0))&lt;0.001,1,0)</f>
        <v/>
      </c>
      <c r="H4952">
        <f>IF(G4952=1,F4952,CEILING(F4952,1))</f>
        <v/>
      </c>
      <c r="I4952">
        <f>IF(G4952=1,0,(H4952-F4952)*E4952)</f>
        <v/>
      </c>
      <c r="J4952">
        <f>E4952*F4952</f>
        <v/>
      </c>
    </row>
    <row r="4953">
      <c r="A4953">
        <f>Sources!A4953</f>
        <v/>
      </c>
      <c r="B4953">
        <f>Sources!B4953</f>
        <v/>
      </c>
      <c r="C4953">
        <f>Sources!D4953</f>
        <v/>
      </c>
      <c r="D4953">
        <f>Sources!E4953</f>
        <v/>
      </c>
      <c r="E4953">
        <f>Sources!F4953</f>
        <v/>
      </c>
      <c r="F4953">
        <f>Sources!H4953</f>
        <v/>
      </c>
      <c r="G4953">
        <f>IF(ABS(F4953-ROUND(F4953,0))&lt;0.001,1,0)</f>
        <v/>
      </c>
      <c r="H4953">
        <f>IF(G4953=1,F4953,CEILING(F4953,1))</f>
        <v/>
      </c>
      <c r="I4953">
        <f>IF(G4953=1,0,(H4953-F4953)*E4953)</f>
        <v/>
      </c>
      <c r="J4953">
        <f>E4953*F4953</f>
        <v/>
      </c>
    </row>
    <row r="4954">
      <c r="A4954">
        <f>Sources!A4954</f>
        <v/>
      </c>
      <c r="B4954">
        <f>Sources!B4954</f>
        <v/>
      </c>
      <c r="C4954">
        <f>Sources!D4954</f>
        <v/>
      </c>
      <c r="D4954">
        <f>Sources!E4954</f>
        <v/>
      </c>
      <c r="E4954">
        <f>Sources!F4954</f>
        <v/>
      </c>
      <c r="F4954">
        <f>Sources!H4954</f>
        <v/>
      </c>
      <c r="G4954">
        <f>IF(ABS(F4954-ROUND(F4954,0))&lt;0.001,1,0)</f>
        <v/>
      </c>
      <c r="H4954">
        <f>IF(G4954=1,F4954,CEILING(F4954,1))</f>
        <v/>
      </c>
      <c r="I4954">
        <f>IF(G4954=1,0,(H4954-F4954)*E4954)</f>
        <v/>
      </c>
      <c r="J4954">
        <f>E4954*F4954</f>
        <v/>
      </c>
    </row>
    <row r="4955">
      <c r="A4955">
        <f>Sources!A4955</f>
        <v/>
      </c>
      <c r="B4955">
        <f>Sources!B4955</f>
        <v/>
      </c>
      <c r="C4955">
        <f>Sources!D4955</f>
        <v/>
      </c>
      <c r="D4955">
        <f>Sources!E4955</f>
        <v/>
      </c>
      <c r="E4955">
        <f>Sources!F4955</f>
        <v/>
      </c>
      <c r="F4955">
        <f>Sources!H4955</f>
        <v/>
      </c>
      <c r="G4955">
        <f>IF(ABS(F4955-ROUND(F4955,0))&lt;0.001,1,0)</f>
        <v/>
      </c>
      <c r="H4955">
        <f>IF(G4955=1,F4955,CEILING(F4955,1))</f>
        <v/>
      </c>
      <c r="I4955">
        <f>IF(G4955=1,0,(H4955-F4955)*E4955)</f>
        <v/>
      </c>
      <c r="J4955">
        <f>E4955*F4955</f>
        <v/>
      </c>
    </row>
    <row r="4956">
      <c r="A4956">
        <f>Sources!A4956</f>
        <v/>
      </c>
      <c r="B4956">
        <f>Sources!B4956</f>
        <v/>
      </c>
      <c r="C4956">
        <f>Sources!D4956</f>
        <v/>
      </c>
      <c r="D4956">
        <f>Sources!E4956</f>
        <v/>
      </c>
      <c r="E4956">
        <f>Sources!F4956</f>
        <v/>
      </c>
      <c r="F4956">
        <f>Sources!H4956</f>
        <v/>
      </c>
      <c r="G4956">
        <f>IF(ABS(F4956-ROUND(F4956,0))&lt;0.001,1,0)</f>
        <v/>
      </c>
      <c r="H4956">
        <f>IF(G4956=1,F4956,CEILING(F4956,1))</f>
        <v/>
      </c>
      <c r="I4956">
        <f>IF(G4956=1,0,(H4956-F4956)*E4956)</f>
        <v/>
      </c>
      <c r="J4956">
        <f>E4956*F4956</f>
        <v/>
      </c>
    </row>
    <row r="4957">
      <c r="A4957">
        <f>Sources!A4957</f>
        <v/>
      </c>
      <c r="B4957">
        <f>Sources!B4957</f>
        <v/>
      </c>
      <c r="C4957">
        <f>Sources!D4957</f>
        <v/>
      </c>
      <c r="D4957">
        <f>Sources!E4957</f>
        <v/>
      </c>
      <c r="E4957">
        <f>Sources!F4957</f>
        <v/>
      </c>
      <c r="F4957">
        <f>Sources!H4957</f>
        <v/>
      </c>
      <c r="G4957">
        <f>IF(ABS(F4957-ROUND(F4957,0))&lt;0.001,1,0)</f>
        <v/>
      </c>
      <c r="H4957">
        <f>IF(G4957=1,F4957,CEILING(F4957,1))</f>
        <v/>
      </c>
      <c r="I4957">
        <f>IF(G4957=1,0,(H4957-F4957)*E4957)</f>
        <v/>
      </c>
      <c r="J4957">
        <f>E4957*F4957</f>
        <v/>
      </c>
    </row>
    <row r="4958">
      <c r="A4958">
        <f>Sources!A4958</f>
        <v/>
      </c>
      <c r="B4958">
        <f>Sources!B4958</f>
        <v/>
      </c>
      <c r="C4958">
        <f>Sources!D4958</f>
        <v/>
      </c>
      <c r="D4958">
        <f>Sources!E4958</f>
        <v/>
      </c>
      <c r="E4958">
        <f>Sources!F4958</f>
        <v/>
      </c>
      <c r="F4958">
        <f>Sources!H4958</f>
        <v/>
      </c>
      <c r="G4958">
        <f>IF(ABS(F4958-ROUND(F4958,0))&lt;0.001,1,0)</f>
        <v/>
      </c>
      <c r="H4958">
        <f>IF(G4958=1,F4958,CEILING(F4958,1))</f>
        <v/>
      </c>
      <c r="I4958">
        <f>IF(G4958=1,0,(H4958-F4958)*E4958)</f>
        <v/>
      </c>
      <c r="J4958">
        <f>E4958*F4958</f>
        <v/>
      </c>
    </row>
    <row r="4959">
      <c r="A4959">
        <f>Sources!A4959</f>
        <v/>
      </c>
      <c r="B4959">
        <f>Sources!B4959</f>
        <v/>
      </c>
      <c r="C4959">
        <f>Sources!D4959</f>
        <v/>
      </c>
      <c r="D4959">
        <f>Sources!E4959</f>
        <v/>
      </c>
      <c r="E4959">
        <f>Sources!F4959</f>
        <v/>
      </c>
      <c r="F4959">
        <f>Sources!H4959</f>
        <v/>
      </c>
      <c r="G4959">
        <f>IF(ABS(F4959-ROUND(F4959,0))&lt;0.001,1,0)</f>
        <v/>
      </c>
      <c r="H4959">
        <f>IF(G4959=1,F4959,CEILING(F4959,1))</f>
        <v/>
      </c>
      <c r="I4959">
        <f>IF(G4959=1,0,(H4959-F4959)*E4959)</f>
        <v/>
      </c>
      <c r="J4959">
        <f>E4959*F4959</f>
        <v/>
      </c>
    </row>
    <row r="4960">
      <c r="A4960">
        <f>Sources!A4960</f>
        <v/>
      </c>
      <c r="B4960">
        <f>Sources!B4960</f>
        <v/>
      </c>
      <c r="C4960">
        <f>Sources!D4960</f>
        <v/>
      </c>
      <c r="D4960">
        <f>Sources!E4960</f>
        <v/>
      </c>
      <c r="E4960">
        <f>Sources!F4960</f>
        <v/>
      </c>
      <c r="F4960">
        <f>Sources!H4960</f>
        <v/>
      </c>
      <c r="G4960">
        <f>IF(ABS(F4960-ROUND(F4960,0))&lt;0.001,1,0)</f>
        <v/>
      </c>
      <c r="H4960">
        <f>IF(G4960=1,F4960,CEILING(F4960,1))</f>
        <v/>
      </c>
      <c r="I4960">
        <f>IF(G4960=1,0,(H4960-F4960)*E4960)</f>
        <v/>
      </c>
      <c r="J4960">
        <f>E4960*F4960</f>
        <v/>
      </c>
    </row>
    <row r="4961">
      <c r="A4961">
        <f>Sources!A4961</f>
        <v/>
      </c>
      <c r="B4961">
        <f>Sources!B4961</f>
        <v/>
      </c>
      <c r="C4961">
        <f>Sources!D4961</f>
        <v/>
      </c>
      <c r="D4961">
        <f>Sources!E4961</f>
        <v/>
      </c>
      <c r="E4961">
        <f>Sources!F4961</f>
        <v/>
      </c>
      <c r="F4961">
        <f>Sources!H4961</f>
        <v/>
      </c>
      <c r="G4961">
        <f>IF(ABS(F4961-ROUND(F4961,0))&lt;0.001,1,0)</f>
        <v/>
      </c>
      <c r="H4961">
        <f>IF(G4961=1,F4961,CEILING(F4961,1))</f>
        <v/>
      </c>
      <c r="I4961">
        <f>IF(G4961=1,0,(H4961-F4961)*E4961)</f>
        <v/>
      </c>
      <c r="J4961">
        <f>E4961*F4961</f>
        <v/>
      </c>
    </row>
    <row r="4962">
      <c r="A4962">
        <f>Sources!A4962</f>
        <v/>
      </c>
      <c r="B4962">
        <f>Sources!B4962</f>
        <v/>
      </c>
      <c r="C4962">
        <f>Sources!D4962</f>
        <v/>
      </c>
      <c r="D4962">
        <f>Sources!E4962</f>
        <v/>
      </c>
      <c r="E4962">
        <f>Sources!F4962</f>
        <v/>
      </c>
      <c r="F4962">
        <f>Sources!H4962</f>
        <v/>
      </c>
      <c r="G4962">
        <f>IF(ABS(F4962-ROUND(F4962,0))&lt;0.001,1,0)</f>
        <v/>
      </c>
      <c r="H4962">
        <f>IF(G4962=1,F4962,CEILING(F4962,1))</f>
        <v/>
      </c>
      <c r="I4962">
        <f>IF(G4962=1,0,(H4962-F4962)*E4962)</f>
        <v/>
      </c>
      <c r="J4962">
        <f>E4962*F4962</f>
        <v/>
      </c>
    </row>
    <row r="4963">
      <c r="A4963">
        <f>Sources!A4963</f>
        <v/>
      </c>
      <c r="B4963">
        <f>Sources!B4963</f>
        <v/>
      </c>
      <c r="C4963">
        <f>Sources!D4963</f>
        <v/>
      </c>
      <c r="D4963">
        <f>Sources!E4963</f>
        <v/>
      </c>
      <c r="E4963">
        <f>Sources!F4963</f>
        <v/>
      </c>
      <c r="F4963">
        <f>Sources!H4963</f>
        <v/>
      </c>
      <c r="G4963">
        <f>IF(ABS(F4963-ROUND(F4963,0))&lt;0.001,1,0)</f>
        <v/>
      </c>
      <c r="H4963">
        <f>IF(G4963=1,F4963,CEILING(F4963,1))</f>
        <v/>
      </c>
      <c r="I4963">
        <f>IF(G4963=1,0,(H4963-F4963)*E4963)</f>
        <v/>
      </c>
      <c r="J4963">
        <f>E4963*F4963</f>
        <v/>
      </c>
    </row>
    <row r="4964">
      <c r="A4964">
        <f>Sources!A4964</f>
        <v/>
      </c>
      <c r="B4964">
        <f>Sources!B4964</f>
        <v/>
      </c>
      <c r="C4964">
        <f>Sources!D4964</f>
        <v/>
      </c>
      <c r="D4964">
        <f>Sources!E4964</f>
        <v/>
      </c>
      <c r="E4964">
        <f>Sources!F4964</f>
        <v/>
      </c>
      <c r="F4964">
        <f>Sources!H4964</f>
        <v/>
      </c>
      <c r="G4964">
        <f>IF(ABS(F4964-ROUND(F4964,0))&lt;0.001,1,0)</f>
        <v/>
      </c>
      <c r="H4964">
        <f>IF(G4964=1,F4964,CEILING(F4964,1))</f>
        <v/>
      </c>
      <c r="I4964">
        <f>IF(G4964=1,0,(H4964-F4964)*E4964)</f>
        <v/>
      </c>
      <c r="J4964">
        <f>E4964*F4964</f>
        <v/>
      </c>
    </row>
    <row r="4965">
      <c r="A4965">
        <f>Sources!A4965</f>
        <v/>
      </c>
      <c r="B4965">
        <f>Sources!B4965</f>
        <v/>
      </c>
      <c r="C4965">
        <f>Sources!D4965</f>
        <v/>
      </c>
      <c r="D4965">
        <f>Sources!E4965</f>
        <v/>
      </c>
      <c r="E4965">
        <f>Sources!F4965</f>
        <v/>
      </c>
      <c r="F4965">
        <f>Sources!H4965</f>
        <v/>
      </c>
      <c r="G4965">
        <f>IF(ABS(F4965-ROUND(F4965,0))&lt;0.001,1,0)</f>
        <v/>
      </c>
      <c r="H4965">
        <f>IF(G4965=1,F4965,CEILING(F4965,1))</f>
        <v/>
      </c>
      <c r="I4965">
        <f>IF(G4965=1,0,(H4965-F4965)*E4965)</f>
        <v/>
      </c>
      <c r="J4965">
        <f>E4965*F4965</f>
        <v/>
      </c>
    </row>
    <row r="4966">
      <c r="A4966">
        <f>Sources!A4966</f>
        <v/>
      </c>
      <c r="B4966">
        <f>Sources!B4966</f>
        <v/>
      </c>
      <c r="C4966">
        <f>Sources!D4966</f>
        <v/>
      </c>
      <c r="D4966">
        <f>Sources!E4966</f>
        <v/>
      </c>
      <c r="E4966">
        <f>Sources!F4966</f>
        <v/>
      </c>
      <c r="F4966">
        <f>Sources!H4966</f>
        <v/>
      </c>
      <c r="G4966">
        <f>IF(ABS(F4966-ROUND(F4966,0))&lt;0.001,1,0)</f>
        <v/>
      </c>
      <c r="H4966">
        <f>IF(G4966=1,F4966,CEILING(F4966,1))</f>
        <v/>
      </c>
      <c r="I4966">
        <f>IF(G4966=1,0,(H4966-F4966)*E4966)</f>
        <v/>
      </c>
      <c r="J4966">
        <f>E4966*F4966</f>
        <v/>
      </c>
    </row>
    <row r="4967">
      <c r="A4967">
        <f>Sources!A4967</f>
        <v/>
      </c>
      <c r="B4967">
        <f>Sources!B4967</f>
        <v/>
      </c>
      <c r="C4967">
        <f>Sources!D4967</f>
        <v/>
      </c>
      <c r="D4967">
        <f>Sources!E4967</f>
        <v/>
      </c>
      <c r="E4967">
        <f>Sources!F4967</f>
        <v/>
      </c>
      <c r="F4967">
        <f>Sources!H4967</f>
        <v/>
      </c>
      <c r="G4967">
        <f>IF(ABS(F4967-ROUND(F4967,0))&lt;0.001,1,0)</f>
        <v/>
      </c>
      <c r="H4967">
        <f>IF(G4967=1,F4967,CEILING(F4967,1))</f>
        <v/>
      </c>
      <c r="I4967">
        <f>IF(G4967=1,0,(H4967-F4967)*E4967)</f>
        <v/>
      </c>
      <c r="J4967">
        <f>E4967*F4967</f>
        <v/>
      </c>
    </row>
    <row r="4968">
      <c r="A4968">
        <f>Sources!A4968</f>
        <v/>
      </c>
      <c r="B4968">
        <f>Sources!B4968</f>
        <v/>
      </c>
      <c r="C4968">
        <f>Sources!D4968</f>
        <v/>
      </c>
      <c r="D4968">
        <f>Sources!E4968</f>
        <v/>
      </c>
      <c r="E4968">
        <f>Sources!F4968</f>
        <v/>
      </c>
      <c r="F4968">
        <f>Sources!H4968</f>
        <v/>
      </c>
      <c r="G4968">
        <f>IF(ABS(F4968-ROUND(F4968,0))&lt;0.001,1,0)</f>
        <v/>
      </c>
      <c r="H4968">
        <f>IF(G4968=1,F4968,CEILING(F4968,1))</f>
        <v/>
      </c>
      <c r="I4968">
        <f>IF(G4968=1,0,(H4968-F4968)*E4968)</f>
        <v/>
      </c>
      <c r="J4968">
        <f>E4968*F4968</f>
        <v/>
      </c>
    </row>
    <row r="4969">
      <c r="A4969">
        <f>Sources!A4969</f>
        <v/>
      </c>
      <c r="B4969">
        <f>Sources!B4969</f>
        <v/>
      </c>
      <c r="C4969">
        <f>Sources!D4969</f>
        <v/>
      </c>
      <c r="D4969">
        <f>Sources!E4969</f>
        <v/>
      </c>
      <c r="E4969">
        <f>Sources!F4969</f>
        <v/>
      </c>
      <c r="F4969">
        <f>Sources!H4969</f>
        <v/>
      </c>
      <c r="G4969">
        <f>IF(ABS(F4969-ROUND(F4969,0))&lt;0.001,1,0)</f>
        <v/>
      </c>
      <c r="H4969">
        <f>IF(G4969=1,F4969,CEILING(F4969,1))</f>
        <v/>
      </c>
      <c r="I4969">
        <f>IF(G4969=1,0,(H4969-F4969)*E4969)</f>
        <v/>
      </c>
      <c r="J4969">
        <f>E4969*F4969</f>
        <v/>
      </c>
    </row>
    <row r="4970">
      <c r="A4970">
        <f>Sources!A4970</f>
        <v/>
      </c>
      <c r="B4970">
        <f>Sources!B4970</f>
        <v/>
      </c>
      <c r="C4970">
        <f>Sources!D4970</f>
        <v/>
      </c>
      <c r="D4970">
        <f>Sources!E4970</f>
        <v/>
      </c>
      <c r="E4970">
        <f>Sources!F4970</f>
        <v/>
      </c>
      <c r="F4970">
        <f>Sources!H4970</f>
        <v/>
      </c>
      <c r="G4970">
        <f>IF(ABS(F4970-ROUND(F4970,0))&lt;0.001,1,0)</f>
        <v/>
      </c>
      <c r="H4970">
        <f>IF(G4970=1,F4970,CEILING(F4970,1))</f>
        <v/>
      </c>
      <c r="I4970">
        <f>IF(G4970=1,0,(H4970-F4970)*E4970)</f>
        <v/>
      </c>
      <c r="J4970">
        <f>E4970*F4970</f>
        <v/>
      </c>
    </row>
    <row r="4971">
      <c r="A4971">
        <f>Sources!A4971</f>
        <v/>
      </c>
      <c r="B4971">
        <f>Sources!B4971</f>
        <v/>
      </c>
      <c r="C4971">
        <f>Sources!D4971</f>
        <v/>
      </c>
      <c r="D4971">
        <f>Sources!E4971</f>
        <v/>
      </c>
      <c r="E4971">
        <f>Sources!F4971</f>
        <v/>
      </c>
      <c r="F4971">
        <f>Sources!H4971</f>
        <v/>
      </c>
      <c r="G4971">
        <f>IF(ABS(F4971-ROUND(F4971,0))&lt;0.001,1,0)</f>
        <v/>
      </c>
      <c r="H4971">
        <f>IF(G4971=1,F4971,CEILING(F4971,1))</f>
        <v/>
      </c>
      <c r="I4971">
        <f>IF(G4971=1,0,(H4971-F4971)*E4971)</f>
        <v/>
      </c>
      <c r="J4971">
        <f>E4971*F4971</f>
        <v/>
      </c>
    </row>
    <row r="4972">
      <c r="A4972">
        <f>Sources!A4972</f>
        <v/>
      </c>
      <c r="B4972">
        <f>Sources!B4972</f>
        <v/>
      </c>
      <c r="C4972">
        <f>Sources!D4972</f>
        <v/>
      </c>
      <c r="D4972">
        <f>Sources!E4972</f>
        <v/>
      </c>
      <c r="E4972">
        <f>Sources!F4972</f>
        <v/>
      </c>
      <c r="F4972">
        <f>Sources!H4972</f>
        <v/>
      </c>
      <c r="G4972">
        <f>IF(ABS(F4972-ROUND(F4972,0))&lt;0.001,1,0)</f>
        <v/>
      </c>
      <c r="H4972">
        <f>IF(G4972=1,F4972,CEILING(F4972,1))</f>
        <v/>
      </c>
      <c r="I4972">
        <f>IF(G4972=1,0,(H4972-F4972)*E4972)</f>
        <v/>
      </c>
      <c r="J4972">
        <f>E4972*F4972</f>
        <v/>
      </c>
    </row>
    <row r="4973">
      <c r="A4973">
        <f>Sources!A4973</f>
        <v/>
      </c>
      <c r="B4973">
        <f>Sources!B4973</f>
        <v/>
      </c>
      <c r="C4973">
        <f>Sources!D4973</f>
        <v/>
      </c>
      <c r="D4973">
        <f>Sources!E4973</f>
        <v/>
      </c>
      <c r="E4973">
        <f>Sources!F4973</f>
        <v/>
      </c>
      <c r="F4973">
        <f>Sources!H4973</f>
        <v/>
      </c>
      <c r="G4973">
        <f>IF(ABS(F4973-ROUND(F4973,0))&lt;0.001,1,0)</f>
        <v/>
      </c>
      <c r="H4973">
        <f>IF(G4973=1,F4973,CEILING(F4973,1))</f>
        <v/>
      </c>
      <c r="I4973">
        <f>IF(G4973=1,0,(H4973-F4973)*E4973)</f>
        <v/>
      </c>
      <c r="J4973">
        <f>E4973*F4973</f>
        <v/>
      </c>
    </row>
    <row r="4974">
      <c r="A4974">
        <f>Sources!A4974</f>
        <v/>
      </c>
      <c r="B4974">
        <f>Sources!B4974</f>
        <v/>
      </c>
      <c r="C4974">
        <f>Sources!D4974</f>
        <v/>
      </c>
      <c r="D4974">
        <f>Sources!E4974</f>
        <v/>
      </c>
      <c r="E4974">
        <f>Sources!F4974</f>
        <v/>
      </c>
      <c r="F4974">
        <f>Sources!H4974</f>
        <v/>
      </c>
      <c r="G4974">
        <f>IF(ABS(F4974-ROUND(F4974,0))&lt;0.001,1,0)</f>
        <v/>
      </c>
      <c r="H4974">
        <f>IF(G4974=1,F4974,CEILING(F4974,1))</f>
        <v/>
      </c>
      <c r="I4974">
        <f>IF(G4974=1,0,(H4974-F4974)*E4974)</f>
        <v/>
      </c>
      <c r="J4974">
        <f>E4974*F4974</f>
        <v/>
      </c>
    </row>
    <row r="4975">
      <c r="A4975">
        <f>Sources!A4975</f>
        <v/>
      </c>
      <c r="B4975">
        <f>Sources!B4975</f>
        <v/>
      </c>
      <c r="C4975">
        <f>Sources!D4975</f>
        <v/>
      </c>
      <c r="D4975">
        <f>Sources!E4975</f>
        <v/>
      </c>
      <c r="E4975">
        <f>Sources!F4975</f>
        <v/>
      </c>
      <c r="F4975">
        <f>Sources!H4975</f>
        <v/>
      </c>
      <c r="G4975">
        <f>IF(ABS(F4975-ROUND(F4975,0))&lt;0.001,1,0)</f>
        <v/>
      </c>
      <c r="H4975">
        <f>IF(G4975=1,F4975,CEILING(F4975,1))</f>
        <v/>
      </c>
      <c r="I4975">
        <f>IF(G4975=1,0,(H4975-F4975)*E4975)</f>
        <v/>
      </c>
      <c r="J4975">
        <f>E4975*F4975</f>
        <v/>
      </c>
    </row>
    <row r="4976">
      <c r="A4976">
        <f>Sources!A4976</f>
        <v/>
      </c>
      <c r="B4976">
        <f>Sources!B4976</f>
        <v/>
      </c>
      <c r="C4976">
        <f>Sources!D4976</f>
        <v/>
      </c>
      <c r="D4976">
        <f>Sources!E4976</f>
        <v/>
      </c>
      <c r="E4976">
        <f>Sources!F4976</f>
        <v/>
      </c>
      <c r="F4976">
        <f>Sources!H4976</f>
        <v/>
      </c>
      <c r="G4976">
        <f>IF(ABS(F4976-ROUND(F4976,0))&lt;0.001,1,0)</f>
        <v/>
      </c>
      <c r="H4976">
        <f>IF(G4976=1,F4976,CEILING(F4976,1))</f>
        <v/>
      </c>
      <c r="I4976">
        <f>IF(G4976=1,0,(H4976-F4976)*E4976)</f>
        <v/>
      </c>
      <c r="J4976">
        <f>E4976*F4976</f>
        <v/>
      </c>
    </row>
    <row r="4977">
      <c r="A4977">
        <f>Sources!A4977</f>
        <v/>
      </c>
      <c r="B4977">
        <f>Sources!B4977</f>
        <v/>
      </c>
      <c r="C4977">
        <f>Sources!D4977</f>
        <v/>
      </c>
      <c r="D4977">
        <f>Sources!E4977</f>
        <v/>
      </c>
      <c r="E4977">
        <f>Sources!F4977</f>
        <v/>
      </c>
      <c r="F4977">
        <f>Sources!H4977</f>
        <v/>
      </c>
      <c r="G4977">
        <f>IF(ABS(F4977-ROUND(F4977,0))&lt;0.001,1,0)</f>
        <v/>
      </c>
      <c r="H4977">
        <f>IF(G4977=1,F4977,CEILING(F4977,1))</f>
        <v/>
      </c>
      <c r="I4977">
        <f>IF(G4977=1,0,(H4977-F4977)*E4977)</f>
        <v/>
      </c>
      <c r="J4977">
        <f>E4977*F4977</f>
        <v/>
      </c>
    </row>
    <row r="4978">
      <c r="A4978">
        <f>Sources!A4978</f>
        <v/>
      </c>
      <c r="B4978">
        <f>Sources!B4978</f>
        <v/>
      </c>
      <c r="C4978">
        <f>Sources!D4978</f>
        <v/>
      </c>
      <c r="D4978">
        <f>Sources!E4978</f>
        <v/>
      </c>
      <c r="E4978">
        <f>Sources!F4978</f>
        <v/>
      </c>
      <c r="F4978">
        <f>Sources!H4978</f>
        <v/>
      </c>
      <c r="G4978">
        <f>IF(ABS(F4978-ROUND(F4978,0))&lt;0.001,1,0)</f>
        <v/>
      </c>
      <c r="H4978">
        <f>IF(G4978=1,F4978,CEILING(F4978,1))</f>
        <v/>
      </c>
      <c r="I4978">
        <f>IF(G4978=1,0,(H4978-F4978)*E4978)</f>
        <v/>
      </c>
      <c r="J4978">
        <f>E4978*F4978</f>
        <v/>
      </c>
    </row>
    <row r="4979">
      <c r="A4979">
        <f>Sources!A4979</f>
        <v/>
      </c>
      <c r="B4979">
        <f>Sources!B4979</f>
        <v/>
      </c>
      <c r="C4979">
        <f>Sources!D4979</f>
        <v/>
      </c>
      <c r="D4979">
        <f>Sources!E4979</f>
        <v/>
      </c>
      <c r="E4979">
        <f>Sources!F4979</f>
        <v/>
      </c>
      <c r="F4979">
        <f>Sources!H4979</f>
        <v/>
      </c>
      <c r="G4979">
        <f>IF(ABS(F4979-ROUND(F4979,0))&lt;0.001,1,0)</f>
        <v/>
      </c>
      <c r="H4979">
        <f>IF(G4979=1,F4979,CEILING(F4979,1))</f>
        <v/>
      </c>
      <c r="I4979">
        <f>IF(G4979=1,0,(H4979-F4979)*E4979)</f>
        <v/>
      </c>
      <c r="J4979">
        <f>E4979*F4979</f>
        <v/>
      </c>
    </row>
    <row r="4980">
      <c r="A4980">
        <f>Sources!A4980</f>
        <v/>
      </c>
      <c r="B4980">
        <f>Sources!B4980</f>
        <v/>
      </c>
      <c r="C4980">
        <f>Sources!D4980</f>
        <v/>
      </c>
      <c r="D4980">
        <f>Sources!E4980</f>
        <v/>
      </c>
      <c r="E4980">
        <f>Sources!F4980</f>
        <v/>
      </c>
      <c r="F4980">
        <f>Sources!H4980</f>
        <v/>
      </c>
      <c r="G4980">
        <f>IF(ABS(F4980-ROUND(F4980,0))&lt;0.001,1,0)</f>
        <v/>
      </c>
      <c r="H4980">
        <f>IF(G4980=1,F4980,CEILING(F4980,1))</f>
        <v/>
      </c>
      <c r="I4980">
        <f>IF(G4980=1,0,(H4980-F4980)*E4980)</f>
        <v/>
      </c>
      <c r="J4980">
        <f>E4980*F4980</f>
        <v/>
      </c>
    </row>
    <row r="4981">
      <c r="A4981">
        <f>Sources!A4981</f>
        <v/>
      </c>
      <c r="B4981">
        <f>Sources!B4981</f>
        <v/>
      </c>
      <c r="C4981">
        <f>Sources!D4981</f>
        <v/>
      </c>
      <c r="D4981">
        <f>Sources!E4981</f>
        <v/>
      </c>
      <c r="E4981">
        <f>Sources!F4981</f>
        <v/>
      </c>
      <c r="F4981">
        <f>Sources!H4981</f>
        <v/>
      </c>
      <c r="G4981">
        <f>IF(ABS(F4981-ROUND(F4981,0))&lt;0.001,1,0)</f>
        <v/>
      </c>
      <c r="H4981">
        <f>IF(G4981=1,F4981,CEILING(F4981,1))</f>
        <v/>
      </c>
      <c r="I4981">
        <f>IF(G4981=1,0,(H4981-F4981)*E4981)</f>
        <v/>
      </c>
      <c r="J4981">
        <f>E4981*F4981</f>
        <v/>
      </c>
    </row>
    <row r="4982">
      <c r="A4982">
        <f>Sources!A4982</f>
        <v/>
      </c>
      <c r="B4982">
        <f>Sources!B4982</f>
        <v/>
      </c>
      <c r="C4982">
        <f>Sources!D4982</f>
        <v/>
      </c>
      <c r="D4982">
        <f>Sources!E4982</f>
        <v/>
      </c>
      <c r="E4982">
        <f>Sources!F4982</f>
        <v/>
      </c>
      <c r="F4982">
        <f>Sources!H4982</f>
        <v/>
      </c>
      <c r="G4982">
        <f>IF(ABS(F4982-ROUND(F4982,0))&lt;0.001,1,0)</f>
        <v/>
      </c>
      <c r="H4982">
        <f>IF(G4982=1,F4982,CEILING(F4982,1))</f>
        <v/>
      </c>
      <c r="I4982">
        <f>IF(G4982=1,0,(H4982-F4982)*E4982)</f>
        <v/>
      </c>
      <c r="J4982">
        <f>E4982*F4982</f>
        <v/>
      </c>
    </row>
    <row r="4983">
      <c r="A4983">
        <f>Sources!A4983</f>
        <v/>
      </c>
      <c r="B4983">
        <f>Sources!B4983</f>
        <v/>
      </c>
      <c r="C4983">
        <f>Sources!D4983</f>
        <v/>
      </c>
      <c r="D4983">
        <f>Sources!E4983</f>
        <v/>
      </c>
      <c r="E4983">
        <f>Sources!F4983</f>
        <v/>
      </c>
      <c r="F4983">
        <f>Sources!H4983</f>
        <v/>
      </c>
      <c r="G4983">
        <f>IF(ABS(F4983-ROUND(F4983,0))&lt;0.001,1,0)</f>
        <v/>
      </c>
      <c r="H4983">
        <f>IF(G4983=1,F4983,CEILING(F4983,1))</f>
        <v/>
      </c>
      <c r="I4983">
        <f>IF(G4983=1,0,(H4983-F4983)*E4983)</f>
        <v/>
      </c>
      <c r="J4983">
        <f>E4983*F4983</f>
        <v/>
      </c>
    </row>
    <row r="4984">
      <c r="A4984">
        <f>Sources!A4984</f>
        <v/>
      </c>
      <c r="B4984">
        <f>Sources!B4984</f>
        <v/>
      </c>
      <c r="C4984">
        <f>Sources!D4984</f>
        <v/>
      </c>
      <c r="D4984">
        <f>Sources!E4984</f>
        <v/>
      </c>
      <c r="E4984">
        <f>Sources!F4984</f>
        <v/>
      </c>
      <c r="F4984">
        <f>Sources!H4984</f>
        <v/>
      </c>
      <c r="G4984">
        <f>IF(ABS(F4984-ROUND(F4984,0))&lt;0.001,1,0)</f>
        <v/>
      </c>
      <c r="H4984">
        <f>IF(G4984=1,F4984,CEILING(F4984,1))</f>
        <v/>
      </c>
      <c r="I4984">
        <f>IF(G4984=1,0,(H4984-F4984)*E4984)</f>
        <v/>
      </c>
      <c r="J4984">
        <f>E4984*F4984</f>
        <v/>
      </c>
    </row>
    <row r="4985">
      <c r="A4985">
        <f>Sources!A4985</f>
        <v/>
      </c>
      <c r="B4985">
        <f>Sources!B4985</f>
        <v/>
      </c>
      <c r="C4985">
        <f>Sources!D4985</f>
        <v/>
      </c>
      <c r="D4985">
        <f>Sources!E4985</f>
        <v/>
      </c>
      <c r="E4985">
        <f>Sources!F4985</f>
        <v/>
      </c>
      <c r="F4985">
        <f>Sources!H4985</f>
        <v/>
      </c>
      <c r="G4985">
        <f>IF(ABS(F4985-ROUND(F4985,0))&lt;0.001,1,0)</f>
        <v/>
      </c>
      <c r="H4985">
        <f>IF(G4985=1,F4985,CEILING(F4985,1))</f>
        <v/>
      </c>
      <c r="I4985">
        <f>IF(G4985=1,0,(H4985-F4985)*E4985)</f>
        <v/>
      </c>
      <c r="J4985">
        <f>E4985*F4985</f>
        <v/>
      </c>
    </row>
    <row r="4986">
      <c r="A4986">
        <f>Sources!A4986</f>
        <v/>
      </c>
      <c r="B4986">
        <f>Sources!B4986</f>
        <v/>
      </c>
      <c r="C4986">
        <f>Sources!D4986</f>
        <v/>
      </c>
      <c r="D4986">
        <f>Sources!E4986</f>
        <v/>
      </c>
      <c r="E4986">
        <f>Sources!F4986</f>
        <v/>
      </c>
      <c r="F4986">
        <f>Sources!H4986</f>
        <v/>
      </c>
      <c r="G4986">
        <f>IF(ABS(F4986-ROUND(F4986,0))&lt;0.001,1,0)</f>
        <v/>
      </c>
      <c r="H4986">
        <f>IF(G4986=1,F4986,CEILING(F4986,1))</f>
        <v/>
      </c>
      <c r="I4986">
        <f>IF(G4986=1,0,(H4986-F4986)*E4986)</f>
        <v/>
      </c>
      <c r="J4986">
        <f>E4986*F4986</f>
        <v/>
      </c>
    </row>
    <row r="4987">
      <c r="A4987">
        <f>Sources!A4987</f>
        <v/>
      </c>
      <c r="B4987">
        <f>Sources!B4987</f>
        <v/>
      </c>
      <c r="C4987">
        <f>Sources!D4987</f>
        <v/>
      </c>
      <c r="D4987">
        <f>Sources!E4987</f>
        <v/>
      </c>
      <c r="E4987">
        <f>Sources!F4987</f>
        <v/>
      </c>
      <c r="F4987">
        <f>Sources!H4987</f>
        <v/>
      </c>
      <c r="G4987">
        <f>IF(ABS(F4987-ROUND(F4987,0))&lt;0.001,1,0)</f>
        <v/>
      </c>
      <c r="H4987">
        <f>IF(G4987=1,F4987,CEILING(F4987,1))</f>
        <v/>
      </c>
      <c r="I4987">
        <f>IF(G4987=1,0,(H4987-F4987)*E4987)</f>
        <v/>
      </c>
      <c r="J4987">
        <f>E4987*F4987</f>
        <v/>
      </c>
    </row>
    <row r="4988">
      <c r="A4988">
        <f>Sources!A4988</f>
        <v/>
      </c>
      <c r="B4988">
        <f>Sources!B4988</f>
        <v/>
      </c>
      <c r="C4988">
        <f>Sources!D4988</f>
        <v/>
      </c>
      <c r="D4988">
        <f>Sources!E4988</f>
        <v/>
      </c>
      <c r="E4988">
        <f>Sources!F4988</f>
        <v/>
      </c>
      <c r="F4988">
        <f>Sources!H4988</f>
        <v/>
      </c>
      <c r="G4988">
        <f>IF(ABS(F4988-ROUND(F4988,0))&lt;0.001,1,0)</f>
        <v/>
      </c>
      <c r="H4988">
        <f>IF(G4988=1,F4988,CEILING(F4988,1))</f>
        <v/>
      </c>
      <c r="I4988">
        <f>IF(G4988=1,0,(H4988-F4988)*E4988)</f>
        <v/>
      </c>
      <c r="J4988">
        <f>E4988*F4988</f>
        <v/>
      </c>
    </row>
    <row r="4989">
      <c r="A4989">
        <f>Sources!A4989</f>
        <v/>
      </c>
      <c r="B4989">
        <f>Sources!B4989</f>
        <v/>
      </c>
      <c r="C4989">
        <f>Sources!D4989</f>
        <v/>
      </c>
      <c r="D4989">
        <f>Sources!E4989</f>
        <v/>
      </c>
      <c r="E4989">
        <f>Sources!F4989</f>
        <v/>
      </c>
      <c r="F4989">
        <f>Sources!H4989</f>
        <v/>
      </c>
      <c r="G4989">
        <f>IF(ABS(F4989-ROUND(F4989,0))&lt;0.001,1,0)</f>
        <v/>
      </c>
      <c r="H4989">
        <f>IF(G4989=1,F4989,CEILING(F4989,1))</f>
        <v/>
      </c>
      <c r="I4989">
        <f>IF(G4989=1,0,(H4989-F4989)*E4989)</f>
        <v/>
      </c>
      <c r="J4989">
        <f>E4989*F4989</f>
        <v/>
      </c>
    </row>
    <row r="4990">
      <c r="A4990">
        <f>Sources!A4990</f>
        <v/>
      </c>
      <c r="B4990">
        <f>Sources!B4990</f>
        <v/>
      </c>
      <c r="C4990">
        <f>Sources!D4990</f>
        <v/>
      </c>
      <c r="D4990">
        <f>Sources!E4990</f>
        <v/>
      </c>
      <c r="E4990">
        <f>Sources!F4990</f>
        <v/>
      </c>
      <c r="F4990">
        <f>Sources!H4990</f>
        <v/>
      </c>
      <c r="G4990">
        <f>IF(ABS(F4990-ROUND(F4990,0))&lt;0.001,1,0)</f>
        <v/>
      </c>
      <c r="H4990">
        <f>IF(G4990=1,F4990,CEILING(F4990,1))</f>
        <v/>
      </c>
      <c r="I4990">
        <f>IF(G4990=1,0,(H4990-F4990)*E4990)</f>
        <v/>
      </c>
      <c r="J4990">
        <f>E4990*F4990</f>
        <v/>
      </c>
    </row>
    <row r="4991">
      <c r="A4991">
        <f>Sources!A4991</f>
        <v/>
      </c>
      <c r="B4991">
        <f>Sources!B4991</f>
        <v/>
      </c>
      <c r="C4991">
        <f>Sources!D4991</f>
        <v/>
      </c>
      <c r="D4991">
        <f>Sources!E4991</f>
        <v/>
      </c>
      <c r="E4991">
        <f>Sources!F4991</f>
        <v/>
      </c>
      <c r="F4991">
        <f>Sources!H4991</f>
        <v/>
      </c>
      <c r="G4991">
        <f>IF(ABS(F4991-ROUND(F4991,0))&lt;0.001,1,0)</f>
        <v/>
      </c>
      <c r="H4991">
        <f>IF(G4991=1,F4991,CEILING(F4991,1))</f>
        <v/>
      </c>
      <c r="I4991">
        <f>IF(G4991=1,0,(H4991-F4991)*E4991)</f>
        <v/>
      </c>
      <c r="J4991">
        <f>E4991*F4991</f>
        <v/>
      </c>
    </row>
    <row r="4992">
      <c r="A4992">
        <f>Sources!A4992</f>
        <v/>
      </c>
      <c r="B4992">
        <f>Sources!B4992</f>
        <v/>
      </c>
      <c r="C4992">
        <f>Sources!D4992</f>
        <v/>
      </c>
      <c r="D4992">
        <f>Sources!E4992</f>
        <v/>
      </c>
      <c r="E4992">
        <f>Sources!F4992</f>
        <v/>
      </c>
      <c r="F4992">
        <f>Sources!H4992</f>
        <v/>
      </c>
      <c r="G4992">
        <f>IF(ABS(F4992-ROUND(F4992,0))&lt;0.001,1,0)</f>
        <v/>
      </c>
      <c r="H4992">
        <f>IF(G4992=1,F4992,CEILING(F4992,1))</f>
        <v/>
      </c>
      <c r="I4992">
        <f>IF(G4992=1,0,(H4992-F4992)*E4992)</f>
        <v/>
      </c>
      <c r="J4992">
        <f>E4992*F4992</f>
        <v/>
      </c>
    </row>
    <row r="4993">
      <c r="A4993">
        <f>Sources!A4993</f>
        <v/>
      </c>
      <c r="B4993">
        <f>Sources!B4993</f>
        <v/>
      </c>
      <c r="C4993">
        <f>Sources!D4993</f>
        <v/>
      </c>
      <c r="D4993">
        <f>Sources!E4993</f>
        <v/>
      </c>
      <c r="E4993">
        <f>Sources!F4993</f>
        <v/>
      </c>
      <c r="F4993">
        <f>Sources!H4993</f>
        <v/>
      </c>
      <c r="G4993">
        <f>IF(ABS(F4993-ROUND(F4993,0))&lt;0.001,1,0)</f>
        <v/>
      </c>
      <c r="H4993">
        <f>IF(G4993=1,F4993,CEILING(F4993,1))</f>
        <v/>
      </c>
      <c r="I4993">
        <f>IF(G4993=1,0,(H4993-F4993)*E4993)</f>
        <v/>
      </c>
      <c r="J4993">
        <f>E4993*F4993</f>
        <v/>
      </c>
    </row>
    <row r="4994">
      <c r="A4994">
        <f>Sources!A4994</f>
        <v/>
      </c>
      <c r="B4994">
        <f>Sources!B4994</f>
        <v/>
      </c>
      <c r="C4994">
        <f>Sources!D4994</f>
        <v/>
      </c>
      <c r="D4994">
        <f>Sources!E4994</f>
        <v/>
      </c>
      <c r="E4994">
        <f>Sources!F4994</f>
        <v/>
      </c>
      <c r="F4994">
        <f>Sources!H4994</f>
        <v/>
      </c>
      <c r="G4994">
        <f>IF(ABS(F4994-ROUND(F4994,0))&lt;0.001,1,0)</f>
        <v/>
      </c>
      <c r="H4994">
        <f>IF(G4994=1,F4994,CEILING(F4994,1))</f>
        <v/>
      </c>
      <c r="I4994">
        <f>IF(G4994=1,0,(H4994-F4994)*E4994)</f>
        <v/>
      </c>
      <c r="J4994">
        <f>E4994*F4994</f>
        <v/>
      </c>
    </row>
    <row r="4995">
      <c r="A4995">
        <f>Sources!A4995</f>
        <v/>
      </c>
      <c r="B4995">
        <f>Sources!B4995</f>
        <v/>
      </c>
      <c r="C4995">
        <f>Sources!D4995</f>
        <v/>
      </c>
      <c r="D4995">
        <f>Sources!E4995</f>
        <v/>
      </c>
      <c r="E4995">
        <f>Sources!F4995</f>
        <v/>
      </c>
      <c r="F4995">
        <f>Sources!H4995</f>
        <v/>
      </c>
      <c r="G4995">
        <f>IF(ABS(F4995-ROUND(F4995,0))&lt;0.001,1,0)</f>
        <v/>
      </c>
      <c r="H4995">
        <f>IF(G4995=1,F4995,CEILING(F4995,1))</f>
        <v/>
      </c>
      <c r="I4995">
        <f>IF(G4995=1,0,(H4995-F4995)*E4995)</f>
        <v/>
      </c>
      <c r="J4995">
        <f>E4995*F4995</f>
        <v/>
      </c>
    </row>
    <row r="4996">
      <c r="A4996">
        <f>Sources!A4996</f>
        <v/>
      </c>
      <c r="B4996">
        <f>Sources!B4996</f>
        <v/>
      </c>
      <c r="C4996">
        <f>Sources!D4996</f>
        <v/>
      </c>
      <c r="D4996">
        <f>Sources!E4996</f>
        <v/>
      </c>
      <c r="E4996">
        <f>Sources!F4996</f>
        <v/>
      </c>
      <c r="F4996">
        <f>Sources!H4996</f>
        <v/>
      </c>
      <c r="G4996">
        <f>IF(ABS(F4996-ROUND(F4996,0))&lt;0.001,1,0)</f>
        <v/>
      </c>
      <c r="H4996">
        <f>IF(G4996=1,F4996,CEILING(F4996,1))</f>
        <v/>
      </c>
      <c r="I4996">
        <f>IF(G4996=1,0,(H4996-F4996)*E4996)</f>
        <v/>
      </c>
      <c r="J4996">
        <f>E4996*F4996</f>
        <v/>
      </c>
    </row>
    <row r="4997">
      <c r="A4997">
        <f>Sources!A4997</f>
        <v/>
      </c>
      <c r="B4997">
        <f>Sources!B4997</f>
        <v/>
      </c>
      <c r="C4997">
        <f>Sources!D4997</f>
        <v/>
      </c>
      <c r="D4997">
        <f>Sources!E4997</f>
        <v/>
      </c>
      <c r="E4997">
        <f>Sources!F4997</f>
        <v/>
      </c>
      <c r="F4997">
        <f>Sources!H4997</f>
        <v/>
      </c>
      <c r="G4997">
        <f>IF(ABS(F4997-ROUND(F4997,0))&lt;0.001,1,0)</f>
        <v/>
      </c>
      <c r="H4997">
        <f>IF(G4997=1,F4997,CEILING(F4997,1))</f>
        <v/>
      </c>
      <c r="I4997">
        <f>IF(G4997=1,0,(H4997-F4997)*E4997)</f>
        <v/>
      </c>
      <c r="J4997">
        <f>E4997*F4997</f>
        <v/>
      </c>
    </row>
    <row r="4998">
      <c r="A4998">
        <f>Sources!A4998</f>
        <v/>
      </c>
      <c r="B4998">
        <f>Sources!B4998</f>
        <v/>
      </c>
      <c r="C4998">
        <f>Sources!D4998</f>
        <v/>
      </c>
      <c r="D4998">
        <f>Sources!E4998</f>
        <v/>
      </c>
      <c r="E4998">
        <f>Sources!F4998</f>
        <v/>
      </c>
      <c r="F4998">
        <f>Sources!H4998</f>
        <v/>
      </c>
      <c r="G4998">
        <f>IF(ABS(F4998-ROUND(F4998,0))&lt;0.001,1,0)</f>
        <v/>
      </c>
      <c r="H4998">
        <f>IF(G4998=1,F4998,CEILING(F4998,1))</f>
        <v/>
      </c>
      <c r="I4998">
        <f>IF(G4998=1,0,(H4998-F4998)*E4998)</f>
        <v/>
      </c>
      <c r="J4998">
        <f>E4998*F4998</f>
        <v/>
      </c>
    </row>
    <row r="4999">
      <c r="A4999">
        <f>Sources!A4999</f>
        <v/>
      </c>
      <c r="B4999">
        <f>Sources!B4999</f>
        <v/>
      </c>
      <c r="C4999">
        <f>Sources!D4999</f>
        <v/>
      </c>
      <c r="D4999">
        <f>Sources!E4999</f>
        <v/>
      </c>
      <c r="E4999">
        <f>Sources!F4999</f>
        <v/>
      </c>
      <c r="F4999">
        <f>Sources!H4999</f>
        <v/>
      </c>
      <c r="G4999">
        <f>IF(ABS(F4999-ROUND(F4999,0))&lt;0.001,1,0)</f>
        <v/>
      </c>
      <c r="H4999">
        <f>IF(G4999=1,F4999,CEILING(F4999,1))</f>
        <v/>
      </c>
      <c r="I4999">
        <f>IF(G4999=1,0,(H4999-F4999)*E4999)</f>
        <v/>
      </c>
      <c r="J4999">
        <f>E4999*F4999</f>
        <v/>
      </c>
    </row>
    <row r="5000">
      <c r="A5000">
        <f>Sources!A5000</f>
        <v/>
      </c>
      <c r="B5000">
        <f>Sources!B5000</f>
        <v/>
      </c>
      <c r="C5000">
        <f>Sources!D5000</f>
        <v/>
      </c>
      <c r="D5000">
        <f>Sources!E5000</f>
        <v/>
      </c>
      <c r="E5000">
        <f>Sources!F5000</f>
        <v/>
      </c>
      <c r="F5000">
        <f>Sources!H5000</f>
        <v/>
      </c>
      <c r="G5000">
        <f>IF(ABS(F5000-ROUND(F5000,0))&lt;0.001,1,0)</f>
        <v/>
      </c>
      <c r="H5000">
        <f>IF(G5000=1,F5000,CEILING(F5000,1))</f>
        <v/>
      </c>
      <c r="I5000">
        <f>IF(G5000=1,0,(H5000-F5000)*E5000)</f>
        <v/>
      </c>
      <c r="J5000">
        <f>E5000*F5000</f>
        <v/>
      </c>
    </row>
    <row r="5001">
      <c r="A5001">
        <f>Sources!A5001</f>
        <v/>
      </c>
      <c r="B5001">
        <f>Sources!B5001</f>
        <v/>
      </c>
      <c r="C5001">
        <f>Sources!D5001</f>
        <v/>
      </c>
      <c r="D5001">
        <f>Sources!E5001</f>
        <v/>
      </c>
      <c r="E5001">
        <f>Sources!F5001</f>
        <v/>
      </c>
      <c r="F5001">
        <f>Sources!H5001</f>
        <v/>
      </c>
      <c r="G5001">
        <f>IF(ABS(F5001-ROUND(F5001,0))&lt;0.001,1,0)</f>
        <v/>
      </c>
      <c r="H5001">
        <f>IF(G5001=1,F5001,CEILING(F5001,1))</f>
        <v/>
      </c>
      <c r="I5001">
        <f>IF(G5001=1,0,(H5001-F5001)*E5001)</f>
        <v/>
      </c>
      <c r="J5001">
        <f>E5001*F5001</f>
        <v/>
      </c>
    </row>
    <row r="5002">
      <c r="A5002">
        <f>Sources!A5002</f>
        <v/>
      </c>
      <c r="B5002">
        <f>Sources!B5002</f>
        <v/>
      </c>
      <c r="C5002">
        <f>Sources!D5002</f>
        <v/>
      </c>
      <c r="D5002">
        <f>Sources!E5002</f>
        <v/>
      </c>
      <c r="E5002">
        <f>Sources!F5002</f>
        <v/>
      </c>
      <c r="F5002">
        <f>Sources!H5002</f>
        <v/>
      </c>
      <c r="G5002">
        <f>IF(ABS(F5002-ROUND(F5002,0))&lt;0.001,1,0)</f>
        <v/>
      </c>
      <c r="H5002">
        <f>IF(G5002=1,F5002,CEILING(F5002,1))</f>
        <v/>
      </c>
      <c r="I5002">
        <f>IF(G5002=1,0,(H5002-F5002)*E5002)</f>
        <v/>
      </c>
      <c r="J5002">
        <f>E5002*F5002</f>
        <v/>
      </c>
    </row>
    <row r="5003">
      <c r="A5003">
        <f>Sources!A5003</f>
        <v/>
      </c>
      <c r="B5003">
        <f>Sources!B5003</f>
        <v/>
      </c>
      <c r="C5003">
        <f>Sources!D5003</f>
        <v/>
      </c>
      <c r="D5003">
        <f>Sources!E5003</f>
        <v/>
      </c>
      <c r="E5003">
        <f>Sources!F5003</f>
        <v/>
      </c>
      <c r="F5003">
        <f>Sources!H5003</f>
        <v/>
      </c>
      <c r="G5003">
        <f>IF(ABS(F5003-ROUND(F5003,0))&lt;0.001,1,0)</f>
        <v/>
      </c>
      <c r="H5003">
        <f>IF(G5003=1,F5003,CEILING(F5003,1))</f>
        <v/>
      </c>
      <c r="I5003">
        <f>IF(G5003=1,0,(H5003-F5003)*E5003)</f>
        <v/>
      </c>
      <c r="J5003">
        <f>E5003*F5003</f>
        <v/>
      </c>
    </row>
    <row r="5004">
      <c r="A5004">
        <f>Sources!A5004</f>
        <v/>
      </c>
      <c r="B5004">
        <f>Sources!B5004</f>
        <v/>
      </c>
      <c r="C5004">
        <f>Sources!D5004</f>
        <v/>
      </c>
      <c r="D5004">
        <f>Sources!E5004</f>
        <v/>
      </c>
      <c r="E5004">
        <f>Sources!F5004</f>
        <v/>
      </c>
      <c r="F5004">
        <f>Sources!H5004</f>
        <v/>
      </c>
      <c r="G5004">
        <f>IF(ABS(F5004-ROUND(F5004,0))&lt;0.001,1,0)</f>
        <v/>
      </c>
      <c r="H5004">
        <f>IF(G5004=1,F5004,CEILING(F5004,1))</f>
        <v/>
      </c>
      <c r="I5004">
        <f>IF(G5004=1,0,(H5004-F5004)*E5004)</f>
        <v/>
      </c>
      <c r="J5004">
        <f>E5004*F5004</f>
        <v/>
      </c>
    </row>
    <row r="5005">
      <c r="A5005">
        <f>Sources!A5005</f>
        <v/>
      </c>
      <c r="B5005">
        <f>Sources!B5005</f>
        <v/>
      </c>
      <c r="C5005">
        <f>Sources!D5005</f>
        <v/>
      </c>
      <c r="D5005">
        <f>Sources!E5005</f>
        <v/>
      </c>
      <c r="E5005">
        <f>Sources!F5005</f>
        <v/>
      </c>
      <c r="F5005">
        <f>Sources!H5005</f>
        <v/>
      </c>
      <c r="G5005">
        <f>IF(ABS(F5005-ROUND(F5005,0))&lt;0.001,1,0)</f>
        <v/>
      </c>
      <c r="H5005">
        <f>IF(G5005=1,F5005,CEILING(F5005,1))</f>
        <v/>
      </c>
      <c r="I5005">
        <f>IF(G5005=1,0,(H5005-F5005)*E5005)</f>
        <v/>
      </c>
      <c r="J5005">
        <f>E5005*F5005</f>
        <v/>
      </c>
    </row>
    <row r="5006">
      <c r="A5006">
        <f>Sources!A5006</f>
        <v/>
      </c>
      <c r="B5006">
        <f>Sources!B5006</f>
        <v/>
      </c>
      <c r="C5006">
        <f>Sources!D5006</f>
        <v/>
      </c>
      <c r="D5006">
        <f>Sources!E5006</f>
        <v/>
      </c>
      <c r="E5006">
        <f>Sources!F5006</f>
        <v/>
      </c>
      <c r="F5006">
        <f>Sources!H5006</f>
        <v/>
      </c>
      <c r="G5006">
        <f>IF(ABS(F5006-ROUND(F5006,0))&lt;0.001,1,0)</f>
        <v/>
      </c>
      <c r="H5006">
        <f>IF(G5006=1,F5006,CEILING(F5006,1))</f>
        <v/>
      </c>
      <c r="I5006">
        <f>IF(G5006=1,0,(H5006-F5006)*E5006)</f>
        <v/>
      </c>
      <c r="J5006">
        <f>E5006*F5006</f>
        <v/>
      </c>
    </row>
    <row r="5007">
      <c r="A5007">
        <f>Sources!A5007</f>
        <v/>
      </c>
      <c r="B5007">
        <f>Sources!B5007</f>
        <v/>
      </c>
      <c r="C5007">
        <f>Sources!D5007</f>
        <v/>
      </c>
      <c r="D5007">
        <f>Sources!E5007</f>
        <v/>
      </c>
      <c r="E5007">
        <f>Sources!F5007</f>
        <v/>
      </c>
      <c r="F5007">
        <f>Sources!H5007</f>
        <v/>
      </c>
      <c r="G5007">
        <f>IF(ABS(F5007-ROUND(F5007,0))&lt;0.001,1,0)</f>
        <v/>
      </c>
      <c r="H5007">
        <f>IF(G5007=1,F5007,CEILING(F5007,1))</f>
        <v/>
      </c>
      <c r="I5007">
        <f>IF(G5007=1,0,(H5007-F5007)*E5007)</f>
        <v/>
      </c>
      <c r="J5007">
        <f>E5007*F5007</f>
        <v/>
      </c>
    </row>
    <row r="5008">
      <c r="A5008">
        <f>Sources!A5008</f>
        <v/>
      </c>
      <c r="B5008">
        <f>Sources!B5008</f>
        <v/>
      </c>
      <c r="C5008">
        <f>Sources!D5008</f>
        <v/>
      </c>
      <c r="D5008">
        <f>Sources!E5008</f>
        <v/>
      </c>
      <c r="E5008">
        <f>Sources!F5008</f>
        <v/>
      </c>
      <c r="F5008">
        <f>Sources!H5008</f>
        <v/>
      </c>
      <c r="G5008">
        <f>IF(ABS(F5008-ROUND(F5008,0))&lt;0.001,1,0)</f>
        <v/>
      </c>
      <c r="H5008">
        <f>IF(G5008=1,F5008,CEILING(F5008,1))</f>
        <v/>
      </c>
      <c r="I5008">
        <f>IF(G5008=1,0,(H5008-F5008)*E5008)</f>
        <v/>
      </c>
      <c r="J5008">
        <f>E5008*F5008</f>
        <v/>
      </c>
    </row>
    <row r="5009">
      <c r="A5009">
        <f>Sources!A5009</f>
        <v/>
      </c>
      <c r="B5009">
        <f>Sources!B5009</f>
        <v/>
      </c>
      <c r="C5009">
        <f>Sources!D5009</f>
        <v/>
      </c>
      <c r="D5009">
        <f>Sources!E5009</f>
        <v/>
      </c>
      <c r="E5009">
        <f>Sources!F5009</f>
        <v/>
      </c>
      <c r="F5009">
        <f>Sources!H5009</f>
        <v/>
      </c>
      <c r="G5009">
        <f>IF(ABS(F5009-ROUND(F5009,0))&lt;0.001,1,0)</f>
        <v/>
      </c>
      <c r="H5009">
        <f>IF(G5009=1,F5009,CEILING(F5009,1))</f>
        <v/>
      </c>
      <c r="I5009">
        <f>IF(G5009=1,0,(H5009-F5009)*E5009)</f>
        <v/>
      </c>
      <c r="J5009">
        <f>E5009*F5009</f>
        <v/>
      </c>
    </row>
    <row r="5010">
      <c r="A5010">
        <f>Sources!A5010</f>
        <v/>
      </c>
      <c r="B5010">
        <f>Sources!B5010</f>
        <v/>
      </c>
      <c r="C5010">
        <f>Sources!D5010</f>
        <v/>
      </c>
      <c r="D5010">
        <f>Sources!E5010</f>
        <v/>
      </c>
      <c r="E5010">
        <f>Sources!F5010</f>
        <v/>
      </c>
      <c r="F5010">
        <f>Sources!H5010</f>
        <v/>
      </c>
      <c r="G5010">
        <f>IF(ABS(F5010-ROUND(F5010,0))&lt;0.001,1,0)</f>
        <v/>
      </c>
      <c r="H5010">
        <f>IF(G5010=1,F5010,CEILING(F5010,1))</f>
        <v/>
      </c>
      <c r="I5010">
        <f>IF(G5010=1,0,(H5010-F5010)*E5010)</f>
        <v/>
      </c>
      <c r="J5010">
        <f>E5010*F5010</f>
        <v/>
      </c>
    </row>
    <row r="5011">
      <c r="A5011">
        <f>Sources!A5011</f>
        <v/>
      </c>
      <c r="B5011">
        <f>Sources!B5011</f>
        <v/>
      </c>
      <c r="C5011">
        <f>Sources!D5011</f>
        <v/>
      </c>
      <c r="D5011">
        <f>Sources!E5011</f>
        <v/>
      </c>
      <c r="E5011">
        <f>Sources!F5011</f>
        <v/>
      </c>
      <c r="F5011">
        <f>Sources!H5011</f>
        <v/>
      </c>
      <c r="G5011">
        <f>IF(ABS(F5011-ROUND(F5011,0))&lt;0.001,1,0)</f>
        <v/>
      </c>
      <c r="H5011">
        <f>IF(G5011=1,F5011,CEILING(F5011,1))</f>
        <v/>
      </c>
      <c r="I5011">
        <f>IF(G5011=1,0,(H5011-F5011)*E5011)</f>
        <v/>
      </c>
      <c r="J5011">
        <f>E5011*F5011</f>
        <v/>
      </c>
    </row>
    <row r="5012">
      <c r="A5012">
        <f>Sources!A5012</f>
        <v/>
      </c>
      <c r="B5012">
        <f>Sources!B5012</f>
        <v/>
      </c>
      <c r="C5012">
        <f>Sources!D5012</f>
        <v/>
      </c>
      <c r="D5012">
        <f>Sources!E5012</f>
        <v/>
      </c>
      <c r="E5012">
        <f>Sources!F5012</f>
        <v/>
      </c>
      <c r="F5012">
        <f>Sources!H5012</f>
        <v/>
      </c>
      <c r="G5012">
        <f>IF(ABS(F5012-ROUND(F5012,0))&lt;0.001,1,0)</f>
        <v/>
      </c>
      <c r="H5012">
        <f>IF(G5012=1,F5012,CEILING(F5012,1))</f>
        <v/>
      </c>
      <c r="I5012">
        <f>IF(G5012=1,0,(H5012-F5012)*E5012)</f>
        <v/>
      </c>
      <c r="J5012">
        <f>E5012*F5012</f>
        <v/>
      </c>
    </row>
    <row r="5013">
      <c r="A5013">
        <f>Sources!A5013</f>
        <v/>
      </c>
      <c r="B5013">
        <f>Sources!B5013</f>
        <v/>
      </c>
      <c r="C5013">
        <f>Sources!D5013</f>
        <v/>
      </c>
      <c r="D5013">
        <f>Sources!E5013</f>
        <v/>
      </c>
      <c r="E5013">
        <f>Sources!F5013</f>
        <v/>
      </c>
      <c r="F5013">
        <f>Sources!H5013</f>
        <v/>
      </c>
      <c r="G5013">
        <f>IF(ABS(F5013-ROUND(F5013,0))&lt;0.001,1,0)</f>
        <v/>
      </c>
      <c r="H5013">
        <f>IF(G5013=1,F5013,CEILING(F5013,1))</f>
        <v/>
      </c>
      <c r="I5013">
        <f>IF(G5013=1,0,(H5013-F5013)*E5013)</f>
        <v/>
      </c>
      <c r="J5013">
        <f>E5013*F5013</f>
        <v/>
      </c>
    </row>
    <row r="5014">
      <c r="A5014">
        <f>Sources!A5014</f>
        <v/>
      </c>
      <c r="B5014">
        <f>Sources!B5014</f>
        <v/>
      </c>
      <c r="C5014">
        <f>Sources!D5014</f>
        <v/>
      </c>
      <c r="D5014">
        <f>Sources!E5014</f>
        <v/>
      </c>
      <c r="E5014">
        <f>Sources!F5014</f>
        <v/>
      </c>
      <c r="F5014">
        <f>Sources!H5014</f>
        <v/>
      </c>
      <c r="G5014">
        <f>IF(ABS(F5014-ROUND(F5014,0))&lt;0.001,1,0)</f>
        <v/>
      </c>
      <c r="H5014">
        <f>IF(G5014=1,F5014,CEILING(F5014,1))</f>
        <v/>
      </c>
      <c r="I5014">
        <f>IF(G5014=1,0,(H5014-F5014)*E5014)</f>
        <v/>
      </c>
      <c r="J5014">
        <f>E5014*F5014</f>
        <v/>
      </c>
    </row>
    <row r="5015">
      <c r="A5015">
        <f>Sources!A5015</f>
        <v/>
      </c>
      <c r="B5015">
        <f>Sources!B5015</f>
        <v/>
      </c>
      <c r="C5015">
        <f>Sources!D5015</f>
        <v/>
      </c>
      <c r="D5015">
        <f>Sources!E5015</f>
        <v/>
      </c>
      <c r="E5015">
        <f>Sources!F5015</f>
        <v/>
      </c>
      <c r="F5015">
        <f>Sources!H5015</f>
        <v/>
      </c>
      <c r="G5015">
        <f>IF(ABS(F5015-ROUND(F5015,0))&lt;0.001,1,0)</f>
        <v/>
      </c>
      <c r="H5015">
        <f>IF(G5015=1,F5015,CEILING(F5015,1))</f>
        <v/>
      </c>
      <c r="I5015">
        <f>IF(G5015=1,0,(H5015-F5015)*E5015)</f>
        <v/>
      </c>
      <c r="J5015">
        <f>E5015*F5015</f>
        <v/>
      </c>
    </row>
    <row r="5016">
      <c r="A5016">
        <f>Sources!A5016</f>
        <v/>
      </c>
      <c r="B5016">
        <f>Sources!B5016</f>
        <v/>
      </c>
      <c r="C5016">
        <f>Sources!D5016</f>
        <v/>
      </c>
      <c r="D5016">
        <f>Sources!E5016</f>
        <v/>
      </c>
      <c r="E5016">
        <f>Sources!F5016</f>
        <v/>
      </c>
      <c r="F5016">
        <f>Sources!H5016</f>
        <v/>
      </c>
      <c r="G5016">
        <f>IF(ABS(F5016-ROUND(F5016,0))&lt;0.001,1,0)</f>
        <v/>
      </c>
      <c r="H5016">
        <f>IF(G5016=1,F5016,CEILING(F5016,1))</f>
        <v/>
      </c>
      <c r="I5016">
        <f>IF(G5016=1,0,(H5016-F5016)*E5016)</f>
        <v/>
      </c>
      <c r="J5016">
        <f>E5016*F5016</f>
        <v/>
      </c>
    </row>
    <row r="5017">
      <c r="A5017">
        <f>Sources!A5017</f>
        <v/>
      </c>
      <c r="B5017">
        <f>Sources!B5017</f>
        <v/>
      </c>
      <c r="C5017">
        <f>Sources!D5017</f>
        <v/>
      </c>
      <c r="D5017">
        <f>Sources!E5017</f>
        <v/>
      </c>
      <c r="E5017">
        <f>Sources!F5017</f>
        <v/>
      </c>
      <c r="F5017">
        <f>Sources!H5017</f>
        <v/>
      </c>
      <c r="G5017">
        <f>IF(ABS(F5017-ROUND(F5017,0))&lt;0.001,1,0)</f>
        <v/>
      </c>
      <c r="H5017">
        <f>IF(G5017=1,F5017,CEILING(F5017,1))</f>
        <v/>
      </c>
      <c r="I5017">
        <f>IF(G5017=1,0,(H5017-F5017)*E5017)</f>
        <v/>
      </c>
      <c r="J5017">
        <f>E5017*F5017</f>
        <v/>
      </c>
    </row>
    <row r="5018">
      <c r="A5018">
        <f>Sources!A5018</f>
        <v/>
      </c>
      <c r="B5018">
        <f>Sources!B5018</f>
        <v/>
      </c>
      <c r="C5018">
        <f>Sources!D5018</f>
        <v/>
      </c>
      <c r="D5018">
        <f>Sources!E5018</f>
        <v/>
      </c>
      <c r="E5018">
        <f>Sources!F5018</f>
        <v/>
      </c>
      <c r="F5018">
        <f>Sources!H5018</f>
        <v/>
      </c>
      <c r="G5018">
        <f>IF(ABS(F5018-ROUND(F5018,0))&lt;0.001,1,0)</f>
        <v/>
      </c>
      <c r="H5018">
        <f>IF(G5018=1,F5018,CEILING(F5018,1))</f>
        <v/>
      </c>
      <c r="I5018">
        <f>IF(G5018=1,0,(H5018-F5018)*E5018)</f>
        <v/>
      </c>
      <c r="J5018">
        <f>E5018*F5018</f>
        <v/>
      </c>
    </row>
    <row r="5019">
      <c r="A5019">
        <f>Sources!A5019</f>
        <v/>
      </c>
      <c r="B5019">
        <f>Sources!B5019</f>
        <v/>
      </c>
      <c r="C5019">
        <f>Sources!D5019</f>
        <v/>
      </c>
      <c r="D5019">
        <f>Sources!E5019</f>
        <v/>
      </c>
      <c r="E5019">
        <f>Sources!F5019</f>
        <v/>
      </c>
      <c r="F5019">
        <f>Sources!H5019</f>
        <v/>
      </c>
      <c r="G5019">
        <f>IF(ABS(F5019-ROUND(F5019,0))&lt;0.001,1,0)</f>
        <v/>
      </c>
      <c r="H5019">
        <f>IF(G5019=1,F5019,CEILING(F5019,1))</f>
        <v/>
      </c>
      <c r="I5019">
        <f>IF(G5019=1,0,(H5019-F5019)*E5019)</f>
        <v/>
      </c>
      <c r="J5019">
        <f>E5019*F5019</f>
        <v/>
      </c>
    </row>
    <row r="5020">
      <c r="A5020">
        <f>Sources!A5020</f>
        <v/>
      </c>
      <c r="B5020">
        <f>Sources!B5020</f>
        <v/>
      </c>
      <c r="C5020">
        <f>Sources!D5020</f>
        <v/>
      </c>
      <c r="D5020">
        <f>Sources!E5020</f>
        <v/>
      </c>
      <c r="E5020">
        <f>Sources!F5020</f>
        <v/>
      </c>
      <c r="F5020">
        <f>Sources!H5020</f>
        <v/>
      </c>
      <c r="G5020">
        <f>IF(ABS(F5020-ROUND(F5020,0))&lt;0.001,1,0)</f>
        <v/>
      </c>
      <c r="H5020">
        <f>IF(G5020=1,F5020,CEILING(F5020,1))</f>
        <v/>
      </c>
      <c r="I5020">
        <f>IF(G5020=1,0,(H5020-F5020)*E5020)</f>
        <v/>
      </c>
      <c r="J5020">
        <f>E5020*F5020</f>
        <v/>
      </c>
    </row>
    <row r="5021">
      <c r="A5021">
        <f>Sources!A5021</f>
        <v/>
      </c>
      <c r="B5021">
        <f>Sources!B5021</f>
        <v/>
      </c>
      <c r="C5021">
        <f>Sources!D5021</f>
        <v/>
      </c>
      <c r="D5021">
        <f>Sources!E5021</f>
        <v/>
      </c>
      <c r="E5021">
        <f>Sources!F5021</f>
        <v/>
      </c>
      <c r="F5021">
        <f>Sources!H5021</f>
        <v/>
      </c>
      <c r="G5021">
        <f>IF(ABS(F5021-ROUND(F5021,0))&lt;0.001,1,0)</f>
        <v/>
      </c>
      <c r="H5021">
        <f>IF(G5021=1,F5021,CEILING(F5021,1))</f>
        <v/>
      </c>
      <c r="I5021">
        <f>IF(G5021=1,0,(H5021-F5021)*E5021)</f>
        <v/>
      </c>
      <c r="J5021">
        <f>E5021*F5021</f>
        <v/>
      </c>
    </row>
    <row r="5022">
      <c r="A5022">
        <f>Sources!A5022</f>
        <v/>
      </c>
      <c r="B5022">
        <f>Sources!B5022</f>
        <v/>
      </c>
      <c r="C5022">
        <f>Sources!D5022</f>
        <v/>
      </c>
      <c r="D5022">
        <f>Sources!E5022</f>
        <v/>
      </c>
      <c r="E5022">
        <f>Sources!F5022</f>
        <v/>
      </c>
      <c r="F5022">
        <f>Sources!H5022</f>
        <v/>
      </c>
      <c r="G5022">
        <f>IF(ABS(F5022-ROUND(F5022,0))&lt;0.001,1,0)</f>
        <v/>
      </c>
      <c r="H5022">
        <f>IF(G5022=1,F5022,CEILING(F5022,1))</f>
        <v/>
      </c>
      <c r="I5022">
        <f>IF(G5022=1,0,(H5022-F5022)*E5022)</f>
        <v/>
      </c>
      <c r="J5022">
        <f>E5022*F5022</f>
        <v/>
      </c>
    </row>
    <row r="5023">
      <c r="A5023">
        <f>Sources!A5023</f>
        <v/>
      </c>
      <c r="B5023">
        <f>Sources!B5023</f>
        <v/>
      </c>
      <c r="C5023">
        <f>Sources!D5023</f>
        <v/>
      </c>
      <c r="D5023">
        <f>Sources!E5023</f>
        <v/>
      </c>
      <c r="E5023">
        <f>Sources!F5023</f>
        <v/>
      </c>
      <c r="F5023">
        <f>Sources!H5023</f>
        <v/>
      </c>
      <c r="G5023">
        <f>IF(ABS(F5023-ROUND(F5023,0))&lt;0.001,1,0)</f>
        <v/>
      </c>
      <c r="H5023">
        <f>IF(G5023=1,F5023,CEILING(F5023,1))</f>
        <v/>
      </c>
      <c r="I5023">
        <f>IF(G5023=1,0,(H5023-F5023)*E5023)</f>
        <v/>
      </c>
      <c r="J5023">
        <f>E5023*F5023</f>
        <v/>
      </c>
    </row>
    <row r="5024">
      <c r="A5024">
        <f>Sources!A5024</f>
        <v/>
      </c>
      <c r="B5024">
        <f>Sources!B5024</f>
        <v/>
      </c>
      <c r="C5024">
        <f>Sources!D5024</f>
        <v/>
      </c>
      <c r="D5024">
        <f>Sources!E5024</f>
        <v/>
      </c>
      <c r="E5024">
        <f>Sources!F5024</f>
        <v/>
      </c>
      <c r="F5024">
        <f>Sources!H5024</f>
        <v/>
      </c>
      <c r="G5024">
        <f>IF(ABS(F5024-ROUND(F5024,0))&lt;0.001,1,0)</f>
        <v/>
      </c>
      <c r="H5024">
        <f>IF(G5024=1,F5024,CEILING(F5024,1))</f>
        <v/>
      </c>
      <c r="I5024">
        <f>IF(G5024=1,0,(H5024-F5024)*E5024)</f>
        <v/>
      </c>
      <c r="J5024">
        <f>E5024*F5024</f>
        <v/>
      </c>
    </row>
    <row r="5025">
      <c r="A5025">
        <f>Sources!A5025</f>
        <v/>
      </c>
      <c r="B5025">
        <f>Sources!B5025</f>
        <v/>
      </c>
      <c r="C5025">
        <f>Sources!D5025</f>
        <v/>
      </c>
      <c r="D5025">
        <f>Sources!E5025</f>
        <v/>
      </c>
      <c r="E5025">
        <f>Sources!F5025</f>
        <v/>
      </c>
      <c r="F5025">
        <f>Sources!H5025</f>
        <v/>
      </c>
      <c r="G5025">
        <f>IF(ABS(F5025-ROUND(F5025,0))&lt;0.001,1,0)</f>
        <v/>
      </c>
      <c r="H5025">
        <f>IF(G5025=1,F5025,CEILING(F5025,1))</f>
        <v/>
      </c>
      <c r="I5025">
        <f>IF(G5025=1,0,(H5025-F5025)*E5025)</f>
        <v/>
      </c>
      <c r="J5025">
        <f>E5025*F5025</f>
        <v/>
      </c>
    </row>
    <row r="5026">
      <c r="A5026">
        <f>Sources!A5026</f>
        <v/>
      </c>
      <c r="B5026">
        <f>Sources!B5026</f>
        <v/>
      </c>
      <c r="C5026">
        <f>Sources!D5026</f>
        <v/>
      </c>
      <c r="D5026">
        <f>Sources!E5026</f>
        <v/>
      </c>
      <c r="E5026">
        <f>Sources!F5026</f>
        <v/>
      </c>
      <c r="F5026">
        <f>Sources!H5026</f>
        <v/>
      </c>
      <c r="G5026">
        <f>IF(ABS(F5026-ROUND(F5026,0))&lt;0.001,1,0)</f>
        <v/>
      </c>
      <c r="H5026">
        <f>IF(G5026=1,F5026,CEILING(F5026,1))</f>
        <v/>
      </c>
      <c r="I5026">
        <f>IF(G5026=1,0,(H5026-F5026)*E5026)</f>
        <v/>
      </c>
      <c r="J5026">
        <f>E5026*F5026</f>
        <v/>
      </c>
    </row>
    <row r="5027">
      <c r="A5027">
        <f>Sources!A5027</f>
        <v/>
      </c>
      <c r="B5027">
        <f>Sources!B5027</f>
        <v/>
      </c>
      <c r="C5027">
        <f>Sources!D5027</f>
        <v/>
      </c>
      <c r="D5027">
        <f>Sources!E5027</f>
        <v/>
      </c>
      <c r="E5027">
        <f>Sources!F5027</f>
        <v/>
      </c>
      <c r="F5027">
        <f>Sources!H5027</f>
        <v/>
      </c>
      <c r="G5027">
        <f>IF(ABS(F5027-ROUND(F5027,0))&lt;0.001,1,0)</f>
        <v/>
      </c>
      <c r="H5027">
        <f>IF(G5027=1,F5027,CEILING(F5027,1))</f>
        <v/>
      </c>
      <c r="I5027">
        <f>IF(G5027=1,0,(H5027-F5027)*E5027)</f>
        <v/>
      </c>
      <c r="J5027">
        <f>E5027*F5027</f>
        <v/>
      </c>
    </row>
    <row r="5028">
      <c r="A5028">
        <f>Sources!A5028</f>
        <v/>
      </c>
      <c r="B5028">
        <f>Sources!B5028</f>
        <v/>
      </c>
      <c r="C5028">
        <f>Sources!D5028</f>
        <v/>
      </c>
      <c r="D5028">
        <f>Sources!E5028</f>
        <v/>
      </c>
      <c r="E5028">
        <f>Sources!F5028</f>
        <v/>
      </c>
      <c r="F5028">
        <f>Sources!H5028</f>
        <v/>
      </c>
      <c r="G5028">
        <f>IF(ABS(F5028-ROUND(F5028,0))&lt;0.001,1,0)</f>
        <v/>
      </c>
      <c r="H5028">
        <f>IF(G5028=1,F5028,CEILING(F5028,1))</f>
        <v/>
      </c>
      <c r="I5028">
        <f>IF(G5028=1,0,(H5028-F5028)*E5028)</f>
        <v/>
      </c>
      <c r="J5028">
        <f>E5028*F5028</f>
        <v/>
      </c>
    </row>
    <row r="5029">
      <c r="A5029">
        <f>Sources!A5029</f>
        <v/>
      </c>
      <c r="B5029">
        <f>Sources!B5029</f>
        <v/>
      </c>
      <c r="C5029">
        <f>Sources!D5029</f>
        <v/>
      </c>
      <c r="D5029">
        <f>Sources!E5029</f>
        <v/>
      </c>
      <c r="E5029">
        <f>Sources!F5029</f>
        <v/>
      </c>
      <c r="F5029">
        <f>Sources!H5029</f>
        <v/>
      </c>
      <c r="G5029">
        <f>IF(ABS(F5029-ROUND(F5029,0))&lt;0.001,1,0)</f>
        <v/>
      </c>
      <c r="H5029">
        <f>IF(G5029=1,F5029,CEILING(F5029,1))</f>
        <v/>
      </c>
      <c r="I5029">
        <f>IF(G5029=1,0,(H5029-F5029)*E5029)</f>
        <v/>
      </c>
      <c r="J5029">
        <f>E5029*F5029</f>
        <v/>
      </c>
    </row>
    <row r="5030">
      <c r="A5030">
        <f>Sources!A5030</f>
        <v/>
      </c>
      <c r="B5030">
        <f>Sources!B5030</f>
        <v/>
      </c>
      <c r="C5030">
        <f>Sources!D5030</f>
        <v/>
      </c>
      <c r="D5030">
        <f>Sources!E5030</f>
        <v/>
      </c>
      <c r="E5030">
        <f>Sources!F5030</f>
        <v/>
      </c>
      <c r="F5030">
        <f>Sources!H5030</f>
        <v/>
      </c>
      <c r="G5030">
        <f>IF(ABS(F5030-ROUND(F5030,0))&lt;0.001,1,0)</f>
        <v/>
      </c>
      <c r="H5030">
        <f>IF(G5030=1,F5030,CEILING(F5030,1))</f>
        <v/>
      </c>
      <c r="I5030">
        <f>IF(G5030=1,0,(H5030-F5030)*E5030)</f>
        <v/>
      </c>
      <c r="J5030">
        <f>E5030*F5030</f>
        <v/>
      </c>
    </row>
    <row r="5031">
      <c r="A5031">
        <f>Sources!A5031</f>
        <v/>
      </c>
      <c r="B5031">
        <f>Sources!B5031</f>
        <v/>
      </c>
      <c r="C5031">
        <f>Sources!D5031</f>
        <v/>
      </c>
      <c r="D5031">
        <f>Sources!E5031</f>
        <v/>
      </c>
      <c r="E5031">
        <f>Sources!F5031</f>
        <v/>
      </c>
      <c r="F5031">
        <f>Sources!H5031</f>
        <v/>
      </c>
      <c r="G5031">
        <f>IF(ABS(F5031-ROUND(F5031,0))&lt;0.001,1,0)</f>
        <v/>
      </c>
      <c r="H5031">
        <f>IF(G5031=1,F5031,CEILING(F5031,1))</f>
        <v/>
      </c>
      <c r="I5031">
        <f>IF(G5031=1,0,(H5031-F5031)*E5031)</f>
        <v/>
      </c>
      <c r="J5031">
        <f>E5031*F5031</f>
        <v/>
      </c>
    </row>
    <row r="5032">
      <c r="A5032">
        <f>Sources!A5032</f>
        <v/>
      </c>
      <c r="B5032">
        <f>Sources!B5032</f>
        <v/>
      </c>
      <c r="C5032">
        <f>Sources!D5032</f>
        <v/>
      </c>
      <c r="D5032">
        <f>Sources!E5032</f>
        <v/>
      </c>
      <c r="E5032">
        <f>Sources!F5032</f>
        <v/>
      </c>
      <c r="F5032">
        <f>Sources!H5032</f>
        <v/>
      </c>
      <c r="G5032">
        <f>IF(ABS(F5032-ROUND(F5032,0))&lt;0.001,1,0)</f>
        <v/>
      </c>
      <c r="H5032">
        <f>IF(G5032=1,F5032,CEILING(F5032,1))</f>
        <v/>
      </c>
      <c r="I5032">
        <f>IF(G5032=1,0,(H5032-F5032)*E5032)</f>
        <v/>
      </c>
      <c r="J5032">
        <f>E5032*F5032</f>
        <v/>
      </c>
    </row>
    <row r="5033">
      <c r="A5033">
        <f>Sources!A5033</f>
        <v/>
      </c>
      <c r="B5033">
        <f>Sources!B5033</f>
        <v/>
      </c>
      <c r="C5033">
        <f>Sources!D5033</f>
        <v/>
      </c>
      <c r="D5033">
        <f>Sources!E5033</f>
        <v/>
      </c>
      <c r="E5033">
        <f>Sources!F5033</f>
        <v/>
      </c>
      <c r="F5033">
        <f>Sources!H5033</f>
        <v/>
      </c>
      <c r="G5033">
        <f>IF(ABS(F5033-ROUND(F5033,0))&lt;0.001,1,0)</f>
        <v/>
      </c>
      <c r="H5033">
        <f>IF(G5033=1,F5033,CEILING(F5033,1))</f>
        <v/>
      </c>
      <c r="I5033">
        <f>IF(G5033=1,0,(H5033-F5033)*E5033)</f>
        <v/>
      </c>
      <c r="J5033">
        <f>E5033*F5033</f>
        <v/>
      </c>
    </row>
    <row r="5034">
      <c r="A5034">
        <f>Sources!A5034</f>
        <v/>
      </c>
      <c r="B5034">
        <f>Sources!B5034</f>
        <v/>
      </c>
      <c r="C5034">
        <f>Sources!D5034</f>
        <v/>
      </c>
      <c r="D5034">
        <f>Sources!E5034</f>
        <v/>
      </c>
      <c r="E5034">
        <f>Sources!F5034</f>
        <v/>
      </c>
      <c r="F5034">
        <f>Sources!H5034</f>
        <v/>
      </c>
      <c r="G5034">
        <f>IF(ABS(F5034-ROUND(F5034,0))&lt;0.001,1,0)</f>
        <v/>
      </c>
      <c r="H5034">
        <f>IF(G5034=1,F5034,CEILING(F5034,1))</f>
        <v/>
      </c>
      <c r="I5034">
        <f>IF(G5034=1,0,(H5034-F5034)*E5034)</f>
        <v/>
      </c>
      <c r="J5034">
        <f>E5034*F5034</f>
        <v/>
      </c>
    </row>
    <row r="5035">
      <c r="A5035">
        <f>Sources!A5035</f>
        <v/>
      </c>
      <c r="B5035">
        <f>Sources!B5035</f>
        <v/>
      </c>
      <c r="C5035">
        <f>Sources!D5035</f>
        <v/>
      </c>
      <c r="D5035">
        <f>Sources!E5035</f>
        <v/>
      </c>
      <c r="E5035">
        <f>Sources!F5035</f>
        <v/>
      </c>
      <c r="F5035">
        <f>Sources!H5035</f>
        <v/>
      </c>
      <c r="G5035">
        <f>IF(ABS(F5035-ROUND(F5035,0))&lt;0.001,1,0)</f>
        <v/>
      </c>
      <c r="H5035">
        <f>IF(G5035=1,F5035,CEILING(F5035,1))</f>
        <v/>
      </c>
      <c r="I5035">
        <f>IF(G5035=1,0,(H5035-F5035)*E5035)</f>
        <v/>
      </c>
      <c r="J5035">
        <f>E5035*F5035</f>
        <v/>
      </c>
    </row>
    <row r="5036">
      <c r="A5036">
        <f>Sources!A5036</f>
        <v/>
      </c>
      <c r="B5036">
        <f>Sources!B5036</f>
        <v/>
      </c>
      <c r="C5036">
        <f>Sources!D5036</f>
        <v/>
      </c>
      <c r="D5036">
        <f>Sources!E5036</f>
        <v/>
      </c>
      <c r="E5036">
        <f>Sources!F5036</f>
        <v/>
      </c>
      <c r="F5036">
        <f>Sources!H5036</f>
        <v/>
      </c>
      <c r="G5036">
        <f>IF(ABS(F5036-ROUND(F5036,0))&lt;0.001,1,0)</f>
        <v/>
      </c>
      <c r="H5036">
        <f>IF(G5036=1,F5036,CEILING(F5036,1))</f>
        <v/>
      </c>
      <c r="I5036">
        <f>IF(G5036=1,0,(H5036-F5036)*E5036)</f>
        <v/>
      </c>
      <c r="J5036">
        <f>E5036*F5036</f>
        <v/>
      </c>
    </row>
    <row r="5037">
      <c r="A5037">
        <f>Sources!A5037</f>
        <v/>
      </c>
      <c r="B5037">
        <f>Sources!B5037</f>
        <v/>
      </c>
      <c r="C5037">
        <f>Sources!D5037</f>
        <v/>
      </c>
      <c r="D5037">
        <f>Sources!E5037</f>
        <v/>
      </c>
      <c r="E5037">
        <f>Sources!F5037</f>
        <v/>
      </c>
      <c r="F5037">
        <f>Sources!H5037</f>
        <v/>
      </c>
      <c r="G5037">
        <f>IF(ABS(F5037-ROUND(F5037,0))&lt;0.001,1,0)</f>
        <v/>
      </c>
      <c r="H5037">
        <f>IF(G5037=1,F5037,CEILING(F5037,1))</f>
        <v/>
      </c>
      <c r="I5037">
        <f>IF(G5037=1,0,(H5037-F5037)*E5037)</f>
        <v/>
      </c>
      <c r="J5037">
        <f>E5037*F5037</f>
        <v/>
      </c>
    </row>
    <row r="5038">
      <c r="A5038">
        <f>Sources!A5038</f>
        <v/>
      </c>
      <c r="B5038">
        <f>Sources!B5038</f>
        <v/>
      </c>
      <c r="C5038">
        <f>Sources!D5038</f>
        <v/>
      </c>
      <c r="D5038">
        <f>Sources!E5038</f>
        <v/>
      </c>
      <c r="E5038">
        <f>Sources!F5038</f>
        <v/>
      </c>
      <c r="F5038">
        <f>Sources!H5038</f>
        <v/>
      </c>
      <c r="G5038">
        <f>IF(ABS(F5038-ROUND(F5038,0))&lt;0.001,1,0)</f>
        <v/>
      </c>
      <c r="H5038">
        <f>IF(G5038=1,F5038,CEILING(F5038,1))</f>
        <v/>
      </c>
      <c r="I5038">
        <f>IF(G5038=1,0,(H5038-F5038)*E5038)</f>
        <v/>
      </c>
      <c r="J5038">
        <f>E5038*F5038</f>
        <v/>
      </c>
    </row>
    <row r="5039">
      <c r="A5039">
        <f>Sources!A5039</f>
        <v/>
      </c>
      <c r="B5039">
        <f>Sources!B5039</f>
        <v/>
      </c>
      <c r="C5039">
        <f>Sources!D5039</f>
        <v/>
      </c>
      <c r="D5039">
        <f>Sources!E5039</f>
        <v/>
      </c>
      <c r="E5039">
        <f>Sources!F5039</f>
        <v/>
      </c>
      <c r="F5039">
        <f>Sources!H5039</f>
        <v/>
      </c>
      <c r="G5039">
        <f>IF(ABS(F5039-ROUND(F5039,0))&lt;0.001,1,0)</f>
        <v/>
      </c>
      <c r="H5039">
        <f>IF(G5039=1,F5039,CEILING(F5039,1))</f>
        <v/>
      </c>
      <c r="I5039">
        <f>IF(G5039=1,0,(H5039-F5039)*E5039)</f>
        <v/>
      </c>
      <c r="J5039">
        <f>E5039*F5039</f>
        <v/>
      </c>
    </row>
    <row r="5040">
      <c r="A5040">
        <f>Sources!A5040</f>
        <v/>
      </c>
      <c r="B5040">
        <f>Sources!B5040</f>
        <v/>
      </c>
      <c r="C5040">
        <f>Sources!D5040</f>
        <v/>
      </c>
      <c r="D5040">
        <f>Sources!E5040</f>
        <v/>
      </c>
      <c r="E5040">
        <f>Sources!F5040</f>
        <v/>
      </c>
      <c r="F5040">
        <f>Sources!H5040</f>
        <v/>
      </c>
      <c r="G5040">
        <f>IF(ABS(F5040-ROUND(F5040,0))&lt;0.001,1,0)</f>
        <v/>
      </c>
      <c r="H5040">
        <f>IF(G5040=1,F5040,CEILING(F5040,1))</f>
        <v/>
      </c>
      <c r="I5040">
        <f>IF(G5040=1,0,(H5040-F5040)*E5040)</f>
        <v/>
      </c>
      <c r="J5040">
        <f>E5040*F5040</f>
        <v/>
      </c>
    </row>
    <row r="5041">
      <c r="A5041">
        <f>Sources!A5041</f>
        <v/>
      </c>
      <c r="B5041">
        <f>Sources!B5041</f>
        <v/>
      </c>
      <c r="C5041">
        <f>Sources!D5041</f>
        <v/>
      </c>
      <c r="D5041">
        <f>Sources!E5041</f>
        <v/>
      </c>
      <c r="E5041">
        <f>Sources!F5041</f>
        <v/>
      </c>
      <c r="F5041">
        <f>Sources!H5041</f>
        <v/>
      </c>
      <c r="G5041">
        <f>IF(ABS(F5041-ROUND(F5041,0))&lt;0.001,1,0)</f>
        <v/>
      </c>
      <c r="H5041">
        <f>IF(G5041=1,F5041,CEILING(F5041,1))</f>
        <v/>
      </c>
      <c r="I5041">
        <f>IF(G5041=1,0,(H5041-F5041)*E5041)</f>
        <v/>
      </c>
      <c r="J5041">
        <f>E5041*F5041</f>
        <v/>
      </c>
    </row>
    <row r="5042">
      <c r="A5042">
        <f>Sources!A5042</f>
        <v/>
      </c>
      <c r="B5042">
        <f>Sources!B5042</f>
        <v/>
      </c>
      <c r="C5042">
        <f>Sources!D5042</f>
        <v/>
      </c>
      <c r="D5042">
        <f>Sources!E5042</f>
        <v/>
      </c>
      <c r="E5042">
        <f>Sources!F5042</f>
        <v/>
      </c>
      <c r="F5042">
        <f>Sources!H5042</f>
        <v/>
      </c>
      <c r="G5042">
        <f>IF(ABS(F5042-ROUND(F5042,0))&lt;0.001,1,0)</f>
        <v/>
      </c>
      <c r="H5042">
        <f>IF(G5042=1,F5042,CEILING(F5042,1))</f>
        <v/>
      </c>
      <c r="I5042">
        <f>IF(G5042=1,0,(H5042-F5042)*E5042)</f>
        <v/>
      </c>
      <c r="J5042">
        <f>E5042*F5042</f>
        <v/>
      </c>
    </row>
    <row r="5043">
      <c r="A5043">
        <f>Sources!A5043</f>
        <v/>
      </c>
      <c r="B5043">
        <f>Sources!B5043</f>
        <v/>
      </c>
      <c r="C5043">
        <f>Sources!D5043</f>
        <v/>
      </c>
      <c r="D5043">
        <f>Sources!E5043</f>
        <v/>
      </c>
      <c r="E5043">
        <f>Sources!F5043</f>
        <v/>
      </c>
      <c r="F5043">
        <f>Sources!H5043</f>
        <v/>
      </c>
      <c r="G5043">
        <f>IF(ABS(F5043-ROUND(F5043,0))&lt;0.001,1,0)</f>
        <v/>
      </c>
      <c r="H5043">
        <f>IF(G5043=1,F5043,CEILING(F5043,1))</f>
        <v/>
      </c>
      <c r="I5043">
        <f>IF(G5043=1,0,(H5043-F5043)*E5043)</f>
        <v/>
      </c>
      <c r="J5043">
        <f>E5043*F5043</f>
        <v/>
      </c>
    </row>
    <row r="5044">
      <c r="A5044">
        <f>Sources!A5044</f>
        <v/>
      </c>
      <c r="B5044">
        <f>Sources!B5044</f>
        <v/>
      </c>
      <c r="C5044">
        <f>Sources!D5044</f>
        <v/>
      </c>
      <c r="D5044">
        <f>Sources!E5044</f>
        <v/>
      </c>
      <c r="E5044">
        <f>Sources!F5044</f>
        <v/>
      </c>
      <c r="F5044">
        <f>Sources!H5044</f>
        <v/>
      </c>
      <c r="G5044">
        <f>IF(ABS(F5044-ROUND(F5044,0))&lt;0.001,1,0)</f>
        <v/>
      </c>
      <c r="H5044">
        <f>IF(G5044=1,F5044,CEILING(F5044,1))</f>
        <v/>
      </c>
      <c r="I5044">
        <f>IF(G5044=1,0,(H5044-F5044)*E5044)</f>
        <v/>
      </c>
      <c r="J5044">
        <f>E5044*F5044</f>
        <v/>
      </c>
    </row>
    <row r="5045">
      <c r="A5045">
        <f>Sources!A5045</f>
        <v/>
      </c>
      <c r="B5045">
        <f>Sources!B5045</f>
        <v/>
      </c>
      <c r="C5045">
        <f>Sources!D5045</f>
        <v/>
      </c>
      <c r="D5045">
        <f>Sources!E5045</f>
        <v/>
      </c>
      <c r="E5045">
        <f>Sources!F5045</f>
        <v/>
      </c>
      <c r="F5045">
        <f>Sources!H5045</f>
        <v/>
      </c>
      <c r="G5045">
        <f>IF(ABS(F5045-ROUND(F5045,0))&lt;0.001,1,0)</f>
        <v/>
      </c>
      <c r="H5045">
        <f>IF(G5045=1,F5045,CEILING(F5045,1))</f>
        <v/>
      </c>
      <c r="I5045">
        <f>IF(G5045=1,0,(H5045-F5045)*E5045)</f>
        <v/>
      </c>
      <c r="J5045">
        <f>E5045*F5045</f>
        <v/>
      </c>
    </row>
    <row r="5046">
      <c r="A5046">
        <f>Sources!A5046</f>
        <v/>
      </c>
      <c r="B5046">
        <f>Sources!B5046</f>
        <v/>
      </c>
      <c r="C5046">
        <f>Sources!D5046</f>
        <v/>
      </c>
      <c r="D5046">
        <f>Sources!E5046</f>
        <v/>
      </c>
      <c r="E5046">
        <f>Sources!F5046</f>
        <v/>
      </c>
      <c r="F5046">
        <f>Sources!H5046</f>
        <v/>
      </c>
      <c r="G5046">
        <f>IF(ABS(F5046-ROUND(F5046,0))&lt;0.001,1,0)</f>
        <v/>
      </c>
      <c r="H5046">
        <f>IF(G5046=1,F5046,CEILING(F5046,1))</f>
        <v/>
      </c>
      <c r="I5046">
        <f>IF(G5046=1,0,(H5046-F5046)*E5046)</f>
        <v/>
      </c>
      <c r="J5046">
        <f>E5046*F5046</f>
        <v/>
      </c>
    </row>
    <row r="5047">
      <c r="A5047">
        <f>Sources!A5047</f>
        <v/>
      </c>
      <c r="B5047">
        <f>Sources!B5047</f>
        <v/>
      </c>
      <c r="C5047">
        <f>Sources!D5047</f>
        <v/>
      </c>
      <c r="D5047">
        <f>Sources!E5047</f>
        <v/>
      </c>
      <c r="E5047">
        <f>Sources!F5047</f>
        <v/>
      </c>
      <c r="F5047">
        <f>Sources!H5047</f>
        <v/>
      </c>
      <c r="G5047">
        <f>IF(ABS(F5047-ROUND(F5047,0))&lt;0.001,1,0)</f>
        <v/>
      </c>
      <c r="H5047">
        <f>IF(G5047=1,F5047,CEILING(F5047,1))</f>
        <v/>
      </c>
      <c r="I5047">
        <f>IF(G5047=1,0,(H5047-F5047)*E5047)</f>
        <v/>
      </c>
      <c r="J5047">
        <f>E5047*F5047</f>
        <v/>
      </c>
    </row>
    <row r="5048">
      <c r="A5048">
        <f>Sources!A5048</f>
        <v/>
      </c>
      <c r="B5048">
        <f>Sources!B5048</f>
        <v/>
      </c>
      <c r="C5048">
        <f>Sources!D5048</f>
        <v/>
      </c>
      <c r="D5048">
        <f>Sources!E5048</f>
        <v/>
      </c>
      <c r="E5048">
        <f>Sources!F5048</f>
        <v/>
      </c>
      <c r="F5048">
        <f>Sources!H5048</f>
        <v/>
      </c>
      <c r="G5048">
        <f>IF(ABS(F5048-ROUND(F5048,0))&lt;0.001,1,0)</f>
        <v/>
      </c>
      <c r="H5048">
        <f>IF(G5048=1,F5048,CEILING(F5048,1))</f>
        <v/>
      </c>
      <c r="I5048">
        <f>IF(G5048=1,0,(H5048-F5048)*E5048)</f>
        <v/>
      </c>
      <c r="J5048">
        <f>E5048*F5048</f>
        <v/>
      </c>
    </row>
    <row r="5049">
      <c r="A5049">
        <f>Sources!A5049</f>
        <v/>
      </c>
      <c r="B5049">
        <f>Sources!B5049</f>
        <v/>
      </c>
      <c r="C5049">
        <f>Sources!D5049</f>
        <v/>
      </c>
      <c r="D5049">
        <f>Sources!E5049</f>
        <v/>
      </c>
      <c r="E5049">
        <f>Sources!F5049</f>
        <v/>
      </c>
      <c r="F5049">
        <f>Sources!H5049</f>
        <v/>
      </c>
      <c r="G5049">
        <f>IF(ABS(F5049-ROUND(F5049,0))&lt;0.001,1,0)</f>
        <v/>
      </c>
      <c r="H5049">
        <f>IF(G5049=1,F5049,CEILING(F5049,1))</f>
        <v/>
      </c>
      <c r="I5049">
        <f>IF(G5049=1,0,(H5049-F5049)*E5049)</f>
        <v/>
      </c>
      <c r="J5049">
        <f>E5049*F5049</f>
        <v/>
      </c>
    </row>
    <row r="5050">
      <c r="A5050">
        <f>Sources!A5050</f>
        <v/>
      </c>
      <c r="B5050">
        <f>Sources!B5050</f>
        <v/>
      </c>
      <c r="C5050">
        <f>Sources!D5050</f>
        <v/>
      </c>
      <c r="D5050">
        <f>Sources!E5050</f>
        <v/>
      </c>
      <c r="E5050">
        <f>Sources!F5050</f>
        <v/>
      </c>
      <c r="F5050">
        <f>Sources!H5050</f>
        <v/>
      </c>
      <c r="G5050">
        <f>IF(ABS(F5050-ROUND(F5050,0))&lt;0.001,1,0)</f>
        <v/>
      </c>
      <c r="H5050">
        <f>IF(G5050=1,F5050,CEILING(F5050,1))</f>
        <v/>
      </c>
      <c r="I5050">
        <f>IF(G5050=1,0,(H5050-F5050)*E5050)</f>
        <v/>
      </c>
      <c r="J5050">
        <f>E5050*F5050</f>
        <v/>
      </c>
    </row>
    <row r="5051">
      <c r="A5051">
        <f>Sources!A5051</f>
        <v/>
      </c>
      <c r="B5051">
        <f>Sources!B5051</f>
        <v/>
      </c>
      <c r="C5051">
        <f>Sources!D5051</f>
        <v/>
      </c>
      <c r="D5051">
        <f>Sources!E5051</f>
        <v/>
      </c>
      <c r="E5051">
        <f>Sources!F5051</f>
        <v/>
      </c>
      <c r="F5051">
        <f>Sources!H5051</f>
        <v/>
      </c>
      <c r="G5051">
        <f>IF(ABS(F5051-ROUND(F5051,0))&lt;0.001,1,0)</f>
        <v/>
      </c>
      <c r="H5051">
        <f>IF(G5051=1,F5051,CEILING(F5051,1))</f>
        <v/>
      </c>
      <c r="I5051">
        <f>IF(G5051=1,0,(H5051-F5051)*E5051)</f>
        <v/>
      </c>
      <c r="J5051">
        <f>E5051*F5051</f>
        <v/>
      </c>
    </row>
    <row r="5052">
      <c r="A5052">
        <f>Sources!A5052</f>
        <v/>
      </c>
      <c r="B5052">
        <f>Sources!B5052</f>
        <v/>
      </c>
      <c r="C5052">
        <f>Sources!D5052</f>
        <v/>
      </c>
      <c r="D5052">
        <f>Sources!E5052</f>
        <v/>
      </c>
      <c r="E5052">
        <f>Sources!F5052</f>
        <v/>
      </c>
      <c r="F5052">
        <f>Sources!H5052</f>
        <v/>
      </c>
      <c r="G5052">
        <f>IF(ABS(F5052-ROUND(F5052,0))&lt;0.001,1,0)</f>
        <v/>
      </c>
      <c r="H5052">
        <f>IF(G5052=1,F5052,CEILING(F5052,1))</f>
        <v/>
      </c>
      <c r="I5052">
        <f>IF(G5052=1,0,(H5052-F5052)*E5052)</f>
        <v/>
      </c>
      <c r="J5052">
        <f>E5052*F5052</f>
        <v/>
      </c>
    </row>
    <row r="5053">
      <c r="A5053">
        <f>Sources!A5053</f>
        <v/>
      </c>
      <c r="B5053">
        <f>Sources!B5053</f>
        <v/>
      </c>
      <c r="C5053">
        <f>Sources!D5053</f>
        <v/>
      </c>
      <c r="D5053">
        <f>Sources!E5053</f>
        <v/>
      </c>
      <c r="E5053">
        <f>Sources!F5053</f>
        <v/>
      </c>
      <c r="F5053">
        <f>Sources!H5053</f>
        <v/>
      </c>
      <c r="G5053">
        <f>IF(ABS(F5053-ROUND(F5053,0))&lt;0.001,1,0)</f>
        <v/>
      </c>
      <c r="H5053">
        <f>IF(G5053=1,F5053,CEILING(F5053,1))</f>
        <v/>
      </c>
      <c r="I5053">
        <f>IF(G5053=1,0,(H5053-F5053)*E5053)</f>
        <v/>
      </c>
      <c r="J5053">
        <f>E5053*F5053</f>
        <v/>
      </c>
    </row>
    <row r="5054">
      <c r="A5054">
        <f>Sources!A5054</f>
        <v/>
      </c>
      <c r="B5054">
        <f>Sources!B5054</f>
        <v/>
      </c>
      <c r="C5054">
        <f>Sources!D5054</f>
        <v/>
      </c>
      <c r="D5054">
        <f>Sources!E5054</f>
        <v/>
      </c>
      <c r="E5054">
        <f>Sources!F5054</f>
        <v/>
      </c>
      <c r="F5054">
        <f>Sources!H5054</f>
        <v/>
      </c>
      <c r="G5054">
        <f>IF(ABS(F5054-ROUND(F5054,0))&lt;0.001,1,0)</f>
        <v/>
      </c>
      <c r="H5054">
        <f>IF(G5054=1,F5054,CEILING(F5054,1))</f>
        <v/>
      </c>
      <c r="I5054">
        <f>IF(G5054=1,0,(H5054-F5054)*E5054)</f>
        <v/>
      </c>
      <c r="J5054">
        <f>E5054*F5054</f>
        <v/>
      </c>
    </row>
    <row r="5055">
      <c r="A5055">
        <f>Sources!A5055</f>
        <v/>
      </c>
      <c r="B5055">
        <f>Sources!B5055</f>
        <v/>
      </c>
      <c r="C5055">
        <f>Sources!D5055</f>
        <v/>
      </c>
      <c r="D5055">
        <f>Sources!E5055</f>
        <v/>
      </c>
      <c r="E5055">
        <f>Sources!F5055</f>
        <v/>
      </c>
      <c r="F5055">
        <f>Sources!H5055</f>
        <v/>
      </c>
      <c r="G5055">
        <f>IF(ABS(F5055-ROUND(F5055,0))&lt;0.001,1,0)</f>
        <v/>
      </c>
      <c r="H5055">
        <f>IF(G5055=1,F5055,CEILING(F5055,1))</f>
        <v/>
      </c>
      <c r="I5055">
        <f>IF(G5055=1,0,(H5055-F5055)*E5055)</f>
        <v/>
      </c>
      <c r="J5055">
        <f>E5055*F5055</f>
        <v/>
      </c>
    </row>
    <row r="5056">
      <c r="A5056">
        <f>Sources!A5056</f>
        <v/>
      </c>
      <c r="B5056">
        <f>Sources!B5056</f>
        <v/>
      </c>
      <c r="C5056">
        <f>Sources!D5056</f>
        <v/>
      </c>
      <c r="D5056">
        <f>Sources!E5056</f>
        <v/>
      </c>
      <c r="E5056">
        <f>Sources!F5056</f>
        <v/>
      </c>
      <c r="F5056">
        <f>Sources!H5056</f>
        <v/>
      </c>
      <c r="G5056">
        <f>IF(ABS(F5056-ROUND(F5056,0))&lt;0.001,1,0)</f>
        <v/>
      </c>
      <c r="H5056">
        <f>IF(G5056=1,F5056,CEILING(F5056,1))</f>
        <v/>
      </c>
      <c r="I5056">
        <f>IF(G5056=1,0,(H5056-F5056)*E5056)</f>
        <v/>
      </c>
      <c r="J5056">
        <f>E5056*F5056</f>
        <v/>
      </c>
    </row>
    <row r="5057">
      <c r="A5057">
        <f>Sources!A5057</f>
        <v/>
      </c>
      <c r="B5057">
        <f>Sources!B5057</f>
        <v/>
      </c>
      <c r="C5057">
        <f>Sources!D5057</f>
        <v/>
      </c>
      <c r="D5057">
        <f>Sources!E5057</f>
        <v/>
      </c>
      <c r="E5057">
        <f>Sources!F5057</f>
        <v/>
      </c>
      <c r="F5057">
        <f>Sources!H5057</f>
        <v/>
      </c>
      <c r="G5057">
        <f>IF(ABS(F5057-ROUND(F5057,0))&lt;0.001,1,0)</f>
        <v/>
      </c>
      <c r="H5057">
        <f>IF(G5057=1,F5057,CEILING(F5057,1))</f>
        <v/>
      </c>
      <c r="I5057">
        <f>IF(G5057=1,0,(H5057-F5057)*E5057)</f>
        <v/>
      </c>
      <c r="J5057">
        <f>E5057*F5057</f>
        <v/>
      </c>
    </row>
    <row r="5058">
      <c r="A5058">
        <f>Sources!A5058</f>
        <v/>
      </c>
      <c r="B5058">
        <f>Sources!B5058</f>
        <v/>
      </c>
      <c r="C5058">
        <f>Sources!D5058</f>
        <v/>
      </c>
      <c r="D5058">
        <f>Sources!E5058</f>
        <v/>
      </c>
      <c r="E5058">
        <f>Sources!F5058</f>
        <v/>
      </c>
      <c r="F5058">
        <f>Sources!H5058</f>
        <v/>
      </c>
      <c r="G5058">
        <f>IF(ABS(F5058-ROUND(F5058,0))&lt;0.001,1,0)</f>
        <v/>
      </c>
      <c r="H5058">
        <f>IF(G5058=1,F5058,CEILING(F5058,1))</f>
        <v/>
      </c>
      <c r="I5058">
        <f>IF(G5058=1,0,(H5058-F5058)*E5058)</f>
        <v/>
      </c>
      <c r="J5058">
        <f>E5058*F5058</f>
        <v/>
      </c>
    </row>
    <row r="5059">
      <c r="A5059">
        <f>Sources!A5059</f>
        <v/>
      </c>
      <c r="B5059">
        <f>Sources!B5059</f>
        <v/>
      </c>
      <c r="C5059">
        <f>Sources!D5059</f>
        <v/>
      </c>
      <c r="D5059">
        <f>Sources!E5059</f>
        <v/>
      </c>
      <c r="E5059">
        <f>Sources!F5059</f>
        <v/>
      </c>
      <c r="F5059">
        <f>Sources!H5059</f>
        <v/>
      </c>
      <c r="G5059">
        <f>IF(ABS(F5059-ROUND(F5059,0))&lt;0.001,1,0)</f>
        <v/>
      </c>
      <c r="H5059">
        <f>IF(G5059=1,F5059,CEILING(F5059,1))</f>
        <v/>
      </c>
      <c r="I5059">
        <f>IF(G5059=1,0,(H5059-F5059)*E5059)</f>
        <v/>
      </c>
      <c r="J5059">
        <f>E5059*F5059</f>
        <v/>
      </c>
    </row>
    <row r="5060">
      <c r="A5060">
        <f>Sources!A5060</f>
        <v/>
      </c>
      <c r="B5060">
        <f>Sources!B5060</f>
        <v/>
      </c>
      <c r="C5060">
        <f>Sources!D5060</f>
        <v/>
      </c>
      <c r="D5060">
        <f>Sources!E5060</f>
        <v/>
      </c>
      <c r="E5060">
        <f>Sources!F5060</f>
        <v/>
      </c>
      <c r="F5060">
        <f>Sources!H5060</f>
        <v/>
      </c>
      <c r="G5060">
        <f>IF(ABS(F5060-ROUND(F5060,0))&lt;0.001,1,0)</f>
        <v/>
      </c>
      <c r="H5060">
        <f>IF(G5060=1,F5060,CEILING(F5060,1))</f>
        <v/>
      </c>
      <c r="I5060">
        <f>IF(G5060=1,0,(H5060-F5060)*E5060)</f>
        <v/>
      </c>
      <c r="J5060">
        <f>E5060*F5060</f>
        <v/>
      </c>
    </row>
    <row r="5061">
      <c r="A5061">
        <f>Sources!A5061</f>
        <v/>
      </c>
      <c r="B5061">
        <f>Sources!B5061</f>
        <v/>
      </c>
      <c r="C5061">
        <f>Sources!D5061</f>
        <v/>
      </c>
      <c r="D5061">
        <f>Sources!E5061</f>
        <v/>
      </c>
      <c r="E5061">
        <f>Sources!F5061</f>
        <v/>
      </c>
      <c r="F5061">
        <f>Sources!H5061</f>
        <v/>
      </c>
      <c r="G5061">
        <f>IF(ABS(F5061-ROUND(F5061,0))&lt;0.001,1,0)</f>
        <v/>
      </c>
      <c r="H5061">
        <f>IF(G5061=1,F5061,CEILING(F5061,1))</f>
        <v/>
      </c>
      <c r="I5061">
        <f>IF(G5061=1,0,(H5061-F5061)*E5061)</f>
        <v/>
      </c>
      <c r="J5061">
        <f>E5061*F5061</f>
        <v/>
      </c>
    </row>
    <row r="5062">
      <c r="A5062">
        <f>Sources!A5062</f>
        <v/>
      </c>
      <c r="B5062">
        <f>Sources!B5062</f>
        <v/>
      </c>
      <c r="C5062">
        <f>Sources!D5062</f>
        <v/>
      </c>
      <c r="D5062">
        <f>Sources!E5062</f>
        <v/>
      </c>
      <c r="E5062">
        <f>Sources!F5062</f>
        <v/>
      </c>
      <c r="F5062">
        <f>Sources!H5062</f>
        <v/>
      </c>
      <c r="G5062">
        <f>IF(ABS(F5062-ROUND(F5062,0))&lt;0.001,1,0)</f>
        <v/>
      </c>
      <c r="H5062">
        <f>IF(G5062=1,F5062,CEILING(F5062,1))</f>
        <v/>
      </c>
      <c r="I5062">
        <f>IF(G5062=1,0,(H5062-F5062)*E5062)</f>
        <v/>
      </c>
      <c r="J5062">
        <f>E5062*F5062</f>
        <v/>
      </c>
    </row>
    <row r="5063">
      <c r="A5063">
        <f>Sources!A5063</f>
        <v/>
      </c>
      <c r="B5063">
        <f>Sources!B5063</f>
        <v/>
      </c>
      <c r="C5063">
        <f>Sources!D5063</f>
        <v/>
      </c>
      <c r="D5063">
        <f>Sources!E5063</f>
        <v/>
      </c>
      <c r="E5063">
        <f>Sources!F5063</f>
        <v/>
      </c>
      <c r="F5063">
        <f>Sources!H5063</f>
        <v/>
      </c>
      <c r="G5063">
        <f>IF(ABS(F5063-ROUND(F5063,0))&lt;0.001,1,0)</f>
        <v/>
      </c>
      <c r="H5063">
        <f>IF(G5063=1,F5063,CEILING(F5063,1))</f>
        <v/>
      </c>
      <c r="I5063">
        <f>IF(G5063=1,0,(H5063-F5063)*E5063)</f>
        <v/>
      </c>
      <c r="J5063">
        <f>E5063*F5063</f>
        <v/>
      </c>
    </row>
    <row r="5064">
      <c r="A5064">
        <f>Sources!A5064</f>
        <v/>
      </c>
      <c r="B5064">
        <f>Sources!B5064</f>
        <v/>
      </c>
      <c r="C5064">
        <f>Sources!D5064</f>
        <v/>
      </c>
      <c r="D5064">
        <f>Sources!E5064</f>
        <v/>
      </c>
      <c r="E5064">
        <f>Sources!F5064</f>
        <v/>
      </c>
      <c r="F5064">
        <f>Sources!H5064</f>
        <v/>
      </c>
      <c r="G5064">
        <f>IF(ABS(F5064-ROUND(F5064,0))&lt;0.001,1,0)</f>
        <v/>
      </c>
      <c r="H5064">
        <f>IF(G5064=1,F5064,CEILING(F5064,1))</f>
        <v/>
      </c>
      <c r="I5064">
        <f>IF(G5064=1,0,(H5064-F5064)*E5064)</f>
        <v/>
      </c>
      <c r="J5064">
        <f>E5064*F5064</f>
        <v/>
      </c>
    </row>
    <row r="5065">
      <c r="A5065">
        <f>Sources!A5065</f>
        <v/>
      </c>
      <c r="B5065">
        <f>Sources!B5065</f>
        <v/>
      </c>
      <c r="C5065">
        <f>Sources!D5065</f>
        <v/>
      </c>
      <c r="D5065">
        <f>Sources!E5065</f>
        <v/>
      </c>
      <c r="E5065">
        <f>Sources!F5065</f>
        <v/>
      </c>
      <c r="F5065">
        <f>Sources!H5065</f>
        <v/>
      </c>
      <c r="G5065">
        <f>IF(ABS(F5065-ROUND(F5065,0))&lt;0.001,1,0)</f>
        <v/>
      </c>
      <c r="H5065">
        <f>IF(G5065=1,F5065,CEILING(F5065,1))</f>
        <v/>
      </c>
      <c r="I5065">
        <f>IF(G5065=1,0,(H5065-F5065)*E5065)</f>
        <v/>
      </c>
      <c r="J5065">
        <f>E5065*F5065</f>
        <v/>
      </c>
    </row>
    <row r="5066">
      <c r="A5066">
        <f>Sources!A5066</f>
        <v/>
      </c>
      <c r="B5066">
        <f>Sources!B5066</f>
        <v/>
      </c>
      <c r="C5066">
        <f>Sources!D5066</f>
        <v/>
      </c>
      <c r="D5066">
        <f>Sources!E5066</f>
        <v/>
      </c>
      <c r="E5066">
        <f>Sources!F5066</f>
        <v/>
      </c>
      <c r="F5066">
        <f>Sources!H5066</f>
        <v/>
      </c>
      <c r="G5066">
        <f>IF(ABS(F5066-ROUND(F5066,0))&lt;0.001,1,0)</f>
        <v/>
      </c>
      <c r="H5066">
        <f>IF(G5066=1,F5066,CEILING(F5066,1))</f>
        <v/>
      </c>
      <c r="I5066">
        <f>IF(G5066=1,0,(H5066-F5066)*E5066)</f>
        <v/>
      </c>
      <c r="J5066">
        <f>E5066*F5066</f>
        <v/>
      </c>
    </row>
    <row r="5067">
      <c r="A5067">
        <f>Sources!A5067</f>
        <v/>
      </c>
      <c r="B5067">
        <f>Sources!B5067</f>
        <v/>
      </c>
      <c r="C5067">
        <f>Sources!D5067</f>
        <v/>
      </c>
      <c r="D5067">
        <f>Sources!E5067</f>
        <v/>
      </c>
      <c r="E5067">
        <f>Sources!F5067</f>
        <v/>
      </c>
      <c r="F5067">
        <f>Sources!H5067</f>
        <v/>
      </c>
      <c r="G5067">
        <f>IF(ABS(F5067-ROUND(F5067,0))&lt;0.001,1,0)</f>
        <v/>
      </c>
      <c r="H5067">
        <f>IF(G5067=1,F5067,CEILING(F5067,1))</f>
        <v/>
      </c>
      <c r="I5067">
        <f>IF(G5067=1,0,(H5067-F5067)*E5067)</f>
        <v/>
      </c>
      <c r="J5067">
        <f>E5067*F5067</f>
        <v/>
      </c>
    </row>
    <row r="5068">
      <c r="A5068">
        <f>Sources!A5068</f>
        <v/>
      </c>
      <c r="B5068">
        <f>Sources!B5068</f>
        <v/>
      </c>
      <c r="C5068">
        <f>Sources!D5068</f>
        <v/>
      </c>
      <c r="D5068">
        <f>Sources!E5068</f>
        <v/>
      </c>
      <c r="E5068">
        <f>Sources!F5068</f>
        <v/>
      </c>
      <c r="F5068">
        <f>Sources!H5068</f>
        <v/>
      </c>
      <c r="G5068">
        <f>IF(ABS(F5068-ROUND(F5068,0))&lt;0.001,1,0)</f>
        <v/>
      </c>
      <c r="H5068">
        <f>IF(G5068=1,F5068,CEILING(F5068,1))</f>
        <v/>
      </c>
      <c r="I5068">
        <f>IF(G5068=1,0,(H5068-F5068)*E5068)</f>
        <v/>
      </c>
      <c r="J5068">
        <f>E5068*F5068</f>
        <v/>
      </c>
    </row>
    <row r="5069">
      <c r="A5069">
        <f>Sources!A5069</f>
        <v/>
      </c>
      <c r="B5069">
        <f>Sources!B5069</f>
        <v/>
      </c>
      <c r="C5069">
        <f>Sources!D5069</f>
        <v/>
      </c>
      <c r="D5069">
        <f>Sources!E5069</f>
        <v/>
      </c>
      <c r="E5069">
        <f>Sources!F5069</f>
        <v/>
      </c>
      <c r="F5069">
        <f>Sources!H5069</f>
        <v/>
      </c>
      <c r="G5069">
        <f>IF(ABS(F5069-ROUND(F5069,0))&lt;0.001,1,0)</f>
        <v/>
      </c>
      <c r="H5069">
        <f>IF(G5069=1,F5069,CEILING(F5069,1))</f>
        <v/>
      </c>
      <c r="I5069">
        <f>IF(G5069=1,0,(H5069-F5069)*E5069)</f>
        <v/>
      </c>
      <c r="J5069">
        <f>E5069*F5069</f>
        <v/>
      </c>
    </row>
    <row r="5070">
      <c r="A5070">
        <f>Sources!A5070</f>
        <v/>
      </c>
      <c r="B5070">
        <f>Sources!B5070</f>
        <v/>
      </c>
      <c r="C5070">
        <f>Sources!D5070</f>
        <v/>
      </c>
      <c r="D5070">
        <f>Sources!E5070</f>
        <v/>
      </c>
      <c r="E5070">
        <f>Sources!F5070</f>
        <v/>
      </c>
      <c r="F5070">
        <f>Sources!H5070</f>
        <v/>
      </c>
      <c r="G5070">
        <f>IF(ABS(F5070-ROUND(F5070,0))&lt;0.001,1,0)</f>
        <v/>
      </c>
      <c r="H5070">
        <f>IF(G5070=1,F5070,CEILING(F5070,1))</f>
        <v/>
      </c>
      <c r="I5070">
        <f>IF(G5070=1,0,(H5070-F5070)*E5070)</f>
        <v/>
      </c>
      <c r="J5070">
        <f>E5070*F5070</f>
        <v/>
      </c>
    </row>
    <row r="5071">
      <c r="A5071">
        <f>Sources!A5071</f>
        <v/>
      </c>
      <c r="B5071">
        <f>Sources!B5071</f>
        <v/>
      </c>
      <c r="C5071">
        <f>Sources!D5071</f>
        <v/>
      </c>
      <c r="D5071">
        <f>Sources!E5071</f>
        <v/>
      </c>
      <c r="E5071">
        <f>Sources!F5071</f>
        <v/>
      </c>
      <c r="F5071">
        <f>Sources!H5071</f>
        <v/>
      </c>
      <c r="G5071">
        <f>IF(ABS(F5071-ROUND(F5071,0))&lt;0.001,1,0)</f>
        <v/>
      </c>
      <c r="H5071">
        <f>IF(G5071=1,F5071,CEILING(F5071,1))</f>
        <v/>
      </c>
      <c r="I5071">
        <f>IF(G5071=1,0,(H5071-F5071)*E5071)</f>
        <v/>
      </c>
      <c r="J5071">
        <f>E5071*F5071</f>
        <v/>
      </c>
    </row>
    <row r="5072">
      <c r="A5072">
        <f>Sources!A5072</f>
        <v/>
      </c>
      <c r="B5072">
        <f>Sources!B5072</f>
        <v/>
      </c>
      <c r="C5072">
        <f>Sources!D5072</f>
        <v/>
      </c>
      <c r="D5072">
        <f>Sources!E5072</f>
        <v/>
      </c>
      <c r="E5072">
        <f>Sources!F5072</f>
        <v/>
      </c>
      <c r="F5072">
        <f>Sources!H5072</f>
        <v/>
      </c>
      <c r="G5072">
        <f>IF(ABS(F5072-ROUND(F5072,0))&lt;0.001,1,0)</f>
        <v/>
      </c>
      <c r="H5072">
        <f>IF(G5072=1,F5072,CEILING(F5072,1))</f>
        <v/>
      </c>
      <c r="I5072">
        <f>IF(G5072=1,0,(H5072-F5072)*E5072)</f>
        <v/>
      </c>
      <c r="J5072">
        <f>E5072*F5072</f>
        <v/>
      </c>
    </row>
    <row r="5073">
      <c r="A5073">
        <f>Sources!A5073</f>
        <v/>
      </c>
      <c r="B5073">
        <f>Sources!B5073</f>
        <v/>
      </c>
      <c r="C5073">
        <f>Sources!D5073</f>
        <v/>
      </c>
      <c r="D5073">
        <f>Sources!E5073</f>
        <v/>
      </c>
      <c r="E5073">
        <f>Sources!F5073</f>
        <v/>
      </c>
      <c r="F5073">
        <f>Sources!H5073</f>
        <v/>
      </c>
      <c r="G5073">
        <f>IF(ABS(F5073-ROUND(F5073,0))&lt;0.001,1,0)</f>
        <v/>
      </c>
      <c r="H5073">
        <f>IF(G5073=1,F5073,CEILING(F5073,1))</f>
        <v/>
      </c>
      <c r="I5073">
        <f>IF(G5073=1,0,(H5073-F5073)*E5073)</f>
        <v/>
      </c>
      <c r="J5073">
        <f>E5073*F5073</f>
        <v/>
      </c>
    </row>
    <row r="5074">
      <c r="A5074">
        <f>Sources!A5074</f>
        <v/>
      </c>
      <c r="B5074">
        <f>Sources!B5074</f>
        <v/>
      </c>
      <c r="C5074">
        <f>Sources!D5074</f>
        <v/>
      </c>
      <c r="D5074">
        <f>Sources!E5074</f>
        <v/>
      </c>
      <c r="E5074">
        <f>Sources!F5074</f>
        <v/>
      </c>
      <c r="F5074">
        <f>Sources!H5074</f>
        <v/>
      </c>
      <c r="G5074">
        <f>IF(ABS(F5074-ROUND(F5074,0))&lt;0.001,1,0)</f>
        <v/>
      </c>
      <c r="H5074">
        <f>IF(G5074=1,F5074,CEILING(F5074,1))</f>
        <v/>
      </c>
      <c r="I5074">
        <f>IF(G5074=1,0,(H5074-F5074)*E5074)</f>
        <v/>
      </c>
      <c r="J5074">
        <f>E5074*F5074</f>
        <v/>
      </c>
    </row>
    <row r="5075">
      <c r="A5075">
        <f>Sources!A5075</f>
        <v/>
      </c>
      <c r="B5075">
        <f>Sources!B5075</f>
        <v/>
      </c>
      <c r="C5075">
        <f>Sources!D5075</f>
        <v/>
      </c>
      <c r="D5075">
        <f>Sources!E5075</f>
        <v/>
      </c>
      <c r="E5075">
        <f>Sources!F5075</f>
        <v/>
      </c>
      <c r="F5075">
        <f>Sources!H5075</f>
        <v/>
      </c>
      <c r="G5075">
        <f>IF(ABS(F5075-ROUND(F5075,0))&lt;0.001,1,0)</f>
        <v/>
      </c>
      <c r="H5075">
        <f>IF(G5075=1,F5075,CEILING(F5075,1))</f>
        <v/>
      </c>
      <c r="I5075">
        <f>IF(G5075=1,0,(H5075-F5075)*E5075)</f>
        <v/>
      </c>
      <c r="J5075">
        <f>E5075*F5075</f>
        <v/>
      </c>
    </row>
    <row r="5076">
      <c r="A5076">
        <f>Sources!A5076</f>
        <v/>
      </c>
      <c r="B5076">
        <f>Sources!B5076</f>
        <v/>
      </c>
      <c r="C5076">
        <f>Sources!D5076</f>
        <v/>
      </c>
      <c r="D5076">
        <f>Sources!E5076</f>
        <v/>
      </c>
      <c r="E5076">
        <f>Sources!F5076</f>
        <v/>
      </c>
      <c r="F5076">
        <f>Sources!H5076</f>
        <v/>
      </c>
      <c r="G5076">
        <f>IF(ABS(F5076-ROUND(F5076,0))&lt;0.001,1,0)</f>
        <v/>
      </c>
      <c r="H5076">
        <f>IF(G5076=1,F5076,CEILING(F5076,1))</f>
        <v/>
      </c>
      <c r="I5076">
        <f>IF(G5076=1,0,(H5076-F5076)*E5076)</f>
        <v/>
      </c>
      <c r="J5076">
        <f>E5076*F5076</f>
        <v/>
      </c>
    </row>
    <row r="5077">
      <c r="A5077">
        <f>Sources!A5077</f>
        <v/>
      </c>
      <c r="B5077">
        <f>Sources!B5077</f>
        <v/>
      </c>
      <c r="C5077">
        <f>Sources!D5077</f>
        <v/>
      </c>
      <c r="D5077">
        <f>Sources!E5077</f>
        <v/>
      </c>
      <c r="E5077">
        <f>Sources!F5077</f>
        <v/>
      </c>
      <c r="F5077">
        <f>Sources!H5077</f>
        <v/>
      </c>
      <c r="G5077">
        <f>IF(ABS(F5077-ROUND(F5077,0))&lt;0.001,1,0)</f>
        <v/>
      </c>
      <c r="H5077">
        <f>IF(G5077=1,F5077,CEILING(F5077,1))</f>
        <v/>
      </c>
      <c r="I5077">
        <f>IF(G5077=1,0,(H5077-F5077)*E5077)</f>
        <v/>
      </c>
      <c r="J5077">
        <f>E5077*F5077</f>
        <v/>
      </c>
    </row>
    <row r="5078">
      <c r="A5078">
        <f>Sources!A5078</f>
        <v/>
      </c>
      <c r="B5078">
        <f>Sources!B5078</f>
        <v/>
      </c>
      <c r="C5078">
        <f>Sources!D5078</f>
        <v/>
      </c>
      <c r="D5078">
        <f>Sources!E5078</f>
        <v/>
      </c>
      <c r="E5078">
        <f>Sources!F5078</f>
        <v/>
      </c>
      <c r="F5078">
        <f>Sources!H5078</f>
        <v/>
      </c>
      <c r="G5078">
        <f>IF(ABS(F5078-ROUND(F5078,0))&lt;0.001,1,0)</f>
        <v/>
      </c>
      <c r="H5078">
        <f>IF(G5078=1,F5078,CEILING(F5078,1))</f>
        <v/>
      </c>
      <c r="I5078">
        <f>IF(G5078=1,0,(H5078-F5078)*E5078)</f>
        <v/>
      </c>
      <c r="J5078">
        <f>E5078*F5078</f>
        <v/>
      </c>
    </row>
    <row r="5079">
      <c r="A5079">
        <f>Sources!A5079</f>
        <v/>
      </c>
      <c r="B5079">
        <f>Sources!B5079</f>
        <v/>
      </c>
      <c r="C5079">
        <f>Sources!D5079</f>
        <v/>
      </c>
      <c r="D5079">
        <f>Sources!E5079</f>
        <v/>
      </c>
      <c r="E5079">
        <f>Sources!F5079</f>
        <v/>
      </c>
      <c r="F5079">
        <f>Sources!H5079</f>
        <v/>
      </c>
      <c r="G5079">
        <f>IF(ABS(F5079-ROUND(F5079,0))&lt;0.001,1,0)</f>
        <v/>
      </c>
      <c r="H5079">
        <f>IF(G5079=1,F5079,CEILING(F5079,1))</f>
        <v/>
      </c>
      <c r="I5079">
        <f>IF(G5079=1,0,(H5079-F5079)*E5079)</f>
        <v/>
      </c>
      <c r="J5079">
        <f>E5079*F5079</f>
        <v/>
      </c>
    </row>
    <row r="5080">
      <c r="A5080">
        <f>Sources!A5080</f>
        <v/>
      </c>
      <c r="B5080">
        <f>Sources!B5080</f>
        <v/>
      </c>
      <c r="C5080">
        <f>Sources!D5080</f>
        <v/>
      </c>
      <c r="D5080">
        <f>Sources!E5080</f>
        <v/>
      </c>
      <c r="E5080">
        <f>Sources!F5080</f>
        <v/>
      </c>
      <c r="F5080">
        <f>Sources!H5080</f>
        <v/>
      </c>
      <c r="G5080">
        <f>IF(ABS(F5080-ROUND(F5080,0))&lt;0.001,1,0)</f>
        <v/>
      </c>
      <c r="H5080">
        <f>IF(G5080=1,F5080,CEILING(F5080,1))</f>
        <v/>
      </c>
      <c r="I5080">
        <f>IF(G5080=1,0,(H5080-F5080)*E5080)</f>
        <v/>
      </c>
      <c r="J5080">
        <f>E5080*F5080</f>
        <v/>
      </c>
    </row>
    <row r="5081">
      <c r="A5081">
        <f>Sources!A5081</f>
        <v/>
      </c>
      <c r="B5081">
        <f>Sources!B5081</f>
        <v/>
      </c>
      <c r="C5081">
        <f>Sources!D5081</f>
        <v/>
      </c>
      <c r="D5081">
        <f>Sources!E5081</f>
        <v/>
      </c>
      <c r="E5081">
        <f>Sources!F5081</f>
        <v/>
      </c>
      <c r="F5081">
        <f>Sources!H5081</f>
        <v/>
      </c>
      <c r="G5081">
        <f>IF(ABS(F5081-ROUND(F5081,0))&lt;0.001,1,0)</f>
        <v/>
      </c>
      <c r="H5081">
        <f>IF(G5081=1,F5081,CEILING(F5081,1))</f>
        <v/>
      </c>
      <c r="I5081">
        <f>IF(G5081=1,0,(H5081-F5081)*E5081)</f>
        <v/>
      </c>
      <c r="J5081">
        <f>E5081*F5081</f>
        <v/>
      </c>
    </row>
    <row r="5082">
      <c r="A5082">
        <f>Sources!A5082</f>
        <v/>
      </c>
      <c r="B5082">
        <f>Sources!B5082</f>
        <v/>
      </c>
      <c r="C5082">
        <f>Sources!D5082</f>
        <v/>
      </c>
      <c r="D5082">
        <f>Sources!E5082</f>
        <v/>
      </c>
      <c r="E5082">
        <f>Sources!F5082</f>
        <v/>
      </c>
      <c r="F5082">
        <f>Sources!H5082</f>
        <v/>
      </c>
      <c r="G5082">
        <f>IF(ABS(F5082-ROUND(F5082,0))&lt;0.001,1,0)</f>
        <v/>
      </c>
      <c r="H5082">
        <f>IF(G5082=1,F5082,CEILING(F5082,1))</f>
        <v/>
      </c>
      <c r="I5082">
        <f>IF(G5082=1,0,(H5082-F5082)*E5082)</f>
        <v/>
      </c>
      <c r="J5082">
        <f>E5082*F5082</f>
        <v/>
      </c>
    </row>
    <row r="5083">
      <c r="A5083">
        <f>Sources!A5083</f>
        <v/>
      </c>
      <c r="B5083">
        <f>Sources!B5083</f>
        <v/>
      </c>
      <c r="C5083">
        <f>Sources!D5083</f>
        <v/>
      </c>
      <c r="D5083">
        <f>Sources!E5083</f>
        <v/>
      </c>
      <c r="E5083">
        <f>Sources!F5083</f>
        <v/>
      </c>
      <c r="F5083">
        <f>Sources!H5083</f>
        <v/>
      </c>
      <c r="G5083">
        <f>IF(ABS(F5083-ROUND(F5083,0))&lt;0.001,1,0)</f>
        <v/>
      </c>
      <c r="H5083">
        <f>IF(G5083=1,F5083,CEILING(F5083,1))</f>
        <v/>
      </c>
      <c r="I5083">
        <f>IF(G5083=1,0,(H5083-F5083)*E5083)</f>
        <v/>
      </c>
      <c r="J5083">
        <f>E5083*F5083</f>
        <v/>
      </c>
    </row>
    <row r="5084">
      <c r="A5084">
        <f>Sources!A5084</f>
        <v/>
      </c>
      <c r="B5084">
        <f>Sources!B5084</f>
        <v/>
      </c>
      <c r="C5084">
        <f>Sources!D5084</f>
        <v/>
      </c>
      <c r="D5084">
        <f>Sources!E5084</f>
        <v/>
      </c>
      <c r="E5084">
        <f>Sources!F5084</f>
        <v/>
      </c>
      <c r="F5084">
        <f>Sources!H5084</f>
        <v/>
      </c>
      <c r="G5084">
        <f>IF(ABS(F5084-ROUND(F5084,0))&lt;0.001,1,0)</f>
        <v/>
      </c>
      <c r="H5084">
        <f>IF(G5084=1,F5084,CEILING(F5084,1))</f>
        <v/>
      </c>
      <c r="I5084">
        <f>IF(G5084=1,0,(H5084-F5084)*E5084)</f>
        <v/>
      </c>
      <c r="J5084">
        <f>E5084*F5084</f>
        <v/>
      </c>
    </row>
    <row r="5085">
      <c r="A5085">
        <f>Sources!A5085</f>
        <v/>
      </c>
      <c r="B5085">
        <f>Sources!B5085</f>
        <v/>
      </c>
      <c r="C5085">
        <f>Sources!D5085</f>
        <v/>
      </c>
      <c r="D5085">
        <f>Sources!E5085</f>
        <v/>
      </c>
      <c r="E5085">
        <f>Sources!F5085</f>
        <v/>
      </c>
      <c r="F5085">
        <f>Sources!H5085</f>
        <v/>
      </c>
      <c r="G5085">
        <f>IF(ABS(F5085-ROUND(F5085,0))&lt;0.001,1,0)</f>
        <v/>
      </c>
      <c r="H5085">
        <f>IF(G5085=1,F5085,CEILING(F5085,1))</f>
        <v/>
      </c>
      <c r="I5085">
        <f>IF(G5085=1,0,(H5085-F5085)*E5085)</f>
        <v/>
      </c>
      <c r="J5085">
        <f>E5085*F5085</f>
        <v/>
      </c>
    </row>
    <row r="5086">
      <c r="A5086">
        <f>Sources!A5086</f>
        <v/>
      </c>
      <c r="B5086">
        <f>Sources!B5086</f>
        <v/>
      </c>
      <c r="C5086">
        <f>Sources!D5086</f>
        <v/>
      </c>
      <c r="D5086">
        <f>Sources!E5086</f>
        <v/>
      </c>
      <c r="E5086">
        <f>Sources!F5086</f>
        <v/>
      </c>
      <c r="F5086">
        <f>Sources!H5086</f>
        <v/>
      </c>
      <c r="G5086">
        <f>IF(ABS(F5086-ROUND(F5086,0))&lt;0.001,1,0)</f>
        <v/>
      </c>
      <c r="H5086">
        <f>IF(G5086=1,F5086,CEILING(F5086,1))</f>
        <v/>
      </c>
      <c r="I5086">
        <f>IF(G5086=1,0,(H5086-F5086)*E5086)</f>
        <v/>
      </c>
      <c r="J5086">
        <f>E5086*F5086</f>
        <v/>
      </c>
    </row>
    <row r="5087">
      <c r="A5087">
        <f>Sources!A5087</f>
        <v/>
      </c>
      <c r="B5087">
        <f>Sources!B5087</f>
        <v/>
      </c>
      <c r="C5087">
        <f>Sources!D5087</f>
        <v/>
      </c>
      <c r="D5087">
        <f>Sources!E5087</f>
        <v/>
      </c>
      <c r="E5087">
        <f>Sources!F5087</f>
        <v/>
      </c>
      <c r="F5087">
        <f>Sources!H5087</f>
        <v/>
      </c>
      <c r="G5087">
        <f>IF(ABS(F5087-ROUND(F5087,0))&lt;0.001,1,0)</f>
        <v/>
      </c>
      <c r="H5087">
        <f>IF(G5087=1,F5087,CEILING(F5087,1))</f>
        <v/>
      </c>
      <c r="I5087">
        <f>IF(G5087=1,0,(H5087-F5087)*E5087)</f>
        <v/>
      </c>
      <c r="J5087">
        <f>E5087*F5087</f>
        <v/>
      </c>
    </row>
    <row r="5088">
      <c r="A5088">
        <f>Sources!A5088</f>
        <v/>
      </c>
      <c r="B5088">
        <f>Sources!B5088</f>
        <v/>
      </c>
      <c r="C5088">
        <f>Sources!D5088</f>
        <v/>
      </c>
      <c r="D5088">
        <f>Sources!E5088</f>
        <v/>
      </c>
      <c r="E5088">
        <f>Sources!F5088</f>
        <v/>
      </c>
      <c r="F5088">
        <f>Sources!H5088</f>
        <v/>
      </c>
      <c r="G5088">
        <f>IF(ABS(F5088-ROUND(F5088,0))&lt;0.001,1,0)</f>
        <v/>
      </c>
      <c r="H5088">
        <f>IF(G5088=1,F5088,CEILING(F5088,1))</f>
        <v/>
      </c>
      <c r="I5088">
        <f>IF(G5088=1,0,(H5088-F5088)*E5088)</f>
        <v/>
      </c>
      <c r="J5088">
        <f>E5088*F5088</f>
        <v/>
      </c>
    </row>
    <row r="5089">
      <c r="A5089">
        <f>Sources!A5089</f>
        <v/>
      </c>
      <c r="B5089">
        <f>Sources!B5089</f>
        <v/>
      </c>
      <c r="C5089">
        <f>Sources!D5089</f>
        <v/>
      </c>
      <c r="D5089">
        <f>Sources!E5089</f>
        <v/>
      </c>
      <c r="E5089">
        <f>Sources!F5089</f>
        <v/>
      </c>
      <c r="F5089">
        <f>Sources!H5089</f>
        <v/>
      </c>
      <c r="G5089">
        <f>IF(ABS(F5089-ROUND(F5089,0))&lt;0.001,1,0)</f>
        <v/>
      </c>
      <c r="H5089">
        <f>IF(G5089=1,F5089,CEILING(F5089,1))</f>
        <v/>
      </c>
      <c r="I5089">
        <f>IF(G5089=1,0,(H5089-F5089)*E5089)</f>
        <v/>
      </c>
      <c r="J5089">
        <f>E5089*F5089</f>
        <v/>
      </c>
    </row>
    <row r="5090">
      <c r="A5090">
        <f>Sources!A5090</f>
        <v/>
      </c>
      <c r="B5090">
        <f>Sources!B5090</f>
        <v/>
      </c>
      <c r="C5090">
        <f>Sources!D5090</f>
        <v/>
      </c>
      <c r="D5090">
        <f>Sources!E5090</f>
        <v/>
      </c>
      <c r="E5090">
        <f>Sources!F5090</f>
        <v/>
      </c>
      <c r="F5090">
        <f>Sources!H5090</f>
        <v/>
      </c>
      <c r="G5090">
        <f>IF(ABS(F5090-ROUND(F5090,0))&lt;0.001,1,0)</f>
        <v/>
      </c>
      <c r="H5090">
        <f>IF(G5090=1,F5090,CEILING(F5090,1))</f>
        <v/>
      </c>
      <c r="I5090">
        <f>IF(G5090=1,0,(H5090-F5090)*E5090)</f>
        <v/>
      </c>
      <c r="J5090">
        <f>E5090*F5090</f>
        <v/>
      </c>
    </row>
    <row r="5091">
      <c r="A5091">
        <f>Sources!A5091</f>
        <v/>
      </c>
      <c r="B5091">
        <f>Sources!B5091</f>
        <v/>
      </c>
      <c r="C5091">
        <f>Sources!D5091</f>
        <v/>
      </c>
      <c r="D5091">
        <f>Sources!E5091</f>
        <v/>
      </c>
      <c r="E5091">
        <f>Sources!F5091</f>
        <v/>
      </c>
      <c r="F5091">
        <f>Sources!H5091</f>
        <v/>
      </c>
      <c r="G5091">
        <f>IF(ABS(F5091-ROUND(F5091,0))&lt;0.001,1,0)</f>
        <v/>
      </c>
      <c r="H5091">
        <f>IF(G5091=1,F5091,CEILING(F5091,1))</f>
        <v/>
      </c>
      <c r="I5091">
        <f>IF(G5091=1,0,(H5091-F5091)*E5091)</f>
        <v/>
      </c>
      <c r="J5091">
        <f>E5091*F5091</f>
        <v/>
      </c>
    </row>
    <row r="5092">
      <c r="A5092">
        <f>Sources!A5092</f>
        <v/>
      </c>
      <c r="B5092">
        <f>Sources!B5092</f>
        <v/>
      </c>
      <c r="C5092">
        <f>Sources!D5092</f>
        <v/>
      </c>
      <c r="D5092">
        <f>Sources!E5092</f>
        <v/>
      </c>
      <c r="E5092">
        <f>Sources!F5092</f>
        <v/>
      </c>
      <c r="F5092">
        <f>Sources!H5092</f>
        <v/>
      </c>
      <c r="G5092">
        <f>IF(ABS(F5092-ROUND(F5092,0))&lt;0.001,1,0)</f>
        <v/>
      </c>
      <c r="H5092">
        <f>IF(G5092=1,F5092,CEILING(F5092,1))</f>
        <v/>
      </c>
      <c r="I5092">
        <f>IF(G5092=1,0,(H5092-F5092)*E5092)</f>
        <v/>
      </c>
      <c r="J5092">
        <f>E5092*F5092</f>
        <v/>
      </c>
    </row>
    <row r="5093">
      <c r="A5093">
        <f>Sources!A5093</f>
        <v/>
      </c>
      <c r="B5093">
        <f>Sources!B5093</f>
        <v/>
      </c>
      <c r="C5093">
        <f>Sources!D5093</f>
        <v/>
      </c>
      <c r="D5093">
        <f>Sources!E5093</f>
        <v/>
      </c>
      <c r="E5093">
        <f>Sources!F5093</f>
        <v/>
      </c>
      <c r="F5093">
        <f>Sources!H5093</f>
        <v/>
      </c>
      <c r="G5093">
        <f>IF(ABS(F5093-ROUND(F5093,0))&lt;0.001,1,0)</f>
        <v/>
      </c>
      <c r="H5093">
        <f>IF(G5093=1,F5093,CEILING(F5093,1))</f>
        <v/>
      </c>
      <c r="I5093">
        <f>IF(G5093=1,0,(H5093-F5093)*E5093)</f>
        <v/>
      </c>
      <c r="J5093">
        <f>E5093*F5093</f>
        <v/>
      </c>
    </row>
    <row r="5094">
      <c r="A5094">
        <f>Sources!A5094</f>
        <v/>
      </c>
      <c r="B5094">
        <f>Sources!B5094</f>
        <v/>
      </c>
      <c r="C5094">
        <f>Sources!D5094</f>
        <v/>
      </c>
      <c r="D5094">
        <f>Sources!E5094</f>
        <v/>
      </c>
      <c r="E5094">
        <f>Sources!F5094</f>
        <v/>
      </c>
      <c r="F5094">
        <f>Sources!H5094</f>
        <v/>
      </c>
      <c r="G5094">
        <f>IF(ABS(F5094-ROUND(F5094,0))&lt;0.001,1,0)</f>
        <v/>
      </c>
      <c r="H5094">
        <f>IF(G5094=1,F5094,CEILING(F5094,1))</f>
        <v/>
      </c>
      <c r="I5094">
        <f>IF(G5094=1,0,(H5094-F5094)*E5094)</f>
        <v/>
      </c>
      <c r="J5094">
        <f>E5094*F5094</f>
        <v/>
      </c>
    </row>
    <row r="5095">
      <c r="A5095">
        <f>Sources!A5095</f>
        <v/>
      </c>
      <c r="B5095">
        <f>Sources!B5095</f>
        <v/>
      </c>
      <c r="C5095">
        <f>Sources!D5095</f>
        <v/>
      </c>
      <c r="D5095">
        <f>Sources!E5095</f>
        <v/>
      </c>
      <c r="E5095">
        <f>Sources!F5095</f>
        <v/>
      </c>
      <c r="F5095">
        <f>Sources!H5095</f>
        <v/>
      </c>
      <c r="G5095">
        <f>IF(ABS(F5095-ROUND(F5095,0))&lt;0.001,1,0)</f>
        <v/>
      </c>
      <c r="H5095">
        <f>IF(G5095=1,F5095,CEILING(F5095,1))</f>
        <v/>
      </c>
      <c r="I5095">
        <f>IF(G5095=1,0,(H5095-F5095)*E5095)</f>
        <v/>
      </c>
      <c r="J5095">
        <f>E5095*F5095</f>
        <v/>
      </c>
    </row>
    <row r="5096">
      <c r="A5096">
        <f>Sources!A5096</f>
        <v/>
      </c>
      <c r="B5096">
        <f>Sources!B5096</f>
        <v/>
      </c>
      <c r="C5096">
        <f>Sources!D5096</f>
        <v/>
      </c>
      <c r="D5096">
        <f>Sources!E5096</f>
        <v/>
      </c>
      <c r="E5096">
        <f>Sources!F5096</f>
        <v/>
      </c>
      <c r="F5096">
        <f>Sources!H5096</f>
        <v/>
      </c>
      <c r="G5096">
        <f>IF(ABS(F5096-ROUND(F5096,0))&lt;0.001,1,0)</f>
        <v/>
      </c>
      <c r="H5096">
        <f>IF(G5096=1,F5096,CEILING(F5096,1))</f>
        <v/>
      </c>
      <c r="I5096">
        <f>IF(G5096=1,0,(H5096-F5096)*E5096)</f>
        <v/>
      </c>
      <c r="J5096">
        <f>E5096*F5096</f>
        <v/>
      </c>
    </row>
    <row r="5097">
      <c r="A5097">
        <f>Sources!A5097</f>
        <v/>
      </c>
      <c r="B5097">
        <f>Sources!B5097</f>
        <v/>
      </c>
      <c r="C5097">
        <f>Sources!D5097</f>
        <v/>
      </c>
      <c r="D5097">
        <f>Sources!E5097</f>
        <v/>
      </c>
      <c r="E5097">
        <f>Sources!F5097</f>
        <v/>
      </c>
      <c r="F5097">
        <f>Sources!H5097</f>
        <v/>
      </c>
      <c r="G5097">
        <f>IF(ABS(F5097-ROUND(F5097,0))&lt;0.001,1,0)</f>
        <v/>
      </c>
      <c r="H5097">
        <f>IF(G5097=1,F5097,CEILING(F5097,1))</f>
        <v/>
      </c>
      <c r="I5097">
        <f>IF(G5097=1,0,(H5097-F5097)*E5097)</f>
        <v/>
      </c>
      <c r="J5097">
        <f>E5097*F5097</f>
        <v/>
      </c>
    </row>
    <row r="5098">
      <c r="A5098">
        <f>Sources!A5098</f>
        <v/>
      </c>
      <c r="B5098">
        <f>Sources!B5098</f>
        <v/>
      </c>
      <c r="C5098">
        <f>Sources!D5098</f>
        <v/>
      </c>
      <c r="D5098">
        <f>Sources!E5098</f>
        <v/>
      </c>
      <c r="E5098">
        <f>Sources!F5098</f>
        <v/>
      </c>
      <c r="F5098">
        <f>Sources!H5098</f>
        <v/>
      </c>
      <c r="G5098">
        <f>IF(ABS(F5098-ROUND(F5098,0))&lt;0.001,1,0)</f>
        <v/>
      </c>
      <c r="H5098">
        <f>IF(G5098=1,F5098,CEILING(F5098,1))</f>
        <v/>
      </c>
      <c r="I5098">
        <f>IF(G5098=1,0,(H5098-F5098)*E5098)</f>
        <v/>
      </c>
      <c r="J5098">
        <f>E5098*F5098</f>
        <v/>
      </c>
    </row>
    <row r="5099">
      <c r="A5099">
        <f>Sources!A5099</f>
        <v/>
      </c>
      <c r="B5099">
        <f>Sources!B5099</f>
        <v/>
      </c>
      <c r="C5099">
        <f>Sources!D5099</f>
        <v/>
      </c>
      <c r="D5099">
        <f>Sources!E5099</f>
        <v/>
      </c>
      <c r="E5099">
        <f>Sources!F5099</f>
        <v/>
      </c>
      <c r="F5099">
        <f>Sources!H5099</f>
        <v/>
      </c>
      <c r="G5099">
        <f>IF(ABS(F5099-ROUND(F5099,0))&lt;0.001,1,0)</f>
        <v/>
      </c>
      <c r="H5099">
        <f>IF(G5099=1,F5099,CEILING(F5099,1))</f>
        <v/>
      </c>
      <c r="I5099">
        <f>IF(G5099=1,0,(H5099-F5099)*E5099)</f>
        <v/>
      </c>
      <c r="J5099">
        <f>E5099*F5099</f>
        <v/>
      </c>
    </row>
    <row r="5100">
      <c r="A5100">
        <f>Sources!A5100</f>
        <v/>
      </c>
      <c r="B5100">
        <f>Sources!B5100</f>
        <v/>
      </c>
      <c r="C5100">
        <f>Sources!D5100</f>
        <v/>
      </c>
      <c r="D5100">
        <f>Sources!E5100</f>
        <v/>
      </c>
      <c r="E5100">
        <f>Sources!F5100</f>
        <v/>
      </c>
      <c r="F5100">
        <f>Sources!H5100</f>
        <v/>
      </c>
      <c r="G5100">
        <f>IF(ABS(F5100-ROUND(F5100,0))&lt;0.001,1,0)</f>
        <v/>
      </c>
      <c r="H5100">
        <f>IF(G5100=1,F5100,CEILING(F5100,1))</f>
        <v/>
      </c>
      <c r="I5100">
        <f>IF(G5100=1,0,(H5100-F5100)*E5100)</f>
        <v/>
      </c>
      <c r="J5100">
        <f>E5100*F5100</f>
        <v/>
      </c>
    </row>
    <row r="5101">
      <c r="A5101">
        <f>Sources!A5101</f>
        <v/>
      </c>
      <c r="B5101">
        <f>Sources!B5101</f>
        <v/>
      </c>
      <c r="C5101">
        <f>Sources!D5101</f>
        <v/>
      </c>
      <c r="D5101">
        <f>Sources!E5101</f>
        <v/>
      </c>
      <c r="E5101">
        <f>Sources!F5101</f>
        <v/>
      </c>
      <c r="F5101">
        <f>Sources!H5101</f>
        <v/>
      </c>
      <c r="G5101">
        <f>IF(ABS(F5101-ROUND(F5101,0))&lt;0.001,1,0)</f>
        <v/>
      </c>
      <c r="H5101">
        <f>IF(G5101=1,F5101,CEILING(F5101,1))</f>
        <v/>
      </c>
      <c r="I5101">
        <f>IF(G5101=1,0,(H5101-F5101)*E5101)</f>
        <v/>
      </c>
      <c r="J5101">
        <f>E5101*F5101</f>
        <v/>
      </c>
    </row>
    <row r="5102">
      <c r="A5102">
        <f>Sources!A5102</f>
        <v/>
      </c>
      <c r="B5102">
        <f>Sources!B5102</f>
        <v/>
      </c>
      <c r="C5102">
        <f>Sources!D5102</f>
        <v/>
      </c>
      <c r="D5102">
        <f>Sources!E5102</f>
        <v/>
      </c>
      <c r="E5102">
        <f>Sources!F5102</f>
        <v/>
      </c>
      <c r="F5102">
        <f>Sources!H5102</f>
        <v/>
      </c>
      <c r="G5102">
        <f>IF(ABS(F5102-ROUND(F5102,0))&lt;0.001,1,0)</f>
        <v/>
      </c>
      <c r="H5102">
        <f>IF(G5102=1,F5102,CEILING(F5102,1))</f>
        <v/>
      </c>
      <c r="I5102">
        <f>IF(G5102=1,0,(H5102-F5102)*E5102)</f>
        <v/>
      </c>
      <c r="J5102">
        <f>E5102*F5102</f>
        <v/>
      </c>
    </row>
    <row r="5103">
      <c r="A5103">
        <f>Sources!A5103</f>
        <v/>
      </c>
      <c r="B5103">
        <f>Sources!B5103</f>
        <v/>
      </c>
      <c r="C5103">
        <f>Sources!D5103</f>
        <v/>
      </c>
      <c r="D5103">
        <f>Sources!E5103</f>
        <v/>
      </c>
      <c r="E5103">
        <f>Sources!F5103</f>
        <v/>
      </c>
      <c r="F5103">
        <f>Sources!H5103</f>
        <v/>
      </c>
      <c r="G5103">
        <f>IF(ABS(F5103-ROUND(F5103,0))&lt;0.001,1,0)</f>
        <v/>
      </c>
      <c r="H5103">
        <f>IF(G5103=1,F5103,CEILING(F5103,1))</f>
        <v/>
      </c>
      <c r="I5103">
        <f>IF(G5103=1,0,(H5103-F5103)*E5103)</f>
        <v/>
      </c>
      <c r="J5103">
        <f>E5103*F5103</f>
        <v/>
      </c>
    </row>
    <row r="5104">
      <c r="A5104">
        <f>Sources!A5104</f>
        <v/>
      </c>
      <c r="B5104">
        <f>Sources!B5104</f>
        <v/>
      </c>
      <c r="C5104">
        <f>Sources!D5104</f>
        <v/>
      </c>
      <c r="D5104">
        <f>Sources!E5104</f>
        <v/>
      </c>
      <c r="E5104">
        <f>Sources!F5104</f>
        <v/>
      </c>
      <c r="F5104">
        <f>Sources!H5104</f>
        <v/>
      </c>
      <c r="G5104">
        <f>IF(ABS(F5104-ROUND(F5104,0))&lt;0.001,1,0)</f>
        <v/>
      </c>
      <c r="H5104">
        <f>IF(G5104=1,F5104,CEILING(F5104,1))</f>
        <v/>
      </c>
      <c r="I5104">
        <f>IF(G5104=1,0,(H5104-F5104)*E5104)</f>
        <v/>
      </c>
      <c r="J5104">
        <f>E5104*F5104</f>
        <v/>
      </c>
    </row>
    <row r="5105">
      <c r="A5105">
        <f>Sources!A5105</f>
        <v/>
      </c>
      <c r="B5105">
        <f>Sources!B5105</f>
        <v/>
      </c>
      <c r="C5105">
        <f>Sources!D5105</f>
        <v/>
      </c>
      <c r="D5105">
        <f>Sources!E5105</f>
        <v/>
      </c>
      <c r="E5105">
        <f>Sources!F5105</f>
        <v/>
      </c>
      <c r="F5105">
        <f>Sources!H5105</f>
        <v/>
      </c>
      <c r="G5105">
        <f>IF(ABS(F5105-ROUND(F5105,0))&lt;0.001,1,0)</f>
        <v/>
      </c>
      <c r="H5105">
        <f>IF(G5105=1,F5105,CEILING(F5105,1))</f>
        <v/>
      </c>
      <c r="I5105">
        <f>IF(G5105=1,0,(H5105-F5105)*E5105)</f>
        <v/>
      </c>
      <c r="J5105">
        <f>E5105*F5105</f>
        <v/>
      </c>
    </row>
    <row r="5106">
      <c r="A5106">
        <f>Sources!A5106</f>
        <v/>
      </c>
      <c r="B5106">
        <f>Sources!B5106</f>
        <v/>
      </c>
      <c r="C5106">
        <f>Sources!D5106</f>
        <v/>
      </c>
      <c r="D5106">
        <f>Sources!E5106</f>
        <v/>
      </c>
      <c r="E5106">
        <f>Sources!F5106</f>
        <v/>
      </c>
      <c r="F5106">
        <f>Sources!H5106</f>
        <v/>
      </c>
      <c r="G5106">
        <f>IF(ABS(F5106-ROUND(F5106,0))&lt;0.001,1,0)</f>
        <v/>
      </c>
      <c r="H5106">
        <f>IF(G5106=1,F5106,CEILING(F5106,1))</f>
        <v/>
      </c>
      <c r="I5106">
        <f>IF(G5106=1,0,(H5106-F5106)*E5106)</f>
        <v/>
      </c>
      <c r="J5106">
        <f>E5106*F5106</f>
        <v/>
      </c>
    </row>
    <row r="5107">
      <c r="A5107">
        <f>Sources!A5107</f>
        <v/>
      </c>
      <c r="B5107">
        <f>Sources!B5107</f>
        <v/>
      </c>
      <c r="C5107">
        <f>Sources!D5107</f>
        <v/>
      </c>
      <c r="D5107">
        <f>Sources!E5107</f>
        <v/>
      </c>
      <c r="E5107">
        <f>Sources!F5107</f>
        <v/>
      </c>
      <c r="F5107">
        <f>Sources!H5107</f>
        <v/>
      </c>
      <c r="G5107">
        <f>IF(ABS(F5107-ROUND(F5107,0))&lt;0.001,1,0)</f>
        <v/>
      </c>
      <c r="H5107">
        <f>IF(G5107=1,F5107,CEILING(F5107,1))</f>
        <v/>
      </c>
      <c r="I5107">
        <f>IF(G5107=1,0,(H5107-F5107)*E5107)</f>
        <v/>
      </c>
      <c r="J5107">
        <f>E5107*F5107</f>
        <v/>
      </c>
    </row>
    <row r="5108">
      <c r="A5108">
        <f>Sources!A5108</f>
        <v/>
      </c>
      <c r="B5108">
        <f>Sources!B5108</f>
        <v/>
      </c>
      <c r="C5108">
        <f>Sources!D5108</f>
        <v/>
      </c>
      <c r="D5108">
        <f>Sources!E5108</f>
        <v/>
      </c>
      <c r="E5108">
        <f>Sources!F5108</f>
        <v/>
      </c>
      <c r="F5108">
        <f>Sources!H5108</f>
        <v/>
      </c>
      <c r="G5108">
        <f>IF(ABS(F5108-ROUND(F5108,0))&lt;0.001,1,0)</f>
        <v/>
      </c>
      <c r="H5108">
        <f>IF(G5108=1,F5108,CEILING(F5108,1))</f>
        <v/>
      </c>
      <c r="I5108">
        <f>IF(G5108=1,0,(H5108-F5108)*E5108)</f>
        <v/>
      </c>
      <c r="J5108">
        <f>E5108*F5108</f>
        <v/>
      </c>
    </row>
    <row r="5109">
      <c r="A5109">
        <f>Sources!A5109</f>
        <v/>
      </c>
      <c r="B5109">
        <f>Sources!B5109</f>
        <v/>
      </c>
      <c r="C5109">
        <f>Sources!D5109</f>
        <v/>
      </c>
      <c r="D5109">
        <f>Sources!E5109</f>
        <v/>
      </c>
      <c r="E5109">
        <f>Sources!F5109</f>
        <v/>
      </c>
      <c r="F5109">
        <f>Sources!H5109</f>
        <v/>
      </c>
      <c r="G5109">
        <f>IF(ABS(F5109-ROUND(F5109,0))&lt;0.001,1,0)</f>
        <v/>
      </c>
      <c r="H5109">
        <f>IF(G5109=1,F5109,CEILING(F5109,1))</f>
        <v/>
      </c>
      <c r="I5109">
        <f>IF(G5109=1,0,(H5109-F5109)*E5109)</f>
        <v/>
      </c>
      <c r="J5109">
        <f>E5109*F5109</f>
        <v/>
      </c>
    </row>
    <row r="5110">
      <c r="A5110">
        <f>Sources!A5110</f>
        <v/>
      </c>
      <c r="B5110">
        <f>Sources!B5110</f>
        <v/>
      </c>
      <c r="C5110">
        <f>Sources!D5110</f>
        <v/>
      </c>
      <c r="D5110">
        <f>Sources!E5110</f>
        <v/>
      </c>
      <c r="E5110">
        <f>Sources!F5110</f>
        <v/>
      </c>
      <c r="F5110">
        <f>Sources!H5110</f>
        <v/>
      </c>
      <c r="G5110">
        <f>IF(ABS(F5110-ROUND(F5110,0))&lt;0.001,1,0)</f>
        <v/>
      </c>
      <c r="H5110">
        <f>IF(G5110=1,F5110,CEILING(F5110,1))</f>
        <v/>
      </c>
      <c r="I5110">
        <f>IF(G5110=1,0,(H5110-F5110)*E5110)</f>
        <v/>
      </c>
      <c r="J5110">
        <f>E5110*F5110</f>
        <v/>
      </c>
    </row>
    <row r="5111">
      <c r="A5111">
        <f>Sources!A5111</f>
        <v/>
      </c>
      <c r="B5111">
        <f>Sources!B5111</f>
        <v/>
      </c>
      <c r="C5111">
        <f>Sources!D5111</f>
        <v/>
      </c>
      <c r="D5111">
        <f>Sources!E5111</f>
        <v/>
      </c>
      <c r="E5111">
        <f>Sources!F5111</f>
        <v/>
      </c>
      <c r="F5111">
        <f>Sources!H5111</f>
        <v/>
      </c>
      <c r="G5111">
        <f>IF(ABS(F5111-ROUND(F5111,0))&lt;0.001,1,0)</f>
        <v/>
      </c>
      <c r="H5111">
        <f>IF(G5111=1,F5111,CEILING(F5111,1))</f>
        <v/>
      </c>
      <c r="I5111">
        <f>IF(G5111=1,0,(H5111-F5111)*E5111)</f>
        <v/>
      </c>
      <c r="J5111">
        <f>E5111*F5111</f>
        <v/>
      </c>
    </row>
    <row r="5112">
      <c r="A5112">
        <f>Sources!A5112</f>
        <v/>
      </c>
      <c r="B5112">
        <f>Sources!B5112</f>
        <v/>
      </c>
      <c r="C5112">
        <f>Sources!D5112</f>
        <v/>
      </c>
      <c r="D5112">
        <f>Sources!E5112</f>
        <v/>
      </c>
      <c r="E5112">
        <f>Sources!F5112</f>
        <v/>
      </c>
      <c r="F5112">
        <f>Sources!H5112</f>
        <v/>
      </c>
      <c r="G5112">
        <f>IF(ABS(F5112-ROUND(F5112,0))&lt;0.001,1,0)</f>
        <v/>
      </c>
      <c r="H5112">
        <f>IF(G5112=1,F5112,CEILING(F5112,1))</f>
        <v/>
      </c>
      <c r="I5112">
        <f>IF(G5112=1,0,(H5112-F5112)*E5112)</f>
        <v/>
      </c>
      <c r="J5112">
        <f>E5112*F5112</f>
        <v/>
      </c>
    </row>
    <row r="5113">
      <c r="A5113">
        <f>Sources!A5113</f>
        <v/>
      </c>
      <c r="B5113">
        <f>Sources!B5113</f>
        <v/>
      </c>
      <c r="C5113">
        <f>Sources!D5113</f>
        <v/>
      </c>
      <c r="D5113">
        <f>Sources!E5113</f>
        <v/>
      </c>
      <c r="E5113">
        <f>Sources!F5113</f>
        <v/>
      </c>
      <c r="F5113">
        <f>Sources!H5113</f>
        <v/>
      </c>
      <c r="G5113">
        <f>IF(ABS(F5113-ROUND(F5113,0))&lt;0.001,1,0)</f>
        <v/>
      </c>
      <c r="H5113">
        <f>IF(G5113=1,F5113,CEILING(F5113,1))</f>
        <v/>
      </c>
      <c r="I5113">
        <f>IF(G5113=1,0,(H5113-F5113)*E5113)</f>
        <v/>
      </c>
      <c r="J5113">
        <f>E5113*F5113</f>
        <v/>
      </c>
    </row>
    <row r="5114">
      <c r="A5114">
        <f>Sources!A5114</f>
        <v/>
      </c>
      <c r="B5114">
        <f>Sources!B5114</f>
        <v/>
      </c>
      <c r="C5114">
        <f>Sources!D5114</f>
        <v/>
      </c>
      <c r="D5114">
        <f>Sources!E5114</f>
        <v/>
      </c>
      <c r="E5114">
        <f>Sources!F5114</f>
        <v/>
      </c>
      <c r="F5114">
        <f>Sources!H5114</f>
        <v/>
      </c>
      <c r="G5114">
        <f>IF(ABS(F5114-ROUND(F5114,0))&lt;0.001,1,0)</f>
        <v/>
      </c>
      <c r="H5114">
        <f>IF(G5114=1,F5114,CEILING(F5114,1))</f>
        <v/>
      </c>
      <c r="I5114">
        <f>IF(G5114=1,0,(H5114-F5114)*E5114)</f>
        <v/>
      </c>
      <c r="J5114">
        <f>E5114*F5114</f>
        <v/>
      </c>
    </row>
    <row r="5115">
      <c r="A5115">
        <f>Sources!A5115</f>
        <v/>
      </c>
      <c r="B5115">
        <f>Sources!B5115</f>
        <v/>
      </c>
      <c r="C5115">
        <f>Sources!D5115</f>
        <v/>
      </c>
      <c r="D5115">
        <f>Sources!E5115</f>
        <v/>
      </c>
      <c r="E5115">
        <f>Sources!F5115</f>
        <v/>
      </c>
      <c r="F5115">
        <f>Sources!H5115</f>
        <v/>
      </c>
      <c r="G5115">
        <f>IF(ABS(F5115-ROUND(F5115,0))&lt;0.001,1,0)</f>
        <v/>
      </c>
      <c r="H5115">
        <f>IF(G5115=1,F5115,CEILING(F5115,1))</f>
        <v/>
      </c>
      <c r="I5115">
        <f>IF(G5115=1,0,(H5115-F5115)*E5115)</f>
        <v/>
      </c>
      <c r="J5115">
        <f>E5115*F5115</f>
        <v/>
      </c>
    </row>
    <row r="5116">
      <c r="A5116">
        <f>Sources!A5116</f>
        <v/>
      </c>
      <c r="B5116">
        <f>Sources!B5116</f>
        <v/>
      </c>
      <c r="C5116">
        <f>Sources!D5116</f>
        <v/>
      </c>
      <c r="D5116">
        <f>Sources!E5116</f>
        <v/>
      </c>
      <c r="E5116">
        <f>Sources!F5116</f>
        <v/>
      </c>
      <c r="F5116">
        <f>Sources!H5116</f>
        <v/>
      </c>
      <c r="G5116">
        <f>IF(ABS(F5116-ROUND(F5116,0))&lt;0.001,1,0)</f>
        <v/>
      </c>
      <c r="H5116">
        <f>IF(G5116=1,F5116,CEILING(F5116,1))</f>
        <v/>
      </c>
      <c r="I5116">
        <f>IF(G5116=1,0,(H5116-F5116)*E5116)</f>
        <v/>
      </c>
      <c r="J5116">
        <f>E5116*F5116</f>
        <v/>
      </c>
    </row>
    <row r="5117">
      <c r="A5117">
        <f>Sources!A5117</f>
        <v/>
      </c>
      <c r="B5117">
        <f>Sources!B5117</f>
        <v/>
      </c>
      <c r="C5117">
        <f>Sources!D5117</f>
        <v/>
      </c>
      <c r="D5117">
        <f>Sources!E5117</f>
        <v/>
      </c>
      <c r="E5117">
        <f>Sources!F5117</f>
        <v/>
      </c>
      <c r="F5117">
        <f>Sources!H5117</f>
        <v/>
      </c>
      <c r="G5117">
        <f>IF(ABS(F5117-ROUND(F5117,0))&lt;0.001,1,0)</f>
        <v/>
      </c>
      <c r="H5117">
        <f>IF(G5117=1,F5117,CEILING(F5117,1))</f>
        <v/>
      </c>
      <c r="I5117">
        <f>IF(G5117=1,0,(H5117-F5117)*E5117)</f>
        <v/>
      </c>
      <c r="J5117">
        <f>E5117*F5117</f>
        <v/>
      </c>
    </row>
    <row r="5118">
      <c r="A5118">
        <f>Sources!A5118</f>
        <v/>
      </c>
      <c r="B5118">
        <f>Sources!B5118</f>
        <v/>
      </c>
      <c r="C5118">
        <f>Sources!D5118</f>
        <v/>
      </c>
      <c r="D5118">
        <f>Sources!E5118</f>
        <v/>
      </c>
      <c r="E5118">
        <f>Sources!F5118</f>
        <v/>
      </c>
      <c r="F5118">
        <f>Sources!H5118</f>
        <v/>
      </c>
      <c r="G5118">
        <f>IF(ABS(F5118-ROUND(F5118,0))&lt;0.001,1,0)</f>
        <v/>
      </c>
      <c r="H5118">
        <f>IF(G5118=1,F5118,CEILING(F5118,1))</f>
        <v/>
      </c>
      <c r="I5118">
        <f>IF(G5118=1,0,(H5118-F5118)*E5118)</f>
        <v/>
      </c>
      <c r="J5118">
        <f>E5118*F5118</f>
        <v/>
      </c>
    </row>
    <row r="5119">
      <c r="A5119">
        <f>Sources!A5119</f>
        <v/>
      </c>
      <c r="B5119">
        <f>Sources!B5119</f>
        <v/>
      </c>
      <c r="C5119">
        <f>Sources!D5119</f>
        <v/>
      </c>
      <c r="D5119">
        <f>Sources!E5119</f>
        <v/>
      </c>
      <c r="E5119">
        <f>Sources!F5119</f>
        <v/>
      </c>
      <c r="F5119">
        <f>Sources!H5119</f>
        <v/>
      </c>
      <c r="G5119">
        <f>IF(ABS(F5119-ROUND(F5119,0))&lt;0.001,1,0)</f>
        <v/>
      </c>
      <c r="H5119">
        <f>IF(G5119=1,F5119,CEILING(F5119,1))</f>
        <v/>
      </c>
      <c r="I5119">
        <f>IF(G5119=1,0,(H5119-F5119)*E5119)</f>
        <v/>
      </c>
      <c r="J5119">
        <f>E5119*F5119</f>
        <v/>
      </c>
    </row>
    <row r="5120">
      <c r="A5120">
        <f>Sources!A5120</f>
        <v/>
      </c>
      <c r="B5120">
        <f>Sources!B5120</f>
        <v/>
      </c>
      <c r="C5120">
        <f>Sources!D5120</f>
        <v/>
      </c>
      <c r="D5120">
        <f>Sources!E5120</f>
        <v/>
      </c>
      <c r="E5120">
        <f>Sources!F5120</f>
        <v/>
      </c>
      <c r="F5120">
        <f>Sources!H5120</f>
        <v/>
      </c>
      <c r="G5120">
        <f>IF(ABS(F5120-ROUND(F5120,0))&lt;0.001,1,0)</f>
        <v/>
      </c>
      <c r="H5120">
        <f>IF(G5120=1,F5120,CEILING(F5120,1))</f>
        <v/>
      </c>
      <c r="I5120">
        <f>IF(G5120=1,0,(H5120-F5120)*E5120)</f>
        <v/>
      </c>
      <c r="J5120">
        <f>E5120*F5120</f>
        <v/>
      </c>
    </row>
    <row r="5121">
      <c r="A5121">
        <f>Sources!A5121</f>
        <v/>
      </c>
      <c r="B5121">
        <f>Sources!B5121</f>
        <v/>
      </c>
      <c r="C5121">
        <f>Sources!D5121</f>
        <v/>
      </c>
      <c r="D5121">
        <f>Sources!E5121</f>
        <v/>
      </c>
      <c r="E5121">
        <f>Sources!F5121</f>
        <v/>
      </c>
      <c r="F5121">
        <f>Sources!H5121</f>
        <v/>
      </c>
      <c r="G5121">
        <f>IF(ABS(F5121-ROUND(F5121,0))&lt;0.001,1,0)</f>
        <v/>
      </c>
      <c r="H5121">
        <f>IF(G5121=1,F5121,CEILING(F5121,1))</f>
        <v/>
      </c>
      <c r="I5121">
        <f>IF(G5121=1,0,(H5121-F5121)*E5121)</f>
        <v/>
      </c>
      <c r="J5121">
        <f>E5121*F5121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8" customWidth="1" min="1" max="1"/>
    <col width="12" customWidth="1" min="2" max="2"/>
    <col width="13" customWidth="1" min="3" max="3"/>
    <col width="10" customWidth="1" min="4" max="4"/>
    <col width="30" customWidth="1" min="5" max="5"/>
  </cols>
  <sheetData>
    <row r="1">
      <c r="A1" s="2" t="inlineStr">
        <is>
          <t>RECOMPOSITION DES QUANTITÉS FRACTIONNAIRES — synthèse recalculée par formule</t>
        </is>
      </c>
    </row>
    <row r="3">
      <c r="A3" s="3" t="inlineStr">
        <is>
          <t>Articles fractionnés (lignes)</t>
        </is>
      </c>
      <c r="B3">
        <f>COUNTA(Calcul!A2:A5121)</f>
        <v/>
      </c>
    </row>
    <row r="4">
      <c r="A4" s="3" t="inlineStr">
        <is>
          <t>dont somme des fractions = entier</t>
        </is>
      </c>
      <c r="B4">
        <f>SUM(Calcul!$G$2:$G$5121)</f>
        <v/>
      </c>
    </row>
    <row r="5">
      <c r="A5" s="3" t="inlineStr">
        <is>
          <t>dont somme NON entière (résidu)</t>
        </is>
      </c>
      <c r="B5">
        <f>COUNTA(Calcul!A2:A5121)-SUM(Calcul!$G$2:$G$5121)</f>
        <v/>
      </c>
    </row>
    <row r="6">
      <c r="A6" s="4" t="inlineStr">
        <is>
          <t>Taux de recomposition</t>
        </is>
      </c>
      <c r="B6" s="5">
        <f>B4/B3</f>
        <v/>
      </c>
    </row>
    <row r="7">
      <c r="A7" s="3" t="inlineStr">
        <is>
          <t>Montant reconstitué total (déjà au CA) (€)</t>
        </is>
      </c>
      <c r="B7" s="6">
        <f>SUM(Calcul!$J$2:$J$5121)</f>
        <v/>
      </c>
    </row>
    <row r="8">
      <c r="A8" s="4" t="inlineStr">
        <is>
          <t>RÉSIDU — complément manquant maximal théorique (€)</t>
        </is>
      </c>
      <c r="B8" s="7">
        <f>SUM(Calcul!$I$2:$I$5121)</f>
        <v/>
      </c>
    </row>
    <row r="10">
      <c r="A10" s="4" t="inlineStr">
        <is>
          <t>Détail par exercice</t>
        </is>
      </c>
    </row>
    <row r="11">
      <c r="A11" s="1" t="inlineStr">
        <is>
          <t>Exercice</t>
        </is>
      </c>
      <c r="B11" s="1" t="inlineStr">
        <is>
          <t>Articles</t>
        </is>
      </c>
      <c r="C11" s="1" t="inlineStr">
        <is>
          <t>dont entiers</t>
        </is>
      </c>
      <c r="D11" s="1" t="inlineStr">
        <is>
          <t>Taux</t>
        </is>
      </c>
      <c r="E11" s="1" t="inlineStr">
        <is>
          <t>Résidu € (complément manquant)</t>
        </is>
      </c>
    </row>
    <row r="12">
      <c r="A12" t="inlineStr">
        <is>
          <t>2022-2023</t>
        </is>
      </c>
      <c r="B12">
        <f>COUNTIF(Calcul!$A$2:$A$5121,A12)</f>
        <v/>
      </c>
      <c r="C12">
        <f>SUMIFS(Calcul!$G$2:$G$5121,Calcul!$A$2:$A$5121,A12)</f>
        <v/>
      </c>
      <c r="D12" s="8">
        <f>C12/B12</f>
        <v/>
      </c>
      <c r="E12" s="6">
        <f>SUMIFS(Calcul!$I$2:$I$5121,Calcul!$A$2:$A$5121,A12)</f>
        <v/>
      </c>
    </row>
    <row r="13">
      <c r="A13" t="inlineStr">
        <is>
          <t>2023-2024</t>
        </is>
      </c>
      <c r="B13">
        <f>COUNTIF(Calcul!$A$2:$A$5121,A13)</f>
        <v/>
      </c>
      <c r="C13">
        <f>SUMIFS(Calcul!$G$2:$G$5121,Calcul!$A$2:$A$5121,A13)</f>
        <v/>
      </c>
      <c r="D13" s="8">
        <f>C13/B13</f>
        <v/>
      </c>
      <c r="E13" s="6">
        <f>SUMIFS(Calcul!$I$2:$I$5121,Calcul!$A$2:$A$5121,A13)</f>
        <v/>
      </c>
    </row>
    <row r="14">
      <c r="A14" t="inlineStr">
        <is>
          <t>2024-2025</t>
        </is>
      </c>
      <c r="B14">
        <f>COUNTIF(Calcul!$A$2:$A$5121,A14)</f>
        <v/>
      </c>
      <c r="C14">
        <f>SUMIFS(Calcul!$G$2:$G$5121,Calcul!$A$2:$A$5121,A14)</f>
        <v/>
      </c>
      <c r="D14" s="8">
        <f>C14/B14</f>
        <v/>
      </c>
      <c r="E14" s="6">
        <f>SUMIFS(Calcul!$I$2:$I$5121,Calcul!$A$2:$A$5121,A14)</f>
        <v/>
      </c>
    </row>
    <row r="15">
      <c r="A15" s="4" t="inlineStr">
        <is>
          <t>Total 3 exercices</t>
        </is>
      </c>
      <c r="B15" s="4">
        <f>SUM(B12:B14)</f>
        <v/>
      </c>
      <c r="C15" s="4">
        <f>SUM(C12:C14)</f>
        <v/>
      </c>
      <c r="D15" s="5">
        <f>C15/B15</f>
        <v/>
      </c>
      <c r="E15" s="7">
        <f>SUM(E12:E14)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9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8" customWidth="1" min="3" max="3"/>
    <col width="40" customWidth="1" min="4" max="4"/>
    <col width="8" customWidth="1" min="5" max="5"/>
    <col width="16" customWidth="1" min="6" max="6"/>
    <col width="15" customWidth="1" min="7" max="7"/>
    <col width="13" customWidth="1" min="8" max="8"/>
    <col width="16" customWidth="1" min="9" max="9"/>
    <col width="22" customWidth="1" min="10" max="10"/>
  </cols>
  <sheetData>
    <row r="1">
      <c r="A1" s="1" t="inlineStr">
        <is>
          <t>Exercice</t>
        </is>
      </c>
      <c r="B1" s="1" t="inlineStr">
        <is>
          <t>Date</t>
        </is>
      </c>
      <c r="C1" s="1" t="inlineStr">
        <is>
          <t>Heure</t>
        </is>
      </c>
      <c r="D1" s="1" t="inlineStr">
        <is>
          <t>Notes jumelles</t>
        </is>
      </c>
      <c r="E1" s="1" t="inlineStr">
        <is>
          <t>Nb notes</t>
        </is>
      </c>
      <c r="F1" s="1" t="inlineStr">
        <is>
          <t>Total de la table (€)</t>
        </is>
      </c>
      <c r="G1" s="1" t="inlineStr">
        <is>
          <t>Articles fractionnés</t>
        </is>
      </c>
      <c r="H1" s="1" t="inlineStr">
        <is>
          <t>dont somme=entier</t>
        </is>
      </c>
      <c r="I1" s="1" t="inlineStr">
        <is>
          <t>Entièrement reconstituée ? (1/0)</t>
        </is>
      </c>
      <c r="J1" s="1" t="inlineStr">
        <is>
          <t>Règlements retrouvés</t>
        </is>
      </c>
    </row>
    <row r="2">
      <c r="A2" t="inlineStr">
        <is>
          <t>2022-2023</t>
        </is>
      </c>
      <c r="B2" t="inlineStr">
        <is>
          <t>2022-04-14</t>
        </is>
      </c>
      <c r="C2" t="inlineStr">
        <is>
          <t>12:29</t>
        </is>
      </c>
      <c r="D2" t="inlineStr">
        <is>
          <t>n° 11 + n° 12 + n° 13 + n° 14 + n° 15 + n° 16</t>
        </is>
      </c>
      <c r="E2" t="n">
        <v>6</v>
      </c>
      <c r="F2" t="n">
        <v>152.1</v>
      </c>
      <c r="G2" t="n">
        <v>16</v>
      </c>
      <c r="H2" t="n">
        <v>16</v>
      </c>
      <c r="I2">
        <f>IF(G2=H2,1,0)</f>
        <v/>
      </c>
      <c r="J2" t="inlineStr">
        <is>
          <t>CB / CB / CB / CB / CB / CB</t>
        </is>
      </c>
    </row>
    <row r="3">
      <c r="A3" t="inlineStr">
        <is>
          <t>2022-2023</t>
        </is>
      </c>
      <c r="B3" t="inlineStr">
        <is>
          <t>2022-04-16</t>
        </is>
      </c>
      <c r="C3" t="inlineStr">
        <is>
          <t>20:22</t>
        </is>
      </c>
      <c r="D3" t="inlineStr">
        <is>
          <t>n° 23 + n° 24</t>
        </is>
      </c>
      <c r="E3" t="n">
        <v>2</v>
      </c>
      <c r="F3" t="n">
        <v>68.8</v>
      </c>
      <c r="G3" t="n">
        <v>5</v>
      </c>
      <c r="H3" t="n">
        <v>5</v>
      </c>
      <c r="I3">
        <f>IF(G3=H3,1,0)</f>
        <v/>
      </c>
      <c r="J3" t="inlineStr">
        <is>
          <t>CB / CB</t>
        </is>
      </c>
    </row>
    <row r="4">
      <c r="A4" t="inlineStr">
        <is>
          <t>2022-2023</t>
        </is>
      </c>
      <c r="B4" t="inlineStr">
        <is>
          <t>2022-04-17</t>
        </is>
      </c>
      <c r="C4" t="inlineStr">
        <is>
          <t>20:28</t>
        </is>
      </c>
      <c r="D4" t="inlineStr">
        <is>
          <t>n° 37 + n° 38 + n° 39 + n° 40</t>
        </is>
      </c>
      <c r="E4" t="n">
        <v>4</v>
      </c>
      <c r="F4" t="n">
        <v>208.1</v>
      </c>
      <c r="G4" t="n">
        <v>11</v>
      </c>
      <c r="H4" t="n">
        <v>11</v>
      </c>
      <c r="I4">
        <f>IF(G4=H4,1,0)</f>
        <v/>
      </c>
      <c r="J4" t="inlineStr">
        <is>
          <t>CB / CB / CB / CB</t>
        </is>
      </c>
    </row>
    <row r="5">
      <c r="A5" t="inlineStr">
        <is>
          <t>2022-2023</t>
        </is>
      </c>
      <c r="B5" t="inlineStr">
        <is>
          <t>2022-04-20</t>
        </is>
      </c>
      <c r="C5" t="inlineStr">
        <is>
          <t>20:34</t>
        </is>
      </c>
      <c r="D5" t="inlineStr">
        <is>
          <t>n° 35 + n° 36</t>
        </is>
      </c>
      <c r="E5" t="n">
        <v>2</v>
      </c>
      <c r="F5" t="n">
        <v>42</v>
      </c>
      <c r="G5" t="n">
        <v>4</v>
      </c>
      <c r="H5" t="n">
        <v>4</v>
      </c>
      <c r="I5">
        <f>IF(G5=H5,1,0)</f>
        <v/>
      </c>
      <c r="J5" t="inlineStr">
        <is>
          <t>CB / TR/ESP</t>
        </is>
      </c>
    </row>
    <row r="6">
      <c r="A6" t="inlineStr">
        <is>
          <t>2022-2023</t>
        </is>
      </c>
      <c r="B6" t="inlineStr">
        <is>
          <t>2022-04-21</t>
        </is>
      </c>
      <c r="C6" t="inlineStr">
        <is>
          <t>11:22</t>
        </is>
      </c>
      <c r="D6" t="inlineStr">
        <is>
          <t>n° 3 + n° 4</t>
        </is>
      </c>
      <c r="E6" t="n">
        <v>2</v>
      </c>
      <c r="F6" t="n">
        <v>44.4</v>
      </c>
      <c r="G6" t="n">
        <v>4</v>
      </c>
      <c r="H6" t="n">
        <v>4</v>
      </c>
      <c r="I6">
        <f>IF(G6=H6,1,0)</f>
        <v/>
      </c>
      <c r="J6" t="inlineStr">
        <is>
          <t>CB / CB</t>
        </is>
      </c>
    </row>
    <row r="7">
      <c r="A7" t="inlineStr">
        <is>
          <t>2022-2023</t>
        </is>
      </c>
      <c r="B7" t="inlineStr">
        <is>
          <t>2022-04-22</t>
        </is>
      </c>
      <c r="C7" t="inlineStr">
        <is>
          <t>13:37</t>
        </is>
      </c>
      <c r="D7" t="inlineStr">
        <is>
          <t>n° 15 + n° 16</t>
        </is>
      </c>
      <c r="E7" t="n">
        <v>2</v>
      </c>
      <c r="F7" t="n">
        <v>116.5</v>
      </c>
      <c r="G7" t="n">
        <v>5</v>
      </c>
      <c r="H7" t="n">
        <v>5</v>
      </c>
      <c r="I7">
        <f>IF(G7=H7,1,0)</f>
        <v/>
      </c>
      <c r="J7" t="inlineStr">
        <is>
          <t>CB / CB</t>
        </is>
      </c>
    </row>
    <row r="8">
      <c r="A8" t="inlineStr">
        <is>
          <t>2022-2023</t>
        </is>
      </c>
      <c r="B8" t="inlineStr">
        <is>
          <t>2022-04-23</t>
        </is>
      </c>
      <c r="C8" t="inlineStr">
        <is>
          <t>20:12</t>
        </is>
      </c>
      <c r="D8" t="inlineStr">
        <is>
          <t>n° 18 + n° 19</t>
        </is>
      </c>
      <c r="E8" t="n">
        <v>2</v>
      </c>
      <c r="F8" t="n">
        <v>118.5</v>
      </c>
      <c r="G8" t="n">
        <v>6</v>
      </c>
      <c r="H8" t="n">
        <v>6</v>
      </c>
      <c r="I8">
        <f>IF(G8=H8,1,0)</f>
        <v/>
      </c>
      <c r="J8" t="inlineStr">
        <is>
          <t>CB / CB</t>
        </is>
      </c>
    </row>
    <row r="9">
      <c r="A9" t="inlineStr">
        <is>
          <t>2022-2023</t>
        </is>
      </c>
      <c r="B9" t="inlineStr">
        <is>
          <t>2022-04-29</t>
        </is>
      </c>
      <c r="C9" t="inlineStr">
        <is>
          <t>12:03</t>
        </is>
      </c>
      <c r="D9" t="inlineStr">
        <is>
          <t>n° 4 + n° 5 + n° 6</t>
        </is>
      </c>
      <c r="E9" t="n">
        <v>3</v>
      </c>
      <c r="F9" t="n">
        <v>63.5</v>
      </c>
      <c r="G9" t="n">
        <v>5</v>
      </c>
      <c r="H9" t="n">
        <v>5</v>
      </c>
      <c r="I9">
        <f>IF(G9=H9,1,0)</f>
        <v/>
      </c>
      <c r="J9" t="inlineStr">
        <is>
          <t>CB / CB / CB</t>
        </is>
      </c>
    </row>
    <row r="10">
      <c r="A10" t="inlineStr">
        <is>
          <t>2022-2023</t>
        </is>
      </c>
      <c r="B10" t="inlineStr">
        <is>
          <t>2022-04-29</t>
        </is>
      </c>
      <c r="C10" t="inlineStr">
        <is>
          <t>12:23</t>
        </is>
      </c>
      <c r="D10" t="inlineStr">
        <is>
          <t>n° 9 + n° 10</t>
        </is>
      </c>
      <c r="E10" t="n">
        <v>2</v>
      </c>
      <c r="F10" t="n">
        <v>61.1</v>
      </c>
      <c r="G10" t="n">
        <v>6</v>
      </c>
      <c r="H10" t="n">
        <v>6</v>
      </c>
      <c r="I10">
        <f>IF(G10=H10,1,0)</f>
        <v/>
      </c>
      <c r="J10" t="inlineStr">
        <is>
          <t>CB / CHQ</t>
        </is>
      </c>
    </row>
    <row r="11">
      <c r="A11" t="inlineStr">
        <is>
          <t>2022-2023</t>
        </is>
      </c>
      <c r="B11" t="inlineStr">
        <is>
          <t>2022-04-29</t>
        </is>
      </c>
      <c r="C11" t="inlineStr">
        <is>
          <t>20:32</t>
        </is>
      </c>
      <c r="D11" t="inlineStr">
        <is>
          <t>n° 30 + n° 31</t>
        </is>
      </c>
      <c r="E11" t="n">
        <v>2</v>
      </c>
      <c r="F11" t="n">
        <v>82.59999999999999</v>
      </c>
      <c r="G11" t="n">
        <v>7</v>
      </c>
      <c r="H11" t="n">
        <v>7</v>
      </c>
      <c r="I11">
        <f>IF(G11=H11,1,0)</f>
        <v/>
      </c>
      <c r="J11" t="inlineStr">
        <is>
          <t>CB / CB</t>
        </is>
      </c>
    </row>
    <row r="12">
      <c r="A12" t="inlineStr">
        <is>
          <t>2022-2023</t>
        </is>
      </c>
      <c r="B12" t="inlineStr">
        <is>
          <t>2022-05-05</t>
        </is>
      </c>
      <c r="C12" t="inlineStr">
        <is>
          <t>12:16</t>
        </is>
      </c>
      <c r="D12" t="inlineStr">
        <is>
          <t>n° 2 + n° 3</t>
        </is>
      </c>
      <c r="E12" t="n">
        <v>2</v>
      </c>
      <c r="F12" t="n">
        <v>166.2</v>
      </c>
      <c r="G12" t="n">
        <v>5</v>
      </c>
      <c r="H12" t="n">
        <v>5</v>
      </c>
      <c r="I12">
        <f>IF(G12=H12,1,0)</f>
        <v/>
      </c>
      <c r="J12" t="inlineStr">
        <is>
          <t>CB / CB</t>
        </is>
      </c>
    </row>
    <row r="13">
      <c r="A13" t="inlineStr">
        <is>
          <t>2022-2023</t>
        </is>
      </c>
      <c r="B13" t="inlineStr">
        <is>
          <t>2022-05-06</t>
        </is>
      </c>
      <c r="C13" t="inlineStr">
        <is>
          <t>12:15</t>
        </is>
      </c>
      <c r="D13" t="inlineStr">
        <is>
          <t>n° 10 + n° 11</t>
        </is>
      </c>
      <c r="E13" t="n">
        <v>2</v>
      </c>
      <c r="F13" t="n">
        <v>70.59999999999999</v>
      </c>
      <c r="G13" t="n">
        <v>3</v>
      </c>
      <c r="H13" t="n">
        <v>3</v>
      </c>
      <c r="I13">
        <f>IF(G13=H13,1,0)</f>
        <v/>
      </c>
      <c r="J13" t="inlineStr">
        <is>
          <t>CB / CB</t>
        </is>
      </c>
    </row>
    <row r="14">
      <c r="A14" t="inlineStr">
        <is>
          <t>2022-2023</t>
        </is>
      </c>
      <c r="B14" t="inlineStr">
        <is>
          <t>2022-05-06</t>
        </is>
      </c>
      <c r="C14" t="inlineStr">
        <is>
          <t>19:11</t>
        </is>
      </c>
      <c r="D14" t="inlineStr">
        <is>
          <t>n° 25 + n° 26</t>
        </is>
      </c>
      <c r="E14" t="n">
        <v>2</v>
      </c>
      <c r="F14" t="n">
        <v>49.6</v>
      </c>
      <c r="G14" t="n">
        <v>6</v>
      </c>
      <c r="H14" t="n">
        <v>6</v>
      </c>
      <c r="I14">
        <f>IF(G14=H14,1,0)</f>
        <v/>
      </c>
      <c r="J14" t="inlineStr">
        <is>
          <t>CB / CB</t>
        </is>
      </c>
    </row>
    <row r="15">
      <c r="A15" t="inlineStr">
        <is>
          <t>2022-2023</t>
        </is>
      </c>
      <c r="B15" t="inlineStr">
        <is>
          <t>2022-05-06</t>
        </is>
      </c>
      <c r="C15" t="inlineStr">
        <is>
          <t>20:19</t>
        </is>
      </c>
      <c r="D15" t="inlineStr">
        <is>
          <t>n° 33 + n° 34</t>
        </is>
      </c>
      <c r="E15" t="n">
        <v>2</v>
      </c>
      <c r="F15" t="n">
        <v>54.8</v>
      </c>
      <c r="G15" t="n">
        <v>2</v>
      </c>
      <c r="H15" t="n">
        <v>2</v>
      </c>
      <c r="I15">
        <f>IF(G15=H15,1,0)</f>
        <v/>
      </c>
      <c r="J15" t="inlineStr">
        <is>
          <t>CB / CB</t>
        </is>
      </c>
    </row>
    <row r="16">
      <c r="A16" t="inlineStr">
        <is>
          <t>2022-2023</t>
        </is>
      </c>
      <c r="B16" t="inlineStr">
        <is>
          <t>2022-05-07</t>
        </is>
      </c>
      <c r="C16" t="inlineStr">
        <is>
          <t>18:39</t>
        </is>
      </c>
      <c r="D16" t="inlineStr">
        <is>
          <t>n° 12 + n° 13</t>
        </is>
      </c>
      <c r="E16" t="n">
        <v>2</v>
      </c>
      <c r="F16" t="n">
        <v>69.5</v>
      </c>
      <c r="G16" t="n">
        <v>6</v>
      </c>
      <c r="H16" t="n">
        <v>6</v>
      </c>
      <c r="I16">
        <f>IF(G16=H16,1,0)</f>
        <v/>
      </c>
      <c r="J16" t="inlineStr">
        <is>
          <t>CB / CB</t>
        </is>
      </c>
    </row>
    <row r="17">
      <c r="A17" t="inlineStr">
        <is>
          <t>2022-2023</t>
        </is>
      </c>
      <c r="B17" t="inlineStr">
        <is>
          <t>2022-05-07</t>
        </is>
      </c>
      <c r="C17" t="inlineStr">
        <is>
          <t>21:21</t>
        </is>
      </c>
      <c r="D17" t="inlineStr">
        <is>
          <t>n° 20 + n° 21</t>
        </is>
      </c>
      <c r="E17" t="n">
        <v>2</v>
      </c>
      <c r="F17" t="n">
        <v>96</v>
      </c>
      <c r="G17" t="n">
        <v>1</v>
      </c>
      <c r="H17" t="n">
        <v>1</v>
      </c>
      <c r="I17">
        <f>IF(G17=H17,1,0)</f>
        <v/>
      </c>
      <c r="J17" t="inlineStr">
        <is>
          <t>CB / TR/CB</t>
        </is>
      </c>
    </row>
    <row r="18">
      <c r="A18" t="inlineStr">
        <is>
          <t>2022-2023</t>
        </is>
      </c>
      <c r="B18" t="inlineStr">
        <is>
          <t>2022-05-07</t>
        </is>
      </c>
      <c r="C18" t="inlineStr">
        <is>
          <t>21:40</t>
        </is>
      </c>
      <c r="D18" t="inlineStr">
        <is>
          <t>n° 25 + n° 26</t>
        </is>
      </c>
      <c r="E18" t="n">
        <v>2</v>
      </c>
      <c r="F18" t="n">
        <v>236.8</v>
      </c>
      <c r="G18" t="n">
        <v>13</v>
      </c>
      <c r="H18" t="n">
        <v>13</v>
      </c>
      <c r="I18">
        <f>IF(G18=H18,1,0)</f>
        <v/>
      </c>
      <c r="J18" t="inlineStr">
        <is>
          <t>CB / CB</t>
        </is>
      </c>
    </row>
    <row r="19">
      <c r="A19" t="inlineStr">
        <is>
          <t>2022-2023</t>
        </is>
      </c>
      <c r="B19" t="inlineStr">
        <is>
          <t>2022-05-08</t>
        </is>
      </c>
      <c r="C19" t="inlineStr">
        <is>
          <t>19:37</t>
        </is>
      </c>
      <c r="D19" t="inlineStr">
        <is>
          <t>n° 24 + n° 25</t>
        </is>
      </c>
      <c r="E19" t="n">
        <v>2</v>
      </c>
      <c r="F19" t="n">
        <v>171.1</v>
      </c>
      <c r="G19" t="n">
        <v>9</v>
      </c>
      <c r="H19" t="n">
        <v>9</v>
      </c>
      <c r="I19">
        <f>IF(G19=H19,1,0)</f>
        <v/>
      </c>
      <c r="J19" t="inlineStr">
        <is>
          <t>CB / CB</t>
        </is>
      </c>
    </row>
    <row r="20">
      <c r="A20" t="inlineStr">
        <is>
          <t>2022-2023</t>
        </is>
      </c>
      <c r="B20" t="inlineStr">
        <is>
          <t>2022-05-11</t>
        </is>
      </c>
      <c r="C20" t="inlineStr">
        <is>
          <t>19:10</t>
        </is>
      </c>
      <c r="D20" t="inlineStr">
        <is>
          <t>n° 17 + n° 18 + n° 20 + n° 21</t>
        </is>
      </c>
      <c r="E20" t="n">
        <v>4</v>
      </c>
      <c r="F20" t="n">
        <v>237.8</v>
      </c>
      <c r="G20" t="n">
        <v>14</v>
      </c>
      <c r="H20" t="n">
        <v>14</v>
      </c>
      <c r="I20">
        <f>IF(G20=H20,1,0)</f>
        <v/>
      </c>
      <c r="J20" t="inlineStr">
        <is>
          <t>CB / CB / CB / CB</t>
        </is>
      </c>
    </row>
    <row r="21">
      <c r="A21" t="inlineStr">
        <is>
          <t>2022-2023</t>
        </is>
      </c>
      <c r="B21" t="inlineStr">
        <is>
          <t>2022-05-11</t>
        </is>
      </c>
      <c r="C21" t="inlineStr">
        <is>
          <t>20:27</t>
        </is>
      </c>
      <c r="D21" t="inlineStr">
        <is>
          <t>n° 31 + n° 32</t>
        </is>
      </c>
      <c r="E21" t="n">
        <v>2</v>
      </c>
      <c r="F21" t="n">
        <v>75.8</v>
      </c>
      <c r="G21" t="n">
        <v>4</v>
      </c>
      <c r="H21" t="n">
        <v>4</v>
      </c>
      <c r="I21">
        <f>IF(G21=H21,1,0)</f>
        <v/>
      </c>
      <c r="J21" t="inlineStr">
        <is>
          <t>CB / CB</t>
        </is>
      </c>
    </row>
    <row r="22">
      <c r="A22" t="inlineStr">
        <is>
          <t>2022-2023</t>
        </is>
      </c>
      <c r="B22" t="inlineStr">
        <is>
          <t>2022-05-13</t>
        </is>
      </c>
      <c r="C22" t="inlineStr">
        <is>
          <t>20:26</t>
        </is>
      </c>
      <c r="D22" t="inlineStr">
        <is>
          <t>n° 21 + n° 22</t>
        </is>
      </c>
      <c r="E22" t="n">
        <v>2</v>
      </c>
      <c r="F22" t="n">
        <v>64.8</v>
      </c>
      <c r="G22" t="n">
        <v>6</v>
      </c>
      <c r="H22" t="n">
        <v>6</v>
      </c>
      <c r="I22">
        <f>IF(G22=H22,1,0)</f>
        <v/>
      </c>
      <c r="J22" t="inlineStr">
        <is>
          <t>CB / CB</t>
        </is>
      </c>
    </row>
    <row r="23">
      <c r="A23" t="inlineStr">
        <is>
          <t>2022-2023</t>
        </is>
      </c>
      <c r="B23" t="inlineStr">
        <is>
          <t>2022-05-14</t>
        </is>
      </c>
      <c r="C23" t="inlineStr">
        <is>
          <t>19:35</t>
        </is>
      </c>
      <c r="D23" t="inlineStr">
        <is>
          <t>n° 22 + n° 23</t>
        </is>
      </c>
      <c r="E23" t="n">
        <v>2</v>
      </c>
      <c r="F23" t="n">
        <v>113.5</v>
      </c>
      <c r="G23" t="n">
        <v>12</v>
      </c>
      <c r="H23" t="n">
        <v>12</v>
      </c>
      <c r="I23">
        <f>IF(G23=H23,1,0)</f>
        <v/>
      </c>
      <c r="J23" t="inlineStr">
        <is>
          <t>CB / CB</t>
        </is>
      </c>
    </row>
    <row r="24">
      <c r="A24" t="inlineStr">
        <is>
          <t>2022-2023</t>
        </is>
      </c>
      <c r="B24" t="inlineStr">
        <is>
          <t>2022-05-14</t>
        </is>
      </c>
      <c r="C24" t="inlineStr">
        <is>
          <t>20:22</t>
        </is>
      </c>
      <c r="D24" t="inlineStr">
        <is>
          <t>n° 25 + n° 26</t>
        </is>
      </c>
      <c r="E24" t="n">
        <v>2</v>
      </c>
      <c r="F24" t="n">
        <v>42.8</v>
      </c>
      <c r="G24" t="n">
        <v>3</v>
      </c>
      <c r="H24" t="n">
        <v>3</v>
      </c>
      <c r="I24">
        <f>IF(G24=H24,1,0)</f>
        <v/>
      </c>
      <c r="J24" t="inlineStr">
        <is>
          <t>CB / CB</t>
        </is>
      </c>
    </row>
    <row r="25">
      <c r="A25" t="inlineStr">
        <is>
          <t>2022-2023</t>
        </is>
      </c>
      <c r="B25" t="inlineStr">
        <is>
          <t>2022-05-15</t>
        </is>
      </c>
      <c r="C25" t="inlineStr">
        <is>
          <t>12:13</t>
        </is>
      </c>
      <c r="D25" t="inlineStr">
        <is>
          <t>n° 10 + n° 11</t>
        </is>
      </c>
      <c r="E25" t="n">
        <v>2</v>
      </c>
      <c r="F25" t="n">
        <v>48.6</v>
      </c>
      <c r="G25" t="n">
        <v>6</v>
      </c>
      <c r="H25" t="n">
        <v>6</v>
      </c>
      <c r="I25">
        <f>IF(G25=H25,1,0)</f>
        <v/>
      </c>
      <c r="J25" t="inlineStr">
        <is>
          <t>CB / CB</t>
        </is>
      </c>
    </row>
    <row r="26">
      <c r="A26" t="inlineStr">
        <is>
          <t>2022-2023</t>
        </is>
      </c>
      <c r="B26" t="inlineStr">
        <is>
          <t>2022-05-15</t>
        </is>
      </c>
      <c r="C26" t="inlineStr">
        <is>
          <t>13:22</t>
        </is>
      </c>
      <c r="D26" t="inlineStr">
        <is>
          <t>n° 18 + n° 19</t>
        </is>
      </c>
      <c r="E26" t="n">
        <v>2</v>
      </c>
      <c r="F26" t="n">
        <v>48.9</v>
      </c>
      <c r="G26" t="n">
        <v>9</v>
      </c>
      <c r="H26" t="n">
        <v>9</v>
      </c>
      <c r="I26">
        <f>IF(G26=H26,1,0)</f>
        <v/>
      </c>
      <c r="J26" t="inlineStr">
        <is>
          <t>CB / CB</t>
        </is>
      </c>
    </row>
    <row r="27">
      <c r="A27" t="inlineStr">
        <is>
          <t>2022-2023</t>
        </is>
      </c>
      <c r="B27" t="inlineStr">
        <is>
          <t>2022-05-18</t>
        </is>
      </c>
      <c r="C27" t="inlineStr">
        <is>
          <t>20:18</t>
        </is>
      </c>
      <c r="D27" t="inlineStr">
        <is>
          <t>n° 31 + n° 32</t>
        </is>
      </c>
      <c r="E27" t="n">
        <v>2</v>
      </c>
      <c r="F27" t="n">
        <v>61.6</v>
      </c>
      <c r="G27" t="n">
        <v>4</v>
      </c>
      <c r="H27" t="n">
        <v>4</v>
      </c>
      <c r="I27">
        <f>IF(G27=H27,1,0)</f>
        <v/>
      </c>
      <c r="J27" t="inlineStr">
        <is>
          <t>CB / CB</t>
        </is>
      </c>
    </row>
    <row r="28">
      <c r="A28" t="inlineStr">
        <is>
          <t>2022-2023</t>
        </is>
      </c>
      <c r="B28" t="inlineStr">
        <is>
          <t>2022-05-19</t>
        </is>
      </c>
      <c r="C28" t="inlineStr">
        <is>
          <t>12:39</t>
        </is>
      </c>
      <c r="D28" t="inlineStr">
        <is>
          <t>n° 7 + n° 8</t>
        </is>
      </c>
      <c r="E28" t="n">
        <v>2</v>
      </c>
      <c r="F28" t="n">
        <v>48.2</v>
      </c>
      <c r="G28" t="n">
        <v>7</v>
      </c>
      <c r="H28" t="n">
        <v>7</v>
      </c>
      <c r="I28">
        <f>IF(G28=H28,1,0)</f>
        <v/>
      </c>
      <c r="J28" t="inlineStr">
        <is>
          <t>CB / CB</t>
        </is>
      </c>
    </row>
    <row r="29">
      <c r="A29" t="inlineStr">
        <is>
          <t>2022-2023</t>
        </is>
      </c>
      <c r="B29" t="inlineStr">
        <is>
          <t>2022-05-21</t>
        </is>
      </c>
      <c r="C29" t="inlineStr">
        <is>
          <t>12:32</t>
        </is>
      </c>
      <c r="D29" t="inlineStr">
        <is>
          <t>n° 11 + n° 12</t>
        </is>
      </c>
      <c r="E29" t="n">
        <v>2</v>
      </c>
      <c r="F29" t="n">
        <v>86.7</v>
      </c>
      <c r="G29" t="n">
        <v>3</v>
      </c>
      <c r="H29" t="n">
        <v>3</v>
      </c>
      <c r="I29">
        <f>IF(G29=H29,1,0)</f>
        <v/>
      </c>
      <c r="J29" t="inlineStr">
        <is>
          <t>CB / CB</t>
        </is>
      </c>
    </row>
    <row r="30">
      <c r="A30" t="inlineStr">
        <is>
          <t>2022-2023</t>
        </is>
      </c>
      <c r="B30" t="inlineStr">
        <is>
          <t>2022-05-22</t>
        </is>
      </c>
      <c r="C30" t="inlineStr">
        <is>
          <t>12:58</t>
        </is>
      </c>
      <c r="D30" t="inlineStr">
        <is>
          <t>n° 10 + n° 11</t>
        </is>
      </c>
      <c r="E30" t="n">
        <v>2</v>
      </c>
      <c r="F30" t="n">
        <v>74.40000000000001</v>
      </c>
      <c r="G30" t="n">
        <v>4</v>
      </c>
      <c r="H30" t="n">
        <v>4</v>
      </c>
      <c r="I30">
        <f>IF(G30=H30,1,0)</f>
        <v/>
      </c>
      <c r="J30" t="inlineStr">
        <is>
          <t>CB / ESP</t>
        </is>
      </c>
    </row>
    <row r="31">
      <c r="A31" t="inlineStr">
        <is>
          <t>2022-2023</t>
        </is>
      </c>
      <c r="B31" t="inlineStr">
        <is>
          <t>2022-05-22</t>
        </is>
      </c>
      <c r="C31" t="inlineStr">
        <is>
          <t>13:29</t>
        </is>
      </c>
      <c r="D31" t="inlineStr">
        <is>
          <t>n° 15 + n° 16</t>
        </is>
      </c>
      <c r="E31" t="n">
        <v>2</v>
      </c>
      <c r="F31" t="n">
        <v>185.5</v>
      </c>
      <c r="G31" t="n">
        <v>7</v>
      </c>
      <c r="H31" t="n">
        <v>7</v>
      </c>
      <c r="I31">
        <f>IF(G31=H31,1,0)</f>
        <v/>
      </c>
      <c r="J31" t="inlineStr">
        <is>
          <t>CB / CB</t>
        </is>
      </c>
    </row>
    <row r="32">
      <c r="A32" t="inlineStr">
        <is>
          <t>2022-2023</t>
        </is>
      </c>
      <c r="B32" t="inlineStr">
        <is>
          <t>2022-05-25</t>
        </is>
      </c>
      <c r="C32" t="inlineStr">
        <is>
          <t>19:53</t>
        </is>
      </c>
      <c r="D32" t="inlineStr">
        <is>
          <t>n° 24 + n° 25</t>
        </is>
      </c>
      <c r="E32" t="n">
        <v>2</v>
      </c>
      <c r="F32" t="n">
        <v>149.7</v>
      </c>
      <c r="G32" t="n">
        <v>7</v>
      </c>
      <c r="H32" t="n">
        <v>7</v>
      </c>
      <c r="I32">
        <f>IF(G32=H32,1,0)</f>
        <v/>
      </c>
      <c r="J32" t="inlineStr">
        <is>
          <t>CB / CB</t>
        </is>
      </c>
    </row>
    <row r="33">
      <c r="A33" t="inlineStr">
        <is>
          <t>2022-2023</t>
        </is>
      </c>
      <c r="B33" t="inlineStr">
        <is>
          <t>2022-05-26</t>
        </is>
      </c>
      <c r="C33" t="inlineStr">
        <is>
          <t>11:59</t>
        </is>
      </c>
      <c r="D33" t="inlineStr">
        <is>
          <t>n° 3 + n° 4</t>
        </is>
      </c>
      <c r="E33" t="n">
        <v>2</v>
      </c>
      <c r="F33" t="n">
        <v>54.4</v>
      </c>
      <c r="G33" t="n">
        <v>6</v>
      </c>
      <c r="H33" t="n">
        <v>6</v>
      </c>
      <c r="I33">
        <f>IF(G33=H33,1,0)</f>
        <v/>
      </c>
      <c r="J33" t="inlineStr">
        <is>
          <t>CB / CB</t>
        </is>
      </c>
    </row>
    <row r="34">
      <c r="A34" t="inlineStr">
        <is>
          <t>2022-2023</t>
        </is>
      </c>
      <c r="B34" t="inlineStr">
        <is>
          <t>2022-05-26</t>
        </is>
      </c>
      <c r="C34" t="inlineStr">
        <is>
          <t>13:02</t>
        </is>
      </c>
      <c r="D34" t="inlineStr">
        <is>
          <t>n° 13 + n° 14</t>
        </is>
      </c>
      <c r="E34" t="n">
        <v>2</v>
      </c>
      <c r="F34" t="n">
        <v>214.6</v>
      </c>
      <c r="G34" t="n">
        <v>5</v>
      </c>
      <c r="H34" t="n">
        <v>5</v>
      </c>
      <c r="I34">
        <f>IF(G34=H34,1,0)</f>
        <v/>
      </c>
      <c r="J34" t="inlineStr">
        <is>
          <t>CB / CB</t>
        </is>
      </c>
    </row>
    <row r="35">
      <c r="A35" t="inlineStr">
        <is>
          <t>2022-2023</t>
        </is>
      </c>
      <c r="B35" t="inlineStr">
        <is>
          <t>2022-05-26</t>
        </is>
      </c>
      <c r="C35" t="inlineStr">
        <is>
          <t>20:20</t>
        </is>
      </c>
      <c r="D35" t="inlineStr">
        <is>
          <t>n° 28 + n° 29</t>
        </is>
      </c>
      <c r="E35" t="n">
        <v>2</v>
      </c>
      <c r="F35" t="n">
        <v>43.5</v>
      </c>
      <c r="G35" t="n">
        <v>1</v>
      </c>
      <c r="H35" t="n">
        <v>1</v>
      </c>
      <c r="I35">
        <f>IF(G35=H35,1,0)</f>
        <v/>
      </c>
      <c r="J35" t="inlineStr">
        <is>
          <t>CB / CB</t>
        </is>
      </c>
    </row>
    <row r="36">
      <c r="A36" t="inlineStr">
        <is>
          <t>2022-2023</t>
        </is>
      </c>
      <c r="B36" t="inlineStr">
        <is>
          <t>2022-05-27</t>
        </is>
      </c>
      <c r="C36" t="inlineStr">
        <is>
          <t>18:40</t>
        </is>
      </c>
      <c r="D36" t="inlineStr">
        <is>
          <t>n° 19 + n° 20</t>
        </is>
      </c>
      <c r="E36" t="n">
        <v>2</v>
      </c>
      <c r="F36" t="n">
        <v>102.2</v>
      </c>
      <c r="G36" t="n">
        <v>7</v>
      </c>
      <c r="H36" t="n">
        <v>7</v>
      </c>
      <c r="I36">
        <f>IF(G36=H36,1,0)</f>
        <v/>
      </c>
      <c r="J36" t="inlineStr">
        <is>
          <t>CB / CB</t>
        </is>
      </c>
    </row>
    <row r="37">
      <c r="A37" t="inlineStr">
        <is>
          <t>2022-2023</t>
        </is>
      </c>
      <c r="B37" t="inlineStr">
        <is>
          <t>2022-05-27</t>
        </is>
      </c>
      <c r="C37" t="inlineStr">
        <is>
          <t>20:08</t>
        </is>
      </c>
      <c r="D37" t="inlineStr">
        <is>
          <t>n° 30 + n° 31</t>
        </is>
      </c>
      <c r="E37" t="n">
        <v>2</v>
      </c>
      <c r="F37" t="n">
        <v>107.8</v>
      </c>
      <c r="G37" t="n">
        <v>8</v>
      </c>
      <c r="H37" t="n">
        <v>8</v>
      </c>
      <c r="I37">
        <f>IF(G37=H37,1,0)</f>
        <v/>
      </c>
      <c r="J37" t="inlineStr">
        <is>
          <t>CB / CB</t>
        </is>
      </c>
    </row>
    <row r="38">
      <c r="A38" t="inlineStr">
        <is>
          <t>2022-2023</t>
        </is>
      </c>
      <c r="B38" t="inlineStr">
        <is>
          <t>2022-05-27</t>
        </is>
      </c>
      <c r="C38" t="inlineStr">
        <is>
          <t>20:52</t>
        </is>
      </c>
      <c r="D38" t="inlineStr">
        <is>
          <t>n° 34 + n° 35</t>
        </is>
      </c>
      <c r="E38" t="n">
        <v>2</v>
      </c>
      <c r="F38" t="n">
        <v>100.9</v>
      </c>
      <c r="G38" t="n">
        <v>3</v>
      </c>
      <c r="H38" t="n">
        <v>3</v>
      </c>
      <c r="I38">
        <f>IF(G38=H38,1,0)</f>
        <v/>
      </c>
      <c r="J38" t="inlineStr">
        <is>
          <t>CB / CB</t>
        </is>
      </c>
    </row>
    <row r="39">
      <c r="A39" t="inlineStr">
        <is>
          <t>2022-2023</t>
        </is>
      </c>
      <c r="B39" t="inlineStr">
        <is>
          <t>2022-05-28</t>
        </is>
      </c>
      <c r="C39" t="inlineStr">
        <is>
          <t>12:31</t>
        </is>
      </c>
      <c r="D39" t="inlineStr">
        <is>
          <t>n° 10 + n° 11</t>
        </is>
      </c>
      <c r="E39" t="n">
        <v>2</v>
      </c>
      <c r="F39" t="n">
        <v>111.7</v>
      </c>
      <c r="G39" t="n">
        <v>3</v>
      </c>
      <c r="H39" t="n">
        <v>3</v>
      </c>
      <c r="I39">
        <f>IF(G39=H39,1,0)</f>
        <v/>
      </c>
      <c r="J39" t="inlineStr">
        <is>
          <t>CB / CB/ESP</t>
        </is>
      </c>
    </row>
    <row r="40">
      <c r="A40" t="inlineStr">
        <is>
          <t>2022-2023</t>
        </is>
      </c>
      <c r="B40" t="inlineStr">
        <is>
          <t>2022-05-28</t>
        </is>
      </c>
      <c r="C40" t="inlineStr">
        <is>
          <t>20:17</t>
        </is>
      </c>
      <c r="D40" t="inlineStr">
        <is>
          <t>n° 33 + n° 34</t>
        </is>
      </c>
      <c r="E40" t="n">
        <v>2</v>
      </c>
      <c r="F40" t="n">
        <v>84.59999999999999</v>
      </c>
      <c r="G40" t="n">
        <v>5</v>
      </c>
      <c r="H40" t="n">
        <v>5</v>
      </c>
      <c r="I40">
        <f>IF(G40=H40,1,0)</f>
        <v/>
      </c>
      <c r="J40" t="inlineStr">
        <is>
          <t>CB / CB</t>
        </is>
      </c>
    </row>
    <row r="41">
      <c r="A41" t="inlineStr">
        <is>
          <t>2022-2023</t>
        </is>
      </c>
      <c r="B41" t="inlineStr">
        <is>
          <t>2022-05-29</t>
        </is>
      </c>
      <c r="C41" t="inlineStr">
        <is>
          <t>19:31</t>
        </is>
      </c>
      <c r="D41" t="inlineStr">
        <is>
          <t>n° 25 + n° 26</t>
        </is>
      </c>
      <c r="E41" t="n">
        <v>2</v>
      </c>
      <c r="F41" t="n">
        <v>130.3</v>
      </c>
      <c r="G41" t="n">
        <v>10</v>
      </c>
      <c r="H41" t="n">
        <v>10</v>
      </c>
      <c r="I41">
        <f>IF(G41=H41,1,0)</f>
        <v/>
      </c>
      <c r="J41" t="inlineStr">
        <is>
          <t>CB / CB</t>
        </is>
      </c>
    </row>
    <row r="42">
      <c r="A42" t="inlineStr">
        <is>
          <t>2022-2023</t>
        </is>
      </c>
      <c r="B42" t="inlineStr">
        <is>
          <t>2022-05-29</t>
        </is>
      </c>
      <c r="C42" t="inlineStr">
        <is>
          <t>20:23</t>
        </is>
      </c>
      <c r="D42" t="inlineStr">
        <is>
          <t>n° 31 + n° 32</t>
        </is>
      </c>
      <c r="E42" t="n">
        <v>2</v>
      </c>
      <c r="F42" t="n">
        <v>64.5</v>
      </c>
      <c r="G42" t="n">
        <v>8</v>
      </c>
      <c r="H42" t="n">
        <v>8</v>
      </c>
      <c r="I42">
        <f>IF(G42=H42,1,0)</f>
        <v/>
      </c>
      <c r="J42" t="inlineStr">
        <is>
          <t>CB / CB</t>
        </is>
      </c>
    </row>
    <row r="43">
      <c r="A43" t="inlineStr">
        <is>
          <t>2022-2023</t>
        </is>
      </c>
      <c r="B43" t="inlineStr">
        <is>
          <t>2022-06-01</t>
        </is>
      </c>
      <c r="C43" t="inlineStr">
        <is>
          <t>13:00</t>
        </is>
      </c>
      <c r="D43" t="inlineStr">
        <is>
          <t>n° 8 + n° 9</t>
        </is>
      </c>
      <c r="E43" t="n">
        <v>2</v>
      </c>
      <c r="F43" t="n">
        <v>77.7</v>
      </c>
      <c r="G43" t="n">
        <v>5</v>
      </c>
      <c r="H43" t="n">
        <v>5</v>
      </c>
      <c r="I43">
        <f>IF(G43=H43,1,0)</f>
        <v/>
      </c>
      <c r="J43" t="inlineStr">
        <is>
          <t>CB / CB</t>
        </is>
      </c>
    </row>
    <row r="44">
      <c r="A44" t="inlineStr">
        <is>
          <t>2022-2023</t>
        </is>
      </c>
      <c r="B44" t="inlineStr">
        <is>
          <t>2022-06-03</t>
        </is>
      </c>
      <c r="C44" t="inlineStr">
        <is>
          <t>19:44</t>
        </is>
      </c>
      <c r="D44" t="inlineStr">
        <is>
          <t>n° 19 + n° 20 + n° 21 + n° 22</t>
        </is>
      </c>
      <c r="E44" t="n">
        <v>4</v>
      </c>
      <c r="F44" t="n">
        <v>214.1</v>
      </c>
      <c r="G44" t="n">
        <v>11</v>
      </c>
      <c r="H44" t="n">
        <v>11</v>
      </c>
      <c r="I44">
        <f>IF(G44=H44,1,0)</f>
        <v/>
      </c>
      <c r="J44" t="inlineStr">
        <is>
          <t>CB / CB / CB / CB</t>
        </is>
      </c>
    </row>
    <row r="45">
      <c r="A45" t="inlineStr">
        <is>
          <t>2022-2023</t>
        </is>
      </c>
      <c r="B45" t="inlineStr">
        <is>
          <t>2022-06-04</t>
        </is>
      </c>
      <c r="C45" t="inlineStr">
        <is>
          <t>19:08</t>
        </is>
      </c>
      <c r="D45" t="inlineStr">
        <is>
          <t>n° 17 + n° 18</t>
        </is>
      </c>
      <c r="E45" t="n">
        <v>2</v>
      </c>
      <c r="F45" t="n">
        <v>133.9</v>
      </c>
      <c r="G45" t="n">
        <v>6</v>
      </c>
      <c r="H45" t="n">
        <v>6</v>
      </c>
      <c r="I45">
        <f>IF(G45=H45,1,0)</f>
        <v/>
      </c>
      <c r="J45" t="inlineStr">
        <is>
          <t>CB / CB</t>
        </is>
      </c>
    </row>
    <row r="46">
      <c r="A46" t="inlineStr">
        <is>
          <t>2022-2023</t>
        </is>
      </c>
      <c r="B46" t="inlineStr">
        <is>
          <t>2022-06-05</t>
        </is>
      </c>
      <c r="C46" t="inlineStr">
        <is>
          <t>19:29</t>
        </is>
      </c>
      <c r="D46" t="inlineStr">
        <is>
          <t>n° 29 + n° 30</t>
        </is>
      </c>
      <c r="E46" t="n">
        <v>2</v>
      </c>
      <c r="F46" t="n">
        <v>115.6</v>
      </c>
      <c r="G46" t="n">
        <v>10</v>
      </c>
      <c r="H46" t="n">
        <v>10</v>
      </c>
      <c r="I46">
        <f>IF(G46=H46,1,0)</f>
        <v/>
      </c>
      <c r="J46" t="inlineStr">
        <is>
          <t>CB / CB</t>
        </is>
      </c>
    </row>
    <row r="47">
      <c r="A47" t="inlineStr">
        <is>
          <t>2022-2023</t>
        </is>
      </c>
      <c r="B47" t="inlineStr">
        <is>
          <t>2022-06-05</t>
        </is>
      </c>
      <c r="C47" t="inlineStr">
        <is>
          <t>21:06</t>
        </is>
      </c>
      <c r="D47" t="inlineStr">
        <is>
          <t>n° 42 + n° 43</t>
        </is>
      </c>
      <c r="E47" t="n">
        <v>2</v>
      </c>
      <c r="F47" t="n">
        <v>115.8</v>
      </c>
      <c r="G47" t="n">
        <v>6</v>
      </c>
      <c r="H47" t="n">
        <v>6</v>
      </c>
      <c r="I47">
        <f>IF(G47=H47,1,0)</f>
        <v/>
      </c>
      <c r="J47" t="inlineStr">
        <is>
          <t>CB / TR/CB</t>
        </is>
      </c>
    </row>
    <row r="48">
      <c r="A48" t="inlineStr">
        <is>
          <t>2022-2023</t>
        </is>
      </c>
      <c r="B48" t="inlineStr">
        <is>
          <t>2022-06-06</t>
        </is>
      </c>
      <c r="C48" t="inlineStr">
        <is>
          <t>12:22</t>
        </is>
      </c>
      <c r="D48" t="inlineStr">
        <is>
          <t>n° 10 + n° 11</t>
        </is>
      </c>
      <c r="E48" t="n">
        <v>2</v>
      </c>
      <c r="F48" t="n">
        <v>195.1</v>
      </c>
      <c r="G48" t="n">
        <v>7</v>
      </c>
      <c r="H48" t="n">
        <v>7</v>
      </c>
      <c r="I48">
        <f>IF(G48=H48,1,0)</f>
        <v/>
      </c>
      <c r="J48" t="inlineStr">
        <is>
          <t>CB / CB</t>
        </is>
      </c>
    </row>
    <row r="49">
      <c r="A49" t="inlineStr">
        <is>
          <t>2022-2023</t>
        </is>
      </c>
      <c r="B49" t="inlineStr">
        <is>
          <t>2022-06-06</t>
        </is>
      </c>
      <c r="C49" t="inlineStr">
        <is>
          <t>13:02</t>
        </is>
      </c>
      <c r="D49" t="inlineStr">
        <is>
          <t>n° 15 + n° 16</t>
        </is>
      </c>
      <c r="E49" t="n">
        <v>2</v>
      </c>
      <c r="F49" t="n">
        <v>135.8</v>
      </c>
      <c r="G49" t="n">
        <v>9</v>
      </c>
      <c r="H49" t="n">
        <v>9</v>
      </c>
      <c r="I49">
        <f>IF(G49=H49,1,0)</f>
        <v/>
      </c>
      <c r="J49" t="inlineStr">
        <is>
          <t>CB / CB</t>
        </is>
      </c>
    </row>
    <row r="50">
      <c r="A50" t="inlineStr">
        <is>
          <t>2022-2023</t>
        </is>
      </c>
      <c r="B50" t="inlineStr">
        <is>
          <t>2022-06-08</t>
        </is>
      </c>
      <c r="C50" t="inlineStr">
        <is>
          <t>12:31</t>
        </is>
      </c>
      <c r="D50" t="inlineStr">
        <is>
          <t>n° 11 + n° 12</t>
        </is>
      </c>
      <c r="E50" t="n">
        <v>2</v>
      </c>
      <c r="F50" t="n">
        <v>150.2</v>
      </c>
      <c r="G50" t="n">
        <v>7</v>
      </c>
      <c r="H50" t="n">
        <v>7</v>
      </c>
      <c r="I50">
        <f>IF(G50=H50,1,0)</f>
        <v/>
      </c>
      <c r="J50" t="inlineStr">
        <is>
          <t>CB / CB</t>
        </is>
      </c>
    </row>
    <row r="51">
      <c r="A51" t="inlineStr">
        <is>
          <t>2022-2023</t>
        </is>
      </c>
      <c r="B51" t="inlineStr">
        <is>
          <t>2022-06-09</t>
        </is>
      </c>
      <c r="C51" t="inlineStr">
        <is>
          <t>19:38</t>
        </is>
      </c>
      <c r="D51" t="inlineStr">
        <is>
          <t>n° 20 + n° 21</t>
        </is>
      </c>
      <c r="E51" t="n">
        <v>2</v>
      </c>
      <c r="F51" t="n">
        <v>124.5</v>
      </c>
      <c r="G51" t="n">
        <v>16</v>
      </c>
      <c r="H51" t="n">
        <v>16</v>
      </c>
      <c r="I51">
        <f>IF(G51=H51,1,0)</f>
        <v/>
      </c>
      <c r="J51" t="inlineStr">
        <is>
          <t>CB / CB</t>
        </is>
      </c>
    </row>
    <row r="52">
      <c r="A52" t="inlineStr">
        <is>
          <t>2022-2023</t>
        </is>
      </c>
      <c r="B52" t="inlineStr">
        <is>
          <t>2022-06-10</t>
        </is>
      </c>
      <c r="C52" t="inlineStr">
        <is>
          <t>12:09</t>
        </is>
      </c>
      <c r="D52" t="inlineStr">
        <is>
          <t>n° 4 + n° 5</t>
        </is>
      </c>
      <c r="E52" t="n">
        <v>2</v>
      </c>
      <c r="F52" t="n">
        <v>55.1</v>
      </c>
      <c r="G52" t="n">
        <v>6</v>
      </c>
      <c r="H52" t="n">
        <v>6</v>
      </c>
      <c r="I52">
        <f>IF(G52=H52,1,0)</f>
        <v/>
      </c>
      <c r="J52" t="inlineStr">
        <is>
          <t>CB / CB</t>
        </is>
      </c>
    </row>
    <row r="53">
      <c r="A53" t="inlineStr">
        <is>
          <t>2022-2023</t>
        </is>
      </c>
      <c r="B53" t="inlineStr">
        <is>
          <t>2022-06-10</t>
        </is>
      </c>
      <c r="C53" t="inlineStr">
        <is>
          <t>12:30</t>
        </is>
      </c>
      <c r="D53" t="inlineStr">
        <is>
          <t>n° 11 + n° 12 + n° 14 + n° 15</t>
        </is>
      </c>
      <c r="E53" t="n">
        <v>4</v>
      </c>
      <c r="F53" t="n">
        <v>199.5</v>
      </c>
      <c r="G53" t="n">
        <v>6</v>
      </c>
      <c r="H53" t="n">
        <v>6</v>
      </c>
      <c r="I53">
        <f>IF(G53=H53,1,0)</f>
        <v/>
      </c>
      <c r="J53" t="inlineStr">
        <is>
          <t>CB / CB / CB / CB</t>
        </is>
      </c>
    </row>
    <row r="54">
      <c r="A54" t="inlineStr">
        <is>
          <t>2022-2023</t>
        </is>
      </c>
      <c r="B54" t="inlineStr">
        <is>
          <t>2022-06-10</t>
        </is>
      </c>
      <c r="C54" t="inlineStr">
        <is>
          <t>19:50</t>
        </is>
      </c>
      <c r="D54" t="inlineStr">
        <is>
          <t>n° 27 + n° 28</t>
        </is>
      </c>
      <c r="E54" t="n">
        <v>2</v>
      </c>
      <c r="F54" t="n">
        <v>63.6</v>
      </c>
      <c r="G54" t="n">
        <v>7</v>
      </c>
      <c r="H54" t="n">
        <v>7</v>
      </c>
      <c r="I54">
        <f>IF(G54=H54,1,0)</f>
        <v/>
      </c>
      <c r="J54" t="inlineStr">
        <is>
          <t>CB / CB</t>
        </is>
      </c>
    </row>
    <row r="55">
      <c r="A55" t="inlineStr">
        <is>
          <t>2022-2023</t>
        </is>
      </c>
      <c r="B55" t="inlineStr">
        <is>
          <t>2022-06-11</t>
        </is>
      </c>
      <c r="C55" t="inlineStr">
        <is>
          <t>12:35</t>
        </is>
      </c>
      <c r="D55" t="inlineStr">
        <is>
          <t>n° 11 + n° 12</t>
        </is>
      </c>
      <c r="E55" t="n">
        <v>2</v>
      </c>
      <c r="F55" t="n">
        <v>58.7</v>
      </c>
      <c r="G55" t="n">
        <v>2</v>
      </c>
      <c r="H55" t="n">
        <v>2</v>
      </c>
      <c r="I55">
        <f>IF(G55=H55,1,0)</f>
        <v/>
      </c>
      <c r="J55" t="inlineStr">
        <is>
          <t>CB / CB</t>
        </is>
      </c>
    </row>
    <row r="56">
      <c r="A56" t="inlineStr">
        <is>
          <t>2022-2023</t>
        </is>
      </c>
      <c r="B56" t="inlineStr">
        <is>
          <t>2022-06-15</t>
        </is>
      </c>
      <c r="C56" t="inlineStr">
        <is>
          <t>11:52</t>
        </is>
      </c>
      <c r="D56" t="inlineStr">
        <is>
          <t>n° 6 + n° 7</t>
        </is>
      </c>
      <c r="E56" t="n">
        <v>2</v>
      </c>
      <c r="F56" t="n">
        <v>70.5</v>
      </c>
      <c r="G56" t="n">
        <v>6</v>
      </c>
      <c r="H56" t="n">
        <v>6</v>
      </c>
      <c r="I56">
        <f>IF(G56=H56,1,0)</f>
        <v/>
      </c>
      <c r="J56" t="inlineStr">
        <is>
          <t>CB / CB</t>
        </is>
      </c>
    </row>
    <row r="57">
      <c r="A57" t="inlineStr">
        <is>
          <t>2022-2023</t>
        </is>
      </c>
      <c r="B57" t="inlineStr">
        <is>
          <t>2022-06-16</t>
        </is>
      </c>
      <c r="C57" t="inlineStr">
        <is>
          <t>11:54</t>
        </is>
      </c>
      <c r="D57" t="inlineStr">
        <is>
          <t>n° 3 + n° 4 + n° 6 + n° 7</t>
        </is>
      </c>
      <c r="E57" t="n">
        <v>4</v>
      </c>
      <c r="F57" t="n">
        <v>154.4</v>
      </c>
      <c r="G57" t="n">
        <v>6</v>
      </c>
      <c r="H57" t="n">
        <v>6</v>
      </c>
      <c r="I57">
        <f>IF(G57=H57,1,0)</f>
        <v/>
      </c>
      <c r="J57" t="inlineStr">
        <is>
          <t>TR/CB / CHQ / CB / ESP</t>
        </is>
      </c>
    </row>
    <row r="58">
      <c r="A58" t="inlineStr">
        <is>
          <t>2022-2023</t>
        </is>
      </c>
      <c r="B58" t="inlineStr">
        <is>
          <t>2022-06-18</t>
        </is>
      </c>
      <c r="C58" t="inlineStr">
        <is>
          <t>20:35</t>
        </is>
      </c>
      <c r="D58" t="inlineStr">
        <is>
          <t>n° 27 + n° 28</t>
        </is>
      </c>
      <c r="E58" t="n">
        <v>2</v>
      </c>
      <c r="F58" t="n">
        <v>180.6</v>
      </c>
      <c r="G58" t="n">
        <v>4</v>
      </c>
      <c r="H58" t="n">
        <v>4</v>
      </c>
      <c r="I58">
        <f>IF(G58=H58,1,0)</f>
        <v/>
      </c>
      <c r="J58" t="inlineStr">
        <is>
          <t>CB / CB</t>
        </is>
      </c>
    </row>
    <row r="59">
      <c r="A59" t="inlineStr">
        <is>
          <t>2022-2023</t>
        </is>
      </c>
      <c r="B59" t="inlineStr">
        <is>
          <t>2022-06-18</t>
        </is>
      </c>
      <c r="C59" t="inlineStr">
        <is>
          <t>20:56</t>
        </is>
      </c>
      <c r="D59" t="inlineStr">
        <is>
          <t>n° 31 + n° 32</t>
        </is>
      </c>
      <c r="E59" t="n">
        <v>2</v>
      </c>
      <c r="F59" t="n">
        <v>50.8</v>
      </c>
      <c r="G59" t="n">
        <v>9</v>
      </c>
      <c r="H59" t="n">
        <v>9</v>
      </c>
      <c r="I59">
        <f>IF(G59=H59,1,0)</f>
        <v/>
      </c>
      <c r="J59" t="inlineStr">
        <is>
          <t>CB / ESP/CB</t>
        </is>
      </c>
    </row>
    <row r="60">
      <c r="A60" t="inlineStr">
        <is>
          <t>2022-2023</t>
        </is>
      </c>
      <c r="B60" t="inlineStr">
        <is>
          <t>2022-06-22</t>
        </is>
      </c>
      <c r="C60" t="inlineStr">
        <is>
          <t>12:03</t>
        </is>
      </c>
      <c r="D60" t="inlineStr">
        <is>
          <t>n° 4 + n° 5</t>
        </is>
      </c>
      <c r="E60" t="n">
        <v>2</v>
      </c>
      <c r="F60" t="n">
        <v>51.9</v>
      </c>
      <c r="G60" t="n">
        <v>6</v>
      </c>
      <c r="H60" t="n">
        <v>6</v>
      </c>
      <c r="I60">
        <f>IF(G60=H60,1,0)</f>
        <v/>
      </c>
      <c r="J60" t="inlineStr">
        <is>
          <t>CB / CB</t>
        </is>
      </c>
    </row>
    <row r="61">
      <c r="A61" t="inlineStr">
        <is>
          <t>2022-2023</t>
        </is>
      </c>
      <c r="B61" t="inlineStr">
        <is>
          <t>2022-06-22</t>
        </is>
      </c>
      <c r="C61" t="inlineStr">
        <is>
          <t>19:16</t>
        </is>
      </c>
      <c r="D61" t="inlineStr">
        <is>
          <t>n° 15 + n° 16</t>
        </is>
      </c>
      <c r="E61" t="n">
        <v>2</v>
      </c>
      <c r="F61" t="n">
        <v>52.1</v>
      </c>
      <c r="G61" t="n">
        <v>6</v>
      </c>
      <c r="H61" t="n">
        <v>6</v>
      </c>
      <c r="I61">
        <f>IF(G61=H61,1,0)</f>
        <v/>
      </c>
      <c r="J61" t="inlineStr">
        <is>
          <t>ESP / ESP</t>
        </is>
      </c>
    </row>
    <row r="62">
      <c r="A62" t="inlineStr">
        <is>
          <t>2022-2023</t>
        </is>
      </c>
      <c r="B62" t="inlineStr">
        <is>
          <t>2022-06-25</t>
        </is>
      </c>
      <c r="C62" t="inlineStr">
        <is>
          <t>11:58</t>
        </is>
      </c>
      <c r="D62" t="inlineStr">
        <is>
          <t>n° 4 + n° 5</t>
        </is>
      </c>
      <c r="E62" t="n">
        <v>2</v>
      </c>
      <c r="F62" t="n">
        <v>86.8</v>
      </c>
      <c r="G62" t="n">
        <v>1</v>
      </c>
      <c r="H62" t="n">
        <v>1</v>
      </c>
      <c r="I62">
        <f>IF(G62=H62,1,0)</f>
        <v/>
      </c>
      <c r="J62" t="inlineStr">
        <is>
          <t>CB / CB</t>
        </is>
      </c>
    </row>
    <row r="63">
      <c r="A63" t="inlineStr">
        <is>
          <t>2022-2023</t>
        </is>
      </c>
      <c r="B63" t="inlineStr">
        <is>
          <t>2022-06-25</t>
        </is>
      </c>
      <c r="C63" t="inlineStr">
        <is>
          <t>20:07</t>
        </is>
      </c>
      <c r="D63" t="inlineStr">
        <is>
          <t>n° 25 + n° 26 + n° 27 + n° 28</t>
        </is>
      </c>
      <c r="E63" t="n">
        <v>4</v>
      </c>
      <c r="F63" t="n">
        <v>103.7</v>
      </c>
      <c r="G63" t="n">
        <v>7</v>
      </c>
      <c r="H63" t="n">
        <v>7</v>
      </c>
      <c r="I63">
        <f>IF(G63=H63,1,0)</f>
        <v/>
      </c>
      <c r="J63" t="inlineStr">
        <is>
          <t>CB / CB / CB / CB</t>
        </is>
      </c>
    </row>
    <row r="64">
      <c r="A64" t="inlineStr">
        <is>
          <t>2022-2023</t>
        </is>
      </c>
      <c r="B64" t="inlineStr">
        <is>
          <t>2022-06-26</t>
        </is>
      </c>
      <c r="C64" t="inlineStr">
        <is>
          <t>12:10</t>
        </is>
      </c>
      <c r="D64" t="inlineStr">
        <is>
          <t>n° 4 + n° 5</t>
        </is>
      </c>
      <c r="E64" t="n">
        <v>2</v>
      </c>
      <c r="F64" t="n">
        <v>123.6</v>
      </c>
      <c r="G64" t="n">
        <v>3</v>
      </c>
      <c r="H64" t="n">
        <v>3</v>
      </c>
      <c r="I64">
        <f>IF(G64=H64,1,0)</f>
        <v/>
      </c>
      <c r="J64" t="inlineStr">
        <is>
          <t>CB / CB</t>
        </is>
      </c>
    </row>
    <row r="65">
      <c r="A65" t="inlineStr">
        <is>
          <t>2022-2023</t>
        </is>
      </c>
      <c r="B65" t="inlineStr">
        <is>
          <t>2022-06-30</t>
        </is>
      </c>
      <c r="C65" t="inlineStr">
        <is>
          <t>12:46</t>
        </is>
      </c>
      <c r="D65" t="inlineStr">
        <is>
          <t>n° 13 + n° 14</t>
        </is>
      </c>
      <c r="E65" t="n">
        <v>2</v>
      </c>
      <c r="F65" t="n">
        <v>70.2</v>
      </c>
      <c r="G65" t="n">
        <v>5</v>
      </c>
      <c r="H65" t="n">
        <v>5</v>
      </c>
      <c r="I65">
        <f>IF(G65=H65,1,0)</f>
        <v/>
      </c>
      <c r="J65" t="inlineStr">
        <is>
          <t>CB / CB</t>
        </is>
      </c>
    </row>
    <row r="66">
      <c r="A66" t="inlineStr">
        <is>
          <t>2022-2023</t>
        </is>
      </c>
      <c r="B66" t="inlineStr">
        <is>
          <t>2022-06-30</t>
        </is>
      </c>
      <c r="C66" t="inlineStr">
        <is>
          <t>19:32</t>
        </is>
      </c>
      <c r="D66" t="inlineStr">
        <is>
          <t>n° 22 + n° 23</t>
        </is>
      </c>
      <c r="E66" t="n">
        <v>2</v>
      </c>
      <c r="F66" t="n">
        <v>56</v>
      </c>
      <c r="G66" t="n">
        <v>4</v>
      </c>
      <c r="H66" t="n">
        <v>4</v>
      </c>
      <c r="I66">
        <f>IF(G66=H66,1,0)</f>
        <v/>
      </c>
      <c r="J66" t="inlineStr">
        <is>
          <t>CB / CB</t>
        </is>
      </c>
    </row>
    <row r="67">
      <c r="A67" t="inlineStr">
        <is>
          <t>2022-2023</t>
        </is>
      </c>
      <c r="B67" t="inlineStr">
        <is>
          <t>2022-07-02</t>
        </is>
      </c>
      <c r="C67" t="inlineStr">
        <is>
          <t>19:26</t>
        </is>
      </c>
      <c r="D67" t="inlineStr">
        <is>
          <t>n° 17 + n° 18 + n° 19 + n° 20</t>
        </is>
      </c>
      <c r="E67" t="n">
        <v>4</v>
      </c>
      <c r="F67" t="n">
        <v>294.3</v>
      </c>
      <c r="G67" t="n">
        <v>21</v>
      </c>
      <c r="H67" t="n">
        <v>21</v>
      </c>
      <c r="I67">
        <f>IF(G67=H67,1,0)</f>
        <v/>
      </c>
      <c r="J67" t="inlineStr">
        <is>
          <t>CB / CB / CB / CB</t>
        </is>
      </c>
    </row>
    <row r="68">
      <c r="A68" t="inlineStr">
        <is>
          <t>2022-2023</t>
        </is>
      </c>
      <c r="B68" t="inlineStr">
        <is>
          <t>2022-07-03</t>
        </is>
      </c>
      <c r="C68" t="inlineStr">
        <is>
          <t>13:08</t>
        </is>
      </c>
      <c r="D68" t="inlineStr">
        <is>
          <t>n° 9 + n° 10 + n° 12 + n° 13</t>
        </is>
      </c>
      <c r="E68" t="n">
        <v>4</v>
      </c>
      <c r="F68" t="n">
        <v>154.2</v>
      </c>
      <c r="G68" t="n">
        <v>12</v>
      </c>
      <c r="H68" t="n">
        <v>12</v>
      </c>
      <c r="I68">
        <f>IF(G68=H68,1,0)</f>
        <v/>
      </c>
      <c r="J68" t="inlineStr">
        <is>
          <t>CB / CB / CB / CB</t>
        </is>
      </c>
    </row>
    <row r="69">
      <c r="A69" t="inlineStr">
        <is>
          <t>2022-2023</t>
        </is>
      </c>
      <c r="B69" t="inlineStr">
        <is>
          <t>2022-07-03</t>
        </is>
      </c>
      <c r="C69" t="inlineStr">
        <is>
          <t>20:01</t>
        </is>
      </c>
      <c r="D69" t="inlineStr">
        <is>
          <t>n° 27 + n° 28</t>
        </is>
      </c>
      <c r="E69" t="n">
        <v>2</v>
      </c>
      <c r="F69" t="n">
        <v>65.7</v>
      </c>
      <c r="G69" t="n">
        <v>7</v>
      </c>
      <c r="H69" t="n">
        <v>7</v>
      </c>
      <c r="I69">
        <f>IF(G69=H69,1,0)</f>
        <v/>
      </c>
      <c r="J69" t="inlineStr">
        <is>
          <t>CB / CB</t>
        </is>
      </c>
    </row>
    <row r="70">
      <c r="A70" t="inlineStr">
        <is>
          <t>2022-2023</t>
        </is>
      </c>
      <c r="B70" t="inlineStr">
        <is>
          <t>2022-07-06</t>
        </is>
      </c>
      <c r="C70" t="inlineStr">
        <is>
          <t>19:23</t>
        </is>
      </c>
      <c r="D70" t="inlineStr">
        <is>
          <t>n° 17 + n° 18</t>
        </is>
      </c>
      <c r="E70" t="n">
        <v>2</v>
      </c>
      <c r="F70" t="n">
        <v>63.4</v>
      </c>
      <c r="G70" t="n">
        <v>4</v>
      </c>
      <c r="H70" t="n">
        <v>4</v>
      </c>
      <c r="I70">
        <f>IF(G70=H70,1,0)</f>
        <v/>
      </c>
      <c r="J70" t="inlineStr">
        <is>
          <t>CB / TR/CB</t>
        </is>
      </c>
    </row>
    <row r="71">
      <c r="A71" t="inlineStr">
        <is>
          <t>2022-2023</t>
        </is>
      </c>
      <c r="B71" t="inlineStr">
        <is>
          <t>2022-07-07</t>
        </is>
      </c>
      <c r="C71" t="inlineStr">
        <is>
          <t>12:54</t>
        </is>
      </c>
      <c r="D71" t="inlineStr">
        <is>
          <t>n° 16 + n° 17 + n° 18</t>
        </is>
      </c>
      <c r="E71" t="n">
        <v>3</v>
      </c>
      <c r="F71" t="n">
        <v>67.2</v>
      </c>
      <c r="G71" t="n">
        <v>6</v>
      </c>
      <c r="H71" t="n">
        <v>2</v>
      </c>
      <c r="I71">
        <f>IF(G71=H71,1,0)</f>
        <v/>
      </c>
      <c r="J71" t="inlineStr">
        <is>
          <t>CB / CB / CB</t>
        </is>
      </c>
    </row>
    <row r="72">
      <c r="A72" t="inlineStr">
        <is>
          <t>2022-2023</t>
        </is>
      </c>
      <c r="B72" t="inlineStr">
        <is>
          <t>2022-07-07</t>
        </is>
      </c>
      <c r="C72" t="inlineStr">
        <is>
          <t>20:35</t>
        </is>
      </c>
      <c r="D72" t="inlineStr">
        <is>
          <t>n° 27 + n° 28</t>
        </is>
      </c>
      <c r="E72" t="n">
        <v>2</v>
      </c>
      <c r="F72" t="n">
        <v>61.2</v>
      </c>
      <c r="G72" t="n">
        <v>3</v>
      </c>
      <c r="H72" t="n">
        <v>3</v>
      </c>
      <c r="I72">
        <f>IF(G72=H72,1,0)</f>
        <v/>
      </c>
      <c r="J72" t="inlineStr">
        <is>
          <t>CB / CB</t>
        </is>
      </c>
    </row>
    <row r="73">
      <c r="A73" t="inlineStr">
        <is>
          <t>2022-2023</t>
        </is>
      </c>
      <c r="B73" t="inlineStr">
        <is>
          <t>2022-07-08</t>
        </is>
      </c>
      <c r="C73" t="inlineStr">
        <is>
          <t>12:21</t>
        </is>
      </c>
      <c r="D73" t="inlineStr">
        <is>
          <t>n° 11 + n° 12</t>
        </is>
      </c>
      <c r="E73" t="n">
        <v>2</v>
      </c>
      <c r="F73" t="n">
        <v>96.8</v>
      </c>
      <c r="G73" t="n">
        <v>1</v>
      </c>
      <c r="H73" t="n">
        <v>1</v>
      </c>
      <c r="I73">
        <f>IF(G73=H73,1,0)</f>
        <v/>
      </c>
      <c r="J73" t="inlineStr">
        <is>
          <t>CB / CB</t>
        </is>
      </c>
    </row>
    <row r="74">
      <c r="A74" t="inlineStr">
        <is>
          <t>2022-2023</t>
        </is>
      </c>
      <c r="B74" t="inlineStr">
        <is>
          <t>2022-07-08</t>
        </is>
      </c>
      <c r="C74" t="inlineStr">
        <is>
          <t>19:32</t>
        </is>
      </c>
      <c r="D74" t="inlineStr">
        <is>
          <t>n° 24 + n° 25</t>
        </is>
      </c>
      <c r="E74" t="n">
        <v>2</v>
      </c>
      <c r="F74" t="n">
        <v>205.7</v>
      </c>
      <c r="G74" t="n">
        <v>10</v>
      </c>
      <c r="H74" t="n">
        <v>10</v>
      </c>
      <c r="I74">
        <f>IF(G74=H74,1,0)</f>
        <v/>
      </c>
      <c r="J74" t="inlineStr">
        <is>
          <t>CB / CB</t>
        </is>
      </c>
    </row>
    <row r="75">
      <c r="A75" t="inlineStr">
        <is>
          <t>2022-2023</t>
        </is>
      </c>
      <c r="B75" t="inlineStr">
        <is>
          <t>2022-07-09</t>
        </is>
      </c>
      <c r="C75" t="inlineStr">
        <is>
          <t>13:17</t>
        </is>
      </c>
      <c r="D75" t="inlineStr">
        <is>
          <t>n° 25 + n° 26</t>
        </is>
      </c>
      <c r="E75" t="n">
        <v>2</v>
      </c>
      <c r="F75" t="n">
        <v>87.5</v>
      </c>
      <c r="G75" t="n">
        <v>3</v>
      </c>
      <c r="H75" t="n">
        <v>3</v>
      </c>
      <c r="I75">
        <f>IF(G75=H75,1,0)</f>
        <v/>
      </c>
      <c r="J75" t="inlineStr">
        <is>
          <t>CB / CB</t>
        </is>
      </c>
    </row>
    <row r="76">
      <c r="A76" t="inlineStr">
        <is>
          <t>2022-2023</t>
        </is>
      </c>
      <c r="B76" t="inlineStr">
        <is>
          <t>2022-07-09</t>
        </is>
      </c>
      <c r="C76" t="inlineStr">
        <is>
          <t>19:46</t>
        </is>
      </c>
      <c r="D76" t="inlineStr">
        <is>
          <t>n° 50 + n° 51</t>
        </is>
      </c>
      <c r="E76" t="n">
        <v>2</v>
      </c>
      <c r="F76" t="n">
        <v>139.8</v>
      </c>
      <c r="G76" t="n">
        <v>8</v>
      </c>
      <c r="H76" t="n">
        <v>8</v>
      </c>
      <c r="I76">
        <f>IF(G76=H76,1,0)</f>
        <v/>
      </c>
      <c r="J76" t="inlineStr">
        <is>
          <t>CB / CB</t>
        </is>
      </c>
    </row>
    <row r="77">
      <c r="A77" t="inlineStr">
        <is>
          <t>2022-2023</t>
        </is>
      </c>
      <c r="B77" t="inlineStr">
        <is>
          <t>2022-07-10</t>
        </is>
      </c>
      <c r="C77" t="inlineStr">
        <is>
          <t>12:08</t>
        </is>
      </c>
      <c r="D77" t="inlineStr">
        <is>
          <t>n° 7 + n° 8</t>
        </is>
      </c>
      <c r="E77" t="n">
        <v>2</v>
      </c>
      <c r="F77" t="n">
        <v>49.8</v>
      </c>
      <c r="G77" t="n">
        <v>5</v>
      </c>
      <c r="H77" t="n">
        <v>5</v>
      </c>
      <c r="I77">
        <f>IF(G77=H77,1,0)</f>
        <v/>
      </c>
      <c r="J77" t="inlineStr">
        <is>
          <t>CB / CB</t>
        </is>
      </c>
    </row>
    <row r="78">
      <c r="A78" t="inlineStr">
        <is>
          <t>2022-2023</t>
        </is>
      </c>
      <c r="B78" t="inlineStr">
        <is>
          <t>2022-07-10</t>
        </is>
      </c>
      <c r="C78" t="inlineStr">
        <is>
          <t>13:05</t>
        </is>
      </c>
      <c r="D78" t="inlineStr">
        <is>
          <t>n° 14 + n° 15</t>
        </is>
      </c>
      <c r="E78" t="n">
        <v>2</v>
      </c>
      <c r="F78" t="n">
        <v>76.40000000000001</v>
      </c>
      <c r="G78" t="n">
        <v>3</v>
      </c>
      <c r="H78" t="n">
        <v>3</v>
      </c>
      <c r="I78">
        <f>IF(G78=H78,1,0)</f>
        <v/>
      </c>
      <c r="J78" t="inlineStr">
        <is>
          <t>CB / CB</t>
        </is>
      </c>
    </row>
    <row r="79">
      <c r="A79" t="inlineStr">
        <is>
          <t>2022-2023</t>
        </is>
      </c>
      <c r="B79" t="inlineStr">
        <is>
          <t>2022-07-12</t>
        </is>
      </c>
      <c r="C79" t="inlineStr">
        <is>
          <t>12:25</t>
        </is>
      </c>
      <c r="D79" t="inlineStr">
        <is>
          <t>n° 13 + n° 14</t>
        </is>
      </c>
      <c r="E79" t="n">
        <v>2</v>
      </c>
      <c r="F79" t="n">
        <v>40.2</v>
      </c>
      <c r="G79" t="n">
        <v>2</v>
      </c>
      <c r="H79" t="n">
        <v>2</v>
      </c>
      <c r="I79">
        <f>IF(G79=H79,1,0)</f>
        <v/>
      </c>
      <c r="J79" t="inlineStr">
        <is>
          <t>CB / CB</t>
        </is>
      </c>
    </row>
    <row r="80">
      <c r="A80" t="inlineStr">
        <is>
          <t>2022-2023</t>
        </is>
      </c>
      <c r="B80" t="inlineStr">
        <is>
          <t>2022-07-12</t>
        </is>
      </c>
      <c r="C80" t="inlineStr">
        <is>
          <t>19:12</t>
        </is>
      </c>
      <c r="D80" t="inlineStr">
        <is>
          <t>n° 24 + n° 25</t>
        </is>
      </c>
      <c r="E80" t="n">
        <v>2</v>
      </c>
      <c r="F80" t="n">
        <v>63.6</v>
      </c>
      <c r="G80" t="n">
        <v>2</v>
      </c>
      <c r="H80" t="n">
        <v>2</v>
      </c>
      <c r="I80">
        <f>IF(G80=H80,1,0)</f>
        <v/>
      </c>
      <c r="J80" t="inlineStr">
        <is>
          <t>CB / CB</t>
        </is>
      </c>
    </row>
    <row r="81">
      <c r="A81" t="inlineStr">
        <is>
          <t>2022-2023</t>
        </is>
      </c>
      <c r="B81" t="inlineStr">
        <is>
          <t>2022-07-13</t>
        </is>
      </c>
      <c r="C81" t="inlineStr">
        <is>
          <t>11:54</t>
        </is>
      </c>
      <c r="D81" t="inlineStr">
        <is>
          <t>n° 6 + n° 7</t>
        </is>
      </c>
      <c r="E81" t="n">
        <v>2</v>
      </c>
      <c r="F81" t="n">
        <v>47.4</v>
      </c>
      <c r="G81" t="n">
        <v>2</v>
      </c>
      <c r="H81" t="n">
        <v>2</v>
      </c>
      <c r="I81">
        <f>IF(G81=H81,1,0)</f>
        <v/>
      </c>
      <c r="J81" t="inlineStr">
        <is>
          <t>CB / CB</t>
        </is>
      </c>
    </row>
    <row r="82">
      <c r="A82" t="inlineStr">
        <is>
          <t>2022-2023</t>
        </is>
      </c>
      <c r="B82" t="inlineStr">
        <is>
          <t>2022-07-13</t>
        </is>
      </c>
      <c r="C82" t="inlineStr">
        <is>
          <t>12:27</t>
        </is>
      </c>
      <c r="D82" t="inlineStr">
        <is>
          <t>n° 12 + n° 13 + n° 16 + n° 17 + n° 18 + n° 19 + n° 20</t>
        </is>
      </c>
      <c r="E82" t="n">
        <v>7</v>
      </c>
      <c r="F82" t="n">
        <v>213.5</v>
      </c>
      <c r="G82" t="n">
        <v>15</v>
      </c>
      <c r="H82" t="n">
        <v>15</v>
      </c>
      <c r="I82">
        <f>IF(G82=H82,1,0)</f>
        <v/>
      </c>
      <c r="J82" t="inlineStr">
        <is>
          <t>CB / CB/ESP / CB / CB / CB / CB / CB</t>
        </is>
      </c>
    </row>
    <row r="83">
      <c r="A83" t="inlineStr">
        <is>
          <t>2022-2023</t>
        </is>
      </c>
      <c r="B83" t="inlineStr">
        <is>
          <t>2022-07-13</t>
        </is>
      </c>
      <c r="C83" t="inlineStr">
        <is>
          <t>21:10</t>
        </is>
      </c>
      <c r="D83" t="inlineStr">
        <is>
          <t>n° 41 + n° 42</t>
        </is>
      </c>
      <c r="E83" t="n">
        <v>2</v>
      </c>
      <c r="F83" t="n">
        <v>54.6</v>
      </c>
      <c r="G83" t="n">
        <v>8</v>
      </c>
      <c r="H83" t="n">
        <v>8</v>
      </c>
      <c r="I83">
        <f>IF(G83=H83,1,0)</f>
        <v/>
      </c>
      <c r="J83" t="inlineStr">
        <is>
          <t>CB / CB</t>
        </is>
      </c>
    </row>
    <row r="84">
      <c r="A84" t="inlineStr">
        <is>
          <t>2022-2023</t>
        </is>
      </c>
      <c r="B84" t="inlineStr">
        <is>
          <t>2022-07-15</t>
        </is>
      </c>
      <c r="C84" t="inlineStr">
        <is>
          <t>12:30</t>
        </is>
      </c>
      <c r="D84" t="inlineStr">
        <is>
          <t>n° 11 + n° 12 + n° 13</t>
        </is>
      </c>
      <c r="E84" t="n">
        <v>3</v>
      </c>
      <c r="F84" t="n">
        <v>57.4</v>
      </c>
      <c r="G84" t="n">
        <v>3</v>
      </c>
      <c r="H84" t="n">
        <v>3</v>
      </c>
      <c r="I84">
        <f>IF(G84=H84,1,0)</f>
        <v/>
      </c>
      <c r="J84" t="inlineStr">
        <is>
          <t>CB / CB / CB</t>
        </is>
      </c>
    </row>
    <row r="85">
      <c r="A85" t="inlineStr">
        <is>
          <t>2022-2023</t>
        </is>
      </c>
      <c r="B85" t="inlineStr">
        <is>
          <t>2022-07-16</t>
        </is>
      </c>
      <c r="C85" t="inlineStr">
        <is>
          <t>11:45</t>
        </is>
      </c>
      <c r="D85" t="inlineStr">
        <is>
          <t>n° 6 + n° 7</t>
        </is>
      </c>
      <c r="E85" t="n">
        <v>2</v>
      </c>
      <c r="F85" t="n">
        <v>64.59999999999999</v>
      </c>
      <c r="G85" t="n">
        <v>6</v>
      </c>
      <c r="H85" t="n">
        <v>6</v>
      </c>
      <c r="I85">
        <f>IF(G85=H85,1,0)</f>
        <v/>
      </c>
      <c r="J85" t="inlineStr">
        <is>
          <t>CB / CB</t>
        </is>
      </c>
    </row>
    <row r="86">
      <c r="A86" t="inlineStr">
        <is>
          <t>2022-2023</t>
        </is>
      </c>
      <c r="B86" t="inlineStr">
        <is>
          <t>2022-07-16</t>
        </is>
      </c>
      <c r="C86" t="inlineStr">
        <is>
          <t>12:13</t>
        </is>
      </c>
      <c r="D86" t="inlineStr">
        <is>
          <t>n° 12 + n° 13</t>
        </is>
      </c>
      <c r="E86" t="n">
        <v>2</v>
      </c>
      <c r="F86" t="n">
        <v>70.2</v>
      </c>
      <c r="G86" t="n">
        <v>2</v>
      </c>
      <c r="H86" t="n">
        <v>2</v>
      </c>
      <c r="I86">
        <f>IF(G86=H86,1,0)</f>
        <v/>
      </c>
      <c r="J86" t="inlineStr">
        <is>
          <t>CB / CB</t>
        </is>
      </c>
    </row>
    <row r="87">
      <c r="A87" t="inlineStr">
        <is>
          <t>2022-2023</t>
        </is>
      </c>
      <c r="B87" t="inlineStr">
        <is>
          <t>2022-07-16</t>
        </is>
      </c>
      <c r="C87" t="inlineStr">
        <is>
          <t>12:53</t>
        </is>
      </c>
      <c r="D87" t="inlineStr">
        <is>
          <t>n° 18 + n° 19</t>
        </is>
      </c>
      <c r="E87" t="n">
        <v>2</v>
      </c>
      <c r="F87" t="n">
        <v>57.8</v>
      </c>
      <c r="G87" t="n">
        <v>4</v>
      </c>
      <c r="H87" t="n">
        <v>4</v>
      </c>
      <c r="I87">
        <f>IF(G87=H87,1,0)</f>
        <v/>
      </c>
      <c r="J87" t="inlineStr">
        <is>
          <t>CB / CB</t>
        </is>
      </c>
    </row>
    <row r="88">
      <c r="A88" t="inlineStr">
        <is>
          <t>2022-2023</t>
        </is>
      </c>
      <c r="B88" t="inlineStr">
        <is>
          <t>2022-07-17</t>
        </is>
      </c>
      <c r="C88" t="inlineStr">
        <is>
          <t>11:47</t>
        </is>
      </c>
      <c r="D88" t="inlineStr">
        <is>
          <t>n° 5 + n° 6</t>
        </is>
      </c>
      <c r="E88" t="n">
        <v>2</v>
      </c>
      <c r="F88" t="n">
        <v>138.8</v>
      </c>
      <c r="G88" t="n">
        <v>4</v>
      </c>
      <c r="H88" t="n">
        <v>4</v>
      </c>
      <c r="I88">
        <f>IF(G88=H88,1,0)</f>
        <v/>
      </c>
      <c r="J88" t="inlineStr">
        <is>
          <t>CB / CB</t>
        </is>
      </c>
    </row>
    <row r="89">
      <c r="A89" t="inlineStr">
        <is>
          <t>2022-2023</t>
        </is>
      </c>
      <c r="B89" t="inlineStr">
        <is>
          <t>2022-07-17</t>
        </is>
      </c>
      <c r="C89" t="inlineStr">
        <is>
          <t>12:43</t>
        </is>
      </c>
      <c r="D89" t="inlineStr">
        <is>
          <t>n° 16 + n° 17</t>
        </is>
      </c>
      <c r="E89" t="n">
        <v>2</v>
      </c>
      <c r="F89" t="n">
        <v>73.2</v>
      </c>
      <c r="G89" t="n">
        <v>8</v>
      </c>
      <c r="H89" t="n">
        <v>8</v>
      </c>
      <c r="I89">
        <f>IF(G89=H89,1,0)</f>
        <v/>
      </c>
      <c r="J89" t="inlineStr">
        <is>
          <t>CB / CB</t>
        </is>
      </c>
    </row>
    <row r="90">
      <c r="A90" t="inlineStr">
        <is>
          <t>2022-2023</t>
        </is>
      </c>
      <c r="B90" t="inlineStr">
        <is>
          <t>2022-07-17</t>
        </is>
      </c>
      <c r="C90" t="inlineStr">
        <is>
          <t>19:13</t>
        </is>
      </c>
      <c r="D90" t="inlineStr">
        <is>
          <t>n° 28 + n° 29</t>
        </is>
      </c>
      <c r="E90" t="n">
        <v>2</v>
      </c>
      <c r="F90" t="n">
        <v>49.4</v>
      </c>
      <c r="G90" t="n">
        <v>2</v>
      </c>
      <c r="H90" t="n">
        <v>2</v>
      </c>
      <c r="I90">
        <f>IF(G90=H90,1,0)</f>
        <v/>
      </c>
      <c r="J90" t="inlineStr">
        <is>
          <t>CB / CB</t>
        </is>
      </c>
    </row>
    <row r="91">
      <c r="A91" t="inlineStr">
        <is>
          <t>2022-2023</t>
        </is>
      </c>
      <c r="B91" t="inlineStr">
        <is>
          <t>2022-07-19</t>
        </is>
      </c>
      <c r="C91" t="inlineStr">
        <is>
          <t>19:52</t>
        </is>
      </c>
      <c r="D91" t="inlineStr">
        <is>
          <t>n° 16 + n° 17</t>
        </is>
      </c>
      <c r="E91" t="n">
        <v>2</v>
      </c>
      <c r="F91" t="n">
        <v>89</v>
      </c>
      <c r="G91" t="n">
        <v>12</v>
      </c>
      <c r="H91" t="n">
        <v>12</v>
      </c>
      <c r="I91">
        <f>IF(G91=H91,1,0)</f>
        <v/>
      </c>
      <c r="J91" t="inlineStr">
        <is>
          <t>CB / CB</t>
        </is>
      </c>
    </row>
    <row r="92">
      <c r="A92" t="inlineStr">
        <is>
          <t>2022-2023</t>
        </is>
      </c>
      <c r="B92" t="inlineStr">
        <is>
          <t>2022-07-19</t>
        </is>
      </c>
      <c r="C92" t="inlineStr">
        <is>
          <t>20:51</t>
        </is>
      </c>
      <c r="D92" t="inlineStr">
        <is>
          <t>n° 22 + n° 23</t>
        </is>
      </c>
      <c r="E92" t="n">
        <v>2</v>
      </c>
      <c r="F92" t="n">
        <v>91.59999999999999</v>
      </c>
      <c r="G92" t="n">
        <v>2</v>
      </c>
      <c r="H92" t="n">
        <v>2</v>
      </c>
      <c r="I92">
        <f>IF(G92=H92,1,0)</f>
        <v/>
      </c>
      <c r="J92" t="inlineStr">
        <is>
          <t>CB / CB</t>
        </is>
      </c>
    </row>
    <row r="93">
      <c r="A93" t="inlineStr">
        <is>
          <t>2022-2023</t>
        </is>
      </c>
      <c r="B93" t="inlineStr">
        <is>
          <t>2022-07-20</t>
        </is>
      </c>
      <c r="C93" t="inlineStr">
        <is>
          <t>18:26</t>
        </is>
      </c>
      <c r="D93" t="inlineStr">
        <is>
          <t>n° 13 + n° 14</t>
        </is>
      </c>
      <c r="E93" t="n">
        <v>2</v>
      </c>
      <c r="F93" t="n">
        <v>73.2</v>
      </c>
      <c r="G93" t="n">
        <v>1</v>
      </c>
      <c r="H93" t="n">
        <v>1</v>
      </c>
      <c r="I93">
        <f>IF(G93=H93,1,0)</f>
        <v/>
      </c>
      <c r="J93" t="inlineStr">
        <is>
          <t>CB / CB</t>
        </is>
      </c>
    </row>
    <row r="94">
      <c r="A94" t="inlineStr">
        <is>
          <t>2022-2023</t>
        </is>
      </c>
      <c r="B94" t="inlineStr">
        <is>
          <t>2022-07-21</t>
        </is>
      </c>
      <c r="C94" t="inlineStr">
        <is>
          <t>11:36</t>
        </is>
      </c>
      <c r="D94" t="inlineStr">
        <is>
          <t>n° 4 + n° 5</t>
        </is>
      </c>
      <c r="E94" t="n">
        <v>2</v>
      </c>
      <c r="F94" t="n">
        <v>99.5</v>
      </c>
      <c r="G94" t="n">
        <v>5</v>
      </c>
      <c r="H94" t="n">
        <v>5</v>
      </c>
      <c r="I94">
        <f>IF(G94=H94,1,0)</f>
        <v/>
      </c>
      <c r="J94" t="inlineStr">
        <is>
          <t>CB / CB</t>
        </is>
      </c>
    </row>
    <row r="95">
      <c r="A95" t="inlineStr">
        <is>
          <t>2022-2023</t>
        </is>
      </c>
      <c r="B95" t="inlineStr">
        <is>
          <t>2022-07-23</t>
        </is>
      </c>
      <c r="C95" t="inlineStr">
        <is>
          <t>11:57</t>
        </is>
      </c>
      <c r="D95" t="inlineStr">
        <is>
          <t>n° 5 + n° 6</t>
        </is>
      </c>
      <c r="E95" t="n">
        <v>2</v>
      </c>
      <c r="F95" t="n">
        <v>82.90000000000001</v>
      </c>
      <c r="G95" t="n">
        <v>7</v>
      </c>
      <c r="H95" t="n">
        <v>7</v>
      </c>
      <c r="I95">
        <f>IF(G95=H95,1,0)</f>
        <v/>
      </c>
      <c r="J95" t="inlineStr">
        <is>
          <t>CB / CB</t>
        </is>
      </c>
    </row>
    <row r="96">
      <c r="A96" t="inlineStr">
        <is>
          <t>2022-2023</t>
        </is>
      </c>
      <c r="B96" t="inlineStr">
        <is>
          <t>2022-07-24</t>
        </is>
      </c>
      <c r="C96" t="inlineStr">
        <is>
          <t>18:57</t>
        </is>
      </c>
      <c r="D96" t="inlineStr">
        <is>
          <t>n° 16 + n° 17</t>
        </is>
      </c>
      <c r="E96" t="n">
        <v>2</v>
      </c>
      <c r="F96" t="n">
        <v>39</v>
      </c>
      <c r="G96" t="n">
        <v>2</v>
      </c>
      <c r="H96" t="n">
        <v>2</v>
      </c>
      <c r="I96">
        <f>IF(G96=H96,1,0)</f>
        <v/>
      </c>
      <c r="J96" t="inlineStr">
        <is>
          <t>CB / CB</t>
        </is>
      </c>
    </row>
    <row r="97">
      <c r="A97" t="inlineStr">
        <is>
          <t>2022-2023</t>
        </is>
      </c>
      <c r="B97" t="inlineStr">
        <is>
          <t>2022-07-24</t>
        </is>
      </c>
      <c r="C97" t="inlineStr">
        <is>
          <t>19:44</t>
        </is>
      </c>
      <c r="D97" t="inlineStr">
        <is>
          <t>n° 23 + n° 24</t>
        </is>
      </c>
      <c r="E97" t="n">
        <v>2</v>
      </c>
      <c r="F97" t="n">
        <v>73.09999999999999</v>
      </c>
      <c r="G97" t="n">
        <v>9</v>
      </c>
      <c r="H97" t="n">
        <v>9</v>
      </c>
      <c r="I97">
        <f>IF(G97=H97,1,0)</f>
        <v/>
      </c>
      <c r="J97" t="inlineStr">
        <is>
          <t>CB / CB</t>
        </is>
      </c>
    </row>
    <row r="98">
      <c r="A98" t="inlineStr">
        <is>
          <t>2022-2023</t>
        </is>
      </c>
      <c r="B98" t="inlineStr">
        <is>
          <t>2022-07-24</t>
        </is>
      </c>
      <c r="C98" t="inlineStr">
        <is>
          <t>20:39</t>
        </is>
      </c>
      <c r="D98" t="inlineStr">
        <is>
          <t>n° 30 + n° 31</t>
        </is>
      </c>
      <c r="E98" t="n">
        <v>2</v>
      </c>
      <c r="F98" t="n">
        <v>231.1</v>
      </c>
      <c r="G98" t="n">
        <v>7</v>
      </c>
      <c r="H98" t="n">
        <v>7</v>
      </c>
      <c r="I98">
        <f>IF(G98=H98,1,0)</f>
        <v/>
      </c>
      <c r="J98" t="inlineStr">
        <is>
          <t>CB / CB</t>
        </is>
      </c>
    </row>
    <row r="99">
      <c r="A99" t="inlineStr">
        <is>
          <t>2022-2023</t>
        </is>
      </c>
      <c r="B99" t="inlineStr">
        <is>
          <t>2022-07-26</t>
        </is>
      </c>
      <c r="C99" t="inlineStr">
        <is>
          <t>19:01</t>
        </is>
      </c>
      <c r="D99" t="inlineStr">
        <is>
          <t>n° 15 + n° 16</t>
        </is>
      </c>
      <c r="E99" t="n">
        <v>2</v>
      </c>
      <c r="F99" t="n">
        <v>86.8</v>
      </c>
      <c r="G99" t="n">
        <v>1</v>
      </c>
      <c r="H99" t="n">
        <v>1</v>
      </c>
      <c r="I99">
        <f>IF(G99=H99,1,0)</f>
        <v/>
      </c>
      <c r="J99" t="inlineStr">
        <is>
          <t>CB / CHV/ESP</t>
        </is>
      </c>
    </row>
    <row r="100">
      <c r="A100" t="inlineStr">
        <is>
          <t>2022-2023</t>
        </is>
      </c>
      <c r="B100" t="inlineStr">
        <is>
          <t>2022-07-26</t>
        </is>
      </c>
      <c r="C100" t="inlineStr">
        <is>
          <t>20:09</t>
        </is>
      </c>
      <c r="D100" t="inlineStr">
        <is>
          <t>n° 26 + n° 27</t>
        </is>
      </c>
      <c r="E100" t="n">
        <v>2</v>
      </c>
      <c r="F100" t="n">
        <v>63.4</v>
      </c>
      <c r="G100" t="n">
        <v>5</v>
      </c>
      <c r="H100" t="n">
        <v>5</v>
      </c>
      <c r="I100">
        <f>IF(G100=H100,1,0)</f>
        <v/>
      </c>
      <c r="J100" t="inlineStr">
        <is>
          <t>CB / CB</t>
        </is>
      </c>
    </row>
    <row r="101">
      <c r="A101" t="inlineStr">
        <is>
          <t>2022-2023</t>
        </is>
      </c>
      <c r="B101" t="inlineStr">
        <is>
          <t>2022-07-27</t>
        </is>
      </c>
      <c r="C101" t="inlineStr">
        <is>
          <t>11:39</t>
        </is>
      </c>
      <c r="D101" t="inlineStr">
        <is>
          <t>n° 4 + n° 5</t>
        </is>
      </c>
      <c r="E101" t="n">
        <v>2</v>
      </c>
      <c r="F101" t="n">
        <v>64.5</v>
      </c>
      <c r="G101" t="n">
        <v>2</v>
      </c>
      <c r="H101" t="n">
        <v>2</v>
      </c>
      <c r="I101">
        <f>IF(G101=H101,1,0)</f>
        <v/>
      </c>
      <c r="J101" t="inlineStr">
        <is>
          <t>CB / CB</t>
        </is>
      </c>
    </row>
    <row r="102">
      <c r="A102" t="inlineStr">
        <is>
          <t>2022-2023</t>
        </is>
      </c>
      <c r="B102" t="inlineStr">
        <is>
          <t>2022-07-27</t>
        </is>
      </c>
      <c r="C102" t="inlineStr">
        <is>
          <t>20:53</t>
        </is>
      </c>
      <c r="D102" t="inlineStr">
        <is>
          <t>n° 36 + n° 37</t>
        </is>
      </c>
      <c r="E102" t="n">
        <v>2</v>
      </c>
      <c r="F102" t="n">
        <v>59</v>
      </c>
      <c r="G102" t="n">
        <v>8</v>
      </c>
      <c r="H102" t="n">
        <v>8</v>
      </c>
      <c r="I102">
        <f>IF(G102=H102,1,0)</f>
        <v/>
      </c>
      <c r="J102" t="inlineStr">
        <is>
          <t>CB / CB</t>
        </is>
      </c>
    </row>
    <row r="103">
      <c r="A103" t="inlineStr">
        <is>
          <t>2022-2023</t>
        </is>
      </c>
      <c r="B103" t="inlineStr">
        <is>
          <t>2022-07-28</t>
        </is>
      </c>
      <c r="C103" t="inlineStr">
        <is>
          <t>19:55</t>
        </is>
      </c>
      <c r="D103" t="inlineStr">
        <is>
          <t>n° 23 + n° 24</t>
        </is>
      </c>
      <c r="E103" t="n">
        <v>2</v>
      </c>
      <c r="F103" t="n">
        <v>141.5</v>
      </c>
      <c r="G103" t="n">
        <v>7</v>
      </c>
      <c r="H103" t="n">
        <v>7</v>
      </c>
      <c r="I103">
        <f>IF(G103=H103,1,0)</f>
        <v/>
      </c>
      <c r="J103" t="inlineStr">
        <is>
          <t>CB / CB</t>
        </is>
      </c>
    </row>
    <row r="104">
      <c r="A104" t="inlineStr">
        <is>
          <t>2022-2023</t>
        </is>
      </c>
      <c r="B104" t="inlineStr">
        <is>
          <t>2022-07-28</t>
        </is>
      </c>
      <c r="C104" t="inlineStr">
        <is>
          <t>20:58</t>
        </is>
      </c>
      <c r="D104" t="inlineStr">
        <is>
          <t>n° 28 + n° 29 + n° 30 + n° 31</t>
        </is>
      </c>
      <c r="E104" t="n">
        <v>4</v>
      </c>
      <c r="F104" t="n">
        <v>321.9</v>
      </c>
      <c r="G104" t="n">
        <v>10</v>
      </c>
      <c r="H104" t="n">
        <v>10</v>
      </c>
      <c r="I104">
        <f>IF(G104=H104,1,0)</f>
        <v/>
      </c>
      <c r="J104" t="inlineStr">
        <is>
          <t>CB / CB / CB / CB</t>
        </is>
      </c>
    </row>
    <row r="105">
      <c r="A105" t="inlineStr">
        <is>
          <t>2022-2023</t>
        </is>
      </c>
      <c r="B105" t="inlineStr">
        <is>
          <t>2022-07-29</t>
        </is>
      </c>
      <c r="C105" t="inlineStr">
        <is>
          <t>12:48</t>
        </is>
      </c>
      <c r="D105" t="inlineStr">
        <is>
          <t>n° 12 + n° 13</t>
        </is>
      </c>
      <c r="E105" t="n">
        <v>2</v>
      </c>
      <c r="F105" t="n">
        <v>59.3</v>
      </c>
      <c r="G105" t="n">
        <v>2</v>
      </c>
      <c r="H105" t="n">
        <v>2</v>
      </c>
      <c r="I105">
        <f>IF(G105=H105,1,0)</f>
        <v/>
      </c>
      <c r="J105" t="inlineStr">
        <is>
          <t>CB / CB</t>
        </is>
      </c>
    </row>
    <row r="106">
      <c r="A106" t="inlineStr">
        <is>
          <t>2022-2023</t>
        </is>
      </c>
      <c r="B106" t="inlineStr">
        <is>
          <t>2022-07-29</t>
        </is>
      </c>
      <c r="C106" t="inlineStr">
        <is>
          <t>21:12</t>
        </is>
      </c>
      <c r="D106" t="inlineStr">
        <is>
          <t>n° 34 + n° 35 + n° 36 + n° 37 + n° 38</t>
        </is>
      </c>
      <c r="E106" t="n">
        <v>5</v>
      </c>
      <c r="F106" t="n">
        <v>221.7</v>
      </c>
      <c r="G106" t="n">
        <v>13</v>
      </c>
      <c r="H106" t="n">
        <v>13</v>
      </c>
      <c r="I106">
        <f>IF(G106=H106,1,0)</f>
        <v/>
      </c>
      <c r="J106" t="inlineStr">
        <is>
          <t>CB / CB / CB / CB / CB</t>
        </is>
      </c>
    </row>
    <row r="107">
      <c r="A107" t="inlineStr">
        <is>
          <t>2022-2023</t>
        </is>
      </c>
      <c r="B107" t="inlineStr">
        <is>
          <t>2022-07-30</t>
        </is>
      </c>
      <c r="C107" t="inlineStr">
        <is>
          <t>20:07</t>
        </is>
      </c>
      <c r="D107" t="inlineStr">
        <is>
          <t>n° 20 + n° 21 + n° 23 + n° 24</t>
        </is>
      </c>
      <c r="E107" t="n">
        <v>4</v>
      </c>
      <c r="F107" t="n">
        <v>143.8</v>
      </c>
      <c r="G107" t="n">
        <v>9</v>
      </c>
      <c r="H107" t="n">
        <v>9</v>
      </c>
      <c r="I107">
        <f>IF(G107=H107,1,0)</f>
        <v/>
      </c>
      <c r="J107" t="inlineStr">
        <is>
          <t>CB / CB / CB / CB</t>
        </is>
      </c>
    </row>
    <row r="108">
      <c r="A108" t="inlineStr">
        <is>
          <t>2022-2023</t>
        </is>
      </c>
      <c r="B108" t="inlineStr">
        <is>
          <t>2022-07-31</t>
        </is>
      </c>
      <c r="C108" t="inlineStr">
        <is>
          <t>12:11</t>
        </is>
      </c>
      <c r="D108" t="inlineStr">
        <is>
          <t>n° 8 + n° 9</t>
        </is>
      </c>
      <c r="E108" t="n">
        <v>2</v>
      </c>
      <c r="F108" t="n">
        <v>115.1</v>
      </c>
      <c r="G108" t="n">
        <v>10</v>
      </c>
      <c r="H108" t="n">
        <v>10</v>
      </c>
      <c r="I108">
        <f>IF(G108=H108,1,0)</f>
        <v/>
      </c>
      <c r="J108" t="inlineStr">
        <is>
          <t>CB / CB</t>
        </is>
      </c>
    </row>
    <row r="109">
      <c r="A109" t="inlineStr">
        <is>
          <t>2022-2023</t>
        </is>
      </c>
      <c r="B109" t="inlineStr">
        <is>
          <t>2022-08-02</t>
        </is>
      </c>
      <c r="C109" t="inlineStr">
        <is>
          <t>11:41</t>
        </is>
      </c>
      <c r="D109" t="inlineStr">
        <is>
          <t>n° 6 + n° 7</t>
        </is>
      </c>
      <c r="E109" t="n">
        <v>2</v>
      </c>
      <c r="F109" t="n">
        <v>64.5</v>
      </c>
      <c r="G109" t="n">
        <v>2</v>
      </c>
      <c r="H109" t="n">
        <v>2</v>
      </c>
      <c r="I109">
        <f>IF(G109=H109,1,0)</f>
        <v/>
      </c>
      <c r="J109" t="inlineStr">
        <is>
          <t>CB / CB</t>
        </is>
      </c>
    </row>
    <row r="110">
      <c r="A110" t="inlineStr">
        <is>
          <t>2022-2023</t>
        </is>
      </c>
      <c r="B110" t="inlineStr">
        <is>
          <t>2022-08-02</t>
        </is>
      </c>
      <c r="C110" t="inlineStr">
        <is>
          <t>19:31</t>
        </is>
      </c>
      <c r="D110" t="inlineStr">
        <is>
          <t>n° 26 + n° 27 + n° 29 + n° 30</t>
        </is>
      </c>
      <c r="E110" t="n">
        <v>4</v>
      </c>
      <c r="F110" t="n">
        <v>212.8</v>
      </c>
      <c r="G110" t="n">
        <v>15</v>
      </c>
      <c r="H110" t="n">
        <v>15</v>
      </c>
      <c r="I110">
        <f>IF(G110=H110,1,0)</f>
        <v/>
      </c>
      <c r="J110" t="inlineStr">
        <is>
          <t>CB / CB / CB / CB</t>
        </is>
      </c>
    </row>
    <row r="111">
      <c r="A111" t="inlineStr">
        <is>
          <t>2022-2023</t>
        </is>
      </c>
      <c r="B111" t="inlineStr">
        <is>
          <t>2022-08-03</t>
        </is>
      </c>
      <c r="C111" t="inlineStr">
        <is>
          <t>11:36</t>
        </is>
      </c>
      <c r="D111" t="inlineStr">
        <is>
          <t>n° 6 + n° 7</t>
        </is>
      </c>
      <c r="E111" t="n">
        <v>2</v>
      </c>
      <c r="F111" t="n">
        <v>74.2</v>
      </c>
      <c r="G111" t="n">
        <v>3</v>
      </c>
      <c r="H111" t="n">
        <v>3</v>
      </c>
      <c r="I111">
        <f>IF(G111=H111,1,0)</f>
        <v/>
      </c>
      <c r="J111" t="inlineStr">
        <is>
          <t>CB / CB</t>
        </is>
      </c>
    </row>
    <row r="112">
      <c r="A112" t="inlineStr">
        <is>
          <t>2022-2023</t>
        </is>
      </c>
      <c r="B112" t="inlineStr">
        <is>
          <t>2022-08-03</t>
        </is>
      </c>
      <c r="C112" t="inlineStr">
        <is>
          <t>19:18</t>
        </is>
      </c>
      <c r="D112" t="inlineStr">
        <is>
          <t>n° 26 + n° 27</t>
        </is>
      </c>
      <c r="E112" t="n">
        <v>2</v>
      </c>
      <c r="F112" t="n">
        <v>53.2</v>
      </c>
      <c r="G112" t="n">
        <v>5</v>
      </c>
      <c r="H112" t="n">
        <v>5</v>
      </c>
      <c r="I112">
        <f>IF(G112=H112,1,0)</f>
        <v/>
      </c>
      <c r="J112" t="inlineStr">
        <is>
          <t>CB / CB</t>
        </is>
      </c>
    </row>
    <row r="113">
      <c r="A113" t="inlineStr">
        <is>
          <t>2022-2023</t>
        </is>
      </c>
      <c r="B113" t="inlineStr">
        <is>
          <t>2022-08-03</t>
        </is>
      </c>
      <c r="C113" t="inlineStr">
        <is>
          <t>20:41</t>
        </is>
      </c>
      <c r="D113" t="inlineStr">
        <is>
          <t>n° 34 + n° 35</t>
        </is>
      </c>
      <c r="E113" t="n">
        <v>2</v>
      </c>
      <c r="F113" t="n">
        <v>68</v>
      </c>
      <c r="G113" t="n">
        <v>5</v>
      </c>
      <c r="H113" t="n">
        <v>5</v>
      </c>
      <c r="I113">
        <f>IF(G113=H113,1,0)</f>
        <v/>
      </c>
      <c r="J113" t="inlineStr">
        <is>
          <t>CB / CB</t>
        </is>
      </c>
    </row>
    <row r="114">
      <c r="A114" t="inlineStr">
        <is>
          <t>2022-2023</t>
        </is>
      </c>
      <c r="B114" t="inlineStr">
        <is>
          <t>2022-08-04</t>
        </is>
      </c>
      <c r="C114" t="inlineStr">
        <is>
          <t>13:19</t>
        </is>
      </c>
      <c r="D114" t="inlineStr">
        <is>
          <t>n° 17 + n° 18</t>
        </is>
      </c>
      <c r="E114" t="n">
        <v>2</v>
      </c>
      <c r="F114" t="n">
        <v>63.3</v>
      </c>
      <c r="G114" t="n">
        <v>4</v>
      </c>
      <c r="H114" t="n">
        <v>4</v>
      </c>
      <c r="I114">
        <f>IF(G114=H114,1,0)</f>
        <v/>
      </c>
      <c r="J114" t="inlineStr">
        <is>
          <t>CB / CB</t>
        </is>
      </c>
    </row>
    <row r="115">
      <c r="A115" t="inlineStr">
        <is>
          <t>2022-2023</t>
        </is>
      </c>
      <c r="B115" t="inlineStr">
        <is>
          <t>2022-08-06</t>
        </is>
      </c>
      <c r="C115" t="inlineStr">
        <is>
          <t>19:04</t>
        </is>
      </c>
      <c r="D115" t="inlineStr">
        <is>
          <t>n° 18 + n° 19</t>
        </is>
      </c>
      <c r="E115" t="n">
        <v>2</v>
      </c>
      <c r="F115" t="n">
        <v>63.2</v>
      </c>
      <c r="G115" t="n">
        <v>5</v>
      </c>
      <c r="H115" t="n">
        <v>5</v>
      </c>
      <c r="I115">
        <f>IF(G115=H115,1,0)</f>
        <v/>
      </c>
      <c r="J115" t="inlineStr">
        <is>
          <t>CB / CB</t>
        </is>
      </c>
    </row>
    <row r="116">
      <c r="A116" t="inlineStr">
        <is>
          <t>2022-2023</t>
        </is>
      </c>
      <c r="B116" t="inlineStr">
        <is>
          <t>2022-08-07</t>
        </is>
      </c>
      <c r="C116" t="inlineStr">
        <is>
          <t>11:36</t>
        </is>
      </c>
      <c r="D116" t="inlineStr">
        <is>
          <t>n° 2 + n° 3</t>
        </is>
      </c>
      <c r="E116" t="n">
        <v>2</v>
      </c>
      <c r="F116" t="n">
        <v>46.7</v>
      </c>
      <c r="G116" t="n">
        <v>4</v>
      </c>
      <c r="H116" t="n">
        <v>4</v>
      </c>
      <c r="I116">
        <f>IF(G116=H116,1,0)</f>
        <v/>
      </c>
      <c r="J116" t="inlineStr">
        <is>
          <t>CB / CB</t>
        </is>
      </c>
    </row>
    <row r="117">
      <c r="A117" t="inlineStr">
        <is>
          <t>2022-2023</t>
        </is>
      </c>
      <c r="B117" t="inlineStr">
        <is>
          <t>2022-08-10</t>
        </is>
      </c>
      <c r="C117" t="inlineStr">
        <is>
          <t>11:45</t>
        </is>
      </c>
      <c r="D117" t="inlineStr">
        <is>
          <t>n° 3 + n° 4 + n° 5 + n° 6</t>
        </is>
      </c>
      <c r="E117" t="n">
        <v>4</v>
      </c>
      <c r="F117" t="n">
        <v>146.8</v>
      </c>
      <c r="G117" t="n">
        <v>8</v>
      </c>
      <c r="H117" t="n">
        <v>8</v>
      </c>
      <c r="I117">
        <f>IF(G117=H117,1,0)</f>
        <v/>
      </c>
      <c r="J117" t="inlineStr">
        <is>
          <t>CB / CB / CB / CB</t>
        </is>
      </c>
    </row>
    <row r="118">
      <c r="A118" t="inlineStr">
        <is>
          <t>2022-2023</t>
        </is>
      </c>
      <c r="B118" t="inlineStr">
        <is>
          <t>2022-08-11</t>
        </is>
      </c>
      <c r="C118" t="inlineStr">
        <is>
          <t>11:54</t>
        </is>
      </c>
      <c r="D118" t="inlineStr">
        <is>
          <t>n° 9 + n° 10</t>
        </is>
      </c>
      <c r="E118" t="n">
        <v>2</v>
      </c>
      <c r="F118" t="n">
        <v>46.8</v>
      </c>
      <c r="G118" t="n">
        <v>5</v>
      </c>
      <c r="H118" t="n">
        <v>5</v>
      </c>
      <c r="I118">
        <f>IF(G118=H118,1,0)</f>
        <v/>
      </c>
      <c r="J118" t="inlineStr">
        <is>
          <t>CB / CB</t>
        </is>
      </c>
    </row>
    <row r="119">
      <c r="A119" t="inlineStr">
        <is>
          <t>2022-2023</t>
        </is>
      </c>
      <c r="B119" t="inlineStr">
        <is>
          <t>2022-08-12</t>
        </is>
      </c>
      <c r="C119" t="inlineStr">
        <is>
          <t>12:38</t>
        </is>
      </c>
      <c r="D119" t="inlineStr">
        <is>
          <t>n° 18 + n° 19</t>
        </is>
      </c>
      <c r="E119" t="n">
        <v>2</v>
      </c>
      <c r="F119" t="n">
        <v>58.3</v>
      </c>
      <c r="G119" t="n">
        <v>7</v>
      </c>
      <c r="H119" t="n">
        <v>7</v>
      </c>
      <c r="I119">
        <f>IF(G119=H119,1,0)</f>
        <v/>
      </c>
      <c r="J119" t="inlineStr">
        <is>
          <t>CB / CB</t>
        </is>
      </c>
    </row>
    <row r="120">
      <c r="A120" t="inlineStr">
        <is>
          <t>2022-2023</t>
        </is>
      </c>
      <c r="B120" t="inlineStr">
        <is>
          <t>2022-08-13</t>
        </is>
      </c>
      <c r="C120" t="inlineStr">
        <is>
          <t>11:56</t>
        </is>
      </c>
      <c r="D120" t="inlineStr">
        <is>
          <t>n° 5 + n° 6 + n° 8 + n° 9</t>
        </is>
      </c>
      <c r="E120" t="n">
        <v>4</v>
      </c>
      <c r="F120" t="n">
        <v>154.8</v>
      </c>
      <c r="G120" t="n">
        <v>8</v>
      </c>
      <c r="H120" t="n">
        <v>8</v>
      </c>
      <c r="I120">
        <f>IF(G120=H120,1,0)</f>
        <v/>
      </c>
      <c r="J120" t="inlineStr">
        <is>
          <t>CB / CB / CB / CB</t>
        </is>
      </c>
    </row>
    <row r="121">
      <c r="A121" t="inlineStr">
        <is>
          <t>2022-2023</t>
        </is>
      </c>
      <c r="B121" t="inlineStr">
        <is>
          <t>2022-08-14</t>
        </is>
      </c>
      <c r="C121" t="inlineStr">
        <is>
          <t>13:05</t>
        </is>
      </c>
      <c r="D121" t="inlineStr">
        <is>
          <t>n° 10 + n° 11</t>
        </is>
      </c>
      <c r="E121" t="n">
        <v>2</v>
      </c>
      <c r="F121" t="n">
        <v>116.8</v>
      </c>
      <c r="G121" t="n">
        <v>3</v>
      </c>
      <c r="H121" t="n">
        <v>3</v>
      </c>
      <c r="I121">
        <f>IF(G121=H121,1,0)</f>
        <v/>
      </c>
      <c r="J121" t="inlineStr">
        <is>
          <t>CB / CB</t>
        </is>
      </c>
    </row>
    <row r="122">
      <c r="A122" t="inlineStr">
        <is>
          <t>2022-2023</t>
        </is>
      </c>
      <c r="B122" t="inlineStr">
        <is>
          <t>2022-08-14</t>
        </is>
      </c>
      <c r="C122" t="inlineStr">
        <is>
          <t>13:42</t>
        </is>
      </c>
      <c r="D122" t="inlineStr">
        <is>
          <t>n° 14 + n° 15</t>
        </is>
      </c>
      <c r="E122" t="n">
        <v>2</v>
      </c>
      <c r="F122" t="n">
        <v>163.7</v>
      </c>
      <c r="G122" t="n">
        <v>9</v>
      </c>
      <c r="H122" t="n">
        <v>9</v>
      </c>
      <c r="I122">
        <f>IF(G122=H122,1,0)</f>
        <v/>
      </c>
      <c r="J122" t="inlineStr">
        <is>
          <t>CB / CB</t>
        </is>
      </c>
    </row>
    <row r="123">
      <c r="A123" t="inlineStr">
        <is>
          <t>2022-2023</t>
        </is>
      </c>
      <c r="B123" t="inlineStr">
        <is>
          <t>2022-08-16</t>
        </is>
      </c>
      <c r="C123" t="inlineStr">
        <is>
          <t>12:03</t>
        </is>
      </c>
      <c r="D123" t="inlineStr">
        <is>
          <t>n° 6 + n° 7</t>
        </is>
      </c>
      <c r="E123" t="n">
        <v>2</v>
      </c>
      <c r="F123" t="n">
        <v>127.6</v>
      </c>
      <c r="G123" t="n">
        <v>3</v>
      </c>
      <c r="H123" t="n">
        <v>3</v>
      </c>
      <c r="I123">
        <f>IF(G123=H123,1,0)</f>
        <v/>
      </c>
      <c r="J123" t="inlineStr">
        <is>
          <t>CB / CB</t>
        </is>
      </c>
    </row>
    <row r="124">
      <c r="A124" t="inlineStr">
        <is>
          <t>2022-2023</t>
        </is>
      </c>
      <c r="B124" t="inlineStr">
        <is>
          <t>2022-08-16</t>
        </is>
      </c>
      <c r="C124" t="inlineStr">
        <is>
          <t>12:26</t>
        </is>
      </c>
      <c r="D124" t="inlineStr">
        <is>
          <t>n° 13 + n° 14</t>
        </is>
      </c>
      <c r="E124" t="n">
        <v>2</v>
      </c>
      <c r="F124" t="n">
        <v>106.4</v>
      </c>
      <c r="G124" t="n">
        <v>3</v>
      </c>
      <c r="H124" t="n">
        <v>3</v>
      </c>
      <c r="I124">
        <f>IF(G124=H124,1,0)</f>
        <v/>
      </c>
      <c r="J124" t="inlineStr">
        <is>
          <t>CB / CB</t>
        </is>
      </c>
    </row>
    <row r="125">
      <c r="A125" t="inlineStr">
        <is>
          <t>2022-2023</t>
        </is>
      </c>
      <c r="B125" t="inlineStr">
        <is>
          <t>2022-08-16</t>
        </is>
      </c>
      <c r="C125" t="inlineStr">
        <is>
          <t>20:04</t>
        </is>
      </c>
      <c r="D125" t="inlineStr">
        <is>
          <t>n° 30 + n° 31</t>
        </is>
      </c>
      <c r="E125" t="n">
        <v>2</v>
      </c>
      <c r="F125" t="n">
        <v>65.8</v>
      </c>
      <c r="G125" t="n">
        <v>3</v>
      </c>
      <c r="H125" t="n">
        <v>3</v>
      </c>
      <c r="I125">
        <f>IF(G125=H125,1,0)</f>
        <v/>
      </c>
      <c r="J125" t="inlineStr">
        <is>
          <t>CB / CB</t>
        </is>
      </c>
    </row>
    <row r="126">
      <c r="A126" t="inlineStr">
        <is>
          <t>2022-2023</t>
        </is>
      </c>
      <c r="B126" t="inlineStr">
        <is>
          <t>2022-08-17</t>
        </is>
      </c>
      <c r="C126" t="inlineStr">
        <is>
          <t>12:17</t>
        </is>
      </c>
      <c r="D126" t="inlineStr">
        <is>
          <t>n° 7 + n° 8 + n° 10 + n° 11</t>
        </is>
      </c>
      <c r="E126" t="n">
        <v>4</v>
      </c>
      <c r="F126" t="n">
        <v>195</v>
      </c>
      <c r="G126" t="n">
        <v>11</v>
      </c>
      <c r="H126" t="n">
        <v>11</v>
      </c>
      <c r="I126">
        <f>IF(G126=H126,1,0)</f>
        <v/>
      </c>
      <c r="J126" t="inlineStr">
        <is>
          <t>CB / CB / CB / CB</t>
        </is>
      </c>
    </row>
    <row r="127">
      <c r="A127" t="inlineStr">
        <is>
          <t>2022-2023</t>
        </is>
      </c>
      <c r="B127" t="inlineStr">
        <is>
          <t>2022-08-17</t>
        </is>
      </c>
      <c r="C127" t="inlineStr">
        <is>
          <t>19:38</t>
        </is>
      </c>
      <c r="D127" t="inlineStr">
        <is>
          <t>n° 22 + n° 23 + n° 24 + n° 25 + n° 27 + n° 28</t>
        </is>
      </c>
      <c r="E127" t="n">
        <v>6</v>
      </c>
      <c r="F127" t="n">
        <v>237.2</v>
      </c>
      <c r="G127" t="n">
        <v>9</v>
      </c>
      <c r="H127" t="n">
        <v>9</v>
      </c>
      <c r="I127">
        <f>IF(G127=H127,1,0)</f>
        <v/>
      </c>
      <c r="J127" t="inlineStr">
        <is>
          <t>CB / CB / CB / CB / CB / CB</t>
        </is>
      </c>
    </row>
    <row r="128">
      <c r="A128" t="inlineStr">
        <is>
          <t>2022-2023</t>
        </is>
      </c>
      <c r="B128" t="inlineStr">
        <is>
          <t>2022-08-18</t>
        </is>
      </c>
      <c r="C128" t="inlineStr">
        <is>
          <t>19:23</t>
        </is>
      </c>
      <c r="D128" t="inlineStr">
        <is>
          <t>n° 20 + n° 21</t>
        </is>
      </c>
      <c r="E128" t="n">
        <v>2</v>
      </c>
      <c r="F128" t="n">
        <v>40.2</v>
      </c>
      <c r="G128" t="n">
        <v>8</v>
      </c>
      <c r="H128" t="n">
        <v>8</v>
      </c>
      <c r="I128">
        <f>IF(G128=H128,1,0)</f>
        <v/>
      </c>
      <c r="J128" t="inlineStr">
        <is>
          <t>CB / CB</t>
        </is>
      </c>
    </row>
    <row r="129">
      <c r="A129" t="inlineStr">
        <is>
          <t>2022-2023</t>
        </is>
      </c>
      <c r="B129" t="inlineStr">
        <is>
          <t>2022-08-18</t>
        </is>
      </c>
      <c r="C129" t="inlineStr">
        <is>
          <t>20:13</t>
        </is>
      </c>
      <c r="D129" t="inlineStr">
        <is>
          <t>n° 33 + n° 34</t>
        </is>
      </c>
      <c r="E129" t="n">
        <v>2</v>
      </c>
      <c r="F129" t="n">
        <v>169.6</v>
      </c>
      <c r="G129" t="n">
        <v>6</v>
      </c>
      <c r="H129" t="n">
        <v>6</v>
      </c>
      <c r="I129">
        <f>IF(G129=H129,1,0)</f>
        <v/>
      </c>
      <c r="J129" t="inlineStr">
        <is>
          <t>CB / CB</t>
        </is>
      </c>
    </row>
    <row r="130">
      <c r="A130" t="inlineStr">
        <is>
          <t>2022-2023</t>
        </is>
      </c>
      <c r="B130" t="inlineStr">
        <is>
          <t>2022-08-19</t>
        </is>
      </c>
      <c r="C130" t="inlineStr">
        <is>
          <t>12:36</t>
        </is>
      </c>
      <c r="D130" t="inlineStr">
        <is>
          <t>n° 11 + n° 12</t>
        </is>
      </c>
      <c r="E130" t="n">
        <v>2</v>
      </c>
      <c r="F130" t="n">
        <v>86.09999999999999</v>
      </c>
      <c r="G130" t="n">
        <v>1</v>
      </c>
      <c r="H130" t="n">
        <v>1</v>
      </c>
      <c r="I130">
        <f>IF(G130=H130,1,0)</f>
        <v/>
      </c>
      <c r="J130" t="inlineStr">
        <is>
          <t>CB / CB</t>
        </is>
      </c>
    </row>
    <row r="131">
      <c r="A131" t="inlineStr">
        <is>
          <t>2022-2023</t>
        </is>
      </c>
      <c r="B131" t="inlineStr">
        <is>
          <t>2022-08-20</t>
        </is>
      </c>
      <c r="C131" t="inlineStr">
        <is>
          <t>19:50</t>
        </is>
      </c>
      <c r="D131" t="inlineStr">
        <is>
          <t>n° 26 + n° 27 + n° 30 + n° 31</t>
        </is>
      </c>
      <c r="E131" t="n">
        <v>4</v>
      </c>
      <c r="F131" t="n">
        <v>249.5</v>
      </c>
      <c r="G131" t="n">
        <v>9</v>
      </c>
      <c r="H131" t="n">
        <v>9</v>
      </c>
      <c r="I131">
        <f>IF(G131=H131,1,0)</f>
        <v/>
      </c>
      <c r="J131" t="inlineStr">
        <is>
          <t>CB / CB / CHV/CB / TR/CB</t>
        </is>
      </c>
    </row>
    <row r="132">
      <c r="A132" t="inlineStr">
        <is>
          <t>2022-2023</t>
        </is>
      </c>
      <c r="B132" t="inlineStr">
        <is>
          <t>2022-08-21</t>
        </is>
      </c>
      <c r="C132" t="inlineStr">
        <is>
          <t>12:05</t>
        </is>
      </c>
      <c r="D132" t="inlineStr">
        <is>
          <t>n° 6 + n° 7</t>
        </is>
      </c>
      <c r="E132" t="n">
        <v>2</v>
      </c>
      <c r="F132" t="n">
        <v>70.40000000000001</v>
      </c>
      <c r="G132" t="n">
        <v>1</v>
      </c>
      <c r="H132" t="n">
        <v>1</v>
      </c>
      <c r="I132">
        <f>IF(G132=H132,1,0)</f>
        <v/>
      </c>
      <c r="J132" t="inlineStr">
        <is>
          <t>CB / CB</t>
        </is>
      </c>
    </row>
    <row r="133">
      <c r="A133" t="inlineStr">
        <is>
          <t>2022-2023</t>
        </is>
      </c>
      <c r="B133" t="inlineStr">
        <is>
          <t>2022-08-24</t>
        </is>
      </c>
      <c r="C133" t="inlineStr">
        <is>
          <t>19:37</t>
        </is>
      </c>
      <c r="D133" t="inlineStr">
        <is>
          <t>n° 20 + n° 21</t>
        </is>
      </c>
      <c r="E133" t="n">
        <v>2</v>
      </c>
      <c r="F133" t="n">
        <v>126.2</v>
      </c>
      <c r="G133" t="n">
        <v>4</v>
      </c>
      <c r="H133" t="n">
        <v>4</v>
      </c>
      <c r="I133">
        <f>IF(G133=H133,1,0)</f>
        <v/>
      </c>
      <c r="J133" t="inlineStr">
        <is>
          <t>CB / CB</t>
        </is>
      </c>
    </row>
    <row r="134">
      <c r="A134" t="inlineStr">
        <is>
          <t>2022-2023</t>
        </is>
      </c>
      <c r="B134" t="inlineStr">
        <is>
          <t>2022-08-24</t>
        </is>
      </c>
      <c r="C134" t="inlineStr">
        <is>
          <t>20:31</t>
        </is>
      </c>
      <c r="D134" t="inlineStr">
        <is>
          <t>n° 28 + n° 29 + n° 30 + n° 31</t>
        </is>
      </c>
      <c r="E134" t="n">
        <v>4</v>
      </c>
      <c r="F134" t="n">
        <v>181.7</v>
      </c>
      <c r="G134" t="n">
        <v>14</v>
      </c>
      <c r="H134" t="n">
        <v>14</v>
      </c>
      <c r="I134">
        <f>IF(G134=H134,1,0)</f>
        <v/>
      </c>
      <c r="J134" t="inlineStr">
        <is>
          <t>CB / CB / CHV/CB / TR/CB</t>
        </is>
      </c>
    </row>
    <row r="135">
      <c r="A135" t="inlineStr">
        <is>
          <t>2022-2023</t>
        </is>
      </c>
      <c r="B135" t="inlineStr">
        <is>
          <t>2022-08-25</t>
        </is>
      </c>
      <c r="C135" t="inlineStr">
        <is>
          <t>20:31</t>
        </is>
      </c>
      <c r="D135" t="inlineStr">
        <is>
          <t>n° 28 + n° 29</t>
        </is>
      </c>
      <c r="E135" t="n">
        <v>2</v>
      </c>
      <c r="F135" t="n">
        <v>136.7</v>
      </c>
      <c r="G135" t="n">
        <v>7</v>
      </c>
      <c r="H135" t="n">
        <v>7</v>
      </c>
      <c r="I135">
        <f>IF(G135=H135,1,0)</f>
        <v/>
      </c>
      <c r="J135" t="inlineStr">
        <is>
          <t>CB / CHV</t>
        </is>
      </c>
    </row>
    <row r="136">
      <c r="A136" t="inlineStr">
        <is>
          <t>2022-2023</t>
        </is>
      </c>
      <c r="B136" t="inlineStr">
        <is>
          <t>2022-08-26</t>
        </is>
      </c>
      <c r="C136" t="inlineStr">
        <is>
          <t>12:31</t>
        </is>
      </c>
      <c r="D136" t="inlineStr">
        <is>
          <t>n° 10 + n° 11</t>
        </is>
      </c>
      <c r="E136" t="n">
        <v>2</v>
      </c>
      <c r="F136" t="n">
        <v>115.5</v>
      </c>
      <c r="G136" t="n">
        <v>7</v>
      </c>
      <c r="H136" t="n">
        <v>7</v>
      </c>
      <c r="I136">
        <f>IF(G136=H136,1,0)</f>
        <v/>
      </c>
      <c r="J136" t="inlineStr">
        <is>
          <t>CB / CB</t>
        </is>
      </c>
    </row>
    <row r="137">
      <c r="A137" t="inlineStr">
        <is>
          <t>2022-2023</t>
        </is>
      </c>
      <c r="B137" t="inlineStr">
        <is>
          <t>2022-08-27</t>
        </is>
      </c>
      <c r="C137" t="inlineStr">
        <is>
          <t>20:24</t>
        </is>
      </c>
      <c r="D137" t="inlineStr">
        <is>
          <t>n° 32 + n° 33</t>
        </is>
      </c>
      <c r="E137" t="n">
        <v>2</v>
      </c>
      <c r="F137" t="n">
        <v>62.5</v>
      </c>
      <c r="G137" t="n">
        <v>5</v>
      </c>
      <c r="H137" t="n">
        <v>5</v>
      </c>
      <c r="I137">
        <f>IF(G137=H137,1,0)</f>
        <v/>
      </c>
      <c r="J137" t="inlineStr">
        <is>
          <t>CB / CB</t>
        </is>
      </c>
    </row>
    <row r="138">
      <c r="A138" t="inlineStr">
        <is>
          <t>2022-2023</t>
        </is>
      </c>
      <c r="B138" t="inlineStr">
        <is>
          <t>2022-08-27</t>
        </is>
      </c>
      <c r="C138" t="inlineStr">
        <is>
          <t>20:40</t>
        </is>
      </c>
      <c r="D138" t="inlineStr">
        <is>
          <t>n° 34 + n° 35 + n° 36</t>
        </is>
      </c>
      <c r="E138" t="n">
        <v>3</v>
      </c>
      <c r="F138" t="n">
        <v>129.6</v>
      </c>
      <c r="G138" t="n">
        <v>5</v>
      </c>
      <c r="H138" t="n">
        <v>5</v>
      </c>
      <c r="I138">
        <f>IF(G138=H138,1,0)</f>
        <v/>
      </c>
      <c r="J138" t="inlineStr">
        <is>
          <t>CB / CB / CB</t>
        </is>
      </c>
    </row>
    <row r="139">
      <c r="A139" t="inlineStr">
        <is>
          <t>2022-2023</t>
        </is>
      </c>
      <c r="B139" t="inlineStr">
        <is>
          <t>2022-08-31</t>
        </is>
      </c>
      <c r="C139" t="inlineStr">
        <is>
          <t>19:50</t>
        </is>
      </c>
      <c r="D139" t="inlineStr">
        <is>
          <t>n° 32 + n° 33</t>
        </is>
      </c>
      <c r="E139" t="n">
        <v>2</v>
      </c>
      <c r="F139" t="n">
        <v>32.6</v>
      </c>
      <c r="G139" t="n">
        <v>6</v>
      </c>
      <c r="H139" t="n">
        <v>6</v>
      </c>
      <c r="I139">
        <f>IF(G139=H139,1,0)</f>
        <v/>
      </c>
      <c r="J139" t="inlineStr">
        <is>
          <t>CB / CB</t>
        </is>
      </c>
    </row>
    <row r="140">
      <c r="A140" t="inlineStr">
        <is>
          <t>2022-2023</t>
        </is>
      </c>
      <c r="B140" t="inlineStr">
        <is>
          <t>2022-09-01</t>
        </is>
      </c>
      <c r="C140" t="inlineStr">
        <is>
          <t>12:48</t>
        </is>
      </c>
      <c r="D140" t="inlineStr">
        <is>
          <t>n° 13 + n° 14</t>
        </is>
      </c>
      <c r="E140" t="n">
        <v>2</v>
      </c>
      <c r="F140" t="n">
        <v>52.6</v>
      </c>
      <c r="G140" t="n">
        <v>3</v>
      </c>
      <c r="H140" t="n">
        <v>3</v>
      </c>
      <c r="I140">
        <f>IF(G140=H140,1,0)</f>
        <v/>
      </c>
      <c r="J140" t="inlineStr">
        <is>
          <t>CB / CB</t>
        </is>
      </c>
    </row>
    <row r="141">
      <c r="A141" t="inlineStr">
        <is>
          <t>2022-2023</t>
        </is>
      </c>
      <c r="B141" t="inlineStr">
        <is>
          <t>2022-09-01</t>
        </is>
      </c>
      <c r="C141" t="inlineStr">
        <is>
          <t>20:19</t>
        </is>
      </c>
      <c r="D141" t="inlineStr">
        <is>
          <t>n° 32 + n° 33</t>
        </is>
      </c>
      <c r="E141" t="n">
        <v>2</v>
      </c>
      <c r="F141" t="n">
        <v>67.7</v>
      </c>
      <c r="G141" t="n">
        <v>6</v>
      </c>
      <c r="H141" t="n">
        <v>6</v>
      </c>
      <c r="I141">
        <f>IF(G141=H141,1,0)</f>
        <v/>
      </c>
      <c r="J141" t="inlineStr">
        <is>
          <t>CB / CB</t>
        </is>
      </c>
    </row>
    <row r="142">
      <c r="A142" t="inlineStr">
        <is>
          <t>2022-2023</t>
        </is>
      </c>
      <c r="B142" t="inlineStr">
        <is>
          <t>2022-09-03</t>
        </is>
      </c>
      <c r="C142" t="inlineStr">
        <is>
          <t>11:38</t>
        </is>
      </c>
      <c r="D142" t="inlineStr">
        <is>
          <t>n° 3 + n° 4</t>
        </is>
      </c>
      <c r="E142" t="n">
        <v>2</v>
      </c>
      <c r="F142" t="n">
        <v>47.9</v>
      </c>
      <c r="G142" t="n">
        <v>2</v>
      </c>
      <c r="H142" t="n">
        <v>2</v>
      </c>
      <c r="I142">
        <f>IF(G142=H142,1,0)</f>
        <v/>
      </c>
      <c r="J142" t="inlineStr">
        <is>
          <t>CB / CB</t>
        </is>
      </c>
    </row>
    <row r="143">
      <c r="A143" t="inlineStr">
        <is>
          <t>2022-2023</t>
        </is>
      </c>
      <c r="B143" t="inlineStr">
        <is>
          <t>2022-09-03</t>
        </is>
      </c>
      <c r="C143" t="inlineStr">
        <is>
          <t>12:37</t>
        </is>
      </c>
      <c r="D143" t="inlineStr">
        <is>
          <t>n° 13 + n° 14</t>
        </is>
      </c>
      <c r="E143" t="n">
        <v>2</v>
      </c>
      <c r="F143" t="n">
        <v>95.59999999999999</v>
      </c>
      <c r="G143" t="n">
        <v>1</v>
      </c>
      <c r="H143" t="n">
        <v>1</v>
      </c>
      <c r="I143">
        <f>IF(G143=H143,1,0)</f>
        <v/>
      </c>
      <c r="J143" t="inlineStr">
        <is>
          <t>CB / CB</t>
        </is>
      </c>
    </row>
    <row r="144">
      <c r="A144" t="inlineStr">
        <is>
          <t>2022-2023</t>
        </is>
      </c>
      <c r="B144" t="inlineStr">
        <is>
          <t>2022-09-07</t>
        </is>
      </c>
      <c r="C144" t="inlineStr">
        <is>
          <t>19:27</t>
        </is>
      </c>
      <c r="D144" t="inlineStr">
        <is>
          <t>n° 19 + n° 20</t>
        </is>
      </c>
      <c r="E144" t="n">
        <v>2</v>
      </c>
      <c r="F144" t="n">
        <v>57.3</v>
      </c>
      <c r="G144" t="n">
        <v>3</v>
      </c>
      <c r="H144" t="n">
        <v>3</v>
      </c>
      <c r="I144">
        <f>IF(G144=H144,1,0)</f>
        <v/>
      </c>
      <c r="J144" t="inlineStr">
        <is>
          <t>CB / CB</t>
        </is>
      </c>
    </row>
    <row r="145">
      <c r="A145" t="inlineStr">
        <is>
          <t>2022-2023</t>
        </is>
      </c>
      <c r="B145" t="inlineStr">
        <is>
          <t>2022-09-08</t>
        </is>
      </c>
      <c r="C145" t="inlineStr">
        <is>
          <t>12:32</t>
        </is>
      </c>
      <c r="D145" t="inlineStr">
        <is>
          <t>n° 10 + n° 11 + n° 14 + n° 15</t>
        </is>
      </c>
      <c r="E145" t="n">
        <v>4</v>
      </c>
      <c r="F145" t="n">
        <v>150</v>
      </c>
      <c r="G145" t="n">
        <v>9</v>
      </c>
      <c r="H145" t="n">
        <v>9</v>
      </c>
      <c r="I145">
        <f>IF(G145=H145,1,0)</f>
        <v/>
      </c>
      <c r="J145" t="inlineStr">
        <is>
          <t>CB / CB / CB / CB</t>
        </is>
      </c>
    </row>
    <row r="146">
      <c r="A146" t="inlineStr">
        <is>
          <t>2022-2023</t>
        </is>
      </c>
      <c r="B146" t="inlineStr">
        <is>
          <t>2022-09-08</t>
        </is>
      </c>
      <c r="C146" t="inlineStr">
        <is>
          <t>20:38</t>
        </is>
      </c>
      <c r="D146" t="inlineStr">
        <is>
          <t>n° 36 + n° 37</t>
        </is>
      </c>
      <c r="E146" t="n">
        <v>2</v>
      </c>
      <c r="F146" t="n">
        <v>80.59999999999999</v>
      </c>
      <c r="G146" t="n">
        <v>3</v>
      </c>
      <c r="H146" t="n">
        <v>3</v>
      </c>
      <c r="I146">
        <f>IF(G146=H146,1,0)</f>
        <v/>
      </c>
      <c r="J146" t="inlineStr">
        <is>
          <t>ESP / ESP</t>
        </is>
      </c>
    </row>
    <row r="147">
      <c r="A147" t="inlineStr">
        <is>
          <t>2022-2023</t>
        </is>
      </c>
      <c r="B147" t="inlineStr">
        <is>
          <t>2022-09-09</t>
        </is>
      </c>
      <c r="C147" t="inlineStr">
        <is>
          <t>11:40</t>
        </is>
      </c>
      <c r="D147" t="inlineStr">
        <is>
          <t>n° 1 + n° 2</t>
        </is>
      </c>
      <c r="E147" t="n">
        <v>2</v>
      </c>
      <c r="F147" t="n">
        <v>83.7</v>
      </c>
      <c r="G147" t="n">
        <v>5</v>
      </c>
      <c r="H147" t="n">
        <v>5</v>
      </c>
      <c r="I147">
        <f>IF(G147=H147,1,0)</f>
        <v/>
      </c>
      <c r="J147" t="inlineStr">
        <is>
          <t>CB / CB</t>
        </is>
      </c>
    </row>
    <row r="148">
      <c r="A148" t="inlineStr">
        <is>
          <t>2022-2023</t>
        </is>
      </c>
      <c r="B148" t="inlineStr">
        <is>
          <t>2022-09-09</t>
        </is>
      </c>
      <c r="C148" t="inlineStr">
        <is>
          <t>12:50</t>
        </is>
      </c>
      <c r="D148" t="inlineStr">
        <is>
          <t>n° 11 + n° 12</t>
        </is>
      </c>
      <c r="E148" t="n">
        <v>2</v>
      </c>
      <c r="F148" t="n">
        <v>76.59999999999999</v>
      </c>
      <c r="G148" t="n">
        <v>4</v>
      </c>
      <c r="H148" t="n">
        <v>4</v>
      </c>
      <c r="I148">
        <f>IF(G148=H148,1,0)</f>
        <v/>
      </c>
      <c r="J148" t="inlineStr">
        <is>
          <t>CB / TR/ESP</t>
        </is>
      </c>
    </row>
    <row r="149">
      <c r="A149" t="inlineStr">
        <is>
          <t>2022-2023</t>
        </is>
      </c>
      <c r="B149" t="inlineStr">
        <is>
          <t>2022-09-09</t>
        </is>
      </c>
      <c r="C149" t="inlineStr">
        <is>
          <t>19:34</t>
        </is>
      </c>
      <c r="D149" t="inlineStr">
        <is>
          <t>n° 20 + n° 21</t>
        </is>
      </c>
      <c r="E149" t="n">
        <v>2</v>
      </c>
      <c r="F149" t="n">
        <v>132.8</v>
      </c>
      <c r="G149" t="n">
        <v>8</v>
      </c>
      <c r="H149" t="n">
        <v>8</v>
      </c>
      <c r="I149">
        <f>IF(G149=H149,1,0)</f>
        <v/>
      </c>
      <c r="J149" t="inlineStr">
        <is>
          <t>CB / CB</t>
        </is>
      </c>
    </row>
    <row r="150">
      <c r="A150" t="inlineStr">
        <is>
          <t>2022-2023</t>
        </is>
      </c>
      <c r="B150" t="inlineStr">
        <is>
          <t>2022-09-10</t>
        </is>
      </c>
      <c r="C150" t="inlineStr">
        <is>
          <t>13:02</t>
        </is>
      </c>
      <c r="D150" t="inlineStr">
        <is>
          <t>n° 13 + n° 14 + n° 16 + n° 17</t>
        </is>
      </c>
      <c r="E150" t="n">
        <v>4</v>
      </c>
      <c r="F150" t="n">
        <v>165</v>
      </c>
      <c r="G150" t="n">
        <v>12</v>
      </c>
      <c r="H150" t="n">
        <v>12</v>
      </c>
      <c r="I150">
        <f>IF(G150=H150,1,0)</f>
        <v/>
      </c>
      <c r="J150" t="inlineStr">
        <is>
          <t>CB / CB / CB / CB</t>
        </is>
      </c>
    </row>
    <row r="151">
      <c r="A151" t="inlineStr">
        <is>
          <t>2022-2023</t>
        </is>
      </c>
      <c r="B151" t="inlineStr">
        <is>
          <t>2022-09-11</t>
        </is>
      </c>
      <c r="C151" t="inlineStr">
        <is>
          <t>12:38</t>
        </is>
      </c>
      <c r="D151" t="inlineStr">
        <is>
          <t>n° 9 + n° 10</t>
        </is>
      </c>
      <c r="E151" t="n">
        <v>2</v>
      </c>
      <c r="F151" t="n">
        <v>164</v>
      </c>
      <c r="G151" t="n">
        <v>8</v>
      </c>
      <c r="H151" t="n">
        <v>8</v>
      </c>
      <c r="I151">
        <f>IF(G151=H151,1,0)</f>
        <v/>
      </c>
      <c r="J151" t="inlineStr">
        <is>
          <t>CB / CB</t>
        </is>
      </c>
    </row>
    <row r="152">
      <c r="A152" t="inlineStr">
        <is>
          <t>2022-2023</t>
        </is>
      </c>
      <c r="B152" t="inlineStr">
        <is>
          <t>2022-09-14</t>
        </is>
      </c>
      <c r="C152" t="inlineStr">
        <is>
          <t>12:38</t>
        </is>
      </c>
      <c r="D152" t="inlineStr">
        <is>
          <t>n° 11 + n° 12</t>
        </is>
      </c>
      <c r="E152" t="n">
        <v>2</v>
      </c>
      <c r="F152" t="n">
        <v>59.8</v>
      </c>
      <c r="G152" t="n">
        <v>7</v>
      </c>
      <c r="H152" t="n">
        <v>7</v>
      </c>
      <c r="I152">
        <f>IF(G152=H152,1,0)</f>
        <v/>
      </c>
      <c r="J152" t="inlineStr">
        <is>
          <t>CB / CB</t>
        </is>
      </c>
    </row>
    <row r="153">
      <c r="A153" t="inlineStr">
        <is>
          <t>2022-2023</t>
        </is>
      </c>
      <c r="B153" t="inlineStr">
        <is>
          <t>2022-09-14</t>
        </is>
      </c>
      <c r="C153" t="inlineStr">
        <is>
          <t>18:57</t>
        </is>
      </c>
      <c r="D153" t="inlineStr">
        <is>
          <t>n° 15 + n° 16</t>
        </is>
      </c>
      <c r="E153" t="n">
        <v>2</v>
      </c>
      <c r="F153" t="n">
        <v>54.7</v>
      </c>
      <c r="G153" t="n">
        <v>4</v>
      </c>
      <c r="H153" t="n">
        <v>4</v>
      </c>
      <c r="I153">
        <f>IF(G153=H153,1,0)</f>
        <v/>
      </c>
      <c r="J153" t="inlineStr">
        <is>
          <t>CB / CB</t>
        </is>
      </c>
    </row>
    <row r="154">
      <c r="A154" t="inlineStr">
        <is>
          <t>2022-2023</t>
        </is>
      </c>
      <c r="B154" t="inlineStr">
        <is>
          <t>2022-09-15</t>
        </is>
      </c>
      <c r="C154" t="inlineStr">
        <is>
          <t>11:44</t>
        </is>
      </c>
      <c r="D154" t="inlineStr">
        <is>
          <t>n° 3 + n° 4</t>
        </is>
      </c>
      <c r="E154" t="n">
        <v>2</v>
      </c>
      <c r="F154" t="n">
        <v>39.8</v>
      </c>
      <c r="G154" t="n">
        <v>2</v>
      </c>
      <c r="H154" t="n">
        <v>2</v>
      </c>
      <c r="I154">
        <f>IF(G154=H154,1,0)</f>
        <v/>
      </c>
      <c r="J154" t="inlineStr">
        <is>
          <t>CB / CB</t>
        </is>
      </c>
    </row>
    <row r="155">
      <c r="A155" t="inlineStr">
        <is>
          <t>2022-2023</t>
        </is>
      </c>
      <c r="B155" t="inlineStr">
        <is>
          <t>2022-09-15</t>
        </is>
      </c>
      <c r="C155" t="inlineStr">
        <is>
          <t>12:31</t>
        </is>
      </c>
      <c r="D155" t="inlineStr">
        <is>
          <t>n° 15 + n° 18 + n° 19</t>
        </is>
      </c>
      <c r="E155" t="n">
        <v>3</v>
      </c>
      <c r="F155" t="n">
        <v>158.6</v>
      </c>
      <c r="G155" t="n">
        <v>11</v>
      </c>
      <c r="H155" t="n">
        <v>6</v>
      </c>
      <c r="I155">
        <f>IF(G155=H155,1,0)</f>
        <v/>
      </c>
      <c r="J155" t="inlineStr">
        <is>
          <t>CB / CB / CB</t>
        </is>
      </c>
    </row>
    <row r="156">
      <c r="A156" t="inlineStr">
        <is>
          <t>2022-2023</t>
        </is>
      </c>
      <c r="B156" t="inlineStr">
        <is>
          <t>2022-09-15</t>
        </is>
      </c>
      <c r="C156" t="inlineStr">
        <is>
          <t>19:41</t>
        </is>
      </c>
      <c r="D156" t="inlineStr">
        <is>
          <t>n° 26 + n° 27 + n° 28</t>
        </is>
      </c>
      <c r="E156" t="n">
        <v>3</v>
      </c>
      <c r="F156" t="n">
        <v>80.40000000000001</v>
      </c>
      <c r="G156" t="n">
        <v>7</v>
      </c>
      <c r="H156" t="n">
        <v>7</v>
      </c>
      <c r="I156">
        <f>IF(G156=H156,1,0)</f>
        <v/>
      </c>
      <c r="J156" t="inlineStr">
        <is>
          <t>CB / CB / CB</t>
        </is>
      </c>
    </row>
    <row r="157">
      <c r="A157" t="inlineStr">
        <is>
          <t>2022-2023</t>
        </is>
      </c>
      <c r="B157" t="inlineStr">
        <is>
          <t>2022-09-17</t>
        </is>
      </c>
      <c r="C157" t="inlineStr">
        <is>
          <t>19:01</t>
        </is>
      </c>
      <c r="D157" t="inlineStr">
        <is>
          <t>n° 16 + n° 17</t>
        </is>
      </c>
      <c r="E157" t="n">
        <v>2</v>
      </c>
      <c r="F157" t="n">
        <v>108.2</v>
      </c>
      <c r="G157" t="n">
        <v>7</v>
      </c>
      <c r="H157" t="n">
        <v>7</v>
      </c>
      <c r="I157">
        <f>IF(G157=H157,1,0)</f>
        <v/>
      </c>
      <c r="J157" t="inlineStr">
        <is>
          <t>CB / CB</t>
        </is>
      </c>
    </row>
    <row r="158">
      <c r="A158" t="inlineStr">
        <is>
          <t>2022-2023</t>
        </is>
      </c>
      <c r="B158" t="inlineStr">
        <is>
          <t>2022-09-17</t>
        </is>
      </c>
      <c r="C158" t="inlineStr">
        <is>
          <t>20:19</t>
        </is>
      </c>
      <c r="D158" t="inlineStr">
        <is>
          <t>n° 31 + n° 32</t>
        </is>
      </c>
      <c r="E158" t="n">
        <v>2</v>
      </c>
      <c r="F158" t="n">
        <v>49.5</v>
      </c>
      <c r="G158" t="n">
        <v>2</v>
      </c>
      <c r="H158" t="n">
        <v>2</v>
      </c>
      <c r="I158">
        <f>IF(G158=H158,1,0)</f>
        <v/>
      </c>
      <c r="J158" t="inlineStr">
        <is>
          <t>TR/CB / CB</t>
        </is>
      </c>
    </row>
    <row r="159">
      <c r="A159" t="inlineStr">
        <is>
          <t>2022-2023</t>
        </is>
      </c>
      <c r="B159" t="inlineStr">
        <is>
          <t>2022-09-18</t>
        </is>
      </c>
      <c r="C159" t="inlineStr">
        <is>
          <t>12:44</t>
        </is>
      </c>
      <c r="D159" t="inlineStr">
        <is>
          <t>n° 6 + n° 7</t>
        </is>
      </c>
      <c r="E159" t="n">
        <v>2</v>
      </c>
      <c r="F159" t="n">
        <v>104.6</v>
      </c>
      <c r="G159" t="n">
        <v>4</v>
      </c>
      <c r="H159" t="n">
        <v>4</v>
      </c>
      <c r="I159">
        <f>IF(G159=H159,1,0)</f>
        <v/>
      </c>
      <c r="J159" t="inlineStr">
        <is>
          <t>CB / CB</t>
        </is>
      </c>
    </row>
    <row r="160">
      <c r="A160" t="inlineStr">
        <is>
          <t>2022-2023</t>
        </is>
      </c>
      <c r="B160" t="inlineStr">
        <is>
          <t>2022-09-22</t>
        </is>
      </c>
      <c r="C160" t="inlineStr">
        <is>
          <t>12:59</t>
        </is>
      </c>
      <c r="D160" t="inlineStr">
        <is>
          <t>n° 16 + n° 17</t>
        </is>
      </c>
      <c r="E160" t="n">
        <v>2</v>
      </c>
      <c r="F160" t="n">
        <v>73.09999999999999</v>
      </c>
      <c r="G160" t="n">
        <v>4</v>
      </c>
      <c r="H160" t="n">
        <v>4</v>
      </c>
      <c r="I160">
        <f>IF(G160=H160,1,0)</f>
        <v/>
      </c>
      <c r="J160" t="inlineStr">
        <is>
          <t>CB / CHV/TR</t>
        </is>
      </c>
    </row>
    <row r="161">
      <c r="A161" t="inlineStr">
        <is>
          <t>2022-2023</t>
        </is>
      </c>
      <c r="B161" t="inlineStr">
        <is>
          <t>2022-09-23</t>
        </is>
      </c>
      <c r="C161" t="inlineStr">
        <is>
          <t>11:50</t>
        </is>
      </c>
      <c r="D161" t="inlineStr">
        <is>
          <t>n° 4 + n° 5</t>
        </is>
      </c>
      <c r="E161" t="n">
        <v>2</v>
      </c>
      <c r="F161" t="n">
        <v>58</v>
      </c>
      <c r="G161" t="n">
        <v>1</v>
      </c>
      <c r="H161" t="n">
        <v>1</v>
      </c>
      <c r="I161">
        <f>IF(G161=H161,1,0)</f>
        <v/>
      </c>
      <c r="J161" t="inlineStr">
        <is>
          <t>CB / CB</t>
        </is>
      </c>
    </row>
    <row r="162">
      <c r="A162" t="inlineStr">
        <is>
          <t>2022-2023</t>
        </is>
      </c>
      <c r="B162" t="inlineStr">
        <is>
          <t>2022-09-23</t>
        </is>
      </c>
      <c r="C162" t="inlineStr">
        <is>
          <t>12:27</t>
        </is>
      </c>
      <c r="D162" t="inlineStr">
        <is>
          <t>n° 13 + n° 14</t>
        </is>
      </c>
      <c r="E162" t="n">
        <v>2</v>
      </c>
      <c r="F162" t="n">
        <v>195.3</v>
      </c>
      <c r="G162" t="n">
        <v>10</v>
      </c>
      <c r="H162" t="n">
        <v>10</v>
      </c>
      <c r="I162">
        <f>IF(G162=H162,1,0)</f>
        <v/>
      </c>
      <c r="J162" t="inlineStr">
        <is>
          <t>CB / CB</t>
        </is>
      </c>
    </row>
    <row r="163">
      <c r="A163" t="inlineStr">
        <is>
          <t>2022-2023</t>
        </is>
      </c>
      <c r="B163" t="inlineStr">
        <is>
          <t>2022-09-23</t>
        </is>
      </c>
      <c r="C163" t="inlineStr">
        <is>
          <t>19:35</t>
        </is>
      </c>
      <c r="D163" t="inlineStr">
        <is>
          <t>n° 26 + n° 27</t>
        </is>
      </c>
      <c r="E163" t="n">
        <v>2</v>
      </c>
      <c r="F163" t="n">
        <v>70.40000000000001</v>
      </c>
      <c r="G163" t="n">
        <v>4</v>
      </c>
      <c r="H163" t="n">
        <v>4</v>
      </c>
      <c r="I163">
        <f>IF(G163=H163,1,0)</f>
        <v/>
      </c>
      <c r="J163" t="inlineStr">
        <is>
          <t>CB / CB</t>
        </is>
      </c>
    </row>
    <row r="164">
      <c r="A164" t="inlineStr">
        <is>
          <t>2022-2023</t>
        </is>
      </c>
      <c r="B164" t="inlineStr">
        <is>
          <t>2022-09-24</t>
        </is>
      </c>
      <c r="C164" t="inlineStr">
        <is>
          <t>19:08</t>
        </is>
      </c>
      <c r="D164" t="inlineStr">
        <is>
          <t>n° 22 + n° 23 + n° 25 + n° 26</t>
        </is>
      </c>
      <c r="E164" t="n">
        <v>4</v>
      </c>
      <c r="F164" t="n">
        <v>247.3</v>
      </c>
      <c r="G164" t="n">
        <v>13</v>
      </c>
      <c r="H164" t="n">
        <v>13</v>
      </c>
      <c r="I164">
        <f>IF(G164=H164,1,0)</f>
        <v/>
      </c>
      <c r="J164" t="inlineStr">
        <is>
          <t>CB / CB / CB / CB</t>
        </is>
      </c>
    </row>
    <row r="165">
      <c r="A165" t="inlineStr">
        <is>
          <t>2022-2023</t>
        </is>
      </c>
      <c r="B165" t="inlineStr">
        <is>
          <t>2022-09-25</t>
        </is>
      </c>
      <c r="C165" t="inlineStr">
        <is>
          <t>19:49</t>
        </is>
      </c>
      <c r="D165" t="inlineStr">
        <is>
          <t>n° 20 + n° 21</t>
        </is>
      </c>
      <c r="E165" t="n">
        <v>2</v>
      </c>
      <c r="F165" t="n">
        <v>66.5</v>
      </c>
      <c r="G165" t="n">
        <v>6</v>
      </c>
      <c r="H165" t="n">
        <v>6</v>
      </c>
      <c r="I165">
        <f>IF(G165=H165,1,0)</f>
        <v/>
      </c>
      <c r="J165" t="inlineStr">
        <is>
          <t>CB / CB</t>
        </is>
      </c>
    </row>
    <row r="166">
      <c r="A166" t="inlineStr">
        <is>
          <t>2022-2023</t>
        </is>
      </c>
      <c r="B166" t="inlineStr">
        <is>
          <t>2022-10-01</t>
        </is>
      </c>
      <c r="C166" t="inlineStr">
        <is>
          <t>19:21</t>
        </is>
      </c>
      <c r="D166" t="inlineStr">
        <is>
          <t>n° 21 + n° 22 + n° 23 + n° 24</t>
        </is>
      </c>
      <c r="E166" t="n">
        <v>4</v>
      </c>
      <c r="F166" t="n">
        <v>219.8</v>
      </c>
      <c r="G166" t="n">
        <v>12</v>
      </c>
      <c r="H166" t="n">
        <v>12</v>
      </c>
      <c r="I166">
        <f>IF(G166=H166,1,0)</f>
        <v/>
      </c>
      <c r="J166" t="inlineStr">
        <is>
          <t>CB / CB / CB / CB</t>
        </is>
      </c>
    </row>
    <row r="167">
      <c r="A167" t="inlineStr">
        <is>
          <t>2022-2023</t>
        </is>
      </c>
      <c r="B167" t="inlineStr">
        <is>
          <t>2022-10-05</t>
        </is>
      </c>
      <c r="C167" t="inlineStr">
        <is>
          <t>12:23</t>
        </is>
      </c>
      <c r="D167" t="inlineStr">
        <is>
          <t>n° 6 + n° 7</t>
        </is>
      </c>
      <c r="E167" t="n">
        <v>2</v>
      </c>
      <c r="F167" t="n">
        <v>47.8</v>
      </c>
      <c r="G167" t="n">
        <v>3</v>
      </c>
      <c r="H167" t="n">
        <v>3</v>
      </c>
      <c r="I167">
        <f>IF(G167=H167,1,0)</f>
        <v/>
      </c>
      <c r="J167" t="inlineStr">
        <is>
          <t>CB / CB</t>
        </is>
      </c>
    </row>
    <row r="168">
      <c r="A168" t="inlineStr">
        <is>
          <t>2022-2023</t>
        </is>
      </c>
      <c r="B168" t="inlineStr">
        <is>
          <t>2022-10-06</t>
        </is>
      </c>
      <c r="C168" t="inlineStr">
        <is>
          <t>12:06</t>
        </is>
      </c>
      <c r="D168" t="inlineStr">
        <is>
          <t>n° 4 + n° 5</t>
        </is>
      </c>
      <c r="E168" t="n">
        <v>2</v>
      </c>
      <c r="F168" t="n">
        <v>45.1</v>
      </c>
      <c r="G168" t="n">
        <v>2</v>
      </c>
      <c r="H168" t="n">
        <v>2</v>
      </c>
      <c r="I168">
        <f>IF(G168=H168,1,0)</f>
        <v/>
      </c>
      <c r="J168" t="inlineStr">
        <is>
          <t>CB / CB</t>
        </is>
      </c>
    </row>
    <row r="169">
      <c r="A169" t="inlineStr">
        <is>
          <t>2022-2023</t>
        </is>
      </c>
      <c r="B169" t="inlineStr">
        <is>
          <t>2022-10-06</t>
        </is>
      </c>
      <c r="C169" t="inlineStr">
        <is>
          <t>19:59</t>
        </is>
      </c>
      <c r="D169" t="inlineStr">
        <is>
          <t>n° 19 + n° 20</t>
        </is>
      </c>
      <c r="E169" t="n">
        <v>2</v>
      </c>
      <c r="F169" t="n">
        <v>87</v>
      </c>
      <c r="G169" t="n">
        <v>1</v>
      </c>
      <c r="H169" t="n">
        <v>1</v>
      </c>
      <c r="I169">
        <f>IF(G169=H169,1,0)</f>
        <v/>
      </c>
      <c r="J169" t="inlineStr">
        <is>
          <t>CB / CB</t>
        </is>
      </c>
    </row>
    <row r="170">
      <c r="A170" t="inlineStr">
        <is>
          <t>2022-2023</t>
        </is>
      </c>
      <c r="B170" t="inlineStr">
        <is>
          <t>2022-10-07</t>
        </is>
      </c>
      <c r="C170" t="inlineStr">
        <is>
          <t>20:08</t>
        </is>
      </c>
      <c r="D170" t="inlineStr">
        <is>
          <t>n° 17 + n° 18</t>
        </is>
      </c>
      <c r="E170" t="n">
        <v>2</v>
      </c>
      <c r="F170" t="n">
        <v>87.7</v>
      </c>
      <c r="G170" t="n">
        <v>5</v>
      </c>
      <c r="H170" t="n">
        <v>5</v>
      </c>
      <c r="I170">
        <f>IF(G170=H170,1,0)</f>
        <v/>
      </c>
      <c r="J170" t="inlineStr">
        <is>
          <t>CB / ESP/CB</t>
        </is>
      </c>
    </row>
    <row r="171">
      <c r="A171" t="inlineStr">
        <is>
          <t>2022-2023</t>
        </is>
      </c>
      <c r="B171" t="inlineStr">
        <is>
          <t>2022-10-07</t>
        </is>
      </c>
      <c r="C171" t="inlineStr">
        <is>
          <t>20:29</t>
        </is>
      </c>
      <c r="D171" t="inlineStr">
        <is>
          <t>n° 22 + n° 23</t>
        </is>
      </c>
      <c r="E171" t="n">
        <v>2</v>
      </c>
      <c r="F171" t="n">
        <v>80</v>
      </c>
      <c r="G171" t="n">
        <v>10</v>
      </c>
      <c r="H171" t="n">
        <v>10</v>
      </c>
      <c r="I171">
        <f>IF(G171=H171,1,0)</f>
        <v/>
      </c>
      <c r="J171" t="inlineStr">
        <is>
          <t>CB / CB</t>
        </is>
      </c>
    </row>
    <row r="172">
      <c r="A172" t="inlineStr">
        <is>
          <t>2022-2023</t>
        </is>
      </c>
      <c r="B172" t="inlineStr">
        <is>
          <t>2022-10-08</t>
        </is>
      </c>
      <c r="C172" t="inlineStr">
        <is>
          <t>12:18</t>
        </is>
      </c>
      <c r="D172" t="inlineStr">
        <is>
          <t>n° 6 + n° 7</t>
        </is>
      </c>
      <c r="E172" t="n">
        <v>2</v>
      </c>
      <c r="F172" t="n">
        <v>125.2</v>
      </c>
      <c r="G172" t="n">
        <v>4</v>
      </c>
      <c r="H172" t="n">
        <v>4</v>
      </c>
      <c r="I172">
        <f>IF(G172=H172,1,0)</f>
        <v/>
      </c>
      <c r="J172" t="inlineStr">
        <is>
          <t>CB / CB</t>
        </is>
      </c>
    </row>
    <row r="173">
      <c r="A173" t="inlineStr">
        <is>
          <t>2022-2023</t>
        </is>
      </c>
      <c r="B173" t="inlineStr">
        <is>
          <t>2022-10-13</t>
        </is>
      </c>
      <c r="C173" t="inlineStr">
        <is>
          <t>19:36</t>
        </is>
      </c>
      <c r="D173" t="inlineStr">
        <is>
          <t>n° 12 + n° 13 + n° 14</t>
        </is>
      </c>
      <c r="E173" t="n">
        <v>3</v>
      </c>
      <c r="F173" t="n">
        <v>77.8</v>
      </c>
      <c r="G173" t="n">
        <v>4</v>
      </c>
      <c r="H173" t="n">
        <v>4</v>
      </c>
      <c r="I173">
        <f>IF(G173=H173,1,0)</f>
        <v/>
      </c>
      <c r="J173" t="inlineStr">
        <is>
          <t>CB / CB / CB</t>
        </is>
      </c>
    </row>
    <row r="174">
      <c r="A174" t="inlineStr">
        <is>
          <t>2022-2023</t>
        </is>
      </c>
      <c r="B174" t="inlineStr">
        <is>
          <t>2022-10-15</t>
        </is>
      </c>
      <c r="C174" t="inlineStr">
        <is>
          <t>19:42</t>
        </is>
      </c>
      <c r="D174" t="inlineStr">
        <is>
          <t>n° 22 + n° 23</t>
        </is>
      </c>
      <c r="E174" t="n">
        <v>2</v>
      </c>
      <c r="F174" t="n">
        <v>67.90000000000001</v>
      </c>
      <c r="G174" t="n">
        <v>6</v>
      </c>
      <c r="H174" t="n">
        <v>6</v>
      </c>
      <c r="I174">
        <f>IF(G174=H174,1,0)</f>
        <v/>
      </c>
      <c r="J174" t="inlineStr">
        <is>
          <t>CB / CB</t>
        </is>
      </c>
    </row>
    <row r="175">
      <c r="A175" t="inlineStr">
        <is>
          <t>2022-2023</t>
        </is>
      </c>
      <c r="B175" t="inlineStr">
        <is>
          <t>2022-10-16</t>
        </is>
      </c>
      <c r="C175" t="inlineStr">
        <is>
          <t>12:16</t>
        </is>
      </c>
      <c r="D175" t="inlineStr">
        <is>
          <t>n° 3 + n° 4</t>
        </is>
      </c>
      <c r="E175" t="n">
        <v>2</v>
      </c>
      <c r="F175" t="n">
        <v>52.7</v>
      </c>
      <c r="G175" t="n">
        <v>11</v>
      </c>
      <c r="H175" t="n">
        <v>11</v>
      </c>
      <c r="I175">
        <f>IF(G175=H175,1,0)</f>
        <v/>
      </c>
      <c r="J175" t="inlineStr">
        <is>
          <t>CB / CB</t>
        </is>
      </c>
    </row>
    <row r="176">
      <c r="A176" t="inlineStr">
        <is>
          <t>2022-2023</t>
        </is>
      </c>
      <c r="B176" t="inlineStr">
        <is>
          <t>2022-10-21</t>
        </is>
      </c>
      <c r="C176" t="inlineStr">
        <is>
          <t>11:36</t>
        </is>
      </c>
      <c r="D176" t="inlineStr">
        <is>
          <t>n° 1 + n° 2</t>
        </is>
      </c>
      <c r="E176" t="n">
        <v>2</v>
      </c>
      <c r="F176" t="n">
        <v>63.2</v>
      </c>
      <c r="G176" t="n">
        <v>2</v>
      </c>
      <c r="H176" t="n">
        <v>2</v>
      </c>
      <c r="I176">
        <f>IF(G176=H176,1,0)</f>
        <v/>
      </c>
      <c r="J176" t="inlineStr">
        <is>
          <t>CB / CB</t>
        </is>
      </c>
    </row>
    <row r="177">
      <c r="A177" t="inlineStr">
        <is>
          <t>2022-2023</t>
        </is>
      </c>
      <c r="B177" t="inlineStr">
        <is>
          <t>2022-10-22</t>
        </is>
      </c>
      <c r="C177" t="inlineStr">
        <is>
          <t>12:18</t>
        </is>
      </c>
      <c r="D177" t="inlineStr">
        <is>
          <t>n° 10 + n° 11</t>
        </is>
      </c>
      <c r="E177" t="n">
        <v>2</v>
      </c>
      <c r="F177" t="n">
        <v>153</v>
      </c>
      <c r="G177" t="n">
        <v>5</v>
      </c>
      <c r="H177" t="n">
        <v>5</v>
      </c>
      <c r="I177">
        <f>IF(G177=H177,1,0)</f>
        <v/>
      </c>
      <c r="J177" t="inlineStr">
        <is>
          <t>CB / CB</t>
        </is>
      </c>
    </row>
    <row r="178">
      <c r="A178" t="inlineStr">
        <is>
          <t>2022-2023</t>
        </is>
      </c>
      <c r="B178" t="inlineStr">
        <is>
          <t>2022-10-22</t>
        </is>
      </c>
      <c r="C178" t="inlineStr">
        <is>
          <t>20:23</t>
        </is>
      </c>
      <c r="D178" t="inlineStr">
        <is>
          <t>n° 21 + n° 22</t>
        </is>
      </c>
      <c r="E178" t="n">
        <v>2</v>
      </c>
      <c r="F178" t="n">
        <v>266.2</v>
      </c>
      <c r="G178" t="n">
        <v>12</v>
      </c>
      <c r="H178" t="n">
        <v>12</v>
      </c>
      <c r="I178">
        <f>IF(G178=H178,1,0)</f>
        <v/>
      </c>
      <c r="J178" t="inlineStr">
        <is>
          <t>CB / CB</t>
        </is>
      </c>
    </row>
    <row r="179">
      <c r="A179" t="inlineStr">
        <is>
          <t>2022-2023</t>
        </is>
      </c>
      <c r="B179" t="inlineStr">
        <is>
          <t>2022-10-23</t>
        </is>
      </c>
      <c r="C179" t="inlineStr">
        <is>
          <t>20:26</t>
        </is>
      </c>
      <c r="D179" t="inlineStr">
        <is>
          <t>n° 24 + n° 25</t>
        </is>
      </c>
      <c r="E179" t="n">
        <v>2</v>
      </c>
      <c r="F179" t="n">
        <v>116.9</v>
      </c>
      <c r="G179" t="n">
        <v>4</v>
      </c>
      <c r="H179" t="n">
        <v>4</v>
      </c>
      <c r="I179">
        <f>IF(G179=H179,1,0)</f>
        <v/>
      </c>
      <c r="J179" t="inlineStr">
        <is>
          <t>CB / CB</t>
        </is>
      </c>
    </row>
    <row r="180">
      <c r="A180" t="inlineStr">
        <is>
          <t>2022-2023</t>
        </is>
      </c>
      <c r="B180" t="inlineStr">
        <is>
          <t>2022-10-26</t>
        </is>
      </c>
      <c r="C180" t="inlineStr">
        <is>
          <t>12:37</t>
        </is>
      </c>
      <c r="D180" t="inlineStr">
        <is>
          <t>n° 19 + n° 20</t>
        </is>
      </c>
      <c r="E180" t="n">
        <v>2</v>
      </c>
      <c r="F180" t="n">
        <v>45.7</v>
      </c>
      <c r="G180" t="n">
        <v>2</v>
      </c>
      <c r="H180" t="n">
        <v>2</v>
      </c>
      <c r="I180">
        <f>IF(G180=H180,1,0)</f>
        <v/>
      </c>
      <c r="J180" t="inlineStr">
        <is>
          <t>CB / CB</t>
        </is>
      </c>
    </row>
    <row r="181">
      <c r="A181" t="inlineStr">
        <is>
          <t>2022-2023</t>
        </is>
      </c>
      <c r="B181" t="inlineStr">
        <is>
          <t>2022-10-26</t>
        </is>
      </c>
      <c r="C181" t="inlineStr">
        <is>
          <t>19:48</t>
        </is>
      </c>
      <c r="D181" t="inlineStr">
        <is>
          <t>n° 30 + n° 31</t>
        </is>
      </c>
      <c r="E181" t="n">
        <v>2</v>
      </c>
      <c r="F181" t="n">
        <v>52.5</v>
      </c>
      <c r="G181" t="n">
        <v>4</v>
      </c>
      <c r="H181" t="n">
        <v>4</v>
      </c>
      <c r="I181">
        <f>IF(G181=H181,1,0)</f>
        <v/>
      </c>
      <c r="J181" t="inlineStr">
        <is>
          <t>CB / CB</t>
        </is>
      </c>
    </row>
    <row r="182">
      <c r="A182" t="inlineStr">
        <is>
          <t>2022-2023</t>
        </is>
      </c>
      <c r="B182" t="inlineStr">
        <is>
          <t>2022-10-27</t>
        </is>
      </c>
      <c r="C182" t="inlineStr">
        <is>
          <t>12:12</t>
        </is>
      </c>
      <c r="D182" t="inlineStr">
        <is>
          <t>n° 9 + n° 10</t>
        </is>
      </c>
      <c r="E182" t="n">
        <v>2</v>
      </c>
      <c r="F182" t="n">
        <v>101.7</v>
      </c>
      <c r="G182" t="n">
        <v>4</v>
      </c>
      <c r="H182" t="n">
        <v>4</v>
      </c>
      <c r="I182">
        <f>IF(G182=H182,1,0)</f>
        <v/>
      </c>
      <c r="J182" t="inlineStr">
        <is>
          <t>CB / CB</t>
        </is>
      </c>
    </row>
    <row r="183">
      <c r="A183" t="inlineStr">
        <is>
          <t>2022-2023</t>
        </is>
      </c>
      <c r="B183" t="inlineStr">
        <is>
          <t>2022-10-27</t>
        </is>
      </c>
      <c r="C183" t="inlineStr">
        <is>
          <t>20:11</t>
        </is>
      </c>
      <c r="D183" t="inlineStr">
        <is>
          <t>n° 27 + n° 28</t>
        </is>
      </c>
      <c r="E183" t="n">
        <v>2</v>
      </c>
      <c r="F183" t="n">
        <v>64.59999999999999</v>
      </c>
      <c r="G183" t="n">
        <v>7</v>
      </c>
      <c r="H183" t="n">
        <v>7</v>
      </c>
      <c r="I183">
        <f>IF(G183=H183,1,0)</f>
        <v/>
      </c>
      <c r="J183" t="inlineStr">
        <is>
          <t>CB / CB</t>
        </is>
      </c>
    </row>
    <row r="184">
      <c r="A184" t="inlineStr">
        <is>
          <t>2022-2023</t>
        </is>
      </c>
      <c r="B184" t="inlineStr">
        <is>
          <t>2022-10-28</t>
        </is>
      </c>
      <c r="C184" t="inlineStr">
        <is>
          <t>11:57</t>
        </is>
      </c>
      <c r="D184" t="inlineStr">
        <is>
          <t>n° 5 + n° 6</t>
        </is>
      </c>
      <c r="E184" t="n">
        <v>2</v>
      </c>
      <c r="F184" t="n">
        <v>49.7</v>
      </c>
      <c r="G184" t="n">
        <v>3</v>
      </c>
      <c r="H184" t="n">
        <v>3</v>
      </c>
      <c r="I184">
        <f>IF(G184=H184,1,0)</f>
        <v/>
      </c>
      <c r="J184" t="inlineStr">
        <is>
          <t>CB / CB</t>
        </is>
      </c>
    </row>
    <row r="185">
      <c r="A185" t="inlineStr">
        <is>
          <t>2022-2023</t>
        </is>
      </c>
      <c r="B185" t="inlineStr">
        <is>
          <t>2022-10-28</t>
        </is>
      </c>
      <c r="C185" t="inlineStr">
        <is>
          <t>19:10</t>
        </is>
      </c>
      <c r="D185" t="inlineStr">
        <is>
          <t>n° 17 + n° 18</t>
        </is>
      </c>
      <c r="E185" t="n">
        <v>2</v>
      </c>
      <c r="F185" t="n">
        <v>57.9</v>
      </c>
      <c r="G185" t="n">
        <v>6</v>
      </c>
      <c r="H185" t="n">
        <v>6</v>
      </c>
      <c r="I185">
        <f>IF(G185=H185,1,0)</f>
        <v/>
      </c>
      <c r="J185" t="inlineStr">
        <is>
          <t>CB / CB</t>
        </is>
      </c>
    </row>
    <row r="186">
      <c r="A186" t="inlineStr">
        <is>
          <t>2022-2023</t>
        </is>
      </c>
      <c r="B186" t="inlineStr">
        <is>
          <t>2022-10-28</t>
        </is>
      </c>
      <c r="C186" t="inlineStr">
        <is>
          <t>19:56</t>
        </is>
      </c>
      <c r="D186" t="inlineStr">
        <is>
          <t>n° 23 + n° 24 + n° 28 + n° 29</t>
        </is>
      </c>
      <c r="E186" t="n">
        <v>4</v>
      </c>
      <c r="F186" t="n">
        <v>200.1</v>
      </c>
      <c r="G186" t="n">
        <v>13</v>
      </c>
      <c r="H186" t="n">
        <v>13</v>
      </c>
      <c r="I186">
        <f>IF(G186=H186,1,0)</f>
        <v/>
      </c>
      <c r="J186" t="inlineStr">
        <is>
          <t>CB / CB / CB / CHV/ESP</t>
        </is>
      </c>
    </row>
    <row r="187">
      <c r="A187" t="inlineStr">
        <is>
          <t>2022-2023</t>
        </is>
      </c>
      <c r="B187" t="inlineStr">
        <is>
          <t>2022-10-29</t>
        </is>
      </c>
      <c r="C187" t="inlineStr">
        <is>
          <t>11:55</t>
        </is>
      </c>
      <c r="D187" t="inlineStr">
        <is>
          <t>n° 4 + n° 5</t>
        </is>
      </c>
      <c r="E187" t="n">
        <v>2</v>
      </c>
      <c r="F187" t="n">
        <v>70.2</v>
      </c>
      <c r="G187" t="n">
        <v>1</v>
      </c>
      <c r="H187" t="n">
        <v>1</v>
      </c>
      <c r="I187">
        <f>IF(G187=H187,1,0)</f>
        <v/>
      </c>
      <c r="J187" t="inlineStr">
        <is>
          <t>CB / CB</t>
        </is>
      </c>
    </row>
    <row r="188">
      <c r="A188" t="inlineStr">
        <is>
          <t>2022-2023</t>
        </is>
      </c>
      <c r="B188" t="inlineStr">
        <is>
          <t>2022-10-29</t>
        </is>
      </c>
      <c r="C188" t="inlineStr">
        <is>
          <t>12:21</t>
        </is>
      </c>
      <c r="D188" t="inlineStr">
        <is>
          <t>n° 9 + n° 10 + n° 11 + n° 12</t>
        </is>
      </c>
      <c r="E188" t="n">
        <v>4</v>
      </c>
      <c r="F188" t="n">
        <v>244.6</v>
      </c>
      <c r="G188" t="n">
        <v>15</v>
      </c>
      <c r="H188" t="n">
        <v>15</v>
      </c>
      <c r="I188">
        <f>IF(G188=H188,1,0)</f>
        <v/>
      </c>
      <c r="J188" t="inlineStr">
        <is>
          <t>CB / CB / CB / CB</t>
        </is>
      </c>
    </row>
    <row r="189">
      <c r="A189" t="inlineStr">
        <is>
          <t>2022-2023</t>
        </is>
      </c>
      <c r="B189" t="inlineStr">
        <is>
          <t>2022-10-29</t>
        </is>
      </c>
      <c r="C189" t="inlineStr">
        <is>
          <t>19:00</t>
        </is>
      </c>
      <c r="D189" t="inlineStr">
        <is>
          <t>n° 17 + n° 18</t>
        </is>
      </c>
      <c r="E189" t="n">
        <v>2</v>
      </c>
      <c r="F189" t="n">
        <v>135</v>
      </c>
      <c r="G189" t="n">
        <v>6</v>
      </c>
      <c r="H189" t="n">
        <v>6</v>
      </c>
      <c r="I189">
        <f>IF(G189=H189,1,0)</f>
        <v/>
      </c>
      <c r="J189" t="inlineStr">
        <is>
          <t>CB / CB</t>
        </is>
      </c>
    </row>
    <row r="190">
      <c r="A190" t="inlineStr">
        <is>
          <t>2022-2023</t>
        </is>
      </c>
      <c r="B190" t="inlineStr">
        <is>
          <t>2022-10-29</t>
        </is>
      </c>
      <c r="C190" t="inlineStr">
        <is>
          <t>19:52</t>
        </is>
      </c>
      <c r="D190" t="inlineStr">
        <is>
          <t>n° 25 + n° 26</t>
        </is>
      </c>
      <c r="E190" t="n">
        <v>2</v>
      </c>
      <c r="F190" t="n">
        <v>72.3</v>
      </c>
      <c r="G190" t="n">
        <v>2</v>
      </c>
      <c r="H190" t="n">
        <v>2</v>
      </c>
      <c r="I190">
        <f>IF(G190=H190,1,0)</f>
        <v/>
      </c>
      <c r="J190" t="inlineStr">
        <is>
          <t>CB / CHV/CB</t>
        </is>
      </c>
    </row>
    <row r="191">
      <c r="A191" t="inlineStr">
        <is>
          <t>2022-2023</t>
        </is>
      </c>
      <c r="B191" t="inlineStr">
        <is>
          <t>2022-10-29</t>
        </is>
      </c>
      <c r="C191" t="inlineStr">
        <is>
          <t>20:20</t>
        </is>
      </c>
      <c r="D191" t="inlineStr">
        <is>
          <t>n° 29 + n° 30</t>
        </is>
      </c>
      <c r="E191" t="n">
        <v>2</v>
      </c>
      <c r="F191" t="n">
        <v>129.8</v>
      </c>
      <c r="G191" t="n">
        <v>6</v>
      </c>
      <c r="H191" t="n">
        <v>6</v>
      </c>
      <c r="I191">
        <f>IF(G191=H191,1,0)</f>
        <v/>
      </c>
      <c r="J191" t="inlineStr">
        <is>
          <t>TR/CB / CHV/CB</t>
        </is>
      </c>
    </row>
    <row r="192">
      <c r="A192" t="inlineStr">
        <is>
          <t>2022-2023</t>
        </is>
      </c>
      <c r="B192" t="inlineStr">
        <is>
          <t>2022-11-02</t>
        </is>
      </c>
      <c r="C192" t="inlineStr">
        <is>
          <t>12:37</t>
        </is>
      </c>
      <c r="D192" t="inlineStr">
        <is>
          <t>n° 9 + n° 10</t>
        </is>
      </c>
      <c r="E192" t="n">
        <v>2</v>
      </c>
      <c r="F192" t="n">
        <v>114.7</v>
      </c>
      <c r="G192" t="n">
        <v>3</v>
      </c>
      <c r="H192" t="n">
        <v>3</v>
      </c>
      <c r="I192">
        <f>IF(G192=H192,1,0)</f>
        <v/>
      </c>
      <c r="J192" t="inlineStr">
        <is>
          <t>CB / CB</t>
        </is>
      </c>
    </row>
    <row r="193">
      <c r="A193" t="inlineStr">
        <is>
          <t>2022-2023</t>
        </is>
      </c>
      <c r="B193" t="inlineStr">
        <is>
          <t>2022-11-02</t>
        </is>
      </c>
      <c r="C193" t="inlineStr">
        <is>
          <t>13:28</t>
        </is>
      </c>
      <c r="D193" t="inlineStr">
        <is>
          <t>n° 15 + n° 16</t>
        </is>
      </c>
      <c r="E193" t="n">
        <v>2</v>
      </c>
      <c r="F193" t="n">
        <v>68.59999999999999</v>
      </c>
      <c r="G193" t="n">
        <v>1</v>
      </c>
      <c r="H193" t="n">
        <v>1</v>
      </c>
      <c r="I193">
        <f>IF(G193=H193,1,0)</f>
        <v/>
      </c>
      <c r="J193" t="inlineStr">
        <is>
          <t>CB / CB</t>
        </is>
      </c>
    </row>
    <row r="194">
      <c r="A194" t="inlineStr">
        <is>
          <t>2022-2023</t>
        </is>
      </c>
      <c r="B194" t="inlineStr">
        <is>
          <t>2022-11-02</t>
        </is>
      </c>
      <c r="C194" t="inlineStr">
        <is>
          <t>20:05</t>
        </is>
      </c>
      <c r="D194" t="inlineStr">
        <is>
          <t>n° 25 + n° 26 + n° 28 + n° 29</t>
        </is>
      </c>
      <c r="E194" t="n">
        <v>4</v>
      </c>
      <c r="F194" t="n">
        <v>253</v>
      </c>
      <c r="G194" t="n">
        <v>14</v>
      </c>
      <c r="H194" t="n">
        <v>14</v>
      </c>
      <c r="I194">
        <f>IF(G194=H194,1,0)</f>
        <v/>
      </c>
      <c r="J194" t="inlineStr">
        <is>
          <t>CB / CB / CB / CB</t>
        </is>
      </c>
    </row>
    <row r="195">
      <c r="A195" t="inlineStr">
        <is>
          <t>2022-2023</t>
        </is>
      </c>
      <c r="B195" t="inlineStr">
        <is>
          <t>2022-11-03</t>
        </is>
      </c>
      <c r="C195" t="inlineStr">
        <is>
          <t>12:50</t>
        </is>
      </c>
      <c r="D195" t="inlineStr">
        <is>
          <t>n° 11 + n° 12</t>
        </is>
      </c>
      <c r="E195" t="n">
        <v>2</v>
      </c>
      <c r="F195" t="n">
        <v>54.4</v>
      </c>
      <c r="G195" t="n">
        <v>6</v>
      </c>
      <c r="H195" t="n">
        <v>6</v>
      </c>
      <c r="I195">
        <f>IF(G195=H195,1,0)</f>
        <v/>
      </c>
      <c r="J195" t="inlineStr">
        <is>
          <t>CB / ESP</t>
        </is>
      </c>
    </row>
    <row r="196">
      <c r="A196" t="inlineStr">
        <is>
          <t>2022-2023</t>
        </is>
      </c>
      <c r="B196" t="inlineStr">
        <is>
          <t>2022-11-05</t>
        </is>
      </c>
      <c r="C196" t="inlineStr">
        <is>
          <t>13:23</t>
        </is>
      </c>
      <c r="D196" t="inlineStr">
        <is>
          <t>n° 8 + n° 9</t>
        </is>
      </c>
      <c r="E196" t="n">
        <v>2</v>
      </c>
      <c r="F196" t="n">
        <v>280.2</v>
      </c>
      <c r="G196" t="n">
        <v>17</v>
      </c>
      <c r="H196" t="n">
        <v>17</v>
      </c>
      <c r="I196">
        <f>IF(G196=H196,1,0)</f>
        <v/>
      </c>
      <c r="J196" t="inlineStr">
        <is>
          <t>CHQ / CHQ</t>
        </is>
      </c>
    </row>
    <row r="197">
      <c r="A197" t="inlineStr">
        <is>
          <t>2022-2023</t>
        </is>
      </c>
      <c r="B197" t="inlineStr">
        <is>
          <t>2022-11-05</t>
        </is>
      </c>
      <c r="C197" t="inlineStr">
        <is>
          <t>19:34</t>
        </is>
      </c>
      <c r="D197" t="inlineStr">
        <is>
          <t>n° 15 + n° 16</t>
        </is>
      </c>
      <c r="E197" t="n">
        <v>2</v>
      </c>
      <c r="F197" t="n">
        <v>89</v>
      </c>
      <c r="G197" t="n">
        <v>5</v>
      </c>
      <c r="H197" t="n">
        <v>5</v>
      </c>
      <c r="I197">
        <f>IF(G197=H197,1,0)</f>
        <v/>
      </c>
      <c r="J197" t="inlineStr">
        <is>
          <t>TR/CB / CB</t>
        </is>
      </c>
    </row>
    <row r="198">
      <c r="A198" t="inlineStr">
        <is>
          <t>2022-2023</t>
        </is>
      </c>
      <c r="B198" t="inlineStr">
        <is>
          <t>2022-11-05</t>
        </is>
      </c>
      <c r="C198" t="inlineStr">
        <is>
          <t>20:20</t>
        </is>
      </c>
      <c r="D198" t="inlineStr">
        <is>
          <t>n° 25 + n° 26 + n° 27 + n° 28</t>
        </is>
      </c>
      <c r="E198" t="n">
        <v>4</v>
      </c>
      <c r="F198" t="n">
        <v>321.4</v>
      </c>
      <c r="G198" t="n">
        <v>17</v>
      </c>
      <c r="H198" t="n">
        <v>17</v>
      </c>
      <c r="I198">
        <f>IF(G198=H198,1,0)</f>
        <v/>
      </c>
      <c r="J198" t="inlineStr">
        <is>
          <t>CB / CB / CB / CB</t>
        </is>
      </c>
    </row>
    <row r="199">
      <c r="A199" t="inlineStr">
        <is>
          <t>2022-2023</t>
        </is>
      </c>
      <c r="B199" t="inlineStr">
        <is>
          <t>2022-11-10</t>
        </is>
      </c>
      <c r="C199" t="inlineStr">
        <is>
          <t>20:24</t>
        </is>
      </c>
      <c r="D199" t="inlineStr">
        <is>
          <t>n° 8 + n° 9</t>
        </is>
      </c>
      <c r="E199" t="n">
        <v>2</v>
      </c>
      <c r="F199" t="n">
        <v>94.40000000000001</v>
      </c>
      <c r="G199" t="n">
        <v>3</v>
      </c>
      <c r="H199" t="n">
        <v>3</v>
      </c>
      <c r="I199">
        <f>IF(G199=H199,1,0)</f>
        <v/>
      </c>
      <c r="J199" t="inlineStr">
        <is>
          <t>CB / CB</t>
        </is>
      </c>
    </row>
    <row r="200">
      <c r="A200" t="inlineStr">
        <is>
          <t>2022-2023</t>
        </is>
      </c>
      <c r="B200" t="inlineStr">
        <is>
          <t>2022-11-12</t>
        </is>
      </c>
      <c r="C200" t="inlineStr">
        <is>
          <t>12:26</t>
        </is>
      </c>
      <c r="D200" t="inlineStr">
        <is>
          <t>n° 4 + n° 5</t>
        </is>
      </c>
      <c r="E200" t="n">
        <v>2</v>
      </c>
      <c r="F200" t="n">
        <v>98.09999999999999</v>
      </c>
      <c r="G200" t="n">
        <v>6</v>
      </c>
      <c r="H200" t="n">
        <v>6</v>
      </c>
      <c r="I200">
        <f>IF(G200=H200,1,0)</f>
        <v/>
      </c>
      <c r="J200" t="inlineStr">
        <is>
          <t>CB / CB</t>
        </is>
      </c>
    </row>
    <row r="201">
      <c r="A201" t="inlineStr">
        <is>
          <t>2022-2023</t>
        </is>
      </c>
      <c r="B201" t="inlineStr">
        <is>
          <t>2022-11-12</t>
        </is>
      </c>
      <c r="C201" t="inlineStr">
        <is>
          <t>12:50</t>
        </is>
      </c>
      <c r="D201" t="inlineStr">
        <is>
          <t>n° 9 + n° 10</t>
        </is>
      </c>
      <c r="E201" t="n">
        <v>2</v>
      </c>
      <c r="F201" t="n">
        <v>77.2</v>
      </c>
      <c r="G201" t="n">
        <v>5</v>
      </c>
      <c r="H201" t="n">
        <v>5</v>
      </c>
      <c r="I201">
        <f>IF(G201=H201,1,0)</f>
        <v/>
      </c>
      <c r="J201" t="inlineStr">
        <is>
          <t>CB / CB</t>
        </is>
      </c>
    </row>
    <row r="202">
      <c r="A202" t="inlineStr">
        <is>
          <t>2022-2023</t>
        </is>
      </c>
      <c r="B202" t="inlineStr">
        <is>
          <t>2022-11-12</t>
        </is>
      </c>
      <c r="C202" t="inlineStr">
        <is>
          <t>13:27</t>
        </is>
      </c>
      <c r="D202" t="inlineStr">
        <is>
          <t>n° 15 + n° 16</t>
        </is>
      </c>
      <c r="E202" t="n">
        <v>2</v>
      </c>
      <c r="F202" t="n">
        <v>84.59999999999999</v>
      </c>
      <c r="G202" t="n">
        <v>7</v>
      </c>
      <c r="H202" t="n">
        <v>7</v>
      </c>
      <c r="I202">
        <f>IF(G202=H202,1,0)</f>
        <v/>
      </c>
      <c r="J202" t="inlineStr">
        <is>
          <t>CB / CB</t>
        </is>
      </c>
    </row>
    <row r="203">
      <c r="A203" t="inlineStr">
        <is>
          <t>2022-2023</t>
        </is>
      </c>
      <c r="B203" t="inlineStr">
        <is>
          <t>2022-11-12</t>
        </is>
      </c>
      <c r="C203" t="inlineStr">
        <is>
          <t>18:50</t>
        </is>
      </c>
      <c r="D203" t="inlineStr">
        <is>
          <t>n° 19 + n° 20</t>
        </is>
      </c>
      <c r="E203" t="n">
        <v>2</v>
      </c>
      <c r="F203" t="n">
        <v>53.8</v>
      </c>
      <c r="G203" t="n">
        <v>2</v>
      </c>
      <c r="H203" t="n">
        <v>2</v>
      </c>
      <c r="I203">
        <f>IF(G203=H203,1,0)</f>
        <v/>
      </c>
      <c r="J203" t="inlineStr">
        <is>
          <t>CB / CB</t>
        </is>
      </c>
    </row>
    <row r="204">
      <c r="A204" t="inlineStr">
        <is>
          <t>2022-2023</t>
        </is>
      </c>
      <c r="B204" t="inlineStr">
        <is>
          <t>2022-11-12</t>
        </is>
      </c>
      <c r="C204" t="inlineStr">
        <is>
          <t>20:10</t>
        </is>
      </c>
      <c r="D204" t="inlineStr">
        <is>
          <t>n° 29 + n° 30 + n° 31 + n° 32</t>
        </is>
      </c>
      <c r="E204" t="n">
        <v>4</v>
      </c>
      <c r="F204" t="n">
        <v>118.1</v>
      </c>
      <c r="G204" t="n">
        <v>13</v>
      </c>
      <c r="H204" t="n">
        <v>13</v>
      </c>
      <c r="I204">
        <f>IF(G204=H204,1,0)</f>
        <v/>
      </c>
      <c r="J204" t="inlineStr">
        <is>
          <t>CB / CB / CB / CB</t>
        </is>
      </c>
    </row>
    <row r="205">
      <c r="A205" t="inlineStr">
        <is>
          <t>2022-2023</t>
        </is>
      </c>
      <c r="B205" t="inlineStr">
        <is>
          <t>2022-11-13</t>
        </is>
      </c>
      <c r="C205" t="inlineStr">
        <is>
          <t>12:32</t>
        </is>
      </c>
      <c r="D205" t="inlineStr">
        <is>
          <t>n° 10 + n° 11</t>
        </is>
      </c>
      <c r="E205" t="n">
        <v>2</v>
      </c>
      <c r="F205" t="n">
        <v>116.9</v>
      </c>
      <c r="G205" t="n">
        <v>8</v>
      </c>
      <c r="H205" t="n">
        <v>8</v>
      </c>
      <c r="I205">
        <f>IF(G205=H205,1,0)</f>
        <v/>
      </c>
      <c r="J205" t="inlineStr">
        <is>
          <t>CB / CB</t>
        </is>
      </c>
    </row>
    <row r="206">
      <c r="A206" t="inlineStr">
        <is>
          <t>2022-2023</t>
        </is>
      </c>
      <c r="B206" t="inlineStr">
        <is>
          <t>2022-11-16</t>
        </is>
      </c>
      <c r="C206" t="inlineStr">
        <is>
          <t>12:55</t>
        </is>
      </c>
      <c r="D206" t="inlineStr">
        <is>
          <t>n° 10 + n° 11</t>
        </is>
      </c>
      <c r="E206" t="n">
        <v>2</v>
      </c>
      <c r="F206" t="n">
        <v>180.6</v>
      </c>
      <c r="G206" t="n">
        <v>9</v>
      </c>
      <c r="H206" t="n">
        <v>9</v>
      </c>
      <c r="I206">
        <f>IF(G206=H206,1,0)</f>
        <v/>
      </c>
      <c r="J206" t="inlineStr">
        <is>
          <t>CB / CB</t>
        </is>
      </c>
    </row>
    <row r="207">
      <c r="A207" t="inlineStr">
        <is>
          <t>2022-2023</t>
        </is>
      </c>
      <c r="B207" t="inlineStr">
        <is>
          <t>2022-11-16</t>
        </is>
      </c>
      <c r="C207" t="inlineStr">
        <is>
          <t>19:42</t>
        </is>
      </c>
      <c r="D207" t="inlineStr">
        <is>
          <t>n° 17 + n° 18</t>
        </is>
      </c>
      <c r="E207" t="n">
        <v>2</v>
      </c>
      <c r="F207" t="n">
        <v>62.1</v>
      </c>
      <c r="G207" t="n">
        <v>4</v>
      </c>
      <c r="H207" t="n">
        <v>4</v>
      </c>
      <c r="I207">
        <f>IF(G207=H207,1,0)</f>
        <v/>
      </c>
      <c r="J207" t="inlineStr">
        <is>
          <t>CB / CB</t>
        </is>
      </c>
    </row>
    <row r="208">
      <c r="A208" t="inlineStr">
        <is>
          <t>2022-2023</t>
        </is>
      </c>
      <c r="B208" t="inlineStr">
        <is>
          <t>2022-11-17</t>
        </is>
      </c>
      <c r="C208" t="inlineStr">
        <is>
          <t>20:23</t>
        </is>
      </c>
      <c r="D208" t="inlineStr">
        <is>
          <t>n° 11 + n° 12</t>
        </is>
      </c>
      <c r="E208" t="n">
        <v>2</v>
      </c>
      <c r="F208" t="n">
        <v>78.5</v>
      </c>
      <c r="G208" t="n">
        <v>6</v>
      </c>
      <c r="H208" t="n">
        <v>6</v>
      </c>
      <c r="I208">
        <f>IF(G208=H208,1,0)</f>
        <v/>
      </c>
      <c r="J208" t="inlineStr">
        <is>
          <t>CB / CB</t>
        </is>
      </c>
    </row>
    <row r="209">
      <c r="A209" t="inlineStr">
        <is>
          <t>2022-2023</t>
        </is>
      </c>
      <c r="B209" t="inlineStr">
        <is>
          <t>2022-11-18</t>
        </is>
      </c>
      <c r="C209" t="inlineStr">
        <is>
          <t>12:56</t>
        </is>
      </c>
      <c r="D209" t="inlineStr">
        <is>
          <t>n° 2 + n° 3</t>
        </is>
      </c>
      <c r="E209" t="n">
        <v>2</v>
      </c>
      <c r="F209" t="n">
        <v>95.40000000000001</v>
      </c>
      <c r="G209" t="n">
        <v>3</v>
      </c>
      <c r="H209" t="n">
        <v>3</v>
      </c>
      <c r="I209">
        <f>IF(G209=H209,1,0)</f>
        <v/>
      </c>
      <c r="J209" t="inlineStr">
        <is>
          <t>CB / CB</t>
        </is>
      </c>
    </row>
    <row r="210">
      <c r="A210" t="inlineStr">
        <is>
          <t>2022-2023</t>
        </is>
      </c>
      <c r="B210" t="inlineStr">
        <is>
          <t>2022-11-23</t>
        </is>
      </c>
      <c r="C210" t="inlineStr">
        <is>
          <t>20:12</t>
        </is>
      </c>
      <c r="D210" t="inlineStr">
        <is>
          <t>n° 13 + n° 14</t>
        </is>
      </c>
      <c r="E210" t="n">
        <v>2</v>
      </c>
      <c r="F210" t="n">
        <v>111.2</v>
      </c>
      <c r="G210" t="n">
        <v>5</v>
      </c>
      <c r="H210" t="n">
        <v>5</v>
      </c>
      <c r="I210">
        <f>IF(G210=H210,1,0)</f>
        <v/>
      </c>
      <c r="J210" t="inlineStr">
        <is>
          <t>CB / CB</t>
        </is>
      </c>
    </row>
    <row r="211">
      <c r="A211" t="inlineStr">
        <is>
          <t>2022-2023</t>
        </is>
      </c>
      <c r="B211" t="inlineStr">
        <is>
          <t>2022-11-26</t>
        </is>
      </c>
      <c r="C211" t="inlineStr">
        <is>
          <t>20:12</t>
        </is>
      </c>
      <c r="D211" t="inlineStr">
        <is>
          <t>n° 18 + n° 19 + n° 20 + n° 21</t>
        </is>
      </c>
      <c r="E211" t="n">
        <v>4</v>
      </c>
      <c r="F211" t="n">
        <v>200.3</v>
      </c>
      <c r="G211" t="n">
        <v>8</v>
      </c>
      <c r="H211" t="n">
        <v>8</v>
      </c>
      <c r="I211">
        <f>IF(G211=H211,1,0)</f>
        <v/>
      </c>
      <c r="J211" t="inlineStr">
        <is>
          <t>CB / TR/CB / CB / CB</t>
        </is>
      </c>
    </row>
    <row r="212">
      <c r="A212" t="inlineStr">
        <is>
          <t>2022-2023</t>
        </is>
      </c>
      <c r="B212" t="inlineStr">
        <is>
          <t>2022-11-26</t>
        </is>
      </c>
      <c r="C212" t="inlineStr">
        <is>
          <t>20:39</t>
        </is>
      </c>
      <c r="D212" t="inlineStr">
        <is>
          <t>n° 24 + n° 25</t>
        </is>
      </c>
      <c r="E212" t="n">
        <v>2</v>
      </c>
      <c r="F212" t="n">
        <v>79.40000000000001</v>
      </c>
      <c r="G212" t="n">
        <v>4</v>
      </c>
      <c r="H212" t="n">
        <v>4</v>
      </c>
      <c r="I212">
        <f>IF(G212=H212,1,0)</f>
        <v/>
      </c>
      <c r="J212" t="inlineStr">
        <is>
          <t>CB / CB</t>
        </is>
      </c>
    </row>
    <row r="213">
      <c r="A213" t="inlineStr">
        <is>
          <t>2022-2023</t>
        </is>
      </c>
      <c r="B213" t="inlineStr">
        <is>
          <t>2022-12-07</t>
        </is>
      </c>
      <c r="C213" t="inlineStr">
        <is>
          <t>20:16</t>
        </is>
      </c>
      <c r="D213" t="inlineStr">
        <is>
          <t>n° 18 + n° 19</t>
        </is>
      </c>
      <c r="E213" t="n">
        <v>2</v>
      </c>
      <c r="F213" t="n">
        <v>43.7</v>
      </c>
      <c r="G213" t="n">
        <v>2</v>
      </c>
      <c r="H213" t="n">
        <v>2</v>
      </c>
      <c r="I213">
        <f>IF(G213=H213,1,0)</f>
        <v/>
      </c>
      <c r="J213" t="inlineStr">
        <is>
          <t>CB / CB</t>
        </is>
      </c>
    </row>
    <row r="214">
      <c r="A214" t="inlineStr">
        <is>
          <t>2022-2023</t>
        </is>
      </c>
      <c r="B214" t="inlineStr">
        <is>
          <t>2022-12-08</t>
        </is>
      </c>
      <c r="C214" t="inlineStr">
        <is>
          <t>20:14</t>
        </is>
      </c>
      <c r="D214" t="inlineStr">
        <is>
          <t>n° 5 + n° 6 + n° 7 + n° 8</t>
        </is>
      </c>
      <c r="E214" t="n">
        <v>4</v>
      </c>
      <c r="F214" t="n">
        <v>136.8</v>
      </c>
      <c r="G214" t="n">
        <v>16</v>
      </c>
      <c r="H214" t="n">
        <v>7</v>
      </c>
      <c r="I214">
        <f>IF(G214=H214,1,0)</f>
        <v/>
      </c>
      <c r="J214" t="inlineStr">
        <is>
          <t>CB / CHV / CB / CB</t>
        </is>
      </c>
    </row>
    <row r="215">
      <c r="A215" t="inlineStr">
        <is>
          <t>2022-2023</t>
        </is>
      </c>
      <c r="B215" t="inlineStr">
        <is>
          <t>2022-12-09</t>
        </is>
      </c>
      <c r="C215" t="inlineStr">
        <is>
          <t>20:48</t>
        </is>
      </c>
      <c r="D215" t="inlineStr">
        <is>
          <t>n° 9 + n° 10</t>
        </is>
      </c>
      <c r="E215" t="n">
        <v>2</v>
      </c>
      <c r="F215" t="n">
        <v>106.8</v>
      </c>
      <c r="G215" t="n">
        <v>5</v>
      </c>
      <c r="H215" t="n">
        <v>5</v>
      </c>
      <c r="I215">
        <f>IF(G215=H215,1,0)</f>
        <v/>
      </c>
      <c r="J215" t="inlineStr">
        <is>
          <t>CB / CB</t>
        </is>
      </c>
    </row>
    <row r="216">
      <c r="A216" t="inlineStr">
        <is>
          <t>2022-2023</t>
        </is>
      </c>
      <c r="B216" t="inlineStr">
        <is>
          <t>2022-12-10</t>
        </is>
      </c>
      <c r="C216" t="inlineStr">
        <is>
          <t>13:02</t>
        </is>
      </c>
      <c r="D216" t="inlineStr">
        <is>
          <t>n° 6 + n° 7</t>
        </is>
      </c>
      <c r="E216" t="n">
        <v>2</v>
      </c>
      <c r="F216" t="n">
        <v>67.40000000000001</v>
      </c>
      <c r="G216" t="n">
        <v>4</v>
      </c>
      <c r="H216" t="n">
        <v>4</v>
      </c>
      <c r="I216">
        <f>IF(G216=H216,1,0)</f>
        <v/>
      </c>
      <c r="J216" t="inlineStr">
        <is>
          <t>CB / ESP</t>
        </is>
      </c>
    </row>
    <row r="217">
      <c r="A217" t="inlineStr">
        <is>
          <t>2022-2023</t>
        </is>
      </c>
      <c r="B217" t="inlineStr">
        <is>
          <t>2022-12-10</t>
        </is>
      </c>
      <c r="C217" t="inlineStr">
        <is>
          <t>20:20</t>
        </is>
      </c>
      <c r="D217" t="inlineStr">
        <is>
          <t>n° 18 + n° 19</t>
        </is>
      </c>
      <c r="E217" t="n">
        <v>2</v>
      </c>
      <c r="F217" t="n">
        <v>66.3</v>
      </c>
      <c r="G217" t="n">
        <v>6</v>
      </c>
      <c r="H217" t="n">
        <v>6</v>
      </c>
      <c r="I217">
        <f>IF(G217=H217,1,0)</f>
        <v/>
      </c>
      <c r="J217" t="inlineStr">
        <is>
          <t>CB / CB</t>
        </is>
      </c>
    </row>
    <row r="218">
      <c r="A218" t="inlineStr">
        <is>
          <t>2022-2023</t>
        </is>
      </c>
      <c r="B218" t="inlineStr">
        <is>
          <t>2022-12-17</t>
        </is>
      </c>
      <c r="C218" t="inlineStr">
        <is>
          <t>12:03</t>
        </is>
      </c>
      <c r="D218" t="inlineStr">
        <is>
          <t>n° 3 + n° 4</t>
        </is>
      </c>
      <c r="E218" t="n">
        <v>2</v>
      </c>
      <c r="F218" t="n">
        <v>91.8</v>
      </c>
      <c r="G218" t="n">
        <v>3</v>
      </c>
      <c r="H218" t="n">
        <v>3</v>
      </c>
      <c r="I218">
        <f>IF(G218=H218,1,0)</f>
        <v/>
      </c>
      <c r="J218" t="inlineStr">
        <is>
          <t>CB / CB</t>
        </is>
      </c>
    </row>
    <row r="219">
      <c r="A219" t="inlineStr">
        <is>
          <t>2022-2023</t>
        </is>
      </c>
      <c r="B219" t="inlineStr">
        <is>
          <t>2022-12-17</t>
        </is>
      </c>
      <c r="C219" t="inlineStr">
        <is>
          <t>12:20</t>
        </is>
      </c>
      <c r="D219" t="inlineStr">
        <is>
          <t>n° 6 + n° 7</t>
        </is>
      </c>
      <c r="E219" t="n">
        <v>2</v>
      </c>
      <c r="F219" t="n">
        <v>46.6</v>
      </c>
      <c r="G219" t="n">
        <v>2</v>
      </c>
      <c r="H219" t="n">
        <v>2</v>
      </c>
      <c r="I219">
        <f>IF(G219=H219,1,0)</f>
        <v/>
      </c>
      <c r="J219" t="inlineStr">
        <is>
          <t>CB / CB</t>
        </is>
      </c>
    </row>
    <row r="220">
      <c r="A220" t="inlineStr">
        <is>
          <t>2022-2023</t>
        </is>
      </c>
      <c r="B220" t="inlineStr">
        <is>
          <t>2022-12-17</t>
        </is>
      </c>
      <c r="C220" t="inlineStr">
        <is>
          <t>20:15</t>
        </is>
      </c>
      <c r="D220" t="inlineStr">
        <is>
          <t>n° 17 + n° 18 + n° 20 + n° 21</t>
        </is>
      </c>
      <c r="E220" t="n">
        <v>4</v>
      </c>
      <c r="F220" t="n">
        <v>237.8</v>
      </c>
      <c r="G220" t="n">
        <v>16</v>
      </c>
      <c r="H220" t="n">
        <v>16</v>
      </c>
      <c r="I220">
        <f>IF(G220=H220,1,0)</f>
        <v/>
      </c>
      <c r="J220" t="inlineStr">
        <is>
          <t>CB / CB / CB / CB</t>
        </is>
      </c>
    </row>
    <row r="221">
      <c r="A221" t="inlineStr">
        <is>
          <t>2022-2023</t>
        </is>
      </c>
      <c r="B221" t="inlineStr">
        <is>
          <t>2022-12-18</t>
        </is>
      </c>
      <c r="C221" t="inlineStr">
        <is>
          <t>12:50</t>
        </is>
      </c>
      <c r="D221" t="inlineStr">
        <is>
          <t>n° 5 + n° 6</t>
        </is>
      </c>
      <c r="E221" t="n">
        <v>2</v>
      </c>
      <c r="F221" t="n">
        <v>158.4</v>
      </c>
      <c r="G221" t="n">
        <v>5</v>
      </c>
      <c r="H221" t="n">
        <v>5</v>
      </c>
      <c r="I221">
        <f>IF(G221=H221,1,0)</f>
        <v/>
      </c>
      <c r="J221" t="inlineStr">
        <is>
          <t>CB / CB</t>
        </is>
      </c>
    </row>
    <row r="222">
      <c r="A222" t="inlineStr">
        <is>
          <t>2022-2023</t>
        </is>
      </c>
      <c r="B222" t="inlineStr">
        <is>
          <t>2022-12-21</t>
        </is>
      </c>
      <c r="C222" t="inlineStr">
        <is>
          <t>19:54</t>
        </is>
      </c>
      <c r="D222" t="inlineStr">
        <is>
          <t>n° 8 + n° 9</t>
        </is>
      </c>
      <c r="E222" t="n">
        <v>2</v>
      </c>
      <c r="F222" t="n">
        <v>72.7</v>
      </c>
      <c r="G222" t="n">
        <v>7</v>
      </c>
      <c r="H222" t="n">
        <v>7</v>
      </c>
      <c r="I222">
        <f>IF(G222=H222,1,0)</f>
        <v/>
      </c>
      <c r="J222" t="inlineStr">
        <is>
          <t>CB / CB</t>
        </is>
      </c>
    </row>
    <row r="223">
      <c r="A223" t="inlineStr">
        <is>
          <t>2022-2023</t>
        </is>
      </c>
      <c r="B223" t="inlineStr">
        <is>
          <t>2022-12-22</t>
        </is>
      </c>
      <c r="C223" t="inlineStr">
        <is>
          <t>12:33</t>
        </is>
      </c>
      <c r="D223" t="inlineStr">
        <is>
          <t>n° 10 + n° 11</t>
        </is>
      </c>
      <c r="E223" t="n">
        <v>2</v>
      </c>
      <c r="F223" t="n">
        <v>79</v>
      </c>
      <c r="G223" t="n">
        <v>3</v>
      </c>
      <c r="H223" t="n">
        <v>3</v>
      </c>
      <c r="I223">
        <f>IF(G223=H223,1,0)</f>
        <v/>
      </c>
      <c r="J223" t="inlineStr">
        <is>
          <t>CB / CB</t>
        </is>
      </c>
    </row>
    <row r="224">
      <c r="A224" t="inlineStr">
        <is>
          <t>2022-2023</t>
        </is>
      </c>
      <c r="B224" t="inlineStr">
        <is>
          <t>2022-12-22</t>
        </is>
      </c>
      <c r="C224" t="inlineStr">
        <is>
          <t>18:29</t>
        </is>
      </c>
      <c r="D224" t="inlineStr">
        <is>
          <t>n° 13 + n° 14</t>
        </is>
      </c>
      <c r="E224" t="n">
        <v>2</v>
      </c>
      <c r="F224" t="n">
        <v>59.7</v>
      </c>
      <c r="G224" t="n">
        <v>6</v>
      </c>
      <c r="H224" t="n">
        <v>6</v>
      </c>
      <c r="I224">
        <f>IF(G224=H224,1,0)</f>
        <v/>
      </c>
      <c r="J224" t="inlineStr">
        <is>
          <t>CB / CB</t>
        </is>
      </c>
    </row>
    <row r="225">
      <c r="A225" t="inlineStr">
        <is>
          <t>2022-2023</t>
        </is>
      </c>
      <c r="B225" t="inlineStr">
        <is>
          <t>2022-12-23</t>
        </is>
      </c>
      <c r="C225" t="inlineStr">
        <is>
          <t>19:20</t>
        </is>
      </c>
      <c r="D225" t="inlineStr">
        <is>
          <t>n° 11 + n° 12</t>
        </is>
      </c>
      <c r="E225" t="n">
        <v>2</v>
      </c>
      <c r="F225" t="n">
        <v>88.7</v>
      </c>
      <c r="G225" t="n">
        <v>2</v>
      </c>
      <c r="H225" t="n">
        <v>2</v>
      </c>
      <c r="I225">
        <f>IF(G225=H225,1,0)</f>
        <v/>
      </c>
      <c r="J225" t="inlineStr">
        <is>
          <t>CB / CB</t>
        </is>
      </c>
    </row>
    <row r="226">
      <c r="A226" t="inlineStr">
        <is>
          <t>2022-2023</t>
        </is>
      </c>
      <c r="B226" t="inlineStr">
        <is>
          <t>2022-12-28</t>
        </is>
      </c>
      <c r="C226" t="inlineStr">
        <is>
          <t>12:01</t>
        </is>
      </c>
      <c r="D226" t="inlineStr">
        <is>
          <t>n° 2 + n° 3</t>
        </is>
      </c>
      <c r="E226" t="n">
        <v>2</v>
      </c>
      <c r="F226" t="n">
        <v>61.2</v>
      </c>
      <c r="G226" t="n">
        <v>8</v>
      </c>
      <c r="H226" t="n">
        <v>8</v>
      </c>
      <c r="I226">
        <f>IF(G226=H226,1,0)</f>
        <v/>
      </c>
      <c r="J226" t="inlineStr">
        <is>
          <t>CB / CB</t>
        </is>
      </c>
    </row>
    <row r="227">
      <c r="A227" t="inlineStr">
        <is>
          <t>2022-2023</t>
        </is>
      </c>
      <c r="B227" t="inlineStr">
        <is>
          <t>2022-12-28</t>
        </is>
      </c>
      <c r="C227" t="inlineStr">
        <is>
          <t>19:27</t>
        </is>
      </c>
      <c r="D227" t="inlineStr">
        <is>
          <t>n° 13 + n° 14</t>
        </is>
      </c>
      <c r="E227" t="n">
        <v>2</v>
      </c>
      <c r="F227" t="n">
        <v>50.5</v>
      </c>
      <c r="G227" t="n">
        <v>3</v>
      </c>
      <c r="H227" t="n">
        <v>3</v>
      </c>
      <c r="I227">
        <f>IF(G227=H227,1,0)</f>
        <v/>
      </c>
      <c r="J227" t="inlineStr">
        <is>
          <t>CB / CB</t>
        </is>
      </c>
    </row>
    <row r="228">
      <c r="A228" t="inlineStr">
        <is>
          <t>2022-2023</t>
        </is>
      </c>
      <c r="B228" t="inlineStr">
        <is>
          <t>2022-12-30</t>
        </is>
      </c>
      <c r="C228" t="inlineStr">
        <is>
          <t>19:45</t>
        </is>
      </c>
      <c r="D228" t="inlineStr">
        <is>
          <t>n° 13 + n° 14</t>
        </is>
      </c>
      <c r="E228" t="n">
        <v>2</v>
      </c>
      <c r="F228" t="n">
        <v>110</v>
      </c>
      <c r="G228" t="n">
        <v>6</v>
      </c>
      <c r="H228" t="n">
        <v>6</v>
      </c>
      <c r="I228">
        <f>IF(G228=H228,1,0)</f>
        <v/>
      </c>
      <c r="J228" t="inlineStr">
        <is>
          <t>CB / CB</t>
        </is>
      </c>
    </row>
    <row r="229">
      <c r="A229" t="inlineStr">
        <is>
          <t>2022-2023</t>
        </is>
      </c>
      <c r="B229" t="inlineStr">
        <is>
          <t>2022-12-31</t>
        </is>
      </c>
      <c r="C229" t="inlineStr">
        <is>
          <t>21:22</t>
        </is>
      </c>
      <c r="D229" t="inlineStr">
        <is>
          <t>n° 13 + n° 14</t>
        </is>
      </c>
      <c r="E229" t="n">
        <v>2</v>
      </c>
      <c r="F229" t="n">
        <v>139.1</v>
      </c>
      <c r="G229" t="n">
        <v>4</v>
      </c>
      <c r="H229" t="n">
        <v>4</v>
      </c>
      <c r="I229">
        <f>IF(G229=H229,1,0)</f>
        <v/>
      </c>
      <c r="J229" t="inlineStr">
        <is>
          <t>CB / CB</t>
        </is>
      </c>
    </row>
    <row r="230">
      <c r="A230" t="inlineStr">
        <is>
          <t>2022-2023</t>
        </is>
      </c>
      <c r="B230" t="inlineStr">
        <is>
          <t>2022-12-31</t>
        </is>
      </c>
      <c r="C230" t="inlineStr">
        <is>
          <t>21:48</t>
        </is>
      </c>
      <c r="D230" t="inlineStr">
        <is>
          <t>n° 17 + n° 18</t>
        </is>
      </c>
      <c r="E230" t="n">
        <v>2</v>
      </c>
      <c r="F230" t="n">
        <v>164.9</v>
      </c>
      <c r="G230" t="n">
        <v>5</v>
      </c>
      <c r="H230" t="n">
        <v>5</v>
      </c>
      <c r="I230">
        <f>IF(G230=H230,1,0)</f>
        <v/>
      </c>
      <c r="J230" t="inlineStr">
        <is>
          <t>CB / CB</t>
        </is>
      </c>
    </row>
    <row r="231">
      <c r="A231" t="inlineStr">
        <is>
          <t>2022-2023</t>
        </is>
      </c>
      <c r="B231" t="inlineStr">
        <is>
          <t>2023-01-05</t>
        </is>
      </c>
      <c r="C231" t="inlineStr">
        <is>
          <t>19:16</t>
        </is>
      </c>
      <c r="D231" t="inlineStr">
        <is>
          <t>n° 10 + n° 11</t>
        </is>
      </c>
      <c r="E231" t="n">
        <v>2</v>
      </c>
      <c r="F231" t="n">
        <v>60.1</v>
      </c>
      <c r="G231" t="n">
        <v>1</v>
      </c>
      <c r="H231" t="n">
        <v>1</v>
      </c>
      <c r="I231">
        <f>IF(G231=H231,1,0)</f>
        <v/>
      </c>
      <c r="J231" t="inlineStr">
        <is>
          <t>CB / CB</t>
        </is>
      </c>
    </row>
    <row r="232">
      <c r="A232" t="inlineStr">
        <is>
          <t>2022-2023</t>
        </is>
      </c>
      <c r="B232" t="inlineStr">
        <is>
          <t>2023-01-05</t>
        </is>
      </c>
      <c r="C232" t="inlineStr">
        <is>
          <t>20:33</t>
        </is>
      </c>
      <c r="D232" t="inlineStr">
        <is>
          <t>n° 14 + n° 15</t>
        </is>
      </c>
      <c r="E232" t="n">
        <v>2</v>
      </c>
      <c r="F232" t="n">
        <v>61.6</v>
      </c>
      <c r="G232" t="n">
        <v>4</v>
      </c>
      <c r="H232" t="n">
        <v>4</v>
      </c>
      <c r="I232">
        <f>IF(G232=H232,1,0)</f>
        <v/>
      </c>
      <c r="J232" t="inlineStr">
        <is>
          <t>CB / CB</t>
        </is>
      </c>
    </row>
    <row r="233">
      <c r="A233" t="inlineStr">
        <is>
          <t>2022-2023</t>
        </is>
      </c>
      <c r="B233" t="inlineStr">
        <is>
          <t>2023-01-07</t>
        </is>
      </c>
      <c r="C233" t="inlineStr">
        <is>
          <t>19:12</t>
        </is>
      </c>
      <c r="D233" t="inlineStr">
        <is>
          <t>n° 8 + n° 9 + n° 11 + n° 12 + n° 13</t>
        </is>
      </c>
      <c r="E233" t="n">
        <v>5</v>
      </c>
      <c r="F233" t="n">
        <v>220.7</v>
      </c>
      <c r="G233" t="n">
        <v>8</v>
      </c>
      <c r="H233" t="n">
        <v>7</v>
      </c>
      <c r="I233">
        <f>IF(G233=H233,1,0)</f>
        <v/>
      </c>
      <c r="J233" t="inlineStr">
        <is>
          <t>CB / CB / CB / TR/CB / CB</t>
        </is>
      </c>
    </row>
    <row r="234">
      <c r="A234" t="inlineStr">
        <is>
          <t>2022-2023</t>
        </is>
      </c>
      <c r="B234" t="inlineStr">
        <is>
          <t>2023-01-07</t>
        </is>
      </c>
      <c r="C234" t="inlineStr">
        <is>
          <t>19:50</t>
        </is>
      </c>
      <c r="D234" t="inlineStr">
        <is>
          <t>n° 15 + n° 16</t>
        </is>
      </c>
      <c r="E234" t="n">
        <v>2</v>
      </c>
      <c r="F234" t="n">
        <v>82.90000000000001</v>
      </c>
      <c r="G234" t="n">
        <v>7</v>
      </c>
      <c r="H234" t="n">
        <v>7</v>
      </c>
      <c r="I234">
        <f>IF(G234=H234,1,0)</f>
        <v/>
      </c>
      <c r="J234" t="inlineStr">
        <is>
          <t>CB / CB</t>
        </is>
      </c>
    </row>
    <row r="235">
      <c r="A235" t="inlineStr">
        <is>
          <t>2022-2023</t>
        </is>
      </c>
      <c r="B235" t="inlineStr">
        <is>
          <t>2023-02-23</t>
        </is>
      </c>
      <c r="C235" t="inlineStr">
        <is>
          <t>19:30</t>
        </is>
      </c>
      <c r="D235" t="inlineStr">
        <is>
          <t>n° 7 + n° 8</t>
        </is>
      </c>
      <c r="E235" t="n">
        <v>2</v>
      </c>
      <c r="F235" t="n">
        <v>47</v>
      </c>
      <c r="G235" t="n">
        <v>6</v>
      </c>
      <c r="H235" t="n">
        <v>6</v>
      </c>
      <c r="I235">
        <f>IF(G235=H235,1,0)</f>
        <v/>
      </c>
      <c r="J235" t="inlineStr">
        <is>
          <t>CB / CB</t>
        </is>
      </c>
    </row>
    <row r="236">
      <c r="A236" t="inlineStr">
        <is>
          <t>2022-2023</t>
        </is>
      </c>
      <c r="B236" t="inlineStr">
        <is>
          <t>2023-02-23</t>
        </is>
      </c>
      <c r="C236" t="inlineStr">
        <is>
          <t>20:16</t>
        </is>
      </c>
      <c r="D236" t="inlineStr">
        <is>
          <t>n° 14 + n° 15</t>
        </is>
      </c>
      <c r="E236" t="n">
        <v>2</v>
      </c>
      <c r="F236" t="n">
        <v>49.6</v>
      </c>
      <c r="G236" t="n">
        <v>2</v>
      </c>
      <c r="H236" t="n">
        <v>2</v>
      </c>
      <c r="I236">
        <f>IF(G236=H236,1,0)</f>
        <v/>
      </c>
      <c r="J236" t="inlineStr">
        <is>
          <t>CB / CB</t>
        </is>
      </c>
    </row>
    <row r="237">
      <c r="A237" t="inlineStr">
        <is>
          <t>2022-2023</t>
        </is>
      </c>
      <c r="B237" t="inlineStr">
        <is>
          <t>2023-02-24</t>
        </is>
      </c>
      <c r="C237" t="inlineStr">
        <is>
          <t>20:05</t>
        </is>
      </c>
      <c r="D237" t="inlineStr">
        <is>
          <t>n° 9 + n° 10</t>
        </is>
      </c>
      <c r="E237" t="n">
        <v>2</v>
      </c>
      <c r="F237" t="n">
        <v>198.5</v>
      </c>
      <c r="G237" t="n">
        <v>8</v>
      </c>
      <c r="H237" t="n">
        <v>8</v>
      </c>
      <c r="I237">
        <f>IF(G237=H237,1,0)</f>
        <v/>
      </c>
      <c r="J237" t="inlineStr">
        <is>
          <t>CB / CB</t>
        </is>
      </c>
    </row>
    <row r="238">
      <c r="A238" t="inlineStr">
        <is>
          <t>2022-2023</t>
        </is>
      </c>
      <c r="B238" t="inlineStr">
        <is>
          <t>2023-02-25</t>
        </is>
      </c>
      <c r="C238" t="inlineStr">
        <is>
          <t>12:18</t>
        </is>
      </c>
      <c r="D238" t="inlineStr">
        <is>
          <t>n° 4 + n° 6</t>
        </is>
      </c>
      <c r="E238" t="n">
        <v>2</v>
      </c>
      <c r="F238" t="n">
        <v>156.5</v>
      </c>
      <c r="G238" t="n">
        <v>11</v>
      </c>
      <c r="H238" t="n">
        <v>11</v>
      </c>
      <c r="I238">
        <f>IF(G238=H238,1,0)</f>
        <v/>
      </c>
      <c r="J238" t="inlineStr">
        <is>
          <t>CHV/CB / CB</t>
        </is>
      </c>
    </row>
    <row r="239">
      <c r="A239" t="inlineStr">
        <is>
          <t>2022-2023</t>
        </is>
      </c>
      <c r="B239" t="inlineStr">
        <is>
          <t>2023-02-25</t>
        </is>
      </c>
      <c r="C239" t="inlineStr">
        <is>
          <t>19:41</t>
        </is>
      </c>
      <c r="D239" t="inlineStr">
        <is>
          <t>n° 11 + n° 12</t>
        </is>
      </c>
      <c r="E239" t="n">
        <v>2</v>
      </c>
      <c r="F239" t="n">
        <v>121.3</v>
      </c>
      <c r="G239" t="n">
        <v>6</v>
      </c>
      <c r="H239" t="n">
        <v>6</v>
      </c>
      <c r="I239">
        <f>IF(G239=H239,1,0)</f>
        <v/>
      </c>
      <c r="J239" t="inlineStr">
        <is>
          <t>CB / CB</t>
        </is>
      </c>
    </row>
    <row r="240">
      <c r="A240" t="inlineStr">
        <is>
          <t>2022-2023</t>
        </is>
      </c>
      <c r="B240" t="inlineStr">
        <is>
          <t>2023-03-01</t>
        </is>
      </c>
      <c r="C240" t="inlineStr">
        <is>
          <t>12:05</t>
        </is>
      </c>
      <c r="D240" t="inlineStr">
        <is>
          <t>n° 3 + n° 4</t>
        </is>
      </c>
      <c r="E240" t="n">
        <v>2</v>
      </c>
      <c r="F240" t="n">
        <v>66.8</v>
      </c>
      <c r="G240" t="n">
        <v>5</v>
      </c>
      <c r="H240" t="n">
        <v>5</v>
      </c>
      <c r="I240">
        <f>IF(G240=H240,1,0)</f>
        <v/>
      </c>
      <c r="J240" t="inlineStr">
        <is>
          <t>CB / CB</t>
        </is>
      </c>
    </row>
    <row r="241">
      <c r="A241" t="inlineStr">
        <is>
          <t>2022-2023</t>
        </is>
      </c>
      <c r="B241" t="inlineStr">
        <is>
          <t>2023-03-04</t>
        </is>
      </c>
      <c r="C241" t="inlineStr">
        <is>
          <t>11:55</t>
        </is>
      </c>
      <c r="D241" t="inlineStr">
        <is>
          <t>n° 3 + n° 4</t>
        </is>
      </c>
      <c r="E241" t="n">
        <v>2</v>
      </c>
      <c r="F241" t="n">
        <v>107.5</v>
      </c>
      <c r="G241" t="n">
        <v>7</v>
      </c>
      <c r="H241" t="n">
        <v>7</v>
      </c>
      <c r="I241">
        <f>IF(G241=H241,1,0)</f>
        <v/>
      </c>
      <c r="J241" t="inlineStr">
        <is>
          <t>ESP / CB</t>
        </is>
      </c>
    </row>
    <row r="242">
      <c r="A242" t="inlineStr">
        <is>
          <t>2022-2023</t>
        </is>
      </c>
      <c r="B242" t="inlineStr">
        <is>
          <t>2023-03-04</t>
        </is>
      </c>
      <c r="C242" t="inlineStr">
        <is>
          <t>13:05</t>
        </is>
      </c>
      <c r="D242" t="inlineStr">
        <is>
          <t>n° 14 + n° 15</t>
        </is>
      </c>
      <c r="E242" t="n">
        <v>2</v>
      </c>
      <c r="F242" t="n">
        <v>60.7</v>
      </c>
      <c r="G242" t="n">
        <v>5</v>
      </c>
      <c r="H242" t="n">
        <v>5</v>
      </c>
      <c r="I242">
        <f>IF(G242=H242,1,0)</f>
        <v/>
      </c>
      <c r="J242" t="inlineStr">
        <is>
          <t>CB / CB</t>
        </is>
      </c>
    </row>
    <row r="243">
      <c r="A243" t="inlineStr">
        <is>
          <t>2022-2023</t>
        </is>
      </c>
      <c r="B243" t="inlineStr">
        <is>
          <t>2023-03-04</t>
        </is>
      </c>
      <c r="C243" t="inlineStr">
        <is>
          <t>20:08</t>
        </is>
      </c>
      <c r="D243" t="inlineStr">
        <is>
          <t>n° 25 + n° 26 + n° 27 + n° 28</t>
        </is>
      </c>
      <c r="E243" t="n">
        <v>4</v>
      </c>
      <c r="F243" t="n">
        <v>192.7</v>
      </c>
      <c r="G243" t="n">
        <v>15</v>
      </c>
      <c r="H243" t="n">
        <v>15</v>
      </c>
      <c r="I243">
        <f>IF(G243=H243,1,0)</f>
        <v/>
      </c>
      <c r="J243" t="inlineStr">
        <is>
          <t>CB / CB / CB / CB</t>
        </is>
      </c>
    </row>
    <row r="244">
      <c r="A244" t="inlineStr">
        <is>
          <t>2022-2023</t>
        </is>
      </c>
      <c r="B244" t="inlineStr">
        <is>
          <t>2023-03-05</t>
        </is>
      </c>
      <c r="C244" t="inlineStr">
        <is>
          <t>12:24</t>
        </is>
      </c>
      <c r="D244" t="inlineStr">
        <is>
          <t>n° 5 + n° 7</t>
        </is>
      </c>
      <c r="E244" t="n">
        <v>2</v>
      </c>
      <c r="F244" t="n">
        <v>87.8</v>
      </c>
      <c r="G244" t="n">
        <v>8</v>
      </c>
      <c r="H244" t="n">
        <v>8</v>
      </c>
      <c r="I244">
        <f>IF(G244=H244,1,0)</f>
        <v/>
      </c>
      <c r="J244" t="inlineStr">
        <is>
          <t>CB / CB</t>
        </is>
      </c>
    </row>
    <row r="245">
      <c r="A245" t="inlineStr">
        <is>
          <t>2022-2023</t>
        </is>
      </c>
      <c r="B245" t="inlineStr">
        <is>
          <t>2023-03-05</t>
        </is>
      </c>
      <c r="C245" t="inlineStr">
        <is>
          <t>13:08</t>
        </is>
      </c>
      <c r="D245" t="inlineStr">
        <is>
          <t>n° 11 + n° 12</t>
        </is>
      </c>
      <c r="E245" t="n">
        <v>2</v>
      </c>
      <c r="F245" t="n">
        <v>233.6</v>
      </c>
      <c r="G245" t="n">
        <v>11</v>
      </c>
      <c r="H245" t="n">
        <v>11</v>
      </c>
      <c r="I245">
        <f>IF(G245=H245,1,0)</f>
        <v/>
      </c>
      <c r="J245" t="inlineStr">
        <is>
          <t>CB / CB</t>
        </is>
      </c>
    </row>
    <row r="246">
      <c r="A246" t="inlineStr">
        <is>
          <t>2022-2023</t>
        </is>
      </c>
      <c r="B246" t="inlineStr">
        <is>
          <t>2023-03-08</t>
        </is>
      </c>
      <c r="C246" t="inlineStr">
        <is>
          <t>18:36</t>
        </is>
      </c>
      <c r="D246" t="inlineStr">
        <is>
          <t>n° 11 + n° 12</t>
        </is>
      </c>
      <c r="E246" t="n">
        <v>2</v>
      </c>
      <c r="F246" t="n">
        <v>73.09999999999999</v>
      </c>
      <c r="G246" t="n">
        <v>5</v>
      </c>
      <c r="H246" t="n">
        <v>5</v>
      </c>
      <c r="I246">
        <f>IF(G246=H246,1,0)</f>
        <v/>
      </c>
      <c r="J246" t="inlineStr">
        <is>
          <t>CB / CB</t>
        </is>
      </c>
    </row>
    <row r="247">
      <c r="A247" t="inlineStr">
        <is>
          <t>2022-2023</t>
        </is>
      </c>
      <c r="B247" t="inlineStr">
        <is>
          <t>2023-03-08</t>
        </is>
      </c>
      <c r="C247" t="inlineStr">
        <is>
          <t>19:08</t>
        </is>
      </c>
      <c r="D247" t="inlineStr">
        <is>
          <t>n° 13 + n° 14 + n° 15 + n° 16 + n° 17</t>
        </is>
      </c>
      <c r="E247" t="n">
        <v>5</v>
      </c>
      <c r="F247" t="n">
        <v>182.2</v>
      </c>
      <c r="G247" t="n">
        <v>16</v>
      </c>
      <c r="H247" t="n">
        <v>16</v>
      </c>
      <c r="I247">
        <f>IF(G247=H247,1,0)</f>
        <v/>
      </c>
      <c r="J247" t="inlineStr">
        <is>
          <t>CB / CB / TR/CB / CB / CB</t>
        </is>
      </c>
    </row>
    <row r="248">
      <c r="A248" t="inlineStr">
        <is>
          <t>2022-2023</t>
        </is>
      </c>
      <c r="B248" t="inlineStr">
        <is>
          <t>2023-03-08</t>
        </is>
      </c>
      <c r="C248" t="inlineStr">
        <is>
          <t>19:46</t>
        </is>
      </c>
      <c r="D248" t="inlineStr">
        <is>
          <t>n° 21 + n° 22</t>
        </is>
      </c>
      <c r="E248" t="n">
        <v>2</v>
      </c>
      <c r="F248" t="n">
        <v>54.7</v>
      </c>
      <c r="G248" t="n">
        <v>7</v>
      </c>
      <c r="H248" t="n">
        <v>7</v>
      </c>
      <c r="I248">
        <f>IF(G248=H248,1,0)</f>
        <v/>
      </c>
      <c r="J248" t="inlineStr">
        <is>
          <t>CHV/CB / CHV/CB</t>
        </is>
      </c>
    </row>
    <row r="249">
      <c r="A249" t="inlineStr">
        <is>
          <t>2022-2023</t>
        </is>
      </c>
      <c r="B249" t="inlineStr">
        <is>
          <t>2023-03-10</t>
        </is>
      </c>
      <c r="C249" t="inlineStr">
        <is>
          <t>20:18</t>
        </is>
      </c>
      <c r="D249" t="inlineStr">
        <is>
          <t>n° 9 + n° 10 + n° 11 + n° 12 + n° 13 + n° 14 + n° 15 + n° 16 + n° 17 + n° 18 + n° 19 + n° 22 + n° 23 + n° 24 + n° 25 + n° 27 + n° 28 + n° 29 + n° 30</t>
        </is>
      </c>
      <c r="E249" t="n">
        <v>19</v>
      </c>
      <c r="F249" t="n">
        <v>530.5</v>
      </c>
      <c r="G249" t="n">
        <v>38</v>
      </c>
      <c r="H249" t="n">
        <v>38</v>
      </c>
      <c r="I249">
        <f>IF(G249=H249,1,0)</f>
        <v/>
      </c>
      <c r="J249" t="inlineStr">
        <is>
          <t>CB / CB / CB / CB / CB / CB / ESP / CB / CB / ESP / ESP / CB / CB / CB / CB / CB / CB / CB / TR/ESP</t>
        </is>
      </c>
    </row>
    <row r="250">
      <c r="A250" t="inlineStr">
        <is>
          <t>2022-2023</t>
        </is>
      </c>
      <c r="B250" t="inlineStr">
        <is>
          <t>2023-03-11</t>
        </is>
      </c>
      <c r="C250" t="inlineStr">
        <is>
          <t>13:07</t>
        </is>
      </c>
      <c r="D250" t="inlineStr">
        <is>
          <t>n° 5 + n° 6</t>
        </is>
      </c>
      <c r="E250" t="n">
        <v>2</v>
      </c>
      <c r="F250" t="n">
        <v>178.2</v>
      </c>
      <c r="G250" t="n">
        <v>9</v>
      </c>
      <c r="H250" t="n">
        <v>9</v>
      </c>
      <c r="I250">
        <f>IF(G250=H250,1,0)</f>
        <v/>
      </c>
      <c r="J250" t="inlineStr">
        <is>
          <t>CB / CB</t>
        </is>
      </c>
    </row>
    <row r="251">
      <c r="A251" t="inlineStr">
        <is>
          <t>2022-2023</t>
        </is>
      </c>
      <c r="B251" t="inlineStr">
        <is>
          <t>2023-03-11</t>
        </is>
      </c>
      <c r="C251" t="inlineStr">
        <is>
          <t>19:27</t>
        </is>
      </c>
      <c r="D251" t="inlineStr">
        <is>
          <t>n° 12 + n° 13</t>
        </is>
      </c>
      <c r="E251" t="n">
        <v>2</v>
      </c>
      <c r="F251" t="n">
        <v>94.3</v>
      </c>
      <c r="G251" t="n">
        <v>8</v>
      </c>
      <c r="H251" t="n">
        <v>8</v>
      </c>
      <c r="I251">
        <f>IF(G251=H251,1,0)</f>
        <v/>
      </c>
      <c r="J251" t="inlineStr">
        <is>
          <t>CB / CB</t>
        </is>
      </c>
    </row>
    <row r="252">
      <c r="A252" t="inlineStr">
        <is>
          <t>2022-2023</t>
        </is>
      </c>
      <c r="B252" t="inlineStr">
        <is>
          <t>2023-03-11</t>
        </is>
      </c>
      <c r="C252" t="inlineStr">
        <is>
          <t>19:47</t>
        </is>
      </c>
      <c r="D252" t="inlineStr">
        <is>
          <t>n° 16 + n° 17 + n° 21 + n° 22</t>
        </is>
      </c>
      <c r="E252" t="n">
        <v>4</v>
      </c>
      <c r="F252" t="n">
        <v>142.57</v>
      </c>
      <c r="G252" t="n">
        <v>14</v>
      </c>
      <c r="H252" t="n">
        <v>0</v>
      </c>
      <c r="I252">
        <f>IF(G252=H252,1,0)</f>
        <v/>
      </c>
      <c r="J252" t="inlineStr">
        <is>
          <t>CB / CB / CB / CB</t>
        </is>
      </c>
    </row>
    <row r="253">
      <c r="A253" t="inlineStr">
        <is>
          <t>2022-2023</t>
        </is>
      </c>
      <c r="B253" t="inlineStr">
        <is>
          <t>2023-03-16</t>
        </is>
      </c>
      <c r="C253" t="inlineStr">
        <is>
          <t>20:25</t>
        </is>
      </c>
      <c r="D253" t="inlineStr">
        <is>
          <t>n° 11 + n° 12</t>
        </is>
      </c>
      <c r="E253" t="n">
        <v>2</v>
      </c>
      <c r="F253" t="n">
        <v>65.40000000000001</v>
      </c>
      <c r="G253" t="n">
        <v>4</v>
      </c>
      <c r="H253" t="n">
        <v>4</v>
      </c>
      <c r="I253">
        <f>IF(G253=H253,1,0)</f>
        <v/>
      </c>
      <c r="J253" t="inlineStr">
        <is>
          <t>CB / CB</t>
        </is>
      </c>
    </row>
    <row r="254">
      <c r="A254" t="inlineStr">
        <is>
          <t>2022-2023</t>
        </is>
      </c>
      <c r="B254" t="inlineStr">
        <is>
          <t>2023-03-17</t>
        </is>
      </c>
      <c r="C254" t="inlineStr">
        <is>
          <t>19:57</t>
        </is>
      </c>
      <c r="D254" t="inlineStr">
        <is>
          <t>n° 10 + n° 11</t>
        </is>
      </c>
      <c r="E254" t="n">
        <v>2</v>
      </c>
      <c r="F254" t="n">
        <v>64.7</v>
      </c>
      <c r="G254" t="n">
        <v>5</v>
      </c>
      <c r="H254" t="n">
        <v>5</v>
      </c>
      <c r="I254">
        <f>IF(G254=H254,1,0)</f>
        <v/>
      </c>
      <c r="J254" t="inlineStr">
        <is>
          <t>CB / ESP</t>
        </is>
      </c>
    </row>
    <row r="255">
      <c r="A255" t="inlineStr">
        <is>
          <t>2022-2023</t>
        </is>
      </c>
      <c r="B255" t="inlineStr">
        <is>
          <t>2023-03-18</t>
        </is>
      </c>
      <c r="C255" t="inlineStr">
        <is>
          <t>19:42</t>
        </is>
      </c>
      <c r="D255" t="inlineStr">
        <is>
          <t>n° 10 + n° 11</t>
        </is>
      </c>
      <c r="E255" t="n">
        <v>2</v>
      </c>
      <c r="F255" t="n">
        <v>162.3</v>
      </c>
      <c r="G255" t="n">
        <v>14</v>
      </c>
      <c r="H255" t="n">
        <v>14</v>
      </c>
      <c r="I255">
        <f>IF(G255=H255,1,0)</f>
        <v/>
      </c>
      <c r="J255" t="inlineStr">
        <is>
          <t>CB / CB</t>
        </is>
      </c>
    </row>
    <row r="256">
      <c r="A256" t="inlineStr">
        <is>
          <t>2022-2023</t>
        </is>
      </c>
      <c r="B256" t="inlineStr">
        <is>
          <t>2023-03-18</t>
        </is>
      </c>
      <c r="C256" t="inlineStr">
        <is>
          <t>20:36</t>
        </is>
      </c>
      <c r="D256" t="inlineStr">
        <is>
          <t>n° 16 + n° 17</t>
        </is>
      </c>
      <c r="E256" t="n">
        <v>2</v>
      </c>
      <c r="F256" t="n">
        <v>57.2</v>
      </c>
      <c r="G256" t="n">
        <v>5</v>
      </c>
      <c r="H256" t="n">
        <v>5</v>
      </c>
      <c r="I256">
        <f>IF(G256=H256,1,0)</f>
        <v/>
      </c>
      <c r="J256" t="inlineStr">
        <is>
          <t>CB / CB</t>
        </is>
      </c>
    </row>
    <row r="257">
      <c r="A257" t="inlineStr">
        <is>
          <t>2022-2023</t>
        </is>
      </c>
      <c r="B257" t="inlineStr">
        <is>
          <t>2023-03-19</t>
        </is>
      </c>
      <c r="C257" t="inlineStr">
        <is>
          <t>12:32</t>
        </is>
      </c>
      <c r="D257" t="inlineStr">
        <is>
          <t>n° 4 + n° 5</t>
        </is>
      </c>
      <c r="E257" t="n">
        <v>2</v>
      </c>
      <c r="F257" t="n">
        <v>182.3</v>
      </c>
      <c r="G257" t="n">
        <v>9</v>
      </c>
      <c r="H257" t="n">
        <v>9</v>
      </c>
      <c r="I257">
        <f>IF(G257=H257,1,0)</f>
        <v/>
      </c>
      <c r="J257" t="inlineStr">
        <is>
          <t>CB / CB</t>
        </is>
      </c>
    </row>
    <row r="258">
      <c r="A258" t="inlineStr">
        <is>
          <t>2022-2023</t>
        </is>
      </c>
      <c r="B258" t="inlineStr">
        <is>
          <t>2023-03-22</t>
        </is>
      </c>
      <c r="C258" t="inlineStr">
        <is>
          <t>19:09</t>
        </is>
      </c>
      <c r="D258" t="inlineStr">
        <is>
          <t>n° 5 + n° 6</t>
        </is>
      </c>
      <c r="E258" t="n">
        <v>2</v>
      </c>
      <c r="F258" t="n">
        <v>53.1</v>
      </c>
      <c r="G258" t="n">
        <v>4</v>
      </c>
      <c r="H258" t="n">
        <v>4</v>
      </c>
      <c r="I258">
        <f>IF(G258=H258,1,0)</f>
        <v/>
      </c>
      <c r="J258" t="inlineStr">
        <is>
          <t>CB / CB</t>
        </is>
      </c>
    </row>
    <row r="259">
      <c r="A259" t="inlineStr">
        <is>
          <t>2022-2023</t>
        </is>
      </c>
      <c r="B259" t="inlineStr">
        <is>
          <t>2023-03-22</t>
        </is>
      </c>
      <c r="C259" t="inlineStr">
        <is>
          <t>20:43</t>
        </is>
      </c>
      <c r="D259" t="inlineStr">
        <is>
          <t>n° 14 + n° 15</t>
        </is>
      </c>
      <c r="E259" t="n">
        <v>2</v>
      </c>
      <c r="F259" t="n">
        <v>110.2</v>
      </c>
      <c r="G259" t="n">
        <v>1</v>
      </c>
      <c r="H259" t="n">
        <v>1</v>
      </c>
      <c r="I259">
        <f>IF(G259=H259,1,0)</f>
        <v/>
      </c>
      <c r="J259" t="inlineStr">
        <is>
          <t>CB / CB</t>
        </is>
      </c>
    </row>
    <row r="260">
      <c r="A260" t="inlineStr">
        <is>
          <t>2022-2023</t>
        </is>
      </c>
      <c r="B260" t="inlineStr">
        <is>
          <t>2023-03-25</t>
        </is>
      </c>
      <c r="C260" t="inlineStr">
        <is>
          <t>12:26</t>
        </is>
      </c>
      <c r="D260" t="inlineStr">
        <is>
          <t>n° 4 + n° 5</t>
        </is>
      </c>
      <c r="E260" t="n">
        <v>2</v>
      </c>
      <c r="F260" t="n">
        <v>63.4</v>
      </c>
      <c r="G260" t="n">
        <v>5</v>
      </c>
      <c r="H260" t="n">
        <v>5</v>
      </c>
      <c r="I260">
        <f>IF(G260=H260,1,0)</f>
        <v/>
      </c>
      <c r="J260" t="inlineStr">
        <is>
          <t>CB / CB</t>
        </is>
      </c>
    </row>
    <row r="261">
      <c r="A261" t="inlineStr">
        <is>
          <t>2022-2023</t>
        </is>
      </c>
      <c r="B261" t="inlineStr">
        <is>
          <t>2023-03-25</t>
        </is>
      </c>
      <c r="C261" t="inlineStr">
        <is>
          <t>20:52</t>
        </is>
      </c>
      <c r="D261" t="inlineStr">
        <is>
          <t>n° 16 + n° 17 + n° 18 + n° 19</t>
        </is>
      </c>
      <c r="E261" t="n">
        <v>4</v>
      </c>
      <c r="F261" t="n">
        <v>316.7</v>
      </c>
      <c r="G261" t="n">
        <v>19</v>
      </c>
      <c r="H261" t="n">
        <v>19</v>
      </c>
      <c r="I261">
        <f>IF(G261=H261,1,0)</f>
        <v/>
      </c>
      <c r="J261" t="inlineStr">
        <is>
          <t>CB / CB / CB / ESP/CB</t>
        </is>
      </c>
    </row>
    <row r="262">
      <c r="A262" t="inlineStr">
        <is>
          <t>2022-2023</t>
        </is>
      </c>
      <c r="B262" t="inlineStr">
        <is>
          <t>2023-03-26</t>
        </is>
      </c>
      <c r="C262" t="inlineStr">
        <is>
          <t>12:43</t>
        </is>
      </c>
      <c r="D262" t="inlineStr">
        <is>
          <t>n° 8 + n° 9</t>
        </is>
      </c>
      <c r="E262" t="n">
        <v>2</v>
      </c>
      <c r="F262" t="n">
        <v>76.40000000000001</v>
      </c>
      <c r="G262" t="n">
        <v>1</v>
      </c>
      <c r="H262" t="n">
        <v>1</v>
      </c>
      <c r="I262">
        <f>IF(G262=H262,1,0)</f>
        <v/>
      </c>
      <c r="J262" t="inlineStr">
        <is>
          <t>CB / CB</t>
        </is>
      </c>
    </row>
    <row r="263">
      <c r="A263" t="inlineStr">
        <is>
          <t>2022-2023</t>
        </is>
      </c>
      <c r="B263" t="inlineStr">
        <is>
          <t>2023-03-29</t>
        </is>
      </c>
      <c r="C263" t="inlineStr">
        <is>
          <t>20:19</t>
        </is>
      </c>
      <c r="D263" t="inlineStr">
        <is>
          <t>n° 9 + n° 10 + n° 11 + n° 12</t>
        </is>
      </c>
      <c r="E263" t="n">
        <v>4</v>
      </c>
      <c r="F263" t="n">
        <v>142.8</v>
      </c>
      <c r="G263" t="n">
        <v>10</v>
      </c>
      <c r="H263" t="n">
        <v>10</v>
      </c>
      <c r="I263">
        <f>IF(G263=H263,1,0)</f>
        <v/>
      </c>
      <c r="J263" t="inlineStr">
        <is>
          <t>CB / CB / CB / CB</t>
        </is>
      </c>
    </row>
    <row r="264">
      <c r="A264" t="inlineStr">
        <is>
          <t>2022-2023</t>
        </is>
      </c>
      <c r="B264" t="inlineStr">
        <is>
          <t>2023-03-29</t>
        </is>
      </c>
      <c r="C264" t="inlineStr">
        <is>
          <t>20:44</t>
        </is>
      </c>
      <c r="D264" t="inlineStr">
        <is>
          <t>n° 13 + n° 14 + n° 15 + n° 16</t>
        </is>
      </c>
      <c r="E264" t="n">
        <v>4</v>
      </c>
      <c r="F264" t="n">
        <v>128.64</v>
      </c>
      <c r="G264" t="n">
        <v>11</v>
      </c>
      <c r="H264" t="n">
        <v>0</v>
      </c>
      <c r="I264">
        <f>IF(G264=H264,1,0)</f>
        <v/>
      </c>
      <c r="J264" t="inlineStr">
        <is>
          <t>CB / CB / CB / CB</t>
        </is>
      </c>
    </row>
    <row r="265">
      <c r="A265" t="inlineStr">
        <is>
          <t>2023-2024</t>
        </is>
      </c>
      <c r="B265" t="inlineStr">
        <is>
          <t>2023-04-01</t>
        </is>
      </c>
      <c r="C265" t="inlineStr">
        <is>
          <t>12:52</t>
        </is>
      </c>
      <c r="D265" t="inlineStr">
        <is>
          <t>n° 11 + n° 12 + n° 13</t>
        </is>
      </c>
      <c r="E265" t="n">
        <v>3</v>
      </c>
      <c r="F265" t="n">
        <v>93.8</v>
      </c>
      <c r="G265" t="n">
        <v>9</v>
      </c>
      <c r="H265" t="n">
        <v>9</v>
      </c>
      <c r="I265">
        <f>IF(G265=H265,1,0)</f>
        <v/>
      </c>
      <c r="J265" t="inlineStr">
        <is>
          <t>CB / CB / CB</t>
        </is>
      </c>
    </row>
    <row r="266">
      <c r="A266" t="inlineStr">
        <is>
          <t>2023-2024</t>
        </is>
      </c>
      <c r="B266" t="inlineStr">
        <is>
          <t>2023-04-01</t>
        </is>
      </c>
      <c r="C266" t="inlineStr">
        <is>
          <t>20:09</t>
        </is>
      </c>
      <c r="D266" t="inlineStr">
        <is>
          <t>n° 24 + n° 25</t>
        </is>
      </c>
      <c r="E266" t="n">
        <v>2</v>
      </c>
      <c r="F266" t="n">
        <v>121.9</v>
      </c>
      <c r="G266" t="n">
        <v>6</v>
      </c>
      <c r="H266" t="n">
        <v>6</v>
      </c>
      <c r="I266">
        <f>IF(G266=H266,1,0)</f>
        <v/>
      </c>
      <c r="J266" t="inlineStr">
        <is>
          <t>CB / CHQ</t>
        </is>
      </c>
    </row>
    <row r="267">
      <c r="A267" t="inlineStr">
        <is>
          <t>2023-2024</t>
        </is>
      </c>
      <c r="B267" t="inlineStr">
        <is>
          <t>2023-04-05</t>
        </is>
      </c>
      <c r="C267" t="inlineStr">
        <is>
          <t>20:06</t>
        </is>
      </c>
      <c r="D267" t="inlineStr">
        <is>
          <t>n° 11 + n° 12 + n° 13 + n° 14</t>
        </is>
      </c>
      <c r="E267" t="n">
        <v>4</v>
      </c>
      <c r="F267" t="n">
        <v>169.3</v>
      </c>
      <c r="G267" t="n">
        <v>15</v>
      </c>
      <c r="H267" t="n">
        <v>15</v>
      </c>
      <c r="I267">
        <f>IF(G267=H267,1,0)</f>
        <v/>
      </c>
      <c r="J267" t="inlineStr">
        <is>
          <t>CB / CB / CB / CB</t>
        </is>
      </c>
    </row>
    <row r="268">
      <c r="A268" t="inlineStr">
        <is>
          <t>2023-2024</t>
        </is>
      </c>
      <c r="B268" t="inlineStr">
        <is>
          <t>2023-04-06</t>
        </is>
      </c>
      <c r="C268" t="inlineStr">
        <is>
          <t>20:26</t>
        </is>
      </c>
      <c r="D268" t="inlineStr">
        <is>
          <t>n° 16 + n° 17</t>
        </is>
      </c>
      <c r="E268" t="n">
        <v>2</v>
      </c>
      <c r="F268" t="n">
        <v>178</v>
      </c>
      <c r="G268" t="n">
        <v>12</v>
      </c>
      <c r="H268" t="n">
        <v>12</v>
      </c>
      <c r="I268">
        <f>IF(G268=H268,1,0)</f>
        <v/>
      </c>
      <c r="J268" t="inlineStr">
        <is>
          <t>CB / CB</t>
        </is>
      </c>
    </row>
    <row r="269">
      <c r="A269" t="inlineStr">
        <is>
          <t>2023-2024</t>
        </is>
      </c>
      <c r="B269" t="inlineStr">
        <is>
          <t>2023-04-07</t>
        </is>
      </c>
      <c r="C269" t="inlineStr">
        <is>
          <t>21:09</t>
        </is>
      </c>
      <c r="D269" t="inlineStr">
        <is>
          <t>n° 13 + n° 14</t>
        </is>
      </c>
      <c r="E269" t="n">
        <v>2</v>
      </c>
      <c r="F269" t="n">
        <v>233.2</v>
      </c>
      <c r="G269" t="n">
        <v>11</v>
      </c>
      <c r="H269" t="n">
        <v>11</v>
      </c>
      <c r="I269">
        <f>IF(G269=H269,1,0)</f>
        <v/>
      </c>
      <c r="J269" t="inlineStr">
        <is>
          <t>CB / CB</t>
        </is>
      </c>
    </row>
    <row r="270">
      <c r="A270" t="inlineStr">
        <is>
          <t>2023-2024</t>
        </is>
      </c>
      <c r="B270" t="inlineStr">
        <is>
          <t>2023-04-08</t>
        </is>
      </c>
      <c r="C270" t="inlineStr">
        <is>
          <t>12:57</t>
        </is>
      </c>
      <c r="D270" t="inlineStr">
        <is>
          <t>n° 6 + n° 7 + n° 8</t>
        </is>
      </c>
      <c r="E270" t="n">
        <v>3</v>
      </c>
      <c r="F270" t="n">
        <v>76</v>
      </c>
      <c r="G270" t="n">
        <v>8</v>
      </c>
      <c r="H270" t="n">
        <v>8</v>
      </c>
      <c r="I270">
        <f>IF(G270=H270,1,0)</f>
        <v/>
      </c>
      <c r="J270" t="inlineStr">
        <is>
          <t>CB / CB / CB</t>
        </is>
      </c>
    </row>
    <row r="271">
      <c r="A271" t="inlineStr">
        <is>
          <t>2023-2024</t>
        </is>
      </c>
      <c r="B271" t="inlineStr">
        <is>
          <t>2023-04-12</t>
        </is>
      </c>
      <c r="C271" t="inlineStr">
        <is>
          <t>12:20</t>
        </is>
      </c>
      <c r="D271" t="inlineStr">
        <is>
          <t>n° 5 + n° 6</t>
        </is>
      </c>
      <c r="E271" t="n">
        <v>2</v>
      </c>
      <c r="F271" t="n">
        <v>153.7</v>
      </c>
      <c r="G271" t="n">
        <v>13</v>
      </c>
      <c r="H271" t="n">
        <v>13</v>
      </c>
      <c r="I271">
        <f>IF(G271=H271,1,0)</f>
        <v/>
      </c>
      <c r="J271" t="inlineStr">
        <is>
          <t>CB / CHV/CB</t>
        </is>
      </c>
    </row>
    <row r="272">
      <c r="A272" t="inlineStr">
        <is>
          <t>2023-2024</t>
        </is>
      </c>
      <c r="B272" t="inlineStr">
        <is>
          <t>2023-04-12</t>
        </is>
      </c>
      <c r="C272" t="inlineStr">
        <is>
          <t>12:39</t>
        </is>
      </c>
      <c r="D272" t="inlineStr">
        <is>
          <t>n° 10 + n° 11 + n° 14</t>
        </is>
      </c>
      <c r="E272" t="n">
        <v>3</v>
      </c>
      <c r="F272" t="n">
        <v>171.6</v>
      </c>
      <c r="G272" t="n">
        <v>22</v>
      </c>
      <c r="H272" t="n">
        <v>19</v>
      </c>
      <c r="I272">
        <f>IF(G272=H272,1,0)</f>
        <v/>
      </c>
      <c r="J272" t="inlineStr">
        <is>
          <t>CB / CB / CB</t>
        </is>
      </c>
    </row>
    <row r="273">
      <c r="A273" t="inlineStr">
        <is>
          <t>2023-2024</t>
        </is>
      </c>
      <c r="B273" t="inlineStr">
        <is>
          <t>2023-04-14</t>
        </is>
      </c>
      <c r="C273" t="inlineStr">
        <is>
          <t>19:45</t>
        </is>
      </c>
      <c r="D273" t="inlineStr">
        <is>
          <t>n° 11 + n° 12</t>
        </is>
      </c>
      <c r="E273" t="n">
        <v>2</v>
      </c>
      <c r="F273" t="n">
        <v>139.4</v>
      </c>
      <c r="G273" t="n">
        <v>8</v>
      </c>
      <c r="H273" t="n">
        <v>8</v>
      </c>
      <c r="I273">
        <f>IF(G273=H273,1,0)</f>
        <v/>
      </c>
      <c r="J273" t="inlineStr">
        <is>
          <t>CB / CB</t>
        </is>
      </c>
    </row>
    <row r="274">
      <c r="A274" t="inlineStr">
        <is>
          <t>2023-2024</t>
        </is>
      </c>
      <c r="B274" t="inlineStr">
        <is>
          <t>2023-04-15</t>
        </is>
      </c>
      <c r="C274" t="inlineStr">
        <is>
          <t>12:26</t>
        </is>
      </c>
      <c r="D274" t="inlineStr">
        <is>
          <t>n° 2 + n° 3</t>
        </is>
      </c>
      <c r="E274" t="n">
        <v>2</v>
      </c>
      <c r="F274" t="n">
        <v>159.4</v>
      </c>
      <c r="G274" t="n">
        <v>10</v>
      </c>
      <c r="H274" t="n">
        <v>10</v>
      </c>
      <c r="I274">
        <f>IF(G274=H274,1,0)</f>
        <v/>
      </c>
      <c r="J274" t="inlineStr">
        <is>
          <t>CB / CHV/CB</t>
        </is>
      </c>
    </row>
    <row r="275">
      <c r="A275" t="inlineStr">
        <is>
          <t>2023-2024</t>
        </is>
      </c>
      <c r="B275" t="inlineStr">
        <is>
          <t>2023-04-19</t>
        </is>
      </c>
      <c r="C275" t="inlineStr">
        <is>
          <t>11:26</t>
        </is>
      </c>
      <c r="D275" t="inlineStr">
        <is>
          <t>n° 1 + n° 2</t>
        </is>
      </c>
      <c r="E275" t="n">
        <v>2</v>
      </c>
      <c r="F275" t="n">
        <v>56.1</v>
      </c>
      <c r="G275" t="n">
        <v>4</v>
      </c>
      <c r="H275" t="n">
        <v>4</v>
      </c>
      <c r="I275">
        <f>IF(G275=H275,1,0)</f>
        <v/>
      </c>
      <c r="J275" t="inlineStr">
        <is>
          <t>CB / CB</t>
        </is>
      </c>
    </row>
    <row r="276">
      <c r="A276" t="inlineStr">
        <is>
          <t>2023-2024</t>
        </is>
      </c>
      <c r="B276" t="inlineStr">
        <is>
          <t>2023-04-19</t>
        </is>
      </c>
      <c r="C276" t="inlineStr">
        <is>
          <t>19:46</t>
        </is>
      </c>
      <c r="D276" t="inlineStr">
        <is>
          <t>n° 18 + n° 19</t>
        </is>
      </c>
      <c r="E276" t="n">
        <v>2</v>
      </c>
      <c r="F276" t="n">
        <v>70</v>
      </c>
      <c r="G276" t="n">
        <v>7</v>
      </c>
      <c r="H276" t="n">
        <v>7</v>
      </c>
      <c r="I276">
        <f>IF(G276=H276,1,0)</f>
        <v/>
      </c>
      <c r="J276" t="inlineStr">
        <is>
          <t>CB / CB</t>
        </is>
      </c>
    </row>
    <row r="277">
      <c r="A277" t="inlineStr">
        <is>
          <t>2023-2024</t>
        </is>
      </c>
      <c r="B277" t="inlineStr">
        <is>
          <t>2023-04-19</t>
        </is>
      </c>
      <c r="C277" t="inlineStr">
        <is>
          <t>20:35</t>
        </is>
      </c>
      <c r="D277" t="inlineStr">
        <is>
          <t>n° 20 + n° 21</t>
        </is>
      </c>
      <c r="E277" t="n">
        <v>2</v>
      </c>
      <c r="F277" t="n">
        <v>122.6</v>
      </c>
      <c r="G277" t="n">
        <v>7</v>
      </c>
      <c r="H277" t="n">
        <v>7</v>
      </c>
      <c r="I277">
        <f>IF(G277=H277,1,0)</f>
        <v/>
      </c>
      <c r="J277" t="inlineStr">
        <is>
          <t>CB / CB</t>
        </is>
      </c>
    </row>
    <row r="278">
      <c r="A278" t="inlineStr">
        <is>
          <t>2023-2024</t>
        </is>
      </c>
      <c r="B278" t="inlineStr">
        <is>
          <t>2023-04-19</t>
        </is>
      </c>
      <c r="C278" t="inlineStr">
        <is>
          <t>21:06</t>
        </is>
      </c>
      <c r="D278" t="inlineStr">
        <is>
          <t>n° 22 + n° 23</t>
        </is>
      </c>
      <c r="E278" t="n">
        <v>2</v>
      </c>
      <c r="F278" t="n">
        <v>166.6</v>
      </c>
      <c r="G278" t="n">
        <v>3</v>
      </c>
      <c r="H278" t="n">
        <v>3</v>
      </c>
      <c r="I278">
        <f>IF(G278=H278,1,0)</f>
        <v/>
      </c>
      <c r="J278" t="inlineStr">
        <is>
          <t>CB / CB</t>
        </is>
      </c>
    </row>
    <row r="279">
      <c r="A279" t="inlineStr">
        <is>
          <t>2023-2024</t>
        </is>
      </c>
      <c r="B279" t="inlineStr">
        <is>
          <t>2023-04-20</t>
        </is>
      </c>
      <c r="C279" t="inlineStr">
        <is>
          <t>12:53</t>
        </is>
      </c>
      <c r="D279" t="inlineStr">
        <is>
          <t>n° 8 + n° 10 + n° 12 + n° 13</t>
        </is>
      </c>
      <c r="E279" t="n">
        <v>4</v>
      </c>
      <c r="F279" t="n">
        <v>246.8</v>
      </c>
      <c r="G279" t="n">
        <v>7</v>
      </c>
      <c r="H279" t="n">
        <v>7</v>
      </c>
      <c r="I279">
        <f>IF(G279=H279,1,0)</f>
        <v/>
      </c>
      <c r="J279" t="inlineStr">
        <is>
          <t>CB / TR/ESP / CB / CB</t>
        </is>
      </c>
    </row>
    <row r="280">
      <c r="A280" t="inlineStr">
        <is>
          <t>2023-2024</t>
        </is>
      </c>
      <c r="B280" t="inlineStr">
        <is>
          <t>2023-04-20</t>
        </is>
      </c>
      <c r="C280" t="inlineStr">
        <is>
          <t>19:46</t>
        </is>
      </c>
      <c r="D280" t="inlineStr">
        <is>
          <t>n° 20 + n° 21</t>
        </is>
      </c>
      <c r="E280" t="n">
        <v>2</v>
      </c>
      <c r="F280" t="n">
        <v>53.2</v>
      </c>
      <c r="G280" t="n">
        <v>6</v>
      </c>
      <c r="H280" t="n">
        <v>6</v>
      </c>
      <c r="I280">
        <f>IF(G280=H280,1,0)</f>
        <v/>
      </c>
      <c r="J280" t="inlineStr">
        <is>
          <t>CB / CB</t>
        </is>
      </c>
    </row>
    <row r="281">
      <c r="A281" t="inlineStr">
        <is>
          <t>2023-2024</t>
        </is>
      </c>
      <c r="B281" t="inlineStr">
        <is>
          <t>2023-04-21</t>
        </is>
      </c>
      <c r="C281" t="inlineStr">
        <is>
          <t>20:33</t>
        </is>
      </c>
      <c r="D281" t="inlineStr">
        <is>
          <t>n° 10 + n° 11</t>
        </is>
      </c>
      <c r="E281" t="n">
        <v>2</v>
      </c>
      <c r="F281" t="n">
        <v>102.4</v>
      </c>
      <c r="G281" t="n">
        <v>1</v>
      </c>
      <c r="H281" t="n">
        <v>1</v>
      </c>
      <c r="I281">
        <f>IF(G281=H281,1,0)</f>
        <v/>
      </c>
      <c r="J281" t="inlineStr">
        <is>
          <t>CB / CB</t>
        </is>
      </c>
    </row>
    <row r="282">
      <c r="A282" t="inlineStr">
        <is>
          <t>2023-2024</t>
        </is>
      </c>
      <c r="B282" t="inlineStr">
        <is>
          <t>2023-04-26</t>
        </is>
      </c>
      <c r="C282" t="inlineStr">
        <is>
          <t>19:11</t>
        </is>
      </c>
      <c r="D282" t="inlineStr">
        <is>
          <t>n° 6 + n° 7</t>
        </is>
      </c>
      <c r="E282" t="n">
        <v>2</v>
      </c>
      <c r="F282" t="n">
        <v>70.3</v>
      </c>
      <c r="G282" t="n">
        <v>3</v>
      </c>
      <c r="H282" t="n">
        <v>3</v>
      </c>
      <c r="I282">
        <f>IF(G282=H282,1,0)</f>
        <v/>
      </c>
      <c r="J282" t="inlineStr">
        <is>
          <t>CB / CB</t>
        </is>
      </c>
    </row>
    <row r="283">
      <c r="A283" t="inlineStr">
        <is>
          <t>2023-2024</t>
        </is>
      </c>
      <c r="B283" t="inlineStr">
        <is>
          <t>2023-04-26</t>
        </is>
      </c>
      <c r="C283" t="inlineStr">
        <is>
          <t>20:19</t>
        </is>
      </c>
      <c r="D283" t="inlineStr">
        <is>
          <t>n° 12 + n° 13</t>
        </is>
      </c>
      <c r="E283" t="n">
        <v>2</v>
      </c>
      <c r="F283" t="n">
        <v>170.3</v>
      </c>
      <c r="G283" t="n">
        <v>14</v>
      </c>
      <c r="H283" t="n">
        <v>14</v>
      </c>
      <c r="I283">
        <f>IF(G283=H283,1,0)</f>
        <v/>
      </c>
      <c r="J283" t="inlineStr">
        <is>
          <t>CB / CB</t>
        </is>
      </c>
    </row>
    <row r="284">
      <c r="A284" t="inlineStr">
        <is>
          <t>2023-2024</t>
        </is>
      </c>
      <c r="B284" t="inlineStr">
        <is>
          <t>2023-04-28</t>
        </is>
      </c>
      <c r="C284" t="inlineStr">
        <is>
          <t>20:26</t>
        </is>
      </c>
      <c r="D284" t="inlineStr">
        <is>
          <t>n° 9 + n° 10</t>
        </is>
      </c>
      <c r="E284" t="n">
        <v>2</v>
      </c>
      <c r="F284" t="n">
        <v>71.09999999999999</v>
      </c>
      <c r="G284" t="n">
        <v>3</v>
      </c>
      <c r="H284" t="n">
        <v>3</v>
      </c>
      <c r="I284">
        <f>IF(G284=H284,1,0)</f>
        <v/>
      </c>
      <c r="J284" t="inlineStr">
        <is>
          <t>CB / CB</t>
        </is>
      </c>
    </row>
    <row r="285">
      <c r="A285" t="inlineStr">
        <is>
          <t>2023-2024</t>
        </is>
      </c>
      <c r="B285" t="inlineStr">
        <is>
          <t>2023-04-29</t>
        </is>
      </c>
      <c r="C285" t="inlineStr">
        <is>
          <t>20:09</t>
        </is>
      </c>
      <c r="D285" t="inlineStr">
        <is>
          <t>n° 14 + n° 15 + n° 16 + n° 17</t>
        </is>
      </c>
      <c r="E285" t="n">
        <v>4</v>
      </c>
      <c r="F285" t="n">
        <v>238.4</v>
      </c>
      <c r="G285" t="n">
        <v>18</v>
      </c>
      <c r="H285" t="n">
        <v>18</v>
      </c>
      <c r="I285">
        <f>IF(G285=H285,1,0)</f>
        <v/>
      </c>
      <c r="J285" t="inlineStr">
        <is>
          <t>CB / CB / CB / CB</t>
        </is>
      </c>
    </row>
    <row r="286">
      <c r="A286" t="inlineStr">
        <is>
          <t>2023-2024</t>
        </is>
      </c>
      <c r="B286" t="inlineStr">
        <is>
          <t>2023-04-30</t>
        </is>
      </c>
      <c r="C286" t="inlineStr">
        <is>
          <t>11:47</t>
        </is>
      </c>
      <c r="D286" t="inlineStr">
        <is>
          <t>n° 4 + n° 5</t>
        </is>
      </c>
      <c r="E286" t="n">
        <v>2</v>
      </c>
      <c r="F286" t="n">
        <v>62.8</v>
      </c>
      <c r="G286" t="n">
        <v>6</v>
      </c>
      <c r="H286" t="n">
        <v>6</v>
      </c>
      <c r="I286">
        <f>IF(G286=H286,1,0)</f>
        <v/>
      </c>
      <c r="J286" t="inlineStr">
        <is>
          <t>CB / CB</t>
        </is>
      </c>
    </row>
    <row r="287">
      <c r="A287" t="inlineStr">
        <is>
          <t>2023-2024</t>
        </is>
      </c>
      <c r="B287" t="inlineStr">
        <is>
          <t>2023-04-30</t>
        </is>
      </c>
      <c r="C287" t="inlineStr">
        <is>
          <t>13:21</t>
        </is>
      </c>
      <c r="D287" t="inlineStr">
        <is>
          <t>n° 12 + n° 13</t>
        </is>
      </c>
      <c r="E287" t="n">
        <v>2</v>
      </c>
      <c r="F287" t="n">
        <v>249.9</v>
      </c>
      <c r="G287" t="n">
        <v>12</v>
      </c>
      <c r="H287" t="n">
        <v>12</v>
      </c>
      <c r="I287">
        <f>IF(G287=H287,1,0)</f>
        <v/>
      </c>
      <c r="J287" t="inlineStr">
        <is>
          <t>CB / CB</t>
        </is>
      </c>
    </row>
    <row r="288">
      <c r="A288" t="inlineStr">
        <is>
          <t>2023-2024</t>
        </is>
      </c>
      <c r="B288" t="inlineStr">
        <is>
          <t>2023-04-30</t>
        </is>
      </c>
      <c r="C288" t="inlineStr">
        <is>
          <t>19:43</t>
        </is>
      </c>
      <c r="D288" t="inlineStr">
        <is>
          <t>n° 16 + n° 17 + n° 19 + n° 23 + n° 24 + n° 25</t>
        </is>
      </c>
      <c r="E288" t="n">
        <v>6</v>
      </c>
      <c r="F288" t="n">
        <v>392.05</v>
      </c>
      <c r="G288" t="n">
        <v>33</v>
      </c>
      <c r="H288" t="n">
        <v>28</v>
      </c>
      <c r="I288">
        <f>IF(G288=H288,1,0)</f>
        <v/>
      </c>
      <c r="J288" t="inlineStr">
        <is>
          <t>CB / CHV/CB / CB / CB / CB / CB</t>
        </is>
      </c>
    </row>
    <row r="289">
      <c r="A289" t="inlineStr">
        <is>
          <t>2023-2024</t>
        </is>
      </c>
      <c r="B289" t="inlineStr">
        <is>
          <t>2023-05-03</t>
        </is>
      </c>
      <c r="C289" t="inlineStr">
        <is>
          <t>20:29</t>
        </is>
      </c>
      <c r="D289" t="inlineStr">
        <is>
          <t>n° 19 + n° 20</t>
        </is>
      </c>
      <c r="E289" t="n">
        <v>2</v>
      </c>
      <c r="F289" t="n">
        <v>230.6</v>
      </c>
      <c r="G289" t="n">
        <v>12</v>
      </c>
      <c r="H289" t="n">
        <v>12</v>
      </c>
      <c r="I289">
        <f>IF(G289=H289,1,0)</f>
        <v/>
      </c>
      <c r="J289" t="inlineStr">
        <is>
          <t>CB / CB</t>
        </is>
      </c>
    </row>
    <row r="290">
      <c r="A290" t="inlineStr">
        <is>
          <t>2023-2024</t>
        </is>
      </c>
      <c r="B290" t="inlineStr">
        <is>
          <t>2023-05-04</t>
        </is>
      </c>
      <c r="C290" t="inlineStr">
        <is>
          <t>11:40</t>
        </is>
      </c>
      <c r="D290" t="inlineStr">
        <is>
          <t>n° 2 + n° 3</t>
        </is>
      </c>
      <c r="E290" t="n">
        <v>2</v>
      </c>
      <c r="F290" t="n">
        <v>69.40000000000001</v>
      </c>
      <c r="G290" t="n">
        <v>3</v>
      </c>
      <c r="H290" t="n">
        <v>3</v>
      </c>
      <c r="I290">
        <f>IF(G290=H290,1,0)</f>
        <v/>
      </c>
      <c r="J290" t="inlineStr">
        <is>
          <t>CB / CB</t>
        </is>
      </c>
    </row>
    <row r="291">
      <c r="A291" t="inlineStr">
        <is>
          <t>2023-2024</t>
        </is>
      </c>
      <c r="B291" t="inlineStr">
        <is>
          <t>2023-05-04</t>
        </is>
      </c>
      <c r="C291" t="inlineStr">
        <is>
          <t>12:51</t>
        </is>
      </c>
      <c r="D291" t="inlineStr">
        <is>
          <t>n° 10 + n° 11</t>
        </is>
      </c>
      <c r="E291" t="n">
        <v>2</v>
      </c>
      <c r="F291" t="n">
        <v>72</v>
      </c>
      <c r="G291" t="n">
        <v>6</v>
      </c>
      <c r="H291" t="n">
        <v>6</v>
      </c>
      <c r="I291">
        <f>IF(G291=H291,1,0)</f>
        <v/>
      </c>
      <c r="J291" t="inlineStr">
        <is>
          <t>CB / CB</t>
        </is>
      </c>
    </row>
    <row r="292">
      <c r="A292" t="inlineStr">
        <is>
          <t>2023-2024</t>
        </is>
      </c>
      <c r="B292" t="inlineStr">
        <is>
          <t>2023-05-05</t>
        </is>
      </c>
      <c r="C292" t="inlineStr">
        <is>
          <t>19:41</t>
        </is>
      </c>
      <c r="D292" t="inlineStr">
        <is>
          <t>n° 13 + n° 14 + n° 15 + n° 16</t>
        </is>
      </c>
      <c r="E292" t="n">
        <v>4</v>
      </c>
      <c r="F292" t="n">
        <v>132.3</v>
      </c>
      <c r="G292" t="n">
        <v>1</v>
      </c>
      <c r="H292" t="n">
        <v>1</v>
      </c>
      <c r="I292">
        <f>IF(G292=H292,1,0)</f>
        <v/>
      </c>
      <c r="J292" t="inlineStr">
        <is>
          <t>CB / CHV/CB / CB / CB</t>
        </is>
      </c>
    </row>
    <row r="293">
      <c r="A293" t="inlineStr">
        <is>
          <t>2023-2024</t>
        </is>
      </c>
      <c r="B293" t="inlineStr">
        <is>
          <t>2023-05-07</t>
        </is>
      </c>
      <c r="C293" t="inlineStr">
        <is>
          <t>13:04</t>
        </is>
      </c>
      <c r="D293" t="inlineStr">
        <is>
          <t>n° 10 + n° 11</t>
        </is>
      </c>
      <c r="E293" t="n">
        <v>2</v>
      </c>
      <c r="F293" t="n">
        <v>71.90000000000001</v>
      </c>
      <c r="G293" t="n">
        <v>6</v>
      </c>
      <c r="H293" t="n">
        <v>6</v>
      </c>
      <c r="I293">
        <f>IF(G293=H293,1,0)</f>
        <v/>
      </c>
      <c r="J293" t="inlineStr">
        <is>
          <t>CB / CB</t>
        </is>
      </c>
    </row>
    <row r="294">
      <c r="A294" t="inlineStr">
        <is>
          <t>2023-2024</t>
        </is>
      </c>
      <c r="B294" t="inlineStr">
        <is>
          <t>2023-05-07</t>
        </is>
      </c>
      <c r="C294" t="inlineStr">
        <is>
          <t>19:31</t>
        </is>
      </c>
      <c r="D294" t="inlineStr">
        <is>
          <t>n° 18 + n° 20 + n° 21</t>
        </is>
      </c>
      <c r="E294" t="n">
        <v>3</v>
      </c>
      <c r="F294" t="n">
        <v>118.45</v>
      </c>
      <c r="G294" t="n">
        <v>10</v>
      </c>
      <c r="H294" t="n">
        <v>5</v>
      </c>
      <c r="I294">
        <f>IF(G294=H294,1,0)</f>
        <v/>
      </c>
      <c r="J294" t="inlineStr">
        <is>
          <t>CB / CB / CB</t>
        </is>
      </c>
    </row>
    <row r="295">
      <c r="A295" t="inlineStr">
        <is>
          <t>2023-2024</t>
        </is>
      </c>
      <c r="B295" t="inlineStr">
        <is>
          <t>2023-05-10</t>
        </is>
      </c>
      <c r="C295" t="inlineStr">
        <is>
          <t>12:40</t>
        </is>
      </c>
      <c r="D295" t="inlineStr">
        <is>
          <t>n° 7 + n° 8</t>
        </is>
      </c>
      <c r="E295" t="n">
        <v>2</v>
      </c>
      <c r="F295" t="n">
        <v>55</v>
      </c>
      <c r="G295" t="n">
        <v>1</v>
      </c>
      <c r="H295" t="n">
        <v>1</v>
      </c>
      <c r="I295">
        <f>IF(G295=H295,1,0)</f>
        <v/>
      </c>
      <c r="J295" t="inlineStr">
        <is>
          <t>CB / CB</t>
        </is>
      </c>
    </row>
    <row r="296">
      <c r="A296" t="inlineStr">
        <is>
          <t>2023-2024</t>
        </is>
      </c>
      <c r="B296" t="inlineStr">
        <is>
          <t>2023-05-10</t>
        </is>
      </c>
      <c r="C296" t="inlineStr">
        <is>
          <t>20:46</t>
        </is>
      </c>
      <c r="D296" t="inlineStr">
        <is>
          <t>n° 23 + n° 24</t>
        </is>
      </c>
      <c r="E296" t="n">
        <v>2</v>
      </c>
      <c r="F296" t="n">
        <v>79.3</v>
      </c>
      <c r="G296" t="n">
        <v>1</v>
      </c>
      <c r="H296" t="n">
        <v>1</v>
      </c>
      <c r="I296">
        <f>IF(G296=H296,1,0)</f>
        <v/>
      </c>
      <c r="J296" t="inlineStr">
        <is>
          <t>CB / CB</t>
        </is>
      </c>
    </row>
    <row r="297">
      <c r="A297" t="inlineStr">
        <is>
          <t>2023-2024</t>
        </is>
      </c>
      <c r="B297" t="inlineStr">
        <is>
          <t>2023-05-12</t>
        </is>
      </c>
      <c r="C297" t="inlineStr">
        <is>
          <t>12:34</t>
        </is>
      </c>
      <c r="D297" t="inlineStr">
        <is>
          <t>n° 3 + n° 4</t>
        </is>
      </c>
      <c r="E297" t="n">
        <v>2</v>
      </c>
      <c r="F297" t="n">
        <v>208.9</v>
      </c>
      <c r="G297" t="n">
        <v>7</v>
      </c>
      <c r="H297" t="n">
        <v>7</v>
      </c>
      <c r="I297">
        <f>IF(G297=H297,1,0)</f>
        <v/>
      </c>
      <c r="J297" t="inlineStr">
        <is>
          <t>CB / CB</t>
        </is>
      </c>
    </row>
    <row r="298">
      <c r="A298" t="inlineStr">
        <is>
          <t>2023-2024</t>
        </is>
      </c>
      <c r="B298" t="inlineStr">
        <is>
          <t>2023-05-13</t>
        </is>
      </c>
      <c r="C298" t="inlineStr">
        <is>
          <t>12:11</t>
        </is>
      </c>
      <c r="D298" t="inlineStr">
        <is>
          <t>n° 4 + n° 5</t>
        </is>
      </c>
      <c r="E298" t="n">
        <v>2</v>
      </c>
      <c r="F298" t="n">
        <v>98.8</v>
      </c>
      <c r="G298" t="n">
        <v>10</v>
      </c>
      <c r="H298" t="n">
        <v>10</v>
      </c>
      <c r="I298">
        <f>IF(G298=H298,1,0)</f>
        <v/>
      </c>
      <c r="J298" t="inlineStr">
        <is>
          <t>CB / CB</t>
        </is>
      </c>
    </row>
    <row r="299">
      <c r="A299" t="inlineStr">
        <is>
          <t>2023-2024</t>
        </is>
      </c>
      <c r="B299" t="inlineStr">
        <is>
          <t>2023-05-13</t>
        </is>
      </c>
      <c r="C299" t="inlineStr">
        <is>
          <t>20:27</t>
        </is>
      </c>
      <c r="D299" t="inlineStr">
        <is>
          <t>n° 18 + n° 19</t>
        </is>
      </c>
      <c r="E299" t="n">
        <v>2</v>
      </c>
      <c r="F299" t="n">
        <v>176.6</v>
      </c>
      <c r="G299" t="n">
        <v>6</v>
      </c>
      <c r="H299" t="n">
        <v>6</v>
      </c>
      <c r="I299">
        <f>IF(G299=H299,1,0)</f>
        <v/>
      </c>
      <c r="J299" t="inlineStr">
        <is>
          <t>CB / CB</t>
        </is>
      </c>
    </row>
    <row r="300">
      <c r="A300" t="inlineStr">
        <is>
          <t>2023-2024</t>
        </is>
      </c>
      <c r="B300" t="inlineStr">
        <is>
          <t>2023-05-14</t>
        </is>
      </c>
      <c r="C300" t="inlineStr">
        <is>
          <t>12:48</t>
        </is>
      </c>
      <c r="D300" t="inlineStr">
        <is>
          <t>n° 11 + n° 12</t>
        </is>
      </c>
      <c r="E300" t="n">
        <v>2</v>
      </c>
      <c r="F300" t="n">
        <v>138.3</v>
      </c>
      <c r="G300" t="n">
        <v>9</v>
      </c>
      <c r="H300" t="n">
        <v>4</v>
      </c>
      <c r="I300">
        <f>IF(G300=H300,1,0)</f>
        <v/>
      </c>
      <c r="J300" t="inlineStr">
        <is>
          <t>CB / CHQ</t>
        </is>
      </c>
    </row>
    <row r="301">
      <c r="A301" t="inlineStr">
        <is>
          <t>2023-2024</t>
        </is>
      </c>
      <c r="B301" t="inlineStr">
        <is>
          <t>2023-05-17</t>
        </is>
      </c>
      <c r="C301" t="inlineStr">
        <is>
          <t>12:38</t>
        </is>
      </c>
      <c r="D301" t="inlineStr">
        <is>
          <t>n° 6 + n° 7</t>
        </is>
      </c>
      <c r="E301" t="n">
        <v>2</v>
      </c>
      <c r="F301" t="n">
        <v>107.6</v>
      </c>
      <c r="G301" t="n">
        <v>5</v>
      </c>
      <c r="H301" t="n">
        <v>5</v>
      </c>
      <c r="I301">
        <f>IF(G301=H301,1,0)</f>
        <v/>
      </c>
      <c r="J301" t="inlineStr">
        <is>
          <t>CB / CB</t>
        </is>
      </c>
    </row>
    <row r="302">
      <c r="A302" t="inlineStr">
        <is>
          <t>2023-2024</t>
        </is>
      </c>
      <c r="B302" t="inlineStr">
        <is>
          <t>2023-05-18</t>
        </is>
      </c>
      <c r="C302" t="inlineStr">
        <is>
          <t>13:05</t>
        </is>
      </c>
      <c r="D302" t="inlineStr">
        <is>
          <t>n° 11 + n° 12</t>
        </is>
      </c>
      <c r="E302" t="n">
        <v>2</v>
      </c>
      <c r="F302" t="n">
        <v>179.2</v>
      </c>
      <c r="G302" t="n">
        <v>10</v>
      </c>
      <c r="H302" t="n">
        <v>10</v>
      </c>
      <c r="I302">
        <f>IF(G302=H302,1,0)</f>
        <v/>
      </c>
      <c r="J302" t="inlineStr">
        <is>
          <t>CB / CB</t>
        </is>
      </c>
    </row>
    <row r="303">
      <c r="A303" t="inlineStr">
        <is>
          <t>2023-2024</t>
        </is>
      </c>
      <c r="B303" t="inlineStr">
        <is>
          <t>2023-05-19</t>
        </is>
      </c>
      <c r="C303" t="inlineStr">
        <is>
          <t>13:01</t>
        </is>
      </c>
      <c r="D303" t="inlineStr">
        <is>
          <t>n° 10 + n° 11</t>
        </is>
      </c>
      <c r="E303" t="n">
        <v>2</v>
      </c>
      <c r="F303" t="n">
        <v>108.4</v>
      </c>
      <c r="G303" t="n">
        <v>1</v>
      </c>
      <c r="H303" t="n">
        <v>1</v>
      </c>
      <c r="I303">
        <f>IF(G303=H303,1,0)</f>
        <v/>
      </c>
      <c r="J303" t="inlineStr">
        <is>
          <t>CB / CB</t>
        </is>
      </c>
    </row>
    <row r="304">
      <c r="A304" t="inlineStr">
        <is>
          <t>2023-2024</t>
        </is>
      </c>
      <c r="B304" t="inlineStr">
        <is>
          <t>2023-05-19</t>
        </is>
      </c>
      <c r="C304" t="inlineStr">
        <is>
          <t>19:52</t>
        </is>
      </c>
      <c r="D304" t="inlineStr">
        <is>
          <t>n° 22 + n° 23</t>
        </is>
      </c>
      <c r="E304" t="n">
        <v>2</v>
      </c>
      <c r="F304" t="n">
        <v>65.09999999999999</v>
      </c>
      <c r="G304" t="n">
        <v>5</v>
      </c>
      <c r="H304" t="n">
        <v>5</v>
      </c>
      <c r="I304">
        <f>IF(G304=H304,1,0)</f>
        <v/>
      </c>
      <c r="J304" t="inlineStr">
        <is>
          <t>CB / CB</t>
        </is>
      </c>
    </row>
    <row r="305">
      <c r="A305" t="inlineStr">
        <is>
          <t>2023-2024</t>
        </is>
      </c>
      <c r="B305" t="inlineStr">
        <is>
          <t>2023-05-19</t>
        </is>
      </c>
      <c r="C305" t="inlineStr">
        <is>
          <t>20:22</t>
        </is>
      </c>
      <c r="D305" t="inlineStr">
        <is>
          <t>n° 29 + n° 30</t>
        </is>
      </c>
      <c r="E305" t="n">
        <v>2</v>
      </c>
      <c r="F305" t="n">
        <v>153</v>
      </c>
      <c r="G305" t="n">
        <v>1</v>
      </c>
      <c r="H305" t="n">
        <v>1</v>
      </c>
      <c r="I305">
        <f>IF(G305=H305,1,0)</f>
        <v/>
      </c>
      <c r="J305" t="inlineStr">
        <is>
          <t>CB / CB</t>
        </is>
      </c>
    </row>
    <row r="306">
      <c r="A306" t="inlineStr">
        <is>
          <t>2023-2024</t>
        </is>
      </c>
      <c r="B306" t="inlineStr">
        <is>
          <t>2023-05-20</t>
        </is>
      </c>
      <c r="C306" t="inlineStr">
        <is>
          <t>19:25</t>
        </is>
      </c>
      <c r="D306" t="inlineStr">
        <is>
          <t>n° 24 + n° 25</t>
        </is>
      </c>
      <c r="E306" t="n">
        <v>2</v>
      </c>
      <c r="F306" t="n">
        <v>67.40000000000001</v>
      </c>
      <c r="G306" t="n">
        <v>5</v>
      </c>
      <c r="H306" t="n">
        <v>5</v>
      </c>
      <c r="I306">
        <f>IF(G306=H306,1,0)</f>
        <v/>
      </c>
      <c r="J306" t="inlineStr">
        <is>
          <t>CB / CB</t>
        </is>
      </c>
    </row>
    <row r="307">
      <c r="A307" t="inlineStr">
        <is>
          <t>2023-2024</t>
        </is>
      </c>
      <c r="B307" t="inlineStr">
        <is>
          <t>2023-05-20</t>
        </is>
      </c>
      <c r="C307" t="inlineStr">
        <is>
          <t>20:00</t>
        </is>
      </c>
      <c r="D307" t="inlineStr">
        <is>
          <t>n° 30 + n° 31 + n° 32</t>
        </is>
      </c>
      <c r="E307" t="n">
        <v>3</v>
      </c>
      <c r="F307" t="n">
        <v>62.4</v>
      </c>
      <c r="G307" t="n">
        <v>4</v>
      </c>
      <c r="H307" t="n">
        <v>4</v>
      </c>
      <c r="I307">
        <f>IF(G307=H307,1,0)</f>
        <v/>
      </c>
      <c r="J307" t="inlineStr">
        <is>
          <t>CB / CB / CB</t>
        </is>
      </c>
    </row>
    <row r="308">
      <c r="A308" t="inlineStr">
        <is>
          <t>2023-2024</t>
        </is>
      </c>
      <c r="B308" t="inlineStr">
        <is>
          <t>2023-05-20</t>
        </is>
      </c>
      <c r="C308" t="inlineStr">
        <is>
          <t>20:45</t>
        </is>
      </c>
      <c r="D308" t="inlineStr">
        <is>
          <t>n° 38 + n° 39</t>
        </is>
      </c>
      <c r="E308" t="n">
        <v>2</v>
      </c>
      <c r="F308" t="n">
        <v>169.8</v>
      </c>
      <c r="G308" t="n">
        <v>5</v>
      </c>
      <c r="H308" t="n">
        <v>5</v>
      </c>
      <c r="I308">
        <f>IF(G308=H308,1,0)</f>
        <v/>
      </c>
      <c r="J308" t="inlineStr">
        <is>
          <t>CB / CB</t>
        </is>
      </c>
    </row>
    <row r="309">
      <c r="A309" t="inlineStr">
        <is>
          <t>2023-2024</t>
        </is>
      </c>
      <c r="B309" t="inlineStr">
        <is>
          <t>2023-05-26</t>
        </is>
      </c>
      <c r="C309" t="inlineStr">
        <is>
          <t>19:41</t>
        </is>
      </c>
      <c r="D309" t="inlineStr">
        <is>
          <t>n° 18 + n° 19 + n° 20</t>
        </is>
      </c>
      <c r="E309" t="n">
        <v>3</v>
      </c>
      <c r="F309" t="n">
        <v>182.5</v>
      </c>
      <c r="G309" t="n">
        <v>10</v>
      </c>
      <c r="H309" t="n">
        <v>8</v>
      </c>
      <c r="I309">
        <f>IF(G309=H309,1,0)</f>
        <v/>
      </c>
      <c r="J309" t="inlineStr">
        <is>
          <t>CB / CB / CB</t>
        </is>
      </c>
    </row>
    <row r="310">
      <c r="A310" t="inlineStr">
        <is>
          <t>2023-2024</t>
        </is>
      </c>
      <c r="B310" t="inlineStr">
        <is>
          <t>2023-05-27</t>
        </is>
      </c>
      <c r="C310" t="inlineStr">
        <is>
          <t>12:25</t>
        </is>
      </c>
      <c r="D310" t="inlineStr">
        <is>
          <t>n° 9 + n° 10</t>
        </is>
      </c>
      <c r="E310" t="n">
        <v>2</v>
      </c>
      <c r="F310" t="n">
        <v>152.6</v>
      </c>
      <c r="G310" t="n">
        <v>6</v>
      </c>
      <c r="H310" t="n">
        <v>6</v>
      </c>
      <c r="I310">
        <f>IF(G310=H310,1,0)</f>
        <v/>
      </c>
      <c r="J310" t="inlineStr">
        <is>
          <t>CB / TR/CB</t>
        </is>
      </c>
    </row>
    <row r="311">
      <c r="A311" t="inlineStr">
        <is>
          <t>2023-2024</t>
        </is>
      </c>
      <c r="B311" t="inlineStr">
        <is>
          <t>2023-05-28</t>
        </is>
      </c>
      <c r="C311" t="inlineStr">
        <is>
          <t>12:43</t>
        </is>
      </c>
      <c r="D311" t="inlineStr">
        <is>
          <t>n° 6 + n° 7 + n° 10 + n° 11</t>
        </is>
      </c>
      <c r="E311" t="n">
        <v>4</v>
      </c>
      <c r="F311" t="n">
        <v>224.8</v>
      </c>
      <c r="G311" t="n">
        <v>15</v>
      </c>
      <c r="H311" t="n">
        <v>15</v>
      </c>
      <c r="I311">
        <f>IF(G311=H311,1,0)</f>
        <v/>
      </c>
      <c r="J311" t="inlineStr">
        <is>
          <t>CB / CB / CB / CB</t>
        </is>
      </c>
    </row>
    <row r="312">
      <c r="A312" t="inlineStr">
        <is>
          <t>2023-2024</t>
        </is>
      </c>
      <c r="B312" t="inlineStr">
        <is>
          <t>2023-05-28</t>
        </is>
      </c>
      <c r="C312" t="inlineStr">
        <is>
          <t>20:58</t>
        </is>
      </c>
      <c r="D312" t="inlineStr">
        <is>
          <t>n° 29 + n° 30</t>
        </is>
      </c>
      <c r="E312" t="n">
        <v>2</v>
      </c>
      <c r="F312" t="n">
        <v>247.7</v>
      </c>
      <c r="G312" t="n">
        <v>9</v>
      </c>
      <c r="H312" t="n">
        <v>9</v>
      </c>
      <c r="I312">
        <f>IF(G312=H312,1,0)</f>
        <v/>
      </c>
      <c r="J312" t="inlineStr">
        <is>
          <t>CB / CB</t>
        </is>
      </c>
    </row>
    <row r="313">
      <c r="A313" t="inlineStr">
        <is>
          <t>2023-2024</t>
        </is>
      </c>
      <c r="B313" t="inlineStr">
        <is>
          <t>2023-05-31</t>
        </is>
      </c>
      <c r="C313" t="inlineStr">
        <is>
          <t>12:28</t>
        </is>
      </c>
      <c r="D313" t="inlineStr">
        <is>
          <t>n° 8 + n° 9 + n° 11</t>
        </is>
      </c>
      <c r="E313" t="n">
        <v>3</v>
      </c>
      <c r="F313" t="n">
        <v>106.4</v>
      </c>
      <c r="G313" t="n">
        <v>9</v>
      </c>
      <c r="H313" t="n">
        <v>6</v>
      </c>
      <c r="I313">
        <f>IF(G313=H313,1,0)</f>
        <v/>
      </c>
      <c r="J313" t="inlineStr">
        <is>
          <t>CB / CB / CB</t>
        </is>
      </c>
    </row>
    <row r="314">
      <c r="A314" t="inlineStr">
        <is>
          <t>2023-2024</t>
        </is>
      </c>
      <c r="B314" t="inlineStr">
        <is>
          <t>2023-05-31</t>
        </is>
      </c>
      <c r="C314" t="inlineStr">
        <is>
          <t>19:38</t>
        </is>
      </c>
      <c r="D314" t="inlineStr">
        <is>
          <t>n° 18 + n° 19</t>
        </is>
      </c>
      <c r="E314" t="n">
        <v>2</v>
      </c>
      <c r="F314" t="n">
        <v>46.7</v>
      </c>
      <c r="G314" t="n">
        <v>1</v>
      </c>
      <c r="H314" t="n">
        <v>1</v>
      </c>
      <c r="I314">
        <f>IF(G314=H314,1,0)</f>
        <v/>
      </c>
      <c r="J314" t="inlineStr">
        <is>
          <t>CB / CB</t>
        </is>
      </c>
    </row>
    <row r="315">
      <c r="A315" t="inlineStr">
        <is>
          <t>2023-2024</t>
        </is>
      </c>
      <c r="B315" t="inlineStr">
        <is>
          <t>2023-06-01</t>
        </is>
      </c>
      <c r="C315" t="inlineStr">
        <is>
          <t>21:07</t>
        </is>
      </c>
      <c r="D315" t="inlineStr">
        <is>
          <t>n° 25 + n° 26</t>
        </is>
      </c>
      <c r="E315" t="n">
        <v>2</v>
      </c>
      <c r="F315" t="n">
        <v>70.7</v>
      </c>
      <c r="G315" t="n">
        <v>2</v>
      </c>
      <c r="H315" t="n">
        <v>2</v>
      </c>
      <c r="I315">
        <f>IF(G315=H315,1,0)</f>
        <v/>
      </c>
      <c r="J315" t="inlineStr">
        <is>
          <t>CB / CB</t>
        </is>
      </c>
    </row>
    <row r="316">
      <c r="A316" t="inlineStr">
        <is>
          <t>2023-2024</t>
        </is>
      </c>
      <c r="B316" t="inlineStr">
        <is>
          <t>2023-06-02</t>
        </is>
      </c>
      <c r="C316" t="inlineStr">
        <is>
          <t>12:02</t>
        </is>
      </c>
      <c r="D316" t="inlineStr">
        <is>
          <t>n° 5 + n° 6</t>
        </is>
      </c>
      <c r="E316" t="n">
        <v>2</v>
      </c>
      <c r="F316" t="n">
        <v>48.9</v>
      </c>
      <c r="G316" t="n">
        <v>6</v>
      </c>
      <c r="H316" t="n">
        <v>6</v>
      </c>
      <c r="I316">
        <f>IF(G316=H316,1,0)</f>
        <v/>
      </c>
      <c r="J316" t="inlineStr">
        <is>
          <t>CB / CB</t>
        </is>
      </c>
    </row>
    <row r="317">
      <c r="A317" t="inlineStr">
        <is>
          <t>2023-2024</t>
        </is>
      </c>
      <c r="B317" t="inlineStr">
        <is>
          <t>2023-06-02</t>
        </is>
      </c>
      <c r="C317" t="inlineStr">
        <is>
          <t>13:12</t>
        </is>
      </c>
      <c r="D317" t="inlineStr">
        <is>
          <t>n° 20 + n° 21</t>
        </is>
      </c>
      <c r="E317" t="n">
        <v>2</v>
      </c>
      <c r="F317" t="n">
        <v>147.5</v>
      </c>
      <c r="G317" t="n">
        <v>6</v>
      </c>
      <c r="H317" t="n">
        <v>6</v>
      </c>
      <c r="I317">
        <f>IF(G317=H317,1,0)</f>
        <v/>
      </c>
      <c r="J317" t="inlineStr">
        <is>
          <t>CB / CB</t>
        </is>
      </c>
    </row>
    <row r="318">
      <c r="A318" t="inlineStr">
        <is>
          <t>2023-2024</t>
        </is>
      </c>
      <c r="B318" t="inlineStr">
        <is>
          <t>2023-06-04</t>
        </is>
      </c>
      <c r="C318" t="inlineStr">
        <is>
          <t>20:21</t>
        </is>
      </c>
      <c r="D318" t="inlineStr">
        <is>
          <t>n° 23 + n° 24</t>
        </is>
      </c>
      <c r="E318" t="n">
        <v>2</v>
      </c>
      <c r="F318" t="n">
        <v>91.09999999999999</v>
      </c>
      <c r="G318" t="n">
        <v>11</v>
      </c>
      <c r="H318" t="n">
        <v>11</v>
      </c>
      <c r="I318">
        <f>IF(G318=H318,1,0)</f>
        <v/>
      </c>
      <c r="J318" t="inlineStr">
        <is>
          <t>CB / CB</t>
        </is>
      </c>
    </row>
    <row r="319">
      <c r="A319" t="inlineStr">
        <is>
          <t>2023-2024</t>
        </is>
      </c>
      <c r="B319" t="inlineStr">
        <is>
          <t>2023-06-07</t>
        </is>
      </c>
      <c r="C319" t="inlineStr">
        <is>
          <t>19:40</t>
        </is>
      </c>
      <c r="D319" t="inlineStr">
        <is>
          <t>n° 20 + n° 21</t>
        </is>
      </c>
      <c r="E319" t="n">
        <v>2</v>
      </c>
      <c r="F319" t="n">
        <v>61.8</v>
      </c>
      <c r="G319" t="n">
        <v>5</v>
      </c>
      <c r="H319" t="n">
        <v>5</v>
      </c>
      <c r="I319">
        <f>IF(G319=H319,1,0)</f>
        <v/>
      </c>
      <c r="J319" t="inlineStr">
        <is>
          <t>CB / CB</t>
        </is>
      </c>
    </row>
    <row r="320">
      <c r="A320" t="inlineStr">
        <is>
          <t>2023-2024</t>
        </is>
      </c>
      <c r="B320" t="inlineStr">
        <is>
          <t>2023-06-07</t>
        </is>
      </c>
      <c r="C320" t="inlineStr">
        <is>
          <t>20:20</t>
        </is>
      </c>
      <c r="D320" t="inlineStr">
        <is>
          <t>n° 24 + n° 25</t>
        </is>
      </c>
      <c r="E320" t="n">
        <v>2</v>
      </c>
      <c r="F320" t="n">
        <v>61.2</v>
      </c>
      <c r="G320" t="n">
        <v>3</v>
      </c>
      <c r="H320" t="n">
        <v>3</v>
      </c>
      <c r="I320">
        <f>IF(G320=H320,1,0)</f>
        <v/>
      </c>
      <c r="J320" t="inlineStr">
        <is>
          <t>CB / CB</t>
        </is>
      </c>
    </row>
    <row r="321">
      <c r="A321" t="inlineStr">
        <is>
          <t>2023-2024</t>
        </is>
      </c>
      <c r="B321" t="inlineStr">
        <is>
          <t>2023-06-08</t>
        </is>
      </c>
      <c r="C321" t="inlineStr">
        <is>
          <t>12:53</t>
        </is>
      </c>
      <c r="D321" t="inlineStr">
        <is>
          <t>n° 11 + n° 12 + n° 13 + n° 14</t>
        </is>
      </c>
      <c r="E321" t="n">
        <v>4</v>
      </c>
      <c r="F321" t="n">
        <v>242.8</v>
      </c>
      <c r="G321" t="n">
        <v>6</v>
      </c>
      <c r="H321" t="n">
        <v>6</v>
      </c>
      <c r="I321">
        <f>IF(G321=H321,1,0)</f>
        <v/>
      </c>
      <c r="J321" t="inlineStr">
        <is>
          <t>CB / CB / CB / CB</t>
        </is>
      </c>
    </row>
    <row r="322">
      <c r="A322" t="inlineStr">
        <is>
          <t>2023-2024</t>
        </is>
      </c>
      <c r="B322" t="inlineStr">
        <is>
          <t>2023-06-10</t>
        </is>
      </c>
      <c r="C322" t="inlineStr">
        <is>
          <t>13:13</t>
        </is>
      </c>
      <c r="D322" t="inlineStr">
        <is>
          <t>n° 16 + n° 17</t>
        </is>
      </c>
      <c r="E322" t="n">
        <v>2</v>
      </c>
      <c r="F322" t="n">
        <v>171.9</v>
      </c>
      <c r="G322" t="n">
        <v>4</v>
      </c>
      <c r="H322" t="n">
        <v>4</v>
      </c>
      <c r="I322">
        <f>IF(G322=H322,1,0)</f>
        <v/>
      </c>
      <c r="J322" t="inlineStr">
        <is>
          <t>CB / CB</t>
        </is>
      </c>
    </row>
    <row r="323">
      <c r="A323" t="inlineStr">
        <is>
          <t>2023-2024</t>
        </is>
      </c>
      <c r="B323" t="inlineStr">
        <is>
          <t>2023-06-10</t>
        </is>
      </c>
      <c r="C323" t="inlineStr">
        <is>
          <t>20:27</t>
        </is>
      </c>
      <c r="D323" t="inlineStr">
        <is>
          <t>n° 26 + n° 27</t>
        </is>
      </c>
      <c r="E323" t="n">
        <v>2</v>
      </c>
      <c r="F323" t="n">
        <v>125.7</v>
      </c>
      <c r="G323" t="n">
        <v>7</v>
      </c>
      <c r="H323" t="n">
        <v>7</v>
      </c>
      <c r="I323">
        <f>IF(G323=H323,1,0)</f>
        <v/>
      </c>
      <c r="J323" t="inlineStr">
        <is>
          <t>CB / CB</t>
        </is>
      </c>
    </row>
    <row r="324">
      <c r="A324" t="inlineStr">
        <is>
          <t>2023-2024</t>
        </is>
      </c>
      <c r="B324" t="inlineStr">
        <is>
          <t>2023-06-11</t>
        </is>
      </c>
      <c r="C324" t="inlineStr">
        <is>
          <t>12:40</t>
        </is>
      </c>
      <c r="D324" t="inlineStr">
        <is>
          <t>n° 6 + n° 7</t>
        </is>
      </c>
      <c r="E324" t="n">
        <v>2</v>
      </c>
      <c r="F324" t="n">
        <v>91.09999999999999</v>
      </c>
      <c r="G324" t="n">
        <v>4</v>
      </c>
      <c r="H324" t="n">
        <v>4</v>
      </c>
      <c r="I324">
        <f>IF(G324=H324,1,0)</f>
        <v/>
      </c>
      <c r="J324" t="inlineStr">
        <is>
          <t>CB / CB</t>
        </is>
      </c>
    </row>
    <row r="325">
      <c r="A325" t="inlineStr">
        <is>
          <t>2023-2024</t>
        </is>
      </c>
      <c r="B325" t="inlineStr">
        <is>
          <t>2023-06-11</t>
        </is>
      </c>
      <c r="C325" t="inlineStr">
        <is>
          <t>12:58</t>
        </is>
      </c>
      <c r="D325" t="inlineStr">
        <is>
          <t>n° 12 + n° 13</t>
        </is>
      </c>
      <c r="E325" t="n">
        <v>2</v>
      </c>
      <c r="F325" t="n">
        <v>139.3</v>
      </c>
      <c r="G325" t="n">
        <v>8</v>
      </c>
      <c r="H325" t="n">
        <v>8</v>
      </c>
      <c r="I325">
        <f>IF(G325=H325,1,0)</f>
        <v/>
      </c>
      <c r="J325" t="inlineStr">
        <is>
          <t>CB / CB</t>
        </is>
      </c>
    </row>
    <row r="326">
      <c r="A326" t="inlineStr">
        <is>
          <t>2023-2024</t>
        </is>
      </c>
      <c r="B326" t="inlineStr">
        <is>
          <t>2023-06-14</t>
        </is>
      </c>
      <c r="C326" t="inlineStr">
        <is>
          <t>20:42</t>
        </is>
      </c>
      <c r="D326" t="inlineStr">
        <is>
          <t>n° 22 + n° 23</t>
        </is>
      </c>
      <c r="E326" t="n">
        <v>2</v>
      </c>
      <c r="F326" t="n">
        <v>57.4</v>
      </c>
      <c r="G326" t="n">
        <v>3</v>
      </c>
      <c r="H326" t="n">
        <v>3</v>
      </c>
      <c r="I326">
        <f>IF(G326=H326,1,0)</f>
        <v/>
      </c>
      <c r="J326" t="inlineStr">
        <is>
          <t>CB / CB</t>
        </is>
      </c>
    </row>
    <row r="327">
      <c r="A327" t="inlineStr">
        <is>
          <t>2023-2024</t>
        </is>
      </c>
      <c r="B327" t="inlineStr">
        <is>
          <t>2023-06-15</t>
        </is>
      </c>
      <c r="C327" t="inlineStr">
        <is>
          <t>13:09</t>
        </is>
      </c>
      <c r="D327" t="inlineStr">
        <is>
          <t>n° 8 + n° 9</t>
        </is>
      </c>
      <c r="E327" t="n">
        <v>2</v>
      </c>
      <c r="F327" t="n">
        <v>73.8</v>
      </c>
      <c r="G327" t="n">
        <v>4</v>
      </c>
      <c r="H327" t="n">
        <v>4</v>
      </c>
      <c r="I327">
        <f>IF(G327=H327,1,0)</f>
        <v/>
      </c>
      <c r="J327" t="inlineStr">
        <is>
          <t>CB / CB</t>
        </is>
      </c>
    </row>
    <row r="328">
      <c r="A328" t="inlineStr">
        <is>
          <t>2023-2024</t>
        </is>
      </c>
      <c r="B328" t="inlineStr">
        <is>
          <t>2023-06-16</t>
        </is>
      </c>
      <c r="C328" t="inlineStr">
        <is>
          <t>12:49</t>
        </is>
      </c>
      <c r="D328" t="inlineStr">
        <is>
          <t>n° 12 + n° 13</t>
        </is>
      </c>
      <c r="E328" t="n">
        <v>2</v>
      </c>
      <c r="F328" t="n">
        <v>67</v>
      </c>
      <c r="G328" t="n">
        <v>10</v>
      </c>
      <c r="H328" t="n">
        <v>10</v>
      </c>
      <c r="I328">
        <f>IF(G328=H328,1,0)</f>
        <v/>
      </c>
      <c r="J328" t="inlineStr">
        <is>
          <t>CB / CB</t>
        </is>
      </c>
    </row>
    <row r="329">
      <c r="A329" t="inlineStr">
        <is>
          <t>2023-2024</t>
        </is>
      </c>
      <c r="B329" t="inlineStr">
        <is>
          <t>2023-06-17</t>
        </is>
      </c>
      <c r="C329" t="inlineStr">
        <is>
          <t>20:20</t>
        </is>
      </c>
      <c r="D329" t="inlineStr">
        <is>
          <t>n° 22 + n° 23 + n° 24 + n° 25</t>
        </is>
      </c>
      <c r="E329" t="n">
        <v>4</v>
      </c>
      <c r="F329" t="n">
        <v>143.7</v>
      </c>
      <c r="G329" t="n">
        <v>5</v>
      </c>
      <c r="H329" t="n">
        <v>5</v>
      </c>
      <c r="I329">
        <f>IF(G329=H329,1,0)</f>
        <v/>
      </c>
      <c r="J329" t="inlineStr">
        <is>
          <t>CB / CB / CB / CB</t>
        </is>
      </c>
    </row>
    <row r="330">
      <c r="A330" t="inlineStr">
        <is>
          <t>2023-2024</t>
        </is>
      </c>
      <c r="B330" t="inlineStr">
        <is>
          <t>2023-06-18</t>
        </is>
      </c>
      <c r="C330" t="inlineStr">
        <is>
          <t>13:19</t>
        </is>
      </c>
      <c r="D330" t="inlineStr">
        <is>
          <t>n° 8 + n° 9</t>
        </is>
      </c>
      <c r="E330" t="n">
        <v>2</v>
      </c>
      <c r="F330" t="n">
        <v>337.5</v>
      </c>
      <c r="G330" t="n">
        <v>21</v>
      </c>
      <c r="H330" t="n">
        <v>21</v>
      </c>
      <c r="I330">
        <f>IF(G330=H330,1,0)</f>
        <v/>
      </c>
      <c r="J330" t="inlineStr">
        <is>
          <t>CB / CB</t>
        </is>
      </c>
    </row>
    <row r="331">
      <c r="A331" t="inlineStr">
        <is>
          <t>2023-2024</t>
        </is>
      </c>
      <c r="B331" t="inlineStr">
        <is>
          <t>2023-06-21</t>
        </is>
      </c>
      <c r="C331" t="inlineStr">
        <is>
          <t>19:23</t>
        </is>
      </c>
      <c r="D331" t="inlineStr">
        <is>
          <t>n° 13 + n° 14 + n° 17 + n° 18</t>
        </is>
      </c>
      <c r="E331" t="n">
        <v>4</v>
      </c>
      <c r="F331" t="n">
        <v>222.9</v>
      </c>
      <c r="G331" t="n">
        <v>9</v>
      </c>
      <c r="H331" t="n">
        <v>9</v>
      </c>
      <c r="I331">
        <f>IF(G331=H331,1,0)</f>
        <v/>
      </c>
      <c r="J331" t="inlineStr">
        <is>
          <t>CB / CB / CB / CB</t>
        </is>
      </c>
    </row>
    <row r="332">
      <c r="A332" t="inlineStr">
        <is>
          <t>2023-2024</t>
        </is>
      </c>
      <c r="B332" t="inlineStr">
        <is>
          <t>2023-06-21</t>
        </is>
      </c>
      <c r="C332" t="inlineStr">
        <is>
          <t>20:01</t>
        </is>
      </c>
      <c r="D332" t="inlineStr">
        <is>
          <t>n° 22 + n° 23</t>
        </is>
      </c>
      <c r="E332" t="n">
        <v>2</v>
      </c>
      <c r="F332" t="n">
        <v>78.59999999999999</v>
      </c>
      <c r="G332" t="n">
        <v>2</v>
      </c>
      <c r="H332" t="n">
        <v>2</v>
      </c>
      <c r="I332">
        <f>IF(G332=H332,1,0)</f>
        <v/>
      </c>
      <c r="J332" t="inlineStr">
        <is>
          <t>CB / CB</t>
        </is>
      </c>
    </row>
    <row r="333">
      <c r="A333" t="inlineStr">
        <is>
          <t>2023-2024</t>
        </is>
      </c>
      <c r="B333" t="inlineStr">
        <is>
          <t>2023-06-22</t>
        </is>
      </c>
      <c r="C333" t="inlineStr">
        <is>
          <t>20:13</t>
        </is>
      </c>
      <c r="D333" t="inlineStr">
        <is>
          <t>n° 17 + n° 18</t>
        </is>
      </c>
      <c r="E333" t="n">
        <v>2</v>
      </c>
      <c r="F333" t="n">
        <v>92.5</v>
      </c>
      <c r="G333" t="n">
        <v>5</v>
      </c>
      <c r="H333" t="n">
        <v>5</v>
      </c>
      <c r="I333">
        <f>IF(G333=H333,1,0)</f>
        <v/>
      </c>
      <c r="J333" t="inlineStr">
        <is>
          <t>TR/CB / CB</t>
        </is>
      </c>
    </row>
    <row r="334">
      <c r="A334" t="inlineStr">
        <is>
          <t>2023-2024</t>
        </is>
      </c>
      <c r="B334" t="inlineStr">
        <is>
          <t>2023-06-23</t>
        </is>
      </c>
      <c r="C334" t="inlineStr">
        <is>
          <t>12:18</t>
        </is>
      </c>
      <c r="D334" t="inlineStr">
        <is>
          <t>n° 5 + n° 6</t>
        </is>
      </c>
      <c r="E334" t="n">
        <v>2</v>
      </c>
      <c r="F334" t="n">
        <v>37.8</v>
      </c>
      <c r="G334" t="n">
        <v>2</v>
      </c>
      <c r="H334" t="n">
        <v>2</v>
      </c>
      <c r="I334">
        <f>IF(G334=H334,1,0)</f>
        <v/>
      </c>
      <c r="J334" t="inlineStr">
        <is>
          <t>CB / CB</t>
        </is>
      </c>
    </row>
    <row r="335">
      <c r="A335" t="inlineStr">
        <is>
          <t>2023-2024</t>
        </is>
      </c>
      <c r="B335" t="inlineStr">
        <is>
          <t>2023-06-24</t>
        </is>
      </c>
      <c r="C335" t="inlineStr">
        <is>
          <t>12:11</t>
        </is>
      </c>
      <c r="D335" t="inlineStr">
        <is>
          <t>n° 4 + n° 5</t>
        </is>
      </c>
      <c r="E335" t="n">
        <v>2</v>
      </c>
      <c r="F335" t="n">
        <v>126.7</v>
      </c>
      <c r="G335" t="n">
        <v>4</v>
      </c>
      <c r="H335" t="n">
        <v>4</v>
      </c>
      <c r="I335">
        <f>IF(G335=H335,1,0)</f>
        <v/>
      </c>
      <c r="J335" t="inlineStr">
        <is>
          <t>CB / CB</t>
        </is>
      </c>
    </row>
    <row r="336">
      <c r="A336" t="inlineStr">
        <is>
          <t>2023-2024</t>
        </is>
      </c>
      <c r="B336" t="inlineStr">
        <is>
          <t>2023-06-28</t>
        </is>
      </c>
      <c r="C336" t="inlineStr">
        <is>
          <t>12:08</t>
        </is>
      </c>
      <c r="D336" t="inlineStr">
        <is>
          <t>n° 5 + n° 6 + n° 8 + n° 9</t>
        </is>
      </c>
      <c r="E336" t="n">
        <v>4</v>
      </c>
      <c r="F336" t="n">
        <v>135.4</v>
      </c>
      <c r="G336" t="n">
        <v>9</v>
      </c>
      <c r="H336" t="n">
        <v>9</v>
      </c>
      <c r="I336">
        <f>IF(G336=H336,1,0)</f>
        <v/>
      </c>
      <c r="J336" t="inlineStr">
        <is>
          <t>CB / CB / CB / CB</t>
        </is>
      </c>
    </row>
    <row r="337">
      <c r="A337" t="inlineStr">
        <is>
          <t>2023-2024</t>
        </is>
      </c>
      <c r="B337" t="inlineStr">
        <is>
          <t>2023-06-28</t>
        </is>
      </c>
      <c r="C337" t="inlineStr">
        <is>
          <t>20:57</t>
        </is>
      </c>
      <c r="D337" t="inlineStr">
        <is>
          <t>n° 33 + n° 34</t>
        </is>
      </c>
      <c r="E337" t="n">
        <v>2</v>
      </c>
      <c r="F337" t="n">
        <v>57</v>
      </c>
      <c r="G337" t="n">
        <v>2</v>
      </c>
      <c r="H337" t="n">
        <v>2</v>
      </c>
      <c r="I337">
        <f>IF(G337=H337,1,0)</f>
        <v/>
      </c>
      <c r="J337" t="inlineStr">
        <is>
          <t>CB / CB</t>
        </is>
      </c>
    </row>
    <row r="338">
      <c r="A338" t="inlineStr">
        <is>
          <t>2023-2024</t>
        </is>
      </c>
      <c r="B338" t="inlineStr">
        <is>
          <t>2023-06-29</t>
        </is>
      </c>
      <c r="C338" t="inlineStr">
        <is>
          <t>12:17</t>
        </is>
      </c>
      <c r="D338" t="inlineStr">
        <is>
          <t>n° 7 + n° 8</t>
        </is>
      </c>
      <c r="E338" t="n">
        <v>2</v>
      </c>
      <c r="F338" t="n">
        <v>55.4</v>
      </c>
      <c r="G338" t="n">
        <v>7</v>
      </c>
      <c r="H338" t="n">
        <v>7</v>
      </c>
      <c r="I338">
        <f>IF(G338=H338,1,0)</f>
        <v/>
      </c>
      <c r="J338" t="inlineStr">
        <is>
          <t>CB / CB</t>
        </is>
      </c>
    </row>
    <row r="339">
      <c r="A339" t="inlineStr">
        <is>
          <t>2023-2024</t>
        </is>
      </c>
      <c r="B339" t="inlineStr">
        <is>
          <t>2023-07-01</t>
        </is>
      </c>
      <c r="C339" t="inlineStr">
        <is>
          <t>19:27</t>
        </is>
      </c>
      <c r="D339" t="inlineStr">
        <is>
          <t>n° 14 + n° 15</t>
        </is>
      </c>
      <c r="E339" t="n">
        <v>2</v>
      </c>
      <c r="F339" t="n">
        <v>134.6</v>
      </c>
      <c r="G339" t="n">
        <v>5</v>
      </c>
      <c r="H339" t="n">
        <v>5</v>
      </c>
      <c r="I339">
        <f>IF(G339=H339,1,0)</f>
        <v/>
      </c>
      <c r="J339" t="inlineStr">
        <is>
          <t>CB / CB</t>
        </is>
      </c>
    </row>
    <row r="340">
      <c r="A340" t="inlineStr">
        <is>
          <t>2023-2024</t>
        </is>
      </c>
      <c r="B340" t="inlineStr">
        <is>
          <t>2023-07-01</t>
        </is>
      </c>
      <c r="C340" t="inlineStr">
        <is>
          <t>19:45</t>
        </is>
      </c>
      <c r="D340" t="inlineStr">
        <is>
          <t>n° 19 + n° 20</t>
        </is>
      </c>
      <c r="E340" t="n">
        <v>2</v>
      </c>
      <c r="F340" t="n">
        <v>88.81999999999999</v>
      </c>
      <c r="G340" t="n">
        <v>10</v>
      </c>
      <c r="H340" t="n">
        <v>3</v>
      </c>
      <c r="I340">
        <f>IF(G340=H340,1,0)</f>
        <v/>
      </c>
      <c r="J340" t="inlineStr">
        <is>
          <t>CB / CB</t>
        </is>
      </c>
    </row>
    <row r="341">
      <c r="A341" t="inlineStr">
        <is>
          <t>2023-2024</t>
        </is>
      </c>
      <c r="B341" t="inlineStr">
        <is>
          <t>2023-07-02</t>
        </is>
      </c>
      <c r="C341" t="inlineStr">
        <is>
          <t>20:32</t>
        </is>
      </c>
      <c r="D341" t="inlineStr">
        <is>
          <t>n° 29 + n° 30</t>
        </is>
      </c>
      <c r="E341" t="n">
        <v>2</v>
      </c>
      <c r="F341" t="n">
        <v>78.2</v>
      </c>
      <c r="G341" t="n">
        <v>2</v>
      </c>
      <c r="H341" t="n">
        <v>2</v>
      </c>
      <c r="I341">
        <f>IF(G341=H341,1,0)</f>
        <v/>
      </c>
      <c r="J341" t="inlineStr">
        <is>
          <t>CB / CB</t>
        </is>
      </c>
    </row>
    <row r="342">
      <c r="A342" t="inlineStr">
        <is>
          <t>2023-2024</t>
        </is>
      </c>
      <c r="B342" t="inlineStr">
        <is>
          <t>2023-07-05</t>
        </is>
      </c>
      <c r="C342" t="inlineStr">
        <is>
          <t>12:29</t>
        </is>
      </c>
      <c r="D342" t="inlineStr">
        <is>
          <t>n° 11 + n° 12</t>
        </is>
      </c>
      <c r="E342" t="n">
        <v>2</v>
      </c>
      <c r="F342" t="n">
        <v>52.9</v>
      </c>
      <c r="G342" t="n">
        <v>4</v>
      </c>
      <c r="H342" t="n">
        <v>4</v>
      </c>
      <c r="I342">
        <f>IF(G342=H342,1,0)</f>
        <v/>
      </c>
      <c r="J342" t="inlineStr">
        <is>
          <t>CB / CB</t>
        </is>
      </c>
    </row>
    <row r="343">
      <c r="A343" t="inlineStr">
        <is>
          <t>2023-2024</t>
        </is>
      </c>
      <c r="B343" t="inlineStr">
        <is>
          <t>2023-07-05</t>
        </is>
      </c>
      <c r="C343" t="inlineStr">
        <is>
          <t>20:35</t>
        </is>
      </c>
      <c r="D343" t="inlineStr">
        <is>
          <t>n° 35 + n° 36</t>
        </is>
      </c>
      <c r="E343" t="n">
        <v>2</v>
      </c>
      <c r="F343" t="n">
        <v>150.1</v>
      </c>
      <c r="G343" t="n">
        <v>6</v>
      </c>
      <c r="H343" t="n">
        <v>6</v>
      </c>
      <c r="I343">
        <f>IF(G343=H343,1,0)</f>
        <v/>
      </c>
      <c r="J343" t="inlineStr">
        <is>
          <t>CB / CB</t>
        </is>
      </c>
    </row>
    <row r="344">
      <c r="A344" t="inlineStr">
        <is>
          <t>2023-2024</t>
        </is>
      </c>
      <c r="B344" t="inlineStr">
        <is>
          <t>2023-07-06</t>
        </is>
      </c>
      <c r="C344" t="inlineStr">
        <is>
          <t>12:57</t>
        </is>
      </c>
      <c r="D344" t="inlineStr">
        <is>
          <t>n° 15 + n° 16</t>
        </is>
      </c>
      <c r="E344" t="n">
        <v>2</v>
      </c>
      <c r="F344" t="n">
        <v>87.09999999999999</v>
      </c>
      <c r="G344" t="n">
        <v>4</v>
      </c>
      <c r="H344" t="n">
        <v>4</v>
      </c>
      <c r="I344">
        <f>IF(G344=H344,1,0)</f>
        <v/>
      </c>
      <c r="J344" t="inlineStr">
        <is>
          <t>CB / CB</t>
        </is>
      </c>
    </row>
    <row r="345">
      <c r="A345" t="inlineStr">
        <is>
          <t>2023-2024</t>
        </is>
      </c>
      <c r="B345" t="inlineStr">
        <is>
          <t>2023-07-06</t>
        </is>
      </c>
      <c r="C345" t="inlineStr">
        <is>
          <t>13:14</t>
        </is>
      </c>
      <c r="D345" t="inlineStr">
        <is>
          <t>n° 17 + n° 18 + n° 19 + n° 20</t>
        </is>
      </c>
      <c r="E345" t="n">
        <v>4</v>
      </c>
      <c r="F345" t="n">
        <v>229.5</v>
      </c>
      <c r="G345" t="n">
        <v>9</v>
      </c>
      <c r="H345" t="n">
        <v>9</v>
      </c>
      <c r="I345">
        <f>IF(G345=H345,1,0)</f>
        <v/>
      </c>
      <c r="J345" t="inlineStr">
        <is>
          <t>CB / CB / CB / CB</t>
        </is>
      </c>
    </row>
    <row r="346">
      <c r="A346" t="inlineStr">
        <is>
          <t>2023-2024</t>
        </is>
      </c>
      <c r="B346" t="inlineStr">
        <is>
          <t>2023-07-07</t>
        </is>
      </c>
      <c r="C346" t="inlineStr">
        <is>
          <t>12:06</t>
        </is>
      </c>
      <c r="D346" t="inlineStr">
        <is>
          <t>n° 6 + n° 7</t>
        </is>
      </c>
      <c r="E346" t="n">
        <v>2</v>
      </c>
      <c r="F346" t="n">
        <v>155.7</v>
      </c>
      <c r="G346" t="n">
        <v>7</v>
      </c>
      <c r="H346" t="n">
        <v>7</v>
      </c>
      <c r="I346">
        <f>IF(G346=H346,1,0)</f>
        <v/>
      </c>
      <c r="J346" t="inlineStr">
        <is>
          <t>CB / CB</t>
        </is>
      </c>
    </row>
    <row r="347">
      <c r="A347" t="inlineStr">
        <is>
          <t>2023-2024</t>
        </is>
      </c>
      <c r="B347" t="inlineStr">
        <is>
          <t>2023-07-07</t>
        </is>
      </c>
      <c r="C347" t="inlineStr">
        <is>
          <t>20:44</t>
        </is>
      </c>
      <c r="D347" t="inlineStr">
        <is>
          <t>n° 31 + n° 32 + n° 33</t>
        </is>
      </c>
      <c r="E347" t="n">
        <v>3</v>
      </c>
      <c r="F347" t="n">
        <v>199</v>
      </c>
      <c r="G347" t="n">
        <v>3</v>
      </c>
      <c r="H347" t="n">
        <v>3</v>
      </c>
      <c r="I347">
        <f>IF(G347=H347,1,0)</f>
        <v/>
      </c>
      <c r="J347" t="inlineStr">
        <is>
          <t>CB / CB / CB</t>
        </is>
      </c>
    </row>
    <row r="348">
      <c r="A348" t="inlineStr">
        <is>
          <t>2023-2024</t>
        </is>
      </c>
      <c r="B348" t="inlineStr">
        <is>
          <t>2023-07-08</t>
        </is>
      </c>
      <c r="C348" t="inlineStr">
        <is>
          <t>11:49</t>
        </is>
      </c>
      <c r="D348" t="inlineStr">
        <is>
          <t>n° 3 + n° 4</t>
        </is>
      </c>
      <c r="E348" t="n">
        <v>2</v>
      </c>
      <c r="F348" t="n">
        <v>53.4</v>
      </c>
      <c r="G348" t="n">
        <v>2</v>
      </c>
      <c r="H348" t="n">
        <v>2</v>
      </c>
      <c r="I348">
        <f>IF(G348=H348,1,0)</f>
        <v/>
      </c>
      <c r="J348" t="inlineStr">
        <is>
          <t>CB / CB</t>
        </is>
      </c>
    </row>
    <row r="349">
      <c r="A349" t="inlineStr">
        <is>
          <t>2023-2024</t>
        </is>
      </c>
      <c r="B349" t="inlineStr">
        <is>
          <t>2023-07-08</t>
        </is>
      </c>
      <c r="C349" t="inlineStr">
        <is>
          <t>19:52</t>
        </is>
      </c>
      <c r="D349" t="inlineStr">
        <is>
          <t>n° 21 + n° 22</t>
        </is>
      </c>
      <c r="E349" t="n">
        <v>2</v>
      </c>
      <c r="F349" t="n">
        <v>69.2</v>
      </c>
      <c r="G349" t="n">
        <v>4</v>
      </c>
      <c r="H349" t="n">
        <v>4</v>
      </c>
      <c r="I349">
        <f>IF(G349=H349,1,0)</f>
        <v/>
      </c>
      <c r="J349" t="inlineStr">
        <is>
          <t>CB / CB</t>
        </is>
      </c>
    </row>
    <row r="350">
      <c r="A350" t="inlineStr">
        <is>
          <t>2023-2024</t>
        </is>
      </c>
      <c r="B350" t="inlineStr">
        <is>
          <t>2023-07-09</t>
        </is>
      </c>
      <c r="C350" t="inlineStr">
        <is>
          <t>12:11</t>
        </is>
      </c>
      <c r="D350" t="inlineStr">
        <is>
          <t>n° 8 + n° 9</t>
        </is>
      </c>
      <c r="E350" t="n">
        <v>2</v>
      </c>
      <c r="F350" t="n">
        <v>59.3</v>
      </c>
      <c r="G350" t="n">
        <v>5</v>
      </c>
      <c r="H350" t="n">
        <v>5</v>
      </c>
      <c r="I350">
        <f>IF(G350=H350,1,0)</f>
        <v/>
      </c>
      <c r="J350" t="inlineStr">
        <is>
          <t>CB / CB</t>
        </is>
      </c>
    </row>
    <row r="351">
      <c r="A351" t="inlineStr">
        <is>
          <t>2023-2024</t>
        </is>
      </c>
      <c r="B351" t="inlineStr">
        <is>
          <t>2023-07-13</t>
        </is>
      </c>
      <c r="C351" t="inlineStr">
        <is>
          <t>20:44</t>
        </is>
      </c>
      <c r="D351" t="inlineStr">
        <is>
          <t>n° 34 + n° 35 + n° 36</t>
        </is>
      </c>
      <c r="E351" t="n">
        <v>3</v>
      </c>
      <c r="F351" t="n">
        <v>89.2</v>
      </c>
      <c r="G351" t="n">
        <v>11</v>
      </c>
      <c r="H351" t="n">
        <v>11</v>
      </c>
      <c r="I351">
        <f>IF(G351=H351,1,0)</f>
        <v/>
      </c>
      <c r="J351" t="inlineStr">
        <is>
          <t>CB / CB / CB</t>
        </is>
      </c>
    </row>
    <row r="352">
      <c r="A352" t="inlineStr">
        <is>
          <t>2023-2024</t>
        </is>
      </c>
      <c r="B352" t="inlineStr">
        <is>
          <t>2023-07-14</t>
        </is>
      </c>
      <c r="C352" t="inlineStr">
        <is>
          <t>12:42</t>
        </is>
      </c>
      <c r="D352" t="inlineStr">
        <is>
          <t>n° 13 + n° 14</t>
        </is>
      </c>
      <c r="E352" t="n">
        <v>2</v>
      </c>
      <c r="F352" t="n">
        <v>120.8</v>
      </c>
      <c r="G352" t="n">
        <v>7</v>
      </c>
      <c r="H352" t="n">
        <v>7</v>
      </c>
      <c r="I352">
        <f>IF(G352=H352,1,0)</f>
        <v/>
      </c>
      <c r="J352" t="inlineStr">
        <is>
          <t>CB / CB</t>
        </is>
      </c>
    </row>
    <row r="353">
      <c r="A353" t="inlineStr">
        <is>
          <t>2023-2024</t>
        </is>
      </c>
      <c r="B353" t="inlineStr">
        <is>
          <t>2023-07-14</t>
        </is>
      </c>
      <c r="C353" t="inlineStr">
        <is>
          <t>18:52</t>
        </is>
      </c>
      <c r="D353" t="inlineStr">
        <is>
          <t>n° 21 + n° 22</t>
        </is>
      </c>
      <c r="E353" t="n">
        <v>2</v>
      </c>
      <c r="F353" t="n">
        <v>39.2</v>
      </c>
      <c r="G353" t="n">
        <v>6</v>
      </c>
      <c r="H353" t="n">
        <v>6</v>
      </c>
      <c r="I353">
        <f>IF(G353=H353,1,0)</f>
        <v/>
      </c>
      <c r="J353" t="inlineStr">
        <is>
          <t>CB / CB</t>
        </is>
      </c>
    </row>
    <row r="354">
      <c r="A354" t="inlineStr">
        <is>
          <t>2023-2024</t>
        </is>
      </c>
      <c r="B354" t="inlineStr">
        <is>
          <t>2023-07-16</t>
        </is>
      </c>
      <c r="C354" t="inlineStr">
        <is>
          <t>13:01</t>
        </is>
      </c>
      <c r="D354" t="inlineStr">
        <is>
          <t>n° 9 + n° 10</t>
        </is>
      </c>
      <c r="E354" t="n">
        <v>2</v>
      </c>
      <c r="F354" t="n">
        <v>108.1</v>
      </c>
      <c r="G354" t="n">
        <v>5</v>
      </c>
      <c r="H354" t="n">
        <v>5</v>
      </c>
      <c r="I354">
        <f>IF(G354=H354,1,0)</f>
        <v/>
      </c>
      <c r="J354" t="inlineStr">
        <is>
          <t>CB / CB</t>
        </is>
      </c>
    </row>
    <row r="355">
      <c r="A355" t="inlineStr">
        <is>
          <t>2023-2024</t>
        </is>
      </c>
      <c r="B355" t="inlineStr">
        <is>
          <t>2023-07-16</t>
        </is>
      </c>
      <c r="C355" t="inlineStr">
        <is>
          <t>13:17</t>
        </is>
      </c>
      <c r="D355" t="inlineStr">
        <is>
          <t>n° 13 + n° 14</t>
        </is>
      </c>
      <c r="E355" t="n">
        <v>2</v>
      </c>
      <c r="F355" t="n">
        <v>61.3</v>
      </c>
      <c r="G355" t="n">
        <v>1</v>
      </c>
      <c r="H355" t="n">
        <v>1</v>
      </c>
      <c r="I355">
        <f>IF(G355=H355,1,0)</f>
        <v/>
      </c>
      <c r="J355" t="inlineStr">
        <is>
          <t>CB / CB</t>
        </is>
      </c>
    </row>
    <row r="356">
      <c r="A356" t="inlineStr">
        <is>
          <t>2023-2024</t>
        </is>
      </c>
      <c r="B356" t="inlineStr">
        <is>
          <t>2023-07-16</t>
        </is>
      </c>
      <c r="C356" t="inlineStr">
        <is>
          <t>19:17</t>
        </is>
      </c>
      <c r="D356" t="inlineStr">
        <is>
          <t>n° 22 + n° 23</t>
        </is>
      </c>
      <c r="E356" t="n">
        <v>2</v>
      </c>
      <c r="F356" t="n">
        <v>64.59999999999999</v>
      </c>
      <c r="G356" t="n">
        <v>7</v>
      </c>
      <c r="H356" t="n">
        <v>7</v>
      </c>
      <c r="I356">
        <f>IF(G356=H356,1,0)</f>
        <v/>
      </c>
      <c r="J356" t="inlineStr">
        <is>
          <t>CB / CB</t>
        </is>
      </c>
    </row>
    <row r="357">
      <c r="A357" t="inlineStr">
        <is>
          <t>2023-2024</t>
        </is>
      </c>
      <c r="B357" t="inlineStr">
        <is>
          <t>2023-07-16</t>
        </is>
      </c>
      <c r="C357" t="inlineStr">
        <is>
          <t>20:15</t>
        </is>
      </c>
      <c r="D357" t="inlineStr">
        <is>
          <t>n° 32 + n° 33</t>
        </is>
      </c>
      <c r="E357" t="n">
        <v>2</v>
      </c>
      <c r="F357" t="n">
        <v>127.9</v>
      </c>
      <c r="G357" t="n">
        <v>3</v>
      </c>
      <c r="H357" t="n">
        <v>3</v>
      </c>
      <c r="I357">
        <f>IF(G357=H357,1,0)</f>
        <v/>
      </c>
      <c r="J357" t="inlineStr">
        <is>
          <t>CB / CB</t>
        </is>
      </c>
    </row>
    <row r="358">
      <c r="A358" t="inlineStr">
        <is>
          <t>2023-2024</t>
        </is>
      </c>
      <c r="B358" t="inlineStr">
        <is>
          <t>2023-07-19</t>
        </is>
      </c>
      <c r="C358" t="inlineStr">
        <is>
          <t>20:42</t>
        </is>
      </c>
      <c r="D358" t="inlineStr">
        <is>
          <t>n° 29 + n° 30</t>
        </is>
      </c>
      <c r="E358" t="n">
        <v>2</v>
      </c>
      <c r="F358" t="n">
        <v>52.2</v>
      </c>
      <c r="G358" t="n">
        <v>4</v>
      </c>
      <c r="H358" t="n">
        <v>4</v>
      </c>
      <c r="I358">
        <f>IF(G358=H358,1,0)</f>
        <v/>
      </c>
      <c r="J358" t="inlineStr">
        <is>
          <t>CB / CB</t>
        </is>
      </c>
    </row>
    <row r="359">
      <c r="A359" t="inlineStr">
        <is>
          <t>2023-2024</t>
        </is>
      </c>
      <c r="B359" t="inlineStr">
        <is>
          <t>2023-07-21</t>
        </is>
      </c>
      <c r="C359" t="inlineStr">
        <is>
          <t>12:54</t>
        </is>
      </c>
      <c r="D359" t="inlineStr">
        <is>
          <t>n° 11 + n° 12 + n° 14 + n° 15</t>
        </is>
      </c>
      <c r="E359" t="n">
        <v>4</v>
      </c>
      <c r="F359" t="n">
        <v>187.1</v>
      </c>
      <c r="G359" t="n">
        <v>6</v>
      </c>
      <c r="H359" t="n">
        <v>6</v>
      </c>
      <c r="I359">
        <f>IF(G359=H359,1,0)</f>
        <v/>
      </c>
      <c r="J359" t="inlineStr">
        <is>
          <t>CB / CB / CB / CB</t>
        </is>
      </c>
    </row>
    <row r="360">
      <c r="A360" t="inlineStr">
        <is>
          <t>2023-2024</t>
        </is>
      </c>
      <c r="B360" t="inlineStr">
        <is>
          <t>2023-07-22</t>
        </is>
      </c>
      <c r="C360" t="inlineStr">
        <is>
          <t>21:13</t>
        </is>
      </c>
      <c r="D360" t="inlineStr">
        <is>
          <t>n° 38 + n° 39 + n° 41 + n° 42</t>
        </is>
      </c>
      <c r="E360" t="n">
        <v>4</v>
      </c>
      <c r="F360" t="n">
        <v>225.4</v>
      </c>
      <c r="G360" t="n">
        <v>11</v>
      </c>
      <c r="H360" t="n">
        <v>11</v>
      </c>
      <c r="I360">
        <f>IF(G360=H360,1,0)</f>
        <v/>
      </c>
      <c r="J360" t="inlineStr">
        <is>
          <t>CB / CB / CB / CB</t>
        </is>
      </c>
    </row>
    <row r="361">
      <c r="A361" t="inlineStr">
        <is>
          <t>2023-2024</t>
        </is>
      </c>
      <c r="B361" t="inlineStr">
        <is>
          <t>2023-07-23</t>
        </is>
      </c>
      <c r="C361" t="inlineStr">
        <is>
          <t>13:23</t>
        </is>
      </c>
      <c r="D361" t="inlineStr">
        <is>
          <t>n° 16 + n° 17</t>
        </is>
      </c>
      <c r="E361" t="n">
        <v>2</v>
      </c>
      <c r="F361" t="n">
        <v>90.8</v>
      </c>
      <c r="G361" t="n">
        <v>2</v>
      </c>
      <c r="H361" t="n">
        <v>2</v>
      </c>
      <c r="I361">
        <f>IF(G361=H361,1,0)</f>
        <v/>
      </c>
      <c r="J361" t="inlineStr">
        <is>
          <t>CB / CB</t>
        </is>
      </c>
    </row>
    <row r="362">
      <c r="A362" t="inlineStr">
        <is>
          <t>2023-2024</t>
        </is>
      </c>
      <c r="B362" t="inlineStr">
        <is>
          <t>2023-07-26</t>
        </is>
      </c>
      <c r="C362" t="inlineStr">
        <is>
          <t>12:00</t>
        </is>
      </c>
      <c r="D362" t="inlineStr">
        <is>
          <t>n° 8 + n° 9</t>
        </is>
      </c>
      <c r="E362" t="n">
        <v>2</v>
      </c>
      <c r="F362" t="n">
        <v>43.4</v>
      </c>
      <c r="G362" t="n">
        <v>5</v>
      </c>
      <c r="H362" t="n">
        <v>5</v>
      </c>
      <c r="I362">
        <f>IF(G362=H362,1,0)</f>
        <v/>
      </c>
      <c r="J362" t="inlineStr">
        <is>
          <t>CB / TR</t>
        </is>
      </c>
    </row>
    <row r="363">
      <c r="A363" t="inlineStr">
        <is>
          <t>2023-2024</t>
        </is>
      </c>
      <c r="B363" t="inlineStr">
        <is>
          <t>2023-07-26</t>
        </is>
      </c>
      <c r="C363" t="inlineStr">
        <is>
          <t>19:09</t>
        </is>
      </c>
      <c r="D363" t="inlineStr">
        <is>
          <t>n° 26 + n° 27</t>
        </is>
      </c>
      <c r="E363" t="n">
        <v>2</v>
      </c>
      <c r="F363" t="n">
        <v>45.2</v>
      </c>
      <c r="G363" t="n">
        <v>4</v>
      </c>
      <c r="H363" t="n">
        <v>4</v>
      </c>
      <c r="I363">
        <f>IF(G363=H363,1,0)</f>
        <v/>
      </c>
      <c r="J363" t="inlineStr">
        <is>
          <t>CB / CB</t>
        </is>
      </c>
    </row>
    <row r="364">
      <c r="A364" t="inlineStr">
        <is>
          <t>2023-2024</t>
        </is>
      </c>
      <c r="B364" t="inlineStr">
        <is>
          <t>2023-07-27</t>
        </is>
      </c>
      <c r="C364" t="inlineStr">
        <is>
          <t>12:53</t>
        </is>
      </c>
      <c r="D364" t="inlineStr">
        <is>
          <t>n° 16 + n° 17</t>
        </is>
      </c>
      <c r="E364" t="n">
        <v>2</v>
      </c>
      <c r="F364" t="n">
        <v>73.8</v>
      </c>
      <c r="G364" t="n">
        <v>2</v>
      </c>
      <c r="H364" t="n">
        <v>2</v>
      </c>
      <c r="I364">
        <f>IF(G364=H364,1,0)</f>
        <v/>
      </c>
      <c r="J364" t="inlineStr">
        <is>
          <t>CB / CB</t>
        </is>
      </c>
    </row>
    <row r="365">
      <c r="A365" t="inlineStr">
        <is>
          <t>2023-2024</t>
        </is>
      </c>
      <c r="B365" t="inlineStr">
        <is>
          <t>2023-07-28</t>
        </is>
      </c>
      <c r="C365" t="inlineStr">
        <is>
          <t>12:30</t>
        </is>
      </c>
      <c r="D365" t="inlineStr">
        <is>
          <t>n° 6 + n° 7 + n° 8 + n° 9</t>
        </is>
      </c>
      <c r="E365" t="n">
        <v>4</v>
      </c>
      <c r="F365" t="n">
        <v>110.7</v>
      </c>
      <c r="G365" t="n">
        <v>5</v>
      </c>
      <c r="H365" t="n">
        <v>5</v>
      </c>
      <c r="I365">
        <f>IF(G365=H365,1,0)</f>
        <v/>
      </c>
      <c r="J365" t="inlineStr">
        <is>
          <t>CB / CB / CB / CB</t>
        </is>
      </c>
    </row>
    <row r="366">
      <c r="A366" t="inlineStr">
        <is>
          <t>2023-2024</t>
        </is>
      </c>
      <c r="B366" t="inlineStr">
        <is>
          <t>2023-07-28</t>
        </is>
      </c>
      <c r="C366" t="inlineStr">
        <is>
          <t>13:02</t>
        </is>
      </c>
      <c r="D366" t="inlineStr">
        <is>
          <t>n° 16 + n° 17</t>
        </is>
      </c>
      <c r="E366" t="n">
        <v>2</v>
      </c>
      <c r="F366" t="n">
        <v>170.1</v>
      </c>
      <c r="G366" t="n">
        <v>11</v>
      </c>
      <c r="H366" t="n">
        <v>11</v>
      </c>
      <c r="I366">
        <f>IF(G366=H366,1,0)</f>
        <v/>
      </c>
      <c r="J366" t="inlineStr">
        <is>
          <t>CB / CB</t>
        </is>
      </c>
    </row>
    <row r="367">
      <c r="A367" t="inlineStr">
        <is>
          <t>2023-2024</t>
        </is>
      </c>
      <c r="B367" t="inlineStr">
        <is>
          <t>2023-07-28</t>
        </is>
      </c>
      <c r="C367" t="inlineStr">
        <is>
          <t>13:33</t>
        </is>
      </c>
      <c r="D367" t="inlineStr">
        <is>
          <t>n° 19 + n° 20</t>
        </is>
      </c>
      <c r="E367" t="n">
        <v>2</v>
      </c>
      <c r="F367" t="n">
        <v>42.7</v>
      </c>
      <c r="G367" t="n">
        <v>1</v>
      </c>
      <c r="H367" t="n">
        <v>1</v>
      </c>
      <c r="I367">
        <f>IF(G367=H367,1,0)</f>
        <v/>
      </c>
      <c r="J367" t="inlineStr">
        <is>
          <t>CB / CB</t>
        </is>
      </c>
    </row>
    <row r="368">
      <c r="A368" t="inlineStr">
        <is>
          <t>2023-2024</t>
        </is>
      </c>
      <c r="B368" t="inlineStr">
        <is>
          <t>2023-07-28</t>
        </is>
      </c>
      <c r="C368" t="inlineStr">
        <is>
          <t>20:40</t>
        </is>
      </c>
      <c r="D368" t="inlineStr">
        <is>
          <t>n° 33 + n° 34</t>
        </is>
      </c>
      <c r="E368" t="n">
        <v>2</v>
      </c>
      <c r="F368" t="n">
        <v>67.90000000000001</v>
      </c>
      <c r="G368" t="n">
        <v>5</v>
      </c>
      <c r="H368" t="n">
        <v>5</v>
      </c>
      <c r="I368">
        <f>IF(G368=H368,1,0)</f>
        <v/>
      </c>
      <c r="J368" t="inlineStr">
        <is>
          <t>CB / CB</t>
        </is>
      </c>
    </row>
    <row r="369">
      <c r="A369" t="inlineStr">
        <is>
          <t>2023-2024</t>
        </is>
      </c>
      <c r="B369" t="inlineStr">
        <is>
          <t>2023-07-29</t>
        </is>
      </c>
      <c r="C369" t="inlineStr">
        <is>
          <t>12:52</t>
        </is>
      </c>
      <c r="D369" t="inlineStr">
        <is>
          <t>n° 13 + n° 14</t>
        </is>
      </c>
      <c r="E369" t="n">
        <v>2</v>
      </c>
      <c r="F369" t="n">
        <v>55</v>
      </c>
      <c r="G369" t="n">
        <v>6</v>
      </c>
      <c r="H369" t="n">
        <v>6</v>
      </c>
      <c r="I369">
        <f>IF(G369=H369,1,0)</f>
        <v/>
      </c>
      <c r="J369" t="inlineStr">
        <is>
          <t>CB / CB</t>
        </is>
      </c>
    </row>
    <row r="370">
      <c r="A370" t="inlineStr">
        <is>
          <t>2023-2024</t>
        </is>
      </c>
      <c r="B370" t="inlineStr">
        <is>
          <t>2023-07-29</t>
        </is>
      </c>
      <c r="C370" t="inlineStr">
        <is>
          <t>20:26</t>
        </is>
      </c>
      <c r="D370" t="inlineStr">
        <is>
          <t>n° 31 + n° 32</t>
        </is>
      </c>
      <c r="E370" t="n">
        <v>2</v>
      </c>
      <c r="F370" t="n">
        <v>150.5</v>
      </c>
      <c r="G370" t="n">
        <v>1</v>
      </c>
      <c r="H370" t="n">
        <v>1</v>
      </c>
      <c r="I370">
        <f>IF(G370=H370,1,0)</f>
        <v/>
      </c>
      <c r="J370" t="inlineStr">
        <is>
          <t>CHV/ESP / CB</t>
        </is>
      </c>
    </row>
    <row r="371">
      <c r="A371" t="inlineStr">
        <is>
          <t>2023-2024</t>
        </is>
      </c>
      <c r="B371" t="inlineStr">
        <is>
          <t>2023-07-29</t>
        </is>
      </c>
      <c r="C371" t="inlineStr">
        <is>
          <t>21:04</t>
        </is>
      </c>
      <c r="D371" t="inlineStr">
        <is>
          <t>n° 39 + n° 40 + n° 41 + n° 42</t>
        </is>
      </c>
      <c r="E371" t="n">
        <v>4</v>
      </c>
      <c r="F371" t="n">
        <v>115.8</v>
      </c>
      <c r="G371" t="n">
        <v>7</v>
      </c>
      <c r="H371" t="n">
        <v>7</v>
      </c>
      <c r="I371">
        <f>IF(G371=H371,1,0)</f>
        <v/>
      </c>
      <c r="J371" t="inlineStr">
        <is>
          <t>CB / ESP / ESP / ESP</t>
        </is>
      </c>
    </row>
    <row r="372">
      <c r="A372" t="inlineStr">
        <is>
          <t>2023-2024</t>
        </is>
      </c>
      <c r="B372" t="inlineStr">
        <is>
          <t>2023-07-30</t>
        </is>
      </c>
      <c r="C372" t="inlineStr">
        <is>
          <t>12:37</t>
        </is>
      </c>
      <c r="D372" t="inlineStr">
        <is>
          <t>n° 6 + n° 7</t>
        </is>
      </c>
      <c r="E372" t="n">
        <v>2</v>
      </c>
      <c r="F372" t="n">
        <v>106</v>
      </c>
      <c r="G372" t="n">
        <v>5</v>
      </c>
      <c r="H372" t="n">
        <v>5</v>
      </c>
      <c r="I372">
        <f>IF(G372=H372,1,0)</f>
        <v/>
      </c>
      <c r="J372" t="inlineStr">
        <is>
          <t>CB / CB</t>
        </is>
      </c>
    </row>
    <row r="373">
      <c r="A373" t="inlineStr">
        <is>
          <t>2023-2024</t>
        </is>
      </c>
      <c r="B373" t="inlineStr">
        <is>
          <t>2023-07-30</t>
        </is>
      </c>
      <c r="C373" t="inlineStr">
        <is>
          <t>19:30</t>
        </is>
      </c>
      <c r="D373" t="inlineStr">
        <is>
          <t>n° 24 + n° 25</t>
        </is>
      </c>
      <c r="E373" t="n">
        <v>2</v>
      </c>
      <c r="F373" t="n">
        <v>69.2</v>
      </c>
      <c r="G373" t="n">
        <v>4</v>
      </c>
      <c r="H373" t="n">
        <v>4</v>
      </c>
      <c r="I373">
        <f>IF(G373=H373,1,0)</f>
        <v/>
      </c>
      <c r="J373" t="inlineStr">
        <is>
          <t>CB / CB</t>
        </is>
      </c>
    </row>
    <row r="374">
      <c r="A374" t="inlineStr">
        <is>
          <t>2023-2024</t>
        </is>
      </c>
      <c r="B374" t="inlineStr">
        <is>
          <t>2023-08-02</t>
        </is>
      </c>
      <c r="C374" t="inlineStr">
        <is>
          <t>19:50</t>
        </is>
      </c>
      <c r="D374" t="inlineStr">
        <is>
          <t>n° 24 + n° 25</t>
        </is>
      </c>
      <c r="E374" t="n">
        <v>2</v>
      </c>
      <c r="F374" t="n">
        <v>87.59999999999999</v>
      </c>
      <c r="G374" t="n">
        <v>5</v>
      </c>
      <c r="H374" t="n">
        <v>5</v>
      </c>
      <c r="I374">
        <f>IF(G374=H374,1,0)</f>
        <v/>
      </c>
      <c r="J374" t="inlineStr">
        <is>
          <t>CB / CB</t>
        </is>
      </c>
    </row>
    <row r="375">
      <c r="A375" t="inlineStr">
        <is>
          <t>2023-2024</t>
        </is>
      </c>
      <c r="B375" t="inlineStr">
        <is>
          <t>2023-08-03</t>
        </is>
      </c>
      <c r="C375" t="inlineStr">
        <is>
          <t>12:15</t>
        </is>
      </c>
      <c r="D375" t="inlineStr">
        <is>
          <t>n° 4 + n° 5</t>
        </is>
      </c>
      <c r="E375" t="n">
        <v>2</v>
      </c>
      <c r="F375" t="n">
        <v>46.6</v>
      </c>
      <c r="G375" t="n">
        <v>2</v>
      </c>
      <c r="H375" t="n">
        <v>2</v>
      </c>
      <c r="I375">
        <f>IF(G375=H375,1,0)</f>
        <v/>
      </c>
      <c r="J375" t="inlineStr">
        <is>
          <t>CB / CB</t>
        </is>
      </c>
    </row>
    <row r="376">
      <c r="A376" t="inlineStr">
        <is>
          <t>2023-2024</t>
        </is>
      </c>
      <c r="B376" t="inlineStr">
        <is>
          <t>2023-08-05</t>
        </is>
      </c>
      <c r="C376" t="inlineStr">
        <is>
          <t>19:21</t>
        </is>
      </c>
      <c r="D376" t="inlineStr">
        <is>
          <t>n° 18 + n° 19 + n° 20 + n° 21</t>
        </is>
      </c>
      <c r="E376" t="n">
        <v>4</v>
      </c>
      <c r="F376" t="n">
        <v>452.9</v>
      </c>
      <c r="G376" t="n">
        <v>22</v>
      </c>
      <c r="H376" t="n">
        <v>22</v>
      </c>
      <c r="I376">
        <f>IF(G376=H376,1,0)</f>
        <v/>
      </c>
      <c r="J376" t="inlineStr">
        <is>
          <t>CB / TR/CB / CB / CB</t>
        </is>
      </c>
    </row>
    <row r="377">
      <c r="A377" t="inlineStr">
        <is>
          <t>2023-2024</t>
        </is>
      </c>
      <c r="B377" t="inlineStr">
        <is>
          <t>2023-08-06</t>
        </is>
      </c>
      <c r="C377" t="inlineStr">
        <is>
          <t>20:44</t>
        </is>
      </c>
      <c r="D377" t="inlineStr">
        <is>
          <t>n° 28 + n° 29</t>
        </is>
      </c>
      <c r="E377" t="n">
        <v>2</v>
      </c>
      <c r="F377" t="n">
        <v>224.2</v>
      </c>
      <c r="G377" t="n">
        <v>18</v>
      </c>
      <c r="H377" t="n">
        <v>18</v>
      </c>
      <c r="I377">
        <f>IF(G377=H377,1,0)</f>
        <v/>
      </c>
      <c r="J377" t="inlineStr">
        <is>
          <t>CB / CB</t>
        </is>
      </c>
    </row>
    <row r="378">
      <c r="A378" t="inlineStr">
        <is>
          <t>2023-2024</t>
        </is>
      </c>
      <c r="B378" t="inlineStr">
        <is>
          <t>2023-08-09</t>
        </is>
      </c>
      <c r="C378" t="inlineStr">
        <is>
          <t>12:43</t>
        </is>
      </c>
      <c r="D378" t="inlineStr">
        <is>
          <t>n° 8 + n° 9</t>
        </is>
      </c>
      <c r="E378" t="n">
        <v>2</v>
      </c>
      <c r="F378" t="n">
        <v>149.9</v>
      </c>
      <c r="G378" t="n">
        <v>5</v>
      </c>
      <c r="H378" t="n">
        <v>5</v>
      </c>
      <c r="I378">
        <f>IF(G378=H378,1,0)</f>
        <v/>
      </c>
      <c r="J378" t="inlineStr">
        <is>
          <t>CB / CB</t>
        </is>
      </c>
    </row>
    <row r="379">
      <c r="A379" t="inlineStr">
        <is>
          <t>2023-2024</t>
        </is>
      </c>
      <c r="B379" t="inlineStr">
        <is>
          <t>2023-08-09</t>
        </is>
      </c>
      <c r="C379" t="inlineStr">
        <is>
          <t>13:04</t>
        </is>
      </c>
      <c r="D379" t="inlineStr">
        <is>
          <t>n° 14 + n° 15 + n° 17 + n° 18</t>
        </is>
      </c>
      <c r="E379" t="n">
        <v>4</v>
      </c>
      <c r="F379" t="n">
        <v>321.2</v>
      </c>
      <c r="G379" t="n">
        <v>10</v>
      </c>
      <c r="H379" t="n">
        <v>10</v>
      </c>
      <c r="I379">
        <f>IF(G379=H379,1,0)</f>
        <v/>
      </c>
      <c r="J379" t="inlineStr">
        <is>
          <t>CB / CB / CB / CB</t>
        </is>
      </c>
    </row>
    <row r="380">
      <c r="A380" t="inlineStr">
        <is>
          <t>2023-2024</t>
        </is>
      </c>
      <c r="B380" t="inlineStr">
        <is>
          <t>2023-08-11</t>
        </is>
      </c>
      <c r="C380" t="inlineStr">
        <is>
          <t>12:52</t>
        </is>
      </c>
      <c r="D380" t="inlineStr">
        <is>
          <t>n° 12 + n° 13 + n° 14 + n° 15 + n° 16 + n° 17</t>
        </is>
      </c>
      <c r="E380" t="n">
        <v>6</v>
      </c>
      <c r="F380" t="n">
        <v>341.8</v>
      </c>
      <c r="G380" t="n">
        <v>20</v>
      </c>
      <c r="H380" t="n">
        <v>20</v>
      </c>
      <c r="I380">
        <f>IF(G380=H380,1,0)</f>
        <v/>
      </c>
      <c r="J380" t="inlineStr">
        <is>
          <t>CB / CHV/CB / CB / TR/CB / CB / TR/CB</t>
        </is>
      </c>
    </row>
    <row r="381">
      <c r="A381" t="inlineStr">
        <is>
          <t>2023-2024</t>
        </is>
      </c>
      <c r="B381" t="inlineStr">
        <is>
          <t>2023-08-11</t>
        </is>
      </c>
      <c r="C381" t="inlineStr">
        <is>
          <t>20:37</t>
        </is>
      </c>
      <c r="D381" t="inlineStr">
        <is>
          <t>n° 32 + n° 33 + n° 34</t>
        </is>
      </c>
      <c r="E381" t="n">
        <v>3</v>
      </c>
      <c r="F381" t="n">
        <v>36</v>
      </c>
      <c r="G381" t="n">
        <v>1</v>
      </c>
      <c r="H381" t="n">
        <v>1</v>
      </c>
      <c r="I381">
        <f>IF(G381=H381,1,0)</f>
        <v/>
      </c>
      <c r="J381" t="inlineStr">
        <is>
          <t>CB / CB / CB</t>
        </is>
      </c>
    </row>
    <row r="382">
      <c r="A382" t="inlineStr">
        <is>
          <t>2023-2024</t>
        </is>
      </c>
      <c r="B382" t="inlineStr">
        <is>
          <t>2023-08-11</t>
        </is>
      </c>
      <c r="C382" t="inlineStr">
        <is>
          <t>21:06</t>
        </is>
      </c>
      <c r="D382" t="inlineStr">
        <is>
          <t>n° 38 + n° 39</t>
        </is>
      </c>
      <c r="E382" t="n">
        <v>2</v>
      </c>
      <c r="F382" t="n">
        <v>150.2</v>
      </c>
      <c r="G382" t="n">
        <v>5</v>
      </c>
      <c r="H382" t="n">
        <v>5</v>
      </c>
      <c r="I382">
        <f>IF(G382=H382,1,0)</f>
        <v/>
      </c>
      <c r="J382" t="inlineStr">
        <is>
          <t>CB / CB</t>
        </is>
      </c>
    </row>
    <row r="383">
      <c r="A383" t="inlineStr">
        <is>
          <t>2023-2024</t>
        </is>
      </c>
      <c r="B383" t="inlineStr">
        <is>
          <t>2023-08-12</t>
        </is>
      </c>
      <c r="C383" t="inlineStr">
        <is>
          <t>12:35</t>
        </is>
      </c>
      <c r="D383" t="inlineStr">
        <is>
          <t>n° 10 + n° 11</t>
        </is>
      </c>
      <c r="E383" t="n">
        <v>2</v>
      </c>
      <c r="F383" t="n">
        <v>108.4</v>
      </c>
      <c r="G383" t="n">
        <v>8</v>
      </c>
      <c r="H383" t="n">
        <v>8</v>
      </c>
      <c r="I383">
        <f>IF(G383=H383,1,0)</f>
        <v/>
      </c>
      <c r="J383" t="inlineStr">
        <is>
          <t>CB / CB</t>
        </is>
      </c>
    </row>
    <row r="384">
      <c r="A384" t="inlineStr">
        <is>
          <t>2023-2024</t>
        </is>
      </c>
      <c r="B384" t="inlineStr">
        <is>
          <t>2023-08-13</t>
        </is>
      </c>
      <c r="C384" t="inlineStr">
        <is>
          <t>19:22</t>
        </is>
      </c>
      <c r="D384" t="inlineStr">
        <is>
          <t>n° 16 + n° 17</t>
        </is>
      </c>
      <c r="E384" t="n">
        <v>2</v>
      </c>
      <c r="F384" t="n">
        <v>109.1</v>
      </c>
      <c r="G384" t="n">
        <v>5</v>
      </c>
      <c r="H384" t="n">
        <v>5</v>
      </c>
      <c r="I384">
        <f>IF(G384=H384,1,0)</f>
        <v/>
      </c>
      <c r="J384" t="inlineStr">
        <is>
          <t>CB / CB</t>
        </is>
      </c>
    </row>
    <row r="385">
      <c r="A385" t="inlineStr">
        <is>
          <t>2023-2024</t>
        </is>
      </c>
      <c r="B385" t="inlineStr">
        <is>
          <t>2023-08-17</t>
        </is>
      </c>
      <c r="C385" t="inlineStr">
        <is>
          <t>19:12</t>
        </is>
      </c>
      <c r="D385" t="inlineStr">
        <is>
          <t>n° 16 + n° 17</t>
        </is>
      </c>
      <c r="E385" t="n">
        <v>2</v>
      </c>
      <c r="F385" t="n">
        <v>134.6</v>
      </c>
      <c r="G385" t="n">
        <v>12</v>
      </c>
      <c r="H385" t="n">
        <v>12</v>
      </c>
      <c r="I385">
        <f>IF(G385=H385,1,0)</f>
        <v/>
      </c>
      <c r="J385" t="inlineStr">
        <is>
          <t>CB / CB</t>
        </is>
      </c>
    </row>
    <row r="386">
      <c r="A386" t="inlineStr">
        <is>
          <t>2023-2024</t>
        </is>
      </c>
      <c r="B386" t="inlineStr">
        <is>
          <t>2023-08-18</t>
        </is>
      </c>
      <c r="C386" t="inlineStr">
        <is>
          <t>19:11</t>
        </is>
      </c>
      <c r="D386" t="inlineStr">
        <is>
          <t>n° 16 + n° 17</t>
        </is>
      </c>
      <c r="E386" t="n">
        <v>2</v>
      </c>
      <c r="F386" t="n">
        <v>148</v>
      </c>
      <c r="G386" t="n">
        <v>9</v>
      </c>
      <c r="H386" t="n">
        <v>9</v>
      </c>
      <c r="I386">
        <f>IF(G386=H386,1,0)</f>
        <v/>
      </c>
      <c r="J386" t="inlineStr">
        <is>
          <t>CB / TR/CB</t>
        </is>
      </c>
    </row>
    <row r="387">
      <c r="A387" t="inlineStr">
        <is>
          <t>2023-2024</t>
        </is>
      </c>
      <c r="B387" t="inlineStr">
        <is>
          <t>2023-08-18</t>
        </is>
      </c>
      <c r="C387" t="inlineStr">
        <is>
          <t>19:44</t>
        </is>
      </c>
      <c r="D387" t="inlineStr">
        <is>
          <t>n° 22 + n° 23</t>
        </is>
      </c>
      <c r="E387" t="n">
        <v>2</v>
      </c>
      <c r="F387" t="n">
        <v>57.8</v>
      </c>
      <c r="G387" t="n">
        <v>5</v>
      </c>
      <c r="H387" t="n">
        <v>5</v>
      </c>
      <c r="I387">
        <f>IF(G387=H387,1,0)</f>
        <v/>
      </c>
      <c r="J387" t="inlineStr">
        <is>
          <t>CB / CB</t>
        </is>
      </c>
    </row>
    <row r="388">
      <c r="A388" t="inlineStr">
        <is>
          <t>2023-2024</t>
        </is>
      </c>
      <c r="B388" t="inlineStr">
        <is>
          <t>2023-08-18</t>
        </is>
      </c>
      <c r="C388" t="inlineStr">
        <is>
          <t>21:24</t>
        </is>
      </c>
      <c r="D388" t="inlineStr">
        <is>
          <t>n° 30 + n° 31</t>
        </is>
      </c>
      <c r="E388" t="n">
        <v>2</v>
      </c>
      <c r="F388" t="n">
        <v>226.4</v>
      </c>
      <c r="G388" t="n">
        <v>12</v>
      </c>
      <c r="H388" t="n">
        <v>12</v>
      </c>
      <c r="I388">
        <f>IF(G388=H388,1,0)</f>
        <v/>
      </c>
      <c r="J388" t="inlineStr">
        <is>
          <t>CB / CHV/ESP</t>
        </is>
      </c>
    </row>
    <row r="389">
      <c r="A389" t="inlineStr">
        <is>
          <t>2023-2024</t>
        </is>
      </c>
      <c r="B389" t="inlineStr">
        <is>
          <t>2023-08-19</t>
        </is>
      </c>
      <c r="C389" t="inlineStr">
        <is>
          <t>12:45</t>
        </is>
      </c>
      <c r="D389" t="inlineStr">
        <is>
          <t>n° 8 + n° 9</t>
        </is>
      </c>
      <c r="E389" t="n">
        <v>2</v>
      </c>
      <c r="F389" t="n">
        <v>137.6</v>
      </c>
      <c r="G389" t="n">
        <v>7</v>
      </c>
      <c r="H389" t="n">
        <v>7</v>
      </c>
      <c r="I389">
        <f>IF(G389=H389,1,0)</f>
        <v/>
      </c>
      <c r="J389" t="inlineStr">
        <is>
          <t>CB / CB</t>
        </is>
      </c>
    </row>
    <row r="390">
      <c r="A390" t="inlineStr">
        <is>
          <t>2023-2024</t>
        </is>
      </c>
      <c r="B390" t="inlineStr">
        <is>
          <t>2023-08-20</t>
        </is>
      </c>
      <c r="C390" t="inlineStr">
        <is>
          <t>12:10</t>
        </is>
      </c>
      <c r="D390" t="inlineStr">
        <is>
          <t>n° 8 + n° 9 + n° 10</t>
        </is>
      </c>
      <c r="E390" t="n">
        <v>3</v>
      </c>
      <c r="F390" t="n">
        <v>162.7</v>
      </c>
      <c r="G390" t="n">
        <v>20</v>
      </c>
      <c r="H390" t="n">
        <v>20</v>
      </c>
      <c r="I390">
        <f>IF(G390=H390,1,0)</f>
        <v/>
      </c>
      <c r="J390" t="inlineStr">
        <is>
          <t>CB / CB / CB</t>
        </is>
      </c>
    </row>
    <row r="391">
      <c r="A391" t="inlineStr">
        <is>
          <t>2023-2024</t>
        </is>
      </c>
      <c r="B391" t="inlineStr">
        <is>
          <t>2023-08-23</t>
        </is>
      </c>
      <c r="C391" t="inlineStr">
        <is>
          <t>19:30</t>
        </is>
      </c>
      <c r="D391" t="inlineStr">
        <is>
          <t>n° 16 + n° 17</t>
        </is>
      </c>
      <c r="E391" t="n">
        <v>2</v>
      </c>
      <c r="F391" t="n">
        <v>90.7</v>
      </c>
      <c r="G391" t="n">
        <v>7</v>
      </c>
      <c r="H391" t="n">
        <v>7</v>
      </c>
      <c r="I391">
        <f>IF(G391=H391,1,0)</f>
        <v/>
      </c>
      <c r="J391" t="inlineStr">
        <is>
          <t>CB / CB</t>
        </is>
      </c>
    </row>
    <row r="392">
      <c r="A392" t="inlineStr">
        <is>
          <t>2023-2024</t>
        </is>
      </c>
      <c r="B392" t="inlineStr">
        <is>
          <t>2023-08-23</t>
        </is>
      </c>
      <c r="C392" t="inlineStr">
        <is>
          <t>20:04</t>
        </is>
      </c>
      <c r="D392" t="inlineStr">
        <is>
          <t>n° 26 + n° 27</t>
        </is>
      </c>
      <c r="E392" t="n">
        <v>2</v>
      </c>
      <c r="F392" t="n">
        <v>172.8</v>
      </c>
      <c r="G392" t="n">
        <v>12</v>
      </c>
      <c r="H392" t="n">
        <v>12</v>
      </c>
      <c r="I392">
        <f>IF(G392=H392,1,0)</f>
        <v/>
      </c>
      <c r="J392" t="inlineStr">
        <is>
          <t>CB / CB</t>
        </is>
      </c>
    </row>
    <row r="393">
      <c r="A393" t="inlineStr">
        <is>
          <t>2023-2024</t>
        </is>
      </c>
      <c r="B393" t="inlineStr">
        <is>
          <t>2023-08-23</t>
        </is>
      </c>
      <c r="C393" t="inlineStr">
        <is>
          <t>20:36</t>
        </is>
      </c>
      <c r="D393" t="inlineStr">
        <is>
          <t>n° 30 + n° 31</t>
        </is>
      </c>
      <c r="E393" t="n">
        <v>2</v>
      </c>
      <c r="F393" t="n">
        <v>73.40000000000001</v>
      </c>
      <c r="G393" t="n">
        <v>1</v>
      </c>
      <c r="H393" t="n">
        <v>1</v>
      </c>
      <c r="I393">
        <f>IF(G393=H393,1,0)</f>
        <v/>
      </c>
      <c r="J393" t="inlineStr">
        <is>
          <t>CB / CB</t>
        </is>
      </c>
    </row>
    <row r="394">
      <c r="A394" t="inlineStr">
        <is>
          <t>2023-2024</t>
        </is>
      </c>
      <c r="B394" t="inlineStr">
        <is>
          <t>2023-08-24</t>
        </is>
      </c>
      <c r="C394" t="inlineStr">
        <is>
          <t>19:08</t>
        </is>
      </c>
      <c r="D394" t="inlineStr">
        <is>
          <t>n° 16 + n° 17</t>
        </is>
      </c>
      <c r="E394" t="n">
        <v>2</v>
      </c>
      <c r="F394" t="n">
        <v>69.40000000000001</v>
      </c>
      <c r="G394" t="n">
        <v>5</v>
      </c>
      <c r="H394" t="n">
        <v>5</v>
      </c>
      <c r="I394">
        <f>IF(G394=H394,1,0)</f>
        <v/>
      </c>
      <c r="J394" t="inlineStr">
        <is>
          <t>CB / CB</t>
        </is>
      </c>
    </row>
    <row r="395">
      <c r="A395" t="inlineStr">
        <is>
          <t>2023-2024</t>
        </is>
      </c>
      <c r="B395" t="inlineStr">
        <is>
          <t>2023-08-26</t>
        </is>
      </c>
      <c r="C395" t="inlineStr">
        <is>
          <t>12:15</t>
        </is>
      </c>
      <c r="D395" t="inlineStr">
        <is>
          <t>n° 6 + n° 7</t>
        </is>
      </c>
      <c r="E395" t="n">
        <v>2</v>
      </c>
      <c r="F395" t="n">
        <v>90.90000000000001</v>
      </c>
      <c r="G395" t="n">
        <v>4</v>
      </c>
      <c r="H395" t="n">
        <v>4</v>
      </c>
      <c r="I395">
        <f>IF(G395=H395,1,0)</f>
        <v/>
      </c>
      <c r="J395" t="inlineStr">
        <is>
          <t>CB / CB</t>
        </is>
      </c>
    </row>
    <row r="396">
      <c r="A396" t="inlineStr">
        <is>
          <t>2023-2024</t>
        </is>
      </c>
      <c r="B396" t="inlineStr">
        <is>
          <t>2023-08-26</t>
        </is>
      </c>
      <c r="C396" t="inlineStr">
        <is>
          <t>13:04</t>
        </is>
      </c>
      <c r="D396" t="inlineStr">
        <is>
          <t>n° 14 + n° 15 + n° 16 + n° 17</t>
        </is>
      </c>
      <c r="E396" t="n">
        <v>4</v>
      </c>
      <c r="F396" t="n">
        <v>330.2</v>
      </c>
      <c r="G396" t="n">
        <v>15</v>
      </c>
      <c r="H396" t="n">
        <v>15</v>
      </c>
      <c r="I396">
        <f>IF(G396=H396,1,0)</f>
        <v/>
      </c>
      <c r="J396" t="inlineStr">
        <is>
          <t>CB / CB / CB / CB</t>
        </is>
      </c>
    </row>
    <row r="397">
      <c r="A397" t="inlineStr">
        <is>
          <t>2023-2024</t>
        </is>
      </c>
      <c r="B397" t="inlineStr">
        <is>
          <t>2023-08-26</t>
        </is>
      </c>
      <c r="C397" t="inlineStr">
        <is>
          <t>19:01</t>
        </is>
      </c>
      <c r="D397" t="inlineStr">
        <is>
          <t>n° 21 + n° 22</t>
        </is>
      </c>
      <c r="E397" t="n">
        <v>2</v>
      </c>
      <c r="F397" t="n">
        <v>98.59999999999999</v>
      </c>
      <c r="G397" t="n">
        <v>7</v>
      </c>
      <c r="H397" t="n">
        <v>7</v>
      </c>
      <c r="I397">
        <f>IF(G397=H397,1,0)</f>
        <v/>
      </c>
      <c r="J397" t="inlineStr">
        <is>
          <t>CB / CB</t>
        </is>
      </c>
    </row>
    <row r="398">
      <c r="A398" t="inlineStr">
        <is>
          <t>2023-2024</t>
        </is>
      </c>
      <c r="B398" t="inlineStr">
        <is>
          <t>2023-08-27</t>
        </is>
      </c>
      <c r="C398" t="inlineStr">
        <is>
          <t>12:59</t>
        </is>
      </c>
      <c r="D398" t="inlineStr">
        <is>
          <t>n° 10 + n° 11 + n° 12 + n° 13 + n° 14 + n° 15</t>
        </is>
      </c>
      <c r="E398" t="n">
        <v>6</v>
      </c>
      <c r="F398" t="n">
        <v>247.2</v>
      </c>
      <c r="G398" t="n">
        <v>11</v>
      </c>
      <c r="H398" t="n">
        <v>11</v>
      </c>
      <c r="I398">
        <f>IF(G398=H398,1,0)</f>
        <v/>
      </c>
      <c r="J398" t="inlineStr">
        <is>
          <t>CB / CB / CB / CB / CB / CB</t>
        </is>
      </c>
    </row>
    <row r="399">
      <c r="A399" t="inlineStr">
        <is>
          <t>2023-2024</t>
        </is>
      </c>
      <c r="B399" t="inlineStr">
        <is>
          <t>2023-09-01</t>
        </is>
      </c>
      <c r="C399" t="inlineStr">
        <is>
          <t>18:46</t>
        </is>
      </c>
      <c r="D399" t="inlineStr">
        <is>
          <t>n° 18 + n° 19</t>
        </is>
      </c>
      <c r="E399" t="n">
        <v>2</v>
      </c>
      <c r="F399" t="n">
        <v>88.40000000000001</v>
      </c>
      <c r="G399" t="n">
        <v>4</v>
      </c>
      <c r="H399" t="n">
        <v>4</v>
      </c>
      <c r="I399">
        <f>IF(G399=H399,1,0)</f>
        <v/>
      </c>
      <c r="J399" t="inlineStr">
        <is>
          <t>CB / CB</t>
        </is>
      </c>
    </row>
    <row r="400">
      <c r="A400" t="inlineStr">
        <is>
          <t>2023-2024</t>
        </is>
      </c>
      <c r="B400" t="inlineStr">
        <is>
          <t>2023-09-02</t>
        </is>
      </c>
      <c r="C400" t="inlineStr">
        <is>
          <t>12:12</t>
        </is>
      </c>
      <c r="D400" t="inlineStr">
        <is>
          <t>n° 9 + n° 10</t>
        </is>
      </c>
      <c r="E400" t="n">
        <v>2</v>
      </c>
      <c r="F400" t="n">
        <v>164.3</v>
      </c>
      <c r="G400" t="n">
        <v>5</v>
      </c>
      <c r="H400" t="n">
        <v>5</v>
      </c>
      <c r="I400">
        <f>IF(G400=H400,1,0)</f>
        <v/>
      </c>
      <c r="J400" t="inlineStr">
        <is>
          <t>CB / CB</t>
        </is>
      </c>
    </row>
    <row r="401">
      <c r="A401" t="inlineStr">
        <is>
          <t>2023-2024</t>
        </is>
      </c>
      <c r="B401" t="inlineStr">
        <is>
          <t>2023-09-02</t>
        </is>
      </c>
      <c r="C401" t="inlineStr">
        <is>
          <t>13:02</t>
        </is>
      </c>
      <c r="D401" t="inlineStr">
        <is>
          <t>n° 13 + n° 14</t>
        </is>
      </c>
      <c r="E401" t="n">
        <v>2</v>
      </c>
      <c r="F401" t="n">
        <v>95.2</v>
      </c>
      <c r="G401" t="n">
        <v>4</v>
      </c>
      <c r="H401" t="n">
        <v>4</v>
      </c>
      <c r="I401">
        <f>IF(G401=H401,1,0)</f>
        <v/>
      </c>
      <c r="J401" t="inlineStr">
        <is>
          <t>CB / TR/CB</t>
        </is>
      </c>
    </row>
    <row r="402">
      <c r="A402" t="inlineStr">
        <is>
          <t>2023-2024</t>
        </is>
      </c>
      <c r="B402" t="inlineStr">
        <is>
          <t>2023-09-02</t>
        </is>
      </c>
      <c r="C402" t="inlineStr">
        <is>
          <t>19:44</t>
        </is>
      </c>
      <c r="D402" t="inlineStr">
        <is>
          <t>n° 19 + n° 20 + n° 22</t>
        </is>
      </c>
      <c r="E402" t="n">
        <v>3</v>
      </c>
      <c r="F402" t="n">
        <v>224.2</v>
      </c>
      <c r="G402" t="n">
        <v>10</v>
      </c>
      <c r="H402" t="n">
        <v>4</v>
      </c>
      <c r="I402">
        <f>IF(G402=H402,1,0)</f>
        <v/>
      </c>
      <c r="J402" t="inlineStr">
        <is>
          <t>CB / CB / CB</t>
        </is>
      </c>
    </row>
    <row r="403">
      <c r="A403" t="inlineStr">
        <is>
          <t>2023-2024</t>
        </is>
      </c>
      <c r="B403" t="inlineStr">
        <is>
          <t>2023-09-03</t>
        </is>
      </c>
      <c r="C403" t="inlineStr">
        <is>
          <t>20:00</t>
        </is>
      </c>
      <c r="D403" t="inlineStr">
        <is>
          <t>n° 22 + n° 23</t>
        </is>
      </c>
      <c r="E403" t="n">
        <v>2</v>
      </c>
      <c r="F403" t="n">
        <v>131.1</v>
      </c>
      <c r="G403" t="n">
        <v>14</v>
      </c>
      <c r="H403" t="n">
        <v>14</v>
      </c>
      <c r="I403">
        <f>IF(G403=H403,1,0)</f>
        <v/>
      </c>
      <c r="J403" t="inlineStr">
        <is>
          <t>CB / TR/CB</t>
        </is>
      </c>
    </row>
    <row r="404">
      <c r="A404" t="inlineStr">
        <is>
          <t>2023-2024</t>
        </is>
      </c>
      <c r="B404" t="inlineStr">
        <is>
          <t>2023-09-06</t>
        </is>
      </c>
      <c r="C404" t="inlineStr">
        <is>
          <t>12:17</t>
        </is>
      </c>
      <c r="D404" t="inlineStr">
        <is>
          <t>n° 10 + n° 11 + n° 14 + n° 15</t>
        </is>
      </c>
      <c r="E404" t="n">
        <v>4</v>
      </c>
      <c r="F404" t="n">
        <v>260.2</v>
      </c>
      <c r="G404" t="n">
        <v>6</v>
      </c>
      <c r="H404" t="n">
        <v>6</v>
      </c>
      <c r="I404">
        <f>IF(G404=H404,1,0)</f>
        <v/>
      </c>
      <c r="J404" t="inlineStr">
        <is>
          <t>CB / CB / CB / CB</t>
        </is>
      </c>
    </row>
    <row r="405">
      <c r="A405" t="inlineStr">
        <is>
          <t>2023-2024</t>
        </is>
      </c>
      <c r="B405" t="inlineStr">
        <is>
          <t>2023-09-06</t>
        </is>
      </c>
      <c r="C405" t="inlineStr">
        <is>
          <t>19:05</t>
        </is>
      </c>
      <c r="D405" t="inlineStr">
        <is>
          <t>n° 23 + n° 24</t>
        </is>
      </c>
      <c r="E405" t="n">
        <v>2</v>
      </c>
      <c r="F405" t="n">
        <v>53</v>
      </c>
      <c r="G405" t="n">
        <v>2</v>
      </c>
      <c r="H405" t="n">
        <v>2</v>
      </c>
      <c r="I405">
        <f>IF(G405=H405,1,0)</f>
        <v/>
      </c>
      <c r="J405" t="inlineStr">
        <is>
          <t>CB / CB</t>
        </is>
      </c>
    </row>
    <row r="406">
      <c r="A406" t="inlineStr">
        <is>
          <t>2023-2024</t>
        </is>
      </c>
      <c r="B406" t="inlineStr">
        <is>
          <t>2023-09-07</t>
        </is>
      </c>
      <c r="C406" t="inlineStr">
        <is>
          <t>20:27</t>
        </is>
      </c>
      <c r="D406" t="inlineStr">
        <is>
          <t>n° 31 + n° 32</t>
        </is>
      </c>
      <c r="E406" t="n">
        <v>2</v>
      </c>
      <c r="F406" t="n">
        <v>125.9</v>
      </c>
      <c r="G406" t="n">
        <v>6</v>
      </c>
      <c r="H406" t="n">
        <v>6</v>
      </c>
      <c r="I406">
        <f>IF(G406=H406,1,0)</f>
        <v/>
      </c>
      <c r="J406" t="inlineStr">
        <is>
          <t>CB / TR/CB</t>
        </is>
      </c>
    </row>
    <row r="407">
      <c r="A407" t="inlineStr">
        <is>
          <t>2023-2024</t>
        </is>
      </c>
      <c r="B407" t="inlineStr">
        <is>
          <t>2023-09-08</t>
        </is>
      </c>
      <c r="C407" t="inlineStr">
        <is>
          <t>13:01</t>
        </is>
      </c>
      <c r="D407" t="inlineStr">
        <is>
          <t>n° 17 + n° 18</t>
        </is>
      </c>
      <c r="E407" t="n">
        <v>2</v>
      </c>
      <c r="F407" t="n">
        <v>67.5</v>
      </c>
      <c r="G407" t="n">
        <v>8</v>
      </c>
      <c r="H407" t="n">
        <v>8</v>
      </c>
      <c r="I407">
        <f>IF(G407=H407,1,0)</f>
        <v/>
      </c>
      <c r="J407" t="inlineStr">
        <is>
          <t>CB / CHV/ESP</t>
        </is>
      </c>
    </row>
    <row r="408">
      <c r="A408" t="inlineStr">
        <is>
          <t>2023-2024</t>
        </is>
      </c>
      <c r="B408" t="inlineStr">
        <is>
          <t>2023-09-08</t>
        </is>
      </c>
      <c r="C408" t="inlineStr">
        <is>
          <t>20:27</t>
        </is>
      </c>
      <c r="D408" t="inlineStr">
        <is>
          <t>n° 30 + n° 31</t>
        </is>
      </c>
      <c r="E408" t="n">
        <v>2</v>
      </c>
      <c r="F408" t="n">
        <v>55.9</v>
      </c>
      <c r="G408" t="n">
        <v>4</v>
      </c>
      <c r="H408" t="n">
        <v>4</v>
      </c>
      <c r="I408">
        <f>IF(G408=H408,1,0)</f>
        <v/>
      </c>
      <c r="J408" t="inlineStr">
        <is>
          <t>CB / CB</t>
        </is>
      </c>
    </row>
    <row r="409">
      <c r="A409" t="inlineStr">
        <is>
          <t>2023-2024</t>
        </is>
      </c>
      <c r="B409" t="inlineStr">
        <is>
          <t>2023-09-09</t>
        </is>
      </c>
      <c r="C409" t="inlineStr">
        <is>
          <t>11:30</t>
        </is>
      </c>
      <c r="D409" t="inlineStr">
        <is>
          <t>n° 4 + n° 5</t>
        </is>
      </c>
      <c r="E409" t="n">
        <v>2</v>
      </c>
      <c r="F409" t="n">
        <v>44.4</v>
      </c>
      <c r="G409" t="n">
        <v>3</v>
      </c>
      <c r="H409" t="n">
        <v>3</v>
      </c>
      <c r="I409">
        <f>IF(G409=H409,1,0)</f>
        <v/>
      </c>
      <c r="J409" t="inlineStr">
        <is>
          <t>CB / CB</t>
        </is>
      </c>
    </row>
    <row r="410">
      <c r="A410" t="inlineStr">
        <is>
          <t>2023-2024</t>
        </is>
      </c>
      <c r="B410" t="inlineStr">
        <is>
          <t>2023-09-09</t>
        </is>
      </c>
      <c r="C410" t="inlineStr">
        <is>
          <t>12:05</t>
        </is>
      </c>
      <c r="D410" t="inlineStr">
        <is>
          <t>n° 9 + n° 10</t>
        </is>
      </c>
      <c r="E410" t="n">
        <v>2</v>
      </c>
      <c r="F410" t="n">
        <v>150.2</v>
      </c>
      <c r="G410" t="n">
        <v>7</v>
      </c>
      <c r="H410" t="n">
        <v>7</v>
      </c>
      <c r="I410">
        <f>IF(G410=H410,1,0)</f>
        <v/>
      </c>
      <c r="J410" t="inlineStr">
        <is>
          <t>CB / CB</t>
        </is>
      </c>
    </row>
    <row r="411">
      <c r="A411" t="inlineStr">
        <is>
          <t>2023-2024</t>
        </is>
      </c>
      <c r="B411" t="inlineStr">
        <is>
          <t>2023-09-09</t>
        </is>
      </c>
      <c r="C411" t="inlineStr">
        <is>
          <t>12:46</t>
        </is>
      </c>
      <c r="D411" t="inlineStr">
        <is>
          <t>n° 16 + n° 17</t>
        </is>
      </c>
      <c r="E411" t="n">
        <v>2</v>
      </c>
      <c r="F411" t="n">
        <v>77.5</v>
      </c>
      <c r="G411" t="n">
        <v>4</v>
      </c>
      <c r="H411" t="n">
        <v>4</v>
      </c>
      <c r="I411">
        <f>IF(G411=H411,1,0)</f>
        <v/>
      </c>
      <c r="J411" t="inlineStr">
        <is>
          <t>CB / CB</t>
        </is>
      </c>
    </row>
    <row r="412">
      <c r="A412" t="inlineStr">
        <is>
          <t>2023-2024</t>
        </is>
      </c>
      <c r="B412" t="inlineStr">
        <is>
          <t>2023-09-09</t>
        </is>
      </c>
      <c r="C412" t="inlineStr">
        <is>
          <t>19:20</t>
        </is>
      </c>
      <c r="D412" t="inlineStr">
        <is>
          <t>n° 21 + n° 22</t>
        </is>
      </c>
      <c r="E412" t="n">
        <v>2</v>
      </c>
      <c r="F412" t="n">
        <v>127.1</v>
      </c>
      <c r="G412" t="n">
        <v>5</v>
      </c>
      <c r="H412" t="n">
        <v>5</v>
      </c>
      <c r="I412">
        <f>IF(G412=H412,1,0)</f>
        <v/>
      </c>
      <c r="J412" t="inlineStr">
        <is>
          <t>CB / CB</t>
        </is>
      </c>
    </row>
    <row r="413">
      <c r="A413" t="inlineStr">
        <is>
          <t>2023-2024</t>
        </is>
      </c>
      <c r="B413" t="inlineStr">
        <is>
          <t>2023-09-09</t>
        </is>
      </c>
      <c r="C413" t="inlineStr">
        <is>
          <t>20:38</t>
        </is>
      </c>
      <c r="D413" t="inlineStr">
        <is>
          <t>n° 39 + n° 40</t>
        </is>
      </c>
      <c r="E413" t="n">
        <v>2</v>
      </c>
      <c r="F413" t="n">
        <v>109.8</v>
      </c>
      <c r="G413" t="n">
        <v>5</v>
      </c>
      <c r="H413" t="n">
        <v>5</v>
      </c>
      <c r="I413">
        <f>IF(G413=H413,1,0)</f>
        <v/>
      </c>
      <c r="J413" t="inlineStr">
        <is>
          <t>CB / CB/ESP</t>
        </is>
      </c>
    </row>
    <row r="414">
      <c r="A414" t="inlineStr">
        <is>
          <t>2023-2024</t>
        </is>
      </c>
      <c r="B414" t="inlineStr">
        <is>
          <t>2023-09-10</t>
        </is>
      </c>
      <c r="C414" t="inlineStr">
        <is>
          <t>11:58</t>
        </is>
      </c>
      <c r="D414" t="inlineStr">
        <is>
          <t>n° 5 + n° 6</t>
        </is>
      </c>
      <c r="E414" t="n">
        <v>2</v>
      </c>
      <c r="F414" t="n">
        <v>99.2</v>
      </c>
      <c r="G414" t="n">
        <v>2</v>
      </c>
      <c r="H414" t="n">
        <v>2</v>
      </c>
      <c r="I414">
        <f>IF(G414=H414,1,0)</f>
        <v/>
      </c>
      <c r="J414" t="inlineStr">
        <is>
          <t>CB / CB</t>
        </is>
      </c>
    </row>
    <row r="415">
      <c r="A415" t="inlineStr">
        <is>
          <t>2023-2024</t>
        </is>
      </c>
      <c r="B415" t="inlineStr">
        <is>
          <t>2023-09-10</t>
        </is>
      </c>
      <c r="C415" t="inlineStr">
        <is>
          <t>12:40</t>
        </is>
      </c>
      <c r="D415" t="inlineStr">
        <is>
          <t>n° 12 + n° 13</t>
        </is>
      </c>
      <c r="E415" t="n">
        <v>2</v>
      </c>
      <c r="F415" t="n">
        <v>38.5</v>
      </c>
      <c r="G415" t="n">
        <v>2</v>
      </c>
      <c r="H415" t="n">
        <v>2</v>
      </c>
      <c r="I415">
        <f>IF(G415=H415,1,0)</f>
        <v/>
      </c>
      <c r="J415" t="inlineStr">
        <is>
          <t>CB / CB</t>
        </is>
      </c>
    </row>
    <row r="416">
      <c r="A416" t="inlineStr">
        <is>
          <t>2023-2024</t>
        </is>
      </c>
      <c r="B416" t="inlineStr">
        <is>
          <t>2023-09-10</t>
        </is>
      </c>
      <c r="C416" t="inlineStr">
        <is>
          <t>19:02</t>
        </is>
      </c>
      <c r="D416" t="inlineStr">
        <is>
          <t>n° 23 + n° 24</t>
        </is>
      </c>
      <c r="E416" t="n">
        <v>2</v>
      </c>
      <c r="F416" t="n">
        <v>147.4</v>
      </c>
      <c r="G416" t="n">
        <v>11</v>
      </c>
      <c r="H416" t="n">
        <v>11</v>
      </c>
      <c r="I416">
        <f>IF(G416=H416,1,0)</f>
        <v/>
      </c>
      <c r="J416" t="inlineStr">
        <is>
          <t>CHV/CB / CB</t>
        </is>
      </c>
    </row>
    <row r="417">
      <c r="A417" t="inlineStr">
        <is>
          <t>2023-2024</t>
        </is>
      </c>
      <c r="B417" t="inlineStr">
        <is>
          <t>2023-09-10</t>
        </is>
      </c>
      <c r="C417" t="inlineStr">
        <is>
          <t>20:11</t>
        </is>
      </c>
      <c r="D417" t="inlineStr">
        <is>
          <t>n° 31 + n° 32</t>
        </is>
      </c>
      <c r="E417" t="n">
        <v>2</v>
      </c>
      <c r="F417" t="n">
        <v>186.7</v>
      </c>
      <c r="G417" t="n">
        <v>11</v>
      </c>
      <c r="H417" t="n">
        <v>11</v>
      </c>
      <c r="I417">
        <f>IF(G417=H417,1,0)</f>
        <v/>
      </c>
      <c r="J417" t="inlineStr">
        <is>
          <t>CB / CB</t>
        </is>
      </c>
    </row>
    <row r="418">
      <c r="A418" t="inlineStr">
        <is>
          <t>2023-2024</t>
        </is>
      </c>
      <c r="B418" t="inlineStr">
        <is>
          <t>2023-09-13</t>
        </is>
      </c>
      <c r="C418" t="inlineStr">
        <is>
          <t>12:11</t>
        </is>
      </c>
      <c r="D418" t="inlineStr">
        <is>
          <t>n° 3 + n° 4</t>
        </is>
      </c>
      <c r="E418" t="n">
        <v>2</v>
      </c>
      <c r="F418" t="n">
        <v>52.4</v>
      </c>
      <c r="G418" t="n">
        <v>5</v>
      </c>
      <c r="H418" t="n">
        <v>5</v>
      </c>
      <c r="I418">
        <f>IF(G418=H418,1,0)</f>
        <v/>
      </c>
      <c r="J418" t="inlineStr">
        <is>
          <t>CB / CB</t>
        </is>
      </c>
    </row>
    <row r="419">
      <c r="A419" t="inlineStr">
        <is>
          <t>2023-2024</t>
        </is>
      </c>
      <c r="B419" t="inlineStr">
        <is>
          <t>2023-09-13</t>
        </is>
      </c>
      <c r="C419" t="inlineStr">
        <is>
          <t>12:31</t>
        </is>
      </c>
      <c r="D419" t="inlineStr">
        <is>
          <t>n° 9 + n° 10 + n° 13 + n° 14</t>
        </is>
      </c>
      <c r="E419" t="n">
        <v>4</v>
      </c>
      <c r="F419" t="n">
        <v>152.6</v>
      </c>
      <c r="G419" t="n">
        <v>3</v>
      </c>
      <c r="H419" t="n">
        <v>3</v>
      </c>
      <c r="I419">
        <f>IF(G419=H419,1,0)</f>
        <v/>
      </c>
      <c r="J419" t="inlineStr">
        <is>
          <t>CB / CB / CB / CB</t>
        </is>
      </c>
    </row>
    <row r="420">
      <c r="A420" t="inlineStr">
        <is>
          <t>2023-2024</t>
        </is>
      </c>
      <c r="B420" t="inlineStr">
        <is>
          <t>2023-09-13</t>
        </is>
      </c>
      <c r="C420" t="inlineStr">
        <is>
          <t>19:56</t>
        </is>
      </c>
      <c r="D420" t="inlineStr">
        <is>
          <t>n° 31 + n° 32 + n° 33</t>
        </is>
      </c>
      <c r="E420" t="n">
        <v>3</v>
      </c>
      <c r="F420" t="n">
        <v>106.4</v>
      </c>
      <c r="G420" t="n">
        <v>15</v>
      </c>
      <c r="H420" t="n">
        <v>15</v>
      </c>
      <c r="I420">
        <f>IF(G420=H420,1,0)</f>
        <v/>
      </c>
      <c r="J420" t="inlineStr">
        <is>
          <t>CB / CHV/ESP / CB</t>
        </is>
      </c>
    </row>
    <row r="421">
      <c r="A421" t="inlineStr">
        <is>
          <t>2023-2024</t>
        </is>
      </c>
      <c r="B421" t="inlineStr">
        <is>
          <t>2023-09-14</t>
        </is>
      </c>
      <c r="C421" t="inlineStr">
        <is>
          <t>11:54</t>
        </is>
      </c>
      <c r="D421" t="inlineStr">
        <is>
          <t>n° 5 + n° 6</t>
        </is>
      </c>
      <c r="E421" t="n">
        <v>2</v>
      </c>
      <c r="F421" t="n">
        <v>38.7</v>
      </c>
      <c r="G421" t="n">
        <v>2</v>
      </c>
      <c r="H421" t="n">
        <v>2</v>
      </c>
      <c r="I421">
        <f>IF(G421=H421,1,0)</f>
        <v/>
      </c>
      <c r="J421" t="inlineStr">
        <is>
          <t>TR / CB</t>
        </is>
      </c>
    </row>
    <row r="422">
      <c r="A422" t="inlineStr">
        <is>
          <t>2023-2024</t>
        </is>
      </c>
      <c r="B422" t="inlineStr">
        <is>
          <t>2023-09-14</t>
        </is>
      </c>
      <c r="C422" t="inlineStr">
        <is>
          <t>19:56</t>
        </is>
      </c>
      <c r="D422" t="inlineStr">
        <is>
          <t>n° 33 + n° 34</t>
        </is>
      </c>
      <c r="E422" t="n">
        <v>2</v>
      </c>
      <c r="F422" t="n">
        <v>66.59999999999999</v>
      </c>
      <c r="G422" t="n">
        <v>5</v>
      </c>
      <c r="H422" t="n">
        <v>5</v>
      </c>
      <c r="I422">
        <f>IF(G422=H422,1,0)</f>
        <v/>
      </c>
      <c r="J422" t="inlineStr">
        <is>
          <t>CB / CB</t>
        </is>
      </c>
    </row>
    <row r="423">
      <c r="A423" t="inlineStr">
        <is>
          <t>2023-2024</t>
        </is>
      </c>
      <c r="B423" t="inlineStr">
        <is>
          <t>2023-09-15</t>
        </is>
      </c>
      <c r="C423" t="inlineStr">
        <is>
          <t>18:31</t>
        </is>
      </c>
      <c r="D423" t="inlineStr">
        <is>
          <t>n° 15 + n° 16</t>
        </is>
      </c>
      <c r="E423" t="n">
        <v>2</v>
      </c>
      <c r="F423" t="n">
        <v>52.7</v>
      </c>
      <c r="G423" t="n">
        <v>4</v>
      </c>
      <c r="H423" t="n">
        <v>4</v>
      </c>
      <c r="I423">
        <f>IF(G423=H423,1,0)</f>
        <v/>
      </c>
      <c r="J423" t="inlineStr">
        <is>
          <t>CB / CB</t>
        </is>
      </c>
    </row>
    <row r="424">
      <c r="A424" t="inlineStr">
        <is>
          <t>2023-2024</t>
        </is>
      </c>
      <c r="B424" t="inlineStr">
        <is>
          <t>2023-09-15</t>
        </is>
      </c>
      <c r="C424" t="inlineStr">
        <is>
          <t>19:53</t>
        </is>
      </c>
      <c r="D424" t="inlineStr">
        <is>
          <t>n° 26 + n° 27</t>
        </is>
      </c>
      <c r="E424" t="n">
        <v>2</v>
      </c>
      <c r="F424" t="n">
        <v>55.9</v>
      </c>
      <c r="G424" t="n">
        <v>5</v>
      </c>
      <c r="H424" t="n">
        <v>5</v>
      </c>
      <c r="I424">
        <f>IF(G424=H424,1,0)</f>
        <v/>
      </c>
      <c r="J424" t="inlineStr">
        <is>
          <t>CB / CB</t>
        </is>
      </c>
    </row>
    <row r="425">
      <c r="A425" t="inlineStr">
        <is>
          <t>2023-2024</t>
        </is>
      </c>
      <c r="B425" t="inlineStr">
        <is>
          <t>2023-09-15</t>
        </is>
      </c>
      <c r="C425" t="inlineStr">
        <is>
          <t>20:16</t>
        </is>
      </c>
      <c r="D425" t="inlineStr">
        <is>
          <t>n° 31 + n° 32</t>
        </is>
      </c>
      <c r="E425" t="n">
        <v>2</v>
      </c>
      <c r="F425" t="n">
        <v>56.5</v>
      </c>
      <c r="G425" t="n">
        <v>4</v>
      </c>
      <c r="H425" t="n">
        <v>4</v>
      </c>
      <c r="I425">
        <f>IF(G425=H425,1,0)</f>
        <v/>
      </c>
      <c r="J425" t="inlineStr">
        <is>
          <t>CB / CB</t>
        </is>
      </c>
    </row>
    <row r="426">
      <c r="A426" t="inlineStr">
        <is>
          <t>2023-2024</t>
        </is>
      </c>
      <c r="B426" t="inlineStr">
        <is>
          <t>2023-09-15</t>
        </is>
      </c>
      <c r="C426" t="inlineStr">
        <is>
          <t>20:33</t>
        </is>
      </c>
      <c r="D426" t="inlineStr">
        <is>
          <t>n° 34 + n° 35</t>
        </is>
      </c>
      <c r="E426" t="n">
        <v>2</v>
      </c>
      <c r="F426" t="n">
        <v>84</v>
      </c>
      <c r="G426" t="n">
        <v>2</v>
      </c>
      <c r="H426" t="n">
        <v>2</v>
      </c>
      <c r="I426">
        <f>IF(G426=H426,1,0)</f>
        <v/>
      </c>
      <c r="J426" t="inlineStr">
        <is>
          <t>CB / CB</t>
        </is>
      </c>
    </row>
    <row r="427">
      <c r="A427" t="inlineStr">
        <is>
          <t>2023-2024</t>
        </is>
      </c>
      <c r="B427" t="inlineStr">
        <is>
          <t>2023-09-16</t>
        </is>
      </c>
      <c r="C427" t="inlineStr">
        <is>
          <t>12:56</t>
        </is>
      </c>
      <c r="D427" t="inlineStr">
        <is>
          <t>n° 16 + n° 17</t>
        </is>
      </c>
      <c r="E427" t="n">
        <v>2</v>
      </c>
      <c r="F427" t="n">
        <v>56.1</v>
      </c>
      <c r="G427" t="n">
        <v>10</v>
      </c>
      <c r="H427" t="n">
        <v>10</v>
      </c>
      <c r="I427">
        <f>IF(G427=H427,1,0)</f>
        <v/>
      </c>
      <c r="J427" t="inlineStr">
        <is>
          <t>CB / CB</t>
        </is>
      </c>
    </row>
    <row r="428">
      <c r="A428" t="inlineStr">
        <is>
          <t>2023-2024</t>
        </is>
      </c>
      <c r="B428" t="inlineStr">
        <is>
          <t>2023-09-16</t>
        </is>
      </c>
      <c r="C428" t="inlineStr">
        <is>
          <t>18:44</t>
        </is>
      </c>
      <c r="D428" t="inlineStr">
        <is>
          <t>n° 19 + n° 20</t>
        </is>
      </c>
      <c r="E428" t="n">
        <v>2</v>
      </c>
      <c r="F428" t="n">
        <v>116.2</v>
      </c>
      <c r="G428" t="n">
        <v>5</v>
      </c>
      <c r="H428" t="n">
        <v>5</v>
      </c>
      <c r="I428">
        <f>IF(G428=H428,1,0)</f>
        <v/>
      </c>
      <c r="J428" t="inlineStr">
        <is>
          <t>CB / CB</t>
        </is>
      </c>
    </row>
    <row r="429">
      <c r="A429" t="inlineStr">
        <is>
          <t>2023-2024</t>
        </is>
      </c>
      <c r="B429" t="inlineStr">
        <is>
          <t>2023-09-16</t>
        </is>
      </c>
      <c r="C429" t="inlineStr">
        <is>
          <t>19:58</t>
        </is>
      </c>
      <c r="D429" t="inlineStr">
        <is>
          <t>n° 24 + n° 25</t>
        </is>
      </c>
      <c r="E429" t="n">
        <v>2</v>
      </c>
      <c r="F429" t="n">
        <v>98.7</v>
      </c>
      <c r="G429" t="n">
        <v>5</v>
      </c>
      <c r="H429" t="n">
        <v>5</v>
      </c>
      <c r="I429">
        <f>IF(G429=H429,1,0)</f>
        <v/>
      </c>
      <c r="J429" t="inlineStr">
        <is>
          <t>CB / CB</t>
        </is>
      </c>
    </row>
    <row r="430">
      <c r="A430" t="inlineStr">
        <is>
          <t>2023-2024</t>
        </is>
      </c>
      <c r="B430" t="inlineStr">
        <is>
          <t>2023-09-16</t>
        </is>
      </c>
      <c r="C430" t="inlineStr">
        <is>
          <t>20:44</t>
        </is>
      </c>
      <c r="D430" t="inlineStr">
        <is>
          <t>n° 30 + n° 31</t>
        </is>
      </c>
      <c r="E430" t="n">
        <v>2</v>
      </c>
      <c r="F430" t="n">
        <v>165.6</v>
      </c>
      <c r="G430" t="n">
        <v>10</v>
      </c>
      <c r="H430" t="n">
        <v>10</v>
      </c>
      <c r="I430">
        <f>IF(G430=H430,1,0)</f>
        <v/>
      </c>
      <c r="J430" t="inlineStr">
        <is>
          <t>CB / CB</t>
        </is>
      </c>
    </row>
    <row r="431">
      <c r="A431" t="inlineStr">
        <is>
          <t>2023-2024</t>
        </is>
      </c>
      <c r="B431" t="inlineStr">
        <is>
          <t>2023-09-20</t>
        </is>
      </c>
      <c r="C431" t="inlineStr">
        <is>
          <t>19:37</t>
        </is>
      </c>
      <c r="D431" t="inlineStr">
        <is>
          <t>n° 24 + n° 25</t>
        </is>
      </c>
      <c r="E431" t="n">
        <v>2</v>
      </c>
      <c r="F431" t="n">
        <v>94</v>
      </c>
      <c r="G431" t="n">
        <v>1</v>
      </c>
      <c r="H431" t="n">
        <v>1</v>
      </c>
      <c r="I431">
        <f>IF(G431=H431,1,0)</f>
        <v/>
      </c>
      <c r="J431" t="inlineStr">
        <is>
          <t>CB / CB</t>
        </is>
      </c>
    </row>
    <row r="432">
      <c r="A432" t="inlineStr">
        <is>
          <t>2023-2024</t>
        </is>
      </c>
      <c r="B432" t="inlineStr">
        <is>
          <t>2023-09-21</t>
        </is>
      </c>
      <c r="C432" t="inlineStr">
        <is>
          <t>20:15</t>
        </is>
      </c>
      <c r="D432" t="inlineStr">
        <is>
          <t>n° 16 + n° 17</t>
        </is>
      </c>
      <c r="E432" t="n">
        <v>2</v>
      </c>
      <c r="F432" t="n">
        <v>158.5</v>
      </c>
      <c r="G432" t="n">
        <v>6</v>
      </c>
      <c r="H432" t="n">
        <v>6</v>
      </c>
      <c r="I432">
        <f>IF(G432=H432,1,0)</f>
        <v/>
      </c>
      <c r="J432" t="inlineStr">
        <is>
          <t>CB / CB</t>
        </is>
      </c>
    </row>
    <row r="433">
      <c r="A433" t="inlineStr">
        <is>
          <t>2023-2024</t>
        </is>
      </c>
      <c r="B433" t="inlineStr">
        <is>
          <t>2023-09-23</t>
        </is>
      </c>
      <c r="C433" t="inlineStr">
        <is>
          <t>12:53</t>
        </is>
      </c>
      <c r="D433" t="inlineStr">
        <is>
          <t>n° 9 + n° 10</t>
        </is>
      </c>
      <c r="E433" t="n">
        <v>2</v>
      </c>
      <c r="F433" t="n">
        <v>56.4</v>
      </c>
      <c r="G433" t="n">
        <v>6</v>
      </c>
      <c r="H433" t="n">
        <v>6</v>
      </c>
      <c r="I433">
        <f>IF(G433=H433,1,0)</f>
        <v/>
      </c>
      <c r="J433" t="inlineStr">
        <is>
          <t>CB / CB</t>
        </is>
      </c>
    </row>
    <row r="434">
      <c r="A434" t="inlineStr">
        <is>
          <t>2023-2024</t>
        </is>
      </c>
      <c r="B434" t="inlineStr">
        <is>
          <t>2023-09-23</t>
        </is>
      </c>
      <c r="C434" t="inlineStr">
        <is>
          <t>13:17</t>
        </is>
      </c>
      <c r="D434" t="inlineStr">
        <is>
          <t>n° 13 + n° 14</t>
        </is>
      </c>
      <c r="E434" t="n">
        <v>2</v>
      </c>
      <c r="F434" t="n">
        <v>76.59999999999999</v>
      </c>
      <c r="G434" t="n">
        <v>3</v>
      </c>
      <c r="H434" t="n">
        <v>3</v>
      </c>
      <c r="I434">
        <f>IF(G434=H434,1,0)</f>
        <v/>
      </c>
      <c r="J434" t="inlineStr">
        <is>
          <t>CB / ESP</t>
        </is>
      </c>
    </row>
    <row r="435">
      <c r="A435" t="inlineStr">
        <is>
          <t>2023-2024</t>
        </is>
      </c>
      <c r="B435" t="inlineStr">
        <is>
          <t>2023-09-23</t>
        </is>
      </c>
      <c r="C435" t="inlineStr">
        <is>
          <t>19:39</t>
        </is>
      </c>
      <c r="D435" t="inlineStr">
        <is>
          <t>n° 22 + n° 23</t>
        </is>
      </c>
      <c r="E435" t="n">
        <v>2</v>
      </c>
      <c r="F435" t="n">
        <v>69.3</v>
      </c>
      <c r="G435" t="n">
        <v>2</v>
      </c>
      <c r="H435" t="n">
        <v>2</v>
      </c>
      <c r="I435">
        <f>IF(G435=H435,1,0)</f>
        <v/>
      </c>
      <c r="J435" t="inlineStr">
        <is>
          <t>CB / ESP</t>
        </is>
      </c>
    </row>
    <row r="436">
      <c r="A436" t="inlineStr">
        <is>
          <t>2023-2024</t>
        </is>
      </c>
      <c r="B436" t="inlineStr">
        <is>
          <t>2023-09-24</t>
        </is>
      </c>
      <c r="C436" t="inlineStr">
        <is>
          <t>12:05</t>
        </is>
      </c>
      <c r="D436" t="inlineStr">
        <is>
          <t>n° 4 + n° 5</t>
        </is>
      </c>
      <c r="E436" t="n">
        <v>2</v>
      </c>
      <c r="F436" t="n">
        <v>108.3</v>
      </c>
      <c r="G436" t="n">
        <v>8</v>
      </c>
      <c r="H436" t="n">
        <v>8</v>
      </c>
      <c r="I436">
        <f>IF(G436=H436,1,0)</f>
        <v/>
      </c>
      <c r="J436" t="inlineStr">
        <is>
          <t>CB / CB</t>
        </is>
      </c>
    </row>
    <row r="437">
      <c r="A437" t="inlineStr">
        <is>
          <t>2023-2024</t>
        </is>
      </c>
      <c r="B437" t="inlineStr">
        <is>
          <t>2023-09-24</t>
        </is>
      </c>
      <c r="C437" t="inlineStr">
        <is>
          <t>19:48</t>
        </is>
      </c>
      <c r="D437" t="inlineStr">
        <is>
          <t>n° 25 + n° 26</t>
        </is>
      </c>
      <c r="E437" t="n">
        <v>2</v>
      </c>
      <c r="F437" t="n">
        <v>140.8</v>
      </c>
      <c r="G437" t="n">
        <v>4</v>
      </c>
      <c r="H437" t="n">
        <v>4</v>
      </c>
      <c r="I437">
        <f>IF(G437=H437,1,0)</f>
        <v/>
      </c>
      <c r="J437" t="inlineStr">
        <is>
          <t>CB / CB</t>
        </is>
      </c>
    </row>
    <row r="438">
      <c r="A438" t="inlineStr">
        <is>
          <t>2023-2024</t>
        </is>
      </c>
      <c r="B438" t="inlineStr">
        <is>
          <t>2023-09-27</t>
        </is>
      </c>
      <c r="C438" t="inlineStr">
        <is>
          <t>19:28</t>
        </is>
      </c>
      <c r="D438" t="inlineStr">
        <is>
          <t>n° 20 + n° 21</t>
        </is>
      </c>
      <c r="E438" t="n">
        <v>2</v>
      </c>
      <c r="F438" t="n">
        <v>45.7</v>
      </c>
      <c r="G438" t="n">
        <v>4</v>
      </c>
      <c r="H438" t="n">
        <v>4</v>
      </c>
      <c r="I438">
        <f>IF(G438=H438,1,0)</f>
        <v/>
      </c>
      <c r="J438" t="inlineStr">
        <is>
          <t>CB / CB</t>
        </is>
      </c>
    </row>
    <row r="439">
      <c r="A439" t="inlineStr">
        <is>
          <t>2023-2024</t>
        </is>
      </c>
      <c r="B439" t="inlineStr">
        <is>
          <t>2023-09-30</t>
        </is>
      </c>
      <c r="C439" t="inlineStr">
        <is>
          <t>12:58</t>
        </is>
      </c>
      <c r="D439" t="inlineStr">
        <is>
          <t>n° 13 + n° 14</t>
        </is>
      </c>
      <c r="E439" t="n">
        <v>2</v>
      </c>
      <c r="F439" t="n">
        <v>209.2</v>
      </c>
      <c r="G439" t="n">
        <v>5</v>
      </c>
      <c r="H439" t="n">
        <v>5</v>
      </c>
      <c r="I439">
        <f>IF(G439=H439,1,0)</f>
        <v/>
      </c>
      <c r="J439" t="inlineStr">
        <is>
          <t>CB / CB</t>
        </is>
      </c>
    </row>
    <row r="440">
      <c r="A440" t="inlineStr">
        <is>
          <t>2023-2024</t>
        </is>
      </c>
      <c r="B440" t="inlineStr">
        <is>
          <t>2023-09-30</t>
        </is>
      </c>
      <c r="C440" t="inlineStr">
        <is>
          <t>20:32</t>
        </is>
      </c>
      <c r="D440" t="inlineStr">
        <is>
          <t>n° 32 + n° 33</t>
        </is>
      </c>
      <c r="E440" t="n">
        <v>2</v>
      </c>
      <c r="F440" t="n">
        <v>226.4</v>
      </c>
      <c r="G440" t="n">
        <v>6</v>
      </c>
      <c r="H440" t="n">
        <v>6</v>
      </c>
      <c r="I440">
        <f>IF(G440=H440,1,0)</f>
        <v/>
      </c>
      <c r="J440" t="inlineStr">
        <is>
          <t>CB / CHV/ESP/CB</t>
        </is>
      </c>
    </row>
    <row r="441">
      <c r="A441" t="inlineStr">
        <is>
          <t>2023-2024</t>
        </is>
      </c>
      <c r="B441" t="inlineStr">
        <is>
          <t>2023-10-01</t>
        </is>
      </c>
      <c r="C441" t="inlineStr">
        <is>
          <t>13:08</t>
        </is>
      </c>
      <c r="D441" t="inlineStr">
        <is>
          <t>n° 10 + n° 11</t>
        </is>
      </c>
      <c r="E441" t="n">
        <v>2</v>
      </c>
      <c r="F441" t="n">
        <v>161.9</v>
      </c>
      <c r="G441" t="n">
        <v>8</v>
      </c>
      <c r="H441" t="n">
        <v>8</v>
      </c>
      <c r="I441">
        <f>IF(G441=H441,1,0)</f>
        <v/>
      </c>
      <c r="J441" t="inlineStr">
        <is>
          <t>CB / CB</t>
        </is>
      </c>
    </row>
    <row r="442">
      <c r="A442" t="inlineStr">
        <is>
          <t>2023-2024</t>
        </is>
      </c>
      <c r="B442" t="inlineStr">
        <is>
          <t>2023-10-01</t>
        </is>
      </c>
      <c r="C442" t="inlineStr">
        <is>
          <t>19:53</t>
        </is>
      </c>
      <c r="D442" t="inlineStr">
        <is>
          <t>n° 28 + n° 29 + n° 30 + n° 31</t>
        </is>
      </c>
      <c r="E442" t="n">
        <v>4</v>
      </c>
      <c r="F442" t="n">
        <v>333.2</v>
      </c>
      <c r="G442" t="n">
        <v>20</v>
      </c>
      <c r="H442" t="n">
        <v>20</v>
      </c>
      <c r="I442">
        <f>IF(G442=H442,1,0)</f>
        <v/>
      </c>
      <c r="J442" t="inlineStr">
        <is>
          <t>CB / CB / CB / CB</t>
        </is>
      </c>
    </row>
    <row r="443">
      <c r="A443" t="inlineStr">
        <is>
          <t>2023-2024</t>
        </is>
      </c>
      <c r="B443" t="inlineStr">
        <is>
          <t>2023-10-05</t>
        </is>
      </c>
      <c r="C443" t="inlineStr">
        <is>
          <t>19:18</t>
        </is>
      </c>
      <c r="D443" t="inlineStr">
        <is>
          <t>n° 17 + n° 18</t>
        </is>
      </c>
      <c r="E443" t="n">
        <v>2</v>
      </c>
      <c r="F443" t="n">
        <v>57.3</v>
      </c>
      <c r="G443" t="n">
        <v>6</v>
      </c>
      <c r="H443" t="n">
        <v>6</v>
      </c>
      <c r="I443">
        <f>IF(G443=H443,1,0)</f>
        <v/>
      </c>
      <c r="J443" t="inlineStr">
        <is>
          <t>CB / CB</t>
        </is>
      </c>
    </row>
    <row r="444">
      <c r="A444" t="inlineStr">
        <is>
          <t>2023-2024</t>
        </is>
      </c>
      <c r="B444" t="inlineStr">
        <is>
          <t>2023-10-05</t>
        </is>
      </c>
      <c r="C444" t="inlineStr">
        <is>
          <t>20:50</t>
        </is>
      </c>
      <c r="D444" t="inlineStr">
        <is>
          <t>n° 26 + n° 27</t>
        </is>
      </c>
      <c r="E444" t="n">
        <v>2</v>
      </c>
      <c r="F444" t="n">
        <v>127.3</v>
      </c>
      <c r="G444" t="n">
        <v>1</v>
      </c>
      <c r="H444" t="n">
        <v>1</v>
      </c>
      <c r="I444">
        <f>IF(G444=H444,1,0)</f>
        <v/>
      </c>
      <c r="J444" t="inlineStr">
        <is>
          <t>TR/CB / CHV/CB</t>
        </is>
      </c>
    </row>
    <row r="445">
      <c r="A445" t="inlineStr">
        <is>
          <t>2023-2024</t>
        </is>
      </c>
      <c r="B445" t="inlineStr">
        <is>
          <t>2023-10-06</t>
        </is>
      </c>
      <c r="C445" t="inlineStr">
        <is>
          <t>19:04</t>
        </is>
      </c>
      <c r="D445" t="inlineStr">
        <is>
          <t>n° 9 + n° 10</t>
        </is>
      </c>
      <c r="E445" t="n">
        <v>2</v>
      </c>
      <c r="F445" t="n">
        <v>50.9</v>
      </c>
      <c r="G445" t="n">
        <v>5</v>
      </c>
      <c r="H445" t="n">
        <v>5</v>
      </c>
      <c r="I445">
        <f>IF(G445=H445,1,0)</f>
        <v/>
      </c>
      <c r="J445" t="inlineStr">
        <is>
          <t>CB / TR/ESP</t>
        </is>
      </c>
    </row>
    <row r="446">
      <c r="A446" t="inlineStr">
        <is>
          <t>2023-2024</t>
        </is>
      </c>
      <c r="B446" t="inlineStr">
        <is>
          <t>2023-10-08</t>
        </is>
      </c>
      <c r="C446" t="inlineStr">
        <is>
          <t>12:12</t>
        </is>
      </c>
      <c r="D446" t="inlineStr">
        <is>
          <t>n° 5 + n° 6</t>
        </is>
      </c>
      <c r="E446" t="n">
        <v>2</v>
      </c>
      <c r="F446" t="n">
        <v>42.8</v>
      </c>
      <c r="G446" t="n">
        <v>6</v>
      </c>
      <c r="H446" t="n">
        <v>6</v>
      </c>
      <c r="I446">
        <f>IF(G446=H446,1,0)</f>
        <v/>
      </c>
      <c r="J446" t="inlineStr">
        <is>
          <t>CB / CB</t>
        </is>
      </c>
    </row>
    <row r="447">
      <c r="A447" t="inlineStr">
        <is>
          <t>2023-2024</t>
        </is>
      </c>
      <c r="B447" t="inlineStr">
        <is>
          <t>2023-10-08</t>
        </is>
      </c>
      <c r="C447" t="inlineStr">
        <is>
          <t>19:44</t>
        </is>
      </c>
      <c r="D447" t="inlineStr">
        <is>
          <t>n° 20 + n° 21</t>
        </is>
      </c>
      <c r="E447" t="n">
        <v>2</v>
      </c>
      <c r="F447" t="n">
        <v>236.5</v>
      </c>
      <c r="G447" t="n">
        <v>8</v>
      </c>
      <c r="H447" t="n">
        <v>8</v>
      </c>
      <c r="I447">
        <f>IF(G447=H447,1,0)</f>
        <v/>
      </c>
      <c r="J447" t="inlineStr">
        <is>
          <t>CB / CB</t>
        </is>
      </c>
    </row>
    <row r="448">
      <c r="A448" t="inlineStr">
        <is>
          <t>2023-2024</t>
        </is>
      </c>
      <c r="B448" t="inlineStr">
        <is>
          <t>2023-10-12</t>
        </is>
      </c>
      <c r="C448" t="inlineStr">
        <is>
          <t>11:52</t>
        </is>
      </c>
      <c r="D448" t="inlineStr">
        <is>
          <t>n° 2 + n° 3 + n° 5 + n° 6</t>
        </is>
      </c>
      <c r="E448" t="n">
        <v>4</v>
      </c>
      <c r="F448" t="n">
        <v>171.2</v>
      </c>
      <c r="G448" t="n">
        <v>6</v>
      </c>
      <c r="H448" t="n">
        <v>6</v>
      </c>
      <c r="I448">
        <f>IF(G448=H448,1,0)</f>
        <v/>
      </c>
      <c r="J448" t="inlineStr">
        <is>
          <t>CB / CB / CB / CB</t>
        </is>
      </c>
    </row>
    <row r="449">
      <c r="A449" t="inlineStr">
        <is>
          <t>2023-2024</t>
        </is>
      </c>
      <c r="B449" t="inlineStr">
        <is>
          <t>2023-10-12</t>
        </is>
      </c>
      <c r="C449" t="inlineStr">
        <is>
          <t>12:25</t>
        </is>
      </c>
      <c r="D449" t="inlineStr">
        <is>
          <t>n° 11 + n° 12</t>
        </is>
      </c>
      <c r="E449" t="n">
        <v>2</v>
      </c>
      <c r="F449" t="n">
        <v>85.40000000000001</v>
      </c>
      <c r="G449" t="n">
        <v>6</v>
      </c>
      <c r="H449" t="n">
        <v>6</v>
      </c>
      <c r="I449">
        <f>IF(G449=H449,1,0)</f>
        <v/>
      </c>
      <c r="J449" t="inlineStr">
        <is>
          <t>CB / CB</t>
        </is>
      </c>
    </row>
    <row r="450">
      <c r="A450" t="inlineStr">
        <is>
          <t>2023-2024</t>
        </is>
      </c>
      <c r="B450" t="inlineStr">
        <is>
          <t>2023-10-12</t>
        </is>
      </c>
      <c r="C450" t="inlineStr">
        <is>
          <t>19:38</t>
        </is>
      </c>
      <c r="D450" t="inlineStr">
        <is>
          <t>n° 24 + n° 25</t>
        </is>
      </c>
      <c r="E450" t="n">
        <v>2</v>
      </c>
      <c r="F450" t="n">
        <v>49.2</v>
      </c>
      <c r="G450" t="n">
        <v>1</v>
      </c>
      <c r="H450" t="n">
        <v>1</v>
      </c>
      <c r="I450">
        <f>IF(G450=H450,1,0)</f>
        <v/>
      </c>
      <c r="J450" t="inlineStr">
        <is>
          <t>CB / CB</t>
        </is>
      </c>
    </row>
    <row r="451">
      <c r="A451" t="inlineStr">
        <is>
          <t>2023-2024</t>
        </is>
      </c>
      <c r="B451" t="inlineStr">
        <is>
          <t>2023-10-13</t>
        </is>
      </c>
      <c r="C451" t="inlineStr">
        <is>
          <t>19:35</t>
        </is>
      </c>
      <c r="D451" t="inlineStr">
        <is>
          <t>n° 32 + n° 33</t>
        </is>
      </c>
      <c r="E451" t="n">
        <v>2</v>
      </c>
      <c r="F451" t="n">
        <v>141.4</v>
      </c>
      <c r="G451" t="n">
        <v>7</v>
      </c>
      <c r="H451" t="n">
        <v>7</v>
      </c>
      <c r="I451">
        <f>IF(G451=H451,1,0)</f>
        <v/>
      </c>
      <c r="J451" t="inlineStr">
        <is>
          <t>CB / TR/CB</t>
        </is>
      </c>
    </row>
    <row r="452">
      <c r="A452" t="inlineStr">
        <is>
          <t>2023-2024</t>
        </is>
      </c>
      <c r="B452" t="inlineStr">
        <is>
          <t>2023-10-13</t>
        </is>
      </c>
      <c r="C452" t="inlineStr">
        <is>
          <t>20:23</t>
        </is>
      </c>
      <c r="D452" t="inlineStr">
        <is>
          <t>n° 36 + n° 37 + n° 38 + n° 40</t>
        </is>
      </c>
      <c r="E452" t="n">
        <v>4</v>
      </c>
      <c r="F452" t="n">
        <v>210.9</v>
      </c>
      <c r="G452" t="n">
        <v>14</v>
      </c>
      <c r="H452" t="n">
        <v>14</v>
      </c>
      <c r="I452">
        <f>IF(G452=H452,1,0)</f>
        <v/>
      </c>
      <c r="J452" t="inlineStr">
        <is>
          <t>CB / TR/CB / CB / CB</t>
        </is>
      </c>
    </row>
    <row r="453">
      <c r="A453" t="inlineStr">
        <is>
          <t>2023-2024</t>
        </is>
      </c>
      <c r="B453" t="inlineStr">
        <is>
          <t>2023-10-14</t>
        </is>
      </c>
      <c r="C453" t="inlineStr">
        <is>
          <t>12:48</t>
        </is>
      </c>
      <c r="D453" t="inlineStr">
        <is>
          <t>n° 8 + n° 9 + n° 12 + n° 13</t>
        </is>
      </c>
      <c r="E453" t="n">
        <v>4</v>
      </c>
      <c r="F453" t="n">
        <v>156.1</v>
      </c>
      <c r="G453" t="n">
        <v>13</v>
      </c>
      <c r="H453" t="n">
        <v>13</v>
      </c>
      <c r="I453">
        <f>IF(G453=H453,1,0)</f>
        <v/>
      </c>
      <c r="J453" t="inlineStr">
        <is>
          <t>CB / TR/CB / CB / TR/CB</t>
        </is>
      </c>
    </row>
    <row r="454">
      <c r="A454" t="inlineStr">
        <is>
          <t>2023-2024</t>
        </is>
      </c>
      <c r="B454" t="inlineStr">
        <is>
          <t>2023-10-15</t>
        </is>
      </c>
      <c r="C454" t="inlineStr">
        <is>
          <t>13:09</t>
        </is>
      </c>
      <c r="D454" t="inlineStr">
        <is>
          <t>n° 9 + n° 10</t>
        </is>
      </c>
      <c r="E454" t="n">
        <v>2</v>
      </c>
      <c r="F454" t="n">
        <v>180.9</v>
      </c>
      <c r="G454" t="n">
        <v>14</v>
      </c>
      <c r="H454" t="n">
        <v>14</v>
      </c>
      <c r="I454">
        <f>IF(G454=H454,1,0)</f>
        <v/>
      </c>
      <c r="J454" t="inlineStr">
        <is>
          <t>CB / CB</t>
        </is>
      </c>
    </row>
    <row r="455">
      <c r="A455" t="inlineStr">
        <is>
          <t>2023-2024</t>
        </is>
      </c>
      <c r="B455" t="inlineStr">
        <is>
          <t>2023-10-15</t>
        </is>
      </c>
      <c r="C455" t="inlineStr">
        <is>
          <t>13:27</t>
        </is>
      </c>
      <c r="D455" t="inlineStr">
        <is>
          <t>n° 13 + n° 14</t>
        </is>
      </c>
      <c r="E455" t="n">
        <v>2</v>
      </c>
      <c r="F455" t="n">
        <v>139.3</v>
      </c>
      <c r="G455" t="n">
        <v>9</v>
      </c>
      <c r="H455" t="n">
        <v>9</v>
      </c>
      <c r="I455">
        <f>IF(G455=H455,1,0)</f>
        <v/>
      </c>
      <c r="J455" t="inlineStr">
        <is>
          <t>CB / CB</t>
        </is>
      </c>
    </row>
    <row r="456">
      <c r="A456" t="inlineStr">
        <is>
          <t>2023-2024</t>
        </is>
      </c>
      <c r="B456" t="inlineStr">
        <is>
          <t>2023-10-18</t>
        </is>
      </c>
      <c r="C456" t="inlineStr">
        <is>
          <t>20:01</t>
        </is>
      </c>
      <c r="D456" t="inlineStr">
        <is>
          <t>n° 18 + n° 19</t>
        </is>
      </c>
      <c r="E456" t="n">
        <v>2</v>
      </c>
      <c r="F456" t="n">
        <v>81.2</v>
      </c>
      <c r="G456" t="n">
        <v>2</v>
      </c>
      <c r="H456" t="n">
        <v>2</v>
      </c>
      <c r="I456">
        <f>IF(G456=H456,1,0)</f>
        <v/>
      </c>
      <c r="J456" t="inlineStr">
        <is>
          <t>CB / CB</t>
        </is>
      </c>
    </row>
    <row r="457">
      <c r="A457" t="inlineStr">
        <is>
          <t>2023-2024</t>
        </is>
      </c>
      <c r="B457" t="inlineStr">
        <is>
          <t>2023-10-19</t>
        </is>
      </c>
      <c r="C457" t="inlineStr">
        <is>
          <t>19:59</t>
        </is>
      </c>
      <c r="D457" t="inlineStr">
        <is>
          <t>n° 12 + n° 13 + n° 16</t>
        </is>
      </c>
      <c r="E457" t="n">
        <v>3</v>
      </c>
      <c r="F457" t="n">
        <v>147.2</v>
      </c>
      <c r="G457" t="n">
        <v>7</v>
      </c>
      <c r="H457" t="n">
        <v>2</v>
      </c>
      <c r="I457">
        <f>IF(G457=H457,1,0)</f>
        <v/>
      </c>
      <c r="J457" t="inlineStr">
        <is>
          <t>CB / CB / CB</t>
        </is>
      </c>
    </row>
    <row r="458">
      <c r="A458" t="inlineStr">
        <is>
          <t>2023-2024</t>
        </is>
      </c>
      <c r="B458" t="inlineStr">
        <is>
          <t>2023-10-21</t>
        </is>
      </c>
      <c r="C458" t="inlineStr">
        <is>
          <t>13:27</t>
        </is>
      </c>
      <c r="D458" t="inlineStr">
        <is>
          <t>n° 13 + n° 14</t>
        </is>
      </c>
      <c r="E458" t="n">
        <v>2</v>
      </c>
      <c r="F458" t="n">
        <v>167.1</v>
      </c>
      <c r="G458" t="n">
        <v>9</v>
      </c>
      <c r="H458" t="n">
        <v>9</v>
      </c>
      <c r="I458">
        <f>IF(G458=H458,1,0)</f>
        <v/>
      </c>
      <c r="J458" t="inlineStr">
        <is>
          <t>CB / CB</t>
        </is>
      </c>
    </row>
    <row r="459">
      <c r="A459" t="inlineStr">
        <is>
          <t>2023-2024</t>
        </is>
      </c>
      <c r="B459" t="inlineStr">
        <is>
          <t>2023-10-25</t>
        </is>
      </c>
      <c r="C459" t="inlineStr">
        <is>
          <t>13:17</t>
        </is>
      </c>
      <c r="D459" t="inlineStr">
        <is>
          <t>n° 13 + n° 14</t>
        </is>
      </c>
      <c r="E459" t="n">
        <v>2</v>
      </c>
      <c r="F459" t="n">
        <v>61.8</v>
      </c>
      <c r="G459" t="n">
        <v>5</v>
      </c>
      <c r="H459" t="n">
        <v>5</v>
      </c>
      <c r="I459">
        <f>IF(G459=H459,1,0)</f>
        <v/>
      </c>
      <c r="J459" t="inlineStr">
        <is>
          <t>CB / CB</t>
        </is>
      </c>
    </row>
    <row r="460">
      <c r="A460" t="inlineStr">
        <is>
          <t>2023-2024</t>
        </is>
      </c>
      <c r="B460" t="inlineStr">
        <is>
          <t>2023-10-25</t>
        </is>
      </c>
      <c r="C460" t="inlineStr">
        <is>
          <t>20:01</t>
        </is>
      </c>
      <c r="D460" t="inlineStr">
        <is>
          <t>n° 24 + n° 25</t>
        </is>
      </c>
      <c r="E460" t="n">
        <v>2</v>
      </c>
      <c r="F460" t="n">
        <v>92.2</v>
      </c>
      <c r="G460" t="n">
        <v>2</v>
      </c>
      <c r="H460" t="n">
        <v>2</v>
      </c>
      <c r="I460">
        <f>IF(G460=H460,1,0)</f>
        <v/>
      </c>
      <c r="J460" t="inlineStr">
        <is>
          <t>CB / CB</t>
        </is>
      </c>
    </row>
    <row r="461">
      <c r="A461" t="inlineStr">
        <is>
          <t>2023-2024</t>
        </is>
      </c>
      <c r="B461" t="inlineStr">
        <is>
          <t>2023-10-27</t>
        </is>
      </c>
      <c r="C461" t="inlineStr">
        <is>
          <t>18:25</t>
        </is>
      </c>
      <c r="D461" t="inlineStr">
        <is>
          <t>n° 11 + n° 12</t>
        </is>
      </c>
      <c r="E461" t="n">
        <v>2</v>
      </c>
      <c r="F461" t="n">
        <v>68.59999999999999</v>
      </c>
      <c r="G461" t="n">
        <v>2</v>
      </c>
      <c r="H461" t="n">
        <v>2</v>
      </c>
      <c r="I461">
        <f>IF(G461=H461,1,0)</f>
        <v/>
      </c>
      <c r="J461" t="inlineStr">
        <is>
          <t>CB / CB</t>
        </is>
      </c>
    </row>
    <row r="462">
      <c r="A462" t="inlineStr">
        <is>
          <t>2023-2024</t>
        </is>
      </c>
      <c r="B462" t="inlineStr">
        <is>
          <t>2023-10-28</t>
        </is>
      </c>
      <c r="C462" t="inlineStr">
        <is>
          <t>12:34</t>
        </is>
      </c>
      <c r="D462" t="inlineStr">
        <is>
          <t>n° 5 + n° 6 + n° 8 + n° 9</t>
        </is>
      </c>
      <c r="E462" t="n">
        <v>4</v>
      </c>
      <c r="F462" t="n">
        <v>276</v>
      </c>
      <c r="G462" t="n">
        <v>14</v>
      </c>
      <c r="H462" t="n">
        <v>14</v>
      </c>
      <c r="I462">
        <f>IF(G462=H462,1,0)</f>
        <v/>
      </c>
      <c r="J462" t="inlineStr">
        <is>
          <t>CB / CB / CB / CB</t>
        </is>
      </c>
    </row>
    <row r="463">
      <c r="A463" t="inlineStr">
        <is>
          <t>2023-2024</t>
        </is>
      </c>
      <c r="B463" t="inlineStr">
        <is>
          <t>2023-10-28</t>
        </is>
      </c>
      <c r="C463" t="inlineStr">
        <is>
          <t>19:27</t>
        </is>
      </c>
      <c r="D463" t="inlineStr">
        <is>
          <t>n° 17 + n° 19</t>
        </is>
      </c>
      <c r="E463" t="n">
        <v>2</v>
      </c>
      <c r="F463" t="n">
        <v>174.9</v>
      </c>
      <c r="G463" t="n">
        <v>8</v>
      </c>
      <c r="H463" t="n">
        <v>8</v>
      </c>
      <c r="I463">
        <f>IF(G463=H463,1,0)</f>
        <v/>
      </c>
      <c r="J463" t="inlineStr">
        <is>
          <t>CB / CB</t>
        </is>
      </c>
    </row>
    <row r="464">
      <c r="A464" t="inlineStr">
        <is>
          <t>2023-2024</t>
        </is>
      </c>
      <c r="B464" t="inlineStr">
        <is>
          <t>2023-10-28</t>
        </is>
      </c>
      <c r="C464" t="inlineStr">
        <is>
          <t>20:15</t>
        </is>
      </c>
      <c r="D464" t="inlineStr">
        <is>
          <t>n° 21 + n° 22</t>
        </is>
      </c>
      <c r="E464" t="n">
        <v>2</v>
      </c>
      <c r="F464" t="n">
        <v>128.9</v>
      </c>
      <c r="G464" t="n">
        <v>4</v>
      </c>
      <c r="H464" t="n">
        <v>4</v>
      </c>
      <c r="I464">
        <f>IF(G464=H464,1,0)</f>
        <v/>
      </c>
      <c r="J464" t="inlineStr">
        <is>
          <t>CB / CB</t>
        </is>
      </c>
    </row>
    <row r="465">
      <c r="A465" t="inlineStr">
        <is>
          <t>2023-2024</t>
        </is>
      </c>
      <c r="B465" t="inlineStr">
        <is>
          <t>2023-10-29</t>
        </is>
      </c>
      <c r="C465" t="inlineStr">
        <is>
          <t>12:47</t>
        </is>
      </c>
      <c r="D465" t="inlineStr">
        <is>
          <t>n° 3 + n° 4</t>
        </is>
      </c>
      <c r="E465" t="n">
        <v>2</v>
      </c>
      <c r="F465" t="n">
        <v>201.2</v>
      </c>
      <c r="G465" t="n">
        <v>13</v>
      </c>
      <c r="H465" t="n">
        <v>13</v>
      </c>
      <c r="I465">
        <f>IF(G465=H465,1,0)</f>
        <v/>
      </c>
      <c r="J465" t="inlineStr">
        <is>
          <t>CB / CB</t>
        </is>
      </c>
    </row>
    <row r="466">
      <c r="A466" t="inlineStr">
        <is>
          <t>2023-2024</t>
        </is>
      </c>
      <c r="B466" t="inlineStr">
        <is>
          <t>2023-10-29</t>
        </is>
      </c>
      <c r="C466" t="inlineStr">
        <is>
          <t>19:11</t>
        </is>
      </c>
      <c r="D466" t="inlineStr">
        <is>
          <t>n° 16 + n° 17</t>
        </is>
      </c>
      <c r="E466" t="n">
        <v>2</v>
      </c>
      <c r="F466" t="n">
        <v>52.7</v>
      </c>
      <c r="G466" t="n">
        <v>4</v>
      </c>
      <c r="H466" t="n">
        <v>4</v>
      </c>
      <c r="I466">
        <f>IF(G466=H466,1,0)</f>
        <v/>
      </c>
      <c r="J466" t="inlineStr">
        <is>
          <t>CB / CB</t>
        </is>
      </c>
    </row>
    <row r="467">
      <c r="A467" t="inlineStr">
        <is>
          <t>2023-2024</t>
        </is>
      </c>
      <c r="B467" t="inlineStr">
        <is>
          <t>2023-10-29</t>
        </is>
      </c>
      <c r="C467" t="inlineStr">
        <is>
          <t>19:35</t>
        </is>
      </c>
      <c r="D467" t="inlineStr">
        <is>
          <t>n° 21 + n° 22</t>
        </is>
      </c>
      <c r="E467" t="n">
        <v>2</v>
      </c>
      <c r="F467" t="n">
        <v>79.90000000000001</v>
      </c>
      <c r="G467" t="n">
        <v>2</v>
      </c>
      <c r="H467" t="n">
        <v>2</v>
      </c>
      <c r="I467">
        <f>IF(G467=H467,1,0)</f>
        <v/>
      </c>
      <c r="J467" t="inlineStr">
        <is>
          <t>CB / CB</t>
        </is>
      </c>
    </row>
    <row r="468">
      <c r="A468" t="inlineStr">
        <is>
          <t>2023-2024</t>
        </is>
      </c>
      <c r="B468" t="inlineStr">
        <is>
          <t>2023-11-02</t>
        </is>
      </c>
      <c r="C468" t="inlineStr">
        <is>
          <t>12:09</t>
        </is>
      </c>
      <c r="D468" t="inlineStr">
        <is>
          <t>n° 2 + n° 3</t>
        </is>
      </c>
      <c r="E468" t="n">
        <v>2</v>
      </c>
      <c r="F468" t="n">
        <v>114.4</v>
      </c>
      <c r="G468" t="n">
        <v>4</v>
      </c>
      <c r="H468" t="n">
        <v>4</v>
      </c>
      <c r="I468">
        <f>IF(G468=H468,1,0)</f>
        <v/>
      </c>
      <c r="J468" t="inlineStr">
        <is>
          <t>CB / CB</t>
        </is>
      </c>
    </row>
    <row r="469">
      <c r="A469" t="inlineStr">
        <is>
          <t>2023-2024</t>
        </is>
      </c>
      <c r="B469" t="inlineStr">
        <is>
          <t>2023-11-03</t>
        </is>
      </c>
      <c r="C469" t="inlineStr">
        <is>
          <t>12:52</t>
        </is>
      </c>
      <c r="D469" t="inlineStr">
        <is>
          <t>n° 13 + n° 14</t>
        </is>
      </c>
      <c r="E469" t="n">
        <v>2</v>
      </c>
      <c r="F469" t="n">
        <v>57.4</v>
      </c>
      <c r="G469" t="n">
        <v>4</v>
      </c>
      <c r="H469" t="n">
        <v>4</v>
      </c>
      <c r="I469">
        <f>IF(G469=H469,1,0)</f>
        <v/>
      </c>
      <c r="J469" t="inlineStr">
        <is>
          <t>CB / CB</t>
        </is>
      </c>
    </row>
    <row r="470">
      <c r="A470" t="inlineStr">
        <is>
          <t>2023-2024</t>
        </is>
      </c>
      <c r="B470" t="inlineStr">
        <is>
          <t>2023-11-03</t>
        </is>
      </c>
      <c r="C470" t="inlineStr">
        <is>
          <t>19:52</t>
        </is>
      </c>
      <c r="D470" t="inlineStr">
        <is>
          <t>n° 24 + n° 25</t>
        </is>
      </c>
      <c r="E470" t="n">
        <v>2</v>
      </c>
      <c r="F470" t="n">
        <v>103.8</v>
      </c>
      <c r="G470" t="n">
        <v>4</v>
      </c>
      <c r="H470" t="n">
        <v>4</v>
      </c>
      <c r="I470">
        <f>IF(G470=H470,1,0)</f>
        <v/>
      </c>
      <c r="J470" t="inlineStr">
        <is>
          <t>CB / CB</t>
        </is>
      </c>
    </row>
    <row r="471">
      <c r="A471" t="inlineStr">
        <is>
          <t>2023-2024</t>
        </is>
      </c>
      <c r="B471" t="inlineStr">
        <is>
          <t>2023-11-03</t>
        </is>
      </c>
      <c r="C471" t="inlineStr">
        <is>
          <t>20:57</t>
        </is>
      </c>
      <c r="D471" t="inlineStr">
        <is>
          <t>n° 30 + n° 31</t>
        </is>
      </c>
      <c r="E471" t="n">
        <v>2</v>
      </c>
      <c r="F471" t="n">
        <v>231.5</v>
      </c>
      <c r="G471" t="n">
        <v>11</v>
      </c>
      <c r="H471" t="n">
        <v>11</v>
      </c>
      <c r="I471">
        <f>IF(G471=H471,1,0)</f>
        <v/>
      </c>
      <c r="J471" t="inlineStr">
        <is>
          <t>CB / CB</t>
        </is>
      </c>
    </row>
    <row r="472">
      <c r="A472" t="inlineStr">
        <is>
          <t>2023-2024</t>
        </is>
      </c>
      <c r="B472" t="inlineStr">
        <is>
          <t>2023-11-04</t>
        </is>
      </c>
      <c r="C472" t="inlineStr">
        <is>
          <t>21:21</t>
        </is>
      </c>
      <c r="D472" t="inlineStr">
        <is>
          <t>n° 22 + n° 23</t>
        </is>
      </c>
      <c r="E472" t="n">
        <v>2</v>
      </c>
      <c r="F472" t="n">
        <v>58.6</v>
      </c>
      <c r="G472" t="n">
        <v>2</v>
      </c>
      <c r="H472" t="n">
        <v>2</v>
      </c>
      <c r="I472">
        <f>IF(G472=H472,1,0)</f>
        <v/>
      </c>
      <c r="J472" t="inlineStr">
        <is>
          <t>CB / CB</t>
        </is>
      </c>
    </row>
    <row r="473">
      <c r="A473" t="inlineStr">
        <is>
          <t>2023-2024</t>
        </is>
      </c>
      <c r="B473" t="inlineStr">
        <is>
          <t>2023-11-08</t>
        </is>
      </c>
      <c r="C473" t="inlineStr">
        <is>
          <t>12:06</t>
        </is>
      </c>
      <c r="D473" t="inlineStr">
        <is>
          <t>n° 4 + n° 5</t>
        </is>
      </c>
      <c r="E473" t="n">
        <v>2</v>
      </c>
      <c r="F473" t="n">
        <v>56.8</v>
      </c>
      <c r="G473" t="n">
        <v>4</v>
      </c>
      <c r="H473" t="n">
        <v>4</v>
      </c>
      <c r="I473">
        <f>IF(G473=H473,1,0)</f>
        <v/>
      </c>
      <c r="J473" t="inlineStr">
        <is>
          <t>CB / CB</t>
        </is>
      </c>
    </row>
    <row r="474">
      <c r="A474" t="inlineStr">
        <is>
          <t>2023-2024</t>
        </is>
      </c>
      <c r="B474" t="inlineStr">
        <is>
          <t>2023-11-08</t>
        </is>
      </c>
      <c r="C474" t="inlineStr">
        <is>
          <t>20:08</t>
        </is>
      </c>
      <c r="D474" t="inlineStr">
        <is>
          <t>n° 16 + n° 17</t>
        </is>
      </c>
      <c r="E474" t="n">
        <v>2</v>
      </c>
      <c r="F474" t="n">
        <v>89.40000000000001</v>
      </c>
      <c r="G474" t="n">
        <v>5</v>
      </c>
      <c r="H474" t="n">
        <v>5</v>
      </c>
      <c r="I474">
        <f>IF(G474=H474,1,0)</f>
        <v/>
      </c>
      <c r="J474" t="inlineStr">
        <is>
          <t>CB / CB</t>
        </is>
      </c>
    </row>
    <row r="475">
      <c r="A475" t="inlineStr">
        <is>
          <t>2023-2024</t>
        </is>
      </c>
      <c r="B475" t="inlineStr">
        <is>
          <t>2023-11-09</t>
        </is>
      </c>
      <c r="C475" t="inlineStr">
        <is>
          <t>12:59</t>
        </is>
      </c>
      <c r="D475" t="inlineStr">
        <is>
          <t>n° 5 + n° 6 + n° 7 + n° 8 + n° 9 + n° 10</t>
        </is>
      </c>
      <c r="E475" t="n">
        <v>6</v>
      </c>
      <c r="F475" t="n">
        <v>182.1</v>
      </c>
      <c r="G475" t="n">
        <v>1</v>
      </c>
      <c r="H475" t="n">
        <v>1</v>
      </c>
      <c r="I475">
        <f>IF(G475=H475,1,0)</f>
        <v/>
      </c>
      <c r="J475" t="inlineStr">
        <is>
          <t>CB / CB / ESP / CB / ESP / CB</t>
        </is>
      </c>
    </row>
    <row r="476">
      <c r="A476" t="inlineStr">
        <is>
          <t>2023-2024</t>
        </is>
      </c>
      <c r="B476" t="inlineStr">
        <is>
          <t>2023-11-09</t>
        </is>
      </c>
      <c r="C476" t="inlineStr">
        <is>
          <t>21:16</t>
        </is>
      </c>
      <c r="D476" t="inlineStr">
        <is>
          <t>n° 13 + n° 14</t>
        </is>
      </c>
      <c r="E476" t="n">
        <v>2</v>
      </c>
      <c r="F476" t="n">
        <v>69.59999999999999</v>
      </c>
      <c r="G476" t="n">
        <v>8</v>
      </c>
      <c r="H476" t="n">
        <v>8</v>
      </c>
      <c r="I476">
        <f>IF(G476=H476,1,0)</f>
        <v/>
      </c>
      <c r="J476" t="inlineStr">
        <is>
          <t>CB / CB</t>
        </is>
      </c>
    </row>
    <row r="477">
      <c r="A477" t="inlineStr">
        <is>
          <t>2023-2024</t>
        </is>
      </c>
      <c r="B477" t="inlineStr">
        <is>
          <t>2023-11-12</t>
        </is>
      </c>
      <c r="C477" t="inlineStr">
        <is>
          <t>12:12</t>
        </is>
      </c>
      <c r="D477" t="inlineStr">
        <is>
          <t>n° 4 + n° 5</t>
        </is>
      </c>
      <c r="E477" t="n">
        <v>2</v>
      </c>
      <c r="F477" t="n">
        <v>107.9</v>
      </c>
      <c r="G477" t="n">
        <v>5</v>
      </c>
      <c r="H477" t="n">
        <v>5</v>
      </c>
      <c r="I477">
        <f>IF(G477=H477,1,0)</f>
        <v/>
      </c>
      <c r="J477" t="inlineStr">
        <is>
          <t>CB / CB</t>
        </is>
      </c>
    </row>
    <row r="478">
      <c r="A478" t="inlineStr">
        <is>
          <t>2023-2024</t>
        </is>
      </c>
      <c r="B478" t="inlineStr">
        <is>
          <t>2023-11-18</t>
        </is>
      </c>
      <c r="C478" t="inlineStr">
        <is>
          <t>21:13</t>
        </is>
      </c>
      <c r="D478" t="inlineStr">
        <is>
          <t>n° 20 + n° 21 + n° 22 + n° 23 + n° 24</t>
        </is>
      </c>
      <c r="E478" t="n">
        <v>5</v>
      </c>
      <c r="F478" t="n">
        <v>202.6</v>
      </c>
      <c r="G478" t="n">
        <v>15</v>
      </c>
      <c r="H478" t="n">
        <v>15</v>
      </c>
      <c r="I478">
        <f>IF(G478=H478,1,0)</f>
        <v/>
      </c>
      <c r="J478" t="inlineStr">
        <is>
          <t>CB / CB / CB / TR/CB / TR/CB</t>
        </is>
      </c>
    </row>
    <row r="479">
      <c r="A479" t="inlineStr">
        <is>
          <t>2023-2024</t>
        </is>
      </c>
      <c r="B479" t="inlineStr">
        <is>
          <t>2023-11-19</t>
        </is>
      </c>
      <c r="C479" t="inlineStr">
        <is>
          <t>12:33</t>
        </is>
      </c>
      <c r="D479" t="inlineStr">
        <is>
          <t>n° 8 + n° 9</t>
        </is>
      </c>
      <c r="E479" t="n">
        <v>2</v>
      </c>
      <c r="F479" t="n">
        <v>68.2</v>
      </c>
      <c r="G479" t="n">
        <v>3</v>
      </c>
      <c r="H479" t="n">
        <v>3</v>
      </c>
      <c r="I479">
        <f>IF(G479=H479,1,0)</f>
        <v/>
      </c>
      <c r="J479" t="inlineStr">
        <is>
          <t>CB / CB</t>
        </is>
      </c>
    </row>
    <row r="480">
      <c r="A480" t="inlineStr">
        <is>
          <t>2023-2024</t>
        </is>
      </c>
      <c r="B480" t="inlineStr">
        <is>
          <t>2023-11-19</t>
        </is>
      </c>
      <c r="C480" t="inlineStr">
        <is>
          <t>13:28</t>
        </is>
      </c>
      <c r="D480" t="inlineStr">
        <is>
          <t>n° 14 + n° 15</t>
        </is>
      </c>
      <c r="E480" t="n">
        <v>2</v>
      </c>
      <c r="F480" t="n">
        <v>221.6</v>
      </c>
      <c r="G480" t="n">
        <v>4</v>
      </c>
      <c r="H480" t="n">
        <v>4</v>
      </c>
      <c r="I480">
        <f>IF(G480=H480,1,0)</f>
        <v/>
      </c>
      <c r="J480" t="inlineStr">
        <is>
          <t>CB / CB</t>
        </is>
      </c>
    </row>
    <row r="481">
      <c r="A481" t="inlineStr">
        <is>
          <t>2023-2024</t>
        </is>
      </c>
      <c r="B481" t="inlineStr">
        <is>
          <t>2023-11-24</t>
        </is>
      </c>
      <c r="C481" t="inlineStr">
        <is>
          <t>12:13</t>
        </is>
      </c>
      <c r="D481" t="inlineStr">
        <is>
          <t>n° 1 + n° 2</t>
        </is>
      </c>
      <c r="E481" t="n">
        <v>2</v>
      </c>
      <c r="F481" t="n">
        <v>68.2</v>
      </c>
      <c r="G481" t="n">
        <v>5</v>
      </c>
      <c r="H481" t="n">
        <v>5</v>
      </c>
      <c r="I481">
        <f>IF(G481=H481,1,0)</f>
        <v/>
      </c>
      <c r="J481" t="inlineStr">
        <is>
          <t>CB / CB</t>
        </is>
      </c>
    </row>
    <row r="482">
      <c r="A482" t="inlineStr">
        <is>
          <t>2023-2024</t>
        </is>
      </c>
      <c r="B482" t="inlineStr">
        <is>
          <t>2023-11-24</t>
        </is>
      </c>
      <c r="C482" t="inlineStr">
        <is>
          <t>12:51</t>
        </is>
      </c>
      <c r="D482" t="inlineStr">
        <is>
          <t>n° 3 + n° 4</t>
        </is>
      </c>
      <c r="E482" t="n">
        <v>2</v>
      </c>
      <c r="F482" t="n">
        <v>140.2</v>
      </c>
      <c r="G482" t="n">
        <v>3</v>
      </c>
      <c r="H482" t="n">
        <v>3</v>
      </c>
      <c r="I482">
        <f>IF(G482=H482,1,0)</f>
        <v/>
      </c>
      <c r="J482" t="inlineStr">
        <is>
          <t>CB / CB</t>
        </is>
      </c>
    </row>
    <row r="483">
      <c r="A483" t="inlineStr">
        <is>
          <t>2023-2024</t>
        </is>
      </c>
      <c r="B483" t="inlineStr">
        <is>
          <t>2023-11-24</t>
        </is>
      </c>
      <c r="C483" t="inlineStr">
        <is>
          <t>20:12</t>
        </is>
      </c>
      <c r="D483" t="inlineStr">
        <is>
          <t>n° 13 + n° 14</t>
        </is>
      </c>
      <c r="E483" t="n">
        <v>2</v>
      </c>
      <c r="F483" t="n">
        <v>60.5</v>
      </c>
      <c r="G483" t="n">
        <v>2</v>
      </c>
      <c r="H483" t="n">
        <v>2</v>
      </c>
      <c r="I483">
        <f>IF(G483=H483,1,0)</f>
        <v/>
      </c>
      <c r="J483" t="inlineStr">
        <is>
          <t>CB / CB</t>
        </is>
      </c>
    </row>
    <row r="484">
      <c r="A484" t="inlineStr">
        <is>
          <t>2023-2024</t>
        </is>
      </c>
      <c r="B484" t="inlineStr">
        <is>
          <t>2023-11-25</t>
        </is>
      </c>
      <c r="C484" t="inlineStr">
        <is>
          <t>19:56</t>
        </is>
      </c>
      <c r="D484" t="inlineStr">
        <is>
          <t>n° 8 + n° 9</t>
        </is>
      </c>
      <c r="E484" t="n">
        <v>2</v>
      </c>
      <c r="F484" t="n">
        <v>146.6</v>
      </c>
      <c r="G484" t="n">
        <v>11</v>
      </c>
      <c r="H484" t="n">
        <v>11</v>
      </c>
      <c r="I484">
        <f>IF(G484=H484,1,0)</f>
        <v/>
      </c>
      <c r="J484" t="inlineStr">
        <is>
          <t>CB / CB</t>
        </is>
      </c>
    </row>
    <row r="485">
      <c r="A485" t="inlineStr">
        <is>
          <t>2023-2024</t>
        </is>
      </c>
      <c r="B485" t="inlineStr">
        <is>
          <t>2023-11-25</t>
        </is>
      </c>
      <c r="C485" t="inlineStr">
        <is>
          <t>20:19</t>
        </is>
      </c>
      <c r="D485" t="inlineStr">
        <is>
          <t>n° 12 + n° 13</t>
        </is>
      </c>
      <c r="E485" t="n">
        <v>2</v>
      </c>
      <c r="F485" t="n">
        <v>160.6</v>
      </c>
      <c r="G485" t="n">
        <v>3</v>
      </c>
      <c r="H485" t="n">
        <v>3</v>
      </c>
      <c r="I485">
        <f>IF(G485=H485,1,0)</f>
        <v/>
      </c>
      <c r="J485" t="inlineStr">
        <is>
          <t>CB / CB</t>
        </is>
      </c>
    </row>
    <row r="486">
      <c r="A486" t="inlineStr">
        <is>
          <t>2023-2024</t>
        </is>
      </c>
      <c r="B486" t="inlineStr">
        <is>
          <t>2023-11-25</t>
        </is>
      </c>
      <c r="C486" t="inlineStr">
        <is>
          <t>21:20</t>
        </is>
      </c>
      <c r="D486" t="inlineStr">
        <is>
          <t>n° 14 + n° 15</t>
        </is>
      </c>
      <c r="E486" t="n">
        <v>2</v>
      </c>
      <c r="F486" t="n">
        <v>148.6</v>
      </c>
      <c r="G486" t="n">
        <v>1</v>
      </c>
      <c r="H486" t="n">
        <v>1</v>
      </c>
      <c r="I486">
        <f>IF(G486=H486,1,0)</f>
        <v/>
      </c>
      <c r="J486" t="inlineStr">
        <is>
          <t>CB / CB</t>
        </is>
      </c>
    </row>
    <row r="487">
      <c r="A487" t="inlineStr">
        <is>
          <t>2023-2024</t>
        </is>
      </c>
      <c r="B487" t="inlineStr">
        <is>
          <t>2023-11-30</t>
        </is>
      </c>
      <c r="C487" t="inlineStr">
        <is>
          <t>20:55</t>
        </is>
      </c>
      <c r="D487" t="inlineStr">
        <is>
          <t>n° 5 + n° 6</t>
        </is>
      </c>
      <c r="E487" t="n">
        <v>2</v>
      </c>
      <c r="F487" t="n">
        <v>73.7</v>
      </c>
      <c r="G487" t="n">
        <v>4</v>
      </c>
      <c r="H487" t="n">
        <v>4</v>
      </c>
      <c r="I487">
        <f>IF(G487=H487,1,0)</f>
        <v/>
      </c>
      <c r="J487" t="inlineStr">
        <is>
          <t>CB / CB</t>
        </is>
      </c>
    </row>
    <row r="488">
      <c r="A488" t="inlineStr">
        <is>
          <t>2023-2024</t>
        </is>
      </c>
      <c r="B488" t="inlineStr">
        <is>
          <t>2023-12-01</t>
        </is>
      </c>
      <c r="C488" t="inlineStr">
        <is>
          <t>19:53</t>
        </is>
      </c>
      <c r="D488" t="inlineStr">
        <is>
          <t>n° 16 + n° 17</t>
        </is>
      </c>
      <c r="E488" t="n">
        <v>2</v>
      </c>
      <c r="F488" t="n">
        <v>41.6</v>
      </c>
      <c r="G488" t="n">
        <v>2</v>
      </c>
      <c r="H488" t="n">
        <v>2</v>
      </c>
      <c r="I488">
        <f>IF(G488=H488,1,0)</f>
        <v/>
      </c>
      <c r="J488" t="inlineStr">
        <is>
          <t>CB / CB</t>
        </is>
      </c>
    </row>
    <row r="489">
      <c r="A489" t="inlineStr">
        <is>
          <t>2023-2024</t>
        </is>
      </c>
      <c r="B489" t="inlineStr">
        <is>
          <t>2023-12-02</t>
        </is>
      </c>
      <c r="C489" t="inlineStr">
        <is>
          <t>20:17</t>
        </is>
      </c>
      <c r="D489" t="inlineStr">
        <is>
          <t>n° 8 + n° 9</t>
        </is>
      </c>
      <c r="E489" t="n">
        <v>2</v>
      </c>
      <c r="F489" t="n">
        <v>86.40000000000001</v>
      </c>
      <c r="G489" t="n">
        <v>5</v>
      </c>
      <c r="H489" t="n">
        <v>5</v>
      </c>
      <c r="I489">
        <f>IF(G489=H489,1,0)</f>
        <v/>
      </c>
      <c r="J489" t="inlineStr">
        <is>
          <t>TR/CB / TR/CB</t>
        </is>
      </c>
    </row>
    <row r="490">
      <c r="A490" t="inlineStr">
        <is>
          <t>2023-2024</t>
        </is>
      </c>
      <c r="B490" t="inlineStr">
        <is>
          <t>2023-12-02</t>
        </is>
      </c>
      <c r="C490" t="inlineStr">
        <is>
          <t>20:54</t>
        </is>
      </c>
      <c r="D490" t="inlineStr">
        <is>
          <t>n° 17 + n° 18</t>
        </is>
      </c>
      <c r="E490" t="n">
        <v>2</v>
      </c>
      <c r="F490" t="n">
        <v>169.7</v>
      </c>
      <c r="G490" t="n">
        <v>11</v>
      </c>
      <c r="H490" t="n">
        <v>11</v>
      </c>
      <c r="I490">
        <f>IF(G490=H490,1,0)</f>
        <v/>
      </c>
      <c r="J490" t="inlineStr">
        <is>
          <t>CB / CB</t>
        </is>
      </c>
    </row>
    <row r="491">
      <c r="A491" t="inlineStr">
        <is>
          <t>2023-2024</t>
        </is>
      </c>
      <c r="B491" t="inlineStr">
        <is>
          <t>2023-12-03</t>
        </is>
      </c>
      <c r="C491" t="inlineStr">
        <is>
          <t>12:53</t>
        </is>
      </c>
      <c r="D491" t="inlineStr">
        <is>
          <t>n° 1 + n° 2</t>
        </is>
      </c>
      <c r="E491" t="n">
        <v>2</v>
      </c>
      <c r="F491" t="n">
        <v>134.5</v>
      </c>
      <c r="G491" t="n">
        <v>10</v>
      </c>
      <c r="H491" t="n">
        <v>10</v>
      </c>
      <c r="I491">
        <f>IF(G491=H491,1,0)</f>
        <v/>
      </c>
      <c r="J491" t="inlineStr">
        <is>
          <t>CB / CB</t>
        </is>
      </c>
    </row>
    <row r="492">
      <c r="A492" t="inlineStr">
        <is>
          <t>2023-2024</t>
        </is>
      </c>
      <c r="B492" t="inlineStr">
        <is>
          <t>2023-12-06</t>
        </is>
      </c>
      <c r="C492" t="inlineStr">
        <is>
          <t>12:37</t>
        </is>
      </c>
      <c r="D492" t="inlineStr">
        <is>
          <t>n° 1 + n° 2</t>
        </is>
      </c>
      <c r="E492" t="n">
        <v>2</v>
      </c>
      <c r="F492" t="n">
        <v>165.8</v>
      </c>
      <c r="G492" t="n">
        <v>1</v>
      </c>
      <c r="H492" t="n">
        <v>1</v>
      </c>
      <c r="I492">
        <f>IF(G492=H492,1,0)</f>
        <v/>
      </c>
      <c r="J492" t="inlineStr">
        <is>
          <t>CB / CB</t>
        </is>
      </c>
    </row>
    <row r="493">
      <c r="A493" t="inlineStr">
        <is>
          <t>2023-2024</t>
        </is>
      </c>
      <c r="B493" t="inlineStr">
        <is>
          <t>2023-12-06</t>
        </is>
      </c>
      <c r="C493" t="inlineStr">
        <is>
          <t>13:42</t>
        </is>
      </c>
      <c r="D493" t="inlineStr">
        <is>
          <t>n° 5 + n° 6</t>
        </is>
      </c>
      <c r="E493" t="n">
        <v>2</v>
      </c>
      <c r="F493" t="n">
        <v>223</v>
      </c>
      <c r="G493" t="n">
        <v>8</v>
      </c>
      <c r="H493" t="n">
        <v>8</v>
      </c>
      <c r="I493">
        <f>IF(G493=H493,1,0)</f>
        <v/>
      </c>
      <c r="J493" t="inlineStr">
        <is>
          <t>CB / CB</t>
        </is>
      </c>
    </row>
    <row r="494">
      <c r="A494" t="inlineStr">
        <is>
          <t>2023-2024</t>
        </is>
      </c>
      <c r="B494" t="inlineStr">
        <is>
          <t>2023-12-06</t>
        </is>
      </c>
      <c r="C494" t="inlineStr">
        <is>
          <t>19:57</t>
        </is>
      </c>
      <c r="D494" t="inlineStr">
        <is>
          <t>n° 14 + n° 15</t>
        </is>
      </c>
      <c r="E494" t="n">
        <v>2</v>
      </c>
      <c r="F494" t="n">
        <v>57.5</v>
      </c>
      <c r="G494" t="n">
        <v>9</v>
      </c>
      <c r="H494" t="n">
        <v>9</v>
      </c>
      <c r="I494">
        <f>IF(G494=H494,1,0)</f>
        <v/>
      </c>
      <c r="J494" t="inlineStr">
        <is>
          <t>CB / CB</t>
        </is>
      </c>
    </row>
    <row r="495">
      <c r="A495" t="inlineStr">
        <is>
          <t>2023-2024</t>
        </is>
      </c>
      <c r="B495" t="inlineStr">
        <is>
          <t>2023-12-13</t>
        </is>
      </c>
      <c r="C495" t="inlineStr">
        <is>
          <t>20:40</t>
        </is>
      </c>
      <c r="D495" t="inlineStr">
        <is>
          <t>n° 15 + n° 16</t>
        </is>
      </c>
      <c r="E495" t="n">
        <v>2</v>
      </c>
      <c r="F495" t="n">
        <v>50.3</v>
      </c>
      <c r="G495" t="n">
        <v>2</v>
      </c>
      <c r="H495" t="n">
        <v>2</v>
      </c>
      <c r="I495">
        <f>IF(G495=H495,1,0)</f>
        <v/>
      </c>
      <c r="J495" t="inlineStr">
        <is>
          <t>CB / CB</t>
        </is>
      </c>
    </row>
    <row r="496">
      <c r="A496" t="inlineStr">
        <is>
          <t>2023-2024</t>
        </is>
      </c>
      <c r="B496" t="inlineStr">
        <is>
          <t>2023-12-16</t>
        </is>
      </c>
      <c r="C496" t="inlineStr">
        <is>
          <t>20:00</t>
        </is>
      </c>
      <c r="D496" t="inlineStr">
        <is>
          <t>n° 16 + n° 17 + n° 18 + n° 19</t>
        </is>
      </c>
      <c r="E496" t="n">
        <v>4</v>
      </c>
      <c r="F496" t="n">
        <v>234.5</v>
      </c>
      <c r="G496" t="n">
        <v>7</v>
      </c>
      <c r="H496" t="n">
        <v>7</v>
      </c>
      <c r="I496">
        <f>IF(G496=H496,1,0)</f>
        <v/>
      </c>
      <c r="J496" t="inlineStr">
        <is>
          <t>CB / TR/CB / CB / CB</t>
        </is>
      </c>
    </row>
    <row r="497">
      <c r="A497" t="inlineStr">
        <is>
          <t>2023-2024</t>
        </is>
      </c>
      <c r="B497" t="inlineStr">
        <is>
          <t>2023-12-22</t>
        </is>
      </c>
      <c r="C497" t="inlineStr">
        <is>
          <t>20:42</t>
        </is>
      </c>
      <c r="D497" t="inlineStr">
        <is>
          <t>n° 14 + n° 15</t>
        </is>
      </c>
      <c r="E497" t="n">
        <v>2</v>
      </c>
      <c r="F497" t="n">
        <v>66.09999999999999</v>
      </c>
      <c r="G497" t="n">
        <v>6</v>
      </c>
      <c r="H497" t="n">
        <v>6</v>
      </c>
      <c r="I497">
        <f>IF(G497=H497,1,0)</f>
        <v/>
      </c>
      <c r="J497" t="inlineStr">
        <is>
          <t>CB / CB</t>
        </is>
      </c>
    </row>
    <row r="498">
      <c r="A498" t="inlineStr">
        <is>
          <t>2023-2024</t>
        </is>
      </c>
      <c r="B498" t="inlineStr">
        <is>
          <t>2023-12-27</t>
        </is>
      </c>
      <c r="C498" t="inlineStr">
        <is>
          <t>18:30</t>
        </is>
      </c>
      <c r="D498" t="inlineStr">
        <is>
          <t>n° 7 + n° 8</t>
        </is>
      </c>
      <c r="E498" t="n">
        <v>2</v>
      </c>
      <c r="F498" t="n">
        <v>34.7</v>
      </c>
      <c r="G498" t="n">
        <v>2</v>
      </c>
      <c r="H498" t="n">
        <v>2</v>
      </c>
      <c r="I498">
        <f>IF(G498=H498,1,0)</f>
        <v/>
      </c>
      <c r="J498" t="inlineStr">
        <is>
          <t>CB / CB</t>
        </is>
      </c>
    </row>
    <row r="499">
      <c r="A499" t="inlineStr">
        <is>
          <t>2023-2024</t>
        </is>
      </c>
      <c r="B499" t="inlineStr">
        <is>
          <t>2023-12-27</t>
        </is>
      </c>
      <c r="C499" t="inlineStr">
        <is>
          <t>20:58</t>
        </is>
      </c>
      <c r="D499" t="inlineStr">
        <is>
          <t>n° 18 + n° 19</t>
        </is>
      </c>
      <c r="E499" t="n">
        <v>2</v>
      </c>
      <c r="F499" t="n">
        <v>65.2</v>
      </c>
      <c r="G499" t="n">
        <v>1</v>
      </c>
      <c r="H499" t="n">
        <v>1</v>
      </c>
      <c r="I499">
        <f>IF(G499=H499,1,0)</f>
        <v/>
      </c>
      <c r="J499" t="inlineStr">
        <is>
          <t>CB / CB</t>
        </is>
      </c>
    </row>
    <row r="500">
      <c r="A500" t="inlineStr">
        <is>
          <t>2023-2024</t>
        </is>
      </c>
      <c r="B500" t="inlineStr">
        <is>
          <t>2023-12-28</t>
        </is>
      </c>
      <c r="C500" t="inlineStr">
        <is>
          <t>12:32</t>
        </is>
      </c>
      <c r="D500" t="inlineStr">
        <is>
          <t>n° 6 + n° 7</t>
        </is>
      </c>
      <c r="E500" t="n">
        <v>2</v>
      </c>
      <c r="F500" t="n">
        <v>61.2</v>
      </c>
      <c r="G500" t="n">
        <v>4</v>
      </c>
      <c r="H500" t="n">
        <v>4</v>
      </c>
      <c r="I500">
        <f>IF(G500=H500,1,0)</f>
        <v/>
      </c>
      <c r="J500" t="inlineStr">
        <is>
          <t>CB / CB</t>
        </is>
      </c>
    </row>
    <row r="501">
      <c r="A501" t="inlineStr">
        <is>
          <t>2023-2024</t>
        </is>
      </c>
      <c r="B501" t="inlineStr">
        <is>
          <t>2023-12-28</t>
        </is>
      </c>
      <c r="C501" t="inlineStr">
        <is>
          <t>19:05</t>
        </is>
      </c>
      <c r="D501" t="inlineStr">
        <is>
          <t>n° 10 + n° 11</t>
        </is>
      </c>
      <c r="E501" t="n">
        <v>2</v>
      </c>
      <c r="F501" t="n">
        <v>65.40000000000001</v>
      </c>
      <c r="G501" t="n">
        <v>6</v>
      </c>
      <c r="H501" t="n">
        <v>6</v>
      </c>
      <c r="I501">
        <f>IF(G501=H501,1,0)</f>
        <v/>
      </c>
      <c r="J501" t="inlineStr">
        <is>
          <t>CB / CB</t>
        </is>
      </c>
    </row>
    <row r="502">
      <c r="A502" t="inlineStr">
        <is>
          <t>2023-2024</t>
        </is>
      </c>
      <c r="B502" t="inlineStr">
        <is>
          <t>2023-12-28</t>
        </is>
      </c>
      <c r="C502" t="inlineStr">
        <is>
          <t>19:43</t>
        </is>
      </c>
      <c r="D502" t="inlineStr">
        <is>
          <t>n° 13 + n° 14</t>
        </is>
      </c>
      <c r="E502" t="n">
        <v>2</v>
      </c>
      <c r="F502" t="n">
        <v>83.90000000000001</v>
      </c>
      <c r="G502" t="n">
        <v>9</v>
      </c>
      <c r="H502" t="n">
        <v>9</v>
      </c>
      <c r="I502">
        <f>IF(G502=H502,1,0)</f>
        <v/>
      </c>
      <c r="J502" t="inlineStr">
        <is>
          <t>CB / CHV/CB</t>
        </is>
      </c>
    </row>
    <row r="503">
      <c r="A503" t="inlineStr">
        <is>
          <t>2023-2024</t>
        </is>
      </c>
      <c r="B503" t="inlineStr">
        <is>
          <t>2023-12-29</t>
        </is>
      </c>
      <c r="C503" t="inlineStr">
        <is>
          <t>12:30</t>
        </is>
      </c>
      <c r="D503" t="inlineStr">
        <is>
          <t>n° 8 + n° 9</t>
        </is>
      </c>
      <c r="E503" t="n">
        <v>2</v>
      </c>
      <c r="F503" t="n">
        <v>69.7</v>
      </c>
      <c r="G503" t="n">
        <v>4</v>
      </c>
      <c r="H503" t="n">
        <v>4</v>
      </c>
      <c r="I503">
        <f>IF(G503=H503,1,0)</f>
        <v/>
      </c>
      <c r="J503" t="inlineStr">
        <is>
          <t>CB / CB</t>
        </is>
      </c>
    </row>
    <row r="504">
      <c r="A504" t="inlineStr">
        <is>
          <t>2023-2024</t>
        </is>
      </c>
      <c r="B504" t="inlineStr">
        <is>
          <t>2023-12-30</t>
        </is>
      </c>
      <c r="C504" t="inlineStr">
        <is>
          <t>13:23</t>
        </is>
      </c>
      <c r="D504" t="inlineStr">
        <is>
          <t>n° 12 + n° 13</t>
        </is>
      </c>
      <c r="E504" t="n">
        <v>2</v>
      </c>
      <c r="F504" t="n">
        <v>73.40000000000001</v>
      </c>
      <c r="G504" t="n">
        <v>7</v>
      </c>
      <c r="H504" t="n">
        <v>7</v>
      </c>
      <c r="I504">
        <f>IF(G504=H504,1,0)</f>
        <v/>
      </c>
      <c r="J504" t="inlineStr">
        <is>
          <t>CB / CB</t>
        </is>
      </c>
    </row>
    <row r="505">
      <c r="A505" t="inlineStr">
        <is>
          <t>2023-2024</t>
        </is>
      </c>
      <c r="B505" t="inlineStr">
        <is>
          <t>2023-12-31</t>
        </is>
      </c>
      <c r="C505" t="inlineStr">
        <is>
          <t>21:18</t>
        </is>
      </c>
      <c r="D505" t="inlineStr">
        <is>
          <t>n° 19 + n° 20</t>
        </is>
      </c>
      <c r="E505" t="n">
        <v>2</v>
      </c>
      <c r="F505" t="n">
        <v>95.09999999999999</v>
      </c>
      <c r="G505" t="n">
        <v>3</v>
      </c>
      <c r="H505" t="n">
        <v>3</v>
      </c>
      <c r="I505">
        <f>IF(G505=H505,1,0)</f>
        <v/>
      </c>
      <c r="J505" t="inlineStr">
        <is>
          <t>CB / CB</t>
        </is>
      </c>
    </row>
    <row r="506">
      <c r="A506" t="inlineStr">
        <is>
          <t>2023-2024</t>
        </is>
      </c>
      <c r="B506" t="inlineStr">
        <is>
          <t>2023-12-31</t>
        </is>
      </c>
      <c r="C506" t="inlineStr">
        <is>
          <t>21:54</t>
        </is>
      </c>
      <c r="D506" t="inlineStr">
        <is>
          <t>n° 22 + n° 23</t>
        </is>
      </c>
      <c r="E506" t="n">
        <v>2</v>
      </c>
      <c r="F506" t="n">
        <v>179.8</v>
      </c>
      <c r="G506" t="n">
        <v>7</v>
      </c>
      <c r="H506" t="n">
        <v>7</v>
      </c>
      <c r="I506">
        <f>IF(G506=H506,1,0)</f>
        <v/>
      </c>
      <c r="J506" t="inlineStr">
        <is>
          <t>CB / CB</t>
        </is>
      </c>
    </row>
    <row r="507">
      <c r="A507" t="inlineStr">
        <is>
          <t>2023-2024</t>
        </is>
      </c>
      <c r="B507" t="inlineStr">
        <is>
          <t>2024-01-03</t>
        </is>
      </c>
      <c r="C507" t="inlineStr">
        <is>
          <t>19:29</t>
        </is>
      </c>
      <c r="D507" t="inlineStr">
        <is>
          <t>n° 11 + n° 12</t>
        </is>
      </c>
      <c r="E507" t="n">
        <v>2</v>
      </c>
      <c r="F507" t="n">
        <v>79.59999999999999</v>
      </c>
      <c r="G507" t="n">
        <v>3</v>
      </c>
      <c r="H507" t="n">
        <v>3</v>
      </c>
      <c r="I507">
        <f>IF(G507=H507,1,0)</f>
        <v/>
      </c>
      <c r="J507" t="inlineStr">
        <is>
          <t>CB / TR/CB</t>
        </is>
      </c>
    </row>
    <row r="508">
      <c r="A508" t="inlineStr">
        <is>
          <t>2023-2024</t>
        </is>
      </c>
      <c r="B508" t="inlineStr">
        <is>
          <t>2024-01-03</t>
        </is>
      </c>
      <c r="C508" t="inlineStr">
        <is>
          <t>20:43</t>
        </is>
      </c>
      <c r="D508" t="inlineStr">
        <is>
          <t>n° 18 + n° 19</t>
        </is>
      </c>
      <c r="E508" t="n">
        <v>2</v>
      </c>
      <c r="F508" t="n">
        <v>57.3</v>
      </c>
      <c r="G508" t="n">
        <v>5</v>
      </c>
      <c r="H508" t="n">
        <v>5</v>
      </c>
      <c r="I508">
        <f>IF(G508=H508,1,0)</f>
        <v/>
      </c>
      <c r="J508" t="inlineStr">
        <is>
          <t>TR/ESP / CB</t>
        </is>
      </c>
    </row>
    <row r="509">
      <c r="A509" t="inlineStr">
        <is>
          <t>2023-2024</t>
        </is>
      </c>
      <c r="B509" t="inlineStr">
        <is>
          <t>2024-01-04</t>
        </is>
      </c>
      <c r="C509" t="inlineStr">
        <is>
          <t>12:51</t>
        </is>
      </c>
      <c r="D509" t="inlineStr">
        <is>
          <t>n° 10 + n° 11</t>
        </is>
      </c>
      <c r="E509" t="n">
        <v>2</v>
      </c>
      <c r="F509" t="n">
        <v>47.6</v>
      </c>
      <c r="G509" t="n">
        <v>2</v>
      </c>
      <c r="H509" t="n">
        <v>2</v>
      </c>
      <c r="I509">
        <f>IF(G509=H509,1,0)</f>
        <v/>
      </c>
      <c r="J509" t="inlineStr">
        <is>
          <t>CB / CB</t>
        </is>
      </c>
    </row>
    <row r="510">
      <c r="A510" t="inlineStr">
        <is>
          <t>2023-2024</t>
        </is>
      </c>
      <c r="B510" t="inlineStr">
        <is>
          <t>2024-01-05</t>
        </is>
      </c>
      <c r="C510" t="inlineStr">
        <is>
          <t>12:33</t>
        </is>
      </c>
      <c r="D510" t="inlineStr">
        <is>
          <t>n° 3 + n° 4</t>
        </is>
      </c>
      <c r="E510" t="n">
        <v>2</v>
      </c>
      <c r="F510" t="n">
        <v>150.8</v>
      </c>
      <c r="G510" t="n">
        <v>8</v>
      </c>
      <c r="H510" t="n">
        <v>8</v>
      </c>
      <c r="I510">
        <f>IF(G510=H510,1,0)</f>
        <v/>
      </c>
      <c r="J510" t="inlineStr">
        <is>
          <t>CB / CB</t>
        </is>
      </c>
    </row>
    <row r="511">
      <c r="A511" t="inlineStr">
        <is>
          <t>2023-2024</t>
        </is>
      </c>
      <c r="B511" t="inlineStr">
        <is>
          <t>2024-01-05</t>
        </is>
      </c>
      <c r="C511" t="inlineStr">
        <is>
          <t>18:31</t>
        </is>
      </c>
      <c r="D511" t="inlineStr">
        <is>
          <t>n° 16 + n° 17</t>
        </is>
      </c>
      <c r="E511" t="n">
        <v>2</v>
      </c>
      <c r="F511" t="n">
        <v>50.5</v>
      </c>
      <c r="G511" t="n">
        <v>3</v>
      </c>
      <c r="H511" t="n">
        <v>3</v>
      </c>
      <c r="I511">
        <f>IF(G511=H511,1,0)</f>
        <v/>
      </c>
      <c r="J511" t="inlineStr">
        <is>
          <t>CB / CB</t>
        </is>
      </c>
    </row>
    <row r="512">
      <c r="A512" t="inlineStr">
        <is>
          <t>2023-2024</t>
        </is>
      </c>
      <c r="B512" t="inlineStr">
        <is>
          <t>2024-01-06</t>
        </is>
      </c>
      <c r="C512" t="inlineStr">
        <is>
          <t>12:44</t>
        </is>
      </c>
      <c r="D512" t="inlineStr">
        <is>
          <t>n° 7 + n° 8</t>
        </is>
      </c>
      <c r="E512" t="n">
        <v>2</v>
      </c>
      <c r="F512" t="n">
        <v>121.8</v>
      </c>
      <c r="G512" t="n">
        <v>10</v>
      </c>
      <c r="H512" t="n">
        <v>10</v>
      </c>
      <c r="I512">
        <f>IF(G512=H512,1,0)</f>
        <v/>
      </c>
      <c r="J512" t="inlineStr">
        <is>
          <t>CB / CB</t>
        </is>
      </c>
    </row>
    <row r="513">
      <c r="A513" t="inlineStr">
        <is>
          <t>2023-2024</t>
        </is>
      </c>
      <c r="B513" t="inlineStr">
        <is>
          <t>2024-01-06</t>
        </is>
      </c>
      <c r="C513" t="inlineStr">
        <is>
          <t>20:37</t>
        </is>
      </c>
      <c r="D513" t="inlineStr">
        <is>
          <t>n° 17 + n° 18 + n° 19 + n° 20</t>
        </is>
      </c>
      <c r="E513" t="n">
        <v>4</v>
      </c>
      <c r="F513" t="n">
        <v>277.9</v>
      </c>
      <c r="G513" t="n">
        <v>11</v>
      </c>
      <c r="H513" t="n">
        <v>11</v>
      </c>
      <c r="I513">
        <f>IF(G513=H513,1,0)</f>
        <v/>
      </c>
      <c r="J513" t="inlineStr">
        <is>
          <t>CB / CB / CB / CB</t>
        </is>
      </c>
    </row>
    <row r="514">
      <c r="A514" t="inlineStr">
        <is>
          <t>2023-2024</t>
        </is>
      </c>
      <c r="B514" t="inlineStr">
        <is>
          <t>2024-03-01</t>
        </is>
      </c>
      <c r="C514" t="inlineStr">
        <is>
          <t>11:53</t>
        </is>
      </c>
      <c r="D514" t="inlineStr">
        <is>
          <t>n° 2 + n° 3</t>
        </is>
      </c>
      <c r="E514" t="n">
        <v>2</v>
      </c>
      <c r="F514" t="n">
        <v>39.2</v>
      </c>
      <c r="G514" t="n">
        <v>6</v>
      </c>
      <c r="H514" t="n">
        <v>6</v>
      </c>
      <c r="I514">
        <f>IF(G514=H514,1,0)</f>
        <v/>
      </c>
      <c r="J514" t="inlineStr">
        <is>
          <t>CB / CB</t>
        </is>
      </c>
    </row>
    <row r="515">
      <c r="A515" t="inlineStr">
        <is>
          <t>2023-2024</t>
        </is>
      </c>
      <c r="B515" t="inlineStr">
        <is>
          <t>2024-03-02</t>
        </is>
      </c>
      <c r="C515" t="inlineStr">
        <is>
          <t>20:29</t>
        </is>
      </c>
      <c r="D515" t="inlineStr">
        <is>
          <t>n° 19 + n° 20</t>
        </is>
      </c>
      <c r="E515" t="n">
        <v>2</v>
      </c>
      <c r="F515" t="n">
        <v>48.7</v>
      </c>
      <c r="G515" t="n">
        <v>6</v>
      </c>
      <c r="H515" t="n">
        <v>6</v>
      </c>
      <c r="I515">
        <f>IF(G515=H515,1,0)</f>
        <v/>
      </c>
      <c r="J515" t="inlineStr">
        <is>
          <t>CB / TR/ESP</t>
        </is>
      </c>
    </row>
    <row r="516">
      <c r="A516" t="inlineStr">
        <is>
          <t>2023-2024</t>
        </is>
      </c>
      <c r="B516" t="inlineStr">
        <is>
          <t>2024-03-02</t>
        </is>
      </c>
      <c r="C516" t="inlineStr">
        <is>
          <t>21:14</t>
        </is>
      </c>
      <c r="D516" t="inlineStr">
        <is>
          <t>n° 24 + n° 25</t>
        </is>
      </c>
      <c r="E516" t="n">
        <v>2</v>
      </c>
      <c r="F516" t="n">
        <v>114.9</v>
      </c>
      <c r="G516" t="n">
        <v>3</v>
      </c>
      <c r="H516" t="n">
        <v>3</v>
      </c>
      <c r="I516">
        <f>IF(G516=H516,1,0)</f>
        <v/>
      </c>
      <c r="J516" t="inlineStr">
        <is>
          <t>CHQ/CB / CB</t>
        </is>
      </c>
    </row>
    <row r="517">
      <c r="A517" t="inlineStr">
        <is>
          <t>2023-2024</t>
        </is>
      </c>
      <c r="B517" t="inlineStr">
        <is>
          <t>2024-03-03</t>
        </is>
      </c>
      <c r="C517" t="inlineStr">
        <is>
          <t>12:48</t>
        </is>
      </c>
      <c r="D517" t="inlineStr">
        <is>
          <t>n° 5 + n° 6</t>
        </is>
      </c>
      <c r="E517" t="n">
        <v>2</v>
      </c>
      <c r="F517" t="n">
        <v>56.2</v>
      </c>
      <c r="G517" t="n">
        <v>2</v>
      </c>
      <c r="H517" t="n">
        <v>2</v>
      </c>
      <c r="I517">
        <f>IF(G517=H517,1,0)</f>
        <v/>
      </c>
      <c r="J517" t="inlineStr">
        <is>
          <t>CB / CB</t>
        </is>
      </c>
    </row>
    <row r="518">
      <c r="A518" t="inlineStr">
        <is>
          <t>2023-2024</t>
        </is>
      </c>
      <c r="B518" t="inlineStr">
        <is>
          <t>2024-03-03</t>
        </is>
      </c>
      <c r="C518" t="inlineStr">
        <is>
          <t>20:14</t>
        </is>
      </c>
      <c r="D518" t="inlineStr">
        <is>
          <t>n° 17 + n° 18</t>
        </is>
      </c>
      <c r="E518" t="n">
        <v>2</v>
      </c>
      <c r="F518" t="n">
        <v>221.3</v>
      </c>
      <c r="G518" t="n">
        <v>10</v>
      </c>
      <c r="H518" t="n">
        <v>10</v>
      </c>
      <c r="I518">
        <f>IF(G518=H518,1,0)</f>
        <v/>
      </c>
      <c r="J518" t="inlineStr">
        <is>
          <t>CB / CB</t>
        </is>
      </c>
    </row>
    <row r="519">
      <c r="A519" t="inlineStr">
        <is>
          <t>2023-2024</t>
        </is>
      </c>
      <c r="B519" t="inlineStr">
        <is>
          <t>2024-03-06</t>
        </is>
      </c>
      <c r="C519" t="inlineStr">
        <is>
          <t>20:49</t>
        </is>
      </c>
      <c r="D519" t="inlineStr">
        <is>
          <t>n° 26 + n° 27</t>
        </is>
      </c>
      <c r="E519" t="n">
        <v>2</v>
      </c>
      <c r="F519" t="n">
        <v>91.09999999999999</v>
      </c>
      <c r="G519" t="n">
        <v>9</v>
      </c>
      <c r="H519" t="n">
        <v>9</v>
      </c>
      <c r="I519">
        <f>IF(G519=H519,1,0)</f>
        <v/>
      </c>
      <c r="J519" t="inlineStr">
        <is>
          <t>CB / CB</t>
        </is>
      </c>
    </row>
    <row r="520">
      <c r="A520" t="inlineStr">
        <is>
          <t>2023-2024</t>
        </is>
      </c>
      <c r="B520" t="inlineStr">
        <is>
          <t>2024-03-07</t>
        </is>
      </c>
      <c r="C520" t="inlineStr">
        <is>
          <t>11:53</t>
        </is>
      </c>
      <c r="D520" t="inlineStr">
        <is>
          <t>n° 1 + n° 2</t>
        </is>
      </c>
      <c r="E520" t="n">
        <v>2</v>
      </c>
      <c r="F520" t="n">
        <v>47.7</v>
      </c>
      <c r="G520" t="n">
        <v>2</v>
      </c>
      <c r="H520" t="n">
        <v>2</v>
      </c>
      <c r="I520">
        <f>IF(G520=H520,1,0)</f>
        <v/>
      </c>
      <c r="J520" t="inlineStr">
        <is>
          <t>ESP / CB</t>
        </is>
      </c>
    </row>
    <row r="521">
      <c r="A521" t="inlineStr">
        <is>
          <t>2023-2024</t>
        </is>
      </c>
      <c r="B521" t="inlineStr">
        <is>
          <t>2024-03-08</t>
        </is>
      </c>
      <c r="C521" t="inlineStr">
        <is>
          <t>12:19</t>
        </is>
      </c>
      <c r="D521" t="inlineStr">
        <is>
          <t>n° 3 + n° 4 + n° 5 + n° 6</t>
        </is>
      </c>
      <c r="E521" t="n">
        <v>4</v>
      </c>
      <c r="F521" t="n">
        <v>97.59999999999999</v>
      </c>
      <c r="G521" t="n">
        <v>5</v>
      </c>
      <c r="H521" t="n">
        <v>5</v>
      </c>
      <c r="I521">
        <f>IF(G521=H521,1,0)</f>
        <v/>
      </c>
      <c r="J521" t="inlineStr">
        <is>
          <t>CB / CB / CB / ESP</t>
        </is>
      </c>
    </row>
    <row r="522">
      <c r="A522" t="inlineStr">
        <is>
          <t>2023-2024</t>
        </is>
      </c>
      <c r="B522" t="inlineStr">
        <is>
          <t>2024-03-08</t>
        </is>
      </c>
      <c r="C522" t="inlineStr">
        <is>
          <t>20:26</t>
        </is>
      </c>
      <c r="D522" t="inlineStr">
        <is>
          <t>n° 12 + n° 13 + n° 14 + n° 15</t>
        </is>
      </c>
      <c r="E522" t="n">
        <v>4</v>
      </c>
      <c r="F522" t="n">
        <v>248</v>
      </c>
      <c r="G522" t="n">
        <v>11</v>
      </c>
      <c r="H522" t="n">
        <v>11</v>
      </c>
      <c r="I522">
        <f>IF(G522=H522,1,0)</f>
        <v/>
      </c>
      <c r="J522" t="inlineStr">
        <is>
          <t>CB / CB / CB / CB</t>
        </is>
      </c>
    </row>
    <row r="523">
      <c r="A523" t="inlineStr">
        <is>
          <t>2023-2024</t>
        </is>
      </c>
      <c r="B523" t="inlineStr">
        <is>
          <t>2024-03-09</t>
        </is>
      </c>
      <c r="C523" t="inlineStr">
        <is>
          <t>18:52</t>
        </is>
      </c>
      <c r="D523" t="inlineStr">
        <is>
          <t>n° 13 + n° 14</t>
        </is>
      </c>
      <c r="E523" t="n">
        <v>2</v>
      </c>
      <c r="F523" t="n">
        <v>64.09999999999999</v>
      </c>
      <c r="G523" t="n">
        <v>7</v>
      </c>
      <c r="H523" t="n">
        <v>7</v>
      </c>
      <c r="I523">
        <f>IF(G523=H523,1,0)</f>
        <v/>
      </c>
      <c r="J523" t="inlineStr">
        <is>
          <t>CB / CB</t>
        </is>
      </c>
    </row>
    <row r="524">
      <c r="A524" t="inlineStr">
        <is>
          <t>2023-2024</t>
        </is>
      </c>
      <c r="B524" t="inlineStr">
        <is>
          <t>2024-03-09</t>
        </is>
      </c>
      <c r="C524" t="inlineStr">
        <is>
          <t>20:27</t>
        </is>
      </c>
      <c r="D524" t="inlineStr">
        <is>
          <t>n° 23 + n° 24</t>
        </is>
      </c>
      <c r="E524" t="n">
        <v>2</v>
      </c>
      <c r="F524" t="n">
        <v>167.3</v>
      </c>
      <c r="G524" t="n">
        <v>11</v>
      </c>
      <c r="H524" t="n">
        <v>11</v>
      </c>
      <c r="I524">
        <f>IF(G524=H524,1,0)</f>
        <v/>
      </c>
      <c r="J524" t="inlineStr">
        <is>
          <t>CB / ESP</t>
        </is>
      </c>
    </row>
    <row r="525">
      <c r="A525" t="inlineStr">
        <is>
          <t>2023-2024</t>
        </is>
      </c>
      <c r="B525" t="inlineStr">
        <is>
          <t>2024-03-10</t>
        </is>
      </c>
      <c r="C525" t="inlineStr">
        <is>
          <t>13:15</t>
        </is>
      </c>
      <c r="D525" t="inlineStr">
        <is>
          <t>n° 10 + n° 11</t>
        </is>
      </c>
      <c r="E525" t="n">
        <v>2</v>
      </c>
      <c r="F525" t="n">
        <v>75.59999999999999</v>
      </c>
      <c r="G525" t="n">
        <v>3</v>
      </c>
      <c r="H525" t="n">
        <v>3</v>
      </c>
      <c r="I525">
        <f>IF(G525=H525,1,0)</f>
        <v/>
      </c>
      <c r="J525" t="inlineStr">
        <is>
          <t>CB / CB</t>
        </is>
      </c>
    </row>
    <row r="526">
      <c r="A526" t="inlineStr">
        <is>
          <t>2023-2024</t>
        </is>
      </c>
      <c r="B526" t="inlineStr">
        <is>
          <t>2024-03-10</t>
        </is>
      </c>
      <c r="C526" t="inlineStr">
        <is>
          <t>19:58</t>
        </is>
      </c>
      <c r="D526" t="inlineStr">
        <is>
          <t>n° 18 + n° 19</t>
        </is>
      </c>
      <c r="E526" t="n">
        <v>2</v>
      </c>
      <c r="F526" t="n">
        <v>143.7</v>
      </c>
      <c r="G526" t="n">
        <v>6</v>
      </c>
      <c r="H526" t="n">
        <v>6</v>
      </c>
      <c r="I526">
        <f>IF(G526=H526,1,0)</f>
        <v/>
      </c>
      <c r="J526" t="inlineStr">
        <is>
          <t>CB / CB</t>
        </is>
      </c>
    </row>
    <row r="527">
      <c r="A527" t="inlineStr">
        <is>
          <t>2023-2024</t>
        </is>
      </c>
      <c r="B527" t="inlineStr">
        <is>
          <t>2024-03-14</t>
        </is>
      </c>
      <c r="C527" t="inlineStr">
        <is>
          <t>12:31</t>
        </is>
      </c>
      <c r="D527" t="inlineStr">
        <is>
          <t>n° 7 + n° 8</t>
        </is>
      </c>
      <c r="E527" t="n">
        <v>2</v>
      </c>
      <c r="F527" t="n">
        <v>82.90000000000001</v>
      </c>
      <c r="G527" t="n">
        <v>6</v>
      </c>
      <c r="H527" t="n">
        <v>6</v>
      </c>
      <c r="I527">
        <f>IF(G527=H527,1,0)</f>
        <v/>
      </c>
      <c r="J527" t="inlineStr">
        <is>
          <t>CB / CB</t>
        </is>
      </c>
    </row>
    <row r="528">
      <c r="A528" t="inlineStr">
        <is>
          <t>2023-2024</t>
        </is>
      </c>
      <c r="B528" t="inlineStr">
        <is>
          <t>2024-03-15</t>
        </is>
      </c>
      <c r="C528" t="inlineStr">
        <is>
          <t>13:04</t>
        </is>
      </c>
      <c r="D528" t="inlineStr">
        <is>
          <t>n° 15 + n° 16</t>
        </is>
      </c>
      <c r="E528" t="n">
        <v>2</v>
      </c>
      <c r="F528" t="n">
        <v>50.1</v>
      </c>
      <c r="G528" t="n">
        <v>2</v>
      </c>
      <c r="H528" t="n">
        <v>2</v>
      </c>
      <c r="I528">
        <f>IF(G528=H528,1,0)</f>
        <v/>
      </c>
      <c r="J528" t="inlineStr">
        <is>
          <t>CB / CB</t>
        </is>
      </c>
    </row>
    <row r="529">
      <c r="A529" t="inlineStr">
        <is>
          <t>2023-2024</t>
        </is>
      </c>
      <c r="B529" t="inlineStr">
        <is>
          <t>2024-03-15</t>
        </is>
      </c>
      <c r="C529" t="inlineStr">
        <is>
          <t>18:47</t>
        </is>
      </c>
      <c r="D529" t="inlineStr">
        <is>
          <t>n° 18 + n° 19</t>
        </is>
      </c>
      <c r="E529" t="n">
        <v>2</v>
      </c>
      <c r="F529" t="n">
        <v>64.09999999999999</v>
      </c>
      <c r="G529" t="n">
        <v>6</v>
      </c>
      <c r="H529" t="n">
        <v>6</v>
      </c>
      <c r="I529">
        <f>IF(G529=H529,1,0)</f>
        <v/>
      </c>
      <c r="J529" t="inlineStr">
        <is>
          <t>CB / CB</t>
        </is>
      </c>
    </row>
    <row r="530">
      <c r="A530" t="inlineStr">
        <is>
          <t>2023-2024</t>
        </is>
      </c>
      <c r="B530" t="inlineStr">
        <is>
          <t>2024-03-16</t>
        </is>
      </c>
      <c r="C530" t="inlineStr">
        <is>
          <t>13:34</t>
        </is>
      </c>
      <c r="D530" t="inlineStr">
        <is>
          <t>n° 10 + n° 11</t>
        </is>
      </c>
      <c r="E530" t="n">
        <v>2</v>
      </c>
      <c r="F530" t="n">
        <v>163.9</v>
      </c>
      <c r="G530" t="n">
        <v>8</v>
      </c>
      <c r="H530" t="n">
        <v>8</v>
      </c>
      <c r="I530">
        <f>IF(G530=H530,1,0)</f>
        <v/>
      </c>
      <c r="J530" t="inlineStr">
        <is>
          <t>CB / CB</t>
        </is>
      </c>
    </row>
    <row r="531">
      <c r="A531" t="inlineStr">
        <is>
          <t>2023-2024</t>
        </is>
      </c>
      <c r="B531" t="inlineStr">
        <is>
          <t>2024-03-16</t>
        </is>
      </c>
      <c r="C531" t="inlineStr">
        <is>
          <t>20:40</t>
        </is>
      </c>
      <c r="D531" t="inlineStr">
        <is>
          <t>n° 20 + n° 21</t>
        </is>
      </c>
      <c r="E531" t="n">
        <v>2</v>
      </c>
      <c r="F531" t="n">
        <v>266.6</v>
      </c>
      <c r="G531" t="n">
        <v>6</v>
      </c>
      <c r="H531" t="n">
        <v>6</v>
      </c>
      <c r="I531">
        <f>IF(G531=H531,1,0)</f>
        <v/>
      </c>
      <c r="J531" t="inlineStr">
        <is>
          <t>CB / CB</t>
        </is>
      </c>
    </row>
    <row r="532">
      <c r="A532" t="inlineStr">
        <is>
          <t>2023-2024</t>
        </is>
      </c>
      <c r="B532" t="inlineStr">
        <is>
          <t>2024-03-20</t>
        </is>
      </c>
      <c r="C532" t="inlineStr">
        <is>
          <t>19:37</t>
        </is>
      </c>
      <c r="D532" t="inlineStr">
        <is>
          <t>n° 5 + n° 6</t>
        </is>
      </c>
      <c r="E532" t="n">
        <v>2</v>
      </c>
      <c r="F532" t="n">
        <v>73.09999999999999</v>
      </c>
      <c r="G532" t="n">
        <v>4</v>
      </c>
      <c r="H532" t="n">
        <v>4</v>
      </c>
      <c r="I532">
        <f>IF(G532=H532,1,0)</f>
        <v/>
      </c>
      <c r="J532" t="inlineStr">
        <is>
          <t>CB / CB</t>
        </is>
      </c>
    </row>
    <row r="533">
      <c r="A533" t="inlineStr">
        <is>
          <t>2023-2024</t>
        </is>
      </c>
      <c r="B533" t="inlineStr">
        <is>
          <t>2024-03-20</t>
        </is>
      </c>
      <c r="C533" t="inlineStr">
        <is>
          <t>20:11</t>
        </is>
      </c>
      <c r="D533" t="inlineStr">
        <is>
          <t>n° 12 + n° 13</t>
        </is>
      </c>
      <c r="E533" t="n">
        <v>2</v>
      </c>
      <c r="F533" t="n">
        <v>99.59999999999999</v>
      </c>
      <c r="G533" t="n">
        <v>6</v>
      </c>
      <c r="H533" t="n">
        <v>6</v>
      </c>
      <c r="I533">
        <f>IF(G533=H533,1,0)</f>
        <v/>
      </c>
      <c r="J533" t="inlineStr">
        <is>
          <t>CB / CB</t>
        </is>
      </c>
    </row>
    <row r="534">
      <c r="A534" t="inlineStr">
        <is>
          <t>2023-2024</t>
        </is>
      </c>
      <c r="B534" t="inlineStr">
        <is>
          <t>2024-03-20</t>
        </is>
      </c>
      <c r="C534" t="inlineStr">
        <is>
          <t>21:13</t>
        </is>
      </c>
      <c r="D534" t="inlineStr">
        <is>
          <t>n° 15 + n° 16 + n° 17 + n° 18</t>
        </is>
      </c>
      <c r="E534" t="n">
        <v>4</v>
      </c>
      <c r="F534" t="n">
        <v>258.2</v>
      </c>
      <c r="G534" t="n">
        <v>4</v>
      </c>
      <c r="H534" t="n">
        <v>4</v>
      </c>
      <c r="I534">
        <f>IF(G534=H534,1,0)</f>
        <v/>
      </c>
      <c r="J534" t="inlineStr">
        <is>
          <t>CB / CB / CB / CB</t>
        </is>
      </c>
    </row>
    <row r="535">
      <c r="A535" t="inlineStr">
        <is>
          <t>2023-2024</t>
        </is>
      </c>
      <c r="B535" t="inlineStr">
        <is>
          <t>2024-03-21</t>
        </is>
      </c>
      <c r="C535" t="inlineStr">
        <is>
          <t>19:58</t>
        </is>
      </c>
      <c r="D535" t="inlineStr">
        <is>
          <t>n° 13 + n° 14</t>
        </is>
      </c>
      <c r="E535" t="n">
        <v>2</v>
      </c>
      <c r="F535" t="n">
        <v>123.7</v>
      </c>
      <c r="G535" t="n">
        <v>12</v>
      </c>
      <c r="H535" t="n">
        <v>12</v>
      </c>
      <c r="I535">
        <f>IF(G535=H535,1,0)</f>
        <v/>
      </c>
      <c r="J535" t="inlineStr">
        <is>
          <t>CB / CB/TR/ESP</t>
        </is>
      </c>
    </row>
    <row r="536">
      <c r="A536" t="inlineStr">
        <is>
          <t>2023-2024</t>
        </is>
      </c>
      <c r="B536" t="inlineStr">
        <is>
          <t>2024-03-22</t>
        </is>
      </c>
      <c r="C536" t="inlineStr">
        <is>
          <t>12:58</t>
        </is>
      </c>
      <c r="D536" t="inlineStr">
        <is>
          <t>n° 5 + n° 6 + n° 7 + n° 8</t>
        </is>
      </c>
      <c r="E536" t="n">
        <v>4</v>
      </c>
      <c r="F536" t="n">
        <v>335.3</v>
      </c>
      <c r="G536" t="n">
        <v>11</v>
      </c>
      <c r="H536" t="n">
        <v>11</v>
      </c>
      <c r="I536">
        <f>IF(G536=H536,1,0)</f>
        <v/>
      </c>
      <c r="J536" t="inlineStr">
        <is>
          <t>CB / CB / CB / CB</t>
        </is>
      </c>
    </row>
    <row r="537">
      <c r="A537" t="inlineStr">
        <is>
          <t>2023-2024</t>
        </is>
      </c>
      <c r="B537" t="inlineStr">
        <is>
          <t>2024-03-23</t>
        </is>
      </c>
      <c r="C537" t="inlineStr">
        <is>
          <t>12:42</t>
        </is>
      </c>
      <c r="D537" t="inlineStr">
        <is>
          <t>n° 5 + n° 6 + n° 7 + n° 8</t>
        </is>
      </c>
      <c r="E537" t="n">
        <v>4</v>
      </c>
      <c r="F537" t="n">
        <v>140.5</v>
      </c>
      <c r="G537" t="n">
        <v>9</v>
      </c>
      <c r="H537" t="n">
        <v>9</v>
      </c>
      <c r="I537">
        <f>IF(G537=H537,1,0)</f>
        <v/>
      </c>
      <c r="J537" t="inlineStr">
        <is>
          <t>CB / CB / CB / CB</t>
        </is>
      </c>
    </row>
    <row r="538">
      <c r="A538" t="inlineStr">
        <is>
          <t>2023-2024</t>
        </is>
      </c>
      <c r="B538" t="inlineStr">
        <is>
          <t>2024-03-24</t>
        </is>
      </c>
      <c r="C538" t="inlineStr">
        <is>
          <t>12:04</t>
        </is>
      </c>
      <c r="D538" t="inlineStr">
        <is>
          <t>n° 1 + n° 2</t>
        </is>
      </c>
      <c r="E538" t="n">
        <v>2</v>
      </c>
      <c r="F538" t="n">
        <v>36.5</v>
      </c>
      <c r="G538" t="n">
        <v>2</v>
      </c>
      <c r="H538" t="n">
        <v>2</v>
      </c>
      <c r="I538">
        <f>IF(G538=H538,1,0)</f>
        <v/>
      </c>
      <c r="J538" t="inlineStr">
        <is>
          <t>CB / CB</t>
        </is>
      </c>
    </row>
    <row r="539">
      <c r="A539" t="inlineStr">
        <is>
          <t>2023-2024</t>
        </is>
      </c>
      <c r="B539" t="inlineStr">
        <is>
          <t>2024-03-28</t>
        </is>
      </c>
      <c r="C539" t="inlineStr">
        <is>
          <t>20:59</t>
        </is>
      </c>
      <c r="D539" t="inlineStr">
        <is>
          <t>n° 12 + n° 13</t>
        </is>
      </c>
      <c r="E539" t="n">
        <v>2</v>
      </c>
      <c r="F539" t="n">
        <v>85.3</v>
      </c>
      <c r="G539" t="n">
        <v>6</v>
      </c>
      <c r="H539" t="n">
        <v>6</v>
      </c>
      <c r="I539">
        <f>IF(G539=H539,1,0)</f>
        <v/>
      </c>
      <c r="J539" t="inlineStr">
        <is>
          <t>CB / CB</t>
        </is>
      </c>
    </row>
    <row r="540">
      <c r="A540" t="inlineStr">
        <is>
          <t>2023-2024</t>
        </is>
      </c>
      <c r="B540" t="inlineStr">
        <is>
          <t>2024-03-29</t>
        </is>
      </c>
      <c r="C540" t="inlineStr">
        <is>
          <t>20:55</t>
        </is>
      </c>
      <c r="D540" t="inlineStr">
        <is>
          <t>n° 18 + n° 19 + n° 20 + n° 21</t>
        </is>
      </c>
      <c r="E540" t="n">
        <v>4</v>
      </c>
      <c r="F540" t="n">
        <v>222.7</v>
      </c>
      <c r="G540" t="n">
        <v>1</v>
      </c>
      <c r="H540" t="n">
        <v>1</v>
      </c>
      <c r="I540">
        <f>IF(G540=H540,1,0)</f>
        <v/>
      </c>
      <c r="J540" t="inlineStr">
        <is>
          <t>CB / TR/CB / TR/CB / CB</t>
        </is>
      </c>
    </row>
    <row r="541">
      <c r="A541" t="inlineStr">
        <is>
          <t>2023-2024</t>
        </is>
      </c>
      <c r="B541" t="inlineStr">
        <is>
          <t>2024-03-30</t>
        </is>
      </c>
      <c r="C541" t="inlineStr">
        <is>
          <t>12:20</t>
        </is>
      </c>
      <c r="D541" t="inlineStr">
        <is>
          <t>n° 1 + n° 2</t>
        </is>
      </c>
      <c r="E541" t="n">
        <v>2</v>
      </c>
      <c r="F541" t="n">
        <v>74.5</v>
      </c>
      <c r="G541" t="n">
        <v>7</v>
      </c>
      <c r="H541" t="n">
        <v>7</v>
      </c>
      <c r="I541">
        <f>IF(G541=H541,1,0)</f>
        <v/>
      </c>
      <c r="J541" t="inlineStr">
        <is>
          <t>CB / TR/CB</t>
        </is>
      </c>
    </row>
    <row r="542">
      <c r="A542" t="inlineStr">
        <is>
          <t>2023-2024</t>
        </is>
      </c>
      <c r="B542" t="inlineStr">
        <is>
          <t>2024-03-31</t>
        </is>
      </c>
      <c r="C542" t="inlineStr">
        <is>
          <t>13:00</t>
        </is>
      </c>
      <c r="D542" t="inlineStr">
        <is>
          <t>n° 6 + n° 7</t>
        </is>
      </c>
      <c r="E542" t="n">
        <v>2</v>
      </c>
      <c r="F542" t="n">
        <v>114</v>
      </c>
      <c r="G542" t="n">
        <v>3</v>
      </c>
      <c r="H542" t="n">
        <v>3</v>
      </c>
      <c r="I542">
        <f>IF(G542=H542,1,0)</f>
        <v/>
      </c>
      <c r="J542" t="inlineStr">
        <is>
          <t>CB / CB</t>
        </is>
      </c>
    </row>
    <row r="543">
      <c r="A543" t="inlineStr">
        <is>
          <t>2024-2025</t>
        </is>
      </c>
      <c r="B543" t="inlineStr">
        <is>
          <t>2024-04-04</t>
        </is>
      </c>
      <c r="C543" t="inlineStr">
        <is>
          <t>19:46</t>
        </is>
      </c>
      <c r="D543" t="inlineStr">
        <is>
          <t>n° 11 + n° 12</t>
        </is>
      </c>
      <c r="E543" t="n">
        <v>2</v>
      </c>
      <c r="F543" t="n">
        <v>69.59999999999999</v>
      </c>
      <c r="G543" t="n">
        <v>2</v>
      </c>
      <c r="H543" t="n">
        <v>2</v>
      </c>
      <c r="I543">
        <f>IF(G543=H543,1,0)</f>
        <v/>
      </c>
      <c r="J543" t="inlineStr">
        <is>
          <t>CB / CB</t>
        </is>
      </c>
    </row>
    <row r="544">
      <c r="A544" t="inlineStr">
        <is>
          <t>2024-2025</t>
        </is>
      </c>
      <c r="B544" t="inlineStr">
        <is>
          <t>2024-04-05</t>
        </is>
      </c>
      <c r="C544" t="inlineStr">
        <is>
          <t>19:54</t>
        </is>
      </c>
      <c r="D544" t="inlineStr">
        <is>
          <t>n° 13 + n° 14</t>
        </is>
      </c>
      <c r="E544" t="n">
        <v>2</v>
      </c>
      <c r="F544" t="n">
        <v>78.09999999999999</v>
      </c>
      <c r="G544" t="n">
        <v>6</v>
      </c>
      <c r="H544" t="n">
        <v>6</v>
      </c>
      <c r="I544">
        <f>IF(G544=H544,1,0)</f>
        <v/>
      </c>
      <c r="J544" t="inlineStr">
        <is>
          <t>CB / CB</t>
        </is>
      </c>
    </row>
    <row r="545">
      <c r="A545" t="inlineStr">
        <is>
          <t>2024-2025</t>
        </is>
      </c>
      <c r="B545" t="inlineStr">
        <is>
          <t>2024-04-05</t>
        </is>
      </c>
      <c r="C545" t="inlineStr">
        <is>
          <t>20:32</t>
        </is>
      </c>
      <c r="D545" t="inlineStr">
        <is>
          <t>n° 20 + n° 21</t>
        </is>
      </c>
      <c r="E545" t="n">
        <v>2</v>
      </c>
      <c r="F545" t="n">
        <v>70.90000000000001</v>
      </c>
      <c r="G545" t="n">
        <v>2</v>
      </c>
      <c r="H545" t="n">
        <v>2</v>
      </c>
      <c r="I545">
        <f>IF(G545=H545,1,0)</f>
        <v/>
      </c>
      <c r="J545" t="inlineStr">
        <is>
          <t>CB / CB</t>
        </is>
      </c>
    </row>
    <row r="546">
      <c r="A546" t="inlineStr">
        <is>
          <t>2024-2025</t>
        </is>
      </c>
      <c r="B546" t="inlineStr">
        <is>
          <t>2024-04-05</t>
        </is>
      </c>
      <c r="C546" t="inlineStr">
        <is>
          <t>21:05</t>
        </is>
      </c>
      <c r="D546" t="inlineStr">
        <is>
          <t>n° 22 + n° 23 + n° 24</t>
        </is>
      </c>
      <c r="E546" t="n">
        <v>3</v>
      </c>
      <c r="F546" t="n">
        <v>113.4</v>
      </c>
      <c r="G546" t="n">
        <v>7</v>
      </c>
      <c r="H546" t="n">
        <v>7</v>
      </c>
      <c r="I546">
        <f>IF(G546=H546,1,0)</f>
        <v/>
      </c>
      <c r="J546" t="inlineStr">
        <is>
          <t>CB / CB / CB</t>
        </is>
      </c>
    </row>
    <row r="547">
      <c r="A547" t="inlineStr">
        <is>
          <t>2024-2025</t>
        </is>
      </c>
      <c r="B547" t="inlineStr">
        <is>
          <t>2024-04-05</t>
        </is>
      </c>
      <c r="C547" t="inlineStr">
        <is>
          <t>21:41</t>
        </is>
      </c>
      <c r="D547" t="inlineStr">
        <is>
          <t>n° 28 + n° 29</t>
        </is>
      </c>
      <c r="E547" t="n">
        <v>2</v>
      </c>
      <c r="F547" t="n">
        <v>216.8</v>
      </c>
      <c r="G547" t="n">
        <v>9</v>
      </c>
      <c r="H547" t="n">
        <v>9</v>
      </c>
      <c r="I547">
        <f>IF(G547=H547,1,0)</f>
        <v/>
      </c>
      <c r="J547" t="inlineStr">
        <is>
          <t>CB / CB</t>
        </is>
      </c>
    </row>
    <row r="548">
      <c r="A548" t="inlineStr">
        <is>
          <t>2024-2025</t>
        </is>
      </c>
      <c r="B548" t="inlineStr">
        <is>
          <t>2024-04-06</t>
        </is>
      </c>
      <c r="C548" t="inlineStr">
        <is>
          <t>20:18</t>
        </is>
      </c>
      <c r="D548" t="inlineStr">
        <is>
          <t>n° 29 + n° 30</t>
        </is>
      </c>
      <c r="E548" t="n">
        <v>2</v>
      </c>
      <c r="F548" t="n">
        <v>193.5</v>
      </c>
      <c r="G548" t="n">
        <v>9</v>
      </c>
      <c r="H548" t="n">
        <v>9</v>
      </c>
      <c r="I548">
        <f>IF(G548=H548,1,0)</f>
        <v/>
      </c>
      <c r="J548" t="inlineStr">
        <is>
          <t>CB / CB</t>
        </is>
      </c>
    </row>
    <row r="549">
      <c r="A549" t="inlineStr">
        <is>
          <t>2024-2025</t>
        </is>
      </c>
      <c r="B549" t="inlineStr">
        <is>
          <t>2024-04-07</t>
        </is>
      </c>
      <c r="C549" t="inlineStr">
        <is>
          <t>11:25</t>
        </is>
      </c>
      <c r="D549" t="inlineStr">
        <is>
          <t>n° 1 + n° 2</t>
        </is>
      </c>
      <c r="E549" t="n">
        <v>2</v>
      </c>
      <c r="F549" t="n">
        <v>62.4</v>
      </c>
      <c r="G549" t="n">
        <v>3</v>
      </c>
      <c r="H549" t="n">
        <v>3</v>
      </c>
      <c r="I549">
        <f>IF(G549=H549,1,0)</f>
        <v/>
      </c>
      <c r="J549" t="inlineStr">
        <is>
          <t>CB / CB</t>
        </is>
      </c>
    </row>
    <row r="550">
      <c r="A550" t="inlineStr">
        <is>
          <t>2024-2025</t>
        </is>
      </c>
      <c r="B550" t="inlineStr">
        <is>
          <t>2024-04-07</t>
        </is>
      </c>
      <c r="C550" t="inlineStr">
        <is>
          <t>12:44</t>
        </is>
      </c>
      <c r="D550" t="inlineStr">
        <is>
          <t>n° 7 + n° 8</t>
        </is>
      </c>
      <c r="E550" t="n">
        <v>2</v>
      </c>
      <c r="F550" t="n">
        <v>112.9</v>
      </c>
      <c r="G550" t="n">
        <v>7</v>
      </c>
      <c r="H550" t="n">
        <v>7</v>
      </c>
      <c r="I550">
        <f>IF(G550=H550,1,0)</f>
        <v/>
      </c>
      <c r="J550" t="inlineStr">
        <is>
          <t>CB / CB</t>
        </is>
      </c>
    </row>
    <row r="551">
      <c r="A551" t="inlineStr">
        <is>
          <t>2024-2025</t>
        </is>
      </c>
      <c r="B551" t="inlineStr">
        <is>
          <t>2024-04-12</t>
        </is>
      </c>
      <c r="C551" t="inlineStr">
        <is>
          <t>20:31</t>
        </is>
      </c>
      <c r="D551" t="inlineStr">
        <is>
          <t>n° 19 + n° 20</t>
        </is>
      </c>
      <c r="E551" t="n">
        <v>2</v>
      </c>
      <c r="F551" t="n">
        <v>213.2</v>
      </c>
      <c r="G551" t="n">
        <v>23</v>
      </c>
      <c r="H551" t="n">
        <v>23</v>
      </c>
      <c r="I551">
        <f>IF(G551=H551,1,0)</f>
        <v/>
      </c>
      <c r="J551" t="inlineStr">
        <is>
          <t>CB / CB</t>
        </is>
      </c>
    </row>
    <row r="552">
      <c r="A552" t="inlineStr">
        <is>
          <t>2024-2025</t>
        </is>
      </c>
      <c r="B552" t="inlineStr">
        <is>
          <t>2024-04-13</t>
        </is>
      </c>
      <c r="C552" t="inlineStr">
        <is>
          <t>12:29</t>
        </is>
      </c>
      <c r="D552" t="inlineStr">
        <is>
          <t>n° 5 + n° 6</t>
        </is>
      </c>
      <c r="E552" t="n">
        <v>2</v>
      </c>
      <c r="F552" t="n">
        <v>290.5</v>
      </c>
      <c r="G552" t="n">
        <v>5</v>
      </c>
      <c r="H552" t="n">
        <v>5</v>
      </c>
      <c r="I552">
        <f>IF(G552=H552,1,0)</f>
        <v/>
      </c>
      <c r="J552" t="inlineStr">
        <is>
          <t>CB / CB</t>
        </is>
      </c>
    </row>
    <row r="553">
      <c r="A553" t="inlineStr">
        <is>
          <t>2024-2025</t>
        </is>
      </c>
      <c r="B553" t="inlineStr">
        <is>
          <t>2024-04-13</t>
        </is>
      </c>
      <c r="C553" t="inlineStr">
        <is>
          <t>19:53</t>
        </is>
      </c>
      <c r="D553" t="inlineStr">
        <is>
          <t>n° 19 + n° 20</t>
        </is>
      </c>
      <c r="E553" t="n">
        <v>2</v>
      </c>
      <c r="F553" t="n">
        <v>68.3</v>
      </c>
      <c r="G553" t="n">
        <v>3</v>
      </c>
      <c r="H553" t="n">
        <v>3</v>
      </c>
      <c r="I553">
        <f>IF(G553=H553,1,0)</f>
        <v/>
      </c>
      <c r="J553" t="inlineStr">
        <is>
          <t>CB / CB</t>
        </is>
      </c>
    </row>
    <row r="554">
      <c r="A554" t="inlineStr">
        <is>
          <t>2024-2025</t>
        </is>
      </c>
      <c r="B554" t="inlineStr">
        <is>
          <t>2024-04-17</t>
        </is>
      </c>
      <c r="C554" t="inlineStr">
        <is>
          <t>20:02</t>
        </is>
      </c>
      <c r="D554" t="inlineStr">
        <is>
          <t>n° 6 + n° 7</t>
        </is>
      </c>
      <c r="E554" t="n">
        <v>2</v>
      </c>
      <c r="F554" t="n">
        <v>316.5</v>
      </c>
      <c r="G554" t="n">
        <v>11</v>
      </c>
      <c r="H554" t="n">
        <v>11</v>
      </c>
      <c r="I554">
        <f>IF(G554=H554,1,0)</f>
        <v/>
      </c>
      <c r="J554" t="inlineStr">
        <is>
          <t>CB / CB</t>
        </is>
      </c>
    </row>
    <row r="555">
      <c r="A555" t="inlineStr">
        <is>
          <t>2024-2025</t>
        </is>
      </c>
      <c r="B555" t="inlineStr">
        <is>
          <t>2024-04-19</t>
        </is>
      </c>
      <c r="C555" t="inlineStr">
        <is>
          <t>12:40</t>
        </is>
      </c>
      <c r="D555" t="inlineStr">
        <is>
          <t>n° 7 + n° 8</t>
        </is>
      </c>
      <c r="E555" t="n">
        <v>2</v>
      </c>
      <c r="F555" t="n">
        <v>214.3</v>
      </c>
      <c r="G555" t="n">
        <v>6</v>
      </c>
      <c r="H555" t="n">
        <v>6</v>
      </c>
      <c r="I555">
        <f>IF(G555=H555,1,0)</f>
        <v/>
      </c>
      <c r="J555" t="inlineStr">
        <is>
          <t>CB / CB</t>
        </is>
      </c>
    </row>
    <row r="556">
      <c r="A556" t="inlineStr">
        <is>
          <t>2024-2025</t>
        </is>
      </c>
      <c r="B556" t="inlineStr">
        <is>
          <t>2024-04-19</t>
        </is>
      </c>
      <c r="C556" t="inlineStr">
        <is>
          <t>20:01</t>
        </is>
      </c>
      <c r="D556" t="inlineStr">
        <is>
          <t>n° 17 + n° 18</t>
        </is>
      </c>
      <c r="E556" t="n">
        <v>2</v>
      </c>
      <c r="F556" t="n">
        <v>245.6</v>
      </c>
      <c r="G556" t="n">
        <v>15</v>
      </c>
      <c r="H556" t="n">
        <v>15</v>
      </c>
      <c r="I556">
        <f>IF(G556=H556,1,0)</f>
        <v/>
      </c>
      <c r="J556" t="inlineStr">
        <is>
          <t>CB / CB</t>
        </is>
      </c>
    </row>
    <row r="557">
      <c r="A557" t="inlineStr">
        <is>
          <t>2024-2025</t>
        </is>
      </c>
      <c r="B557" t="inlineStr">
        <is>
          <t>2024-04-19</t>
        </is>
      </c>
      <c r="C557" t="inlineStr">
        <is>
          <t>21:15</t>
        </is>
      </c>
      <c r="D557" t="inlineStr">
        <is>
          <t>n° 25 + n° 26</t>
        </is>
      </c>
      <c r="E557" t="n">
        <v>2</v>
      </c>
      <c r="F557" t="n">
        <v>93.09999999999999</v>
      </c>
      <c r="G557" t="n">
        <v>3</v>
      </c>
      <c r="H557" t="n">
        <v>3</v>
      </c>
      <c r="I557">
        <f>IF(G557=H557,1,0)</f>
        <v/>
      </c>
      <c r="J557" t="inlineStr">
        <is>
          <t>CB / CB</t>
        </is>
      </c>
    </row>
    <row r="558">
      <c r="A558" t="inlineStr">
        <is>
          <t>2024-2025</t>
        </is>
      </c>
      <c r="B558" t="inlineStr">
        <is>
          <t>2024-04-20</t>
        </is>
      </c>
      <c r="C558" t="inlineStr">
        <is>
          <t>12:14</t>
        </is>
      </c>
      <c r="D558" t="inlineStr">
        <is>
          <t>n° 6 + n° 7 + n° 9 + n° 10</t>
        </is>
      </c>
      <c r="E558" t="n">
        <v>4</v>
      </c>
      <c r="F558" t="n">
        <v>291.15</v>
      </c>
      <c r="G558" t="n">
        <v>14</v>
      </c>
      <c r="H558" t="n">
        <v>14</v>
      </c>
      <c r="I558">
        <f>IF(G558=H558,1,0)</f>
        <v/>
      </c>
      <c r="J558" t="inlineStr">
        <is>
          <t>CB / CB / CB / CB</t>
        </is>
      </c>
    </row>
    <row r="559">
      <c r="A559" t="inlineStr">
        <is>
          <t>2024-2025</t>
        </is>
      </c>
      <c r="B559" t="inlineStr">
        <is>
          <t>2024-04-20</t>
        </is>
      </c>
      <c r="C559" t="inlineStr">
        <is>
          <t>12:55</t>
        </is>
      </c>
      <c r="D559" t="inlineStr">
        <is>
          <t>n° 15 + n° 16</t>
        </is>
      </c>
      <c r="E559" t="n">
        <v>2</v>
      </c>
      <c r="F559" t="n">
        <v>83.09999999999999</v>
      </c>
      <c r="G559" t="n">
        <v>4</v>
      </c>
      <c r="H559" t="n">
        <v>4</v>
      </c>
      <c r="I559">
        <f>IF(G559=H559,1,0)</f>
        <v/>
      </c>
      <c r="J559" t="inlineStr">
        <is>
          <t>CB / CB</t>
        </is>
      </c>
    </row>
    <row r="560">
      <c r="A560" t="inlineStr">
        <is>
          <t>2024-2025</t>
        </is>
      </c>
      <c r="B560" t="inlineStr">
        <is>
          <t>2024-04-21</t>
        </is>
      </c>
      <c r="C560" t="inlineStr">
        <is>
          <t>11:13</t>
        </is>
      </c>
      <c r="D560" t="inlineStr">
        <is>
          <t>n° 1 + n° 2</t>
        </is>
      </c>
      <c r="E560" t="n">
        <v>2</v>
      </c>
      <c r="F560" t="n">
        <v>46.3</v>
      </c>
      <c r="G560" t="n">
        <v>2</v>
      </c>
      <c r="H560" t="n">
        <v>2</v>
      </c>
      <c r="I560">
        <f>IF(G560=H560,1,0)</f>
        <v/>
      </c>
      <c r="J560" t="inlineStr">
        <is>
          <t>CB / CB</t>
        </is>
      </c>
    </row>
    <row r="561">
      <c r="A561" t="inlineStr">
        <is>
          <t>2024-2025</t>
        </is>
      </c>
      <c r="B561" t="inlineStr">
        <is>
          <t>2024-04-24</t>
        </is>
      </c>
      <c r="C561" t="inlineStr">
        <is>
          <t>12:24</t>
        </is>
      </c>
      <c r="D561" t="inlineStr">
        <is>
          <t>n° 1 + n° 2</t>
        </is>
      </c>
      <c r="E561" t="n">
        <v>2</v>
      </c>
      <c r="F561" t="n">
        <v>150.6</v>
      </c>
      <c r="G561" t="n">
        <v>8</v>
      </c>
      <c r="H561" t="n">
        <v>8</v>
      </c>
      <c r="I561">
        <f>IF(G561=H561,1,0)</f>
        <v/>
      </c>
      <c r="J561" t="inlineStr">
        <is>
          <t>CB / CB</t>
        </is>
      </c>
    </row>
    <row r="562">
      <c r="A562" t="inlineStr">
        <is>
          <t>2024-2025</t>
        </is>
      </c>
      <c r="B562" t="inlineStr">
        <is>
          <t>2024-04-24</t>
        </is>
      </c>
      <c r="C562" t="inlineStr">
        <is>
          <t>20:01</t>
        </is>
      </c>
      <c r="D562" t="inlineStr">
        <is>
          <t>n° 16 + n° 17</t>
        </is>
      </c>
      <c r="E562" t="n">
        <v>2</v>
      </c>
      <c r="F562" t="n">
        <v>159.7</v>
      </c>
      <c r="G562" t="n">
        <v>9</v>
      </c>
      <c r="H562" t="n">
        <v>9</v>
      </c>
      <c r="I562">
        <f>IF(G562=H562,1,0)</f>
        <v/>
      </c>
      <c r="J562" t="inlineStr">
        <is>
          <t>CB / CB</t>
        </is>
      </c>
    </row>
    <row r="563">
      <c r="A563" t="inlineStr">
        <is>
          <t>2024-2025</t>
        </is>
      </c>
      <c r="B563" t="inlineStr">
        <is>
          <t>2024-04-27</t>
        </is>
      </c>
      <c r="C563" t="inlineStr">
        <is>
          <t>12:40</t>
        </is>
      </c>
      <c r="D563" t="inlineStr">
        <is>
          <t>n° 9 + n° 10</t>
        </is>
      </c>
      <c r="E563" t="n">
        <v>2</v>
      </c>
      <c r="F563" t="n">
        <v>52.7</v>
      </c>
      <c r="G563" t="n">
        <v>4</v>
      </c>
      <c r="H563" t="n">
        <v>4</v>
      </c>
      <c r="I563">
        <f>IF(G563=H563,1,0)</f>
        <v/>
      </c>
      <c r="J563" t="inlineStr">
        <is>
          <t>CB / CB</t>
        </is>
      </c>
    </row>
    <row r="564">
      <c r="A564" t="inlineStr">
        <is>
          <t>2024-2025</t>
        </is>
      </c>
      <c r="B564" t="inlineStr">
        <is>
          <t>2024-04-27</t>
        </is>
      </c>
      <c r="C564" t="inlineStr">
        <is>
          <t>13:45</t>
        </is>
      </c>
      <c r="D564" t="inlineStr">
        <is>
          <t>n° 17 + n° 18</t>
        </is>
      </c>
      <c r="E564" t="n">
        <v>2</v>
      </c>
      <c r="F564" t="n">
        <v>216.8</v>
      </c>
      <c r="G564" t="n">
        <v>2</v>
      </c>
      <c r="H564" t="n">
        <v>2</v>
      </c>
      <c r="I564">
        <f>IF(G564=H564,1,0)</f>
        <v/>
      </c>
      <c r="J564" t="inlineStr">
        <is>
          <t>CB / CB</t>
        </is>
      </c>
    </row>
    <row r="565">
      <c r="A565" t="inlineStr">
        <is>
          <t>2024-2025</t>
        </is>
      </c>
      <c r="B565" t="inlineStr">
        <is>
          <t>2024-04-27</t>
        </is>
      </c>
      <c r="C565" t="inlineStr">
        <is>
          <t>21:09</t>
        </is>
      </c>
      <c r="D565" t="inlineStr">
        <is>
          <t>n° 29 + n° 30</t>
        </is>
      </c>
      <c r="E565" t="n">
        <v>2</v>
      </c>
      <c r="F565" t="n">
        <v>283.9</v>
      </c>
      <c r="G565" t="n">
        <v>9</v>
      </c>
      <c r="H565" t="n">
        <v>9</v>
      </c>
      <c r="I565">
        <f>IF(G565=H565,1,0)</f>
        <v/>
      </c>
      <c r="J565" t="inlineStr">
        <is>
          <t>CB / CB</t>
        </is>
      </c>
    </row>
    <row r="566">
      <c r="A566" t="inlineStr">
        <is>
          <t>2024-2025</t>
        </is>
      </c>
      <c r="B566" t="inlineStr">
        <is>
          <t>2024-05-02</t>
        </is>
      </c>
      <c r="C566" t="inlineStr">
        <is>
          <t>13:24</t>
        </is>
      </c>
      <c r="D566" t="inlineStr">
        <is>
          <t>n° 10 + n° 11</t>
        </is>
      </c>
      <c r="E566" t="n">
        <v>2</v>
      </c>
      <c r="F566" t="n">
        <v>73.90000000000001</v>
      </c>
      <c r="G566" t="n">
        <v>6</v>
      </c>
      <c r="H566" t="n">
        <v>6</v>
      </c>
      <c r="I566">
        <f>IF(G566=H566,1,0)</f>
        <v/>
      </c>
      <c r="J566" t="inlineStr">
        <is>
          <t>CB / CB</t>
        </is>
      </c>
    </row>
    <row r="567">
      <c r="A567" t="inlineStr">
        <is>
          <t>2024-2025</t>
        </is>
      </c>
      <c r="B567" t="inlineStr">
        <is>
          <t>2024-05-03</t>
        </is>
      </c>
      <c r="C567" t="inlineStr">
        <is>
          <t>12:53</t>
        </is>
      </c>
      <c r="D567" t="inlineStr">
        <is>
          <t>n° 7 + n° 8</t>
        </is>
      </c>
      <c r="E567" t="n">
        <v>2</v>
      </c>
      <c r="F567" t="n">
        <v>113</v>
      </c>
      <c r="G567" t="n">
        <v>1</v>
      </c>
      <c r="H567" t="n">
        <v>1</v>
      </c>
      <c r="I567">
        <f>IF(G567=H567,1,0)</f>
        <v/>
      </c>
      <c r="J567" t="inlineStr">
        <is>
          <t>CB / CB</t>
        </is>
      </c>
    </row>
    <row r="568">
      <c r="A568" t="inlineStr">
        <is>
          <t>2024-2025</t>
        </is>
      </c>
      <c r="B568" t="inlineStr">
        <is>
          <t>2024-05-03</t>
        </is>
      </c>
      <c r="C568" t="inlineStr">
        <is>
          <t>20:18</t>
        </is>
      </c>
      <c r="D568" t="inlineStr">
        <is>
          <t>n° 18 + n° 19</t>
        </is>
      </c>
      <c r="E568" t="n">
        <v>2</v>
      </c>
      <c r="F568" t="n">
        <v>106</v>
      </c>
      <c r="G568" t="n">
        <v>8</v>
      </c>
      <c r="H568" t="n">
        <v>8</v>
      </c>
      <c r="I568">
        <f>IF(G568=H568,1,0)</f>
        <v/>
      </c>
      <c r="J568" t="inlineStr">
        <is>
          <t>CB / CB</t>
        </is>
      </c>
    </row>
    <row r="569">
      <c r="A569" t="inlineStr">
        <is>
          <t>2024-2025</t>
        </is>
      </c>
      <c r="B569" t="inlineStr">
        <is>
          <t>2024-05-03</t>
        </is>
      </c>
      <c r="C569" t="inlineStr">
        <is>
          <t>20:40</t>
        </is>
      </c>
      <c r="D569" t="inlineStr">
        <is>
          <t>n° 24 + n° 25</t>
        </is>
      </c>
      <c r="E569" t="n">
        <v>2</v>
      </c>
      <c r="F569" t="n">
        <v>167.9</v>
      </c>
      <c r="G569" t="n">
        <v>7</v>
      </c>
      <c r="H569" t="n">
        <v>7</v>
      </c>
      <c r="I569">
        <f>IF(G569=H569,1,0)</f>
        <v/>
      </c>
      <c r="J569" t="inlineStr">
        <is>
          <t>CB / CB</t>
        </is>
      </c>
    </row>
    <row r="570">
      <c r="A570" t="inlineStr">
        <is>
          <t>2024-2025</t>
        </is>
      </c>
      <c r="B570" t="inlineStr">
        <is>
          <t>2024-05-04</t>
        </is>
      </c>
      <c r="C570" t="inlineStr">
        <is>
          <t>11:37</t>
        </is>
      </c>
      <c r="D570" t="inlineStr">
        <is>
          <t>n° 3 + n° 4</t>
        </is>
      </c>
      <c r="E570" t="n">
        <v>2</v>
      </c>
      <c r="F570" t="n">
        <v>59.8</v>
      </c>
      <c r="G570" t="n">
        <v>3</v>
      </c>
      <c r="H570" t="n">
        <v>3</v>
      </c>
      <c r="I570">
        <f>IF(G570=H570,1,0)</f>
        <v/>
      </c>
      <c r="J570" t="inlineStr">
        <is>
          <t>CB / CB</t>
        </is>
      </c>
    </row>
    <row r="571">
      <c r="A571" t="inlineStr">
        <is>
          <t>2024-2025</t>
        </is>
      </c>
      <c r="B571" t="inlineStr">
        <is>
          <t>2024-05-04</t>
        </is>
      </c>
      <c r="C571" t="inlineStr">
        <is>
          <t>19:07</t>
        </is>
      </c>
      <c r="D571" t="inlineStr">
        <is>
          <t>n° 16 + n° 17</t>
        </is>
      </c>
      <c r="E571" t="n">
        <v>2</v>
      </c>
      <c r="F571" t="n">
        <v>65.09999999999999</v>
      </c>
      <c r="G571" t="n">
        <v>5</v>
      </c>
      <c r="H571" t="n">
        <v>5</v>
      </c>
      <c r="I571">
        <f>IF(G571=H571,1,0)</f>
        <v/>
      </c>
      <c r="J571" t="inlineStr">
        <is>
          <t>CB / CB</t>
        </is>
      </c>
    </row>
    <row r="572">
      <c r="A572" t="inlineStr">
        <is>
          <t>2024-2025</t>
        </is>
      </c>
      <c r="B572" t="inlineStr">
        <is>
          <t>2024-05-08</t>
        </is>
      </c>
      <c r="C572" t="inlineStr">
        <is>
          <t>20:13</t>
        </is>
      </c>
      <c r="D572" t="inlineStr">
        <is>
          <t>n° 24 + n° 25</t>
        </is>
      </c>
      <c r="E572" t="n">
        <v>2</v>
      </c>
      <c r="F572" t="n">
        <v>173.2</v>
      </c>
      <c r="G572" t="n">
        <v>12</v>
      </c>
      <c r="H572" t="n">
        <v>12</v>
      </c>
      <c r="I572">
        <f>IF(G572=H572,1,0)</f>
        <v/>
      </c>
      <c r="J572" t="inlineStr">
        <is>
          <t>CB / CB</t>
        </is>
      </c>
    </row>
    <row r="573">
      <c r="A573" t="inlineStr">
        <is>
          <t>2024-2025</t>
        </is>
      </c>
      <c r="B573" t="inlineStr">
        <is>
          <t>2024-05-09</t>
        </is>
      </c>
      <c r="C573" t="inlineStr">
        <is>
          <t>13:01</t>
        </is>
      </c>
      <c r="D573" t="inlineStr">
        <is>
          <t>n° 11 + n° 12</t>
        </is>
      </c>
      <c r="E573" t="n">
        <v>2</v>
      </c>
      <c r="F573" t="n">
        <v>74.40000000000001</v>
      </c>
      <c r="G573" t="n">
        <v>3</v>
      </c>
      <c r="H573" t="n">
        <v>3</v>
      </c>
      <c r="I573">
        <f>IF(G573=H573,1,0)</f>
        <v/>
      </c>
      <c r="J573" t="inlineStr">
        <is>
          <t>CB / CB</t>
        </is>
      </c>
    </row>
    <row r="574">
      <c r="A574" t="inlineStr">
        <is>
          <t>2024-2025</t>
        </is>
      </c>
      <c r="B574" t="inlineStr">
        <is>
          <t>2024-05-10</t>
        </is>
      </c>
      <c r="C574" t="inlineStr">
        <is>
          <t>13:40</t>
        </is>
      </c>
      <c r="D574" t="inlineStr">
        <is>
          <t>n° 12 + n° 13</t>
        </is>
      </c>
      <c r="E574" t="n">
        <v>2</v>
      </c>
      <c r="F574" t="n">
        <v>192.3</v>
      </c>
      <c r="G574" t="n">
        <v>2</v>
      </c>
      <c r="H574" t="n">
        <v>2</v>
      </c>
      <c r="I574">
        <f>IF(G574=H574,1,0)</f>
        <v/>
      </c>
      <c r="J574" t="inlineStr">
        <is>
          <t>CB / CB</t>
        </is>
      </c>
    </row>
    <row r="575">
      <c r="A575" t="inlineStr">
        <is>
          <t>2024-2025</t>
        </is>
      </c>
      <c r="B575" t="inlineStr">
        <is>
          <t>2024-05-10</t>
        </is>
      </c>
      <c r="C575" t="inlineStr">
        <is>
          <t>20:15</t>
        </is>
      </c>
      <c r="D575" t="inlineStr">
        <is>
          <t>n° 22 + n° 23 + n° 25 + n° 26</t>
        </is>
      </c>
      <c r="E575" t="n">
        <v>4</v>
      </c>
      <c r="F575" t="n">
        <v>121.7</v>
      </c>
      <c r="G575" t="n">
        <v>12</v>
      </c>
      <c r="H575" t="n">
        <v>12</v>
      </c>
      <c r="I575">
        <f>IF(G575=H575,1,0)</f>
        <v/>
      </c>
      <c r="J575" t="inlineStr">
        <is>
          <t>CB / CB / CB / CB</t>
        </is>
      </c>
    </row>
    <row r="576">
      <c r="A576" t="inlineStr">
        <is>
          <t>2024-2025</t>
        </is>
      </c>
      <c r="B576" t="inlineStr">
        <is>
          <t>2024-05-11</t>
        </is>
      </c>
      <c r="C576" t="inlineStr">
        <is>
          <t>13:25</t>
        </is>
      </c>
      <c r="D576" t="inlineStr">
        <is>
          <t>n° 9 + n° 10</t>
        </is>
      </c>
      <c r="E576" t="n">
        <v>2</v>
      </c>
      <c r="F576" t="n">
        <v>55.6</v>
      </c>
      <c r="G576" t="n">
        <v>6</v>
      </c>
      <c r="H576" t="n">
        <v>6</v>
      </c>
      <c r="I576">
        <f>IF(G576=H576,1,0)</f>
        <v/>
      </c>
      <c r="J576" t="inlineStr">
        <is>
          <t>CB / CB</t>
        </is>
      </c>
    </row>
    <row r="577">
      <c r="A577" t="inlineStr">
        <is>
          <t>2024-2025</t>
        </is>
      </c>
      <c r="B577" t="inlineStr">
        <is>
          <t>2024-05-11</t>
        </is>
      </c>
      <c r="C577" t="inlineStr">
        <is>
          <t>13:52</t>
        </is>
      </c>
      <c r="D577" t="inlineStr">
        <is>
          <t>n° 14 + n° 15 + n° 16</t>
        </is>
      </c>
      <c r="E577" t="n">
        <v>3</v>
      </c>
      <c r="F577" t="n">
        <v>144.3</v>
      </c>
      <c r="G577" t="n">
        <v>8</v>
      </c>
      <c r="H577" t="n">
        <v>8</v>
      </c>
      <c r="I577">
        <f>IF(G577=H577,1,0)</f>
        <v/>
      </c>
      <c r="J577" t="inlineStr">
        <is>
          <t>CB / CB / TR/ESP</t>
        </is>
      </c>
    </row>
    <row r="578">
      <c r="A578" t="inlineStr">
        <is>
          <t>2024-2025</t>
        </is>
      </c>
      <c r="B578" t="inlineStr">
        <is>
          <t>2024-05-11</t>
        </is>
      </c>
      <c r="C578" t="inlineStr">
        <is>
          <t>20:37</t>
        </is>
      </c>
      <c r="D578" t="inlineStr">
        <is>
          <t>n° 26 + n° 27 + n° 31 + n° 32</t>
        </is>
      </c>
      <c r="E578" t="n">
        <v>4</v>
      </c>
      <c r="F578" t="n">
        <v>319.6</v>
      </c>
      <c r="G578" t="n">
        <v>9</v>
      </c>
      <c r="H578" t="n">
        <v>9</v>
      </c>
      <c r="I578">
        <f>IF(G578=H578,1,0)</f>
        <v/>
      </c>
      <c r="J578" t="inlineStr">
        <is>
          <t>CB / CHV/CB / CB / CHV</t>
        </is>
      </c>
    </row>
    <row r="579">
      <c r="A579" t="inlineStr">
        <is>
          <t>2024-2025</t>
        </is>
      </c>
      <c r="B579" t="inlineStr">
        <is>
          <t>2024-05-12</t>
        </is>
      </c>
      <c r="C579" t="inlineStr">
        <is>
          <t>12:45</t>
        </is>
      </c>
      <c r="D579" t="inlineStr">
        <is>
          <t>n° 6 + n° 7</t>
        </is>
      </c>
      <c r="E579" t="n">
        <v>2</v>
      </c>
      <c r="F579" t="n">
        <v>139.3</v>
      </c>
      <c r="G579" t="n">
        <v>9</v>
      </c>
      <c r="H579" t="n">
        <v>9</v>
      </c>
      <c r="I579">
        <f>IF(G579=H579,1,0)</f>
        <v/>
      </c>
      <c r="J579" t="inlineStr">
        <is>
          <t>CB / CB</t>
        </is>
      </c>
    </row>
    <row r="580">
      <c r="A580" t="inlineStr">
        <is>
          <t>2024-2025</t>
        </is>
      </c>
      <c r="B580" t="inlineStr">
        <is>
          <t>2024-05-12</t>
        </is>
      </c>
      <c r="C580" t="inlineStr">
        <is>
          <t>13:07</t>
        </is>
      </c>
      <c r="D580" t="inlineStr">
        <is>
          <t>n° 11 + n° 12</t>
        </is>
      </c>
      <c r="E580" t="n">
        <v>2</v>
      </c>
      <c r="F580" t="n">
        <v>79.5</v>
      </c>
      <c r="G580" t="n">
        <v>7</v>
      </c>
      <c r="H580" t="n">
        <v>7</v>
      </c>
      <c r="I580">
        <f>IF(G580=H580,1,0)</f>
        <v/>
      </c>
      <c r="J580" t="inlineStr">
        <is>
          <t>CB / CB</t>
        </is>
      </c>
    </row>
    <row r="581">
      <c r="A581" t="inlineStr">
        <is>
          <t>2024-2025</t>
        </is>
      </c>
      <c r="B581" t="inlineStr">
        <is>
          <t>2024-05-12</t>
        </is>
      </c>
      <c r="C581" t="inlineStr">
        <is>
          <t>18:59</t>
        </is>
      </c>
      <c r="D581" t="inlineStr">
        <is>
          <t>n° 20 + n° 21</t>
        </is>
      </c>
      <c r="E581" t="n">
        <v>2</v>
      </c>
      <c r="F581" t="n">
        <v>43.9</v>
      </c>
      <c r="G581" t="n">
        <v>4</v>
      </c>
      <c r="H581" t="n">
        <v>4</v>
      </c>
      <c r="I581">
        <f>IF(G581=H581,1,0)</f>
        <v/>
      </c>
      <c r="J581" t="inlineStr">
        <is>
          <t>CB / CB</t>
        </is>
      </c>
    </row>
    <row r="582">
      <c r="A582" t="inlineStr">
        <is>
          <t>2024-2025</t>
        </is>
      </c>
      <c r="B582" t="inlineStr">
        <is>
          <t>2024-05-16</t>
        </is>
      </c>
      <c r="C582" t="inlineStr">
        <is>
          <t>19:21</t>
        </is>
      </c>
      <c r="D582" t="inlineStr">
        <is>
          <t>n° 10 + n° 11</t>
        </is>
      </c>
      <c r="E582" t="n">
        <v>2</v>
      </c>
      <c r="F582" t="n">
        <v>70.7</v>
      </c>
      <c r="G582" t="n">
        <v>6</v>
      </c>
      <c r="H582" t="n">
        <v>6</v>
      </c>
      <c r="I582">
        <f>IF(G582=H582,1,0)</f>
        <v/>
      </c>
      <c r="J582" t="inlineStr">
        <is>
          <t>CB / CB</t>
        </is>
      </c>
    </row>
    <row r="583">
      <c r="A583" t="inlineStr">
        <is>
          <t>2024-2025</t>
        </is>
      </c>
      <c r="B583" t="inlineStr">
        <is>
          <t>2024-05-17</t>
        </is>
      </c>
      <c r="C583" t="inlineStr">
        <is>
          <t>12:41</t>
        </is>
      </c>
      <c r="D583" t="inlineStr">
        <is>
          <t>n° 8 + n° 9</t>
        </is>
      </c>
      <c r="E583" t="n">
        <v>2</v>
      </c>
      <c r="F583" t="n">
        <v>67.90000000000001</v>
      </c>
      <c r="G583" t="n">
        <v>1</v>
      </c>
      <c r="H583" t="n">
        <v>1</v>
      </c>
      <c r="I583">
        <f>IF(G583=H583,1,0)</f>
        <v/>
      </c>
      <c r="J583" t="inlineStr">
        <is>
          <t>CB / CB</t>
        </is>
      </c>
    </row>
    <row r="584">
      <c r="A584" t="inlineStr">
        <is>
          <t>2024-2025</t>
        </is>
      </c>
      <c r="B584" t="inlineStr">
        <is>
          <t>2024-05-18</t>
        </is>
      </c>
      <c r="C584" t="inlineStr">
        <is>
          <t>13:04</t>
        </is>
      </c>
      <c r="D584" t="inlineStr">
        <is>
          <t>n° 11 + n° 12 + n° 13</t>
        </is>
      </c>
      <c r="E584" t="n">
        <v>3</v>
      </c>
      <c r="F584" t="n">
        <v>208.9</v>
      </c>
      <c r="G584" t="n">
        <v>8</v>
      </c>
      <c r="H584" t="n">
        <v>5</v>
      </c>
      <c r="I584">
        <f>IF(G584=H584,1,0)</f>
        <v/>
      </c>
      <c r="J584" t="inlineStr">
        <is>
          <t>CB / CB / CB</t>
        </is>
      </c>
    </row>
    <row r="585">
      <c r="A585" t="inlineStr">
        <is>
          <t>2024-2025</t>
        </is>
      </c>
      <c r="B585" t="inlineStr">
        <is>
          <t>2024-05-18</t>
        </is>
      </c>
      <c r="C585" t="inlineStr">
        <is>
          <t>19:35</t>
        </is>
      </c>
      <c r="D585" t="inlineStr">
        <is>
          <t>n° 20 + n° 21</t>
        </is>
      </c>
      <c r="E585" t="n">
        <v>2</v>
      </c>
      <c r="F585" t="n">
        <v>132</v>
      </c>
      <c r="G585" t="n">
        <v>5</v>
      </c>
      <c r="H585" t="n">
        <v>5</v>
      </c>
      <c r="I585">
        <f>IF(G585=H585,1,0)</f>
        <v/>
      </c>
      <c r="J585" t="inlineStr">
        <is>
          <t>CB / CB</t>
        </is>
      </c>
    </row>
    <row r="586">
      <c r="A586" t="inlineStr">
        <is>
          <t>2024-2025</t>
        </is>
      </c>
      <c r="B586" t="inlineStr">
        <is>
          <t>2024-05-19</t>
        </is>
      </c>
      <c r="C586" t="inlineStr">
        <is>
          <t>12:43</t>
        </is>
      </c>
      <c r="D586" t="inlineStr">
        <is>
          <t>n° 7 + n° 8</t>
        </is>
      </c>
      <c r="E586" t="n">
        <v>2</v>
      </c>
      <c r="F586" t="n">
        <v>119.3</v>
      </c>
      <c r="G586" t="n">
        <v>4</v>
      </c>
      <c r="H586" t="n">
        <v>4</v>
      </c>
      <c r="I586">
        <f>IF(G586=H586,1,0)</f>
        <v/>
      </c>
      <c r="J586" t="inlineStr">
        <is>
          <t>CB / CB</t>
        </is>
      </c>
    </row>
    <row r="587">
      <c r="A587" t="inlineStr">
        <is>
          <t>2024-2025</t>
        </is>
      </c>
      <c r="B587" t="inlineStr">
        <is>
          <t>2024-05-19</t>
        </is>
      </c>
      <c r="C587" t="inlineStr">
        <is>
          <t>13:10</t>
        </is>
      </c>
      <c r="D587" t="inlineStr">
        <is>
          <t>n° 13 + n° 14</t>
        </is>
      </c>
      <c r="E587" t="n">
        <v>2</v>
      </c>
      <c r="F587" t="n">
        <v>154.6</v>
      </c>
      <c r="G587" t="n">
        <v>9</v>
      </c>
      <c r="H587" t="n">
        <v>9</v>
      </c>
      <c r="I587">
        <f>IF(G587=H587,1,0)</f>
        <v/>
      </c>
      <c r="J587" t="inlineStr">
        <is>
          <t>CB / CB</t>
        </is>
      </c>
    </row>
    <row r="588">
      <c r="A588" t="inlineStr">
        <is>
          <t>2024-2025</t>
        </is>
      </c>
      <c r="B588" t="inlineStr">
        <is>
          <t>2024-05-19</t>
        </is>
      </c>
      <c r="C588" t="inlineStr">
        <is>
          <t>19:42</t>
        </is>
      </c>
      <c r="D588" t="inlineStr">
        <is>
          <t>n° 21 + n° 22</t>
        </is>
      </c>
      <c r="E588" t="n">
        <v>2</v>
      </c>
      <c r="F588" t="n">
        <v>170.4</v>
      </c>
      <c r="G588" t="n">
        <v>12</v>
      </c>
      <c r="H588" t="n">
        <v>12</v>
      </c>
      <c r="I588">
        <f>IF(G588=H588,1,0)</f>
        <v/>
      </c>
      <c r="J588" t="inlineStr">
        <is>
          <t>CB / CB</t>
        </is>
      </c>
    </row>
    <row r="589">
      <c r="A589" t="inlineStr">
        <is>
          <t>2024-2025</t>
        </is>
      </c>
      <c r="B589" t="inlineStr">
        <is>
          <t>2024-05-19</t>
        </is>
      </c>
      <c r="C589" t="inlineStr">
        <is>
          <t>20:04</t>
        </is>
      </c>
      <c r="D589" t="inlineStr">
        <is>
          <t>n° 28 + n° 29</t>
        </is>
      </c>
      <c r="E589" t="n">
        <v>2</v>
      </c>
      <c r="F589" t="n">
        <v>42.1</v>
      </c>
      <c r="G589" t="n">
        <v>4</v>
      </c>
      <c r="H589" t="n">
        <v>4</v>
      </c>
      <c r="I589">
        <f>IF(G589=H589,1,0)</f>
        <v/>
      </c>
      <c r="J589" t="inlineStr">
        <is>
          <t>CB / CB</t>
        </is>
      </c>
    </row>
    <row r="590">
      <c r="A590" t="inlineStr">
        <is>
          <t>2024-2025</t>
        </is>
      </c>
      <c r="B590" t="inlineStr">
        <is>
          <t>2024-05-19</t>
        </is>
      </c>
      <c r="C590" t="inlineStr">
        <is>
          <t>20:32</t>
        </is>
      </c>
      <c r="D590" t="inlineStr">
        <is>
          <t>n° 32 + n° 33</t>
        </is>
      </c>
      <c r="E590" t="n">
        <v>2</v>
      </c>
      <c r="F590" t="n">
        <v>49</v>
      </c>
      <c r="G590" t="n">
        <v>2</v>
      </c>
      <c r="H590" t="n">
        <v>2</v>
      </c>
      <c r="I590">
        <f>IF(G590=H590,1,0)</f>
        <v/>
      </c>
      <c r="J590" t="inlineStr">
        <is>
          <t>CB / CB</t>
        </is>
      </c>
    </row>
    <row r="591">
      <c r="A591" t="inlineStr">
        <is>
          <t>2024-2025</t>
        </is>
      </c>
      <c r="B591" t="inlineStr">
        <is>
          <t>2024-05-23</t>
        </is>
      </c>
      <c r="C591" t="inlineStr">
        <is>
          <t>13:03</t>
        </is>
      </c>
      <c r="D591" t="inlineStr">
        <is>
          <t>n° 13 + n° 14 + n° 15 + n° 16 + n° 17</t>
        </is>
      </c>
      <c r="E591" t="n">
        <v>5</v>
      </c>
      <c r="F591" t="n">
        <v>174.6</v>
      </c>
      <c r="G591" t="n">
        <v>4</v>
      </c>
      <c r="H591" t="n">
        <v>4</v>
      </c>
      <c r="I591">
        <f>IF(G591=H591,1,0)</f>
        <v/>
      </c>
      <c r="J591" t="inlineStr">
        <is>
          <t>CB / CB / TR/ESP / CB / CB</t>
        </is>
      </c>
    </row>
    <row r="592">
      <c r="A592" t="inlineStr">
        <is>
          <t>2024-2025</t>
        </is>
      </c>
      <c r="B592" t="inlineStr">
        <is>
          <t>2024-05-24</t>
        </is>
      </c>
      <c r="C592" t="inlineStr">
        <is>
          <t>19:30</t>
        </is>
      </c>
      <c r="D592" t="inlineStr">
        <is>
          <t>n° 10 + n° 11</t>
        </is>
      </c>
      <c r="E592" t="n">
        <v>2</v>
      </c>
      <c r="F592" t="n">
        <v>147.8</v>
      </c>
      <c r="G592" t="n">
        <v>8</v>
      </c>
      <c r="H592" t="n">
        <v>8</v>
      </c>
      <c r="I592">
        <f>IF(G592=H592,1,0)</f>
        <v/>
      </c>
      <c r="J592" t="inlineStr">
        <is>
          <t>CB / CB</t>
        </is>
      </c>
    </row>
    <row r="593">
      <c r="A593" t="inlineStr">
        <is>
          <t>2024-2025</t>
        </is>
      </c>
      <c r="B593" t="inlineStr">
        <is>
          <t>2024-05-25</t>
        </is>
      </c>
      <c r="C593" t="inlineStr">
        <is>
          <t>13:01</t>
        </is>
      </c>
      <c r="D593" t="inlineStr">
        <is>
          <t>n° 15 + n° 16</t>
        </is>
      </c>
      <c r="E593" t="n">
        <v>2</v>
      </c>
      <c r="F593" t="n">
        <v>197.8</v>
      </c>
      <c r="G593" t="n">
        <v>12</v>
      </c>
      <c r="H593" t="n">
        <v>12</v>
      </c>
      <c r="I593">
        <f>IF(G593=H593,1,0)</f>
        <v/>
      </c>
      <c r="J593" t="inlineStr">
        <is>
          <t>CB / CB</t>
        </is>
      </c>
    </row>
    <row r="594">
      <c r="A594" t="inlineStr">
        <is>
          <t>2024-2025</t>
        </is>
      </c>
      <c r="B594" t="inlineStr">
        <is>
          <t>2024-05-25</t>
        </is>
      </c>
      <c r="C594" t="inlineStr">
        <is>
          <t>19:50</t>
        </is>
      </c>
      <c r="D594" t="inlineStr">
        <is>
          <t>n° 25 + n° 26</t>
        </is>
      </c>
      <c r="E594" t="n">
        <v>2</v>
      </c>
      <c r="F594" t="n">
        <v>156</v>
      </c>
      <c r="G594" t="n">
        <v>11</v>
      </c>
      <c r="H594" t="n">
        <v>11</v>
      </c>
      <c r="I594">
        <f>IF(G594=H594,1,0)</f>
        <v/>
      </c>
      <c r="J594" t="inlineStr">
        <is>
          <t>CB / CB</t>
        </is>
      </c>
    </row>
    <row r="595">
      <c r="A595" t="inlineStr">
        <is>
          <t>2024-2025</t>
        </is>
      </c>
      <c r="B595" t="inlineStr">
        <is>
          <t>2024-05-25</t>
        </is>
      </c>
      <c r="C595" t="inlineStr">
        <is>
          <t>20:44</t>
        </is>
      </c>
      <c r="D595" t="inlineStr">
        <is>
          <t>n° 34 + n° 35 + n° 36</t>
        </is>
      </c>
      <c r="E595" t="n">
        <v>3</v>
      </c>
      <c r="F595" t="n">
        <v>175.4</v>
      </c>
      <c r="G595" t="n">
        <v>8</v>
      </c>
      <c r="H595" t="n">
        <v>8</v>
      </c>
      <c r="I595">
        <f>IF(G595=H595,1,0)</f>
        <v/>
      </c>
      <c r="J595" t="inlineStr">
        <is>
          <t>CB / CB / CB</t>
        </is>
      </c>
    </row>
    <row r="596">
      <c r="A596" t="inlineStr">
        <is>
          <t>2024-2025</t>
        </is>
      </c>
      <c r="B596" t="inlineStr">
        <is>
          <t>2024-05-26</t>
        </is>
      </c>
      <c r="C596" t="inlineStr">
        <is>
          <t>12:14</t>
        </is>
      </c>
      <c r="D596" t="inlineStr">
        <is>
          <t>n° 2 + n° 3</t>
        </is>
      </c>
      <c r="E596" t="n">
        <v>2</v>
      </c>
      <c r="F596" t="n">
        <v>100</v>
      </c>
      <c r="G596" t="n">
        <v>4</v>
      </c>
      <c r="H596" t="n">
        <v>4</v>
      </c>
      <c r="I596">
        <f>IF(G596=H596,1,0)</f>
        <v/>
      </c>
      <c r="J596" t="inlineStr">
        <is>
          <t>CB / CB</t>
        </is>
      </c>
    </row>
    <row r="597">
      <c r="A597" t="inlineStr">
        <is>
          <t>2024-2025</t>
        </is>
      </c>
      <c r="B597" t="inlineStr">
        <is>
          <t>2024-05-30</t>
        </is>
      </c>
      <c r="C597" t="inlineStr">
        <is>
          <t>12:04</t>
        </is>
      </c>
      <c r="D597" t="inlineStr">
        <is>
          <t>n° 1 + n° 2</t>
        </is>
      </c>
      <c r="E597" t="n">
        <v>2</v>
      </c>
      <c r="F597" t="n">
        <v>42.4</v>
      </c>
      <c r="G597" t="n">
        <v>2</v>
      </c>
      <c r="H597" t="n">
        <v>2</v>
      </c>
      <c r="I597">
        <f>IF(G597=H597,1,0)</f>
        <v/>
      </c>
      <c r="J597" t="inlineStr">
        <is>
          <t>CB / CB</t>
        </is>
      </c>
    </row>
    <row r="598">
      <c r="A598" t="inlineStr">
        <is>
          <t>2024-2025</t>
        </is>
      </c>
      <c r="B598" t="inlineStr">
        <is>
          <t>2024-05-30</t>
        </is>
      </c>
      <c r="C598" t="inlineStr">
        <is>
          <t>20:26</t>
        </is>
      </c>
      <c r="D598" t="inlineStr">
        <is>
          <t>n° 13 + n° 14</t>
        </is>
      </c>
      <c r="E598" t="n">
        <v>2</v>
      </c>
      <c r="F598" t="n">
        <v>176.6</v>
      </c>
      <c r="G598" t="n">
        <v>9</v>
      </c>
      <c r="H598" t="n">
        <v>9</v>
      </c>
      <c r="I598">
        <f>IF(G598=H598,1,0)</f>
        <v/>
      </c>
      <c r="J598" t="inlineStr">
        <is>
          <t>CB / CB</t>
        </is>
      </c>
    </row>
    <row r="599">
      <c r="A599" t="inlineStr">
        <is>
          <t>2024-2025</t>
        </is>
      </c>
      <c r="B599" t="inlineStr">
        <is>
          <t>2024-05-31</t>
        </is>
      </c>
      <c r="C599" t="inlineStr">
        <is>
          <t>12:20</t>
        </is>
      </c>
      <c r="D599" t="inlineStr">
        <is>
          <t>n° 7 + n° 8</t>
        </is>
      </c>
      <c r="E599" t="n">
        <v>2</v>
      </c>
      <c r="F599" t="n">
        <v>72.2</v>
      </c>
      <c r="G599" t="n">
        <v>3</v>
      </c>
      <c r="H599" t="n">
        <v>3</v>
      </c>
      <c r="I599">
        <f>IF(G599=H599,1,0)</f>
        <v/>
      </c>
      <c r="J599" t="inlineStr">
        <is>
          <t>CB / CB</t>
        </is>
      </c>
    </row>
    <row r="600">
      <c r="A600" t="inlineStr">
        <is>
          <t>2024-2025</t>
        </is>
      </c>
      <c r="B600" t="inlineStr">
        <is>
          <t>2024-05-31</t>
        </is>
      </c>
      <c r="C600" t="inlineStr">
        <is>
          <t>13:01</t>
        </is>
      </c>
      <c r="D600" t="inlineStr">
        <is>
          <t>n° 12 + n° 13</t>
        </is>
      </c>
      <c r="E600" t="n">
        <v>2</v>
      </c>
      <c r="F600" t="n">
        <v>46.5</v>
      </c>
      <c r="G600" t="n">
        <v>2</v>
      </c>
      <c r="H600" t="n">
        <v>2</v>
      </c>
      <c r="I600">
        <f>IF(G600=H600,1,0)</f>
        <v/>
      </c>
      <c r="J600" t="inlineStr">
        <is>
          <t>CB / CB</t>
        </is>
      </c>
    </row>
    <row r="601">
      <c r="A601" t="inlineStr">
        <is>
          <t>2024-2025</t>
        </is>
      </c>
      <c r="B601" t="inlineStr">
        <is>
          <t>2024-06-05</t>
        </is>
      </c>
      <c r="C601" t="inlineStr">
        <is>
          <t>19:34</t>
        </is>
      </c>
      <c r="D601" t="inlineStr">
        <is>
          <t>n° 20 + n° 21 + n° 23 + n° 24 + n° 25 + n° 26</t>
        </is>
      </c>
      <c r="E601" t="n">
        <v>6</v>
      </c>
      <c r="F601" t="n">
        <v>180.7</v>
      </c>
      <c r="G601" t="n">
        <v>15</v>
      </c>
      <c r="H601" t="n">
        <v>15</v>
      </c>
      <c r="I601">
        <f>IF(G601=H601,1,0)</f>
        <v/>
      </c>
      <c r="J601" t="inlineStr">
        <is>
          <t>CB / CB / CB / CB / CB / CB</t>
        </is>
      </c>
    </row>
    <row r="602">
      <c r="A602" t="inlineStr">
        <is>
          <t>2024-2025</t>
        </is>
      </c>
      <c r="B602" t="inlineStr">
        <is>
          <t>2024-06-06</t>
        </is>
      </c>
      <c r="C602" t="inlineStr">
        <is>
          <t>13:06</t>
        </is>
      </c>
      <c r="D602" t="inlineStr">
        <is>
          <t>n° 14 + n° 15</t>
        </is>
      </c>
      <c r="E602" t="n">
        <v>2</v>
      </c>
      <c r="F602" t="n">
        <v>57.2</v>
      </c>
      <c r="G602" t="n">
        <v>4</v>
      </c>
      <c r="H602" t="n">
        <v>4</v>
      </c>
      <c r="I602">
        <f>IF(G602=H602,1,0)</f>
        <v/>
      </c>
      <c r="J602" t="inlineStr">
        <is>
          <t>CB / CB</t>
        </is>
      </c>
    </row>
    <row r="603">
      <c r="A603" t="inlineStr">
        <is>
          <t>2024-2025</t>
        </is>
      </c>
      <c r="B603" t="inlineStr">
        <is>
          <t>2024-06-07</t>
        </is>
      </c>
      <c r="C603" t="inlineStr">
        <is>
          <t>12:52</t>
        </is>
      </c>
      <c r="D603" t="inlineStr">
        <is>
          <t>n° 13 + n° 14</t>
        </is>
      </c>
      <c r="E603" t="n">
        <v>2</v>
      </c>
      <c r="F603" t="n">
        <v>128.2</v>
      </c>
      <c r="G603" t="n">
        <v>6</v>
      </c>
      <c r="H603" t="n">
        <v>6</v>
      </c>
      <c r="I603">
        <f>IF(G603=H603,1,0)</f>
        <v/>
      </c>
      <c r="J603" t="inlineStr">
        <is>
          <t>CB / CB</t>
        </is>
      </c>
    </row>
    <row r="604">
      <c r="A604" t="inlineStr">
        <is>
          <t>2024-2025</t>
        </is>
      </c>
      <c r="B604" t="inlineStr">
        <is>
          <t>2024-06-09</t>
        </is>
      </c>
      <c r="C604" t="inlineStr">
        <is>
          <t>12:06</t>
        </is>
      </c>
      <c r="D604" t="inlineStr">
        <is>
          <t>n° 2 + n° 3</t>
        </is>
      </c>
      <c r="E604" t="n">
        <v>2</v>
      </c>
      <c r="F604" t="n">
        <v>63.3</v>
      </c>
      <c r="G604" t="n">
        <v>2</v>
      </c>
      <c r="H604" t="n">
        <v>2</v>
      </c>
      <c r="I604">
        <f>IF(G604=H604,1,0)</f>
        <v/>
      </c>
      <c r="J604" t="inlineStr">
        <is>
          <t>CB / CB</t>
        </is>
      </c>
    </row>
    <row r="605">
      <c r="A605" t="inlineStr">
        <is>
          <t>2024-2025</t>
        </is>
      </c>
      <c r="B605" t="inlineStr">
        <is>
          <t>2024-06-12</t>
        </is>
      </c>
      <c r="C605" t="inlineStr">
        <is>
          <t>20:13</t>
        </is>
      </c>
      <c r="D605" t="inlineStr">
        <is>
          <t>n° 21 + n° 22</t>
        </is>
      </c>
      <c r="E605" t="n">
        <v>2</v>
      </c>
      <c r="F605" t="n">
        <v>71.90000000000001</v>
      </c>
      <c r="G605" t="n">
        <v>3</v>
      </c>
      <c r="H605" t="n">
        <v>3</v>
      </c>
      <c r="I605">
        <f>IF(G605=H605,1,0)</f>
        <v/>
      </c>
      <c r="J605" t="inlineStr">
        <is>
          <t>CB / TR/CB</t>
        </is>
      </c>
    </row>
    <row r="606">
      <c r="A606" t="inlineStr">
        <is>
          <t>2024-2025</t>
        </is>
      </c>
      <c r="B606" t="inlineStr">
        <is>
          <t>2024-06-12</t>
        </is>
      </c>
      <c r="C606" t="inlineStr">
        <is>
          <t>20:49</t>
        </is>
      </c>
      <c r="D606" t="inlineStr">
        <is>
          <t>n° 25 + n° 26</t>
        </is>
      </c>
      <c r="E606" t="n">
        <v>2</v>
      </c>
      <c r="F606" t="n">
        <v>63.3</v>
      </c>
      <c r="G606" t="n">
        <v>4</v>
      </c>
      <c r="H606" t="n">
        <v>4</v>
      </c>
      <c r="I606">
        <f>IF(G606=H606,1,0)</f>
        <v/>
      </c>
      <c r="J606" t="inlineStr">
        <is>
          <t>CB / CB</t>
        </is>
      </c>
    </row>
    <row r="607">
      <c r="A607" t="inlineStr">
        <is>
          <t>2024-2025</t>
        </is>
      </c>
      <c r="B607" t="inlineStr">
        <is>
          <t>2024-06-14</t>
        </is>
      </c>
      <c r="C607" t="inlineStr">
        <is>
          <t>20:58</t>
        </is>
      </c>
      <c r="D607" t="inlineStr">
        <is>
          <t>n° 22 + n° 23</t>
        </is>
      </c>
      <c r="E607" t="n">
        <v>2</v>
      </c>
      <c r="F607" t="n">
        <v>77.7</v>
      </c>
      <c r="G607" t="n">
        <v>7</v>
      </c>
      <c r="H607" t="n">
        <v>7</v>
      </c>
      <c r="I607">
        <f>IF(G607=H607,1,0)</f>
        <v/>
      </c>
      <c r="J607" t="inlineStr">
        <is>
          <t>CB / CB</t>
        </is>
      </c>
    </row>
    <row r="608">
      <c r="A608" t="inlineStr">
        <is>
          <t>2024-2025</t>
        </is>
      </c>
      <c r="B608" t="inlineStr">
        <is>
          <t>2024-06-15</t>
        </is>
      </c>
      <c r="C608" t="inlineStr">
        <is>
          <t>12:45</t>
        </is>
      </c>
      <c r="D608" t="inlineStr">
        <is>
          <t>n° 5 + n° 6</t>
        </is>
      </c>
      <c r="E608" t="n">
        <v>2</v>
      </c>
      <c r="F608" t="n">
        <v>180</v>
      </c>
      <c r="G608" t="n">
        <v>5</v>
      </c>
      <c r="H608" t="n">
        <v>5</v>
      </c>
      <c r="I608">
        <f>IF(G608=H608,1,0)</f>
        <v/>
      </c>
      <c r="J608" t="inlineStr">
        <is>
          <t>CB / CB</t>
        </is>
      </c>
    </row>
    <row r="609">
      <c r="A609" t="inlineStr">
        <is>
          <t>2024-2025</t>
        </is>
      </c>
      <c r="B609" t="inlineStr">
        <is>
          <t>2024-06-15</t>
        </is>
      </c>
      <c r="C609" t="inlineStr">
        <is>
          <t>13:11</t>
        </is>
      </c>
      <c r="D609" t="inlineStr">
        <is>
          <t>n° 11 + n° 12</t>
        </is>
      </c>
      <c r="E609" t="n">
        <v>2</v>
      </c>
      <c r="F609" t="n">
        <v>155.5</v>
      </c>
      <c r="G609" t="n">
        <v>20</v>
      </c>
      <c r="H609" t="n">
        <v>20</v>
      </c>
      <c r="I609">
        <f>IF(G609=H609,1,0)</f>
        <v/>
      </c>
      <c r="J609" t="inlineStr">
        <is>
          <t>CB / CB</t>
        </is>
      </c>
    </row>
    <row r="610">
      <c r="A610" t="inlineStr">
        <is>
          <t>2024-2025</t>
        </is>
      </c>
      <c r="B610" t="inlineStr">
        <is>
          <t>2024-06-15</t>
        </is>
      </c>
      <c r="C610" t="inlineStr">
        <is>
          <t>13:34</t>
        </is>
      </c>
      <c r="D610" t="inlineStr">
        <is>
          <t>n° 15 + n° 16</t>
        </is>
      </c>
      <c r="E610" t="n">
        <v>2</v>
      </c>
      <c r="F610" t="n">
        <v>146.1</v>
      </c>
      <c r="G610" t="n">
        <v>4</v>
      </c>
      <c r="H610" t="n">
        <v>4</v>
      </c>
      <c r="I610">
        <f>IF(G610=H610,1,0)</f>
        <v/>
      </c>
      <c r="J610" t="inlineStr">
        <is>
          <t>CB / CB</t>
        </is>
      </c>
    </row>
    <row r="611">
      <c r="A611" t="inlineStr">
        <is>
          <t>2024-2025</t>
        </is>
      </c>
      <c r="B611" t="inlineStr">
        <is>
          <t>2024-06-15</t>
        </is>
      </c>
      <c r="C611" t="inlineStr">
        <is>
          <t>20:24</t>
        </is>
      </c>
      <c r="D611" t="inlineStr">
        <is>
          <t>n° 29 + n° 32 + n° 33</t>
        </is>
      </c>
      <c r="E611" t="n">
        <v>3</v>
      </c>
      <c r="F611" t="n">
        <v>89.59999999999999</v>
      </c>
      <c r="G611" t="n">
        <v>4</v>
      </c>
      <c r="H611" t="n">
        <v>2</v>
      </c>
      <c r="I611">
        <f>IF(G611=H611,1,0)</f>
        <v/>
      </c>
      <c r="J611" t="inlineStr">
        <is>
          <t>CB / CB / CB</t>
        </is>
      </c>
    </row>
    <row r="612">
      <c r="A612" t="inlineStr">
        <is>
          <t>2024-2025</t>
        </is>
      </c>
      <c r="B612" t="inlineStr">
        <is>
          <t>2024-06-19</t>
        </is>
      </c>
      <c r="C612" t="inlineStr">
        <is>
          <t>19:27</t>
        </is>
      </c>
      <c r="D612" t="inlineStr">
        <is>
          <t>n° 21 + n° 22</t>
        </is>
      </c>
      <c r="E612" t="n">
        <v>2</v>
      </c>
      <c r="F612" t="n">
        <v>207.1</v>
      </c>
      <c r="G612" t="n">
        <v>8</v>
      </c>
      <c r="H612" t="n">
        <v>8</v>
      </c>
      <c r="I612">
        <f>IF(G612=H612,1,0)</f>
        <v/>
      </c>
      <c r="J612" t="inlineStr">
        <is>
          <t>CB / CB</t>
        </is>
      </c>
    </row>
    <row r="613">
      <c r="A613" t="inlineStr">
        <is>
          <t>2024-2025</t>
        </is>
      </c>
      <c r="B613" t="inlineStr">
        <is>
          <t>2024-06-19</t>
        </is>
      </c>
      <c r="C613" t="inlineStr">
        <is>
          <t>20:18</t>
        </is>
      </c>
      <c r="D613" t="inlineStr">
        <is>
          <t>n° 32 + n° 33</t>
        </is>
      </c>
      <c r="E613" t="n">
        <v>2</v>
      </c>
      <c r="F613" t="n">
        <v>69.3</v>
      </c>
      <c r="G613" t="n">
        <v>8</v>
      </c>
      <c r="H613" t="n">
        <v>8</v>
      </c>
      <c r="I613">
        <f>IF(G613=H613,1,0)</f>
        <v/>
      </c>
      <c r="J613" t="inlineStr">
        <is>
          <t>CB / CB</t>
        </is>
      </c>
    </row>
    <row r="614">
      <c r="A614" t="inlineStr">
        <is>
          <t>2024-2025</t>
        </is>
      </c>
      <c r="B614" t="inlineStr">
        <is>
          <t>2024-06-20</t>
        </is>
      </c>
      <c r="C614" t="inlineStr">
        <is>
          <t>19:49</t>
        </is>
      </c>
      <c r="D614" t="inlineStr">
        <is>
          <t>n° 20 + n° 21</t>
        </is>
      </c>
      <c r="E614" t="n">
        <v>2</v>
      </c>
      <c r="F614" t="n">
        <v>144.4</v>
      </c>
      <c r="G614" t="n">
        <v>7</v>
      </c>
      <c r="H614" t="n">
        <v>7</v>
      </c>
      <c r="I614">
        <f>IF(G614=H614,1,0)</f>
        <v/>
      </c>
      <c r="J614" t="inlineStr">
        <is>
          <t>CB / CB</t>
        </is>
      </c>
    </row>
    <row r="615">
      <c r="A615" t="inlineStr">
        <is>
          <t>2024-2025</t>
        </is>
      </c>
      <c r="B615" t="inlineStr">
        <is>
          <t>2024-06-20</t>
        </is>
      </c>
      <c r="C615" t="inlineStr">
        <is>
          <t>20:55</t>
        </is>
      </c>
      <c r="D615" t="inlineStr">
        <is>
          <t>n° 31 + n° 32</t>
        </is>
      </c>
      <c r="E615" t="n">
        <v>2</v>
      </c>
      <c r="F615" t="n">
        <v>67</v>
      </c>
      <c r="G615" t="n">
        <v>7</v>
      </c>
      <c r="H615" t="n">
        <v>7</v>
      </c>
      <c r="I615">
        <f>IF(G615=H615,1,0)</f>
        <v/>
      </c>
      <c r="J615" t="inlineStr">
        <is>
          <t>CHV/ESP / CHV/CB</t>
        </is>
      </c>
    </row>
    <row r="616">
      <c r="A616" t="inlineStr">
        <is>
          <t>2024-2025</t>
        </is>
      </c>
      <c r="B616" t="inlineStr">
        <is>
          <t>2024-06-22</t>
        </is>
      </c>
      <c r="C616" t="inlineStr">
        <is>
          <t>13:31</t>
        </is>
      </c>
      <c r="D616" t="inlineStr">
        <is>
          <t>n° 14 + n° 15</t>
        </is>
      </c>
      <c r="E616" t="n">
        <v>2</v>
      </c>
      <c r="F616" t="n">
        <v>53</v>
      </c>
      <c r="G616" t="n">
        <v>3</v>
      </c>
      <c r="H616" t="n">
        <v>3</v>
      </c>
      <c r="I616">
        <f>IF(G616=H616,1,0)</f>
        <v/>
      </c>
      <c r="J616" t="inlineStr">
        <is>
          <t>TR/ESP / CB</t>
        </is>
      </c>
    </row>
    <row r="617">
      <c r="A617" t="inlineStr">
        <is>
          <t>2024-2025</t>
        </is>
      </c>
      <c r="B617" t="inlineStr">
        <is>
          <t>2024-06-22</t>
        </is>
      </c>
      <c r="C617" t="inlineStr">
        <is>
          <t>19:46</t>
        </is>
      </c>
      <c r="D617" t="inlineStr">
        <is>
          <t>n° 20 + n° 21</t>
        </is>
      </c>
      <c r="E617" t="n">
        <v>2</v>
      </c>
      <c r="F617" t="n">
        <v>153.7</v>
      </c>
      <c r="G617" t="n">
        <v>11</v>
      </c>
      <c r="H617" t="n">
        <v>11</v>
      </c>
      <c r="I617">
        <f>IF(G617=H617,1,0)</f>
        <v/>
      </c>
      <c r="J617" t="inlineStr">
        <is>
          <t>CB / CB</t>
        </is>
      </c>
    </row>
    <row r="618">
      <c r="A618" t="inlineStr">
        <is>
          <t>2024-2025</t>
        </is>
      </c>
      <c r="B618" t="inlineStr">
        <is>
          <t>2024-06-22</t>
        </is>
      </c>
      <c r="C618" t="inlineStr">
        <is>
          <t>20:45</t>
        </is>
      </c>
      <c r="D618" t="inlineStr">
        <is>
          <t>n° 34 + n° 35</t>
        </is>
      </c>
      <c r="E618" t="n">
        <v>2</v>
      </c>
      <c r="F618" t="n">
        <v>96.40000000000001</v>
      </c>
      <c r="G618" t="n">
        <v>2</v>
      </c>
      <c r="H618" t="n">
        <v>2</v>
      </c>
      <c r="I618">
        <f>IF(G618=H618,1,0)</f>
        <v/>
      </c>
      <c r="J618" t="inlineStr">
        <is>
          <t>CB / CHV/CB</t>
        </is>
      </c>
    </row>
    <row r="619">
      <c r="A619" t="inlineStr">
        <is>
          <t>2024-2025</t>
        </is>
      </c>
      <c r="B619" t="inlineStr">
        <is>
          <t>2024-06-23</t>
        </is>
      </c>
      <c r="C619" t="inlineStr">
        <is>
          <t>13:21</t>
        </is>
      </c>
      <c r="D619" t="inlineStr">
        <is>
          <t>n° 13 + n° 14 + n° 17 + n° 18</t>
        </is>
      </c>
      <c r="E619" t="n">
        <v>4</v>
      </c>
      <c r="F619" t="n">
        <v>314.6</v>
      </c>
      <c r="G619" t="n">
        <v>15</v>
      </c>
      <c r="H619" t="n">
        <v>15</v>
      </c>
      <c r="I619">
        <f>IF(G619=H619,1,0)</f>
        <v/>
      </c>
      <c r="J619" t="inlineStr">
        <is>
          <t>CB / CB / CB / CB</t>
        </is>
      </c>
    </row>
    <row r="620">
      <c r="A620" t="inlineStr">
        <is>
          <t>2024-2025</t>
        </is>
      </c>
      <c r="B620" t="inlineStr">
        <is>
          <t>2024-06-26</t>
        </is>
      </c>
      <c r="C620" t="inlineStr">
        <is>
          <t>11:53</t>
        </is>
      </c>
      <c r="D620" t="inlineStr">
        <is>
          <t>n° 3 + n° 4</t>
        </is>
      </c>
      <c r="E620" t="n">
        <v>2</v>
      </c>
      <c r="F620" t="n">
        <v>49</v>
      </c>
      <c r="G620" t="n">
        <v>1</v>
      </c>
      <c r="H620" t="n">
        <v>1</v>
      </c>
      <c r="I620">
        <f>IF(G620=H620,1,0)</f>
        <v/>
      </c>
      <c r="J620" t="inlineStr">
        <is>
          <t>CB / CB</t>
        </is>
      </c>
    </row>
    <row r="621">
      <c r="A621" t="inlineStr">
        <is>
          <t>2024-2025</t>
        </is>
      </c>
      <c r="B621" t="inlineStr">
        <is>
          <t>2024-06-26</t>
        </is>
      </c>
      <c r="C621" t="inlineStr">
        <is>
          <t>12:25</t>
        </is>
      </c>
      <c r="D621" t="inlineStr">
        <is>
          <t>n° 11 + n° 12 + n° 13 + n° 14</t>
        </is>
      </c>
      <c r="E621" t="n">
        <v>4</v>
      </c>
      <c r="F621" t="n">
        <v>106.1</v>
      </c>
      <c r="G621" t="n">
        <v>6</v>
      </c>
      <c r="H621" t="n">
        <v>6</v>
      </c>
      <c r="I621">
        <f>IF(G621=H621,1,0)</f>
        <v/>
      </c>
      <c r="J621" t="inlineStr">
        <is>
          <t>CB / CB / CB / CB</t>
        </is>
      </c>
    </row>
    <row r="622">
      <c r="A622" t="inlineStr">
        <is>
          <t>2024-2025</t>
        </is>
      </c>
      <c r="B622" t="inlineStr">
        <is>
          <t>2024-06-28</t>
        </is>
      </c>
      <c r="C622" t="inlineStr">
        <is>
          <t>13:10</t>
        </is>
      </c>
      <c r="D622" t="inlineStr">
        <is>
          <t>n° 11 + n° 12</t>
        </is>
      </c>
      <c r="E622" t="n">
        <v>2</v>
      </c>
      <c r="F622" t="n">
        <v>151.7</v>
      </c>
      <c r="G622" t="n">
        <v>10</v>
      </c>
      <c r="H622" t="n">
        <v>10</v>
      </c>
      <c r="I622">
        <f>IF(G622=H622,1,0)</f>
        <v/>
      </c>
      <c r="J622" t="inlineStr">
        <is>
          <t>CB / CB</t>
        </is>
      </c>
    </row>
    <row r="623">
      <c r="A623" t="inlineStr">
        <is>
          <t>2024-2025</t>
        </is>
      </c>
      <c r="B623" t="inlineStr">
        <is>
          <t>2024-06-28</t>
        </is>
      </c>
      <c r="C623" t="inlineStr">
        <is>
          <t>19:38</t>
        </is>
      </c>
      <c r="D623" t="inlineStr">
        <is>
          <t>n° 18 + n° 19</t>
        </is>
      </c>
      <c r="E623" t="n">
        <v>2</v>
      </c>
      <c r="F623" t="n">
        <v>62.2</v>
      </c>
      <c r="G623" t="n">
        <v>3</v>
      </c>
      <c r="H623" t="n">
        <v>3</v>
      </c>
      <c r="I623">
        <f>IF(G623=H623,1,0)</f>
        <v/>
      </c>
      <c r="J623" t="inlineStr">
        <is>
          <t>CB / TR/CB</t>
        </is>
      </c>
    </row>
    <row r="624">
      <c r="A624" t="inlineStr">
        <is>
          <t>2024-2025</t>
        </is>
      </c>
      <c r="B624" t="inlineStr">
        <is>
          <t>2024-06-28</t>
        </is>
      </c>
      <c r="C624" t="inlineStr">
        <is>
          <t>21:25</t>
        </is>
      </c>
      <c r="D624" t="inlineStr">
        <is>
          <t>n° 28 + n° 29</t>
        </is>
      </c>
      <c r="E624" t="n">
        <v>2</v>
      </c>
      <c r="F624" t="n">
        <v>185</v>
      </c>
      <c r="G624" t="n">
        <v>5</v>
      </c>
      <c r="H624" t="n">
        <v>5</v>
      </c>
      <c r="I624">
        <f>IF(G624=H624,1,0)</f>
        <v/>
      </c>
      <c r="J624" t="inlineStr">
        <is>
          <t>CB / CB</t>
        </is>
      </c>
    </row>
    <row r="625">
      <c r="A625" t="inlineStr">
        <is>
          <t>2024-2025</t>
        </is>
      </c>
      <c r="B625" t="inlineStr">
        <is>
          <t>2024-06-29</t>
        </is>
      </c>
      <c r="C625" t="inlineStr">
        <is>
          <t>12:55</t>
        </is>
      </c>
      <c r="D625" t="inlineStr">
        <is>
          <t>n° 13 + n° 14 + n° 15</t>
        </is>
      </c>
      <c r="E625" t="n">
        <v>3</v>
      </c>
      <c r="F625" t="n">
        <v>142.7</v>
      </c>
      <c r="G625" t="n">
        <v>20</v>
      </c>
      <c r="H625" t="n">
        <v>6</v>
      </c>
      <c r="I625">
        <f>IF(G625=H625,1,0)</f>
        <v/>
      </c>
      <c r="J625" t="inlineStr">
        <is>
          <t>CB / CB / CB</t>
        </is>
      </c>
    </row>
    <row r="626">
      <c r="A626" t="inlineStr">
        <is>
          <t>2024-2025</t>
        </is>
      </c>
      <c r="B626" t="inlineStr">
        <is>
          <t>2024-06-29</t>
        </is>
      </c>
      <c r="C626" t="inlineStr">
        <is>
          <t>19:30</t>
        </is>
      </c>
      <c r="D626" t="inlineStr">
        <is>
          <t>n° 18 + n° 19</t>
        </is>
      </c>
      <c r="E626" t="n">
        <v>2</v>
      </c>
      <c r="F626" t="n">
        <v>129</v>
      </c>
      <c r="G626" t="n">
        <v>6</v>
      </c>
      <c r="H626" t="n">
        <v>6</v>
      </c>
      <c r="I626">
        <f>IF(G626=H626,1,0)</f>
        <v/>
      </c>
      <c r="J626" t="inlineStr">
        <is>
          <t>CB / CB</t>
        </is>
      </c>
    </row>
    <row r="627">
      <c r="A627" t="inlineStr">
        <is>
          <t>2024-2025</t>
        </is>
      </c>
      <c r="B627" t="inlineStr">
        <is>
          <t>2024-06-29</t>
        </is>
      </c>
      <c r="C627" t="inlineStr">
        <is>
          <t>20:12</t>
        </is>
      </c>
      <c r="D627" t="inlineStr">
        <is>
          <t>n° 24 + n° 25</t>
        </is>
      </c>
      <c r="E627" t="n">
        <v>2</v>
      </c>
      <c r="F627" t="n">
        <v>65.2</v>
      </c>
      <c r="G627" t="n">
        <v>3</v>
      </c>
      <c r="H627" t="n">
        <v>3</v>
      </c>
      <c r="I627">
        <f>IF(G627=H627,1,0)</f>
        <v/>
      </c>
      <c r="J627" t="inlineStr">
        <is>
          <t>CB / TR/CB</t>
        </is>
      </c>
    </row>
    <row r="628">
      <c r="A628" t="inlineStr">
        <is>
          <t>2024-2025</t>
        </is>
      </c>
      <c r="B628" t="inlineStr">
        <is>
          <t>2024-06-30</t>
        </is>
      </c>
      <c r="C628" t="inlineStr">
        <is>
          <t>20:48</t>
        </is>
      </c>
      <c r="D628" t="inlineStr">
        <is>
          <t>n° 29 + n° 30</t>
        </is>
      </c>
      <c r="E628" t="n">
        <v>2</v>
      </c>
      <c r="F628" t="n">
        <v>209.5</v>
      </c>
      <c r="G628" t="n">
        <v>14</v>
      </c>
      <c r="H628" t="n">
        <v>14</v>
      </c>
      <c r="I628">
        <f>IF(G628=H628,1,0)</f>
        <v/>
      </c>
      <c r="J628" t="inlineStr">
        <is>
          <t>CB / CB</t>
        </is>
      </c>
    </row>
    <row r="629">
      <c r="A629" t="inlineStr">
        <is>
          <t>2024-2025</t>
        </is>
      </c>
      <c r="B629" t="inlineStr">
        <is>
          <t>2024-07-03</t>
        </is>
      </c>
      <c r="C629" t="inlineStr">
        <is>
          <t>20:16</t>
        </is>
      </c>
      <c r="D629" t="inlineStr">
        <is>
          <t>n° 27 + n° 28</t>
        </is>
      </c>
      <c r="E629" t="n">
        <v>2</v>
      </c>
      <c r="F629" t="n">
        <v>78.40000000000001</v>
      </c>
      <c r="G629" t="n">
        <v>5</v>
      </c>
      <c r="H629" t="n">
        <v>5</v>
      </c>
      <c r="I629">
        <f>IF(G629=H629,1,0)</f>
        <v/>
      </c>
      <c r="J629" t="inlineStr">
        <is>
          <t>CB / CB</t>
        </is>
      </c>
    </row>
    <row r="630">
      <c r="A630" t="inlineStr">
        <is>
          <t>2024-2025</t>
        </is>
      </c>
      <c r="B630" t="inlineStr">
        <is>
          <t>2024-07-04</t>
        </is>
      </c>
      <c r="C630" t="inlineStr">
        <is>
          <t>12:59</t>
        </is>
      </c>
      <c r="D630" t="inlineStr">
        <is>
          <t>n° 7 + n° 8</t>
        </is>
      </c>
      <c r="E630" t="n">
        <v>2</v>
      </c>
      <c r="F630" t="n">
        <v>150.5</v>
      </c>
      <c r="G630" t="n">
        <v>11</v>
      </c>
      <c r="H630" t="n">
        <v>11</v>
      </c>
      <c r="I630">
        <f>IF(G630=H630,1,0)</f>
        <v/>
      </c>
      <c r="J630" t="inlineStr">
        <is>
          <t>CB / CB</t>
        </is>
      </c>
    </row>
    <row r="631">
      <c r="A631" t="inlineStr">
        <is>
          <t>2024-2025</t>
        </is>
      </c>
      <c r="B631" t="inlineStr">
        <is>
          <t>2024-07-04</t>
        </is>
      </c>
      <c r="C631" t="inlineStr">
        <is>
          <t>20:20</t>
        </is>
      </c>
      <c r="D631" t="inlineStr">
        <is>
          <t>n° 25 + n° 26</t>
        </is>
      </c>
      <c r="E631" t="n">
        <v>2</v>
      </c>
      <c r="F631" t="n">
        <v>92.59999999999999</v>
      </c>
      <c r="G631" t="n">
        <v>5</v>
      </c>
      <c r="H631" t="n">
        <v>5</v>
      </c>
      <c r="I631">
        <f>IF(G631=H631,1,0)</f>
        <v/>
      </c>
      <c r="J631" t="inlineStr">
        <is>
          <t>CB / CB</t>
        </is>
      </c>
    </row>
    <row r="632">
      <c r="A632" t="inlineStr">
        <is>
          <t>2024-2025</t>
        </is>
      </c>
      <c r="B632" t="inlineStr">
        <is>
          <t>2024-07-05</t>
        </is>
      </c>
      <c r="C632" t="inlineStr">
        <is>
          <t>20:29</t>
        </is>
      </c>
      <c r="D632" t="inlineStr">
        <is>
          <t>n° 30 + n° 31</t>
        </is>
      </c>
      <c r="E632" t="n">
        <v>2</v>
      </c>
      <c r="F632" t="n">
        <v>221.2</v>
      </c>
      <c r="G632" t="n">
        <v>10</v>
      </c>
      <c r="H632" t="n">
        <v>10</v>
      </c>
      <c r="I632">
        <f>IF(G632=H632,1,0)</f>
        <v/>
      </c>
      <c r="J632" t="inlineStr">
        <is>
          <t>CB / CB</t>
        </is>
      </c>
    </row>
    <row r="633">
      <c r="A633" t="inlineStr">
        <is>
          <t>2024-2025</t>
        </is>
      </c>
      <c r="B633" t="inlineStr">
        <is>
          <t>2024-07-07</t>
        </is>
      </c>
      <c r="C633" t="inlineStr">
        <is>
          <t>12:20</t>
        </is>
      </c>
      <c r="D633" t="inlineStr">
        <is>
          <t>n° 6 + n° 7</t>
        </is>
      </c>
      <c r="E633" t="n">
        <v>2</v>
      </c>
      <c r="F633" t="n">
        <v>55.1</v>
      </c>
      <c r="G633" t="n">
        <v>2</v>
      </c>
      <c r="H633" t="n">
        <v>2</v>
      </c>
      <c r="I633">
        <f>IF(G633=H633,1,0)</f>
        <v/>
      </c>
      <c r="J633" t="inlineStr">
        <is>
          <t>CB / CB</t>
        </is>
      </c>
    </row>
    <row r="634">
      <c r="A634" t="inlineStr">
        <is>
          <t>2024-2025</t>
        </is>
      </c>
      <c r="B634" t="inlineStr">
        <is>
          <t>2024-07-10</t>
        </is>
      </c>
      <c r="C634" t="inlineStr">
        <is>
          <t>12:28</t>
        </is>
      </c>
      <c r="D634" t="inlineStr">
        <is>
          <t>n° 3 + n° 4</t>
        </is>
      </c>
      <c r="E634" t="n">
        <v>2</v>
      </c>
      <c r="F634" t="n">
        <v>76.59999999999999</v>
      </c>
      <c r="G634" t="n">
        <v>2</v>
      </c>
      <c r="H634" t="n">
        <v>2</v>
      </c>
      <c r="I634">
        <f>IF(G634=H634,1,0)</f>
        <v/>
      </c>
      <c r="J634" t="inlineStr">
        <is>
          <t>CB / CB</t>
        </is>
      </c>
    </row>
    <row r="635">
      <c r="A635" t="inlineStr">
        <is>
          <t>2024-2025</t>
        </is>
      </c>
      <c r="B635" t="inlineStr">
        <is>
          <t>2024-07-10</t>
        </is>
      </c>
      <c r="C635" t="inlineStr">
        <is>
          <t>12:51</t>
        </is>
      </c>
      <c r="D635" t="inlineStr">
        <is>
          <t>n° 8 + n° 9 + n° 11 + n° 12</t>
        </is>
      </c>
      <c r="E635" t="n">
        <v>4</v>
      </c>
      <c r="F635" t="n">
        <v>90.3</v>
      </c>
      <c r="G635" t="n">
        <v>5</v>
      </c>
      <c r="H635" t="n">
        <v>5</v>
      </c>
      <c r="I635">
        <f>IF(G635=H635,1,0)</f>
        <v/>
      </c>
      <c r="J635" t="inlineStr">
        <is>
          <t>CB / CB / CB / TR</t>
        </is>
      </c>
    </row>
    <row r="636">
      <c r="A636" t="inlineStr">
        <is>
          <t>2024-2025</t>
        </is>
      </c>
      <c r="B636" t="inlineStr">
        <is>
          <t>2024-07-10</t>
        </is>
      </c>
      <c r="C636" t="inlineStr">
        <is>
          <t>19:50</t>
        </is>
      </c>
      <c r="D636" t="inlineStr">
        <is>
          <t>n° 24 + n° 25</t>
        </is>
      </c>
      <c r="E636" t="n">
        <v>2</v>
      </c>
      <c r="F636" t="n">
        <v>176.8</v>
      </c>
      <c r="G636" t="n">
        <v>10</v>
      </c>
      <c r="H636" t="n">
        <v>10</v>
      </c>
      <c r="I636">
        <f>IF(G636=H636,1,0)</f>
        <v/>
      </c>
      <c r="J636" t="inlineStr">
        <is>
          <t>CB / TR/CB</t>
        </is>
      </c>
    </row>
    <row r="637">
      <c r="A637" t="inlineStr">
        <is>
          <t>2024-2025</t>
        </is>
      </c>
      <c r="B637" t="inlineStr">
        <is>
          <t>2024-07-10</t>
        </is>
      </c>
      <c r="C637" t="inlineStr">
        <is>
          <t>20:16</t>
        </is>
      </c>
      <c r="D637" t="inlineStr">
        <is>
          <t>n° 29 + n° 30 + n° 31 + n° 32</t>
        </is>
      </c>
      <c r="E637" t="n">
        <v>4</v>
      </c>
      <c r="F637" t="n">
        <v>128.9</v>
      </c>
      <c r="G637" t="n">
        <v>12</v>
      </c>
      <c r="H637" t="n">
        <v>12</v>
      </c>
      <c r="I637">
        <f>IF(G637=H637,1,0)</f>
        <v/>
      </c>
      <c r="J637" t="inlineStr">
        <is>
          <t>CB / TR/CB / CB / CB</t>
        </is>
      </c>
    </row>
    <row r="638">
      <c r="A638" t="inlineStr">
        <is>
          <t>2024-2025</t>
        </is>
      </c>
      <c r="B638" t="inlineStr">
        <is>
          <t>2024-07-11</t>
        </is>
      </c>
      <c r="C638" t="inlineStr">
        <is>
          <t>20:30</t>
        </is>
      </c>
      <c r="D638" t="inlineStr">
        <is>
          <t>n° 29 + n° 30</t>
        </is>
      </c>
      <c r="E638" t="n">
        <v>2</v>
      </c>
      <c r="F638" t="n">
        <v>55.4</v>
      </c>
      <c r="G638" t="n">
        <v>6</v>
      </c>
      <c r="H638" t="n">
        <v>6</v>
      </c>
      <c r="I638">
        <f>IF(G638=H638,1,0)</f>
        <v/>
      </c>
      <c r="J638" t="inlineStr">
        <is>
          <t>CB / CB</t>
        </is>
      </c>
    </row>
    <row r="639">
      <c r="A639" t="inlineStr">
        <is>
          <t>2024-2025</t>
        </is>
      </c>
      <c r="B639" t="inlineStr">
        <is>
          <t>2024-07-12</t>
        </is>
      </c>
      <c r="C639" t="inlineStr">
        <is>
          <t>20:19</t>
        </is>
      </c>
      <c r="D639" t="inlineStr">
        <is>
          <t>n° 25 + n° 26</t>
        </is>
      </c>
      <c r="E639" t="n">
        <v>2</v>
      </c>
      <c r="F639" t="n">
        <v>192.8</v>
      </c>
      <c r="G639" t="n">
        <v>5</v>
      </c>
      <c r="H639" t="n">
        <v>5</v>
      </c>
      <c r="I639">
        <f>IF(G639=H639,1,0)</f>
        <v/>
      </c>
      <c r="J639" t="inlineStr">
        <is>
          <t>CB / CB</t>
        </is>
      </c>
    </row>
    <row r="640">
      <c r="A640" t="inlineStr">
        <is>
          <t>2024-2025</t>
        </is>
      </c>
      <c r="B640" t="inlineStr">
        <is>
          <t>2024-07-13</t>
        </is>
      </c>
      <c r="C640" t="inlineStr">
        <is>
          <t>13:04</t>
        </is>
      </c>
      <c r="D640" t="inlineStr">
        <is>
          <t>n° 10 + n° 11 + n° 14 + n° 15</t>
        </is>
      </c>
      <c r="E640" t="n">
        <v>4</v>
      </c>
      <c r="F640" t="n">
        <v>275.6</v>
      </c>
      <c r="G640" t="n">
        <v>20</v>
      </c>
      <c r="H640" t="n">
        <v>20</v>
      </c>
      <c r="I640">
        <f>IF(G640=H640,1,0)</f>
        <v/>
      </c>
      <c r="J640" t="inlineStr">
        <is>
          <t>CB / CB / CB / CB</t>
        </is>
      </c>
    </row>
    <row r="641">
      <c r="A641" t="inlineStr">
        <is>
          <t>2024-2025</t>
        </is>
      </c>
      <c r="B641" t="inlineStr">
        <is>
          <t>2024-07-13</t>
        </is>
      </c>
      <c r="C641" t="inlineStr">
        <is>
          <t>20:21</t>
        </is>
      </c>
      <c r="D641" t="inlineStr">
        <is>
          <t>n° 27 + n° 28</t>
        </is>
      </c>
      <c r="E641" t="n">
        <v>2</v>
      </c>
      <c r="F641" t="n">
        <v>90.09999999999999</v>
      </c>
      <c r="G641" t="n">
        <v>4</v>
      </c>
      <c r="H641" t="n">
        <v>4</v>
      </c>
      <c r="I641">
        <f>IF(G641=H641,1,0)</f>
        <v/>
      </c>
      <c r="J641" t="inlineStr">
        <is>
          <t>CB / CB</t>
        </is>
      </c>
    </row>
    <row r="642">
      <c r="A642" t="inlineStr">
        <is>
          <t>2024-2025</t>
        </is>
      </c>
      <c r="B642" t="inlineStr">
        <is>
          <t>2024-07-17</t>
        </is>
      </c>
      <c r="C642" t="inlineStr">
        <is>
          <t>12:56</t>
        </is>
      </c>
      <c r="D642" t="inlineStr">
        <is>
          <t>n° 8 + n° 9</t>
        </is>
      </c>
      <c r="E642" t="n">
        <v>2</v>
      </c>
      <c r="F642" t="n">
        <v>192.5</v>
      </c>
      <c r="G642" t="n">
        <v>3</v>
      </c>
      <c r="H642" t="n">
        <v>3</v>
      </c>
      <c r="I642">
        <f>IF(G642=H642,1,0)</f>
        <v/>
      </c>
      <c r="J642" t="inlineStr">
        <is>
          <t>CB / CB</t>
        </is>
      </c>
    </row>
    <row r="643">
      <c r="A643" t="inlineStr">
        <is>
          <t>2024-2025</t>
        </is>
      </c>
      <c r="B643" t="inlineStr">
        <is>
          <t>2024-07-17</t>
        </is>
      </c>
      <c r="C643" t="inlineStr">
        <is>
          <t>20:00</t>
        </is>
      </c>
      <c r="D643" t="inlineStr">
        <is>
          <t>n° 25 + n° 26</t>
        </is>
      </c>
      <c r="E643" t="n">
        <v>2</v>
      </c>
      <c r="F643" t="n">
        <v>71.90000000000001</v>
      </c>
      <c r="G643" t="n">
        <v>2</v>
      </c>
      <c r="H643" t="n">
        <v>2</v>
      </c>
      <c r="I643">
        <f>IF(G643=H643,1,0)</f>
        <v/>
      </c>
      <c r="J643" t="inlineStr">
        <is>
          <t>CB / CB</t>
        </is>
      </c>
    </row>
    <row r="644">
      <c r="A644" t="inlineStr">
        <is>
          <t>2024-2025</t>
        </is>
      </c>
      <c r="B644" t="inlineStr">
        <is>
          <t>2024-07-19</t>
        </is>
      </c>
      <c r="C644" t="inlineStr">
        <is>
          <t>20:29</t>
        </is>
      </c>
      <c r="D644" t="inlineStr">
        <is>
          <t>n° 29 + n° 30</t>
        </is>
      </c>
      <c r="E644" t="n">
        <v>2</v>
      </c>
      <c r="F644" t="n">
        <v>158.2</v>
      </c>
      <c r="G644" t="n">
        <v>10</v>
      </c>
      <c r="H644" t="n">
        <v>10</v>
      </c>
      <c r="I644">
        <f>IF(G644=H644,1,0)</f>
        <v/>
      </c>
      <c r="J644" t="inlineStr">
        <is>
          <t>CB / CB</t>
        </is>
      </c>
    </row>
    <row r="645">
      <c r="A645" t="inlineStr">
        <is>
          <t>2024-2025</t>
        </is>
      </c>
      <c r="B645" t="inlineStr">
        <is>
          <t>2024-07-20</t>
        </is>
      </c>
      <c r="C645" t="inlineStr">
        <is>
          <t>12:59</t>
        </is>
      </c>
      <c r="D645" t="inlineStr">
        <is>
          <t>n° 12 + n° 13</t>
        </is>
      </c>
      <c r="E645" t="n">
        <v>2</v>
      </c>
      <c r="F645" t="n">
        <v>135.2</v>
      </c>
      <c r="G645" t="n">
        <v>10</v>
      </c>
      <c r="H645" t="n">
        <v>10</v>
      </c>
      <c r="I645">
        <f>IF(G645=H645,1,0)</f>
        <v/>
      </c>
      <c r="J645" t="inlineStr">
        <is>
          <t>CB / TR/ESP</t>
        </is>
      </c>
    </row>
    <row r="646">
      <c r="A646" t="inlineStr">
        <is>
          <t>2024-2025</t>
        </is>
      </c>
      <c r="B646" t="inlineStr">
        <is>
          <t>2024-07-20</t>
        </is>
      </c>
      <c r="C646" t="inlineStr">
        <is>
          <t>20:33</t>
        </is>
      </c>
      <c r="D646" t="inlineStr">
        <is>
          <t>n° 23 + n° 24 + n° 25 + n° 26 + n° 29 + n° 30</t>
        </is>
      </c>
      <c r="E646" t="n">
        <v>6</v>
      </c>
      <c r="F646" t="n">
        <v>403.4</v>
      </c>
      <c r="G646" t="n">
        <v>23</v>
      </c>
      <c r="H646" t="n">
        <v>23</v>
      </c>
      <c r="I646">
        <f>IF(G646=H646,1,0)</f>
        <v/>
      </c>
      <c r="J646" t="inlineStr">
        <is>
          <t>CB / CB / CB / CB / CB / TR/CB</t>
        </is>
      </c>
    </row>
    <row r="647">
      <c r="A647" t="inlineStr">
        <is>
          <t>2024-2025</t>
        </is>
      </c>
      <c r="B647" t="inlineStr">
        <is>
          <t>2024-07-24</t>
        </is>
      </c>
      <c r="C647" t="inlineStr">
        <is>
          <t>20:24</t>
        </is>
      </c>
      <c r="D647" t="inlineStr">
        <is>
          <t>n° 27 + n° 28</t>
        </is>
      </c>
      <c r="E647" t="n">
        <v>2</v>
      </c>
      <c r="F647" t="n">
        <v>203.9</v>
      </c>
      <c r="G647" t="n">
        <v>10</v>
      </c>
      <c r="H647" t="n">
        <v>10</v>
      </c>
      <c r="I647">
        <f>IF(G647=H647,1,0)</f>
        <v/>
      </c>
      <c r="J647" t="inlineStr">
        <is>
          <t>CB / CB</t>
        </is>
      </c>
    </row>
    <row r="648">
      <c r="A648" t="inlineStr">
        <is>
          <t>2024-2025</t>
        </is>
      </c>
      <c r="B648" t="inlineStr">
        <is>
          <t>2024-07-25</t>
        </is>
      </c>
      <c r="C648" t="inlineStr">
        <is>
          <t>12:00</t>
        </is>
      </c>
      <c r="D648" t="inlineStr">
        <is>
          <t>n° 4 + n° 5</t>
        </is>
      </c>
      <c r="E648" t="n">
        <v>2</v>
      </c>
      <c r="F648" t="n">
        <v>82.40000000000001</v>
      </c>
      <c r="G648" t="n">
        <v>3</v>
      </c>
      <c r="H648" t="n">
        <v>3</v>
      </c>
      <c r="I648">
        <f>IF(G648=H648,1,0)</f>
        <v/>
      </c>
      <c r="J648" t="inlineStr">
        <is>
          <t>CB / TR/CB</t>
        </is>
      </c>
    </row>
    <row r="649">
      <c r="A649" t="inlineStr">
        <is>
          <t>2024-2025</t>
        </is>
      </c>
      <c r="B649" t="inlineStr">
        <is>
          <t>2024-07-25</t>
        </is>
      </c>
      <c r="C649" t="inlineStr">
        <is>
          <t>19:24</t>
        </is>
      </c>
      <c r="D649" t="inlineStr">
        <is>
          <t>n° 16 + n° 17</t>
        </is>
      </c>
      <c r="E649" t="n">
        <v>2</v>
      </c>
      <c r="F649" t="n">
        <v>54.8</v>
      </c>
      <c r="G649" t="n">
        <v>4</v>
      </c>
      <c r="H649" t="n">
        <v>4</v>
      </c>
      <c r="I649">
        <f>IF(G649=H649,1,0)</f>
        <v/>
      </c>
      <c r="J649" t="inlineStr">
        <is>
          <t>CB / CB</t>
        </is>
      </c>
    </row>
    <row r="650">
      <c r="A650" t="inlineStr">
        <is>
          <t>2024-2025</t>
        </is>
      </c>
      <c r="B650" t="inlineStr">
        <is>
          <t>2024-07-25</t>
        </is>
      </c>
      <c r="C650" t="inlineStr">
        <is>
          <t>20:45</t>
        </is>
      </c>
      <c r="D650" t="inlineStr">
        <is>
          <t>n° 29 + n° 30</t>
        </is>
      </c>
      <c r="E650" t="n">
        <v>2</v>
      </c>
      <c r="F650" t="n">
        <v>56.7</v>
      </c>
      <c r="G650" t="n">
        <v>2</v>
      </c>
      <c r="H650" t="n">
        <v>2</v>
      </c>
      <c r="I650">
        <f>IF(G650=H650,1,0)</f>
        <v/>
      </c>
      <c r="J650" t="inlineStr">
        <is>
          <t>CB / CB</t>
        </is>
      </c>
    </row>
    <row r="651">
      <c r="A651" t="inlineStr">
        <is>
          <t>2024-2025</t>
        </is>
      </c>
      <c r="B651" t="inlineStr">
        <is>
          <t>2024-07-28</t>
        </is>
      </c>
      <c r="C651" t="inlineStr">
        <is>
          <t>20:04</t>
        </is>
      </c>
      <c r="D651" t="inlineStr">
        <is>
          <t>n° 21 + n° 22</t>
        </is>
      </c>
      <c r="E651" t="n">
        <v>2</v>
      </c>
      <c r="F651" t="n">
        <v>149</v>
      </c>
      <c r="G651" t="n">
        <v>3</v>
      </c>
      <c r="H651" t="n">
        <v>3</v>
      </c>
      <c r="I651">
        <f>IF(G651=H651,1,0)</f>
        <v/>
      </c>
      <c r="J651" t="inlineStr">
        <is>
          <t>CB / CB</t>
        </is>
      </c>
    </row>
    <row r="652">
      <c r="A652" t="inlineStr">
        <is>
          <t>2024-2025</t>
        </is>
      </c>
      <c r="B652" t="inlineStr">
        <is>
          <t>2024-07-31</t>
        </is>
      </c>
      <c r="C652" t="inlineStr">
        <is>
          <t>20:15</t>
        </is>
      </c>
      <c r="D652" t="inlineStr">
        <is>
          <t>n° 33 + n° 34</t>
        </is>
      </c>
      <c r="E652" t="n">
        <v>2</v>
      </c>
      <c r="F652" t="n">
        <v>47.9</v>
      </c>
      <c r="G652" t="n">
        <v>5</v>
      </c>
      <c r="H652" t="n">
        <v>5</v>
      </c>
      <c r="I652">
        <f>IF(G652=H652,1,0)</f>
        <v/>
      </c>
      <c r="J652" t="inlineStr">
        <is>
          <t>CB / CB</t>
        </is>
      </c>
    </row>
    <row r="653">
      <c r="A653" t="inlineStr">
        <is>
          <t>2024-2025</t>
        </is>
      </c>
      <c r="B653" t="inlineStr">
        <is>
          <t>2024-07-31</t>
        </is>
      </c>
      <c r="C653" t="inlineStr">
        <is>
          <t>21:15</t>
        </is>
      </c>
      <c r="D653" t="inlineStr">
        <is>
          <t>n° 40 + n° 41</t>
        </is>
      </c>
      <c r="E653" t="n">
        <v>2</v>
      </c>
      <c r="F653" t="n">
        <v>76.59999999999999</v>
      </c>
      <c r="G653" t="n">
        <v>9</v>
      </c>
      <c r="H653" t="n">
        <v>9</v>
      </c>
      <c r="I653">
        <f>IF(G653=H653,1,0)</f>
        <v/>
      </c>
      <c r="J653" t="inlineStr">
        <is>
          <t>CB / CB</t>
        </is>
      </c>
    </row>
    <row r="654">
      <c r="A654" t="inlineStr">
        <is>
          <t>2024-2025</t>
        </is>
      </c>
      <c r="B654" t="inlineStr">
        <is>
          <t>2024-08-01</t>
        </is>
      </c>
      <c r="C654" t="inlineStr">
        <is>
          <t>21:14</t>
        </is>
      </c>
      <c r="D654" t="inlineStr">
        <is>
          <t>n° 32 + n° 33</t>
        </is>
      </c>
      <c r="E654" t="n">
        <v>2</v>
      </c>
      <c r="F654" t="n">
        <v>65</v>
      </c>
      <c r="G654" t="n">
        <v>5</v>
      </c>
      <c r="H654" t="n">
        <v>5</v>
      </c>
      <c r="I654">
        <f>IF(G654=H654,1,0)</f>
        <v/>
      </c>
      <c r="J654" t="inlineStr">
        <is>
          <t>CB / TR/CB</t>
        </is>
      </c>
    </row>
    <row r="655">
      <c r="A655" t="inlineStr">
        <is>
          <t>2024-2025</t>
        </is>
      </c>
      <c r="B655" t="inlineStr">
        <is>
          <t>2024-08-03</t>
        </is>
      </c>
      <c r="C655" t="inlineStr">
        <is>
          <t>20:01</t>
        </is>
      </c>
      <c r="D655" t="inlineStr">
        <is>
          <t>n° 25 + n° 26</t>
        </is>
      </c>
      <c r="E655" t="n">
        <v>2</v>
      </c>
      <c r="F655" t="n">
        <v>97.7</v>
      </c>
      <c r="G655" t="n">
        <v>7</v>
      </c>
      <c r="H655" t="n">
        <v>7</v>
      </c>
      <c r="I655">
        <f>IF(G655=H655,1,0)</f>
        <v/>
      </c>
      <c r="J655" t="inlineStr">
        <is>
          <t>CB / CB</t>
        </is>
      </c>
    </row>
    <row r="656">
      <c r="A656" t="inlineStr">
        <is>
          <t>2024-2025</t>
        </is>
      </c>
      <c r="B656" t="inlineStr">
        <is>
          <t>2024-08-04</t>
        </is>
      </c>
      <c r="C656" t="inlineStr">
        <is>
          <t>20:34</t>
        </is>
      </c>
      <c r="D656" t="inlineStr">
        <is>
          <t>n° 19 + n° 20</t>
        </is>
      </c>
      <c r="E656" t="n">
        <v>2</v>
      </c>
      <c r="F656" t="n">
        <v>196.5</v>
      </c>
      <c r="G656" t="n">
        <v>13</v>
      </c>
      <c r="H656" t="n">
        <v>13</v>
      </c>
      <c r="I656">
        <f>IF(G656=H656,1,0)</f>
        <v/>
      </c>
      <c r="J656" t="inlineStr">
        <is>
          <t>CB / CB</t>
        </is>
      </c>
    </row>
    <row r="657">
      <c r="A657" t="inlineStr">
        <is>
          <t>2024-2025</t>
        </is>
      </c>
      <c r="B657" t="inlineStr">
        <is>
          <t>2024-08-04</t>
        </is>
      </c>
      <c r="C657" t="inlineStr">
        <is>
          <t>21:12</t>
        </is>
      </c>
      <c r="D657" t="inlineStr">
        <is>
          <t>n° 27 + n° 28</t>
        </is>
      </c>
      <c r="E657" t="n">
        <v>2</v>
      </c>
      <c r="F657" t="n">
        <v>171</v>
      </c>
      <c r="G657" t="n">
        <v>4</v>
      </c>
      <c r="H657" t="n">
        <v>4</v>
      </c>
      <c r="I657">
        <f>IF(G657=H657,1,0)</f>
        <v/>
      </c>
      <c r="J657" t="inlineStr">
        <is>
          <t>CB / CB</t>
        </is>
      </c>
    </row>
    <row r="658">
      <c r="A658" t="inlineStr">
        <is>
          <t>2024-2025</t>
        </is>
      </c>
      <c r="B658" t="inlineStr">
        <is>
          <t>2024-08-07</t>
        </is>
      </c>
      <c r="C658" t="inlineStr">
        <is>
          <t>11:54</t>
        </is>
      </c>
      <c r="D658" t="inlineStr">
        <is>
          <t>n° 3 + n° 4</t>
        </is>
      </c>
      <c r="E658" t="n">
        <v>2</v>
      </c>
      <c r="F658" t="n">
        <v>45.4</v>
      </c>
      <c r="G658" t="n">
        <v>4</v>
      </c>
      <c r="H658" t="n">
        <v>4</v>
      </c>
      <c r="I658">
        <f>IF(G658=H658,1,0)</f>
        <v/>
      </c>
      <c r="J658" t="inlineStr">
        <is>
          <t>CB / CB</t>
        </is>
      </c>
    </row>
    <row r="659">
      <c r="A659" t="inlineStr">
        <is>
          <t>2024-2025</t>
        </is>
      </c>
      <c r="B659" t="inlineStr">
        <is>
          <t>2024-08-08</t>
        </is>
      </c>
      <c r="C659" t="inlineStr">
        <is>
          <t>20:26</t>
        </is>
      </c>
      <c r="D659" t="inlineStr">
        <is>
          <t>n° 24 + n° 25</t>
        </is>
      </c>
      <c r="E659" t="n">
        <v>2</v>
      </c>
      <c r="F659" t="n">
        <v>228.9</v>
      </c>
      <c r="G659" t="n">
        <v>9</v>
      </c>
      <c r="H659" t="n">
        <v>9</v>
      </c>
      <c r="I659">
        <f>IF(G659=H659,1,0)</f>
        <v/>
      </c>
      <c r="J659" t="inlineStr">
        <is>
          <t>CB / CB</t>
        </is>
      </c>
    </row>
    <row r="660">
      <c r="A660" t="inlineStr">
        <is>
          <t>2024-2025</t>
        </is>
      </c>
      <c r="B660" t="inlineStr">
        <is>
          <t>2024-08-09</t>
        </is>
      </c>
      <c r="C660" t="inlineStr">
        <is>
          <t>12:19</t>
        </is>
      </c>
      <c r="D660" t="inlineStr">
        <is>
          <t>n° 7 + n° 8</t>
        </is>
      </c>
      <c r="E660" t="n">
        <v>2</v>
      </c>
      <c r="F660" t="n">
        <v>107.7</v>
      </c>
      <c r="G660" t="n">
        <v>1</v>
      </c>
      <c r="H660" t="n">
        <v>1</v>
      </c>
      <c r="I660">
        <f>IF(G660=H660,1,0)</f>
        <v/>
      </c>
      <c r="J660" t="inlineStr">
        <is>
          <t>CB / CB</t>
        </is>
      </c>
    </row>
    <row r="661">
      <c r="A661" t="inlineStr">
        <is>
          <t>2024-2025</t>
        </is>
      </c>
      <c r="B661" t="inlineStr">
        <is>
          <t>2024-08-09</t>
        </is>
      </c>
      <c r="C661" t="inlineStr">
        <is>
          <t>12:42</t>
        </is>
      </c>
      <c r="D661" t="inlineStr">
        <is>
          <t>n° 12 + n° 13</t>
        </is>
      </c>
      <c r="E661" t="n">
        <v>2</v>
      </c>
      <c r="F661" t="n">
        <v>35.2</v>
      </c>
      <c r="G661" t="n">
        <v>1</v>
      </c>
      <c r="H661" t="n">
        <v>1</v>
      </c>
      <c r="I661">
        <f>IF(G661=H661,1,0)</f>
        <v/>
      </c>
      <c r="J661" t="inlineStr">
        <is>
          <t>CB / CB</t>
        </is>
      </c>
    </row>
    <row r="662">
      <c r="A662" t="inlineStr">
        <is>
          <t>2024-2025</t>
        </is>
      </c>
      <c r="B662" t="inlineStr">
        <is>
          <t>2024-08-10</t>
        </is>
      </c>
      <c r="C662" t="inlineStr">
        <is>
          <t>13:14</t>
        </is>
      </c>
      <c r="D662" t="inlineStr">
        <is>
          <t>n° 13 + n° 14</t>
        </is>
      </c>
      <c r="E662" t="n">
        <v>2</v>
      </c>
      <c r="F662" t="n">
        <v>65.5</v>
      </c>
      <c r="G662" t="n">
        <v>5</v>
      </c>
      <c r="H662" t="n">
        <v>5</v>
      </c>
      <c r="I662">
        <f>IF(G662=H662,1,0)</f>
        <v/>
      </c>
      <c r="J662" t="inlineStr">
        <is>
          <t>CB / CB</t>
        </is>
      </c>
    </row>
    <row r="663">
      <c r="A663" t="inlineStr">
        <is>
          <t>2024-2025</t>
        </is>
      </c>
      <c r="B663" t="inlineStr">
        <is>
          <t>2024-08-10</t>
        </is>
      </c>
      <c r="C663" t="inlineStr">
        <is>
          <t>20:50</t>
        </is>
      </c>
      <c r="D663" t="inlineStr">
        <is>
          <t>n° 27 + n° 28</t>
        </is>
      </c>
      <c r="E663" t="n">
        <v>2</v>
      </c>
      <c r="F663" t="n">
        <v>71.40000000000001</v>
      </c>
      <c r="G663" t="n">
        <v>6</v>
      </c>
      <c r="H663" t="n">
        <v>6</v>
      </c>
      <c r="I663">
        <f>IF(G663=H663,1,0)</f>
        <v/>
      </c>
      <c r="J663" t="inlineStr">
        <is>
          <t>CB / TR/CB</t>
        </is>
      </c>
    </row>
    <row r="664">
      <c r="A664" t="inlineStr">
        <is>
          <t>2024-2025</t>
        </is>
      </c>
      <c r="B664" t="inlineStr">
        <is>
          <t>2024-08-17</t>
        </is>
      </c>
      <c r="C664" t="inlineStr">
        <is>
          <t>13:04</t>
        </is>
      </c>
      <c r="D664" t="inlineStr">
        <is>
          <t>n° 10 + n° 11</t>
        </is>
      </c>
      <c r="E664" t="n">
        <v>2</v>
      </c>
      <c r="F664" t="n">
        <v>135.9</v>
      </c>
      <c r="G664" t="n">
        <v>11</v>
      </c>
      <c r="H664" t="n">
        <v>11</v>
      </c>
      <c r="I664">
        <f>IF(G664=H664,1,0)</f>
        <v/>
      </c>
      <c r="J664" t="inlineStr">
        <is>
          <t>CB / CB</t>
        </is>
      </c>
    </row>
    <row r="665">
      <c r="A665" t="inlineStr">
        <is>
          <t>2024-2025</t>
        </is>
      </c>
      <c r="B665" t="inlineStr">
        <is>
          <t>2024-08-18</t>
        </is>
      </c>
      <c r="C665" t="inlineStr">
        <is>
          <t>19:24</t>
        </is>
      </c>
      <c r="D665" t="inlineStr">
        <is>
          <t>n° 19 + n° 20</t>
        </is>
      </c>
      <c r="E665" t="n">
        <v>2</v>
      </c>
      <c r="F665" t="n">
        <v>114</v>
      </c>
      <c r="G665" t="n">
        <v>11</v>
      </c>
      <c r="H665" t="n">
        <v>11</v>
      </c>
      <c r="I665">
        <f>IF(G665=H665,1,0)</f>
        <v/>
      </c>
      <c r="J665" t="inlineStr">
        <is>
          <t>CB / CB</t>
        </is>
      </c>
    </row>
    <row r="666">
      <c r="A666" t="inlineStr">
        <is>
          <t>2024-2025</t>
        </is>
      </c>
      <c r="B666" t="inlineStr">
        <is>
          <t>2024-08-21</t>
        </is>
      </c>
      <c r="C666" t="inlineStr">
        <is>
          <t>13:22</t>
        </is>
      </c>
      <c r="D666" t="inlineStr">
        <is>
          <t>n° 11 + n° 12</t>
        </is>
      </c>
      <c r="E666" t="n">
        <v>2</v>
      </c>
      <c r="F666" t="n">
        <v>134.3</v>
      </c>
      <c r="G666" t="n">
        <v>2</v>
      </c>
      <c r="H666" t="n">
        <v>2</v>
      </c>
      <c r="I666">
        <f>IF(G666=H666,1,0)</f>
        <v/>
      </c>
      <c r="J666" t="inlineStr">
        <is>
          <t>CB / CB</t>
        </is>
      </c>
    </row>
    <row r="667">
      <c r="A667" t="inlineStr">
        <is>
          <t>2024-2025</t>
        </is>
      </c>
      <c r="B667" t="inlineStr">
        <is>
          <t>2024-08-23</t>
        </is>
      </c>
      <c r="C667" t="inlineStr">
        <is>
          <t>13:11</t>
        </is>
      </c>
      <c r="D667" t="inlineStr">
        <is>
          <t>n° 12 + n° 13</t>
        </is>
      </c>
      <c r="E667" t="n">
        <v>2</v>
      </c>
      <c r="F667" t="n">
        <v>110</v>
      </c>
      <c r="G667" t="n">
        <v>4</v>
      </c>
      <c r="H667" t="n">
        <v>4</v>
      </c>
      <c r="I667">
        <f>IF(G667=H667,1,0)</f>
        <v/>
      </c>
      <c r="J667" t="inlineStr">
        <is>
          <t>CB / CB</t>
        </is>
      </c>
    </row>
    <row r="668">
      <c r="A668" t="inlineStr">
        <is>
          <t>2024-2025</t>
        </is>
      </c>
      <c r="B668" t="inlineStr">
        <is>
          <t>2024-08-23</t>
        </is>
      </c>
      <c r="C668" t="inlineStr">
        <is>
          <t>13:34</t>
        </is>
      </c>
      <c r="D668" t="inlineStr">
        <is>
          <t>n° 18 + n° 19</t>
        </is>
      </c>
      <c r="E668" t="n">
        <v>2</v>
      </c>
      <c r="F668" t="n">
        <v>205.2</v>
      </c>
      <c r="G668" t="n">
        <v>12</v>
      </c>
      <c r="H668" t="n">
        <v>12</v>
      </c>
      <c r="I668">
        <f>IF(G668=H668,1,0)</f>
        <v/>
      </c>
      <c r="J668" t="inlineStr">
        <is>
          <t>CHV/CB / CB</t>
        </is>
      </c>
    </row>
    <row r="669">
      <c r="A669" t="inlineStr">
        <is>
          <t>2024-2025</t>
        </is>
      </c>
      <c r="B669" t="inlineStr">
        <is>
          <t>2024-08-24</t>
        </is>
      </c>
      <c r="C669" t="inlineStr">
        <is>
          <t>12:48</t>
        </is>
      </c>
      <c r="D669" t="inlineStr">
        <is>
          <t>n° 8 + n° 9</t>
        </is>
      </c>
      <c r="E669" t="n">
        <v>2</v>
      </c>
      <c r="F669" t="n">
        <v>162.9</v>
      </c>
      <c r="G669" t="n">
        <v>12</v>
      </c>
      <c r="H669" t="n">
        <v>12</v>
      </c>
      <c r="I669">
        <f>IF(G669=H669,1,0)</f>
        <v/>
      </c>
      <c r="J669" t="inlineStr">
        <is>
          <t>CB / CB</t>
        </is>
      </c>
    </row>
    <row r="670">
      <c r="A670" t="inlineStr">
        <is>
          <t>2024-2025</t>
        </is>
      </c>
      <c r="B670" t="inlineStr">
        <is>
          <t>2024-08-25</t>
        </is>
      </c>
      <c r="C670" t="inlineStr">
        <is>
          <t>13:02</t>
        </is>
      </c>
      <c r="D670" t="inlineStr">
        <is>
          <t>n° 16 + n° 17</t>
        </is>
      </c>
      <c r="E670" t="n">
        <v>2</v>
      </c>
      <c r="F670" t="n">
        <v>140.9</v>
      </c>
      <c r="G670" t="n">
        <v>3</v>
      </c>
      <c r="H670" t="n">
        <v>3</v>
      </c>
      <c r="I670">
        <f>IF(G670=H670,1,0)</f>
        <v/>
      </c>
      <c r="J670" t="inlineStr">
        <is>
          <t>CB / CB</t>
        </is>
      </c>
    </row>
    <row r="671">
      <c r="A671" t="inlineStr">
        <is>
          <t>2024-2025</t>
        </is>
      </c>
      <c r="B671" t="inlineStr">
        <is>
          <t>2024-08-28</t>
        </is>
      </c>
      <c r="C671" t="inlineStr">
        <is>
          <t>20:31</t>
        </is>
      </c>
      <c r="D671" t="inlineStr">
        <is>
          <t>n° 27 + n° 28</t>
        </is>
      </c>
      <c r="E671" t="n">
        <v>2</v>
      </c>
      <c r="F671" t="n">
        <v>279.4</v>
      </c>
      <c r="G671" t="n">
        <v>17</v>
      </c>
      <c r="H671" t="n">
        <v>17</v>
      </c>
      <c r="I671">
        <f>IF(G671=H671,1,0)</f>
        <v/>
      </c>
      <c r="J671" t="inlineStr">
        <is>
          <t>CB / CB</t>
        </is>
      </c>
    </row>
    <row r="672">
      <c r="A672" t="inlineStr">
        <is>
          <t>2024-2025</t>
        </is>
      </c>
      <c r="B672" t="inlineStr">
        <is>
          <t>2024-08-29</t>
        </is>
      </c>
      <c r="C672" t="inlineStr">
        <is>
          <t>19:39</t>
        </is>
      </c>
      <c r="D672" t="inlineStr">
        <is>
          <t>n° 27 + n° 28</t>
        </is>
      </c>
      <c r="E672" t="n">
        <v>2</v>
      </c>
      <c r="F672" t="n">
        <v>53.3</v>
      </c>
      <c r="G672" t="n">
        <v>2</v>
      </c>
      <c r="H672" t="n">
        <v>2</v>
      </c>
      <c r="I672">
        <f>IF(G672=H672,1,0)</f>
        <v/>
      </c>
      <c r="J672" t="inlineStr">
        <is>
          <t>CB / CB</t>
        </is>
      </c>
    </row>
    <row r="673">
      <c r="A673" t="inlineStr">
        <is>
          <t>2024-2025</t>
        </is>
      </c>
      <c r="B673" t="inlineStr">
        <is>
          <t>2024-08-30</t>
        </is>
      </c>
      <c r="C673" t="inlineStr">
        <is>
          <t>12:41</t>
        </is>
      </c>
      <c r="D673" t="inlineStr">
        <is>
          <t>n° 12 + n° 13 + n° 14 + n° 15 + n° 17 + n° 18</t>
        </is>
      </c>
      <c r="E673" t="n">
        <v>6</v>
      </c>
      <c r="F673" t="n">
        <v>167.6</v>
      </c>
      <c r="G673" t="n">
        <v>12</v>
      </c>
      <c r="H673" t="n">
        <v>12</v>
      </c>
      <c r="I673">
        <f>IF(G673=H673,1,0)</f>
        <v/>
      </c>
      <c r="J673" t="inlineStr">
        <is>
          <t>CB / CB / CB / CB / CHV/CB / CB</t>
        </is>
      </c>
    </row>
    <row r="674">
      <c r="A674" t="inlineStr">
        <is>
          <t>2024-2025</t>
        </is>
      </c>
      <c r="B674" t="inlineStr">
        <is>
          <t>2024-08-30</t>
        </is>
      </c>
      <c r="C674" t="inlineStr">
        <is>
          <t>19:58</t>
        </is>
      </c>
      <c r="D674" t="inlineStr">
        <is>
          <t>n° 22 + n° 23</t>
        </is>
      </c>
      <c r="E674" t="n">
        <v>2</v>
      </c>
      <c r="F674" t="n">
        <v>62.2</v>
      </c>
      <c r="G674" t="n">
        <v>6</v>
      </c>
      <c r="H674" t="n">
        <v>6</v>
      </c>
      <c r="I674">
        <f>IF(G674=H674,1,0)</f>
        <v/>
      </c>
      <c r="J674" t="inlineStr">
        <is>
          <t>TR/ESP / CHV/TR</t>
        </is>
      </c>
    </row>
    <row r="675">
      <c r="A675" t="inlineStr">
        <is>
          <t>2024-2025</t>
        </is>
      </c>
      <c r="B675" t="inlineStr">
        <is>
          <t>2024-08-31</t>
        </is>
      </c>
      <c r="C675" t="inlineStr">
        <is>
          <t>19:23</t>
        </is>
      </c>
      <c r="D675" t="inlineStr">
        <is>
          <t>n° 17 + n° 18</t>
        </is>
      </c>
      <c r="E675" t="n">
        <v>2</v>
      </c>
      <c r="F675" t="n">
        <v>85</v>
      </c>
      <c r="G675" t="n">
        <v>3</v>
      </c>
      <c r="H675" t="n">
        <v>3</v>
      </c>
      <c r="I675">
        <f>IF(G675=H675,1,0)</f>
        <v/>
      </c>
      <c r="J675" t="inlineStr">
        <is>
          <t>CB / CB</t>
        </is>
      </c>
    </row>
    <row r="676">
      <c r="A676" t="inlineStr">
        <is>
          <t>2024-2025</t>
        </is>
      </c>
      <c r="B676" t="inlineStr">
        <is>
          <t>2024-09-01</t>
        </is>
      </c>
      <c r="C676" t="inlineStr">
        <is>
          <t>12:47</t>
        </is>
      </c>
      <c r="D676" t="inlineStr">
        <is>
          <t>n° 10 + n° 11</t>
        </is>
      </c>
      <c r="E676" t="n">
        <v>2</v>
      </c>
      <c r="F676" t="n">
        <v>122.7</v>
      </c>
      <c r="G676" t="n">
        <v>3</v>
      </c>
      <c r="H676" t="n">
        <v>3</v>
      </c>
      <c r="I676">
        <f>IF(G676=H676,1,0)</f>
        <v/>
      </c>
      <c r="J676" t="inlineStr">
        <is>
          <t>CB / CB</t>
        </is>
      </c>
    </row>
    <row r="677">
      <c r="A677" t="inlineStr">
        <is>
          <t>2024-2025</t>
        </is>
      </c>
      <c r="B677" t="inlineStr">
        <is>
          <t>2024-09-04</t>
        </is>
      </c>
      <c r="C677" t="inlineStr">
        <is>
          <t>12:46</t>
        </is>
      </c>
      <c r="D677" t="inlineStr">
        <is>
          <t>n° 10 + n° 11</t>
        </is>
      </c>
      <c r="E677" t="n">
        <v>2</v>
      </c>
      <c r="F677" t="n">
        <v>93.90000000000001</v>
      </c>
      <c r="G677" t="n">
        <v>7</v>
      </c>
      <c r="H677" t="n">
        <v>7</v>
      </c>
      <c r="I677">
        <f>IF(G677=H677,1,0)</f>
        <v/>
      </c>
      <c r="J677" t="inlineStr">
        <is>
          <t>CB / CB</t>
        </is>
      </c>
    </row>
    <row r="678">
      <c r="A678" t="inlineStr">
        <is>
          <t>2024-2025</t>
        </is>
      </c>
      <c r="B678" t="inlineStr">
        <is>
          <t>2024-09-04</t>
        </is>
      </c>
      <c r="C678" t="inlineStr">
        <is>
          <t>13:28</t>
        </is>
      </c>
      <c r="D678" t="inlineStr">
        <is>
          <t>n° 17 + n° 18</t>
        </is>
      </c>
      <c r="E678" t="n">
        <v>2</v>
      </c>
      <c r="F678" t="n">
        <v>198.8</v>
      </c>
      <c r="G678" t="n">
        <v>7</v>
      </c>
      <c r="H678" t="n">
        <v>7</v>
      </c>
      <c r="I678">
        <f>IF(G678=H678,1,0)</f>
        <v/>
      </c>
      <c r="J678" t="inlineStr">
        <is>
          <t>CB / CB</t>
        </is>
      </c>
    </row>
    <row r="679">
      <c r="A679" t="inlineStr">
        <is>
          <t>2024-2025</t>
        </is>
      </c>
      <c r="B679" t="inlineStr">
        <is>
          <t>2024-09-05</t>
        </is>
      </c>
      <c r="C679" t="inlineStr">
        <is>
          <t>12:19</t>
        </is>
      </c>
      <c r="D679" t="inlineStr">
        <is>
          <t>n° 7 + n° 8 + n° 9</t>
        </is>
      </c>
      <c r="E679" t="n">
        <v>3</v>
      </c>
      <c r="F679" t="n">
        <v>60.5</v>
      </c>
      <c r="G679" t="n">
        <v>1</v>
      </c>
      <c r="H679" t="n">
        <v>1</v>
      </c>
      <c r="I679">
        <f>IF(G679=H679,1,0)</f>
        <v/>
      </c>
      <c r="J679" t="inlineStr">
        <is>
          <t>CB / CB / CB</t>
        </is>
      </c>
    </row>
    <row r="680">
      <c r="A680" t="inlineStr">
        <is>
          <t>2024-2025</t>
        </is>
      </c>
      <c r="B680" t="inlineStr">
        <is>
          <t>2024-09-06</t>
        </is>
      </c>
      <c r="C680" t="inlineStr">
        <is>
          <t>11:53</t>
        </is>
      </c>
      <c r="D680" t="inlineStr">
        <is>
          <t>n° 2 + n° 3</t>
        </is>
      </c>
      <c r="E680" t="n">
        <v>2</v>
      </c>
      <c r="F680" t="n">
        <v>59.6</v>
      </c>
      <c r="G680" t="n">
        <v>3</v>
      </c>
      <c r="H680" t="n">
        <v>3</v>
      </c>
      <c r="I680">
        <f>IF(G680=H680,1,0)</f>
        <v/>
      </c>
      <c r="J680" t="inlineStr">
        <is>
          <t>CB / CB</t>
        </is>
      </c>
    </row>
    <row r="681">
      <c r="A681" t="inlineStr">
        <is>
          <t>2024-2025</t>
        </is>
      </c>
      <c r="B681" t="inlineStr">
        <is>
          <t>2024-09-07</t>
        </is>
      </c>
      <c r="C681" t="inlineStr">
        <is>
          <t>13:01</t>
        </is>
      </c>
      <c r="D681" t="inlineStr">
        <is>
          <t>n° 12 + n° 13</t>
        </is>
      </c>
      <c r="E681" t="n">
        <v>2</v>
      </c>
      <c r="F681" t="n">
        <v>167.6</v>
      </c>
      <c r="G681" t="n">
        <v>9</v>
      </c>
      <c r="H681" t="n">
        <v>9</v>
      </c>
      <c r="I681">
        <f>IF(G681=H681,1,0)</f>
        <v/>
      </c>
      <c r="J681" t="inlineStr">
        <is>
          <t>CB / CB</t>
        </is>
      </c>
    </row>
    <row r="682">
      <c r="A682" t="inlineStr">
        <is>
          <t>2024-2025</t>
        </is>
      </c>
      <c r="B682" t="inlineStr">
        <is>
          <t>2024-09-07</t>
        </is>
      </c>
      <c r="C682" t="inlineStr">
        <is>
          <t>13:30</t>
        </is>
      </c>
      <c r="D682" t="inlineStr">
        <is>
          <t>n° 17 + n° 18</t>
        </is>
      </c>
      <c r="E682" t="n">
        <v>2</v>
      </c>
      <c r="F682" t="n">
        <v>74.7</v>
      </c>
      <c r="G682" t="n">
        <v>5</v>
      </c>
      <c r="H682" t="n">
        <v>5</v>
      </c>
      <c r="I682">
        <f>IF(G682=H682,1,0)</f>
        <v/>
      </c>
      <c r="J682" t="inlineStr">
        <is>
          <t>CB / CB</t>
        </is>
      </c>
    </row>
    <row r="683">
      <c r="A683" t="inlineStr">
        <is>
          <t>2024-2025</t>
        </is>
      </c>
      <c r="B683" t="inlineStr">
        <is>
          <t>2024-09-11</t>
        </is>
      </c>
      <c r="C683" t="inlineStr">
        <is>
          <t>12:38</t>
        </is>
      </c>
      <c r="D683" t="inlineStr">
        <is>
          <t>n° 4 + n° 5</t>
        </is>
      </c>
      <c r="E683" t="n">
        <v>2</v>
      </c>
      <c r="F683" t="n">
        <v>116.9</v>
      </c>
      <c r="G683" t="n">
        <v>3</v>
      </c>
      <c r="H683" t="n">
        <v>3</v>
      </c>
      <c r="I683">
        <f>IF(G683=H683,1,0)</f>
        <v/>
      </c>
      <c r="J683" t="inlineStr">
        <is>
          <t>CB / CB</t>
        </is>
      </c>
    </row>
    <row r="684">
      <c r="A684" t="inlineStr">
        <is>
          <t>2024-2025</t>
        </is>
      </c>
      <c r="B684" t="inlineStr">
        <is>
          <t>2024-09-11</t>
        </is>
      </c>
      <c r="C684" t="inlineStr">
        <is>
          <t>19:54</t>
        </is>
      </c>
      <c r="D684" t="inlineStr">
        <is>
          <t>n° 21 + n° 22</t>
        </is>
      </c>
      <c r="E684" t="n">
        <v>2</v>
      </c>
      <c r="F684" t="n">
        <v>75.7</v>
      </c>
      <c r="G684" t="n">
        <v>6</v>
      </c>
      <c r="H684" t="n">
        <v>6</v>
      </c>
      <c r="I684">
        <f>IF(G684=H684,1,0)</f>
        <v/>
      </c>
      <c r="J684" t="inlineStr">
        <is>
          <t>CB / CB</t>
        </is>
      </c>
    </row>
    <row r="685">
      <c r="A685" t="inlineStr">
        <is>
          <t>2024-2025</t>
        </is>
      </c>
      <c r="B685" t="inlineStr">
        <is>
          <t>2024-09-11</t>
        </is>
      </c>
      <c r="C685" t="inlineStr">
        <is>
          <t>20:13</t>
        </is>
      </c>
      <c r="D685" t="inlineStr">
        <is>
          <t>n° 25 + n° 26</t>
        </is>
      </c>
      <c r="E685" t="n">
        <v>2</v>
      </c>
      <c r="F685" t="n">
        <v>73.7</v>
      </c>
      <c r="G685" t="n">
        <v>2</v>
      </c>
      <c r="H685" t="n">
        <v>2</v>
      </c>
      <c r="I685">
        <f>IF(G685=H685,1,0)</f>
        <v/>
      </c>
      <c r="J685" t="inlineStr">
        <is>
          <t>CB / CB</t>
        </is>
      </c>
    </row>
    <row r="686">
      <c r="A686" t="inlineStr">
        <is>
          <t>2024-2025</t>
        </is>
      </c>
      <c r="B686" t="inlineStr">
        <is>
          <t>2024-09-12</t>
        </is>
      </c>
      <c r="C686" t="inlineStr">
        <is>
          <t>13:05</t>
        </is>
      </c>
      <c r="D686" t="inlineStr">
        <is>
          <t>n° 14 + n° 15</t>
        </is>
      </c>
      <c r="E686" t="n">
        <v>2</v>
      </c>
      <c r="F686" t="n">
        <v>123.3</v>
      </c>
      <c r="G686" t="n">
        <v>11</v>
      </c>
      <c r="H686" t="n">
        <v>11</v>
      </c>
      <c r="I686">
        <f>IF(G686=H686,1,0)</f>
        <v/>
      </c>
      <c r="J686" t="inlineStr">
        <is>
          <t>CB / ESP</t>
        </is>
      </c>
    </row>
    <row r="687">
      <c r="A687" t="inlineStr">
        <is>
          <t>2024-2025</t>
        </is>
      </c>
      <c r="B687" t="inlineStr">
        <is>
          <t>2024-09-12</t>
        </is>
      </c>
      <c r="C687" t="inlineStr">
        <is>
          <t>20:46</t>
        </is>
      </c>
      <c r="D687" t="inlineStr">
        <is>
          <t>n° 26 + n° 27</t>
        </is>
      </c>
      <c r="E687" t="n">
        <v>2</v>
      </c>
      <c r="F687" t="n">
        <v>62.3</v>
      </c>
      <c r="G687" t="n">
        <v>4</v>
      </c>
      <c r="H687" t="n">
        <v>4</v>
      </c>
      <c r="I687">
        <f>IF(G687=H687,1,0)</f>
        <v/>
      </c>
      <c r="J687" t="inlineStr">
        <is>
          <t>CB / CB</t>
        </is>
      </c>
    </row>
    <row r="688">
      <c r="A688" t="inlineStr">
        <is>
          <t>2024-2025</t>
        </is>
      </c>
      <c r="B688" t="inlineStr">
        <is>
          <t>2024-09-13</t>
        </is>
      </c>
      <c r="C688" t="inlineStr">
        <is>
          <t>12:16</t>
        </is>
      </c>
      <c r="D688" t="inlineStr">
        <is>
          <t>n° 1 + n° 2</t>
        </is>
      </c>
      <c r="E688" t="n">
        <v>2</v>
      </c>
      <c r="F688" t="n">
        <v>42.9</v>
      </c>
      <c r="G688" t="n">
        <v>2</v>
      </c>
      <c r="H688" t="n">
        <v>2</v>
      </c>
      <c r="I688">
        <f>IF(G688=H688,1,0)</f>
        <v/>
      </c>
      <c r="J688" t="inlineStr">
        <is>
          <t>CB / CB</t>
        </is>
      </c>
    </row>
    <row r="689">
      <c r="A689" t="inlineStr">
        <is>
          <t>2024-2025</t>
        </is>
      </c>
      <c r="B689" t="inlineStr">
        <is>
          <t>2024-09-14</t>
        </is>
      </c>
      <c r="C689" t="inlineStr">
        <is>
          <t>12:41</t>
        </is>
      </c>
      <c r="D689" t="inlineStr">
        <is>
          <t>n° 9 + n° 10</t>
        </is>
      </c>
      <c r="E689" t="n">
        <v>2</v>
      </c>
      <c r="F689" t="n">
        <v>106.6</v>
      </c>
      <c r="G689" t="n">
        <v>2</v>
      </c>
      <c r="H689" t="n">
        <v>2</v>
      </c>
      <c r="I689">
        <f>IF(G689=H689,1,0)</f>
        <v/>
      </c>
      <c r="J689" t="inlineStr">
        <is>
          <t>CB / CB</t>
        </is>
      </c>
    </row>
    <row r="690">
      <c r="A690" t="inlineStr">
        <is>
          <t>2024-2025</t>
        </is>
      </c>
      <c r="B690" t="inlineStr">
        <is>
          <t>2024-09-15</t>
        </is>
      </c>
      <c r="C690" t="inlineStr">
        <is>
          <t>20:24</t>
        </is>
      </c>
      <c r="D690" t="inlineStr">
        <is>
          <t>n° 26 + n° 27</t>
        </is>
      </c>
      <c r="E690" t="n">
        <v>2</v>
      </c>
      <c r="F690" t="n">
        <v>170.3</v>
      </c>
      <c r="G690" t="n">
        <v>12</v>
      </c>
      <c r="H690" t="n">
        <v>12</v>
      </c>
      <c r="I690">
        <f>IF(G690=H690,1,0)</f>
        <v/>
      </c>
      <c r="J690" t="inlineStr">
        <is>
          <t>CB / CB</t>
        </is>
      </c>
    </row>
    <row r="691">
      <c r="A691" t="inlineStr">
        <is>
          <t>2024-2025</t>
        </is>
      </c>
      <c r="B691" t="inlineStr">
        <is>
          <t>2024-09-19</t>
        </is>
      </c>
      <c r="C691" t="inlineStr">
        <is>
          <t>20:04</t>
        </is>
      </c>
      <c r="D691" t="inlineStr">
        <is>
          <t>n° 28 + n° 29</t>
        </is>
      </c>
      <c r="E691" t="n">
        <v>2</v>
      </c>
      <c r="F691" t="n">
        <v>159.9</v>
      </c>
      <c r="G691" t="n">
        <v>4</v>
      </c>
      <c r="H691" t="n">
        <v>4</v>
      </c>
      <c r="I691">
        <f>IF(G691=H691,1,0)</f>
        <v/>
      </c>
      <c r="J691" t="inlineStr">
        <is>
          <t>CB / CB</t>
        </is>
      </c>
    </row>
    <row r="692">
      <c r="A692" t="inlineStr">
        <is>
          <t>2024-2025</t>
        </is>
      </c>
      <c r="B692" t="inlineStr">
        <is>
          <t>2024-09-20</t>
        </is>
      </c>
      <c r="C692" t="inlineStr">
        <is>
          <t>19:36</t>
        </is>
      </c>
      <c r="D692" t="inlineStr">
        <is>
          <t>n° 23 + n° 24 + n° 26 + n° 27</t>
        </is>
      </c>
      <c r="E692" t="n">
        <v>4</v>
      </c>
      <c r="F692" t="n">
        <v>205.1</v>
      </c>
      <c r="G692" t="n">
        <v>7</v>
      </c>
      <c r="H692" t="n">
        <v>7</v>
      </c>
      <c r="I692">
        <f>IF(G692=H692,1,0)</f>
        <v/>
      </c>
      <c r="J692" t="inlineStr">
        <is>
          <t>CB / CB / CB / CB</t>
        </is>
      </c>
    </row>
    <row r="693">
      <c r="A693" t="inlineStr">
        <is>
          <t>2024-2025</t>
        </is>
      </c>
      <c r="B693" t="inlineStr">
        <is>
          <t>2024-09-21</t>
        </is>
      </c>
      <c r="C693" t="inlineStr">
        <is>
          <t>13:33</t>
        </is>
      </c>
      <c r="D693" t="inlineStr">
        <is>
          <t>n° 14 + n° 15</t>
        </is>
      </c>
      <c r="E693" t="n">
        <v>2</v>
      </c>
      <c r="F693" t="n">
        <v>61.6</v>
      </c>
      <c r="G693" t="n">
        <v>1</v>
      </c>
      <c r="H693" t="n">
        <v>1</v>
      </c>
      <c r="I693">
        <f>IF(G693=H693,1,0)</f>
        <v/>
      </c>
      <c r="J693" t="inlineStr">
        <is>
          <t>CB / CB</t>
        </is>
      </c>
    </row>
    <row r="694">
      <c r="A694" t="inlineStr">
        <is>
          <t>2024-2025</t>
        </is>
      </c>
      <c r="B694" t="inlineStr">
        <is>
          <t>2024-09-22</t>
        </is>
      </c>
      <c r="C694" t="inlineStr">
        <is>
          <t>19:59</t>
        </is>
      </c>
      <c r="D694" t="inlineStr">
        <is>
          <t>n° 21 + n° 22 + n° 25 + n° 26</t>
        </is>
      </c>
      <c r="E694" t="n">
        <v>4</v>
      </c>
      <c r="F694" t="n">
        <v>169.4</v>
      </c>
      <c r="G694" t="n">
        <v>11</v>
      </c>
      <c r="H694" t="n">
        <v>11</v>
      </c>
      <c r="I694">
        <f>IF(G694=H694,1,0)</f>
        <v/>
      </c>
      <c r="J694" t="inlineStr">
        <is>
          <t>CB / CB / CB / CB</t>
        </is>
      </c>
    </row>
    <row r="695">
      <c r="A695" t="inlineStr">
        <is>
          <t>2024-2025</t>
        </is>
      </c>
      <c r="B695" t="inlineStr">
        <is>
          <t>2024-09-25</t>
        </is>
      </c>
      <c r="C695" t="inlineStr">
        <is>
          <t>20:27</t>
        </is>
      </c>
      <c r="D695" t="inlineStr">
        <is>
          <t>n° 28 + n° 29 + n° 30</t>
        </is>
      </c>
      <c r="E695" t="n">
        <v>3</v>
      </c>
      <c r="F695" t="n">
        <v>77.09999999999999</v>
      </c>
      <c r="G695" t="n">
        <v>8</v>
      </c>
      <c r="H695" t="n">
        <v>8</v>
      </c>
      <c r="I695">
        <f>IF(G695=H695,1,0)</f>
        <v/>
      </c>
      <c r="J695" t="inlineStr">
        <is>
          <t>CB / CB / CB</t>
        </is>
      </c>
    </row>
    <row r="696">
      <c r="A696" t="inlineStr">
        <is>
          <t>2024-2025</t>
        </is>
      </c>
      <c r="B696" t="inlineStr">
        <is>
          <t>2024-09-26</t>
        </is>
      </c>
      <c r="C696" t="inlineStr">
        <is>
          <t>20:43</t>
        </is>
      </c>
      <c r="D696" t="inlineStr">
        <is>
          <t>n° 15 + n° 16</t>
        </is>
      </c>
      <c r="E696" t="n">
        <v>2</v>
      </c>
      <c r="F696" t="n">
        <v>51.1</v>
      </c>
      <c r="G696" t="n">
        <v>1</v>
      </c>
      <c r="H696" t="n">
        <v>1</v>
      </c>
      <c r="I696">
        <f>IF(G696=H696,1,0)</f>
        <v/>
      </c>
      <c r="J696" t="inlineStr">
        <is>
          <t>CB / TR/CB</t>
        </is>
      </c>
    </row>
    <row r="697">
      <c r="A697" t="inlineStr">
        <is>
          <t>2024-2025</t>
        </is>
      </c>
      <c r="B697" t="inlineStr">
        <is>
          <t>2024-09-27</t>
        </is>
      </c>
      <c r="C697" t="inlineStr">
        <is>
          <t>20:44</t>
        </is>
      </c>
      <c r="D697" t="inlineStr">
        <is>
          <t>n° 14 + n° 15 + n° 16 + n° 17</t>
        </is>
      </c>
      <c r="E697" t="n">
        <v>4</v>
      </c>
      <c r="F697" t="n">
        <v>243.3</v>
      </c>
      <c r="G697" t="n">
        <v>10</v>
      </c>
      <c r="H697" t="n">
        <v>10</v>
      </c>
      <c r="I697">
        <f>IF(G697=H697,1,0)</f>
        <v/>
      </c>
      <c r="J697" t="inlineStr">
        <is>
          <t>CB / CHV / CB / CB</t>
        </is>
      </c>
    </row>
    <row r="698">
      <c r="A698" t="inlineStr">
        <is>
          <t>2024-2025</t>
        </is>
      </c>
      <c r="B698" t="inlineStr">
        <is>
          <t>2024-09-29</t>
        </is>
      </c>
      <c r="C698" t="inlineStr">
        <is>
          <t>12:42</t>
        </is>
      </c>
      <c r="D698" t="inlineStr">
        <is>
          <t>n° 5 + n° 6 + n° 8 + n° 9 + n° 10 + n° 11</t>
        </is>
      </c>
      <c r="E698" t="n">
        <v>6</v>
      </c>
      <c r="F698" t="n">
        <v>506.5</v>
      </c>
      <c r="G698" t="n">
        <v>23</v>
      </c>
      <c r="H698" t="n">
        <v>23</v>
      </c>
      <c r="I698">
        <f>IF(G698=H698,1,0)</f>
        <v/>
      </c>
      <c r="J698" t="inlineStr">
        <is>
          <t>CB / CHV / CB / CB / CB / CB</t>
        </is>
      </c>
    </row>
    <row r="699">
      <c r="A699" t="inlineStr">
        <is>
          <t>2024-2025</t>
        </is>
      </c>
      <c r="B699" t="inlineStr">
        <is>
          <t>2024-10-03</t>
        </is>
      </c>
      <c r="C699" t="inlineStr">
        <is>
          <t>12:19</t>
        </is>
      </c>
      <c r="D699" t="inlineStr">
        <is>
          <t>n° 6 + n° 7</t>
        </is>
      </c>
      <c r="E699" t="n">
        <v>2</v>
      </c>
      <c r="F699" t="n">
        <v>37.6</v>
      </c>
      <c r="G699" t="n">
        <v>2</v>
      </c>
      <c r="H699" t="n">
        <v>2</v>
      </c>
      <c r="I699">
        <f>IF(G699=H699,1,0)</f>
        <v/>
      </c>
      <c r="J699" t="inlineStr">
        <is>
          <t>CB / CB</t>
        </is>
      </c>
    </row>
    <row r="700">
      <c r="A700" t="inlineStr">
        <is>
          <t>2024-2025</t>
        </is>
      </c>
      <c r="B700" t="inlineStr">
        <is>
          <t>2024-10-04</t>
        </is>
      </c>
      <c r="C700" t="inlineStr">
        <is>
          <t>13:05</t>
        </is>
      </c>
      <c r="D700" t="inlineStr">
        <is>
          <t>n° 4 + n° 5</t>
        </is>
      </c>
      <c r="E700" t="n">
        <v>2</v>
      </c>
      <c r="F700" t="n">
        <v>212.7</v>
      </c>
      <c r="G700" t="n">
        <v>6</v>
      </c>
      <c r="H700" t="n">
        <v>6</v>
      </c>
      <c r="I700">
        <f>IF(G700=H700,1,0)</f>
        <v/>
      </c>
      <c r="J700" t="inlineStr">
        <is>
          <t>CB / CB</t>
        </is>
      </c>
    </row>
    <row r="701">
      <c r="A701" t="inlineStr">
        <is>
          <t>2024-2025</t>
        </is>
      </c>
      <c r="B701" t="inlineStr">
        <is>
          <t>2024-10-04</t>
        </is>
      </c>
      <c r="C701" t="inlineStr">
        <is>
          <t>13:22</t>
        </is>
      </c>
      <c r="D701" t="inlineStr">
        <is>
          <t>n° 8 + n° 9</t>
        </is>
      </c>
      <c r="E701" t="n">
        <v>2</v>
      </c>
      <c r="F701" t="n">
        <v>104.3</v>
      </c>
      <c r="G701" t="n">
        <v>2</v>
      </c>
      <c r="H701" t="n">
        <v>2</v>
      </c>
      <c r="I701">
        <f>IF(G701=H701,1,0)</f>
        <v/>
      </c>
      <c r="J701" t="inlineStr">
        <is>
          <t>CB / CB</t>
        </is>
      </c>
    </row>
    <row r="702">
      <c r="A702" t="inlineStr">
        <is>
          <t>2024-2025</t>
        </is>
      </c>
      <c r="B702" t="inlineStr">
        <is>
          <t>2024-10-06</t>
        </is>
      </c>
      <c r="C702" t="inlineStr">
        <is>
          <t>12:37</t>
        </is>
      </c>
      <c r="D702" t="inlineStr">
        <is>
          <t>n° 8 + n° 9</t>
        </is>
      </c>
      <c r="E702" t="n">
        <v>2</v>
      </c>
      <c r="F702" t="n">
        <v>98.59999999999999</v>
      </c>
      <c r="G702" t="n">
        <v>4</v>
      </c>
      <c r="H702" t="n">
        <v>4</v>
      </c>
      <c r="I702">
        <f>IF(G702=H702,1,0)</f>
        <v/>
      </c>
      <c r="J702" t="inlineStr">
        <is>
          <t>CB / CB</t>
        </is>
      </c>
    </row>
    <row r="703">
      <c r="A703" t="inlineStr">
        <is>
          <t>2024-2025</t>
        </is>
      </c>
      <c r="B703" t="inlineStr">
        <is>
          <t>2024-10-09</t>
        </is>
      </c>
      <c r="C703" t="inlineStr">
        <is>
          <t>12:43</t>
        </is>
      </c>
      <c r="D703" t="inlineStr">
        <is>
          <t>n° 5 + n° 6</t>
        </is>
      </c>
      <c r="E703" t="n">
        <v>2</v>
      </c>
      <c r="F703" t="n">
        <v>53.2</v>
      </c>
      <c r="G703" t="n">
        <v>5</v>
      </c>
      <c r="H703" t="n">
        <v>5</v>
      </c>
      <c r="I703">
        <f>IF(G703=H703,1,0)</f>
        <v/>
      </c>
      <c r="J703" t="inlineStr">
        <is>
          <t>CB / CB</t>
        </is>
      </c>
    </row>
    <row r="704">
      <c r="A704" t="inlineStr">
        <is>
          <t>2024-2025</t>
        </is>
      </c>
      <c r="B704" t="inlineStr">
        <is>
          <t>2024-10-09</t>
        </is>
      </c>
      <c r="C704" t="inlineStr">
        <is>
          <t>20:16</t>
        </is>
      </c>
      <c r="D704" t="inlineStr">
        <is>
          <t>n° 23 + n° 24</t>
        </is>
      </c>
      <c r="E704" t="n">
        <v>2</v>
      </c>
      <c r="F704" t="n">
        <v>108.4</v>
      </c>
      <c r="G704" t="n">
        <v>5</v>
      </c>
      <c r="H704" t="n">
        <v>5</v>
      </c>
      <c r="I704">
        <f>IF(G704=H704,1,0)</f>
        <v/>
      </c>
      <c r="J704" t="inlineStr">
        <is>
          <t>CB / CB</t>
        </is>
      </c>
    </row>
    <row r="705">
      <c r="A705" t="inlineStr">
        <is>
          <t>2024-2025</t>
        </is>
      </c>
      <c r="B705" t="inlineStr">
        <is>
          <t>2024-10-09</t>
        </is>
      </c>
      <c r="C705" t="inlineStr">
        <is>
          <t>20:40</t>
        </is>
      </c>
      <c r="D705" t="inlineStr">
        <is>
          <t>n° 25 + n° 26</t>
        </is>
      </c>
      <c r="E705" t="n">
        <v>2</v>
      </c>
      <c r="F705" t="n">
        <v>81.8</v>
      </c>
      <c r="G705" t="n">
        <v>4</v>
      </c>
      <c r="H705" t="n">
        <v>4</v>
      </c>
      <c r="I705">
        <f>IF(G705=H705,1,0)</f>
        <v/>
      </c>
      <c r="J705" t="inlineStr">
        <is>
          <t>CB / CB</t>
        </is>
      </c>
    </row>
    <row r="706">
      <c r="A706" t="inlineStr">
        <is>
          <t>2024-2025</t>
        </is>
      </c>
      <c r="B706" t="inlineStr">
        <is>
          <t>2024-10-11</t>
        </is>
      </c>
      <c r="C706" t="inlineStr">
        <is>
          <t>11:48</t>
        </is>
      </c>
      <c r="D706" t="inlineStr">
        <is>
          <t>n° 2 + n° 3</t>
        </is>
      </c>
      <c r="E706" t="n">
        <v>2</v>
      </c>
      <c r="F706" t="n">
        <v>118.2</v>
      </c>
      <c r="G706" t="n">
        <v>8</v>
      </c>
      <c r="H706" t="n">
        <v>8</v>
      </c>
      <c r="I706">
        <f>IF(G706=H706,1,0)</f>
        <v/>
      </c>
      <c r="J706" t="inlineStr">
        <is>
          <t>CB / CB</t>
        </is>
      </c>
    </row>
    <row r="707">
      <c r="A707" t="inlineStr">
        <is>
          <t>2024-2025</t>
        </is>
      </c>
      <c r="B707" t="inlineStr">
        <is>
          <t>2024-10-12</t>
        </is>
      </c>
      <c r="C707" t="inlineStr">
        <is>
          <t>11:56</t>
        </is>
      </c>
      <c r="D707" t="inlineStr">
        <is>
          <t>n° 1 + n° 2</t>
        </is>
      </c>
      <c r="E707" t="n">
        <v>2</v>
      </c>
      <c r="F707" t="n">
        <v>58</v>
      </c>
      <c r="G707" t="n">
        <v>4</v>
      </c>
      <c r="H707" t="n">
        <v>4</v>
      </c>
      <c r="I707">
        <f>IF(G707=H707,1,0)</f>
        <v/>
      </c>
      <c r="J707" t="inlineStr">
        <is>
          <t>CB / CB</t>
        </is>
      </c>
    </row>
    <row r="708">
      <c r="A708" t="inlineStr">
        <is>
          <t>2024-2025</t>
        </is>
      </c>
      <c r="B708" t="inlineStr">
        <is>
          <t>2024-10-12</t>
        </is>
      </c>
      <c r="C708" t="inlineStr">
        <is>
          <t>12:20</t>
        </is>
      </c>
      <c r="D708" t="inlineStr">
        <is>
          <t>n° 3 + n° 4</t>
        </is>
      </c>
      <c r="E708" t="n">
        <v>2</v>
      </c>
      <c r="F708" t="n">
        <v>66.8</v>
      </c>
      <c r="G708" t="n">
        <v>2</v>
      </c>
      <c r="H708" t="n">
        <v>2</v>
      </c>
      <c r="I708">
        <f>IF(G708=H708,1,0)</f>
        <v/>
      </c>
      <c r="J708" t="inlineStr">
        <is>
          <t>CB / CB</t>
        </is>
      </c>
    </row>
    <row r="709">
      <c r="A709" t="inlineStr">
        <is>
          <t>2024-2025</t>
        </is>
      </c>
      <c r="B709" t="inlineStr">
        <is>
          <t>2024-10-12</t>
        </is>
      </c>
      <c r="C709" t="inlineStr">
        <is>
          <t>12:55</t>
        </is>
      </c>
      <c r="D709" t="inlineStr">
        <is>
          <t>n° 10 + n° 11</t>
        </is>
      </c>
      <c r="E709" t="n">
        <v>2</v>
      </c>
      <c r="F709" t="n">
        <v>185.6</v>
      </c>
      <c r="G709" t="n">
        <v>7</v>
      </c>
      <c r="H709" t="n">
        <v>7</v>
      </c>
      <c r="I709">
        <f>IF(G709=H709,1,0)</f>
        <v/>
      </c>
      <c r="J709" t="inlineStr">
        <is>
          <t>CB / CB</t>
        </is>
      </c>
    </row>
    <row r="710">
      <c r="A710" t="inlineStr">
        <is>
          <t>2024-2025</t>
        </is>
      </c>
      <c r="B710" t="inlineStr">
        <is>
          <t>2024-10-12</t>
        </is>
      </c>
      <c r="C710" t="inlineStr">
        <is>
          <t>20:24</t>
        </is>
      </c>
      <c r="D710" t="inlineStr">
        <is>
          <t>n° 23 + n° 24</t>
        </is>
      </c>
      <c r="E710" t="n">
        <v>2</v>
      </c>
      <c r="F710" t="n">
        <v>98.3</v>
      </c>
      <c r="G710" t="n">
        <v>8</v>
      </c>
      <c r="H710" t="n">
        <v>8</v>
      </c>
      <c r="I710">
        <f>IF(G710=H710,1,0)</f>
        <v/>
      </c>
      <c r="J710" t="inlineStr">
        <is>
          <t>CB / CB</t>
        </is>
      </c>
    </row>
    <row r="711">
      <c r="A711" t="inlineStr">
        <is>
          <t>2024-2025</t>
        </is>
      </c>
      <c r="B711" t="inlineStr">
        <is>
          <t>2024-10-13</t>
        </is>
      </c>
      <c r="C711" t="inlineStr">
        <is>
          <t>12:05</t>
        </is>
      </c>
      <c r="D711" t="inlineStr">
        <is>
          <t>n° 1 + n° 2</t>
        </is>
      </c>
      <c r="E711" t="n">
        <v>2</v>
      </c>
      <c r="F711" t="n">
        <v>92.8</v>
      </c>
      <c r="G711" t="n">
        <v>2</v>
      </c>
      <c r="H711" t="n">
        <v>2</v>
      </c>
      <c r="I711">
        <f>IF(G711=H711,1,0)</f>
        <v/>
      </c>
      <c r="J711" t="inlineStr">
        <is>
          <t>CB / CB</t>
        </is>
      </c>
    </row>
    <row r="712">
      <c r="A712" t="inlineStr">
        <is>
          <t>2024-2025</t>
        </is>
      </c>
      <c r="B712" t="inlineStr">
        <is>
          <t>2024-10-13</t>
        </is>
      </c>
      <c r="C712" t="inlineStr">
        <is>
          <t>13:21</t>
        </is>
      </c>
      <c r="D712" t="inlineStr">
        <is>
          <t>n° 13 + n° 14</t>
        </is>
      </c>
      <c r="E712" t="n">
        <v>2</v>
      </c>
      <c r="F712" t="n">
        <v>179.6</v>
      </c>
      <c r="G712" t="n">
        <v>11</v>
      </c>
      <c r="H712" t="n">
        <v>11</v>
      </c>
      <c r="I712">
        <f>IF(G712=H712,1,0)</f>
        <v/>
      </c>
      <c r="J712" t="inlineStr">
        <is>
          <t>CB / CB</t>
        </is>
      </c>
    </row>
    <row r="713">
      <c r="A713" t="inlineStr">
        <is>
          <t>2024-2025</t>
        </is>
      </c>
      <c r="B713" t="inlineStr">
        <is>
          <t>2024-10-16</t>
        </is>
      </c>
      <c r="C713" t="inlineStr">
        <is>
          <t>12:37</t>
        </is>
      </c>
      <c r="D713" t="inlineStr">
        <is>
          <t>n° 6 + n° 7</t>
        </is>
      </c>
      <c r="E713" t="n">
        <v>2</v>
      </c>
      <c r="F713" t="n">
        <v>185.6</v>
      </c>
      <c r="G713" t="n">
        <v>3</v>
      </c>
      <c r="H713" t="n">
        <v>3</v>
      </c>
      <c r="I713">
        <f>IF(G713=H713,1,0)</f>
        <v/>
      </c>
      <c r="J713" t="inlineStr">
        <is>
          <t>CB / CB</t>
        </is>
      </c>
    </row>
    <row r="714">
      <c r="A714" t="inlineStr">
        <is>
          <t>2024-2025</t>
        </is>
      </c>
      <c r="B714" t="inlineStr">
        <is>
          <t>2024-10-17</t>
        </is>
      </c>
      <c r="C714" t="inlineStr">
        <is>
          <t>20:28</t>
        </is>
      </c>
      <c r="D714" t="inlineStr">
        <is>
          <t>n° 21 + n° 22</t>
        </is>
      </c>
      <c r="E714" t="n">
        <v>2</v>
      </c>
      <c r="F714" t="n">
        <v>171</v>
      </c>
      <c r="G714" t="n">
        <v>10</v>
      </c>
      <c r="H714" t="n">
        <v>10</v>
      </c>
      <c r="I714">
        <f>IF(G714=H714,1,0)</f>
        <v/>
      </c>
      <c r="J714" t="inlineStr">
        <is>
          <t>CB / CHV/ESP</t>
        </is>
      </c>
    </row>
    <row r="715">
      <c r="A715" t="inlineStr">
        <is>
          <t>2024-2025</t>
        </is>
      </c>
      <c r="B715" t="inlineStr">
        <is>
          <t>2024-10-18</t>
        </is>
      </c>
      <c r="C715" t="inlineStr">
        <is>
          <t>20:29</t>
        </is>
      </c>
      <c r="D715" t="inlineStr">
        <is>
          <t>n° 13 + n° 14</t>
        </is>
      </c>
      <c r="E715" t="n">
        <v>2</v>
      </c>
      <c r="F715" t="n">
        <v>223</v>
      </c>
      <c r="G715" t="n">
        <v>12</v>
      </c>
      <c r="H715" t="n">
        <v>12</v>
      </c>
      <c r="I715">
        <f>IF(G715=H715,1,0)</f>
        <v/>
      </c>
      <c r="J715" t="inlineStr">
        <is>
          <t>CB / CHV/CB</t>
        </is>
      </c>
    </row>
    <row r="716">
      <c r="A716" t="inlineStr">
        <is>
          <t>2024-2025</t>
        </is>
      </c>
      <c r="B716" t="inlineStr">
        <is>
          <t>2024-10-20</t>
        </is>
      </c>
      <c r="C716" t="inlineStr">
        <is>
          <t>13:28</t>
        </is>
      </c>
      <c r="D716" t="inlineStr">
        <is>
          <t>n° 14 + n° 15</t>
        </is>
      </c>
      <c r="E716" t="n">
        <v>2</v>
      </c>
      <c r="F716" t="n">
        <v>65.59999999999999</v>
      </c>
      <c r="G716" t="n">
        <v>2</v>
      </c>
      <c r="H716" t="n">
        <v>2</v>
      </c>
      <c r="I716">
        <f>IF(G716=H716,1,0)</f>
        <v/>
      </c>
      <c r="J716" t="inlineStr">
        <is>
          <t>CB / CB</t>
        </is>
      </c>
    </row>
    <row r="717">
      <c r="A717" t="inlineStr">
        <is>
          <t>2024-2025</t>
        </is>
      </c>
      <c r="B717" t="inlineStr">
        <is>
          <t>2024-10-23</t>
        </is>
      </c>
      <c r="C717" t="inlineStr">
        <is>
          <t>12:17</t>
        </is>
      </c>
      <c r="D717" t="inlineStr">
        <is>
          <t>n° 6 + n° 7</t>
        </is>
      </c>
      <c r="E717" t="n">
        <v>2</v>
      </c>
      <c r="F717" t="n">
        <v>64.5</v>
      </c>
      <c r="G717" t="n">
        <v>1</v>
      </c>
      <c r="H717" t="n">
        <v>1</v>
      </c>
      <c r="I717">
        <f>IF(G717=H717,1,0)</f>
        <v/>
      </c>
      <c r="J717" t="inlineStr">
        <is>
          <t>CB / CB</t>
        </is>
      </c>
    </row>
    <row r="718">
      <c r="A718" t="inlineStr">
        <is>
          <t>2024-2025</t>
        </is>
      </c>
      <c r="B718" t="inlineStr">
        <is>
          <t>2024-10-24</t>
        </is>
      </c>
      <c r="C718" t="inlineStr">
        <is>
          <t>20:36</t>
        </is>
      </c>
      <c r="D718" t="inlineStr">
        <is>
          <t>n° 26 + n° 27</t>
        </is>
      </c>
      <c r="E718" t="n">
        <v>2</v>
      </c>
      <c r="F718" t="n">
        <v>83.8</v>
      </c>
      <c r="G718" t="n">
        <v>4</v>
      </c>
      <c r="H718" t="n">
        <v>4</v>
      </c>
      <c r="I718">
        <f>IF(G718=H718,1,0)</f>
        <v/>
      </c>
      <c r="J718" t="inlineStr">
        <is>
          <t>CB / CB</t>
        </is>
      </c>
    </row>
    <row r="719">
      <c r="A719" t="inlineStr">
        <is>
          <t>2024-2025</t>
        </is>
      </c>
      <c r="B719" t="inlineStr">
        <is>
          <t>2024-10-26</t>
        </is>
      </c>
      <c r="C719" t="inlineStr">
        <is>
          <t>12:21</t>
        </is>
      </c>
      <c r="D719" t="inlineStr">
        <is>
          <t>n° 3 + n° 4</t>
        </is>
      </c>
      <c r="E719" t="n">
        <v>2</v>
      </c>
      <c r="F719" t="n">
        <v>77</v>
      </c>
      <c r="G719" t="n">
        <v>7</v>
      </c>
      <c r="H719" t="n">
        <v>7</v>
      </c>
      <c r="I719">
        <f>IF(G719=H719,1,0)</f>
        <v/>
      </c>
      <c r="J719" t="inlineStr">
        <is>
          <t>CB / CB</t>
        </is>
      </c>
    </row>
    <row r="720">
      <c r="A720" t="inlineStr">
        <is>
          <t>2024-2025</t>
        </is>
      </c>
      <c r="B720" t="inlineStr">
        <is>
          <t>2024-10-26</t>
        </is>
      </c>
      <c r="C720" t="inlineStr">
        <is>
          <t>13:18</t>
        </is>
      </c>
      <c r="D720" t="inlineStr">
        <is>
          <t>n° 17 + n° 18</t>
        </is>
      </c>
      <c r="E720" t="n">
        <v>2</v>
      </c>
      <c r="F720" t="n">
        <v>222.1</v>
      </c>
      <c r="G720" t="n">
        <v>14</v>
      </c>
      <c r="H720" t="n">
        <v>14</v>
      </c>
      <c r="I720">
        <f>IF(G720=H720,1,0)</f>
        <v/>
      </c>
      <c r="J720" t="inlineStr">
        <is>
          <t>CB / CB</t>
        </is>
      </c>
    </row>
    <row r="721">
      <c r="A721" t="inlineStr">
        <is>
          <t>2024-2025</t>
        </is>
      </c>
      <c r="B721" t="inlineStr">
        <is>
          <t>2024-10-26</t>
        </is>
      </c>
      <c r="C721" t="inlineStr">
        <is>
          <t>19:23</t>
        </is>
      </c>
      <c r="D721" t="inlineStr">
        <is>
          <t>n° 19 + n° 20</t>
        </is>
      </c>
      <c r="E721" t="n">
        <v>2</v>
      </c>
      <c r="F721" t="n">
        <v>111</v>
      </c>
      <c r="G721" t="n">
        <v>8</v>
      </c>
      <c r="H721" t="n">
        <v>8</v>
      </c>
      <c r="I721">
        <f>IF(G721=H721,1,0)</f>
        <v/>
      </c>
      <c r="J721" t="inlineStr">
        <is>
          <t>CB / CB</t>
        </is>
      </c>
    </row>
    <row r="722">
      <c r="A722" t="inlineStr">
        <is>
          <t>2024-2025</t>
        </is>
      </c>
      <c r="B722" t="inlineStr">
        <is>
          <t>2024-10-26</t>
        </is>
      </c>
      <c r="C722" t="inlineStr">
        <is>
          <t>20:36</t>
        </is>
      </c>
      <c r="D722" t="inlineStr">
        <is>
          <t>n° 27 + n° 28</t>
        </is>
      </c>
      <c r="E722" t="n">
        <v>2</v>
      </c>
      <c r="F722" t="n">
        <v>141.4</v>
      </c>
      <c r="G722" t="n">
        <v>9</v>
      </c>
      <c r="H722" t="n">
        <v>9</v>
      </c>
      <c r="I722">
        <f>IF(G722=H722,1,0)</f>
        <v/>
      </c>
      <c r="J722" t="inlineStr">
        <is>
          <t>CB / CB</t>
        </is>
      </c>
    </row>
    <row r="723">
      <c r="A723" t="inlineStr">
        <is>
          <t>2024-2025</t>
        </is>
      </c>
      <c r="B723" t="inlineStr">
        <is>
          <t>2024-10-26</t>
        </is>
      </c>
      <c r="C723" t="inlineStr">
        <is>
          <t>20:55</t>
        </is>
      </c>
      <c r="D723" t="inlineStr">
        <is>
          <t>n° 33 + n° 34</t>
        </is>
      </c>
      <c r="E723" t="n">
        <v>2</v>
      </c>
      <c r="F723" t="n">
        <v>191.8</v>
      </c>
      <c r="G723" t="n">
        <v>5</v>
      </c>
      <c r="H723" t="n">
        <v>5</v>
      </c>
      <c r="I723">
        <f>IF(G723=H723,1,0)</f>
        <v/>
      </c>
      <c r="J723" t="inlineStr">
        <is>
          <t>CB / CB</t>
        </is>
      </c>
    </row>
    <row r="724">
      <c r="A724" t="inlineStr">
        <is>
          <t>2024-2025</t>
        </is>
      </c>
      <c r="B724" t="inlineStr">
        <is>
          <t>2024-10-27</t>
        </is>
      </c>
      <c r="C724" t="inlineStr">
        <is>
          <t>13:25</t>
        </is>
      </c>
      <c r="D724" t="inlineStr">
        <is>
          <t>n° 9 + n° 10</t>
        </is>
      </c>
      <c r="E724" t="n">
        <v>2</v>
      </c>
      <c r="F724" t="n">
        <v>91</v>
      </c>
      <c r="G724" t="n">
        <v>7</v>
      </c>
      <c r="H724" t="n">
        <v>7</v>
      </c>
      <c r="I724">
        <f>IF(G724=H724,1,0)</f>
        <v/>
      </c>
      <c r="J724" t="inlineStr">
        <is>
          <t>CB / CB</t>
        </is>
      </c>
    </row>
    <row r="725">
      <c r="A725" t="inlineStr">
        <is>
          <t>2024-2025</t>
        </is>
      </c>
      <c r="B725" t="inlineStr">
        <is>
          <t>2024-10-30</t>
        </is>
      </c>
      <c r="C725" t="inlineStr">
        <is>
          <t>12:40</t>
        </is>
      </c>
      <c r="D725" t="inlineStr">
        <is>
          <t>n° 9 + n° 10 + n° 11</t>
        </is>
      </c>
      <c r="E725" t="n">
        <v>3</v>
      </c>
      <c r="F725" t="n">
        <v>70.59999999999999</v>
      </c>
      <c r="G725" t="n">
        <v>6</v>
      </c>
      <c r="H725" t="n">
        <v>2</v>
      </c>
      <c r="I725">
        <f>IF(G725=H725,1,0)</f>
        <v/>
      </c>
      <c r="J725" t="inlineStr">
        <is>
          <t>CB / CHV/CB / CHV/CB</t>
        </is>
      </c>
    </row>
    <row r="726">
      <c r="A726" t="inlineStr">
        <is>
          <t>2024-2025</t>
        </is>
      </c>
      <c r="B726" t="inlineStr">
        <is>
          <t>2024-10-30</t>
        </is>
      </c>
      <c r="C726" t="inlineStr">
        <is>
          <t>19:56</t>
        </is>
      </c>
      <c r="D726" t="inlineStr">
        <is>
          <t>n° 21 + n° 22</t>
        </is>
      </c>
      <c r="E726" t="n">
        <v>2</v>
      </c>
      <c r="F726" t="n">
        <v>230.9</v>
      </c>
      <c r="G726" t="n">
        <v>13</v>
      </c>
      <c r="H726" t="n">
        <v>13</v>
      </c>
      <c r="I726">
        <f>IF(G726=H726,1,0)</f>
        <v/>
      </c>
      <c r="J726" t="inlineStr">
        <is>
          <t>CB / CB</t>
        </is>
      </c>
    </row>
    <row r="727">
      <c r="A727" t="inlineStr">
        <is>
          <t>2024-2025</t>
        </is>
      </c>
      <c r="B727" t="inlineStr">
        <is>
          <t>2024-10-31</t>
        </is>
      </c>
      <c r="C727" t="inlineStr">
        <is>
          <t>12:24</t>
        </is>
      </c>
      <c r="D727" t="inlineStr">
        <is>
          <t>n° 7 + n° 8</t>
        </is>
      </c>
      <c r="E727" t="n">
        <v>2</v>
      </c>
      <c r="F727" t="n">
        <v>89.59999999999999</v>
      </c>
      <c r="G727" t="n">
        <v>9</v>
      </c>
      <c r="H727" t="n">
        <v>9</v>
      </c>
      <c r="I727">
        <f>IF(G727=H727,1,0)</f>
        <v/>
      </c>
      <c r="J727" t="inlineStr">
        <is>
          <t>CB / CB</t>
        </is>
      </c>
    </row>
    <row r="728">
      <c r="A728" t="inlineStr">
        <is>
          <t>2024-2025</t>
        </is>
      </c>
      <c r="B728" t="inlineStr">
        <is>
          <t>2024-10-31</t>
        </is>
      </c>
      <c r="C728" t="inlineStr">
        <is>
          <t>19:42</t>
        </is>
      </c>
      <c r="D728" t="inlineStr">
        <is>
          <t>n° 20 + n° 21</t>
        </is>
      </c>
      <c r="E728" t="n">
        <v>2</v>
      </c>
      <c r="F728" t="n">
        <v>116.5</v>
      </c>
      <c r="G728" t="n">
        <v>6</v>
      </c>
      <c r="H728" t="n">
        <v>6</v>
      </c>
      <c r="I728">
        <f>IF(G728=H728,1,0)</f>
        <v/>
      </c>
      <c r="J728" t="inlineStr">
        <is>
          <t>CB / CB</t>
        </is>
      </c>
    </row>
    <row r="729">
      <c r="A729" t="inlineStr">
        <is>
          <t>2024-2025</t>
        </is>
      </c>
      <c r="B729" t="inlineStr">
        <is>
          <t>2024-10-31</t>
        </is>
      </c>
      <c r="C729" t="inlineStr">
        <is>
          <t>20:24</t>
        </is>
      </c>
      <c r="D729" t="inlineStr">
        <is>
          <t>n° 26 + n° 27</t>
        </is>
      </c>
      <c r="E729" t="n">
        <v>2</v>
      </c>
      <c r="F729" t="n">
        <v>62</v>
      </c>
      <c r="G729" t="n">
        <v>6</v>
      </c>
      <c r="H729" t="n">
        <v>6</v>
      </c>
      <c r="I729">
        <f>IF(G729=H729,1,0)</f>
        <v/>
      </c>
      <c r="J729" t="inlineStr">
        <is>
          <t>TR/CB / CB</t>
        </is>
      </c>
    </row>
    <row r="730">
      <c r="A730" t="inlineStr">
        <is>
          <t>2024-2025</t>
        </is>
      </c>
      <c r="B730" t="inlineStr">
        <is>
          <t>2024-11-01</t>
        </is>
      </c>
      <c r="C730" t="inlineStr">
        <is>
          <t>13:51</t>
        </is>
      </c>
      <c r="D730" t="inlineStr">
        <is>
          <t>n° 11 + n° 12</t>
        </is>
      </c>
      <c r="E730" t="n">
        <v>2</v>
      </c>
      <c r="F730" t="n">
        <v>146.3</v>
      </c>
      <c r="G730" t="n">
        <v>6</v>
      </c>
      <c r="H730" t="n">
        <v>6</v>
      </c>
      <c r="I730">
        <f>IF(G730=H730,1,0)</f>
        <v/>
      </c>
      <c r="J730" t="inlineStr">
        <is>
          <t>CB / CB</t>
        </is>
      </c>
    </row>
    <row r="731">
      <c r="A731" t="inlineStr">
        <is>
          <t>2024-2025</t>
        </is>
      </c>
      <c r="B731" t="inlineStr">
        <is>
          <t>2024-11-02</t>
        </is>
      </c>
      <c r="C731" t="inlineStr">
        <is>
          <t>13:10</t>
        </is>
      </c>
      <c r="D731" t="inlineStr">
        <is>
          <t>n° 7 + n° 8</t>
        </is>
      </c>
      <c r="E731" t="n">
        <v>2</v>
      </c>
      <c r="F731" t="n">
        <v>77.40000000000001</v>
      </c>
      <c r="G731" t="n">
        <v>4</v>
      </c>
      <c r="H731" t="n">
        <v>4</v>
      </c>
      <c r="I731">
        <f>IF(G731=H731,1,0)</f>
        <v/>
      </c>
      <c r="J731" t="inlineStr">
        <is>
          <t>CB / CB</t>
        </is>
      </c>
    </row>
    <row r="732">
      <c r="A732" t="inlineStr">
        <is>
          <t>2024-2025</t>
        </is>
      </c>
      <c r="B732" t="inlineStr">
        <is>
          <t>2024-11-02</t>
        </is>
      </c>
      <c r="C732" t="inlineStr">
        <is>
          <t>20:42</t>
        </is>
      </c>
      <c r="D732" t="inlineStr">
        <is>
          <t>n° 18 + n° 19 + n° 21 + n° 22</t>
        </is>
      </c>
      <c r="E732" t="n">
        <v>4</v>
      </c>
      <c r="F732" t="n">
        <v>230.2</v>
      </c>
      <c r="G732" t="n">
        <v>8</v>
      </c>
      <c r="H732" t="n">
        <v>8</v>
      </c>
      <c r="I732">
        <f>IF(G732=H732,1,0)</f>
        <v/>
      </c>
      <c r="J732" t="inlineStr">
        <is>
          <t>CB / CB / CB / CB</t>
        </is>
      </c>
    </row>
    <row r="733">
      <c r="A733" t="inlineStr">
        <is>
          <t>2024-2025</t>
        </is>
      </c>
      <c r="B733" t="inlineStr">
        <is>
          <t>2024-11-03</t>
        </is>
      </c>
      <c r="C733" t="inlineStr">
        <is>
          <t>13:34</t>
        </is>
      </c>
      <c r="D733" t="inlineStr">
        <is>
          <t>n° 8 + n° 9</t>
        </is>
      </c>
      <c r="E733" t="n">
        <v>2</v>
      </c>
      <c r="F733" t="n">
        <v>386.4</v>
      </c>
      <c r="G733" t="n">
        <v>8</v>
      </c>
      <c r="H733" t="n">
        <v>8</v>
      </c>
      <c r="I733">
        <f>IF(G733=H733,1,0)</f>
        <v/>
      </c>
      <c r="J733" t="inlineStr">
        <is>
          <t>CB / CHV/CB</t>
        </is>
      </c>
    </row>
    <row r="734">
      <c r="A734" t="inlineStr">
        <is>
          <t>2024-2025</t>
        </is>
      </c>
      <c r="B734" t="inlineStr">
        <is>
          <t>2024-11-06</t>
        </is>
      </c>
      <c r="C734" t="inlineStr">
        <is>
          <t>11:58</t>
        </is>
      </c>
      <c r="D734" t="inlineStr">
        <is>
          <t>n° 6 + n° 7</t>
        </is>
      </c>
      <c r="E734" t="n">
        <v>2</v>
      </c>
      <c r="F734" t="n">
        <v>29</v>
      </c>
      <c r="G734" t="n">
        <v>1</v>
      </c>
      <c r="H734" t="n">
        <v>1</v>
      </c>
      <c r="I734">
        <f>IF(G734=H734,1,0)</f>
        <v/>
      </c>
      <c r="J734" t="inlineStr">
        <is>
          <t>CB / CB</t>
        </is>
      </c>
    </row>
    <row r="735">
      <c r="A735" t="inlineStr">
        <is>
          <t>2024-2025</t>
        </is>
      </c>
      <c r="B735" t="inlineStr">
        <is>
          <t>2024-11-06</t>
        </is>
      </c>
      <c r="C735" t="inlineStr">
        <is>
          <t>12:59</t>
        </is>
      </c>
      <c r="D735" t="inlineStr">
        <is>
          <t>n° 17 + n° 18</t>
        </is>
      </c>
      <c r="E735" t="n">
        <v>2</v>
      </c>
      <c r="F735" t="n">
        <v>165.6</v>
      </c>
      <c r="G735" t="n">
        <v>10</v>
      </c>
      <c r="H735" t="n">
        <v>10</v>
      </c>
      <c r="I735">
        <f>IF(G735=H735,1,0)</f>
        <v/>
      </c>
      <c r="J735" t="inlineStr">
        <is>
          <t>CB / CB</t>
        </is>
      </c>
    </row>
    <row r="736">
      <c r="A736" t="inlineStr">
        <is>
          <t>2024-2025</t>
        </is>
      </c>
      <c r="B736" t="inlineStr">
        <is>
          <t>2024-11-08</t>
        </is>
      </c>
      <c r="C736" t="inlineStr">
        <is>
          <t>12:48</t>
        </is>
      </c>
      <c r="D736" t="inlineStr">
        <is>
          <t>n° 7 + n° 8 + n° 9 + n° 13 + n° 14</t>
        </is>
      </c>
      <c r="E736" t="n">
        <v>5</v>
      </c>
      <c r="F736" t="n">
        <v>150.2</v>
      </c>
      <c r="G736" t="n">
        <v>2</v>
      </c>
      <c r="H736" t="n">
        <v>2</v>
      </c>
      <c r="I736">
        <f>IF(G736=H736,1,0)</f>
        <v/>
      </c>
      <c r="J736" t="inlineStr">
        <is>
          <t>CB / CB / CB / CB / CB</t>
        </is>
      </c>
    </row>
    <row r="737">
      <c r="A737" t="inlineStr">
        <is>
          <t>2024-2025</t>
        </is>
      </c>
      <c r="B737" t="inlineStr">
        <is>
          <t>2024-11-08</t>
        </is>
      </c>
      <c r="C737" t="inlineStr">
        <is>
          <t>19:43</t>
        </is>
      </c>
      <c r="D737" t="inlineStr">
        <is>
          <t>n° 22 + n° 23</t>
        </is>
      </c>
      <c r="E737" t="n">
        <v>2</v>
      </c>
      <c r="F737" t="n">
        <v>57.7</v>
      </c>
      <c r="G737" t="n">
        <v>5</v>
      </c>
      <c r="H737" t="n">
        <v>5</v>
      </c>
      <c r="I737">
        <f>IF(G737=H737,1,0)</f>
        <v/>
      </c>
      <c r="J737" t="inlineStr">
        <is>
          <t>CB / CB</t>
        </is>
      </c>
    </row>
    <row r="738">
      <c r="A738" t="inlineStr">
        <is>
          <t>2024-2025</t>
        </is>
      </c>
      <c r="B738" t="inlineStr">
        <is>
          <t>2024-11-13</t>
        </is>
      </c>
      <c r="C738" t="inlineStr">
        <is>
          <t>20:38</t>
        </is>
      </c>
      <c r="D738" t="inlineStr">
        <is>
          <t>n° 18 + n° 19</t>
        </is>
      </c>
      <c r="E738" t="n">
        <v>2</v>
      </c>
      <c r="F738" t="n">
        <v>104.4</v>
      </c>
      <c r="G738" t="n">
        <v>4</v>
      </c>
      <c r="H738" t="n">
        <v>4</v>
      </c>
      <c r="I738">
        <f>IF(G738=H738,1,0)</f>
        <v/>
      </c>
      <c r="J738" t="inlineStr">
        <is>
          <t>CB / CB</t>
        </is>
      </c>
    </row>
    <row r="739">
      <c r="A739" t="inlineStr">
        <is>
          <t>2024-2025</t>
        </is>
      </c>
      <c r="B739" t="inlineStr">
        <is>
          <t>2024-11-15</t>
        </is>
      </c>
      <c r="C739" t="inlineStr">
        <is>
          <t>18:34</t>
        </is>
      </c>
      <c r="D739" t="inlineStr">
        <is>
          <t>n° 7 + n° 8</t>
        </is>
      </c>
      <c r="E739" t="n">
        <v>2</v>
      </c>
      <c r="F739" t="n">
        <v>154.5</v>
      </c>
      <c r="G739" t="n">
        <v>5</v>
      </c>
      <c r="H739" t="n">
        <v>5</v>
      </c>
      <c r="I739">
        <f>IF(G739=H739,1,0)</f>
        <v/>
      </c>
      <c r="J739" t="inlineStr">
        <is>
          <t>CB / CB</t>
        </is>
      </c>
    </row>
    <row r="740">
      <c r="A740" t="inlineStr">
        <is>
          <t>2024-2025</t>
        </is>
      </c>
      <c r="B740" t="inlineStr">
        <is>
          <t>2024-11-21</t>
        </is>
      </c>
      <c r="C740" t="inlineStr">
        <is>
          <t>21:05</t>
        </is>
      </c>
      <c r="D740" t="inlineStr">
        <is>
          <t>n° 14 + n° 15</t>
        </is>
      </c>
      <c r="E740" t="n">
        <v>2</v>
      </c>
      <c r="F740" t="n">
        <v>51</v>
      </c>
      <c r="G740" t="n">
        <v>5</v>
      </c>
      <c r="H740" t="n">
        <v>5</v>
      </c>
      <c r="I740">
        <f>IF(G740=H740,1,0)</f>
        <v/>
      </c>
      <c r="J740" t="inlineStr">
        <is>
          <t>CB / CB</t>
        </is>
      </c>
    </row>
    <row r="741">
      <c r="A741" t="inlineStr">
        <is>
          <t>2024-2025</t>
        </is>
      </c>
      <c r="B741" t="inlineStr">
        <is>
          <t>2024-11-22</t>
        </is>
      </c>
      <c r="C741" t="inlineStr">
        <is>
          <t>20:41</t>
        </is>
      </c>
      <c r="D741" t="inlineStr">
        <is>
          <t>n° 15 + n° 16</t>
        </is>
      </c>
      <c r="E741" t="n">
        <v>2</v>
      </c>
      <c r="F741" t="n">
        <v>62.2</v>
      </c>
      <c r="G741" t="n">
        <v>7</v>
      </c>
      <c r="H741" t="n">
        <v>7</v>
      </c>
      <c r="I741">
        <f>IF(G741=H741,1,0)</f>
        <v/>
      </c>
      <c r="J741" t="inlineStr">
        <is>
          <t>CB / CB</t>
        </is>
      </c>
    </row>
    <row r="742">
      <c r="A742" t="inlineStr">
        <is>
          <t>2024-2025</t>
        </is>
      </c>
      <c r="B742" t="inlineStr">
        <is>
          <t>2024-11-23</t>
        </is>
      </c>
      <c r="C742" t="inlineStr">
        <is>
          <t>12:53</t>
        </is>
      </c>
      <c r="D742" t="inlineStr">
        <is>
          <t>n° 3 + n° 4</t>
        </is>
      </c>
      <c r="E742" t="n">
        <v>2</v>
      </c>
      <c r="F742" t="n">
        <v>304.7</v>
      </c>
      <c r="G742" t="n">
        <v>4</v>
      </c>
      <c r="H742" t="n">
        <v>4</v>
      </c>
      <c r="I742">
        <f>IF(G742=H742,1,0)</f>
        <v/>
      </c>
      <c r="J742" t="inlineStr">
        <is>
          <t>CB / CB</t>
        </is>
      </c>
    </row>
    <row r="743">
      <c r="A743" t="inlineStr">
        <is>
          <t>2024-2025</t>
        </is>
      </c>
      <c r="B743" t="inlineStr">
        <is>
          <t>2024-11-23</t>
        </is>
      </c>
      <c r="C743" t="inlineStr">
        <is>
          <t>13:18</t>
        </is>
      </c>
      <c r="D743" t="inlineStr">
        <is>
          <t>n° 9 + n° 10</t>
        </is>
      </c>
      <c r="E743" t="n">
        <v>2</v>
      </c>
      <c r="F743" t="n">
        <v>48.5</v>
      </c>
      <c r="G743" t="n">
        <v>4</v>
      </c>
      <c r="H743" t="n">
        <v>4</v>
      </c>
      <c r="I743">
        <f>IF(G743=H743,1,0)</f>
        <v/>
      </c>
      <c r="J743" t="inlineStr">
        <is>
          <t>CB / CB</t>
        </is>
      </c>
    </row>
    <row r="744">
      <c r="A744" t="inlineStr">
        <is>
          <t>2024-2025</t>
        </is>
      </c>
      <c r="B744" t="inlineStr">
        <is>
          <t>2024-11-24</t>
        </is>
      </c>
      <c r="C744" t="inlineStr">
        <is>
          <t>13:22</t>
        </is>
      </c>
      <c r="D744" t="inlineStr">
        <is>
          <t>n° 10 + n° 11 + n° 12</t>
        </is>
      </c>
      <c r="E744" t="n">
        <v>3</v>
      </c>
      <c r="F744" t="n">
        <v>400.9</v>
      </c>
      <c r="G744" t="n">
        <v>7</v>
      </c>
      <c r="H744" t="n">
        <v>7</v>
      </c>
      <c r="I744">
        <f>IF(G744=H744,1,0)</f>
        <v/>
      </c>
      <c r="J744" t="inlineStr">
        <is>
          <t>CB / CB / CB</t>
        </is>
      </c>
    </row>
    <row r="745">
      <c r="A745" t="inlineStr">
        <is>
          <t>2024-2025</t>
        </is>
      </c>
      <c r="B745" t="inlineStr">
        <is>
          <t>2024-11-27</t>
        </is>
      </c>
      <c r="C745" t="inlineStr">
        <is>
          <t>13:27</t>
        </is>
      </c>
      <c r="D745" t="inlineStr">
        <is>
          <t>n° 5 + n° 6 + n° 7 + n° 8</t>
        </is>
      </c>
      <c r="E745" t="n">
        <v>4</v>
      </c>
      <c r="F745" t="n">
        <v>139.9</v>
      </c>
      <c r="G745" t="n">
        <v>6</v>
      </c>
      <c r="H745" t="n">
        <v>6</v>
      </c>
      <c r="I745">
        <f>IF(G745=H745,1,0)</f>
        <v/>
      </c>
      <c r="J745" t="inlineStr">
        <is>
          <t>CB / CB / CB / CB</t>
        </is>
      </c>
    </row>
    <row r="746">
      <c r="A746" t="inlineStr">
        <is>
          <t>2024-2025</t>
        </is>
      </c>
      <c r="B746" t="inlineStr">
        <is>
          <t>2024-11-28</t>
        </is>
      </c>
      <c r="C746" t="inlineStr">
        <is>
          <t>12:23</t>
        </is>
      </c>
      <c r="D746" t="inlineStr">
        <is>
          <t>n° 2 + n° 3</t>
        </is>
      </c>
      <c r="E746" t="n">
        <v>2</v>
      </c>
      <c r="F746" t="n">
        <v>100.5</v>
      </c>
      <c r="G746" t="n">
        <v>6</v>
      </c>
      <c r="H746" t="n">
        <v>6</v>
      </c>
      <c r="I746">
        <f>IF(G746=H746,1,0)</f>
        <v/>
      </c>
      <c r="J746" t="inlineStr">
        <is>
          <t>TR/CB / CB</t>
        </is>
      </c>
    </row>
    <row r="747">
      <c r="A747" t="inlineStr">
        <is>
          <t>2024-2025</t>
        </is>
      </c>
      <c r="B747" t="inlineStr">
        <is>
          <t>2024-11-30</t>
        </is>
      </c>
      <c r="C747" t="inlineStr">
        <is>
          <t>21:00</t>
        </is>
      </c>
      <c r="D747" t="inlineStr">
        <is>
          <t>n° 22 + n° 23</t>
        </is>
      </c>
      <c r="E747" t="n">
        <v>2</v>
      </c>
      <c r="F747" t="n">
        <v>124.7</v>
      </c>
      <c r="G747" t="n">
        <v>7</v>
      </c>
      <c r="H747" t="n">
        <v>7</v>
      </c>
      <c r="I747">
        <f>IF(G747=H747,1,0)</f>
        <v/>
      </c>
      <c r="J747" t="inlineStr">
        <is>
          <t>TR/CB / CB</t>
        </is>
      </c>
    </row>
    <row r="748">
      <c r="A748" t="inlineStr">
        <is>
          <t>2024-2025</t>
        </is>
      </c>
      <c r="B748" t="inlineStr">
        <is>
          <t>2024-12-05</t>
        </is>
      </c>
      <c r="C748" t="inlineStr">
        <is>
          <t>19:53</t>
        </is>
      </c>
      <c r="D748" t="inlineStr">
        <is>
          <t>n° 17 + n° 18</t>
        </is>
      </c>
      <c r="E748" t="n">
        <v>2</v>
      </c>
      <c r="F748" t="n">
        <v>116</v>
      </c>
      <c r="G748" t="n">
        <v>4</v>
      </c>
      <c r="H748" t="n">
        <v>4</v>
      </c>
      <c r="I748">
        <f>IF(G748=H748,1,0)</f>
        <v/>
      </c>
      <c r="J748" t="inlineStr">
        <is>
          <t>CB / CB</t>
        </is>
      </c>
    </row>
    <row r="749">
      <c r="A749" t="inlineStr">
        <is>
          <t>2024-2025</t>
        </is>
      </c>
      <c r="B749" t="inlineStr">
        <is>
          <t>2024-12-06</t>
        </is>
      </c>
      <c r="C749" t="inlineStr">
        <is>
          <t>12:35</t>
        </is>
      </c>
      <c r="D749" t="inlineStr">
        <is>
          <t>n° 5 + n° 6</t>
        </is>
      </c>
      <c r="E749" t="n">
        <v>2</v>
      </c>
      <c r="F749" t="n">
        <v>186.8</v>
      </c>
      <c r="G749" t="n">
        <v>6</v>
      </c>
      <c r="H749" t="n">
        <v>6</v>
      </c>
      <c r="I749">
        <f>IF(G749=H749,1,0)</f>
        <v/>
      </c>
      <c r="J749" t="inlineStr">
        <is>
          <t>CB / CB/ESP</t>
        </is>
      </c>
    </row>
    <row r="750">
      <c r="A750" t="inlineStr">
        <is>
          <t>2024-2025</t>
        </is>
      </c>
      <c r="B750" t="inlineStr">
        <is>
          <t>2024-12-06</t>
        </is>
      </c>
      <c r="C750" t="inlineStr">
        <is>
          <t>19:41</t>
        </is>
      </c>
      <c r="D750" t="inlineStr">
        <is>
          <t>n° 14 + n° 15 + n° 19</t>
        </is>
      </c>
      <c r="E750" t="n">
        <v>3</v>
      </c>
      <c r="F750" t="n">
        <v>142.3</v>
      </c>
      <c r="G750" t="n">
        <v>7</v>
      </c>
      <c r="H750" t="n">
        <v>4</v>
      </c>
      <c r="I750">
        <f>IF(G750=H750,1,0)</f>
        <v/>
      </c>
      <c r="J750" t="inlineStr">
        <is>
          <t>CB / CB / CB</t>
        </is>
      </c>
    </row>
    <row r="751">
      <c r="A751" t="inlineStr">
        <is>
          <t>2024-2025</t>
        </is>
      </c>
      <c r="B751" t="inlineStr">
        <is>
          <t>2024-12-07</t>
        </is>
      </c>
      <c r="C751" t="inlineStr">
        <is>
          <t>20:33</t>
        </is>
      </c>
      <c r="D751" t="inlineStr">
        <is>
          <t>n° 19 + n° 20</t>
        </is>
      </c>
      <c r="E751" t="n">
        <v>2</v>
      </c>
      <c r="F751" t="n">
        <v>197.5</v>
      </c>
      <c r="G751" t="n">
        <v>5</v>
      </c>
      <c r="H751" t="n">
        <v>5</v>
      </c>
      <c r="I751">
        <f>IF(G751=H751,1,0)</f>
        <v/>
      </c>
      <c r="J751" t="inlineStr">
        <is>
          <t>CB / TR/CB</t>
        </is>
      </c>
    </row>
    <row r="752">
      <c r="A752" t="inlineStr">
        <is>
          <t>2024-2025</t>
        </is>
      </c>
      <c r="B752" t="inlineStr">
        <is>
          <t>2024-12-08</t>
        </is>
      </c>
      <c r="C752" t="inlineStr">
        <is>
          <t>13:57</t>
        </is>
      </c>
      <c r="D752" t="inlineStr">
        <is>
          <t>n° 14 + n° 15</t>
        </is>
      </c>
      <c r="E752" t="n">
        <v>2</v>
      </c>
      <c r="F752" t="n">
        <v>155.5</v>
      </c>
      <c r="G752" t="n">
        <v>5</v>
      </c>
      <c r="H752" t="n">
        <v>5</v>
      </c>
      <c r="I752">
        <f>IF(G752=H752,1,0)</f>
        <v/>
      </c>
      <c r="J752" t="inlineStr">
        <is>
          <t>CB / CB</t>
        </is>
      </c>
    </row>
    <row r="753">
      <c r="A753" t="inlineStr">
        <is>
          <t>2024-2025</t>
        </is>
      </c>
      <c r="B753" t="inlineStr">
        <is>
          <t>2024-12-11</t>
        </is>
      </c>
      <c r="C753" t="inlineStr">
        <is>
          <t>19:48</t>
        </is>
      </c>
      <c r="D753" t="inlineStr">
        <is>
          <t>n° 10 + n° 11</t>
        </is>
      </c>
      <c r="E753" t="n">
        <v>2</v>
      </c>
      <c r="F753" t="n">
        <v>172.2</v>
      </c>
      <c r="G753" t="n">
        <v>12</v>
      </c>
      <c r="H753" t="n">
        <v>12</v>
      </c>
      <c r="I753">
        <f>IF(G753=H753,1,0)</f>
        <v/>
      </c>
      <c r="J753" t="inlineStr">
        <is>
          <t>TR/CB / CB</t>
        </is>
      </c>
    </row>
    <row r="754">
      <c r="A754" t="inlineStr">
        <is>
          <t>2024-2025</t>
        </is>
      </c>
      <c r="B754" t="inlineStr">
        <is>
          <t>2024-12-12</t>
        </is>
      </c>
      <c r="C754" t="inlineStr">
        <is>
          <t>12:37</t>
        </is>
      </c>
      <c r="D754" t="inlineStr">
        <is>
          <t>n° 8 + n° 9</t>
        </is>
      </c>
      <c r="E754" t="n">
        <v>2</v>
      </c>
      <c r="F754" t="n">
        <v>66.5</v>
      </c>
      <c r="G754" t="n">
        <v>5</v>
      </c>
      <c r="H754" t="n">
        <v>5</v>
      </c>
      <c r="I754">
        <f>IF(G754=H754,1,0)</f>
        <v/>
      </c>
      <c r="J754" t="inlineStr">
        <is>
          <t>CB / CB</t>
        </is>
      </c>
    </row>
    <row r="755">
      <c r="A755" t="inlineStr">
        <is>
          <t>2024-2025</t>
        </is>
      </c>
      <c r="B755" t="inlineStr">
        <is>
          <t>2024-12-12</t>
        </is>
      </c>
      <c r="C755" t="inlineStr">
        <is>
          <t>20:44</t>
        </is>
      </c>
      <c r="D755" t="inlineStr">
        <is>
          <t>n° 36 + n° 37</t>
        </is>
      </c>
      <c r="E755" t="n">
        <v>2</v>
      </c>
      <c r="F755" t="n">
        <v>81.59999999999999</v>
      </c>
      <c r="G755" t="n">
        <v>1</v>
      </c>
      <c r="H755" t="n">
        <v>1</v>
      </c>
      <c r="I755">
        <f>IF(G755=H755,1,0)</f>
        <v/>
      </c>
      <c r="J755" t="inlineStr">
        <is>
          <t>CB / CB</t>
        </is>
      </c>
    </row>
    <row r="756">
      <c r="A756" t="inlineStr">
        <is>
          <t>2024-2025</t>
        </is>
      </c>
      <c r="B756" t="inlineStr">
        <is>
          <t>2024-12-13</t>
        </is>
      </c>
      <c r="C756" t="inlineStr">
        <is>
          <t>12:58</t>
        </is>
      </c>
      <c r="D756" t="inlineStr">
        <is>
          <t>n° 4 + n° 5</t>
        </is>
      </c>
      <c r="E756" t="n">
        <v>2</v>
      </c>
      <c r="F756" t="n">
        <v>45.9</v>
      </c>
      <c r="G756" t="n">
        <v>1</v>
      </c>
      <c r="H756" t="n">
        <v>1</v>
      </c>
      <c r="I756">
        <f>IF(G756=H756,1,0)</f>
        <v/>
      </c>
      <c r="J756" t="inlineStr">
        <is>
          <t>TR / CB</t>
        </is>
      </c>
    </row>
    <row r="757">
      <c r="A757" t="inlineStr">
        <is>
          <t>2024-2025</t>
        </is>
      </c>
      <c r="B757" t="inlineStr">
        <is>
          <t>2024-12-14</t>
        </is>
      </c>
      <c r="C757" t="inlineStr">
        <is>
          <t>20:45</t>
        </is>
      </c>
      <c r="D757" t="inlineStr">
        <is>
          <t>n° 18 + n° 19 + n° 20 + n° 21</t>
        </is>
      </c>
      <c r="E757" t="n">
        <v>4</v>
      </c>
      <c r="F757" t="n">
        <v>391.6</v>
      </c>
      <c r="G757" t="n">
        <v>11</v>
      </c>
      <c r="H757" t="n">
        <v>11</v>
      </c>
      <c r="I757">
        <f>IF(G757=H757,1,0)</f>
        <v/>
      </c>
      <c r="J757" t="inlineStr">
        <is>
          <t>CB / CB / CHV/CB / TR/CB</t>
        </is>
      </c>
    </row>
    <row r="758">
      <c r="A758" t="inlineStr">
        <is>
          <t>2024-2025</t>
        </is>
      </c>
      <c r="B758" t="inlineStr">
        <is>
          <t>2024-12-18</t>
        </is>
      </c>
      <c r="C758" t="inlineStr">
        <is>
          <t>13:24</t>
        </is>
      </c>
      <c r="D758" t="inlineStr">
        <is>
          <t>n° 10 + n° 11</t>
        </is>
      </c>
      <c r="E758" t="n">
        <v>2</v>
      </c>
      <c r="F758" t="n">
        <v>167</v>
      </c>
      <c r="G758" t="n">
        <v>7</v>
      </c>
      <c r="H758" t="n">
        <v>7</v>
      </c>
      <c r="I758">
        <f>IF(G758=H758,1,0)</f>
        <v/>
      </c>
      <c r="J758" t="inlineStr">
        <is>
          <t>CB / CB</t>
        </is>
      </c>
    </row>
    <row r="759">
      <c r="A759" t="inlineStr">
        <is>
          <t>2024-2025</t>
        </is>
      </c>
      <c r="B759" t="inlineStr">
        <is>
          <t>2024-12-19</t>
        </is>
      </c>
      <c r="C759" t="inlineStr">
        <is>
          <t>12:29</t>
        </is>
      </c>
      <c r="D759" t="inlineStr">
        <is>
          <t>n° 4 + n° 5</t>
        </is>
      </c>
      <c r="E759" t="n">
        <v>2</v>
      </c>
      <c r="F759" t="n">
        <v>139.8</v>
      </c>
      <c r="G759" t="n">
        <v>5</v>
      </c>
      <c r="H759" t="n">
        <v>5</v>
      </c>
      <c r="I759">
        <f>IF(G759=H759,1,0)</f>
        <v/>
      </c>
      <c r="J759" t="inlineStr">
        <is>
          <t>CB / CB</t>
        </is>
      </c>
    </row>
    <row r="760">
      <c r="A760" t="inlineStr">
        <is>
          <t>2024-2025</t>
        </is>
      </c>
      <c r="B760" t="inlineStr">
        <is>
          <t>2024-12-19</t>
        </is>
      </c>
      <c r="C760" t="inlineStr">
        <is>
          <t>21:36</t>
        </is>
      </c>
      <c r="D760" t="inlineStr">
        <is>
          <t>n° 14 + n° 15</t>
        </is>
      </c>
      <c r="E760" t="n">
        <v>2</v>
      </c>
      <c r="F760" t="n">
        <v>137.3</v>
      </c>
      <c r="G760" t="n">
        <v>8</v>
      </c>
      <c r="H760" t="n">
        <v>8</v>
      </c>
      <c r="I760">
        <f>IF(G760=H760,1,0)</f>
        <v/>
      </c>
      <c r="J760" t="inlineStr">
        <is>
          <t>CB / CB</t>
        </is>
      </c>
    </row>
    <row r="761">
      <c r="A761" t="inlineStr">
        <is>
          <t>2024-2025</t>
        </is>
      </c>
      <c r="B761" t="inlineStr">
        <is>
          <t>2024-12-20</t>
        </is>
      </c>
      <c r="C761" t="inlineStr">
        <is>
          <t>13:18</t>
        </is>
      </c>
      <c r="D761" t="inlineStr">
        <is>
          <t>n° 5 + n° 6</t>
        </is>
      </c>
      <c r="E761" t="n">
        <v>2</v>
      </c>
      <c r="F761" t="n">
        <v>111.1</v>
      </c>
      <c r="G761" t="n">
        <v>11</v>
      </c>
      <c r="H761" t="n">
        <v>11</v>
      </c>
      <c r="I761">
        <f>IF(G761=H761,1,0)</f>
        <v/>
      </c>
      <c r="J761" t="inlineStr">
        <is>
          <t>CB / TR</t>
        </is>
      </c>
    </row>
    <row r="762">
      <c r="A762" t="inlineStr">
        <is>
          <t>2024-2025</t>
        </is>
      </c>
      <c r="B762" t="inlineStr">
        <is>
          <t>2024-12-27</t>
        </is>
      </c>
      <c r="C762" t="inlineStr">
        <is>
          <t>19:58</t>
        </is>
      </c>
      <c r="D762" t="inlineStr">
        <is>
          <t>n° 16 + n° 17</t>
        </is>
      </c>
      <c r="E762" t="n">
        <v>2</v>
      </c>
      <c r="F762" t="n">
        <v>164.3</v>
      </c>
      <c r="G762" t="n">
        <v>5</v>
      </c>
      <c r="H762" t="n">
        <v>5</v>
      </c>
      <c r="I762">
        <f>IF(G762=H762,1,0)</f>
        <v/>
      </c>
      <c r="J762" t="inlineStr">
        <is>
          <t>CB / CB</t>
        </is>
      </c>
    </row>
    <row r="763">
      <c r="A763" t="inlineStr">
        <is>
          <t>2024-2025</t>
        </is>
      </c>
      <c r="B763" t="inlineStr">
        <is>
          <t>2024-12-28</t>
        </is>
      </c>
      <c r="C763" t="inlineStr">
        <is>
          <t>13:14</t>
        </is>
      </c>
      <c r="D763" t="inlineStr">
        <is>
          <t>n° 10 + n° 11</t>
        </is>
      </c>
      <c r="E763" t="n">
        <v>2</v>
      </c>
      <c r="F763" t="n">
        <v>137</v>
      </c>
      <c r="G763" t="n">
        <v>5</v>
      </c>
      <c r="H763" t="n">
        <v>5</v>
      </c>
      <c r="I763">
        <f>IF(G763=H763,1,0)</f>
        <v/>
      </c>
      <c r="J763" t="inlineStr">
        <is>
          <t>CHV/CB / CB</t>
        </is>
      </c>
    </row>
    <row r="764">
      <c r="A764" t="inlineStr">
        <is>
          <t>2024-2025</t>
        </is>
      </c>
      <c r="B764" t="inlineStr">
        <is>
          <t>2025-01-02</t>
        </is>
      </c>
      <c r="C764" t="inlineStr">
        <is>
          <t>11:33</t>
        </is>
      </c>
      <c r="D764" t="inlineStr">
        <is>
          <t>n° 1 + n° 2</t>
        </is>
      </c>
      <c r="E764" t="n">
        <v>2</v>
      </c>
      <c r="F764" t="n">
        <v>66.09999999999999</v>
      </c>
      <c r="G764" t="n">
        <v>6</v>
      </c>
      <c r="H764" t="n">
        <v>6</v>
      </c>
      <c r="I764">
        <f>IF(G764=H764,1,0)</f>
        <v/>
      </c>
      <c r="J764" t="inlineStr">
        <is>
          <t>CB / CB</t>
        </is>
      </c>
    </row>
    <row r="765">
      <c r="A765" t="inlineStr">
        <is>
          <t>2024-2025</t>
        </is>
      </c>
      <c r="B765" t="inlineStr">
        <is>
          <t>2025-01-02</t>
        </is>
      </c>
      <c r="C765" t="inlineStr">
        <is>
          <t>21:20</t>
        </is>
      </c>
      <c r="D765" t="inlineStr">
        <is>
          <t>n° 19 + n° 20</t>
        </is>
      </c>
      <c r="E765" t="n">
        <v>2</v>
      </c>
      <c r="F765" t="n">
        <v>74.5</v>
      </c>
      <c r="G765" t="n">
        <v>3</v>
      </c>
      <c r="H765" t="n">
        <v>3</v>
      </c>
      <c r="I765">
        <f>IF(G765=H765,1,0)</f>
        <v/>
      </c>
      <c r="J765" t="inlineStr">
        <is>
          <t>CB / CB</t>
        </is>
      </c>
    </row>
    <row r="766">
      <c r="A766" t="inlineStr">
        <is>
          <t>2024-2025</t>
        </is>
      </c>
      <c r="B766" t="inlineStr">
        <is>
          <t>2025-01-03</t>
        </is>
      </c>
      <c r="C766" t="inlineStr">
        <is>
          <t>13:11</t>
        </is>
      </c>
      <c r="D766" t="inlineStr">
        <is>
          <t>n° 8 + n° 9 + n° 11 + n° 12</t>
        </is>
      </c>
      <c r="E766" t="n">
        <v>4</v>
      </c>
      <c r="F766" t="n">
        <v>261</v>
      </c>
      <c r="G766" t="n">
        <v>16</v>
      </c>
      <c r="H766" t="n">
        <v>16</v>
      </c>
      <c r="I766">
        <f>IF(G766=H766,1,0)</f>
        <v/>
      </c>
      <c r="J766" t="inlineStr">
        <is>
          <t>CB / CB / TR/CB / CB</t>
        </is>
      </c>
    </row>
    <row r="767">
      <c r="A767" t="inlineStr">
        <is>
          <t>2024-2025</t>
        </is>
      </c>
      <c r="B767" t="inlineStr">
        <is>
          <t>2025-01-03</t>
        </is>
      </c>
      <c r="C767" t="inlineStr">
        <is>
          <t>19:59</t>
        </is>
      </c>
      <c r="D767" t="inlineStr">
        <is>
          <t>n° 22 + n° 23</t>
        </is>
      </c>
      <c r="E767" t="n">
        <v>2</v>
      </c>
      <c r="F767" t="n">
        <v>58.3</v>
      </c>
      <c r="G767" t="n">
        <v>5</v>
      </c>
      <c r="H767" t="n">
        <v>5</v>
      </c>
      <c r="I767">
        <f>IF(G767=H767,1,0)</f>
        <v/>
      </c>
      <c r="J767" t="inlineStr">
        <is>
          <t>CB / CHV/ESP</t>
        </is>
      </c>
    </row>
    <row r="768">
      <c r="A768" t="inlineStr">
        <is>
          <t>2024-2025</t>
        </is>
      </c>
      <c r="B768" t="inlineStr">
        <is>
          <t>2025-01-03</t>
        </is>
      </c>
      <c r="C768" t="inlineStr">
        <is>
          <t>20:48</t>
        </is>
      </c>
      <c r="D768" t="inlineStr">
        <is>
          <t>n° 27 + n° 28 + n° 29 + n° 30</t>
        </is>
      </c>
      <c r="E768" t="n">
        <v>4</v>
      </c>
      <c r="F768" t="n">
        <v>314.7</v>
      </c>
      <c r="G768" t="n">
        <v>10</v>
      </c>
      <c r="H768" t="n">
        <v>10</v>
      </c>
      <c r="I768">
        <f>IF(G768=H768,1,0)</f>
        <v/>
      </c>
      <c r="J768" t="inlineStr">
        <is>
          <t>CB / CB / CB / CB</t>
        </is>
      </c>
    </row>
    <row r="769">
      <c r="A769" t="inlineStr">
        <is>
          <t>2024-2025</t>
        </is>
      </c>
      <c r="B769" t="inlineStr">
        <is>
          <t>2025-01-04</t>
        </is>
      </c>
      <c r="C769" t="inlineStr">
        <is>
          <t>12:49</t>
        </is>
      </c>
      <c r="D769" t="inlineStr">
        <is>
          <t>n° 4 + n° 5</t>
        </is>
      </c>
      <c r="E769" t="n">
        <v>2</v>
      </c>
      <c r="F769" t="n">
        <v>154.6</v>
      </c>
      <c r="G769" t="n">
        <v>10</v>
      </c>
      <c r="H769" t="n">
        <v>10</v>
      </c>
      <c r="I769">
        <f>IF(G769=H769,1,0)</f>
        <v/>
      </c>
      <c r="J769" t="inlineStr">
        <is>
          <t>TR/CB / CB</t>
        </is>
      </c>
    </row>
    <row r="770">
      <c r="A770" t="inlineStr">
        <is>
          <t>2024-2025</t>
        </is>
      </c>
      <c r="B770" t="inlineStr">
        <is>
          <t>2025-01-04</t>
        </is>
      </c>
      <c r="C770" t="inlineStr">
        <is>
          <t>20:03</t>
        </is>
      </c>
      <c r="D770" t="inlineStr">
        <is>
          <t>n° 21 + n° 22</t>
        </is>
      </c>
      <c r="E770" t="n">
        <v>2</v>
      </c>
      <c r="F770" t="n">
        <v>155.5</v>
      </c>
      <c r="G770" t="n">
        <v>9</v>
      </c>
      <c r="H770" t="n">
        <v>9</v>
      </c>
      <c r="I770">
        <f>IF(G770=H770,1,0)</f>
        <v/>
      </c>
      <c r="J770" t="inlineStr">
        <is>
          <t>CB / CB</t>
        </is>
      </c>
    </row>
    <row r="771">
      <c r="A771" t="inlineStr">
        <is>
          <t>2024-2025</t>
        </is>
      </c>
      <c r="B771" t="inlineStr">
        <is>
          <t>2025-03-05</t>
        </is>
      </c>
      <c r="C771" t="inlineStr">
        <is>
          <t>13:14</t>
        </is>
      </c>
      <c r="D771" t="inlineStr">
        <is>
          <t>n° 9 + n° 10</t>
        </is>
      </c>
      <c r="E771" t="n">
        <v>2</v>
      </c>
      <c r="F771" t="n">
        <v>54.3</v>
      </c>
      <c r="G771" t="n">
        <v>1</v>
      </c>
      <c r="H771" t="n">
        <v>1</v>
      </c>
      <c r="I771">
        <f>IF(G771=H771,1,0)</f>
        <v/>
      </c>
      <c r="J771" t="inlineStr">
        <is>
          <t>CB / CB</t>
        </is>
      </c>
    </row>
    <row r="772">
      <c r="A772" t="inlineStr">
        <is>
          <t>2024-2025</t>
        </is>
      </c>
      <c r="B772" t="inlineStr">
        <is>
          <t>2025-03-05</t>
        </is>
      </c>
      <c r="C772" t="inlineStr">
        <is>
          <t>20:16</t>
        </is>
      </c>
      <c r="D772" t="inlineStr">
        <is>
          <t>n° 24 + n° 25</t>
        </is>
      </c>
      <c r="E772" t="n">
        <v>2</v>
      </c>
      <c r="F772" t="n">
        <v>106.1</v>
      </c>
      <c r="G772" t="n">
        <v>14</v>
      </c>
      <c r="H772" t="n">
        <v>14</v>
      </c>
      <c r="I772">
        <f>IF(G772=H772,1,0)</f>
        <v/>
      </c>
      <c r="J772" t="inlineStr">
        <is>
          <t>CB / CB</t>
        </is>
      </c>
    </row>
    <row r="773">
      <c r="A773" t="inlineStr">
        <is>
          <t>2024-2025</t>
        </is>
      </c>
      <c r="B773" t="inlineStr">
        <is>
          <t>2025-03-06</t>
        </is>
      </c>
      <c r="C773" t="inlineStr">
        <is>
          <t>12:29</t>
        </is>
      </c>
      <c r="D773" t="inlineStr">
        <is>
          <t>n° 7 + n° 8</t>
        </is>
      </c>
      <c r="E773" t="n">
        <v>2</v>
      </c>
      <c r="F773" t="n">
        <v>160.1</v>
      </c>
      <c r="G773" t="n">
        <v>9</v>
      </c>
      <c r="H773" t="n">
        <v>9</v>
      </c>
      <c r="I773">
        <f>IF(G773=H773,1,0)</f>
        <v/>
      </c>
      <c r="J773" t="inlineStr">
        <is>
          <t>CB / CB</t>
        </is>
      </c>
    </row>
    <row r="774">
      <c r="A774" t="inlineStr">
        <is>
          <t>2024-2025</t>
        </is>
      </c>
      <c r="B774" t="inlineStr">
        <is>
          <t>2025-03-06</t>
        </is>
      </c>
      <c r="C774" t="inlineStr">
        <is>
          <t>19:48</t>
        </is>
      </c>
      <c r="D774" t="inlineStr">
        <is>
          <t>n° 22 + n° 23</t>
        </is>
      </c>
      <c r="E774" t="n">
        <v>2</v>
      </c>
      <c r="F774" t="n">
        <v>71.59999999999999</v>
      </c>
      <c r="G774" t="n">
        <v>2</v>
      </c>
      <c r="H774" t="n">
        <v>2</v>
      </c>
      <c r="I774">
        <f>IF(G774=H774,1,0)</f>
        <v/>
      </c>
      <c r="J774" t="inlineStr">
        <is>
          <t>CB / CB</t>
        </is>
      </c>
    </row>
    <row r="775">
      <c r="A775" t="inlineStr">
        <is>
          <t>2024-2025</t>
        </is>
      </c>
      <c r="B775" t="inlineStr">
        <is>
          <t>2025-03-07</t>
        </is>
      </c>
      <c r="C775" t="inlineStr">
        <is>
          <t>13:13</t>
        </is>
      </c>
      <c r="D775" t="inlineStr">
        <is>
          <t>n° 13 + n° 14</t>
        </is>
      </c>
      <c r="E775" t="n">
        <v>2</v>
      </c>
      <c r="F775" t="n">
        <v>69.2</v>
      </c>
      <c r="G775" t="n">
        <v>6</v>
      </c>
      <c r="H775" t="n">
        <v>6</v>
      </c>
      <c r="I775">
        <f>IF(G775=H775,1,0)</f>
        <v/>
      </c>
      <c r="J775" t="inlineStr">
        <is>
          <t>CB / TR/CB</t>
        </is>
      </c>
    </row>
    <row r="776">
      <c r="A776" t="inlineStr">
        <is>
          <t>2024-2025</t>
        </is>
      </c>
      <c r="B776" t="inlineStr">
        <is>
          <t>2025-03-07</t>
        </is>
      </c>
      <c r="C776" t="inlineStr">
        <is>
          <t>20:26</t>
        </is>
      </c>
      <c r="D776" t="inlineStr">
        <is>
          <t>n° 20 + n° 21 + n° 22 + n° 23</t>
        </is>
      </c>
      <c r="E776" t="n">
        <v>4</v>
      </c>
      <c r="F776" t="n">
        <v>165.2</v>
      </c>
      <c r="G776" t="n">
        <v>8</v>
      </c>
      <c r="H776" t="n">
        <v>8</v>
      </c>
      <c r="I776">
        <f>IF(G776=H776,1,0)</f>
        <v/>
      </c>
      <c r="J776" t="inlineStr">
        <is>
          <t>CB / CB / CB / CB</t>
        </is>
      </c>
    </row>
    <row r="777">
      <c r="A777" t="inlineStr">
        <is>
          <t>2024-2025</t>
        </is>
      </c>
      <c r="B777" t="inlineStr">
        <is>
          <t>2025-03-08</t>
        </is>
      </c>
      <c r="C777" t="inlineStr">
        <is>
          <t>18:56</t>
        </is>
      </c>
      <c r="D777" t="inlineStr">
        <is>
          <t>n° 12 + n° 13</t>
        </is>
      </c>
      <c r="E777" t="n">
        <v>2</v>
      </c>
      <c r="F777" t="n">
        <v>87.59999999999999</v>
      </c>
      <c r="G777" t="n">
        <v>8</v>
      </c>
      <c r="H777" t="n">
        <v>8</v>
      </c>
      <c r="I777">
        <f>IF(G777=H777,1,0)</f>
        <v/>
      </c>
      <c r="J777" t="inlineStr">
        <is>
          <t>CB / CB</t>
        </is>
      </c>
    </row>
    <row r="778">
      <c r="A778" t="inlineStr">
        <is>
          <t>2024-2025</t>
        </is>
      </c>
      <c r="B778" t="inlineStr">
        <is>
          <t>2025-03-08</t>
        </is>
      </c>
      <c r="C778" t="inlineStr">
        <is>
          <t>20:44</t>
        </is>
      </c>
      <c r="D778" t="inlineStr">
        <is>
          <t>n° 22 + n° 23 + n° 24 + n° 25</t>
        </is>
      </c>
      <c r="E778" t="n">
        <v>4</v>
      </c>
      <c r="F778" t="n">
        <v>404</v>
      </c>
      <c r="G778" t="n">
        <v>22</v>
      </c>
      <c r="H778" t="n">
        <v>22</v>
      </c>
      <c r="I778">
        <f>IF(G778=H778,1,0)</f>
        <v/>
      </c>
      <c r="J778" t="inlineStr">
        <is>
          <t>CB / CB / CB / CB</t>
        </is>
      </c>
    </row>
    <row r="779">
      <c r="A779" t="inlineStr">
        <is>
          <t>2024-2025</t>
        </is>
      </c>
      <c r="B779" t="inlineStr">
        <is>
          <t>2025-03-12</t>
        </is>
      </c>
      <c r="C779" t="inlineStr">
        <is>
          <t>19:42</t>
        </is>
      </c>
      <c r="D779" t="inlineStr">
        <is>
          <t>n° 6 + n° 7</t>
        </is>
      </c>
      <c r="E779" t="n">
        <v>2</v>
      </c>
      <c r="F779" t="n">
        <v>50.5</v>
      </c>
      <c r="G779" t="n">
        <v>5</v>
      </c>
      <c r="H779" t="n">
        <v>5</v>
      </c>
      <c r="I779">
        <f>IF(G779=H779,1,0)</f>
        <v/>
      </c>
      <c r="J779" t="inlineStr">
        <is>
          <t>CB / CB</t>
        </is>
      </c>
    </row>
    <row r="780">
      <c r="A780" t="inlineStr">
        <is>
          <t>2024-2025</t>
        </is>
      </c>
      <c r="B780" t="inlineStr">
        <is>
          <t>2025-03-13</t>
        </is>
      </c>
      <c r="C780" t="inlineStr">
        <is>
          <t>20:04</t>
        </is>
      </c>
      <c r="D780" t="inlineStr">
        <is>
          <t>n° 22 + n° 23</t>
        </is>
      </c>
      <c r="E780" t="n">
        <v>2</v>
      </c>
      <c r="F780" t="n">
        <v>155.2</v>
      </c>
      <c r="G780" t="n">
        <v>4</v>
      </c>
      <c r="H780" t="n">
        <v>4</v>
      </c>
      <c r="I780">
        <f>IF(G780=H780,1,0)</f>
        <v/>
      </c>
      <c r="J780" t="inlineStr">
        <is>
          <t>CB / CB</t>
        </is>
      </c>
    </row>
    <row r="781">
      <c r="A781" t="inlineStr">
        <is>
          <t>2024-2025</t>
        </is>
      </c>
      <c r="B781" t="inlineStr">
        <is>
          <t>2025-03-15</t>
        </is>
      </c>
      <c r="C781" t="inlineStr">
        <is>
          <t>21:03</t>
        </is>
      </c>
      <c r="D781" t="inlineStr">
        <is>
          <t>n° 25 + n° 26</t>
        </is>
      </c>
      <c r="E781" t="n">
        <v>2</v>
      </c>
      <c r="F781" t="n">
        <v>143.3</v>
      </c>
      <c r="G781" t="n">
        <v>5</v>
      </c>
      <c r="H781" t="n">
        <v>5</v>
      </c>
      <c r="I781">
        <f>IF(G781=H781,1,0)</f>
        <v/>
      </c>
      <c r="J781" t="inlineStr">
        <is>
          <t>CB / ESP</t>
        </is>
      </c>
    </row>
    <row r="782">
      <c r="A782" t="inlineStr">
        <is>
          <t>2024-2025</t>
        </is>
      </c>
      <c r="B782" t="inlineStr">
        <is>
          <t>2025-03-19</t>
        </is>
      </c>
      <c r="C782" t="inlineStr">
        <is>
          <t>11:32</t>
        </is>
      </c>
      <c r="D782" t="inlineStr">
        <is>
          <t>n° 1 + n° 2</t>
        </is>
      </c>
      <c r="E782" t="n">
        <v>2</v>
      </c>
      <c r="F782" t="n">
        <v>55.8</v>
      </c>
      <c r="G782" t="n">
        <v>5</v>
      </c>
      <c r="H782" t="n">
        <v>5</v>
      </c>
      <c r="I782">
        <f>IF(G782=H782,1,0)</f>
        <v/>
      </c>
      <c r="J782" t="inlineStr">
        <is>
          <t>CB / CB</t>
        </is>
      </c>
    </row>
    <row r="783">
      <c r="A783" t="inlineStr">
        <is>
          <t>2024-2025</t>
        </is>
      </c>
      <c r="B783" t="inlineStr">
        <is>
          <t>2025-03-21</t>
        </is>
      </c>
      <c r="C783" t="inlineStr">
        <is>
          <t>12:20</t>
        </is>
      </c>
      <c r="D783" t="inlineStr">
        <is>
          <t>n° 6 + n° 8</t>
        </is>
      </c>
      <c r="E783" t="n">
        <v>2</v>
      </c>
      <c r="F783" t="n">
        <v>51.1</v>
      </c>
      <c r="G783" t="n">
        <v>1</v>
      </c>
      <c r="H783" t="n">
        <v>1</v>
      </c>
      <c r="I783">
        <f>IF(G783=H783,1,0)</f>
        <v/>
      </c>
      <c r="J783" t="inlineStr">
        <is>
          <t>CB / ESP</t>
        </is>
      </c>
    </row>
    <row r="784">
      <c r="A784" t="inlineStr">
        <is>
          <t>2024-2025</t>
        </is>
      </c>
      <c r="B784" t="inlineStr">
        <is>
          <t>2025-03-21</t>
        </is>
      </c>
      <c r="C784" t="inlineStr">
        <is>
          <t>21:10</t>
        </is>
      </c>
      <c r="D784" t="inlineStr">
        <is>
          <t>n° 24 + n° 25</t>
        </is>
      </c>
      <c r="E784" t="n">
        <v>2</v>
      </c>
      <c r="F784" t="n">
        <v>76.59999999999999</v>
      </c>
      <c r="G784" t="n">
        <v>5</v>
      </c>
      <c r="H784" t="n">
        <v>5</v>
      </c>
      <c r="I784">
        <f>IF(G784=H784,1,0)</f>
        <v/>
      </c>
      <c r="J784" t="inlineStr">
        <is>
          <t>CB / CB</t>
        </is>
      </c>
    </row>
    <row r="785">
      <c r="A785" t="inlineStr">
        <is>
          <t>2024-2025</t>
        </is>
      </c>
      <c r="B785" t="inlineStr">
        <is>
          <t>2025-03-22</t>
        </is>
      </c>
      <c r="C785" t="inlineStr">
        <is>
          <t>12:08</t>
        </is>
      </c>
      <c r="D785" t="inlineStr">
        <is>
          <t>n° 2 + n° 3</t>
        </is>
      </c>
      <c r="E785" t="n">
        <v>2</v>
      </c>
      <c r="F785" t="n">
        <v>56.1</v>
      </c>
      <c r="G785" t="n">
        <v>5</v>
      </c>
      <c r="H785" t="n">
        <v>5</v>
      </c>
      <c r="I785">
        <f>IF(G785=H785,1,0)</f>
        <v/>
      </c>
      <c r="J785" t="inlineStr">
        <is>
          <t>CB / CB</t>
        </is>
      </c>
    </row>
    <row r="786">
      <c r="A786" t="inlineStr">
        <is>
          <t>2024-2025</t>
        </is>
      </c>
      <c r="B786" t="inlineStr">
        <is>
          <t>2025-03-22</t>
        </is>
      </c>
      <c r="C786" t="inlineStr">
        <is>
          <t>12:33</t>
        </is>
      </c>
      <c r="D786" t="inlineStr">
        <is>
          <t>n° 4 + n° 5</t>
        </is>
      </c>
      <c r="E786" t="n">
        <v>2</v>
      </c>
      <c r="F786" t="n">
        <v>50.2</v>
      </c>
      <c r="G786" t="n">
        <v>2</v>
      </c>
      <c r="H786" t="n">
        <v>2</v>
      </c>
      <c r="I786">
        <f>IF(G786=H786,1,0)</f>
        <v/>
      </c>
      <c r="J786" t="inlineStr">
        <is>
          <t>CB / CB</t>
        </is>
      </c>
    </row>
    <row r="787">
      <c r="A787" t="inlineStr">
        <is>
          <t>2024-2025</t>
        </is>
      </c>
      <c r="B787" t="inlineStr">
        <is>
          <t>2025-03-22</t>
        </is>
      </c>
      <c r="C787" t="inlineStr">
        <is>
          <t>13:05</t>
        </is>
      </c>
      <c r="D787" t="inlineStr">
        <is>
          <t>n° 8 + n° 9</t>
        </is>
      </c>
      <c r="E787" t="n">
        <v>2</v>
      </c>
      <c r="F787" t="n">
        <v>210.8</v>
      </c>
      <c r="G787" t="n">
        <v>9</v>
      </c>
      <c r="H787" t="n">
        <v>9</v>
      </c>
      <c r="I787">
        <f>IF(G787=H787,1,0)</f>
        <v/>
      </c>
      <c r="J787" t="inlineStr">
        <is>
          <t>CB / CB</t>
        </is>
      </c>
    </row>
    <row r="788">
      <c r="A788" t="inlineStr">
        <is>
          <t>2024-2025</t>
        </is>
      </c>
      <c r="B788" t="inlineStr">
        <is>
          <t>2025-03-22</t>
        </is>
      </c>
      <c r="C788" t="inlineStr">
        <is>
          <t>20:23</t>
        </is>
      </c>
      <c r="D788" t="inlineStr">
        <is>
          <t>n° 24 + n° 25</t>
        </is>
      </c>
      <c r="E788" t="n">
        <v>2</v>
      </c>
      <c r="F788" t="n">
        <v>113.9</v>
      </c>
      <c r="G788" t="n">
        <v>2</v>
      </c>
      <c r="H788" t="n">
        <v>2</v>
      </c>
      <c r="I788">
        <f>IF(G788=H788,1,0)</f>
        <v/>
      </c>
      <c r="J788" t="inlineStr">
        <is>
          <t>CB / CB</t>
        </is>
      </c>
    </row>
    <row r="789">
      <c r="A789" t="inlineStr">
        <is>
          <t>2024-2025</t>
        </is>
      </c>
      <c r="B789" t="inlineStr">
        <is>
          <t>2025-03-28</t>
        </is>
      </c>
      <c r="C789" t="inlineStr">
        <is>
          <t>20:03</t>
        </is>
      </c>
      <c r="D789" t="inlineStr">
        <is>
          <t>n° 13 + n° 14</t>
        </is>
      </c>
      <c r="E789" t="n">
        <v>2</v>
      </c>
      <c r="F789" t="n">
        <v>78.3</v>
      </c>
      <c r="G789" t="n">
        <v>7</v>
      </c>
      <c r="H789" t="n">
        <v>7</v>
      </c>
      <c r="I789">
        <f>IF(G789=H789,1,0)</f>
        <v/>
      </c>
      <c r="J789" t="inlineStr">
        <is>
          <t>CB / CB</t>
        </is>
      </c>
    </row>
    <row r="790">
      <c r="A790" t="inlineStr">
        <is>
          <t>2024-2025</t>
        </is>
      </c>
      <c r="B790" t="inlineStr">
        <is>
          <t>2025-03-29</t>
        </is>
      </c>
      <c r="C790" t="inlineStr">
        <is>
          <t>12:47</t>
        </is>
      </c>
      <c r="D790" t="inlineStr">
        <is>
          <t>n° 7 + n° 8</t>
        </is>
      </c>
      <c r="E790" t="n">
        <v>2</v>
      </c>
      <c r="F790" t="n">
        <v>57.5</v>
      </c>
      <c r="G790" t="n">
        <v>2</v>
      </c>
      <c r="H790" t="n">
        <v>2</v>
      </c>
      <c r="I790">
        <f>IF(G790=H790,1,0)</f>
        <v/>
      </c>
      <c r="J790" t="inlineStr">
        <is>
          <t>CB / ESP</t>
        </is>
      </c>
    </row>
    <row r="791">
      <c r="A791" t="inlineStr">
        <is>
          <t>2024-2025</t>
        </is>
      </c>
      <c r="B791" t="inlineStr">
        <is>
          <t>2025-03-29</t>
        </is>
      </c>
      <c r="C791" t="inlineStr">
        <is>
          <t>13:11</t>
        </is>
      </c>
      <c r="D791" t="inlineStr">
        <is>
          <t>n° 11 + n° 12</t>
        </is>
      </c>
      <c r="E791" t="n">
        <v>2</v>
      </c>
      <c r="F791" t="n">
        <v>162.8</v>
      </c>
      <c r="G791" t="n">
        <v>8</v>
      </c>
      <c r="H791" t="n">
        <v>8</v>
      </c>
      <c r="I791">
        <f>IF(G791=H791,1,0)</f>
        <v/>
      </c>
      <c r="J791" t="inlineStr">
        <is>
          <t>CB / TR/CB</t>
        </is>
      </c>
    </row>
    <row r="792">
      <c r="A792" t="inlineStr">
        <is>
          <t>2024-2025</t>
        </is>
      </c>
      <c r="B792" t="inlineStr">
        <is>
          <t>2025-03-29</t>
        </is>
      </c>
      <c r="C792" t="inlineStr">
        <is>
          <t>20:33</t>
        </is>
      </c>
      <c r="D792" t="inlineStr">
        <is>
          <t>n° 31 + n° 32 + n° 33 + n° 34</t>
        </is>
      </c>
      <c r="E792" t="n">
        <v>4</v>
      </c>
      <c r="F792" t="n">
        <v>296.5</v>
      </c>
      <c r="G792" t="n">
        <v>7</v>
      </c>
      <c r="H792" t="n">
        <v>7</v>
      </c>
      <c r="I792">
        <f>IF(G792=H792,1,0)</f>
        <v/>
      </c>
      <c r="J792" t="inlineStr">
        <is>
          <t>CB / CHV/ESP / CB / TR/ESP</t>
        </is>
      </c>
    </row>
    <row r="794">
      <c r="A794" s="4" t="inlineStr">
        <is>
          <t>Tables partagées</t>
        </is>
      </c>
      <c r="E794">
        <f>COUNTA(A2:A792)</f>
        <v/>
      </c>
    </row>
    <row r="795">
      <c r="A795" s="4" t="inlineStr">
        <is>
          <t>Total encaissé des tables (€)</t>
        </is>
      </c>
      <c r="F795" s="6">
        <f>SUM(F2:F792)</f>
        <v/>
      </c>
    </row>
    <row r="796">
      <c r="A796" s="4" t="inlineStr">
        <is>
          <t>Tables entièrement reconstituées</t>
        </is>
      </c>
      <c r="I796">
        <f>SUM(I2:I792)</f>
        <v/>
      </c>
    </row>
    <row r="797">
      <c r="A797" s="4" t="inlineStr">
        <is>
          <t>Tables avec résidu (≥1 fraction non refermée)</t>
        </is>
      </c>
      <c r="I797">
        <f>COUNTA(A2:A792)-SUM(I2:I792)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1" customWidth="1" min="2" max="2"/>
    <col width="40" customWidth="1" min="3" max="3"/>
    <col width="22" customWidth="1" min="4" max="4"/>
    <col width="22" customWidth="1" min="5" max="5"/>
  </cols>
  <sheetData>
    <row r="1">
      <c r="A1" s="2" t="inlineStr">
        <is>
          <t>Les 20 tables portant au moins un article non refermé (résidu concédé)</t>
        </is>
      </c>
    </row>
    <row r="3">
      <c r="A3" s="1" t="inlineStr">
        <is>
          <t>Exercice</t>
        </is>
      </c>
      <c r="B3" s="1" t="inlineStr">
        <is>
          <t>Date</t>
        </is>
      </c>
      <c r="C3" s="1" t="inlineStr">
        <is>
          <t>Table</t>
        </is>
      </c>
      <c r="D3" s="1" t="inlineStr">
        <is>
          <t>Articles non refermés</t>
        </is>
      </c>
      <c r="E3" s="1" t="inlineStr">
        <is>
          <t>Complément manquant (€)</t>
        </is>
      </c>
    </row>
    <row r="4">
      <c r="A4" t="inlineStr">
        <is>
          <t>2022-2023</t>
        </is>
      </c>
      <c r="B4" t="inlineStr">
        <is>
          <t>2022-07-07</t>
        </is>
      </c>
      <c r="C4" t="inlineStr">
        <is>
          <t>n° 16 + n° 17 + n° 18</t>
        </is>
      </c>
      <c r="D4">
        <f>SUMPRODUCT((Calcul!$B$2:$B$5121=B4)*(Calcul!$C$2:$C$5121=C4)*(Calcul!$G$2:$G$5121=0))</f>
        <v/>
      </c>
      <c r="E4" s="6">
        <f>SUMPRODUCT((Calcul!$B$2:$B$5121=B4)*(Calcul!$C$2:$C$5121=C4)*Calcul!$I$2:$I$5121)</f>
        <v/>
      </c>
    </row>
    <row r="5">
      <c r="A5" t="inlineStr">
        <is>
          <t>2022-2023</t>
        </is>
      </c>
      <c r="B5" t="inlineStr">
        <is>
          <t>2022-09-15</t>
        </is>
      </c>
      <c r="C5" t="inlineStr">
        <is>
          <t>n° 15 + n° 18 + n° 19</t>
        </is>
      </c>
      <c r="D5">
        <f>SUMPRODUCT((Calcul!$B$2:$B$5121=B5)*(Calcul!$C$2:$C$5121=C5)*(Calcul!$G$2:$G$5121=0))</f>
        <v/>
      </c>
      <c r="E5" s="6">
        <f>SUMPRODUCT((Calcul!$B$2:$B$5121=B5)*(Calcul!$C$2:$C$5121=C5)*Calcul!$I$2:$I$5121)</f>
        <v/>
      </c>
    </row>
    <row r="6">
      <c r="A6" t="inlineStr">
        <is>
          <t>2022-2023</t>
        </is>
      </c>
      <c r="B6" t="inlineStr">
        <is>
          <t>2022-12-08</t>
        </is>
      </c>
      <c r="C6" t="inlineStr">
        <is>
          <t>n° 5 + n° 6 + n° 7 + n° 8</t>
        </is>
      </c>
      <c r="D6">
        <f>SUMPRODUCT((Calcul!$B$2:$B$5121=B6)*(Calcul!$C$2:$C$5121=C6)*(Calcul!$G$2:$G$5121=0))</f>
        <v/>
      </c>
      <c r="E6" s="6">
        <f>SUMPRODUCT((Calcul!$B$2:$B$5121=B6)*(Calcul!$C$2:$C$5121=C6)*Calcul!$I$2:$I$5121)</f>
        <v/>
      </c>
    </row>
    <row r="7">
      <c r="A7" t="inlineStr">
        <is>
          <t>2022-2023</t>
        </is>
      </c>
      <c r="B7" t="inlineStr">
        <is>
          <t>2023-01-07</t>
        </is>
      </c>
      <c r="C7" t="inlineStr">
        <is>
          <t>n° 8 + n° 9 + n° 11 + n° 12 + n° 13</t>
        </is>
      </c>
      <c r="D7">
        <f>SUMPRODUCT((Calcul!$B$2:$B$5121=B7)*(Calcul!$C$2:$C$5121=C7)*(Calcul!$G$2:$G$5121=0))</f>
        <v/>
      </c>
      <c r="E7" s="6">
        <f>SUMPRODUCT((Calcul!$B$2:$B$5121=B7)*(Calcul!$C$2:$C$5121=C7)*Calcul!$I$2:$I$5121)</f>
        <v/>
      </c>
    </row>
    <row r="8">
      <c r="A8" t="inlineStr">
        <is>
          <t>2022-2023</t>
        </is>
      </c>
      <c r="B8" t="inlineStr">
        <is>
          <t>2023-03-11</t>
        </is>
      </c>
      <c r="C8" t="inlineStr">
        <is>
          <t>n° 16 + n° 17 + n° 21 + n° 22</t>
        </is>
      </c>
      <c r="D8">
        <f>SUMPRODUCT((Calcul!$B$2:$B$5121=B8)*(Calcul!$C$2:$C$5121=C8)*(Calcul!$G$2:$G$5121=0))</f>
        <v/>
      </c>
      <c r="E8" s="6">
        <f>SUMPRODUCT((Calcul!$B$2:$B$5121=B8)*(Calcul!$C$2:$C$5121=C8)*Calcul!$I$2:$I$5121)</f>
        <v/>
      </c>
    </row>
    <row r="9">
      <c r="A9" t="inlineStr">
        <is>
          <t>2022-2023</t>
        </is>
      </c>
      <c r="B9" t="inlineStr">
        <is>
          <t>2023-03-29</t>
        </is>
      </c>
      <c r="C9" t="inlineStr">
        <is>
          <t>n° 13 + n° 14 + n° 15 + n° 16</t>
        </is>
      </c>
      <c r="D9">
        <f>SUMPRODUCT((Calcul!$B$2:$B$5121=B9)*(Calcul!$C$2:$C$5121=C9)*(Calcul!$G$2:$G$5121=0))</f>
        <v/>
      </c>
      <c r="E9" s="6">
        <f>SUMPRODUCT((Calcul!$B$2:$B$5121=B9)*(Calcul!$C$2:$C$5121=C9)*Calcul!$I$2:$I$5121)</f>
        <v/>
      </c>
    </row>
    <row r="10">
      <c r="A10" t="inlineStr">
        <is>
          <t>2023-2024</t>
        </is>
      </c>
      <c r="B10" t="inlineStr">
        <is>
          <t>2023-04-12</t>
        </is>
      </c>
      <c r="C10" t="inlineStr">
        <is>
          <t>n° 10 + n° 11 + n° 14</t>
        </is>
      </c>
      <c r="D10">
        <f>SUMPRODUCT((Calcul!$B$2:$B$5121=B10)*(Calcul!$C$2:$C$5121=C10)*(Calcul!$G$2:$G$5121=0))</f>
        <v/>
      </c>
      <c r="E10" s="6">
        <f>SUMPRODUCT((Calcul!$B$2:$B$5121=B10)*(Calcul!$C$2:$C$5121=C10)*Calcul!$I$2:$I$5121)</f>
        <v/>
      </c>
    </row>
    <row r="11">
      <c r="A11" t="inlineStr">
        <is>
          <t>2023-2024</t>
        </is>
      </c>
      <c r="B11" t="inlineStr">
        <is>
          <t>2023-04-30</t>
        </is>
      </c>
      <c r="C11" t="inlineStr">
        <is>
          <t>n° 16 + n° 17 + n° 19 + n° 23 + n° 24 + n° 25</t>
        </is>
      </c>
      <c r="D11">
        <f>SUMPRODUCT((Calcul!$B$2:$B$5121=B11)*(Calcul!$C$2:$C$5121=C11)*(Calcul!$G$2:$G$5121=0))</f>
        <v/>
      </c>
      <c r="E11" s="6">
        <f>SUMPRODUCT((Calcul!$B$2:$B$5121=B11)*(Calcul!$C$2:$C$5121=C11)*Calcul!$I$2:$I$5121)</f>
        <v/>
      </c>
    </row>
    <row r="12">
      <c r="A12" t="inlineStr">
        <is>
          <t>2023-2024</t>
        </is>
      </c>
      <c r="B12" t="inlineStr">
        <is>
          <t>2023-05-07</t>
        </is>
      </c>
      <c r="C12" t="inlineStr">
        <is>
          <t>n° 18 + n° 20 + n° 21</t>
        </is>
      </c>
      <c r="D12">
        <f>SUMPRODUCT((Calcul!$B$2:$B$5121=B12)*(Calcul!$C$2:$C$5121=C12)*(Calcul!$G$2:$G$5121=0))</f>
        <v/>
      </c>
      <c r="E12" s="6">
        <f>SUMPRODUCT((Calcul!$B$2:$B$5121=B12)*(Calcul!$C$2:$C$5121=C12)*Calcul!$I$2:$I$5121)</f>
        <v/>
      </c>
    </row>
    <row r="13">
      <c r="A13" t="inlineStr">
        <is>
          <t>2023-2024</t>
        </is>
      </c>
      <c r="B13" t="inlineStr">
        <is>
          <t>2023-05-14</t>
        </is>
      </c>
      <c r="C13" t="inlineStr">
        <is>
          <t>n° 11 + n° 12</t>
        </is>
      </c>
      <c r="D13">
        <f>SUMPRODUCT((Calcul!$B$2:$B$5121=B13)*(Calcul!$C$2:$C$5121=C13)*(Calcul!$G$2:$G$5121=0))</f>
        <v/>
      </c>
      <c r="E13" s="6">
        <f>SUMPRODUCT((Calcul!$B$2:$B$5121=B13)*(Calcul!$C$2:$C$5121=C13)*Calcul!$I$2:$I$5121)</f>
        <v/>
      </c>
    </row>
    <row r="14">
      <c r="A14" t="inlineStr">
        <is>
          <t>2023-2024</t>
        </is>
      </c>
      <c r="B14" t="inlineStr">
        <is>
          <t>2023-05-26</t>
        </is>
      </c>
      <c r="C14" t="inlineStr">
        <is>
          <t>n° 18 + n° 19 + n° 20</t>
        </is>
      </c>
      <c r="D14">
        <f>SUMPRODUCT((Calcul!$B$2:$B$5121=B14)*(Calcul!$C$2:$C$5121=C14)*(Calcul!$G$2:$G$5121=0))</f>
        <v/>
      </c>
      <c r="E14" s="6">
        <f>SUMPRODUCT((Calcul!$B$2:$B$5121=B14)*(Calcul!$C$2:$C$5121=C14)*Calcul!$I$2:$I$5121)</f>
        <v/>
      </c>
    </row>
    <row r="15">
      <c r="A15" t="inlineStr">
        <is>
          <t>2023-2024</t>
        </is>
      </c>
      <c r="B15" t="inlineStr">
        <is>
          <t>2023-05-31</t>
        </is>
      </c>
      <c r="C15" t="inlineStr">
        <is>
          <t>n° 8 + n° 9 + n° 11</t>
        </is>
      </c>
      <c r="D15">
        <f>SUMPRODUCT((Calcul!$B$2:$B$5121=B15)*(Calcul!$C$2:$C$5121=C15)*(Calcul!$G$2:$G$5121=0))</f>
        <v/>
      </c>
      <c r="E15" s="6">
        <f>SUMPRODUCT((Calcul!$B$2:$B$5121=B15)*(Calcul!$C$2:$C$5121=C15)*Calcul!$I$2:$I$5121)</f>
        <v/>
      </c>
    </row>
    <row r="16">
      <c r="A16" t="inlineStr">
        <is>
          <t>2023-2024</t>
        </is>
      </c>
      <c r="B16" t="inlineStr">
        <is>
          <t>2023-07-01</t>
        </is>
      </c>
      <c r="C16" t="inlineStr">
        <is>
          <t>n° 19 + n° 20</t>
        </is>
      </c>
      <c r="D16">
        <f>SUMPRODUCT((Calcul!$B$2:$B$5121=B16)*(Calcul!$C$2:$C$5121=C16)*(Calcul!$G$2:$G$5121=0))</f>
        <v/>
      </c>
      <c r="E16" s="6">
        <f>SUMPRODUCT((Calcul!$B$2:$B$5121=B16)*(Calcul!$C$2:$C$5121=C16)*Calcul!$I$2:$I$5121)</f>
        <v/>
      </c>
    </row>
    <row r="17">
      <c r="A17" t="inlineStr">
        <is>
          <t>2023-2024</t>
        </is>
      </c>
      <c r="B17" t="inlineStr">
        <is>
          <t>2023-09-02</t>
        </is>
      </c>
      <c r="C17" t="inlineStr">
        <is>
          <t>n° 19 + n° 20 + n° 22</t>
        </is>
      </c>
      <c r="D17">
        <f>SUMPRODUCT((Calcul!$B$2:$B$5121=B17)*(Calcul!$C$2:$C$5121=C17)*(Calcul!$G$2:$G$5121=0))</f>
        <v/>
      </c>
      <c r="E17" s="6">
        <f>SUMPRODUCT((Calcul!$B$2:$B$5121=B17)*(Calcul!$C$2:$C$5121=C17)*Calcul!$I$2:$I$5121)</f>
        <v/>
      </c>
    </row>
    <row r="18">
      <c r="A18" t="inlineStr">
        <is>
          <t>2023-2024</t>
        </is>
      </c>
      <c r="B18" t="inlineStr">
        <is>
          <t>2023-10-19</t>
        </is>
      </c>
      <c r="C18" t="inlineStr">
        <is>
          <t>n° 12 + n° 13 + n° 16</t>
        </is>
      </c>
      <c r="D18">
        <f>SUMPRODUCT((Calcul!$B$2:$B$5121=B18)*(Calcul!$C$2:$C$5121=C18)*(Calcul!$G$2:$G$5121=0))</f>
        <v/>
      </c>
      <c r="E18" s="6">
        <f>SUMPRODUCT((Calcul!$B$2:$B$5121=B18)*(Calcul!$C$2:$C$5121=C18)*Calcul!$I$2:$I$5121)</f>
        <v/>
      </c>
    </row>
    <row r="19">
      <c r="A19" t="inlineStr">
        <is>
          <t>2024-2025</t>
        </is>
      </c>
      <c r="B19" t="inlineStr">
        <is>
          <t>2024-05-18</t>
        </is>
      </c>
      <c r="C19" t="inlineStr">
        <is>
          <t>n° 11 + n° 12 + n° 13</t>
        </is>
      </c>
      <c r="D19">
        <f>SUMPRODUCT((Calcul!$B$2:$B$5121=B19)*(Calcul!$C$2:$C$5121=C19)*(Calcul!$G$2:$G$5121=0))</f>
        <v/>
      </c>
      <c r="E19" s="6">
        <f>SUMPRODUCT((Calcul!$B$2:$B$5121=B19)*(Calcul!$C$2:$C$5121=C19)*Calcul!$I$2:$I$5121)</f>
        <v/>
      </c>
    </row>
    <row r="20">
      <c r="A20" t="inlineStr">
        <is>
          <t>2024-2025</t>
        </is>
      </c>
      <c r="B20" t="inlineStr">
        <is>
          <t>2024-06-15</t>
        </is>
      </c>
      <c r="C20" t="inlineStr">
        <is>
          <t>n° 29 + n° 32 + n° 33</t>
        </is>
      </c>
      <c r="D20">
        <f>SUMPRODUCT((Calcul!$B$2:$B$5121=B20)*(Calcul!$C$2:$C$5121=C20)*(Calcul!$G$2:$G$5121=0))</f>
        <v/>
      </c>
      <c r="E20" s="6">
        <f>SUMPRODUCT((Calcul!$B$2:$B$5121=B20)*(Calcul!$C$2:$C$5121=C20)*Calcul!$I$2:$I$5121)</f>
        <v/>
      </c>
    </row>
    <row r="21">
      <c r="A21" t="inlineStr">
        <is>
          <t>2024-2025</t>
        </is>
      </c>
      <c r="B21" t="inlineStr">
        <is>
          <t>2024-06-29</t>
        </is>
      </c>
      <c r="C21" t="inlineStr">
        <is>
          <t>n° 13 + n° 14 + n° 15</t>
        </is>
      </c>
      <c r="D21">
        <f>SUMPRODUCT((Calcul!$B$2:$B$5121=B21)*(Calcul!$C$2:$C$5121=C21)*(Calcul!$G$2:$G$5121=0))</f>
        <v/>
      </c>
      <c r="E21" s="6">
        <f>SUMPRODUCT((Calcul!$B$2:$B$5121=B21)*(Calcul!$C$2:$C$5121=C21)*Calcul!$I$2:$I$5121)</f>
        <v/>
      </c>
    </row>
    <row r="22">
      <c r="A22" t="inlineStr">
        <is>
          <t>2024-2025</t>
        </is>
      </c>
      <c r="B22" t="inlineStr">
        <is>
          <t>2024-10-30</t>
        </is>
      </c>
      <c r="C22" t="inlineStr">
        <is>
          <t>n° 9 + n° 10 + n° 11</t>
        </is>
      </c>
      <c r="D22">
        <f>SUMPRODUCT((Calcul!$B$2:$B$5121=B22)*(Calcul!$C$2:$C$5121=C22)*(Calcul!$G$2:$G$5121=0))</f>
        <v/>
      </c>
      <c r="E22" s="6">
        <f>SUMPRODUCT((Calcul!$B$2:$B$5121=B22)*(Calcul!$C$2:$C$5121=C22)*Calcul!$I$2:$I$5121)</f>
        <v/>
      </c>
    </row>
    <row r="23">
      <c r="A23" t="inlineStr">
        <is>
          <t>2024-2025</t>
        </is>
      </c>
      <c r="B23" t="inlineStr">
        <is>
          <t>2024-12-06</t>
        </is>
      </c>
      <c r="C23" t="inlineStr">
        <is>
          <t>n° 14 + n° 15 + n° 19</t>
        </is>
      </c>
      <c r="D23">
        <f>SUMPRODUCT((Calcul!$B$2:$B$5121=B23)*(Calcul!$C$2:$C$5121=C23)*(Calcul!$G$2:$G$5121=0))</f>
        <v/>
      </c>
      <c r="E23" s="6">
        <f>SUMPRODUCT((Calcul!$B$2:$B$5121=B23)*(Calcul!$C$2:$C$5121=C23)*Calcul!$I$2:$I$5121)</f>
        <v/>
      </c>
    </row>
    <row r="24">
      <c r="C24" s="4" t="inlineStr">
        <is>
          <t>TOTAL résidu</t>
        </is>
      </c>
      <c r="D24" s="4">
        <f>SUM(D4:D23)</f>
        <v/>
      </c>
      <c r="E24" s="7">
        <f>SUM(E4:E23)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9" t="inlineStr">
        <is>
          <t>Objet</t>
        </is>
      </c>
    </row>
    <row r="2">
      <c r="A2" s="10" t="inlineStr">
        <is>
          <t>Recomposer, table par table et jour par jour, les quantités fractionnaires (&lt; 1) relevées par le service, et mesurer par formule la part qui se referme sur un entier et le résidu résiduel en euros.</t>
        </is>
      </c>
    </row>
    <row r="4">
      <c r="A4" s="9" t="inlineStr">
        <is>
          <t>Source unique</t>
        </is>
      </c>
    </row>
    <row r="5">
      <c r="A5" s="10" t="inlineStr">
        <is>
          <t>Pièce R1-quantites-fractionnaires.xlsx, onglet « Detail articles » (5 120 lignes : une par article fractionné d'une table reconstituée). Ces lignes sont recopiées telles quelles dans l'onglet « Sources » ; aucune valeur de résultat n'est recopiée.</t>
        </is>
      </c>
    </row>
    <row r="7">
      <c r="A7" s="9" t="inlineStr">
        <is>
          <t>Donnée brute reprise</t>
        </is>
      </c>
    </row>
    <row r="8">
      <c r="A8" s="10" t="inlineStr">
        <is>
          <t>Pour chaque article : l'exercice, la date, l'heure, l'identifiant de table (notes jumelles), le libellé, le prix unitaire carte, le détail des quantités note par note et la SOMME des fractions de l'article sur la table.</t>
        </is>
      </c>
    </row>
    <row r="10">
      <c r="A10" s="9" t="inlineStr">
        <is>
          <t>Étape 1 — test d'entier (col. G de Calcul)</t>
        </is>
      </c>
    </row>
    <row r="11">
      <c r="A11" s="10">
        <f>IF(ABS(Somme-ROUND(Somme,0))&lt;0.001,1,0). Vaut 1 si la somme des fractions d'un article retombe exactement sur un entier (ex. 0,50+0,50=1 ; 0,33+0,34+0,33=1), 0 sinon.</f>
        <v/>
      </c>
    </row>
    <row r="13">
      <c r="A13" s="9" t="inlineStr">
        <is>
          <t>Étape 2 — entier cible (col. H)</t>
        </is>
      </c>
    </row>
    <row r="14">
      <c r="A14" s="10">
        <f>IF(entier=1,Somme,CEILING(Somme,1)). L'entier immédiatement supérieur que la somme atteindrait si la ou les parts manquantes étaient rattachées (0,50 -&gt; 1 ; 0,67 -&gt; 1 ; 1,34 -&gt; 2 ; 2,40 -&gt; 3).</f>
        <v/>
      </c>
    </row>
    <row r="16">
      <c r="A16" s="9" t="inlineStr">
        <is>
          <t>Étape 3 — complément manquant € (col. I)</t>
        </is>
      </c>
    </row>
    <row r="17">
      <c r="A17" s="10">
        <f>IF(entier=1,0,(cible-Somme)*PU). C'est le montant maximal théoriquement « manquant » pour cet article si sa ou ses parts complémentaires n'existaient réellement pas. Pour un article refermé, il vaut 0.</f>
        <v/>
      </c>
    </row>
    <row r="19">
      <c r="A19" s="9" t="inlineStr">
        <is>
          <t>Étape 4 — montant reconstitué € (col. J)</t>
        </is>
      </c>
    </row>
    <row r="20">
      <c r="A20" s="10">
        <f>PU*Somme. Montant effectivement facturé et déjà porté au chiffre d'affaires pour cet article.</f>
        <v/>
      </c>
    </row>
    <row r="22">
      <c r="A22" s="9" t="inlineStr">
        <is>
          <t>Synthèse</t>
        </is>
      </c>
    </row>
    <row r="23">
      <c r="A23" s="10" t="inlineStr">
        <is>
          <t>Onglet « Synthèse » : nombre d'articles, nombre refermés (SUM col. G), taux de recomposition, résidu total (SUM col. I), le tout ventilé par exercice (SUMIFS).</t>
        </is>
      </c>
    </row>
    <row r="25">
      <c r="A25" s="9" t="inlineStr">
        <is>
          <t>Résidu</t>
        </is>
      </c>
    </row>
    <row r="26">
      <c r="A26" s="10" t="inlineStr">
        <is>
          <t>Onglet « Résidu 20 tables » : les seules tables portant au moins un article non refermé, avec par SUMPRODUCT le nombre d'articles concernés et le complément manquant en euros. C'est le plafond, honnêtement chiffré, de ce que ce motif pourrait au maximum représenter.</t>
        </is>
      </c>
    </row>
    <row r="28">
      <c r="A28" s="9" t="inlineStr">
        <is>
          <t>Tables</t>
        </is>
      </c>
    </row>
    <row r="29">
      <c r="A29" s="10" t="inlineStr">
        <is>
          <t>Onglet « Tables » : les 791 tables de R1 ; la colonne « entièrement reconstituée » est recalculée =IF(articles fractionnés=dont somme entier,1,0). Le total encaissé des tables est resommé (=SUM).</t>
        </is>
      </c>
    </row>
    <row r="31">
      <c r="A31" s="9" t="inlineStr">
        <is>
          <t>Limite de preuve</t>
        </is>
      </c>
    </row>
    <row r="32">
      <c r="A32" s="10" t="inlineStr">
        <is>
          <t>La pièce R1 ne contient pas les lignes brutes des annexes C (détail des tickets) ni F (règlements) : le rattachement note -&gt; encaissement et le lien au CA déclaré y sont des colonnes de résultat, non reproduites ici. Les annexes primaires ne sont disponibles que pour l'exercice 2022-2023 (ANNEXE-C1 / F1). Pour 2023-2024 et 2024-2025, la recomposition repose sur la reconstruction de R1, non re-dérivée d'une annexe primaire.</t>
        </is>
      </c>
    </row>
    <row r="34">
      <c r="A34" s="9" t="inlineStr">
        <is>
          <t>Paramètre de regroupement</t>
        </is>
      </c>
    </row>
    <row r="35">
      <c r="A35" s="10" t="inlineStr">
        <is>
          <t>Le rattachement des notes en « tables » repose, dans R1, sur une fenêtre de 15 minutes : c'est une heuristique. Une partie du résidu (notes d'un même partage encaissées hors fenêtre) en dépend ; le résidu chiffré ci-dessus est donc un majorant.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2026-10-25T19:05:34Z</dcterms:created>
  <dcterms:modified xmlns:dcterms="http://purl.org/dc/terms/" xmlns:xsi="http://www.w3.org/2001/XMLSchema-instance" xsi:type="dcterms:W3CDTF">2026-10-25T19:05:35Z</dcterms:modified>
</cp:coreProperties>
</file>