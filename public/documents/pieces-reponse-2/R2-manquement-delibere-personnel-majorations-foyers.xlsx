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alcul" sheetId="2" state="visible" r:id="rId2"/>
    <sheet xmlns:r="http://schemas.openxmlformats.org/officeDocument/2006/relationships" name="Méth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Sources : propositions de rectification personnelles du 19/10/2026 (PASTEUR, BEHEM) et proposition société du 18/05/2026</t>
        </is>
      </c>
    </row>
    <row r="2">
      <c r="A2" t="inlineStr">
        <is>
          <t>Valeurs recopiées des tableaux « Conséquences financières » (PASTEUR p. 67-76 ; BEHEM p. 69-70, 71-72, 75-76) et des tableaux récapitulatifs IS p. 59-62 / TVA p. 63-65 de la proposition société. Aucune valeur estimée.</t>
        </is>
      </c>
    </row>
    <row r="3">
      <c r="A3" s="1" t="inlineStr">
        <is>
          <t>Grandeur</t>
        </is>
      </c>
      <c r="B3" s="1" t="inlineStr">
        <is>
          <t>Source</t>
        </is>
      </c>
      <c r="C3" s="1" t="inlineStr">
        <is>
          <t>2023 / clos 31/03/2023</t>
        </is>
      </c>
      <c r="D3" s="1" t="inlineStr">
        <is>
          <t>2024 / clos 31/03/2024</t>
        </is>
      </c>
      <c r="E3" s="1" t="inlineStr">
        <is>
          <t>2025 / clos 31/03/2025</t>
        </is>
      </c>
    </row>
    <row r="4">
      <c r="A4" t="inlineStr">
        <is>
          <t>PASTEUR : base IR (variation)</t>
        </is>
      </c>
      <c r="B4" t="inlineStr">
        <is>
          <t>p. 67, 71, 75</t>
        </is>
      </c>
      <c r="C4" t="n">
        <v>40693</v>
      </c>
      <c r="D4" t="n">
        <v>27669</v>
      </c>
      <c r="E4" t="n">
        <v>27367</v>
      </c>
    </row>
    <row r="5">
      <c r="A5" t="inlineStr">
        <is>
          <t>PASTEUR : majoration 1729 sur IR (code 03)</t>
        </is>
      </c>
      <c r="B5" t="inlineStr">
        <is>
          <t>p. 67, 71, 75</t>
        </is>
      </c>
      <c r="C5" t="n">
        <v>16277</v>
      </c>
      <c r="D5" t="n">
        <v>11068</v>
      </c>
      <c r="E5" t="n">
        <v>10947</v>
      </c>
    </row>
    <row r="6">
      <c r="A6" t="inlineStr">
        <is>
          <t>PASTEUR : base PS (CSG-CRDS + PSOL)</t>
        </is>
      </c>
      <c r="B6" t="inlineStr">
        <is>
          <t>p. 67-68, 71-72, 75-76</t>
        </is>
      </c>
      <c r="C6" t="n">
        <v>16618</v>
      </c>
      <c r="D6" t="n">
        <v>11942</v>
      </c>
      <c r="E6" t="n">
        <v>12995</v>
      </c>
    </row>
    <row r="7">
      <c r="A7" t="inlineStr">
        <is>
          <t>PASTEUR : majoration 1729 sur PS</t>
        </is>
      </c>
      <c r="B7" t="inlineStr">
        <is>
          <t>p. 68, 72, 76</t>
        </is>
      </c>
      <c r="C7" t="n">
        <v>6647</v>
      </c>
      <c r="D7" t="n">
        <v>4777</v>
      </c>
      <c r="E7" t="n">
        <v>5198</v>
      </c>
    </row>
    <row r="8">
      <c r="A8" t="inlineStr">
        <is>
          <t>PASTEUR : intérêts de retard IR</t>
        </is>
      </c>
      <c r="B8" t="inlineStr">
        <is>
          <t>p. 67, 71, 75</t>
        </is>
      </c>
      <c r="C8" t="n">
        <v>2225</v>
      </c>
      <c r="D8" t="n">
        <v>885</v>
      </c>
      <c r="E8" t="n">
        <v>219</v>
      </c>
    </row>
    <row r="9">
      <c r="A9" t="inlineStr">
        <is>
          <t>PASTEUR : intérêts de retard PS</t>
        </is>
      </c>
      <c r="B9" t="inlineStr">
        <is>
          <t>p. 68, 72, 76</t>
        </is>
      </c>
      <c r="C9" t="n">
        <v>931</v>
      </c>
      <c r="D9" t="n">
        <v>383</v>
      </c>
      <c r="E9" t="n">
        <v>104</v>
      </c>
    </row>
    <row r="10">
      <c r="A10" t="inlineStr">
        <is>
          <t>PASTEUR : total mis en recouvrement</t>
        </is>
      </c>
      <c r="B10" t="inlineStr">
        <is>
          <t>p. 68, 72, 76</t>
        </is>
      </c>
      <c r="C10" t="n">
        <v>83391</v>
      </c>
      <c r="D10" t="n">
        <v>56724</v>
      </c>
      <c r="E10" t="n">
        <v>56830</v>
      </c>
    </row>
    <row r="11">
      <c r="A11" t="inlineStr">
        <is>
          <t>BEHEM : majoration 1729 sur IR (code 03)</t>
        </is>
      </c>
      <c r="B11" t="inlineStr">
        <is>
          <t>p. 69 ; p. 71 (avis 2024) ; p. 75</t>
        </is>
      </c>
      <c r="C11" t="n">
        <v>14356</v>
      </c>
      <c r="D11" t="n">
        <v>9820</v>
      </c>
      <c r="E11" t="n">
        <v>9756</v>
      </c>
    </row>
    <row r="12">
      <c r="A12" t="inlineStr">
        <is>
          <t>BEHEM : majoration 1729 sur PS</t>
        </is>
      </c>
      <c r="B12" t="inlineStr">
        <is>
          <t>p. 69-70 ; p. 71 (2 406 + 1 860) ; p. 76</t>
        </is>
      </c>
      <c r="C12" t="n">
        <v>5944</v>
      </c>
      <c r="D12" t="n">
        <v>4266</v>
      </c>
      <c r="E12" t="n">
        <v>4653</v>
      </c>
    </row>
    <row r="13">
      <c r="A13" t="inlineStr">
        <is>
          <t>BEHEM : intérêts de retard IR</t>
        </is>
      </c>
      <c r="B13" t="inlineStr">
        <is>
          <t>p. 69 ; p. 71 ; p. 75</t>
        </is>
      </c>
      <c r="C13" t="n">
        <v>1974</v>
      </c>
      <c r="D13" t="n">
        <v>692</v>
      </c>
      <c r="E13" t="n">
        <v>195</v>
      </c>
    </row>
    <row r="14">
      <c r="A14" t="inlineStr">
        <is>
          <t>BEHEM : intérêts de retard PS</t>
        </is>
      </c>
      <c r="B14" t="inlineStr">
        <is>
          <t>p. 69 ; p. 71 (192 + 149) ; p. 76</t>
        </is>
      </c>
      <c r="C14" t="n">
        <v>832</v>
      </c>
      <c r="D14" t="n">
        <v>341</v>
      </c>
      <c r="E14" t="n">
        <v>94</v>
      </c>
    </row>
    <row r="15">
      <c r="A15" t="inlineStr">
        <is>
          <t>BEHEM : total mis en recouvrement</t>
        </is>
      </c>
      <c r="B15" t="inlineStr">
        <is>
          <t>p. 70, 72, 76</t>
        </is>
      </c>
      <c r="C15" t="n">
        <v>73859</v>
      </c>
      <c r="D15" t="n">
        <v>48124</v>
      </c>
      <c r="E15" t="n">
        <v>50720</v>
      </c>
    </row>
    <row r="16">
      <c r="A16" t="inlineStr">
        <is>
          <t>SOCIÉTÉ : droits IS pénalisables</t>
        </is>
      </c>
      <c r="B16" t="inlineStr">
        <is>
          <t>18/05 p. 60</t>
        </is>
      </c>
      <c r="C16" t="n">
        <v>42908</v>
      </c>
      <c r="D16" t="n">
        <v>27120</v>
      </c>
      <c r="E16" t="n">
        <v>27482</v>
      </c>
    </row>
    <row r="17">
      <c r="A17" t="inlineStr">
        <is>
          <t>SOCIÉTÉ : majoration 1729 IS</t>
        </is>
      </c>
      <c r="B17" t="inlineStr">
        <is>
          <t>18/05 p. 61-62</t>
        </is>
      </c>
      <c r="C17" t="n">
        <v>17163</v>
      </c>
      <c r="D17" t="n">
        <v>10848</v>
      </c>
      <c r="E17" t="n">
        <v>10993</v>
      </c>
    </row>
    <row r="18">
      <c r="A18" t="inlineStr">
        <is>
          <t>SOCIÉTÉ : droits TVA pénalisables</t>
        </is>
      </c>
      <c r="B18" t="inlineStr">
        <is>
          <t>18/05 p. 63-65</t>
        </is>
      </c>
      <c r="C18" t="n">
        <v>20041</v>
      </c>
      <c r="D18" t="n">
        <v>14854</v>
      </c>
      <c r="E18" t="n">
        <v>14652</v>
      </c>
    </row>
    <row r="19">
      <c r="A19" t="inlineStr">
        <is>
          <t>SOCIÉTÉ : majoration 1729 TVA</t>
        </is>
      </c>
      <c r="B19" t="inlineStr">
        <is>
          <t>18/05 p. 63-65</t>
        </is>
      </c>
      <c r="C19" t="n">
        <v>8016</v>
      </c>
      <c r="D19" t="n">
        <v>5942</v>
      </c>
      <c r="E19" t="n">
        <v>5861</v>
      </c>
    </row>
    <row r="20">
      <c r="A20" t="inlineStr">
        <is>
          <t>SOCIÉTÉ : intérêts IS</t>
        </is>
      </c>
      <c r="B20" t="inlineStr">
        <is>
          <t>18/05 p. 60-62</t>
        </is>
      </c>
      <c r="C20" t="n">
        <v>2918</v>
      </c>
      <c r="D20" t="n">
        <v>1193</v>
      </c>
      <c r="E20" t="n">
        <v>550</v>
      </c>
    </row>
    <row r="21">
      <c r="A21" t="inlineStr">
        <is>
          <t>SOCIÉTÉ : intérêts TVA</t>
        </is>
      </c>
      <c r="B21" t="inlineStr">
        <is>
          <t>18/05 p. 63-65</t>
        </is>
      </c>
      <c r="C21" t="n">
        <v>1483</v>
      </c>
      <c r="D21" t="n">
        <v>743</v>
      </c>
      <c r="E21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Enjeu de la majoration de 40 % (art. 1729 a CGI), par formule</t>
        </is>
      </c>
    </row>
    <row r="2">
      <c r="A2" s="1" t="inlineStr">
        <is>
          <t>Ligne</t>
        </is>
      </c>
      <c r="B2" s="1" t="inlineStr">
        <is>
          <t>2023</t>
        </is>
      </c>
      <c r="C2" s="1" t="inlineStr">
        <is>
          <t>2024</t>
        </is>
      </c>
      <c r="D2" s="1" t="inlineStr">
        <is>
          <t>2025</t>
        </is>
      </c>
      <c r="E2" s="1" t="inlineStr">
        <is>
          <t>Total 3 ans</t>
        </is>
      </c>
      <c r="F2" s="1" t="inlineStr">
        <is>
          <t>Contrôle</t>
        </is>
      </c>
    </row>
    <row r="3">
      <c r="A3" t="inlineStr">
        <is>
          <t>PASTEUR 40 % IR recalculé = ROUND(base × 0,4)</t>
        </is>
      </c>
      <c r="B3">
        <f>ROUND(Sources!C4*0.4,0)</f>
        <v/>
      </c>
      <c r="C3">
        <f>ROUND(Sources!D4*0.4,0)</f>
        <v/>
      </c>
      <c r="D3">
        <f>ROUND(Sources!E4*0.4,0)</f>
        <v/>
      </c>
      <c r="E3">
        <f>SUM(B3:D3)</f>
        <v/>
      </c>
      <c r="F3">
        <f>IF(AND(B3=Sources!C5,C3=Sources!D5,D3=Sources!E5),"= notifié","écart")</f>
        <v/>
      </c>
    </row>
    <row r="4">
      <c r="A4" t="inlineStr">
        <is>
          <t>PASTEUR 40 % IR notifié</t>
        </is>
      </c>
      <c r="B4">
        <f>Sources!C5</f>
        <v/>
      </c>
      <c r="C4">
        <f>Sources!D5</f>
        <v/>
      </c>
      <c r="D4">
        <f>Sources!E5</f>
        <v/>
      </c>
      <c r="E4">
        <f>SUM(B4:D4)</f>
        <v/>
      </c>
      <c r="F4" t="inlineStr"/>
    </row>
    <row r="5">
      <c r="A5" t="inlineStr">
        <is>
          <t>PASTEUR 40 % PS notifié</t>
        </is>
      </c>
      <c r="B5">
        <f>Sources!C7</f>
        <v/>
      </c>
      <c r="C5">
        <f>Sources!D7</f>
        <v/>
      </c>
      <c r="D5">
        <f>Sources!E7</f>
        <v/>
      </c>
      <c r="E5">
        <f>SUM(B5:D5)</f>
        <v/>
      </c>
      <c r="F5" t="inlineStr"/>
    </row>
    <row r="6">
      <c r="A6" t="inlineStr">
        <is>
          <t>PASTEUR total 40 %</t>
        </is>
      </c>
      <c r="B6">
        <f>B4+B5</f>
        <v/>
      </c>
      <c r="C6">
        <f>C4+C5</f>
        <v/>
      </c>
      <c r="D6">
        <f>D4+D5</f>
        <v/>
      </c>
      <c r="E6">
        <f>SUM(B6:D6)</f>
        <v/>
      </c>
      <c r="F6" t="inlineStr"/>
    </row>
    <row r="7">
      <c r="A7" t="inlineStr">
        <is>
          <t>PASTEUR intérêts (IR + PS)</t>
        </is>
      </c>
      <c r="B7">
        <f>Sources!C8+Sources!C9</f>
        <v/>
      </c>
      <c r="C7">
        <f>Sources!D8+Sources!D9</f>
        <v/>
      </c>
      <c r="D7">
        <f>Sources!E8+Sources!E9</f>
        <v/>
      </c>
      <c r="E7">
        <f>SUM(B7:D7)</f>
        <v/>
      </c>
      <c r="F7" t="inlineStr"/>
    </row>
    <row r="8">
      <c r="A8" t="inlineStr">
        <is>
          <t>PASTEUR contrôle : base IR + int. + 40 % + base PS + int. + 40 % = total mis en recouvrement</t>
        </is>
      </c>
      <c r="B8">
        <f>Sources!C4+Sources!C8+Sources!C5+Sources!C6+Sources!C9+Sources!C7</f>
        <v/>
      </c>
      <c r="C8">
        <f>Sources!D4+Sources!D8+Sources!D5+Sources!D6+Sources!D9+Sources!D7</f>
        <v/>
      </c>
      <c r="D8">
        <f>Sources!E4+Sources!E8+Sources!E5+Sources!E6+Sources!E9+Sources!E7</f>
        <v/>
      </c>
      <c r="E8">
        <f>SUM(B8:D8)</f>
        <v/>
      </c>
      <c r="F8">
        <f>IF(AND(B8=Sources!C10,C8=Sources!D10,D8=Sources!E10),"= total notifié","écart")</f>
        <v/>
      </c>
    </row>
    <row r="9">
      <c r="A9" t="inlineStr">
        <is>
          <t>BEHEM 40 % IR notifié</t>
        </is>
      </c>
      <c r="B9">
        <f>Sources!C11</f>
        <v/>
      </c>
      <c r="C9">
        <f>Sources!D11</f>
        <v/>
      </c>
      <c r="D9">
        <f>Sources!E11</f>
        <v/>
      </c>
      <c r="E9">
        <f>SUM(B9:D9)</f>
        <v/>
      </c>
      <c r="F9" t="inlineStr"/>
    </row>
    <row r="10">
      <c r="A10" t="inlineStr">
        <is>
          <t>BEHEM 40 % PS notifié</t>
        </is>
      </c>
      <c r="B10">
        <f>Sources!C12</f>
        <v/>
      </c>
      <c r="C10">
        <f>Sources!D12</f>
        <v/>
      </c>
      <c r="D10">
        <f>Sources!E12</f>
        <v/>
      </c>
      <c r="E10">
        <f>SUM(B10:D10)</f>
        <v/>
      </c>
      <c r="F10" t="inlineStr"/>
    </row>
    <row r="11">
      <c r="A11" t="inlineStr">
        <is>
          <t>BEHEM total 40 %</t>
        </is>
      </c>
      <c r="B11">
        <f>B9+B10</f>
        <v/>
      </c>
      <c r="C11">
        <f>C9+C10</f>
        <v/>
      </c>
      <c r="D11">
        <f>D9+D10</f>
        <v/>
      </c>
      <c r="E11">
        <f>SUM(B11:D11)</f>
        <v/>
      </c>
      <c r="F11" t="inlineStr"/>
    </row>
    <row r="12">
      <c r="A12" t="inlineStr">
        <is>
          <t>BEHEM intérêts (IR + PS)</t>
        </is>
      </c>
      <c r="B12">
        <f>Sources!C13+Sources!C14</f>
        <v/>
      </c>
      <c r="C12">
        <f>Sources!D13+Sources!D14</f>
        <v/>
      </c>
      <c r="D12">
        <f>Sources!E13+Sources!E14</f>
        <v/>
      </c>
      <c r="E12">
        <f>SUM(B12:D12)</f>
        <v/>
      </c>
      <c r="F12" t="inlineStr"/>
    </row>
    <row r="13">
      <c r="A13" t="inlineStr">
        <is>
          <t>SOCIÉTÉ 40 % IS recalculé</t>
        </is>
      </c>
      <c r="B13">
        <f>ROUND(Sources!C16*0.4,0)</f>
        <v/>
      </c>
      <c r="C13">
        <f>ROUND(Sources!D16*0.4,0)</f>
        <v/>
      </c>
      <c r="D13">
        <f>ROUND(Sources!E16*0.4,0)</f>
        <v/>
      </c>
      <c r="E13">
        <f>SUM(B13:D13)</f>
        <v/>
      </c>
      <c r="F13">
        <f>IF(AND(B13=Sources!C17,C13=Sources!D17,D13=Sources!E17),"= notifié","écart")</f>
        <v/>
      </c>
    </row>
    <row r="14">
      <c r="A14" t="inlineStr">
        <is>
          <t>SOCIÉTÉ 40 % TVA recalculé</t>
        </is>
      </c>
      <c r="B14">
        <f>ROUND(Sources!C18*0.4,0)</f>
        <v/>
      </c>
      <c r="C14">
        <f>ROUND(Sources!D18*0.4,0)</f>
        <v/>
      </c>
      <c r="D14">
        <f>ROUND(Sources!E18*0.4,0)</f>
        <v/>
      </c>
      <c r="E14">
        <f>SUM(B14:D14)</f>
        <v/>
      </c>
      <c r="F14">
        <f>IF(AND(B14=Sources!C19,C14=Sources!D19,D14=Sources!E19),"= notifié","écart")</f>
        <v/>
      </c>
    </row>
    <row r="15">
      <c r="A15" t="inlineStr">
        <is>
          <t>SOCIÉTÉ total 40 %</t>
        </is>
      </c>
      <c r="B15">
        <f>B13+B14</f>
        <v/>
      </c>
      <c r="C15">
        <f>C13+C14</f>
        <v/>
      </c>
      <c r="D15">
        <f>D13+D14</f>
        <v/>
      </c>
      <c r="E15">
        <f>SUM(B15:D15)</f>
        <v/>
      </c>
      <c r="F15" t="inlineStr"/>
    </row>
    <row r="16">
      <c r="A16" t="inlineStr">
        <is>
          <t>SOCIÉTÉ intérêts (IS + TVA)</t>
        </is>
      </c>
      <c r="B16">
        <f>Sources!C20+Sources!C21</f>
        <v/>
      </c>
      <c r="C16">
        <f>Sources!D20+Sources!D21</f>
        <v/>
      </c>
      <c r="D16">
        <f>Sources!E20+Sources!E21</f>
        <v/>
      </c>
      <c r="E16">
        <f>SUM(B16:D16)</f>
        <v/>
      </c>
      <c r="F16" t="inlineStr"/>
    </row>
    <row r="17">
      <c r="A17" t="inlineStr">
        <is>
          <t>TOTAL 40 % foyers (PASTEUR + BEHEM)</t>
        </is>
      </c>
      <c r="B17">
        <f>B6+B11</f>
        <v/>
      </c>
      <c r="C17">
        <f>C6+C11</f>
        <v/>
      </c>
      <c r="D17">
        <f>D6+D11</f>
        <v/>
      </c>
      <c r="E17">
        <f>SUM(B17:D17)</f>
        <v/>
      </c>
      <c r="F17" t="inlineStr"/>
    </row>
    <row r="18">
      <c r="A18" t="inlineStr">
        <is>
          <t>TOTAL 40 % société + foyers</t>
        </is>
      </c>
      <c r="B18">
        <f>B15+B17</f>
        <v/>
      </c>
      <c r="C18">
        <f>C15+C17</f>
        <v/>
      </c>
      <c r="D18">
        <f>D15+D17</f>
        <v/>
      </c>
      <c r="E18">
        <f>SUM(B18:D18)</f>
        <v/>
      </c>
      <c r="F18" t="inlineStr"/>
    </row>
    <row r="19">
      <c r="A19" t="inlineStr">
        <is>
          <t>TOTAL intérêts société + foyers</t>
        </is>
      </c>
      <c r="B19">
        <f>B7+B12+B16</f>
        <v/>
      </c>
      <c r="C19">
        <f>C7+C12+C16</f>
        <v/>
      </c>
      <c r="D19">
        <f>D7+D12+D16</f>
        <v/>
      </c>
      <c r="E19">
        <f>SUM(B19:D19)</f>
        <v/>
      </c>
      <c r="F19" t="inlineStr"/>
    </row>
    <row r="20">
      <c r="A20" t="inlineStr">
        <is>
          <t>Exposition totale notifiée (société 213 148 + foyers 369 648)</t>
        </is>
      </c>
      <c r="B20" t="inlineStr"/>
      <c r="C20" t="inlineStr"/>
      <c r="D20" t="inlineStr"/>
      <c r="E20">
        <f>213148+SUM(Sources!C10:E10)+SUM(Sources!C15:E15)</f>
        <v/>
      </c>
      <c r="F20" t="inlineStr"/>
    </row>
    <row r="21">
      <c r="A21" t="inlineStr">
        <is>
          <t>Part de la majoration de 40 % dans l'exposition</t>
        </is>
      </c>
      <c r="B21" t="inlineStr"/>
      <c r="C21" t="inlineStr"/>
      <c r="D21" t="inlineStr"/>
      <c r="E21" s="2">
        <f>E18/E20</f>
        <v/>
      </c>
      <c r="F21" t="inlineStr"/>
    </row>
    <row r="22">
      <c r="A22" t="inlineStr">
        <is>
          <t>Droits des foyers hors pénalités (369 648 − 40 % − intérêts)</t>
        </is>
      </c>
      <c r="B22" t="inlineStr"/>
      <c r="C22" t="inlineStr"/>
      <c r="D22" t="inlineStr"/>
      <c r="E22">
        <f>SUM(Sources!C10:E10)+SUM(Sources!C15:E15)-E17-B12-C12-D12-B7-C7-D7</f>
        <v/>
      </c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Objet : chiffrer, euro par euro, la majoration de 40 % (art. 1729 a CGI) notifiée à chaque foyer le 19/10/2026 et à la société le 18/05/2026, et vérifier que les montants notifiés sont bien 40 % des bases.</t>
        </is>
      </c>
    </row>
    <row r="2">
      <c r="A2" t="inlineStr">
        <is>
          <t>Onglet Sources : recopie des tableaux « Conséquences financières » des propositions personnelles (codes pénalité 03 = manquement délibéré 40 %) et des récapitulatifs IS/TVA de la proposition société.</t>
        </is>
      </c>
    </row>
    <row r="3">
      <c r="A3" t="inlineStr">
        <is>
          <t>Onglet Calcul : ROUND(base × 0,4) = montant notifié pour PASTEUR (IR) et pour la société (IS, TVA) ; les bases IR de BEHEM 2024 ne figurent pas dans l'OCR (page « conséquences financières » 2024 absente), le montant notifié (9 820 €) est repris de l'avis détaillé p. 71.</t>
        </is>
      </c>
    </row>
    <row r="4">
      <c r="A4" t="inlineStr">
        <is>
          <t>Contrôle PASTEUR : base IR + intérêts + 40 % + base PS + intérêts + 40 % = total mis en recouvrement (83 391 / 56 724 / 56 830), à l'euro près.</t>
        </is>
      </c>
    </row>
    <row r="5">
      <c r="A5" t="inlineStr">
        <is>
          <t>Contrôle BEHEM 2023 : 35 891 + 1 974 + 14 356 + 14 862 + 832 + 5 944 = 73 859 ; 2025 : 24 390 + 195 + 9 756 + 11 632 + 94 + 4 653 = 50 720 ; 2024 : 25 720 + 692 + 9 820 − 4 083 + 6 411 + 192 + 2 406 + 4 957 + 149 + 1 860 = 48 124.</t>
        </is>
      </c>
    </row>
    <row r="6">
      <c r="A6" t="inlineStr">
        <is>
          <t>Résultat : 40 % foyers = 54 914 (PASTEUR) + 48 795 (BEHEM) = 103 709 € ; 40 % société = 58 823 € ; total 162 532 € = 27,9 % de l'exposition de 582 796 €. Intérêts : 4 747 + 4 128 + 7 268 = 16 143 €.</t>
        </is>
      </c>
    </row>
    <row r="7">
      <c r="A7" t="inlineStr">
        <is>
          <t>Attention : les « discordances HT » citées par la motivation (96 617 / 69 432 / 69 864 €) sont la moitié par foyer des distributions réputées, pas l'assiette de la majoration ; l'assiette du 40 % est l'impôt supplémentaire (IR, PS, IS, TVA).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2026-10-27T09:28:28Z</dcterms:created>
  <dcterms:modified xmlns:dcterms="http://purl.org/dc/terms/" xmlns:xsi="http://www.w3.org/2001/XMLSchema-instance" xsi:type="dcterms:W3CDTF">2026-10-27T09:28:28Z</dcterms:modified>
</cp:coreProperties>
</file>