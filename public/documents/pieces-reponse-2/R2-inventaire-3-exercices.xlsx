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s" sheetId="1" state="visible" r:id="rId1"/>
    <sheet xmlns:r="http://schemas.openxmlformats.org/officeDocument/2006/relationships" name="Calcul" sheetId="2" state="visible" r:id="rId2"/>
    <sheet xmlns:r="http://schemas.openxmlformats.org/officeDocument/2006/relationships" name="Metho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 ##0.00 &quot;€&quot;;-# ##0.00 &quot;€&quot;"/>
  </numFmts>
  <fonts count="4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9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E8EEF4"/>
      </patternFill>
    </fill>
    <fill>
      <patternFill patternType="solid">
        <fgColor rgb="00E3F2E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vertical="center" wrapText="1"/>
    </xf>
    <xf numFmtId="0" fontId="0" fillId="0" borderId="1" pivotButton="0" quotePrefix="0" xfId="0"/>
    <xf numFmtId="164" fontId="0" fillId="0" borderId="1" pivotButton="0" quotePrefix="0" xfId="0"/>
    <xf numFmtId="164" fontId="3" fillId="3" borderId="1" pivotButton="0" quotePrefix="0" xfId="0"/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36" customWidth="1" min="4" max="4"/>
    <col width="22" customWidth="1" min="5" max="5"/>
    <col width="22" customWidth="1" min="6" max="6"/>
    <col width="20" customWidth="1" min="7" max="7"/>
  </cols>
  <sheetData>
    <row r="1">
      <c r="A1" s="1" t="inlineStr">
        <is>
          <t>R2 - Inventaire boissons des 3 exercices : sources</t>
        </is>
      </c>
    </row>
    <row r="2" ht="40" customHeight="1">
      <c r="A2" s="2" t="inlineStr">
        <is>
          <t>Deux jeux de chiffres. (1) Pages récapitulatives datées des inventaires (PDF joints) : valeurs OPPOSABLES. (2) Ventilation du mémoire du 10/07/2026 reproduite p. 31 du courrier : rappelée pour mémoire, ÉCARTÉE là où elle diverge.</t>
        </is>
      </c>
    </row>
    <row r="4">
      <c r="A4" s="3" t="inlineStr">
        <is>
          <t>Clôture</t>
        </is>
      </c>
      <c r="B4" s="3" t="inlineStr">
        <is>
          <t>Sans alcool - page datée (€)</t>
        </is>
      </c>
      <c r="C4" s="3" t="inlineStr">
        <is>
          <t>Alcools &amp; vins - page datée (€)</t>
        </is>
      </c>
      <c r="D4" s="3" t="inlineStr">
        <is>
          <t>Total imprimé sur la page (€)</t>
        </is>
      </c>
      <c r="E4" s="3" t="inlineStr">
        <is>
          <t>Sans alcool - mémoire p.31 (€)</t>
        </is>
      </c>
      <c r="F4" s="3" t="inlineStr">
        <is>
          <t>Alcools &amp; vins - mémoire p.31 (€)</t>
        </is>
      </c>
      <c r="G4" s="3" t="inlineStr">
        <is>
          <t>Total mémoire p.31 (€)</t>
        </is>
      </c>
    </row>
    <row r="5">
      <c r="A5" s="4" t="inlineStr">
        <is>
          <t>31/03/2023</t>
        </is>
      </c>
      <c r="B5" s="5" t="n">
        <v>727.7</v>
      </c>
      <c r="C5" s="5" t="n">
        <v>3050.29</v>
      </c>
      <c r="D5" s="4" t="inlineStr">
        <is>
          <t>7 030,61 (total mixte, pas de sous-total boissons imprimé)</t>
        </is>
      </c>
      <c r="E5" s="5" t="n">
        <v>617.91</v>
      </c>
      <c r="F5" s="5" t="n">
        <v>3056.26</v>
      </c>
      <c r="G5" s="5" t="n">
        <v>3674.17</v>
      </c>
    </row>
    <row r="6">
      <c r="A6" s="4" t="inlineStr">
        <is>
          <t>31/03/2024</t>
        </is>
      </c>
      <c r="B6" s="5" t="n">
        <v>870.59</v>
      </c>
      <c r="C6" s="5" t="n">
        <v>3937.07</v>
      </c>
      <c r="D6" s="5" t="n">
        <v>4807.6</v>
      </c>
      <c r="E6" s="5" t="n">
        <v>603.61</v>
      </c>
      <c r="F6" s="5" t="n">
        <v>3932.8</v>
      </c>
      <c r="G6" s="5" t="n">
        <v>4536.41</v>
      </c>
    </row>
    <row r="7">
      <c r="A7" s="4" t="inlineStr">
        <is>
          <t>31/03/2025</t>
        </is>
      </c>
      <c r="B7" s="5" t="n">
        <v>765.74</v>
      </c>
      <c r="C7" s="5" t="n">
        <v>3768.51</v>
      </c>
      <c r="D7" s="5" t="n">
        <v>4534.25</v>
      </c>
      <c r="E7" s="5" t="n">
        <v>760.74</v>
      </c>
      <c r="F7" s="5" t="n">
        <v>3772.48</v>
      </c>
      <c r="G7" s="5" t="n">
        <v>4533.22</v>
      </c>
    </row>
  </sheetData>
  <mergeCells count="1">
    <mergeCell ref="A2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30" customWidth="1" min="4" max="4"/>
    <col width="26" customWidth="1" min="5" max="5"/>
    <col width="24" customWidth="1" min="6" max="6"/>
    <col width="22" customWidth="1" min="7" max="7"/>
    <col width="26" customWidth="1" min="8" max="8"/>
  </cols>
  <sheetData>
    <row r="1">
      <c r="A1" s="1" t="inlineStr">
        <is>
          <t>R2 - Inventaire boissons : stock opposable recalculé par formule</t>
        </is>
      </c>
    </row>
    <row r="3">
      <c r="A3" s="3" t="inlineStr">
        <is>
          <t>Clôture</t>
        </is>
      </c>
      <c r="B3" s="3" t="inlineStr">
        <is>
          <t>Sans alcool (€)</t>
        </is>
      </c>
      <c r="C3" s="3" t="inlineStr">
        <is>
          <t>Alcools &amp; vins (€)</t>
        </is>
      </c>
      <c r="D3" s="3" t="inlineStr">
        <is>
          <t>Stock boissons opposable = somme (€)</t>
        </is>
      </c>
      <c r="E3" s="3" t="inlineStr">
        <is>
          <t>Total imprimé (€)</t>
        </is>
      </c>
      <c r="F3" s="3" t="inlineStr">
        <is>
          <t>Écart somme vs imprimé (€)</t>
        </is>
      </c>
      <c r="G3" s="3" t="inlineStr">
        <is>
          <t>Rappel mémoire p.31 (€)</t>
        </is>
      </c>
      <c r="H3" s="3" t="inlineStr">
        <is>
          <t>Écart opposable vs mémoire (€)</t>
        </is>
      </c>
    </row>
    <row r="4">
      <c r="A4" s="4">
        <f>Sources!A5</f>
        <v/>
      </c>
      <c r="B4" s="5">
        <f>Sources!B5</f>
        <v/>
      </c>
      <c r="C4" s="5">
        <f>Sources!C5</f>
        <v/>
      </c>
      <c r="D4" s="6">
        <f>B4+C4</f>
        <v/>
      </c>
      <c r="E4" s="4" t="inlineStr">
        <is>
          <t>pas de sous-total boissons imprimé</t>
        </is>
      </c>
      <c r="F4" s="4" t="inlineStr">
        <is>
          <t>n/a</t>
        </is>
      </c>
      <c r="G4" s="5">
        <f>Sources!G5</f>
        <v/>
      </c>
      <c r="H4" s="5">
        <f>D4-G4</f>
        <v/>
      </c>
    </row>
    <row r="5">
      <c r="A5" s="4">
        <f>Sources!A6</f>
        <v/>
      </c>
      <c r="B5" s="5">
        <f>Sources!B6</f>
        <v/>
      </c>
      <c r="C5" s="5">
        <f>Sources!C6</f>
        <v/>
      </c>
      <c r="D5" s="6">
        <f>B5+C5</f>
        <v/>
      </c>
      <c r="E5" s="5">
        <f>Sources!D6</f>
        <v/>
      </c>
      <c r="F5" s="5">
        <f>D5-E5</f>
        <v/>
      </c>
      <c r="G5" s="5">
        <f>Sources!G6</f>
        <v/>
      </c>
      <c r="H5" s="5">
        <f>D5-G5</f>
        <v/>
      </c>
    </row>
    <row r="6">
      <c r="A6" s="4">
        <f>Sources!A7</f>
        <v/>
      </c>
      <c r="B6" s="5">
        <f>Sources!B7</f>
        <v/>
      </c>
      <c r="C6" s="5">
        <f>Sources!C7</f>
        <v/>
      </c>
      <c r="D6" s="6">
        <f>B6+C6</f>
        <v/>
      </c>
      <c r="E6" s="5">
        <f>Sources!D7</f>
        <v/>
      </c>
      <c r="F6" s="5">
        <f>D6-E6</f>
        <v/>
      </c>
      <c r="G6" s="5">
        <f>Sources!G7</f>
        <v/>
      </c>
      <c r="H6" s="5">
        <f>D6-G6</f>
        <v/>
      </c>
    </row>
    <row r="8" ht="30" customHeight="1">
      <c r="A8" s="2" t="inlineStr">
        <is>
          <t>Stock boissons opposable : 3 777,99 € (2023) / 4 807,66 € (2024) / 4 534,25 € (2025).</t>
        </is>
      </c>
    </row>
    <row r="9" ht="30" customHeight="1">
      <c r="A9" s="2" t="inlineStr">
        <is>
          <t>31/03/2024 : la somme des sous-lignes vaut 4 807,66 € ; la page imprime « Total : 4 807,60 € » (coquille d'impression de 0,06 €). Le service a repris la somme des sous-lignes (4 807,66 €).</t>
        </is>
      </c>
    </row>
    <row r="10" ht="30" customHeight="1">
      <c r="A10" s="2" t="inlineStr">
        <is>
          <t>Divergence avec le mémoire p.31 : 2023 alcools 3 056,26 € = recopie (état d'origine 3 050,29 €, pied imprimé p.12) ; 2024 et 2025, ventilations du mémoire non adoptées, les pages datées faisant foi.</t>
        </is>
      </c>
    </row>
  </sheetData>
  <mergeCells count="3">
    <mergeCell ref="A9:H9"/>
    <mergeCell ref="A8:H8"/>
    <mergeCell ref="A10:H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R2 - Inventaire 3 exercices : méthode</t>
        </is>
      </c>
    </row>
    <row r="3">
      <c r="A3" s="7" t="inlineStr">
        <is>
          <t>Objet : fixer une valeur de stock boissons unique et opposable par clôture, et expliquer l'écart avec la ventilation du mémoire du 10/07/2026 reproduite p. 31.</t>
        </is>
      </c>
    </row>
    <row r="4">
      <c r="A4" s="7" t="inlineStr"/>
    </row>
    <row r="5">
      <c r="A5" s="8" t="inlineStr">
        <is>
          <t>Valeur opposable = page récapitulative datée de chaque inventaire (PDF joints) :</t>
        </is>
      </c>
    </row>
    <row r="6">
      <c r="A6" s="7" t="inlineStr">
        <is>
          <t>- 31/03/2023 : 727,70 + 3 050,29 = 3 777,99 € (la page n'imprime que le total mixte 7 030,61 €).</t>
        </is>
      </c>
    </row>
    <row r="7">
      <c r="A7" s="7" t="inlineStr">
        <is>
          <t>- 31/03/2024 : 870,59 + 3 937,07 = 4 807,66 € (la page imprime « Total : 4 807,60 € », coquille de 0,06 €).</t>
        </is>
      </c>
    </row>
    <row r="8">
      <c r="A8" s="7" t="inlineStr">
        <is>
          <t>- 31/03/2025 : 765,74 + 3 768,51 = 4 534,25 € (imprimé « BOISSONS 4 534,25 € »).</t>
        </is>
      </c>
    </row>
    <row r="9">
      <c r="A9" s="7" t="inlineStr"/>
    </row>
    <row r="10">
      <c r="A10" s="7" t="inlineStr">
        <is>
          <t>Chiffres écartés (mémoire p.31) : 3 674,17 / 4 536,41 / 4 533,22 €. Ils procèdent de ventilations sans alcool/alcools non reprises des pages datées (dont une recopie du total alcools 2023 : 3 056,26 au lieu de 3 050,29). La société ne les oppose pas.</t>
        </is>
      </c>
    </row>
    <row r="11">
      <c r="A11" s="7" t="inlineStr"/>
    </row>
    <row r="12">
      <c r="A12" s="7" t="inlineStr">
        <is>
          <t>Cohérence aval : 4 807,66 − 4 534,25 = 273,41 € et 3 777,99 − 4 807,66 = −1 029,67 €, soit exactement les variations portées au compte 310 200 par le service.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2026-10-25T21:18:44Z</dcterms:created>
  <dcterms:modified xmlns:dcterms="http://purl.org/dc/terms/" xmlns:xsi="http://www.w3.org/2001/XMLSchema-instance" xsi:type="dcterms:W3CDTF">2026-10-25T21:18:44Z</dcterms:modified>
</cp:coreProperties>
</file>