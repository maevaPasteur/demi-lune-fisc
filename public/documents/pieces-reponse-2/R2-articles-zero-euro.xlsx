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Methode" sheetId="1" state="visible" r:id="rId1"/>
    <sheet xmlns:r="http://schemas.openxmlformats.org/officeDocument/2006/relationships" name="Sources_272" sheetId="2" state="visible" r:id="rId2"/>
    <sheet xmlns:r="http://schemas.openxmlformats.org/officeDocument/2006/relationships" name="Decompte_exercices" sheetId="3" state="visible" r:id="rId3"/>
    <sheet xmlns:r="http://schemas.openxmlformats.org/officeDocument/2006/relationships" name="Classement" sheetId="4" state="visible" r:id="rId4"/>
    <sheet xmlns:r="http://schemas.openxmlformats.org/officeDocument/2006/relationships" name="Fractionnaires" sheetId="5" state="visible" r:id="rId5"/>
    <sheet xmlns:r="http://schemas.openxmlformats.org/officeDocument/2006/relationships" name="Tickets_0" sheetId="6" state="visible" r:id="rId6"/>
    <sheet xmlns:r="http://schemas.openxmlformats.org/officeDocument/2006/relationships" name="Controle_remise" sheetId="7" state="visible" r:id="rId7"/>
    <sheet xmlns:r="http://schemas.openxmlformats.org/officeDocument/2006/relationships" name="Notes_journees" sheetId="8" state="visible" r:id="rId8"/>
    <sheet xmlns:r="http://schemas.openxmlformats.org/officeDocument/2006/relationships" name="Quantites" sheetId="9" state="visible" r:id="rId9"/>
    <sheet xmlns:r="http://schemas.openxmlformats.org/officeDocument/2006/relationships" name="Table_3224" sheetId="10" state="visible" r:id="rId10"/>
    <sheet xmlns:r="http://schemas.openxmlformats.org/officeDocument/2006/relationships" name="Fractions_C"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0&quot; EUR&quot;"/>
    <numFmt numFmtId="165" formatCode="0.0%"/>
  </numFmts>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1"/>
    </font>
    <font>
      <name val="Cambria"/>
      <charset val="1"/>
      <family val="0"/>
      <b val="1"/>
      <color rgb="FFFFFFFF"/>
      <sz val="10"/>
    </font>
    <font>
      <name val="Cambria"/>
      <charset val="1"/>
      <family val="0"/>
      <i val="1"/>
      <sz val="11"/>
    </font>
    <font>
      <b val="1"/>
    </font>
  </fonts>
  <fills count="4">
    <fill>
      <patternFill/>
    </fill>
    <fill>
      <patternFill patternType="gray125"/>
    </fill>
    <fill>
      <patternFill patternType="solid">
        <fgColor rgb="FF1F3A5F"/>
        <bgColor rgb="FF333333"/>
      </patternFill>
    </fill>
    <fill>
      <patternFill patternType="solid">
        <fgColor rgb="FFE8EDF3"/>
        <bgColor rgb="FFFFFFFF"/>
      </patternFill>
    </fill>
  </fills>
  <borders count="2">
    <border>
      <left/>
      <right/>
      <top/>
      <bottom/>
      <diagonal/>
    </border>
    <border>
      <left style="thin">
        <color rgb="FFC9D2DC"/>
      </left>
      <right style="thin">
        <color rgb="FFC9D2DC"/>
      </right>
      <top style="thin">
        <color rgb="FFC9D2DC"/>
      </top>
      <bottom style="thin">
        <color rgb="FFC9D2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2" borderId="1" applyAlignment="1" pivotButton="0" quotePrefix="0" xfId="0">
      <alignment horizontal="center" vertical="center" wrapText="1"/>
    </xf>
    <xf numFmtId="0" fontId="0" fillId="0" borderId="1" applyAlignment="1" pivotButton="0" quotePrefix="0" xfId="0">
      <alignment horizontal="general" vertical="bottom"/>
    </xf>
    <xf numFmtId="0" fontId="0" fillId="0" borderId="1" applyAlignment="1" pivotButton="0" quotePrefix="0" xfId="0">
      <alignment horizontal="right" vertical="bottom"/>
    </xf>
    <xf numFmtId="0" fontId="4" fillId="0" borderId="0" applyAlignment="1" pivotButton="0" quotePrefix="0" xfId="0">
      <alignment horizontal="general" vertical="bottom"/>
    </xf>
    <xf numFmtId="164" fontId="0" fillId="0" borderId="1" applyAlignment="1" pivotButton="0" quotePrefix="0" xfId="0">
      <alignment horizontal="right" vertical="bottom"/>
    </xf>
    <xf numFmtId="10" fontId="0" fillId="0" borderId="1" applyAlignment="1" pivotButton="0" quotePrefix="0" xfId="0">
      <alignment horizontal="right" vertical="bottom"/>
    </xf>
    <xf numFmtId="0" fontId="4" fillId="3" borderId="1" applyAlignment="1" pivotButton="0" quotePrefix="0" xfId="0">
      <alignment horizontal="general" vertical="bottom"/>
    </xf>
    <xf numFmtId="0" fontId="4" fillId="3" borderId="1" applyAlignment="1" pivotButton="0" quotePrefix="0" xfId="0">
      <alignment horizontal="right" vertical="bottom"/>
    </xf>
    <xf numFmtId="164" fontId="4" fillId="3" borderId="1" applyAlignment="1" pivotButton="0" quotePrefix="0" xfId="0">
      <alignment horizontal="right" vertical="bottom"/>
    </xf>
    <xf numFmtId="10" fontId="4" fillId="3" borderId="1" applyAlignment="1" pivotButton="0" quotePrefix="0" xfId="0">
      <alignment horizontal="right" vertical="bottom"/>
    </xf>
    <xf numFmtId="0" fontId="0" fillId="0" borderId="0" applyAlignment="1" pivotButton="0" quotePrefix="0" xfId="0">
      <alignment horizontal="right" vertical="bottom"/>
    </xf>
    <xf numFmtId="165" fontId="0" fillId="0" borderId="1" applyAlignment="1" pivotButton="0" quotePrefix="0" xfId="0">
      <alignment horizontal="right" vertical="bottom"/>
    </xf>
    <xf numFmtId="165" fontId="4" fillId="3" borderId="1" applyAlignment="1" pivotButton="0" quotePrefix="0" xfId="0">
      <alignment horizontal="right" vertical="bottom"/>
    </xf>
    <xf numFmtId="0" fontId="6" fillId="0" borderId="0" applyAlignment="1" pivotButton="0" quotePrefix="0" xfId="0">
      <alignment horizontal="general" vertical="bottom"/>
    </xf>
    <xf numFmtId="165"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2" borderId="1" applyAlignment="1" pivotButton="0" quotePrefix="0" xfId="0">
      <alignment horizontal="center" vertical="center" wrapText="1"/>
    </xf>
    <xf numFmtId="0" fontId="0" fillId="0" borderId="1" applyAlignment="1" pivotButton="0" quotePrefix="0" xfId="0">
      <alignment horizontal="general" vertical="bottom"/>
    </xf>
    <xf numFmtId="0" fontId="0" fillId="0" borderId="1" applyAlignment="1" pivotButton="0" quotePrefix="0" xfId="0">
      <alignment horizontal="right" vertical="bottom"/>
    </xf>
    <xf numFmtId="0" fontId="4" fillId="0" borderId="0" applyAlignment="1" pivotButton="0" quotePrefix="0" xfId="0">
      <alignment horizontal="general" vertical="bottom"/>
    </xf>
    <xf numFmtId="164" fontId="0" fillId="0" borderId="1" applyAlignment="1" pivotButton="0" quotePrefix="0" xfId="0">
      <alignment horizontal="right" vertical="bottom"/>
    </xf>
    <xf numFmtId="10" fontId="0" fillId="0" borderId="1" applyAlignment="1" pivotButton="0" quotePrefix="0" xfId="0">
      <alignment horizontal="right" vertical="bottom"/>
    </xf>
    <xf numFmtId="0" fontId="4" fillId="3" borderId="1" applyAlignment="1" pivotButton="0" quotePrefix="0" xfId="0">
      <alignment horizontal="general" vertical="bottom"/>
    </xf>
    <xf numFmtId="0" fontId="4" fillId="3" borderId="1" applyAlignment="1" pivotButton="0" quotePrefix="0" xfId="0">
      <alignment horizontal="right" vertical="bottom"/>
    </xf>
    <xf numFmtId="164" fontId="4" fillId="3" borderId="1" applyAlignment="1" pivotButton="0" quotePrefix="0" xfId="0">
      <alignment horizontal="right" vertical="bottom"/>
    </xf>
    <xf numFmtId="10" fontId="4" fillId="3" borderId="1" applyAlignment="1" pivotButton="0" quotePrefix="0" xfId="0">
      <alignment horizontal="right" vertical="bottom"/>
    </xf>
    <xf numFmtId="0" fontId="0" fillId="0" borderId="0" applyAlignment="1" pivotButton="0" quotePrefix="0" xfId="0">
      <alignment horizontal="right" vertical="bottom"/>
    </xf>
    <xf numFmtId="165" fontId="0" fillId="0" borderId="1" applyAlignment="1" pivotButton="0" quotePrefix="0" xfId="0">
      <alignment horizontal="right" vertical="bottom"/>
    </xf>
    <xf numFmtId="165" fontId="4" fillId="3" borderId="1" applyAlignment="1" pivotButton="0" quotePrefix="0" xfId="0">
      <alignment horizontal="right" vertical="bottom"/>
    </xf>
    <xf numFmtId="0" fontId="6" fillId="0" borderId="0" applyAlignment="1" pivotButton="0" quotePrefix="0" xfId="0">
      <alignment horizontal="general" vertical="bottom"/>
    </xf>
    <xf numFmtId="165" fontId="0" fillId="0" borderId="0" applyAlignment="1" pivotButton="0" quotePrefix="0" xfId="0">
      <alignment horizontal="general" vertical="bottom"/>
    </xf>
    <xf numFmtId="0" fontId="7"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8EDF3"/>
      <rgbColor rgb="FF660066"/>
      <rgbColor rgb="FFFF8080"/>
      <rgbColor rgb="FF0066CC"/>
      <rgbColor rgb="FFC9D2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2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8" customWidth="1" style="18" min="1" max="1"/>
  </cols>
  <sheetData>
    <row r="1" ht="15" customHeight="1" s="19">
      <c r="A1" s="20" t="inlineStr">
        <is>
          <t>R2 - Articles a prix unitaire 0 EUR : decompte sur les 3 exercices et portee reelle</t>
        </is>
      </c>
    </row>
    <row r="2" ht="15" customHeight="1" s="19">
      <c r="A2" s="21" t="inlineStr">
        <is>
          <t>SARL LA DEMI LUNE - Reponse a la partie C (articles a 0 EUR), § VII p. 22 de la proposition du 18/05/2026, maintenue le 04/09/2026 p. 27.</t>
        </is>
      </c>
    </row>
    <row r="3" ht="15" customHeight="1" s="19">
      <c r="A3" s="21" t="n"/>
    </row>
    <row r="4" ht="15" customHeight="1" s="19">
      <c r="A4" s="20" t="inlineStr">
        <is>
          <t>1. Nature du grief (qualitatif, non chiffre).</t>
        </is>
      </c>
    </row>
    <row r="5" ht="41.75" customHeight="1" s="19">
      <c r="A5" s="21" t="inlineStr">
        <is>
          <t>Le service ne formule AUCUN montant sur ce grief. Il soutient que l'existence meme de lignes a 0 EUR contredirait les declarations de la gerante et priverait la caisse de valeur probante ('peut signifier qu'une partie du CA a pu etre occultee', p. 22 ; 'de nature a conforter' le rejet, 04/09 p. 27). La presente piece etablit ce que sont ces lignes et verifie le seul fait chiffrable : le montant qu'elles portent est nul.</t>
        </is>
      </c>
    </row>
    <row r="6" ht="15" customHeight="1" s="19">
      <c r="A6" s="21" t="n"/>
    </row>
    <row r="7" ht="15" customHeight="1" s="19">
      <c r="A7" s="20" t="inlineStr">
        <is>
          <t>2. Sources utilisees (toutes versees au dossier).</t>
        </is>
      </c>
    </row>
    <row r="8" ht="28.35" customHeight="1" s="19">
      <c r="A8" s="21" t="inlineStr">
        <is>
          <t>- Annexes de caisse C-1 (2022-2023), C-2 (2023-2024) et C-3 (2024-2025), detail des tickets : colonne 'G Prix a 0 EUR' (marqueur 'X' de la caisse) et colonne 14 'Uprice_wt' = prix unitaire TTC. Les trois annexes sont desormais produites : le decompte est direct sur chacune.</t>
        </is>
      </c>
    </row>
    <row r="9" ht="28.35" customHeight="1" s="19">
      <c r="A9" s="21" t="inlineStr">
        <is>
          <t>- Annexes D-2 et D-3 (synthese produit) : familles officielles de la caisse (LIQUIDE - TVA 10 %, LIQUIDE - TVA 20 %, SOLIDE - TVA 10 %), par Ref_prd. Chaque ligne a 0 EUR est classee par son code produit, sans interpretation du libelle.</t>
        </is>
      </c>
    </row>
    <row r="10" ht="28.35" customHeight="1" s="19">
      <c r="A10" s="21" t="inlineStr">
        <is>
          <t>- Annexes H-1 a H-3 (liste des tickets) : tickets clotures a 0,00 EUR et recherche d'un ticket encaisse de meme numero le meme jour (jumeau).</t>
        </is>
      </c>
    </row>
    <row r="11" ht="15" customHeight="1" s="19">
      <c r="A11" s="21" t="n"/>
    </row>
    <row r="12" ht="15" customHeight="1" s="19">
      <c r="A12" s="20" t="inlineStr">
        <is>
          <t>3. Decompte des lignes a 0 EUR (onglet Decompte_exercices).</t>
        </is>
      </c>
    </row>
    <row r="13" ht="41.75" customHeight="1" s="19">
      <c r="A13" s="21" t="inlineStr">
        <is>
          <t>120 (2022-2023) + 120 (2023-2024) + 32 (2024-2025) = 272 lignes a prix unitaire 0,00 EUR, sur 33 220 + 32 758 + 31 791 = 97 769 lignes de vente, soit 0,28 %. Comptages par COUNTIFS sur l'onglet Sources_272 ; denominateurs = lignes de detail de chaque annexe C (hors ligne vide et ligne TOTAL de fin).</t>
        </is>
      </c>
    </row>
    <row r="14" ht="28.35" customHeight="1" s="19">
      <c r="A14" s="21" t="inlineStr">
        <is>
          <t>Encaissement porte par ces 272 lignes = SOMME de 'prix unitaire x quantite' = 0,00 EUR (onglet Decompte_exercices). Prix unitaire maximal sur les 272 lignes = 0,00 EUR.</t>
        </is>
      </c>
    </row>
    <row r="15" ht="28.35" customHeight="1" s="19">
      <c r="A15" s="21" t="inlineStr">
        <is>
          <t>259 lignes sur 272 figurent dans une note par ailleurs encaissee (Total TTC note &gt; 0) ; 13 se rattachent a deux notes integralement a 0 EUR, toutes deux sur 2022-2023 (29/04/2022 ticket 15 Z 2950 ; 28/12/2022 ticket 17 Z 3123).</t>
        </is>
      </c>
    </row>
    <row r="16" ht="15" customHeight="1" s="19">
      <c r="A16" s="21" t="n"/>
    </row>
    <row r="17" ht="15" customHeight="1" s="19">
      <c r="A17" s="20" t="inlineStr">
        <is>
          <t>4. Classement par famille officielle de la caisse (onglet Classement).</t>
        </is>
      </c>
    </row>
    <row r="18" ht="28.35" customHeight="1" s="19">
      <c r="A18" s="21" t="inlineStr">
        <is>
          <t>140 boissons alcoolisees (LIQUIDE 20 %), 81 boissons non alcoolisees (LIQUIDE 10 %), 51 restauration (SOLIDE 10 %) = 272. Comptages par COUNTIF/COUNTIFS sur la colonne Famille de Sources_272.</t>
        </is>
      </c>
    </row>
    <row r="19" ht="15" customHeight="1" s="19">
      <c r="A19" s="21" t="n"/>
    </row>
    <row r="20" ht="15" customHeight="1" s="19">
      <c r="A20" s="20" t="inlineStr">
        <is>
          <t>5. Quantites non entieres (onglet Fractionnaires).</t>
        </is>
      </c>
    </row>
    <row r="21" ht="41.75" customHeight="1" s="19">
      <c r="A21" s="21" t="inlineStr">
        <is>
          <t>18 lignes offertes a quantite non entiere, formant 9 groupes repartis sur 5 tables (Z 3166, 3180, 3224, 3274, 3526). La somme des parts, calculee par formule, redonne un entier pour 8 des 9 groupes. Le 9e, le Cafe Viennois du 01/07/2023 (Z 3224, notes 19 et 20), laisse 0,25 + 0,25 = 0,50 : mais six articles PAYANTS de la meme table (pression, Pinte Picon, Menu Franc-Comtois, croutes aux morilles, assiette franc-comtoise, creme brulee) laissent eux aussi 0,50 (onglet Table_3224) : la table a ete decoupee en quarts et seules deux parts figurent sous cette signature ; la non-fermeture tient au decoupage, pas au caractere offert. Montant nul dans tous les cas.</t>
        </is>
      </c>
    </row>
    <row r="22" ht="15" customHeight="1" s="19">
      <c r="A22" s="21" t="n"/>
    </row>
    <row r="23" ht="15" customHeight="1" s="19">
      <c r="A23" s="20" t="inlineStr">
        <is>
          <t>6. Tickets clotures a 0,00 EUR (onglet Tickets_0).</t>
        </is>
      </c>
    </row>
    <row r="24" ht="41.75" customHeight="1" s="19">
      <c r="A24" s="21" t="inlineStr">
        <is>
          <t>3 281 tickets clotures a 0,00 EUR sur les 3 exercices (1 190 + 1 096 + 995). 3 278 (99,9 %) ont un ticket encaisse de meme numero le meme jour (transfert/renumerotation de note). 3 orphelins : les deux repas integralement offerts (29/04 et 28/12/2022) et un ticket du 23/03/2023 (n° 5, Z 3152) sans aucune ligne au detail. Aucun ne porte de montant encaissable.</t>
        </is>
      </c>
    </row>
    <row r="25" ht="15" customHeight="1" s="19">
      <c r="A25" s="21" t="n"/>
    </row>
    <row r="26" ht="15" customHeight="1" s="19">
      <c r="A26" s="20" t="inlineStr">
        <is>
          <t>7. Limites assumees.</t>
        </is>
      </c>
    </row>
    <row r="27" ht="55.2" customHeight="1" s="19">
      <c r="A27" s="21" t="inlineStr">
        <is>
          <t>Le '0,00 EUR' est lu dans le fichier de caisse, dont la fiabilite est l'objet du litige : il etablit l'absence d'incidence sur la recette ENREGISTREE, non l'absence de tout encaissement hors caisse (aucun rapprochement bancaire ni de stock n'est produit par le service). La nature exacte de chaque ligne (offert, element retire, solde de partage) n'est pas prouvee piece a piece. Le grief n'etant assorti d'aucun montant, son abandon ne diminue pas directement un rappel : il retire l'un des motifs de rejet de la comptabilite.</t>
        </is>
      </c>
    </row>
    <row r="28">
      <c r="A28" s="18" t="inlineStr">
        <is>
          <t>8. Onglets ajoutes (vague 4) : Controle_remise (taux de remise nul sur les 272 lignes), Notes_journees (138 notes, 106 journees), Quantites (repartition des quantites), Table_3224 (table du 01/07/2023 ligne a ligne), Fractions_C (lignes non entieres de toutes les annexes C : 11 026 dont 18 a 0 EUR).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27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8" min="1" max="1"/>
    <col width="8" customWidth="1" style="18" min="2" max="2"/>
    <col width="12" customWidth="1" style="18" min="3" max="3"/>
    <col width="8" customWidth="1" style="18" min="4" max="4"/>
    <col width="9" customWidth="1" style="18" min="5" max="5"/>
    <col width="8" customWidth="1" style="18" min="6" max="6"/>
    <col width="11" customWidth="1" style="18" min="7" max="7"/>
    <col width="26" customWidth="1" style="18" min="8" max="8"/>
    <col width="9" customWidth="1" style="18" min="9" max="9"/>
    <col width="16" customWidth="1" style="18" min="10" max="10"/>
    <col width="15" customWidth="1" style="18" min="11" max="11"/>
    <col width="17" customWidth="1" style="18" min="12" max="12"/>
    <col width="10" customWidth="1" style="18" min="13" max="13"/>
    <col width="40" customWidth="1" style="18" min="14" max="14"/>
  </cols>
  <sheetData>
    <row r="1" ht="23.85" customHeight="1" s="19">
      <c r="A1" s="22" t="inlineStr">
        <is>
          <t>Exercice</t>
        </is>
      </c>
      <c r="B1" s="22" t="inlineStr">
        <is>
          <t>Annexe</t>
        </is>
      </c>
      <c r="C1" s="22" t="inlineStr">
        <is>
          <t>Date</t>
        </is>
      </c>
      <c r="D1" s="22" t="inlineStr">
        <is>
          <t>Heure</t>
        </is>
      </c>
      <c r="E1" s="22" t="inlineStr">
        <is>
          <t>N° ticket</t>
        </is>
      </c>
      <c r="F1" s="22" t="inlineStr">
        <is>
          <t>N° Z</t>
        </is>
      </c>
      <c r="G1" s="22" t="inlineStr">
        <is>
          <t>Ref. produit</t>
        </is>
      </c>
      <c r="H1" s="22" t="inlineStr">
        <is>
          <t>Libelle</t>
        </is>
      </c>
      <c r="I1" s="22" t="inlineStr">
        <is>
          <t>Quantite</t>
        </is>
      </c>
      <c r="J1" s="22" t="inlineStr">
        <is>
          <t>Prix unitaire TTC (EUR)</t>
        </is>
      </c>
      <c r="K1" s="22" t="inlineStr">
        <is>
          <t>Prix x Qte (EUR)</t>
        </is>
      </c>
      <c r="L1" s="22" t="inlineStr">
        <is>
          <t>Total TTC note (EUR)</t>
        </is>
      </c>
      <c r="M1" s="22" t="inlineStr">
        <is>
          <t>Taux TVA %</t>
        </is>
      </c>
      <c r="N1" s="22" t="inlineStr">
        <is>
          <t>Famille</t>
        </is>
      </c>
    </row>
    <row r="2" ht="15" customHeight="1" s="19">
      <c r="A2" s="23" t="inlineStr">
        <is>
          <t>2022-2023</t>
        </is>
      </c>
      <c r="B2" s="23" t="inlineStr">
        <is>
          <t>C-1</t>
        </is>
      </c>
      <c r="C2" s="23" t="inlineStr">
        <is>
          <t>2022-04-20</t>
        </is>
      </c>
      <c r="D2" s="23" t="inlineStr">
        <is>
          <t>18:53</t>
        </is>
      </c>
      <c r="E2" s="23" t="inlineStr">
        <is>
          <t>24</t>
        </is>
      </c>
      <c r="F2" s="23" t="inlineStr">
        <is>
          <t>2943</t>
        </is>
      </c>
      <c r="G2" s="23" t="inlineStr">
        <is>
          <t>0013</t>
        </is>
      </c>
      <c r="H2" s="23" t="inlineStr">
        <is>
          <t>Kir Bourgogne</t>
        </is>
      </c>
      <c r="I2" s="24" t="n">
        <v>2</v>
      </c>
      <c r="J2" s="24" t="n">
        <v>0</v>
      </c>
      <c r="K2" s="24">
        <f>J2*I2</f>
        <v/>
      </c>
      <c r="L2" s="24" t="n">
        <v>17.6</v>
      </c>
      <c r="M2" s="24" t="n">
        <v>10</v>
      </c>
      <c r="N2" s="23" t="inlineStr">
        <is>
          <t>Boissons alcoolisees (LIQUIDE - TVA 20 %)</t>
        </is>
      </c>
    </row>
    <row r="3" ht="15" customHeight="1" s="19">
      <c r="A3" s="23" t="inlineStr">
        <is>
          <t>2022-2023</t>
        </is>
      </c>
      <c r="B3" s="23" t="inlineStr">
        <is>
          <t>C-1</t>
        </is>
      </c>
      <c r="C3" s="23" t="inlineStr">
        <is>
          <t>2022-04-21</t>
        </is>
      </c>
      <c r="D3" s="23" t="inlineStr">
        <is>
          <t>12:37</t>
        </is>
      </c>
      <c r="E3" s="23" t="inlineStr">
        <is>
          <t>13</t>
        </is>
      </c>
      <c r="F3" s="23" t="inlineStr">
        <is>
          <t>2944</t>
        </is>
      </c>
      <c r="G3" s="23" t="inlineStr">
        <is>
          <t>0357</t>
        </is>
      </c>
      <c r="H3" s="23" t="inlineStr">
        <is>
          <t>La Vouivre</t>
        </is>
      </c>
      <c r="I3" s="24" t="n">
        <v>1</v>
      </c>
      <c r="J3" s="24" t="n">
        <v>0</v>
      </c>
      <c r="K3" s="24">
        <f>J3*I3</f>
        <v/>
      </c>
      <c r="L3" s="24" t="n">
        <v>77.90000000000001</v>
      </c>
      <c r="M3" s="24" t="n">
        <v>10</v>
      </c>
      <c r="N3" s="23" t="inlineStr">
        <is>
          <t>Boissons alcoolisees (LIQUIDE - TVA 20 %)</t>
        </is>
      </c>
    </row>
    <row r="4" ht="15" customHeight="1" s="19">
      <c r="A4" s="23" t="inlineStr">
        <is>
          <t>2022-2023</t>
        </is>
      </c>
      <c r="B4" s="23" t="inlineStr">
        <is>
          <t>C-1</t>
        </is>
      </c>
      <c r="C4" s="23" t="inlineStr">
        <is>
          <t>2022-04-23</t>
        </is>
      </c>
      <c r="D4" s="23" t="inlineStr">
        <is>
          <t>19:18</t>
        </is>
      </c>
      <c r="E4" s="23" t="inlineStr">
        <is>
          <t>14</t>
        </is>
      </c>
      <c r="F4" s="23" t="inlineStr">
        <is>
          <t>2946</t>
        </is>
      </c>
      <c r="G4" s="23" t="inlineStr">
        <is>
          <t>0198</t>
        </is>
      </c>
      <c r="H4" s="23" t="inlineStr">
        <is>
          <t>Menu 'Enfant'</t>
        </is>
      </c>
      <c r="I4" s="24" t="n">
        <v>1</v>
      </c>
      <c r="J4" s="24" t="n">
        <v>0</v>
      </c>
      <c r="K4" s="24">
        <f>J4*I4</f>
        <v/>
      </c>
      <c r="L4" s="24" t="n">
        <v>62.8</v>
      </c>
      <c r="M4" s="24" t="n">
        <v>20</v>
      </c>
      <c r="N4" s="23" t="inlineStr">
        <is>
          <t>Restauration (SOLIDE - TVA 10 %)</t>
        </is>
      </c>
    </row>
    <row r="5" ht="15" customHeight="1" s="19">
      <c r="A5" s="23" t="inlineStr">
        <is>
          <t>2022-2023</t>
        </is>
      </c>
      <c r="B5" s="23" t="inlineStr">
        <is>
          <t>C-1</t>
        </is>
      </c>
      <c r="C5" s="23" t="inlineStr">
        <is>
          <t>2022-04-29</t>
        </is>
      </c>
      <c r="D5" s="23" t="inlineStr">
        <is>
          <t>13:15</t>
        </is>
      </c>
      <c r="E5" s="23" t="inlineStr">
        <is>
          <t>15</t>
        </is>
      </c>
      <c r="F5" s="23" t="inlineStr">
        <is>
          <t>2950</t>
        </is>
      </c>
      <c r="G5" s="23" t="inlineStr">
        <is>
          <t>0011</t>
        </is>
      </c>
      <c r="H5" s="23" t="inlineStr">
        <is>
          <t>Martini Blanc</t>
        </is>
      </c>
      <c r="I5" s="24" t="n">
        <v>1</v>
      </c>
      <c r="J5" s="24" t="n">
        <v>0</v>
      </c>
      <c r="K5" s="24">
        <f>J5*I5</f>
        <v/>
      </c>
      <c r="L5" s="24" t="n">
        <v>0</v>
      </c>
      <c r="M5" s="24" t="n">
        <v>10</v>
      </c>
      <c r="N5" s="23" t="inlineStr">
        <is>
          <t>Boissons alcoolisees (LIQUIDE - TVA 20 %)</t>
        </is>
      </c>
    </row>
    <row r="6" ht="15" customHeight="1" s="19">
      <c r="A6" s="23" t="inlineStr">
        <is>
          <t>2022-2023</t>
        </is>
      </c>
      <c r="B6" s="23" t="inlineStr">
        <is>
          <t>C-1</t>
        </is>
      </c>
      <c r="C6" s="23" t="inlineStr">
        <is>
          <t>2022-04-29</t>
        </is>
      </c>
      <c r="D6" s="23" t="inlineStr">
        <is>
          <t>13:15</t>
        </is>
      </c>
      <c r="E6" s="23" t="inlineStr">
        <is>
          <t>15</t>
        </is>
      </c>
      <c r="F6" s="23" t="inlineStr">
        <is>
          <t>2950</t>
        </is>
      </c>
      <c r="G6" s="23" t="inlineStr">
        <is>
          <t>0343</t>
        </is>
      </c>
      <c r="H6" s="23" t="inlineStr">
        <is>
          <t>Schweppes</t>
        </is>
      </c>
      <c r="I6" s="24" t="n">
        <v>1</v>
      </c>
      <c r="J6" s="24" t="n">
        <v>0</v>
      </c>
      <c r="K6" s="24">
        <f>J6*I6</f>
        <v/>
      </c>
      <c r="L6" s="24" t="n">
        <v>0</v>
      </c>
      <c r="M6" s="24" t="n">
        <v>20</v>
      </c>
      <c r="N6" s="23" t="inlineStr">
        <is>
          <t>Boissons non alcoolisees (LIQUIDE - TVA 10 %)</t>
        </is>
      </c>
    </row>
    <row r="7" ht="15" customHeight="1" s="19">
      <c r="A7" s="23" t="inlineStr">
        <is>
          <t>2022-2023</t>
        </is>
      </c>
      <c r="B7" s="23" t="inlineStr">
        <is>
          <t>C-1</t>
        </is>
      </c>
      <c r="C7" s="23" t="inlineStr">
        <is>
          <t>2022-04-29</t>
        </is>
      </c>
      <c r="D7" s="23" t="inlineStr">
        <is>
          <t>13:15</t>
        </is>
      </c>
      <c r="E7" s="23" t="inlineStr">
        <is>
          <t>15</t>
        </is>
      </c>
      <c r="F7" s="23" t="inlineStr">
        <is>
          <t>2950</t>
        </is>
      </c>
      <c r="G7" s="23" t="inlineStr">
        <is>
          <t>1997</t>
        </is>
      </c>
      <c r="H7" s="23" t="inlineStr">
        <is>
          <t>Luna</t>
        </is>
      </c>
      <c r="I7" s="24" t="n">
        <v>1</v>
      </c>
      <c r="J7" s="24" t="n">
        <v>0</v>
      </c>
      <c r="K7" s="24">
        <f>J7*I7</f>
        <v/>
      </c>
      <c r="L7" s="24" t="n">
        <v>0</v>
      </c>
      <c r="M7" s="24" t="n">
        <v>10</v>
      </c>
      <c r="N7" s="23" t="inlineStr">
        <is>
          <t>Boissons non alcoolisees (LIQUIDE - TVA 10 %)</t>
        </is>
      </c>
    </row>
    <row r="8" ht="15" customHeight="1" s="19">
      <c r="A8" s="23" t="inlineStr">
        <is>
          <t>2022-2023</t>
        </is>
      </c>
      <c r="B8" s="23" t="inlineStr">
        <is>
          <t>C-1</t>
        </is>
      </c>
      <c r="C8" s="23" t="inlineStr">
        <is>
          <t>2022-04-29</t>
        </is>
      </c>
      <c r="D8" s="23" t="inlineStr">
        <is>
          <t>13:15</t>
        </is>
      </c>
      <c r="E8" s="23" t="inlineStr">
        <is>
          <t>15</t>
        </is>
      </c>
      <c r="F8" s="23" t="inlineStr">
        <is>
          <t>2950</t>
        </is>
      </c>
      <c r="G8" s="23" t="inlineStr">
        <is>
          <t>2007</t>
        </is>
      </c>
      <c r="H8" s="23" t="inlineStr">
        <is>
          <t>Complète</t>
        </is>
      </c>
      <c r="I8" s="24" t="n">
        <v>1</v>
      </c>
      <c r="J8" s="24" t="n">
        <v>0</v>
      </c>
      <c r="K8" s="24">
        <f>J8*I8</f>
        <v/>
      </c>
      <c r="L8" s="24" t="n">
        <v>0</v>
      </c>
      <c r="M8" s="24" t="n">
        <v>10</v>
      </c>
      <c r="N8" s="23" t="inlineStr">
        <is>
          <t>Restauration (SOLIDE - TVA 10 %)</t>
        </is>
      </c>
    </row>
    <row r="9" ht="15" customHeight="1" s="19">
      <c r="A9" s="23" t="inlineStr">
        <is>
          <t>2022-2023</t>
        </is>
      </c>
      <c r="B9" s="23" t="inlineStr">
        <is>
          <t>C-1</t>
        </is>
      </c>
      <c r="C9" s="23" t="inlineStr">
        <is>
          <t>2022-04-29</t>
        </is>
      </c>
      <c r="D9" s="23" t="inlineStr">
        <is>
          <t>13:15</t>
        </is>
      </c>
      <c r="E9" s="23" t="inlineStr">
        <is>
          <t>15</t>
        </is>
      </c>
      <c r="F9" s="23" t="inlineStr">
        <is>
          <t>2950</t>
        </is>
      </c>
      <c r="G9" s="23" t="inlineStr">
        <is>
          <t>0130</t>
        </is>
      </c>
      <c r="H9" s="23" t="inlineStr">
        <is>
          <t>Salade Verte aux Noi</t>
        </is>
      </c>
      <c r="I9" s="24" t="n">
        <v>1</v>
      </c>
      <c r="J9" s="24" t="n">
        <v>0</v>
      </c>
      <c r="K9" s="24">
        <f>J9*I9</f>
        <v/>
      </c>
      <c r="L9" s="24" t="n">
        <v>0</v>
      </c>
      <c r="M9" s="24" t="n">
        <v>10</v>
      </c>
      <c r="N9" s="23" t="inlineStr">
        <is>
          <t>Restauration (SOLIDE - TVA 10 %)</t>
        </is>
      </c>
    </row>
    <row r="10" ht="15" customHeight="1" s="19">
      <c r="A10" s="23" t="inlineStr">
        <is>
          <t>2022-2023</t>
        </is>
      </c>
      <c r="B10" s="23" t="inlineStr">
        <is>
          <t>C-1</t>
        </is>
      </c>
      <c r="C10" s="23" t="inlineStr">
        <is>
          <t>2022-04-29</t>
        </is>
      </c>
      <c r="D10" s="23" t="inlineStr">
        <is>
          <t>13:15</t>
        </is>
      </c>
      <c r="E10" s="23" t="inlineStr">
        <is>
          <t>15</t>
        </is>
      </c>
      <c r="F10" s="23" t="inlineStr">
        <is>
          <t>2950</t>
        </is>
      </c>
      <c r="G10" s="23" t="inlineStr">
        <is>
          <t>0154</t>
        </is>
      </c>
      <c r="H10" s="23" t="inlineStr">
        <is>
          <t>POMMES FRITES</t>
        </is>
      </c>
      <c r="I10" s="24" t="n">
        <v>1</v>
      </c>
      <c r="J10" s="24" t="n">
        <v>0</v>
      </c>
      <c r="K10" s="24">
        <f>J10*I10</f>
        <v/>
      </c>
      <c r="L10" s="24" t="n">
        <v>0</v>
      </c>
      <c r="M10" s="24" t="n">
        <v>10</v>
      </c>
      <c r="N10" s="23" t="inlineStr">
        <is>
          <t>Restauration (SOLIDE - TVA 10 %)</t>
        </is>
      </c>
    </row>
    <row r="11" ht="15" customHeight="1" s="19">
      <c r="A11" s="23" t="inlineStr">
        <is>
          <t>2022-2023</t>
        </is>
      </c>
      <c r="B11" s="23" t="inlineStr">
        <is>
          <t>C-1</t>
        </is>
      </c>
      <c r="C11" s="23" t="inlineStr">
        <is>
          <t>2022-04-29</t>
        </is>
      </c>
      <c r="D11" s="23" t="inlineStr">
        <is>
          <t>13:15</t>
        </is>
      </c>
      <c r="E11" s="23" t="inlineStr">
        <is>
          <t>15</t>
        </is>
      </c>
      <c r="F11" s="23" t="inlineStr">
        <is>
          <t>2950</t>
        </is>
      </c>
      <c r="G11" s="23" t="inlineStr">
        <is>
          <t>2033</t>
        </is>
      </c>
      <c r="H11" s="23" t="inlineStr">
        <is>
          <t>FONDUE VIN JAUNE</t>
        </is>
      </c>
      <c r="I11" s="24" t="n">
        <v>2</v>
      </c>
      <c r="J11" s="24" t="n">
        <v>0</v>
      </c>
      <c r="K11" s="24">
        <f>J11*I11</f>
        <v/>
      </c>
      <c r="L11" s="24" t="n">
        <v>0</v>
      </c>
      <c r="M11" s="24" t="n">
        <v>10</v>
      </c>
      <c r="N11" s="23" t="inlineStr">
        <is>
          <t>Restauration (SOLIDE - TVA 10 %)</t>
        </is>
      </c>
    </row>
    <row r="12" ht="15" customHeight="1" s="19">
      <c r="A12" s="23" t="inlineStr">
        <is>
          <t>2022-2023</t>
        </is>
      </c>
      <c r="B12" s="23" t="inlineStr">
        <is>
          <t>C-1</t>
        </is>
      </c>
      <c r="C12" s="23" t="inlineStr">
        <is>
          <t>2022-05-14</t>
        </is>
      </c>
      <c r="D12" s="23" t="inlineStr">
        <is>
          <t>20:41</t>
        </is>
      </c>
      <c r="E12" s="23" t="inlineStr">
        <is>
          <t>28</t>
        </is>
      </c>
      <c r="F12" s="23" t="inlineStr">
        <is>
          <t>2960</t>
        </is>
      </c>
      <c r="G12" s="23" t="inlineStr">
        <is>
          <t>0342</t>
        </is>
      </c>
      <c r="H12" s="23" t="inlineStr">
        <is>
          <t>Fuze Tea</t>
        </is>
      </c>
      <c r="I12" s="24" t="n">
        <v>1</v>
      </c>
      <c r="J12" s="24" t="n">
        <v>0</v>
      </c>
      <c r="K12" s="24">
        <f>J12*I12</f>
        <v/>
      </c>
      <c r="L12" s="24" t="n">
        <v>42.2</v>
      </c>
      <c r="M12" s="24" t="n">
        <v>10</v>
      </c>
      <c r="N12" s="23" t="inlineStr">
        <is>
          <t>Boissons non alcoolisees (LIQUIDE - TVA 10 %)</t>
        </is>
      </c>
    </row>
    <row r="13" ht="15" customHeight="1" s="19">
      <c r="A13" s="23" t="inlineStr">
        <is>
          <t>2022-2023</t>
        </is>
      </c>
      <c r="B13" s="23" t="inlineStr">
        <is>
          <t>C-1</t>
        </is>
      </c>
      <c r="C13" s="23" t="inlineStr">
        <is>
          <t>2022-05-14</t>
        </is>
      </c>
      <c r="D13" s="23" t="inlineStr">
        <is>
          <t>20:41</t>
        </is>
      </c>
      <c r="E13" s="23" t="inlineStr">
        <is>
          <t>28</t>
        </is>
      </c>
      <c r="F13" s="23" t="inlineStr">
        <is>
          <t>2960</t>
        </is>
      </c>
      <c r="G13" s="23" t="inlineStr">
        <is>
          <t>0111</t>
        </is>
      </c>
      <c r="H13" s="23" t="inlineStr">
        <is>
          <t>Expresso</t>
        </is>
      </c>
      <c r="I13" s="24" t="n">
        <v>1</v>
      </c>
      <c r="J13" s="24" t="n">
        <v>0</v>
      </c>
      <c r="K13" s="24">
        <f>J13*I13</f>
        <v/>
      </c>
      <c r="L13" s="24" t="n">
        <v>42.2</v>
      </c>
      <c r="M13" s="24" t="n">
        <v>10</v>
      </c>
      <c r="N13" s="23" t="inlineStr">
        <is>
          <t>Boissons non alcoolisees (LIQUIDE - TVA 10 %)</t>
        </is>
      </c>
    </row>
    <row r="14" ht="15" customHeight="1" s="19">
      <c r="A14" s="23" t="inlineStr">
        <is>
          <t>2022-2023</t>
        </is>
      </c>
      <c r="B14" s="23" t="inlineStr">
        <is>
          <t>C-1</t>
        </is>
      </c>
      <c r="C14" s="23" t="inlineStr">
        <is>
          <t>2022-05-26</t>
        </is>
      </c>
      <c r="D14" s="23" t="inlineStr">
        <is>
          <t>12:25</t>
        </is>
      </c>
      <c r="E14" s="23" t="inlineStr">
        <is>
          <t>9</t>
        </is>
      </c>
      <c r="F14" s="23" t="inlineStr">
        <is>
          <t>2968</t>
        </is>
      </c>
      <c r="G14" s="23" t="inlineStr">
        <is>
          <t>1995</t>
        </is>
      </c>
      <c r="H14" s="23" t="inlineStr">
        <is>
          <t>Chat perché</t>
        </is>
      </c>
      <c r="I14" s="24" t="n">
        <v>1</v>
      </c>
      <c r="J14" s="24" t="n">
        <v>0</v>
      </c>
      <c r="K14" s="24">
        <f>J14*I14</f>
        <v/>
      </c>
      <c r="L14" s="24" t="n">
        <v>50</v>
      </c>
      <c r="M14" s="24" t="n">
        <v>10</v>
      </c>
      <c r="N14" s="23" t="inlineStr">
        <is>
          <t>Boissons alcoolisees (LIQUIDE - TVA 20 %)</t>
        </is>
      </c>
    </row>
    <row r="15" ht="15" customHeight="1" s="19">
      <c r="A15" s="23" t="inlineStr">
        <is>
          <t>2022-2023</t>
        </is>
      </c>
      <c r="B15" s="23" t="inlineStr">
        <is>
          <t>C-1</t>
        </is>
      </c>
      <c r="C15" s="23" t="inlineStr">
        <is>
          <t>2022-05-26</t>
        </is>
      </c>
      <c r="D15" s="23" t="inlineStr">
        <is>
          <t>12:25</t>
        </is>
      </c>
      <c r="E15" s="23" t="inlineStr">
        <is>
          <t>9</t>
        </is>
      </c>
      <c r="F15" s="23" t="inlineStr">
        <is>
          <t>2968</t>
        </is>
      </c>
      <c r="G15" s="23" t="inlineStr">
        <is>
          <t>1998</t>
        </is>
      </c>
      <c r="H15" s="23" t="inlineStr">
        <is>
          <t>TEQUILA SUNRISE</t>
        </is>
      </c>
      <c r="I15" s="24" t="n">
        <v>1</v>
      </c>
      <c r="J15" s="24" t="n">
        <v>0</v>
      </c>
      <c r="K15" s="24">
        <f>J15*I15</f>
        <v/>
      </c>
      <c r="L15" s="24" t="n">
        <v>50</v>
      </c>
      <c r="M15" s="24" t="n">
        <v>20</v>
      </c>
      <c r="N15" s="23" t="inlineStr">
        <is>
          <t>Boissons alcoolisees (LIQUIDE - TVA 20 %)</t>
        </is>
      </c>
    </row>
    <row r="16" ht="15" customHeight="1" s="19">
      <c r="A16" s="23" t="inlineStr">
        <is>
          <t>2022-2023</t>
        </is>
      </c>
      <c r="B16" s="23" t="inlineStr">
        <is>
          <t>C-1</t>
        </is>
      </c>
      <c r="C16" s="23" t="inlineStr">
        <is>
          <t>2022-05-26</t>
        </is>
      </c>
      <c r="D16" s="23" t="inlineStr">
        <is>
          <t>20:02</t>
        </is>
      </c>
      <c r="E16" s="23" t="inlineStr">
        <is>
          <t>26</t>
        </is>
      </c>
      <c r="F16" s="23" t="inlineStr">
        <is>
          <t>2968</t>
        </is>
      </c>
      <c r="G16" s="23" t="inlineStr">
        <is>
          <t>0003</t>
        </is>
      </c>
      <c r="H16" s="23" t="inlineStr">
        <is>
          <t>Macvin du Jura</t>
        </is>
      </c>
      <c r="I16" s="24" t="n">
        <v>3</v>
      </c>
      <c r="J16" s="24" t="n">
        <v>0</v>
      </c>
      <c r="K16" s="24">
        <f>J16*I16</f>
        <v/>
      </c>
      <c r="L16" s="24" t="n">
        <v>141.4</v>
      </c>
      <c r="M16" s="24" t="n">
        <v>10</v>
      </c>
      <c r="N16" s="23" t="inlineStr">
        <is>
          <t>Boissons alcoolisees (LIQUIDE - TVA 20 %)</t>
        </is>
      </c>
    </row>
    <row r="17" ht="15" customHeight="1" s="19">
      <c r="A17" s="23" t="inlineStr">
        <is>
          <t>2022-2023</t>
        </is>
      </c>
      <c r="B17" s="23" t="inlineStr">
        <is>
          <t>C-1</t>
        </is>
      </c>
      <c r="C17" s="23" t="inlineStr">
        <is>
          <t>2022-05-26</t>
        </is>
      </c>
      <c r="D17" s="23" t="inlineStr">
        <is>
          <t>20:02</t>
        </is>
      </c>
      <c r="E17" s="23" t="inlineStr">
        <is>
          <t>26</t>
        </is>
      </c>
      <c r="F17" s="23" t="inlineStr">
        <is>
          <t>2968</t>
        </is>
      </c>
      <c r="G17" s="23" t="inlineStr">
        <is>
          <t>0007</t>
        </is>
      </c>
      <c r="H17" s="23" t="inlineStr">
        <is>
          <t>Pontarlier</t>
        </is>
      </c>
      <c r="I17" s="24" t="n">
        <v>1</v>
      </c>
      <c r="J17" s="24" t="n">
        <v>0</v>
      </c>
      <c r="K17" s="24">
        <f>J17*I17</f>
        <v/>
      </c>
      <c r="L17" s="24" t="n">
        <v>141.4</v>
      </c>
      <c r="M17" s="24" t="n">
        <v>20</v>
      </c>
      <c r="N17" s="23" t="inlineStr">
        <is>
          <t>Boissons alcoolisees (LIQUIDE - TVA 20 %)</t>
        </is>
      </c>
    </row>
    <row r="18" ht="15" customHeight="1" s="19">
      <c r="A18" s="23" t="inlineStr">
        <is>
          <t>2022-2023</t>
        </is>
      </c>
      <c r="B18" s="23" t="inlineStr">
        <is>
          <t>C-1</t>
        </is>
      </c>
      <c r="C18" s="23" t="inlineStr">
        <is>
          <t>2022-05-27</t>
        </is>
      </c>
      <c r="D18" s="23" t="inlineStr">
        <is>
          <t>12:37</t>
        </is>
      </c>
      <c r="E18" s="23" t="inlineStr">
        <is>
          <t>12</t>
        </is>
      </c>
      <c r="F18" s="23" t="inlineStr">
        <is>
          <t>2969</t>
        </is>
      </c>
      <c r="G18" s="23" t="inlineStr">
        <is>
          <t>0106</t>
        </is>
      </c>
      <c r="H18" s="23" t="inlineStr">
        <is>
          <t>Coca (25cl)</t>
        </is>
      </c>
      <c r="I18" s="24" t="n">
        <v>1</v>
      </c>
      <c r="J18" s="24" t="n">
        <v>0</v>
      </c>
      <c r="K18" s="24">
        <f>J18*I18</f>
        <v/>
      </c>
      <c r="L18" s="24" t="n">
        <v>143.7</v>
      </c>
      <c r="M18" s="24" t="n">
        <v>10</v>
      </c>
      <c r="N18" s="23" t="inlineStr">
        <is>
          <t>Boissons non alcoolisees (LIQUIDE - TVA 10 %)</t>
        </is>
      </c>
    </row>
    <row r="19" ht="15" customHeight="1" s="19">
      <c r="A19" s="23" t="inlineStr">
        <is>
          <t>2022-2023</t>
        </is>
      </c>
      <c r="B19" s="23" t="inlineStr">
        <is>
          <t>C-1</t>
        </is>
      </c>
      <c r="C19" s="23" t="inlineStr">
        <is>
          <t>2022-05-27</t>
        </is>
      </c>
      <c r="D19" s="23" t="inlineStr">
        <is>
          <t>12:37</t>
        </is>
      </c>
      <c r="E19" s="23" t="inlineStr">
        <is>
          <t>12</t>
        </is>
      </c>
      <c r="F19" s="23" t="inlineStr">
        <is>
          <t>2969</t>
        </is>
      </c>
      <c r="G19" s="23" t="inlineStr">
        <is>
          <t>0342</t>
        </is>
      </c>
      <c r="H19" s="23" t="inlineStr">
        <is>
          <t>Fuze Tea</t>
        </is>
      </c>
      <c r="I19" s="24" t="n">
        <v>1</v>
      </c>
      <c r="J19" s="24" t="n">
        <v>0</v>
      </c>
      <c r="K19" s="24">
        <f>J19*I19</f>
        <v/>
      </c>
      <c r="L19" s="24" t="n">
        <v>143.7</v>
      </c>
      <c r="M19" s="24" t="n">
        <v>10</v>
      </c>
      <c r="N19" s="23" t="inlineStr">
        <is>
          <t>Boissons non alcoolisees (LIQUIDE - TVA 10 %)</t>
        </is>
      </c>
    </row>
    <row r="20" ht="15" customHeight="1" s="19">
      <c r="A20" s="23" t="inlineStr">
        <is>
          <t>2022-2023</t>
        </is>
      </c>
      <c r="B20" s="23" t="inlineStr">
        <is>
          <t>C-1</t>
        </is>
      </c>
      <c r="C20" s="23" t="inlineStr">
        <is>
          <t>2022-05-27</t>
        </is>
      </c>
      <c r="D20" s="23" t="inlineStr">
        <is>
          <t>12:37</t>
        </is>
      </c>
      <c r="E20" s="23" t="inlineStr">
        <is>
          <t>12</t>
        </is>
      </c>
      <c r="F20" s="23" t="inlineStr">
        <is>
          <t>2969</t>
        </is>
      </c>
      <c r="G20" s="23" t="inlineStr">
        <is>
          <t>0333</t>
        </is>
      </c>
      <c r="H20" s="23" t="inlineStr">
        <is>
          <t>Père Gregoire</t>
        </is>
      </c>
      <c r="I20" s="24" t="n">
        <v>1</v>
      </c>
      <c r="J20" s="24" t="n">
        <v>0</v>
      </c>
      <c r="K20" s="24">
        <f>J20*I20</f>
        <v/>
      </c>
      <c r="L20" s="24" t="n">
        <v>143.7</v>
      </c>
      <c r="M20" s="24" t="n">
        <v>10</v>
      </c>
      <c r="N20" s="23" t="inlineStr">
        <is>
          <t>Boissons alcoolisees (LIQUIDE - TVA 20 %)</t>
        </is>
      </c>
    </row>
    <row r="21" ht="15" customHeight="1" s="19">
      <c r="A21" s="23" t="inlineStr">
        <is>
          <t>2022-2023</t>
        </is>
      </c>
      <c r="B21" s="23" t="inlineStr">
        <is>
          <t>C-1</t>
        </is>
      </c>
      <c r="C21" s="23" t="inlineStr">
        <is>
          <t>2022-05-27</t>
        </is>
      </c>
      <c r="D21" s="23" t="inlineStr">
        <is>
          <t>12:37</t>
        </is>
      </c>
      <c r="E21" s="23" t="inlineStr">
        <is>
          <t>12</t>
        </is>
      </c>
      <c r="F21" s="23" t="inlineStr">
        <is>
          <t>2969</t>
        </is>
      </c>
      <c r="G21" s="23" t="inlineStr">
        <is>
          <t>2005</t>
        </is>
      </c>
      <c r="H21" s="23" t="inlineStr">
        <is>
          <t>pression</t>
        </is>
      </c>
      <c r="I21" s="24" t="n">
        <v>2</v>
      </c>
      <c r="J21" s="24" t="n">
        <v>0</v>
      </c>
      <c r="K21" s="24">
        <f>J21*I21</f>
        <v/>
      </c>
      <c r="L21" s="24" t="n">
        <v>143.7</v>
      </c>
      <c r="M21" s="24" t="n">
        <v>20</v>
      </c>
      <c r="N21" s="23" t="inlineStr">
        <is>
          <t>Boissons alcoolisees (LIQUIDE - TVA 20 %)</t>
        </is>
      </c>
    </row>
    <row r="22" ht="15" customHeight="1" s="19">
      <c r="A22" s="23" t="inlineStr">
        <is>
          <t>2022-2023</t>
        </is>
      </c>
      <c r="B22" s="23" t="inlineStr">
        <is>
          <t>C-1</t>
        </is>
      </c>
      <c r="C22" s="23" t="inlineStr">
        <is>
          <t>2022-06-03</t>
        </is>
      </c>
      <c r="D22" s="23" t="inlineStr">
        <is>
          <t>12:22</t>
        </is>
      </c>
      <c r="E22" s="23" t="inlineStr">
        <is>
          <t>4</t>
        </is>
      </c>
      <c r="F22" s="23" t="inlineStr">
        <is>
          <t>2974</t>
        </is>
      </c>
      <c r="G22" s="23" t="inlineStr">
        <is>
          <t>0002</t>
        </is>
      </c>
      <c r="H22" s="23" t="inlineStr">
        <is>
          <t>BALIDOU</t>
        </is>
      </c>
      <c r="I22" s="24" t="n">
        <v>2</v>
      </c>
      <c r="J22" s="24" t="n">
        <v>0</v>
      </c>
      <c r="K22" s="24">
        <f>J22*I22</f>
        <v/>
      </c>
      <c r="L22" s="24" t="n">
        <v>120</v>
      </c>
      <c r="M22" s="24" t="n">
        <v>20</v>
      </c>
      <c r="N22" s="23" t="inlineStr">
        <is>
          <t>Boissons alcoolisees (LIQUIDE - TVA 20 %)</t>
        </is>
      </c>
    </row>
    <row r="23" ht="15" customHeight="1" s="19">
      <c r="A23" s="23" t="inlineStr">
        <is>
          <t>2022-2023</t>
        </is>
      </c>
      <c r="B23" s="23" t="inlineStr">
        <is>
          <t>C-1</t>
        </is>
      </c>
      <c r="C23" s="23" t="inlineStr">
        <is>
          <t>2022-06-03</t>
        </is>
      </c>
      <c r="D23" s="23" t="inlineStr">
        <is>
          <t>12:22</t>
        </is>
      </c>
      <c r="E23" s="23" t="inlineStr">
        <is>
          <t>4</t>
        </is>
      </c>
      <c r="F23" s="23" t="inlineStr">
        <is>
          <t>2974</t>
        </is>
      </c>
      <c r="G23" s="23" t="inlineStr">
        <is>
          <t>1996</t>
        </is>
      </c>
      <c r="H23" s="23" t="inlineStr">
        <is>
          <t>Mambo</t>
        </is>
      </c>
      <c r="I23" s="24" t="n">
        <v>1</v>
      </c>
      <c r="J23" s="24" t="n">
        <v>0</v>
      </c>
      <c r="K23" s="24">
        <f>J23*I23</f>
        <v/>
      </c>
      <c r="L23" s="24" t="n">
        <v>120</v>
      </c>
      <c r="M23" s="24" t="n">
        <v>20</v>
      </c>
      <c r="N23" s="23" t="inlineStr">
        <is>
          <t>Boissons non alcoolisees (LIQUIDE - TVA 10 %)</t>
        </is>
      </c>
    </row>
    <row r="24" ht="15" customHeight="1" s="19">
      <c r="A24" s="23" t="inlineStr">
        <is>
          <t>2022-2023</t>
        </is>
      </c>
      <c r="B24" s="23" t="inlineStr">
        <is>
          <t>C-1</t>
        </is>
      </c>
      <c r="C24" s="23" t="inlineStr">
        <is>
          <t>2022-06-03</t>
        </is>
      </c>
      <c r="D24" s="23" t="inlineStr">
        <is>
          <t>12:22</t>
        </is>
      </c>
      <c r="E24" s="23" t="inlineStr">
        <is>
          <t>4</t>
        </is>
      </c>
      <c r="F24" s="23" t="inlineStr">
        <is>
          <t>2974</t>
        </is>
      </c>
      <c r="G24" s="23" t="inlineStr">
        <is>
          <t>1995</t>
        </is>
      </c>
      <c r="H24" s="23" t="inlineStr">
        <is>
          <t>Chat perché</t>
        </is>
      </c>
      <c r="I24" s="24" t="n">
        <v>1</v>
      </c>
      <c r="J24" s="24" t="n">
        <v>0</v>
      </c>
      <c r="K24" s="24">
        <f>J24*I24</f>
        <v/>
      </c>
      <c r="L24" s="24" t="n">
        <v>120</v>
      </c>
      <c r="M24" s="24" t="n">
        <v>10</v>
      </c>
      <c r="N24" s="23" t="inlineStr">
        <is>
          <t>Boissons alcoolisees (LIQUIDE - TVA 20 %)</t>
        </is>
      </c>
    </row>
    <row r="25" ht="15" customHeight="1" s="19">
      <c r="A25" s="23" t="inlineStr">
        <is>
          <t>2022-2023</t>
        </is>
      </c>
      <c r="B25" s="23" t="inlineStr">
        <is>
          <t>C-1</t>
        </is>
      </c>
      <c r="C25" s="23" t="inlineStr">
        <is>
          <t>2022-06-04</t>
        </is>
      </c>
      <c r="D25" s="23" t="inlineStr">
        <is>
          <t>12:55</t>
        </is>
      </c>
      <c r="E25" s="23" t="inlineStr">
        <is>
          <t>11</t>
        </is>
      </c>
      <c r="F25" s="23" t="inlineStr">
        <is>
          <t>2975</t>
        </is>
      </c>
      <c r="G25" s="23" t="inlineStr">
        <is>
          <t>2005</t>
        </is>
      </c>
      <c r="H25" s="23" t="inlineStr">
        <is>
          <t>pression</t>
        </is>
      </c>
      <c r="I25" s="24" t="n">
        <v>1</v>
      </c>
      <c r="J25" s="24" t="n">
        <v>0</v>
      </c>
      <c r="K25" s="24">
        <f>J25*I25</f>
        <v/>
      </c>
      <c r="L25" s="24" t="n">
        <v>232.3</v>
      </c>
      <c r="M25" s="24" t="n">
        <v>10</v>
      </c>
      <c r="N25" s="23" t="inlineStr">
        <is>
          <t>Boissons alcoolisees (LIQUIDE - TVA 20 %)</t>
        </is>
      </c>
    </row>
    <row r="26" ht="15" customHeight="1" s="19">
      <c r="A26" s="23" t="inlineStr">
        <is>
          <t>2022-2023</t>
        </is>
      </c>
      <c r="B26" s="23" t="inlineStr">
        <is>
          <t>C-1</t>
        </is>
      </c>
      <c r="C26" s="23" t="inlineStr">
        <is>
          <t>2022-06-04</t>
        </is>
      </c>
      <c r="D26" s="23" t="inlineStr">
        <is>
          <t>12:55</t>
        </is>
      </c>
      <c r="E26" s="23" t="inlineStr">
        <is>
          <t>11</t>
        </is>
      </c>
      <c r="F26" s="23" t="inlineStr">
        <is>
          <t>2975</t>
        </is>
      </c>
      <c r="G26" s="23" t="inlineStr">
        <is>
          <t>0333</t>
        </is>
      </c>
      <c r="H26" s="23" t="inlineStr">
        <is>
          <t>Père Gregoire</t>
        </is>
      </c>
      <c r="I26" s="24" t="n">
        <v>2</v>
      </c>
      <c r="J26" s="24" t="n">
        <v>0</v>
      </c>
      <c r="K26" s="24">
        <f>J26*I26</f>
        <v/>
      </c>
      <c r="L26" s="24" t="n">
        <v>232.3</v>
      </c>
      <c r="M26" s="24" t="n">
        <v>20</v>
      </c>
      <c r="N26" s="23" t="inlineStr">
        <is>
          <t>Boissons alcoolisees (LIQUIDE - TVA 20 %)</t>
        </is>
      </c>
    </row>
    <row r="27" ht="15" customHeight="1" s="19">
      <c r="A27" s="23" t="inlineStr">
        <is>
          <t>2022-2023</t>
        </is>
      </c>
      <c r="B27" s="23" t="inlineStr">
        <is>
          <t>C-1</t>
        </is>
      </c>
      <c r="C27" s="23" t="inlineStr">
        <is>
          <t>2022-06-04</t>
        </is>
      </c>
      <c r="D27" s="23" t="inlineStr">
        <is>
          <t>12:55</t>
        </is>
      </c>
      <c r="E27" s="23" t="inlineStr">
        <is>
          <t>11</t>
        </is>
      </c>
      <c r="F27" s="23" t="inlineStr">
        <is>
          <t>2975</t>
        </is>
      </c>
      <c r="G27" s="23" t="inlineStr">
        <is>
          <t>0112</t>
        </is>
      </c>
      <c r="H27" s="23" t="inlineStr">
        <is>
          <t>Double Expresso</t>
        </is>
      </c>
      <c r="I27" s="24" t="n">
        <v>4</v>
      </c>
      <c r="J27" s="24" t="n">
        <v>0</v>
      </c>
      <c r="K27" s="24">
        <f>J27*I27</f>
        <v/>
      </c>
      <c r="L27" s="24" t="n">
        <v>232.3</v>
      </c>
      <c r="M27" s="24" t="n">
        <v>10</v>
      </c>
      <c r="N27" s="23" t="inlineStr">
        <is>
          <t>Boissons non alcoolisees (LIQUIDE - TVA 10 %)</t>
        </is>
      </c>
    </row>
    <row r="28" ht="15" customHeight="1" s="19">
      <c r="A28" s="23" t="inlineStr">
        <is>
          <t>2022-2023</t>
        </is>
      </c>
      <c r="B28" s="23" t="inlineStr">
        <is>
          <t>C-1</t>
        </is>
      </c>
      <c r="C28" s="23" t="inlineStr">
        <is>
          <t>2022-06-04</t>
        </is>
      </c>
      <c r="D28" s="23" t="inlineStr">
        <is>
          <t>12:55</t>
        </is>
      </c>
      <c r="E28" s="23" t="inlineStr">
        <is>
          <t>11</t>
        </is>
      </c>
      <c r="F28" s="23" t="inlineStr">
        <is>
          <t>2975</t>
        </is>
      </c>
      <c r="G28" s="23" t="inlineStr">
        <is>
          <t>0119</t>
        </is>
      </c>
      <c r="H28" s="23" t="inlineStr">
        <is>
          <t>Thé</t>
        </is>
      </c>
      <c r="I28" s="24" t="n">
        <v>1</v>
      </c>
      <c r="J28" s="24" t="n">
        <v>0</v>
      </c>
      <c r="K28" s="24">
        <f>J28*I28</f>
        <v/>
      </c>
      <c r="L28" s="24" t="n">
        <v>232.3</v>
      </c>
      <c r="M28" s="24" t="n">
        <v>10</v>
      </c>
      <c r="N28" s="23" t="inlineStr">
        <is>
          <t>Boissons non alcoolisees (LIQUIDE - TVA 10 %)</t>
        </is>
      </c>
    </row>
    <row r="29" ht="15" customHeight="1" s="19">
      <c r="A29" s="23" t="inlineStr">
        <is>
          <t>2022-2023</t>
        </is>
      </c>
      <c r="B29" s="23" t="inlineStr">
        <is>
          <t>C-1</t>
        </is>
      </c>
      <c r="C29" s="23" t="inlineStr">
        <is>
          <t>2022-06-08</t>
        </is>
      </c>
      <c r="D29" s="23" t="inlineStr">
        <is>
          <t>19:18</t>
        </is>
      </c>
      <c r="E29" s="23" t="inlineStr">
        <is>
          <t>20</t>
        </is>
      </c>
      <c r="F29" s="23" t="inlineStr">
        <is>
          <t>2978</t>
        </is>
      </c>
      <c r="G29" s="23" t="inlineStr">
        <is>
          <t>0111</t>
        </is>
      </c>
      <c r="H29" s="23" t="inlineStr">
        <is>
          <t>Expresso</t>
        </is>
      </c>
      <c r="I29" s="24" t="n">
        <v>1</v>
      </c>
      <c r="J29" s="24" t="n">
        <v>0</v>
      </c>
      <c r="K29" s="24">
        <f>J29*I29</f>
        <v/>
      </c>
      <c r="L29" s="24" t="n">
        <v>55.7</v>
      </c>
      <c r="M29" s="24" t="n">
        <v>10</v>
      </c>
      <c r="N29" s="23" t="inlineStr">
        <is>
          <t>Boissons non alcoolisees (LIQUIDE - TVA 10 %)</t>
        </is>
      </c>
    </row>
    <row r="30" ht="15" customHeight="1" s="19">
      <c r="A30" s="23" t="inlineStr">
        <is>
          <t>2022-2023</t>
        </is>
      </c>
      <c r="B30" s="23" t="inlineStr">
        <is>
          <t>C-1</t>
        </is>
      </c>
      <c r="C30" s="23" t="inlineStr">
        <is>
          <t>2022-06-10</t>
        </is>
      </c>
      <c r="D30" s="23" t="inlineStr">
        <is>
          <t>12:03</t>
        </is>
      </c>
      <c r="E30" s="23" t="inlineStr">
        <is>
          <t>3</t>
        </is>
      </c>
      <c r="F30" s="23" t="inlineStr">
        <is>
          <t>2980</t>
        </is>
      </c>
      <c r="G30" s="23" t="inlineStr">
        <is>
          <t>0368</t>
        </is>
      </c>
      <c r="H30" s="23" t="inlineStr">
        <is>
          <t>Jus de Fruit</t>
        </is>
      </c>
      <c r="I30" s="24" t="n">
        <v>1</v>
      </c>
      <c r="J30" s="24" t="n">
        <v>0</v>
      </c>
      <c r="K30" s="24">
        <f>J30*I30</f>
        <v/>
      </c>
      <c r="L30" s="24" t="n">
        <v>45.1</v>
      </c>
      <c r="M30" s="24" t="n">
        <v>10</v>
      </c>
      <c r="N30" s="23" t="inlineStr">
        <is>
          <t>Boissons non alcoolisees (LIQUIDE - TVA 10 %)</t>
        </is>
      </c>
    </row>
    <row r="31" ht="15" customHeight="1" s="19">
      <c r="A31" s="23" t="inlineStr">
        <is>
          <t>2022-2023</t>
        </is>
      </c>
      <c r="B31" s="23" t="inlineStr">
        <is>
          <t>C-1</t>
        </is>
      </c>
      <c r="C31" s="23" t="inlineStr">
        <is>
          <t>2022-06-10</t>
        </is>
      </c>
      <c r="D31" s="23" t="inlineStr">
        <is>
          <t>12:03</t>
        </is>
      </c>
      <c r="E31" s="23" t="inlineStr">
        <is>
          <t>3</t>
        </is>
      </c>
      <c r="F31" s="23" t="inlineStr">
        <is>
          <t>2980</t>
        </is>
      </c>
      <c r="G31" s="23" t="inlineStr">
        <is>
          <t>1989</t>
        </is>
      </c>
      <c r="H31" s="23" t="inlineStr">
        <is>
          <t>Pinte</t>
        </is>
      </c>
      <c r="I31" s="24" t="n">
        <v>1</v>
      </c>
      <c r="J31" s="24" t="n">
        <v>0</v>
      </c>
      <c r="K31" s="24">
        <f>J31*I31</f>
        <v/>
      </c>
      <c r="L31" s="24" t="n">
        <v>45.1</v>
      </c>
      <c r="M31" s="24" t="n">
        <v>10</v>
      </c>
      <c r="N31" s="23" t="inlineStr">
        <is>
          <t>Boissons alcoolisees (LIQUIDE - TVA 20 %)</t>
        </is>
      </c>
    </row>
    <row r="32" ht="15" customHeight="1" s="19">
      <c r="A32" s="23" t="inlineStr">
        <is>
          <t>2022-2023</t>
        </is>
      </c>
      <c r="B32" s="23" t="inlineStr">
        <is>
          <t>C-1</t>
        </is>
      </c>
      <c r="C32" s="23" t="inlineStr">
        <is>
          <t>2022-06-26</t>
        </is>
      </c>
      <c r="D32" s="23" t="inlineStr">
        <is>
          <t>13:09</t>
        </is>
      </c>
      <c r="E32" s="23" t="inlineStr">
        <is>
          <t>16</t>
        </is>
      </c>
      <c r="F32" s="23" t="inlineStr">
        <is>
          <t>2992</t>
        </is>
      </c>
      <c r="G32" s="23" t="inlineStr">
        <is>
          <t>0357</t>
        </is>
      </c>
      <c r="H32" s="23" t="inlineStr">
        <is>
          <t>La Vouivre</t>
        </is>
      </c>
      <c r="I32" s="24" t="n">
        <v>1</v>
      </c>
      <c r="J32" s="24" t="n">
        <v>0</v>
      </c>
      <c r="K32" s="24">
        <f>J32*I32</f>
        <v/>
      </c>
      <c r="L32" s="24" t="n">
        <v>52.2</v>
      </c>
      <c r="M32" s="24" t="n">
        <v>20</v>
      </c>
      <c r="N32" s="23" t="inlineStr">
        <is>
          <t>Boissons alcoolisees (LIQUIDE - TVA 20 %)</t>
        </is>
      </c>
    </row>
    <row r="33" ht="15" customHeight="1" s="19">
      <c r="A33" s="23" t="inlineStr">
        <is>
          <t>2022-2023</t>
        </is>
      </c>
      <c r="B33" s="23" t="inlineStr">
        <is>
          <t>C-1</t>
        </is>
      </c>
      <c r="C33" s="23" t="inlineStr">
        <is>
          <t>2022-06-26</t>
        </is>
      </c>
      <c r="D33" s="23" t="inlineStr">
        <is>
          <t>19:06</t>
        </is>
      </c>
      <c r="E33" s="23" t="inlineStr">
        <is>
          <t>24</t>
        </is>
      </c>
      <c r="F33" s="23" t="inlineStr">
        <is>
          <t>2992</t>
        </is>
      </c>
      <c r="G33" s="23" t="inlineStr">
        <is>
          <t>0106</t>
        </is>
      </c>
      <c r="H33" s="23" t="inlineStr">
        <is>
          <t>Coca (25cl)</t>
        </is>
      </c>
      <c r="I33" s="24" t="n">
        <v>2</v>
      </c>
      <c r="J33" s="24" t="n">
        <v>0</v>
      </c>
      <c r="K33" s="24">
        <f>J33*I33</f>
        <v/>
      </c>
      <c r="L33" s="24" t="n">
        <v>109.8</v>
      </c>
      <c r="M33" s="24" t="n">
        <v>10</v>
      </c>
      <c r="N33" s="23" t="inlineStr">
        <is>
          <t>Boissons non alcoolisees (LIQUIDE - TVA 10 %)</t>
        </is>
      </c>
    </row>
    <row r="34" ht="15" customHeight="1" s="19">
      <c r="A34" s="23" t="inlineStr">
        <is>
          <t>2022-2023</t>
        </is>
      </c>
      <c r="B34" s="23" t="inlineStr">
        <is>
          <t>C-1</t>
        </is>
      </c>
      <c r="C34" s="23" t="inlineStr">
        <is>
          <t>2022-06-26</t>
        </is>
      </c>
      <c r="D34" s="23" t="inlineStr">
        <is>
          <t>19:06</t>
        </is>
      </c>
      <c r="E34" s="23" t="inlineStr">
        <is>
          <t>24</t>
        </is>
      </c>
      <c r="F34" s="23" t="inlineStr">
        <is>
          <t>2992</t>
        </is>
      </c>
      <c r="G34" s="23" t="inlineStr">
        <is>
          <t>0003</t>
        </is>
      </c>
      <c r="H34" s="23" t="inlineStr">
        <is>
          <t>Macvin du Jura</t>
        </is>
      </c>
      <c r="I34" s="24" t="n">
        <v>1</v>
      </c>
      <c r="J34" s="24" t="n">
        <v>0</v>
      </c>
      <c r="K34" s="24">
        <f>J34*I34</f>
        <v/>
      </c>
      <c r="L34" s="24" t="n">
        <v>109.8</v>
      </c>
      <c r="M34" s="24" t="n">
        <v>10</v>
      </c>
      <c r="N34" s="23" t="inlineStr">
        <is>
          <t>Boissons alcoolisees (LIQUIDE - TVA 20 %)</t>
        </is>
      </c>
    </row>
    <row r="35" ht="15" customHeight="1" s="19">
      <c r="A35" s="23" t="inlineStr">
        <is>
          <t>2022-2023</t>
        </is>
      </c>
      <c r="B35" s="23" t="inlineStr">
        <is>
          <t>C-1</t>
        </is>
      </c>
      <c r="C35" s="23" t="inlineStr">
        <is>
          <t>2022-06-26</t>
        </is>
      </c>
      <c r="D35" s="23" t="inlineStr">
        <is>
          <t>19:06</t>
        </is>
      </c>
      <c r="E35" s="23" t="inlineStr">
        <is>
          <t>24</t>
        </is>
      </c>
      <c r="F35" s="23" t="inlineStr">
        <is>
          <t>2992</t>
        </is>
      </c>
      <c r="G35" s="23" t="inlineStr">
        <is>
          <t>2005</t>
        </is>
      </c>
      <c r="H35" s="23" t="inlineStr">
        <is>
          <t>pression</t>
        </is>
      </c>
      <c r="I35" s="24" t="n">
        <v>2</v>
      </c>
      <c r="J35" s="24" t="n">
        <v>0</v>
      </c>
      <c r="K35" s="24">
        <f>J35*I35</f>
        <v/>
      </c>
      <c r="L35" s="24" t="n">
        <v>109.8</v>
      </c>
      <c r="M35" s="24" t="n">
        <v>20</v>
      </c>
      <c r="N35" s="23" t="inlineStr">
        <is>
          <t>Boissons alcoolisees (LIQUIDE - TVA 20 %)</t>
        </is>
      </c>
    </row>
    <row r="36" ht="15" customHeight="1" s="19">
      <c r="A36" s="23" t="inlineStr">
        <is>
          <t>2022-2023</t>
        </is>
      </c>
      <c r="B36" s="23" t="inlineStr">
        <is>
          <t>C-1</t>
        </is>
      </c>
      <c r="C36" s="23" t="inlineStr">
        <is>
          <t>2022-06-30</t>
        </is>
      </c>
      <c r="D36" s="23" t="inlineStr">
        <is>
          <t>18:58</t>
        </is>
      </c>
      <c r="E36" s="23" t="inlineStr">
        <is>
          <t>17</t>
        </is>
      </c>
      <c r="F36" s="23" t="inlineStr">
        <is>
          <t>2994</t>
        </is>
      </c>
      <c r="G36" s="23" t="inlineStr">
        <is>
          <t>2006</t>
        </is>
      </c>
      <c r="H36" s="23" t="inlineStr">
        <is>
          <t>Crepe Chocolat</t>
        </is>
      </c>
      <c r="I36" s="24" t="n">
        <v>1</v>
      </c>
      <c r="J36" s="24" t="n">
        <v>0</v>
      </c>
      <c r="K36" s="24">
        <f>J36*I36</f>
        <v/>
      </c>
      <c r="L36" s="24" t="n">
        <v>72.40000000000001</v>
      </c>
      <c r="M36" s="24" t="n">
        <v>10</v>
      </c>
      <c r="N36" s="23" t="inlineStr">
        <is>
          <t>Restauration (SOLIDE - TVA 10 %)</t>
        </is>
      </c>
    </row>
    <row r="37" ht="15" customHeight="1" s="19">
      <c r="A37" s="23" t="inlineStr">
        <is>
          <t>2022-2023</t>
        </is>
      </c>
      <c r="B37" s="23" t="inlineStr">
        <is>
          <t>C-1</t>
        </is>
      </c>
      <c r="C37" s="23" t="inlineStr">
        <is>
          <t>2022-06-30</t>
        </is>
      </c>
      <c r="D37" s="23" t="inlineStr">
        <is>
          <t>18:58</t>
        </is>
      </c>
      <c r="E37" s="23" t="inlineStr">
        <is>
          <t>17</t>
        </is>
      </c>
      <c r="F37" s="23" t="inlineStr">
        <is>
          <t>2994</t>
        </is>
      </c>
      <c r="G37" s="23" t="inlineStr">
        <is>
          <t>1994</t>
        </is>
      </c>
      <c r="H37" s="23" t="inlineStr">
        <is>
          <t>Café Viennois</t>
        </is>
      </c>
      <c r="I37" s="24" t="n">
        <v>1</v>
      </c>
      <c r="J37" s="24" t="n">
        <v>0</v>
      </c>
      <c r="K37" s="24">
        <f>J37*I37</f>
        <v/>
      </c>
      <c r="L37" s="24" t="n">
        <v>72.40000000000001</v>
      </c>
      <c r="M37" s="24" t="n">
        <v>10</v>
      </c>
      <c r="N37" s="23" t="inlineStr">
        <is>
          <t>Boissons non alcoolisees (LIQUIDE - TVA 10 %)</t>
        </is>
      </c>
    </row>
    <row r="38" ht="15" customHeight="1" s="19">
      <c r="A38" s="23" t="inlineStr">
        <is>
          <t>2022-2023</t>
        </is>
      </c>
      <c r="B38" s="23" t="inlineStr">
        <is>
          <t>C-1</t>
        </is>
      </c>
      <c r="C38" s="23" t="inlineStr">
        <is>
          <t>2022-07-01</t>
        </is>
      </c>
      <c r="D38" s="23" t="inlineStr">
        <is>
          <t>19:59</t>
        </is>
      </c>
      <c r="E38" s="23" t="inlineStr">
        <is>
          <t>20</t>
        </is>
      </c>
      <c r="F38" s="23" t="inlineStr">
        <is>
          <t>2995</t>
        </is>
      </c>
      <c r="G38" s="23" t="inlineStr">
        <is>
          <t>0347</t>
        </is>
      </c>
      <c r="H38" s="23" t="inlineStr">
        <is>
          <t>Pastis</t>
        </is>
      </c>
      <c r="I38" s="24" t="n">
        <v>1</v>
      </c>
      <c r="J38" s="24" t="n">
        <v>0</v>
      </c>
      <c r="K38" s="24">
        <f>J38*I38</f>
        <v/>
      </c>
      <c r="L38" s="24" t="n">
        <v>97.59999999999999</v>
      </c>
      <c r="M38" s="24" t="n">
        <v>10</v>
      </c>
      <c r="N38" s="23" t="inlineStr">
        <is>
          <t>Boissons alcoolisees (LIQUIDE - TVA 20 %)</t>
        </is>
      </c>
    </row>
    <row r="39" ht="15" customHeight="1" s="19">
      <c r="A39" s="23" t="inlineStr">
        <is>
          <t>2022-2023</t>
        </is>
      </c>
      <c r="B39" s="23" t="inlineStr">
        <is>
          <t>C-1</t>
        </is>
      </c>
      <c r="C39" s="23" t="inlineStr">
        <is>
          <t>2022-07-01</t>
        </is>
      </c>
      <c r="D39" s="23" t="inlineStr">
        <is>
          <t>19:59</t>
        </is>
      </c>
      <c r="E39" s="23" t="inlineStr">
        <is>
          <t>20</t>
        </is>
      </c>
      <c r="F39" s="23" t="inlineStr">
        <is>
          <t>2995</t>
        </is>
      </c>
      <c r="G39" s="23" t="inlineStr">
        <is>
          <t>2005</t>
        </is>
      </c>
      <c r="H39" s="23" t="inlineStr">
        <is>
          <t>pression</t>
        </is>
      </c>
      <c r="I39" s="24" t="n">
        <v>1</v>
      </c>
      <c r="J39" s="24" t="n">
        <v>0</v>
      </c>
      <c r="K39" s="24">
        <f>J39*I39</f>
        <v/>
      </c>
      <c r="L39" s="24" t="n">
        <v>97.59999999999999</v>
      </c>
      <c r="M39" s="24" t="n">
        <v>20</v>
      </c>
      <c r="N39" s="23" t="inlineStr">
        <is>
          <t>Boissons alcoolisees (LIQUIDE - TVA 20 %)</t>
        </is>
      </c>
    </row>
    <row r="40" ht="15" customHeight="1" s="19">
      <c r="A40" s="23" t="inlineStr">
        <is>
          <t>2022-2023</t>
        </is>
      </c>
      <c r="B40" s="23" t="inlineStr">
        <is>
          <t>C-1</t>
        </is>
      </c>
      <c r="C40" s="23" t="inlineStr">
        <is>
          <t>2022-07-01</t>
        </is>
      </c>
      <c r="D40" s="23" t="inlineStr">
        <is>
          <t>19:59</t>
        </is>
      </c>
      <c r="E40" s="23" t="inlineStr">
        <is>
          <t>20</t>
        </is>
      </c>
      <c r="F40" s="23" t="inlineStr">
        <is>
          <t>2995</t>
        </is>
      </c>
      <c r="G40" s="23" t="inlineStr">
        <is>
          <t>1984</t>
        </is>
      </c>
      <c r="H40" s="23" t="inlineStr">
        <is>
          <t>FROMAGES REGIONAUX</t>
        </is>
      </c>
      <c r="I40" s="24" t="n">
        <v>2</v>
      </c>
      <c r="J40" s="24" t="n">
        <v>0</v>
      </c>
      <c r="K40" s="24">
        <f>J40*I40</f>
        <v/>
      </c>
      <c r="L40" s="24" t="n">
        <v>97.59999999999999</v>
      </c>
      <c r="M40" s="24" t="n">
        <v>10</v>
      </c>
      <c r="N40" s="23" t="inlineStr">
        <is>
          <t>Restauration (SOLIDE - TVA 10 %)</t>
        </is>
      </c>
    </row>
    <row r="41" ht="15" customHeight="1" s="19">
      <c r="A41" s="23" t="inlineStr">
        <is>
          <t>2022-2023</t>
        </is>
      </c>
      <c r="B41" s="23" t="inlineStr">
        <is>
          <t>C-1</t>
        </is>
      </c>
      <c r="C41" s="23" t="inlineStr">
        <is>
          <t>2022-07-02</t>
        </is>
      </c>
      <c r="D41" s="23" t="inlineStr">
        <is>
          <t>19:54</t>
        </is>
      </c>
      <c r="E41" s="23" t="inlineStr">
        <is>
          <t>23</t>
        </is>
      </c>
      <c r="F41" s="23" t="inlineStr">
        <is>
          <t>2996</t>
        </is>
      </c>
      <c r="G41" s="23" t="inlineStr">
        <is>
          <t>2075</t>
        </is>
      </c>
      <c r="H41" s="23" t="inlineStr">
        <is>
          <t>CREPE NUTELLA CHANTI</t>
        </is>
      </c>
      <c r="I41" s="24" t="n">
        <v>1</v>
      </c>
      <c r="J41" s="24" t="n">
        <v>0</v>
      </c>
      <c r="K41" s="24">
        <f>J41*I41</f>
        <v/>
      </c>
      <c r="L41" s="24" t="n">
        <v>54.4</v>
      </c>
      <c r="M41" s="24" t="n">
        <v>10</v>
      </c>
      <c r="N41" s="23" t="inlineStr">
        <is>
          <t>Restauration (SOLIDE - TVA 10 %)</t>
        </is>
      </c>
    </row>
    <row r="42" ht="15" customHeight="1" s="19">
      <c r="A42" s="23" t="inlineStr">
        <is>
          <t>2022-2023</t>
        </is>
      </c>
      <c r="B42" s="23" t="inlineStr">
        <is>
          <t>C-1</t>
        </is>
      </c>
      <c r="C42" s="23" t="inlineStr">
        <is>
          <t>2022-07-02</t>
        </is>
      </c>
      <c r="D42" s="23" t="inlineStr">
        <is>
          <t>20:56</t>
        </is>
      </c>
      <c r="E42" s="23" t="inlineStr">
        <is>
          <t>31</t>
        </is>
      </c>
      <c r="F42" s="23" t="inlineStr">
        <is>
          <t>2996</t>
        </is>
      </c>
      <c r="G42" s="23" t="inlineStr">
        <is>
          <t>0106</t>
        </is>
      </c>
      <c r="H42" s="23" t="inlineStr">
        <is>
          <t>Coca (25cl)</t>
        </is>
      </c>
      <c r="I42" s="24" t="n">
        <v>2</v>
      </c>
      <c r="J42" s="24" t="n">
        <v>0</v>
      </c>
      <c r="K42" s="24">
        <f>J42*I42</f>
        <v/>
      </c>
      <c r="L42" s="24" t="n">
        <v>76.2</v>
      </c>
      <c r="M42" s="24" t="n">
        <v>10</v>
      </c>
      <c r="N42" s="23" t="inlineStr">
        <is>
          <t>Boissons non alcoolisees (LIQUIDE - TVA 10 %)</t>
        </is>
      </c>
    </row>
    <row r="43" ht="15" customHeight="1" s="19">
      <c r="A43" s="23" t="inlineStr">
        <is>
          <t>2022-2023</t>
        </is>
      </c>
      <c r="B43" s="23" t="inlineStr">
        <is>
          <t>C-1</t>
        </is>
      </c>
      <c r="C43" s="23" t="inlineStr">
        <is>
          <t>2022-07-03</t>
        </is>
      </c>
      <c r="D43" s="23" t="inlineStr">
        <is>
          <t>13:34</t>
        </is>
      </c>
      <c r="E43" s="23" t="inlineStr">
        <is>
          <t>15</t>
        </is>
      </c>
      <c r="F43" s="23" t="inlineStr">
        <is>
          <t>2997</t>
        </is>
      </c>
      <c r="G43" s="23" t="inlineStr">
        <is>
          <t>0111</t>
        </is>
      </c>
      <c r="H43" s="23" t="inlineStr">
        <is>
          <t>Expresso</t>
        </is>
      </c>
      <c r="I43" s="24" t="n">
        <v>5</v>
      </c>
      <c r="J43" s="24" t="n">
        <v>0</v>
      </c>
      <c r="K43" s="24">
        <f>J43*I43</f>
        <v/>
      </c>
      <c r="L43" s="24" t="n">
        <v>303</v>
      </c>
      <c r="M43" s="24" t="n">
        <v>10</v>
      </c>
      <c r="N43" s="23" t="inlineStr">
        <is>
          <t>Boissons non alcoolisees (LIQUIDE - TVA 10 %)</t>
        </is>
      </c>
    </row>
    <row r="44" ht="15" customHeight="1" s="19">
      <c r="A44" s="23" t="inlineStr">
        <is>
          <t>2022-2023</t>
        </is>
      </c>
      <c r="B44" s="23" t="inlineStr">
        <is>
          <t>C-1</t>
        </is>
      </c>
      <c r="C44" s="23" t="inlineStr">
        <is>
          <t>2022-07-07</t>
        </is>
      </c>
      <c r="D44" s="23" t="inlineStr">
        <is>
          <t>21:10</t>
        </is>
      </c>
      <c r="E44" s="23" t="inlineStr">
        <is>
          <t>32</t>
        </is>
      </c>
      <c r="F44" s="23" t="inlineStr">
        <is>
          <t>2999</t>
        </is>
      </c>
      <c r="G44" s="23" t="inlineStr">
        <is>
          <t>0111</t>
        </is>
      </c>
      <c r="H44" s="23" t="inlineStr">
        <is>
          <t>Expresso</t>
        </is>
      </c>
      <c r="I44" s="24" t="n">
        <v>4</v>
      </c>
      <c r="J44" s="24" t="n">
        <v>0</v>
      </c>
      <c r="K44" s="24">
        <f>J44*I44</f>
        <v/>
      </c>
      <c r="L44" s="24" t="n">
        <v>183</v>
      </c>
      <c r="M44" s="24" t="n">
        <v>10</v>
      </c>
      <c r="N44" s="23" t="inlineStr">
        <is>
          <t>Boissons non alcoolisees (LIQUIDE - TVA 10 %)</t>
        </is>
      </c>
    </row>
    <row r="45" ht="15" customHeight="1" s="19">
      <c r="A45" s="23" t="inlineStr">
        <is>
          <t>2022-2023</t>
        </is>
      </c>
      <c r="B45" s="23" t="inlineStr">
        <is>
          <t>C-1</t>
        </is>
      </c>
      <c r="C45" s="23" t="inlineStr">
        <is>
          <t>2022-07-07</t>
        </is>
      </c>
      <c r="D45" s="23" t="inlineStr">
        <is>
          <t>21:05</t>
        </is>
      </c>
      <c r="E45" s="23" t="inlineStr">
        <is>
          <t>30</t>
        </is>
      </c>
      <c r="F45" s="23" t="inlineStr">
        <is>
          <t>2999</t>
        </is>
      </c>
      <c r="G45" s="23" t="inlineStr">
        <is>
          <t>1995</t>
        </is>
      </c>
      <c r="H45" s="23" t="inlineStr">
        <is>
          <t>Chat perché</t>
        </is>
      </c>
      <c r="I45" s="24" t="n">
        <v>3</v>
      </c>
      <c r="J45" s="24" t="n">
        <v>0</v>
      </c>
      <c r="K45" s="24">
        <f>J45*I45</f>
        <v/>
      </c>
      <c r="L45" s="24" t="n">
        <v>105.3</v>
      </c>
      <c r="M45" s="24" t="n">
        <v>10</v>
      </c>
      <c r="N45" s="23" t="inlineStr">
        <is>
          <t>Boissons alcoolisees (LIQUIDE - TVA 20 %)</t>
        </is>
      </c>
    </row>
    <row r="46" ht="15" customHeight="1" s="19">
      <c r="A46" s="23" t="inlineStr">
        <is>
          <t>2022-2023</t>
        </is>
      </c>
      <c r="B46" s="23" t="inlineStr">
        <is>
          <t>C-1</t>
        </is>
      </c>
      <c r="C46" s="23" t="inlineStr">
        <is>
          <t>2022-07-07</t>
        </is>
      </c>
      <c r="D46" s="23" t="inlineStr">
        <is>
          <t>21:05</t>
        </is>
      </c>
      <c r="E46" s="23" t="inlineStr">
        <is>
          <t>30</t>
        </is>
      </c>
      <c r="F46" s="23" t="inlineStr">
        <is>
          <t>2999</t>
        </is>
      </c>
      <c r="G46" s="23" t="inlineStr">
        <is>
          <t>0111</t>
        </is>
      </c>
      <c r="H46" s="23" t="inlineStr">
        <is>
          <t>Expresso</t>
        </is>
      </c>
      <c r="I46" s="24" t="n">
        <v>1</v>
      </c>
      <c r="J46" s="24" t="n">
        <v>0</v>
      </c>
      <c r="K46" s="24">
        <f>J46*I46</f>
        <v/>
      </c>
      <c r="L46" s="24" t="n">
        <v>105.3</v>
      </c>
      <c r="M46" s="24" t="n">
        <v>10</v>
      </c>
      <c r="N46" s="23" t="inlineStr">
        <is>
          <t>Boissons non alcoolisees (LIQUIDE - TVA 10 %)</t>
        </is>
      </c>
    </row>
    <row r="47" ht="15" customHeight="1" s="19">
      <c r="A47" s="23" t="inlineStr">
        <is>
          <t>2022-2023</t>
        </is>
      </c>
      <c r="B47" s="23" t="inlineStr">
        <is>
          <t>C-1</t>
        </is>
      </c>
      <c r="C47" s="23" t="inlineStr">
        <is>
          <t>2022-07-08</t>
        </is>
      </c>
      <c r="D47" s="23" t="inlineStr">
        <is>
          <t>11:30</t>
        </is>
      </c>
      <c r="E47" s="23" t="inlineStr">
        <is>
          <t>2</t>
        </is>
      </c>
      <c r="F47" s="23" t="inlineStr">
        <is>
          <t>3000</t>
        </is>
      </c>
      <c r="G47" s="23" t="inlineStr">
        <is>
          <t>2121</t>
        </is>
      </c>
      <c r="H47" s="23" t="inlineStr">
        <is>
          <t>Pichet 50cl vin</t>
        </is>
      </c>
      <c r="I47" s="24" t="n">
        <v>1</v>
      </c>
      <c r="J47" s="24" t="n">
        <v>0</v>
      </c>
      <c r="K47" s="24">
        <f>J47*I47</f>
        <v/>
      </c>
      <c r="L47" s="24" t="n">
        <v>47.8</v>
      </c>
      <c r="M47" s="24" t="n">
        <v>10</v>
      </c>
      <c r="N47" s="23" t="inlineStr">
        <is>
          <t>Boissons alcoolisees (LIQUIDE - TVA 20 %)</t>
        </is>
      </c>
    </row>
    <row r="48" ht="15" customHeight="1" s="19">
      <c r="A48" s="23" t="inlineStr">
        <is>
          <t>2022-2023</t>
        </is>
      </c>
      <c r="B48" s="23" t="inlineStr">
        <is>
          <t>C-1</t>
        </is>
      </c>
      <c r="C48" s="23" t="inlineStr">
        <is>
          <t>2022-07-09</t>
        </is>
      </c>
      <c r="D48" s="23" t="inlineStr">
        <is>
          <t>12:29</t>
        </is>
      </c>
      <c r="E48" s="23" t="inlineStr">
        <is>
          <t>9</t>
        </is>
      </c>
      <c r="F48" s="23" t="inlineStr">
        <is>
          <t>3001</t>
        </is>
      </c>
      <c r="G48" s="23" t="inlineStr">
        <is>
          <t>0333</t>
        </is>
      </c>
      <c r="H48" s="23" t="inlineStr">
        <is>
          <t>Père Gregoire</t>
        </is>
      </c>
      <c r="I48" s="24" t="n">
        <v>2</v>
      </c>
      <c r="J48" s="24" t="n">
        <v>0</v>
      </c>
      <c r="K48" s="24">
        <f>J48*I48</f>
        <v/>
      </c>
      <c r="L48" s="24" t="n">
        <v>51.7</v>
      </c>
      <c r="M48" s="24" t="n">
        <v>10</v>
      </c>
      <c r="N48" s="23" t="inlineStr">
        <is>
          <t>Boissons alcoolisees (LIQUIDE - TVA 20 %)</t>
        </is>
      </c>
    </row>
    <row r="49" ht="15" customHeight="1" s="19">
      <c r="A49" s="23" t="inlineStr">
        <is>
          <t>2022-2023</t>
        </is>
      </c>
      <c r="B49" s="23" t="inlineStr">
        <is>
          <t>C-1</t>
        </is>
      </c>
      <c r="C49" s="23" t="inlineStr">
        <is>
          <t>2022-07-10</t>
        </is>
      </c>
      <c r="D49" s="23" t="inlineStr">
        <is>
          <t>12:04</t>
        </is>
      </c>
      <c r="E49" s="23" t="inlineStr">
        <is>
          <t>6</t>
        </is>
      </c>
      <c r="F49" s="23" t="inlineStr">
        <is>
          <t>3002</t>
        </is>
      </c>
      <c r="G49" s="23" t="inlineStr">
        <is>
          <t>0348</t>
        </is>
      </c>
      <c r="H49" s="23" t="inlineStr">
        <is>
          <t>Crémant</t>
        </is>
      </c>
      <c r="I49" s="24" t="n">
        <v>2</v>
      </c>
      <c r="J49" s="24" t="n">
        <v>0</v>
      </c>
      <c r="K49" s="24">
        <f>J49*I49</f>
        <v/>
      </c>
      <c r="L49" s="24" t="n">
        <v>57.2</v>
      </c>
      <c r="M49" s="24" t="n">
        <v>10</v>
      </c>
      <c r="N49" s="23" t="inlineStr">
        <is>
          <t>Boissons alcoolisees (LIQUIDE - TVA 20 %)</t>
        </is>
      </c>
    </row>
    <row r="50" ht="15" customHeight="1" s="19">
      <c r="A50" s="23" t="inlineStr">
        <is>
          <t>2022-2023</t>
        </is>
      </c>
      <c r="B50" s="23" t="inlineStr">
        <is>
          <t>C-1</t>
        </is>
      </c>
      <c r="C50" s="23" t="inlineStr">
        <is>
          <t>2022-07-12</t>
        </is>
      </c>
      <c r="D50" s="23" t="inlineStr">
        <is>
          <t>19:26</t>
        </is>
      </c>
      <c r="E50" s="23" t="inlineStr">
        <is>
          <t>30</t>
        </is>
      </c>
      <c r="F50" s="23" t="inlineStr">
        <is>
          <t>3003</t>
        </is>
      </c>
      <c r="G50" s="23" t="inlineStr">
        <is>
          <t>0013</t>
        </is>
      </c>
      <c r="H50" s="23" t="inlineStr">
        <is>
          <t>Kir Bourgogne</t>
        </is>
      </c>
      <c r="I50" s="24" t="n">
        <v>1</v>
      </c>
      <c r="J50" s="24" t="n">
        <v>0</v>
      </c>
      <c r="K50" s="24">
        <f>J50*I50</f>
        <v/>
      </c>
      <c r="L50" s="24" t="n">
        <v>58.5</v>
      </c>
      <c r="M50" s="24" t="n">
        <v>20</v>
      </c>
      <c r="N50" s="23" t="inlineStr">
        <is>
          <t>Boissons alcoolisees (LIQUIDE - TVA 20 %)</t>
        </is>
      </c>
    </row>
    <row r="51" ht="15" customHeight="1" s="19">
      <c r="A51" s="23" t="inlineStr">
        <is>
          <t>2022-2023</t>
        </is>
      </c>
      <c r="B51" s="23" t="inlineStr">
        <is>
          <t>C-1</t>
        </is>
      </c>
      <c r="C51" s="23" t="inlineStr">
        <is>
          <t>2022-07-12</t>
        </is>
      </c>
      <c r="D51" s="23" t="inlineStr">
        <is>
          <t>19:26</t>
        </is>
      </c>
      <c r="E51" s="23" t="inlineStr">
        <is>
          <t>30</t>
        </is>
      </c>
      <c r="F51" s="23" t="inlineStr">
        <is>
          <t>3003</t>
        </is>
      </c>
      <c r="G51" s="23" t="inlineStr">
        <is>
          <t>0108</t>
        </is>
      </c>
      <c r="H51" s="23" t="inlineStr">
        <is>
          <t>Limonade (25cl)</t>
        </is>
      </c>
      <c r="I51" s="24" t="n">
        <v>2</v>
      </c>
      <c r="J51" s="24" t="n">
        <v>0</v>
      </c>
      <c r="K51" s="24">
        <f>J51*I51</f>
        <v/>
      </c>
      <c r="L51" s="24" t="n">
        <v>58.5</v>
      </c>
      <c r="M51" s="24" t="n">
        <v>20</v>
      </c>
      <c r="N51" s="23" t="inlineStr">
        <is>
          <t>Boissons non alcoolisees (LIQUIDE - TVA 10 %)</t>
        </is>
      </c>
    </row>
    <row r="52" ht="15" customHeight="1" s="19">
      <c r="A52" s="23" t="inlineStr">
        <is>
          <t>2022-2023</t>
        </is>
      </c>
      <c r="B52" s="23" t="inlineStr">
        <is>
          <t>C-1</t>
        </is>
      </c>
      <c r="C52" s="23" t="inlineStr">
        <is>
          <t>2022-07-17</t>
        </is>
      </c>
      <c r="D52" s="23" t="inlineStr">
        <is>
          <t>20:08</t>
        </is>
      </c>
      <c r="E52" s="23" t="inlineStr">
        <is>
          <t>34</t>
        </is>
      </c>
      <c r="F52" s="23" t="inlineStr">
        <is>
          <t>3008</t>
        </is>
      </c>
      <c r="G52" s="23" t="inlineStr">
        <is>
          <t>2008</t>
        </is>
      </c>
      <c r="H52" s="23" t="inlineStr">
        <is>
          <t>cidre la Mordue</t>
        </is>
      </c>
      <c r="I52" s="24" t="n">
        <v>2</v>
      </c>
      <c r="J52" s="24" t="n">
        <v>0</v>
      </c>
      <c r="K52" s="24">
        <f>J52*I52</f>
        <v/>
      </c>
      <c r="L52" s="24" t="n">
        <v>38.9</v>
      </c>
      <c r="M52" s="24" t="n">
        <v>10</v>
      </c>
      <c r="N52" s="23" t="inlineStr">
        <is>
          <t>Boissons alcoolisees (LIQUIDE - TVA 20 %)</t>
        </is>
      </c>
    </row>
    <row r="53" ht="15" customHeight="1" s="19">
      <c r="A53" s="23" t="inlineStr">
        <is>
          <t>2022-2023</t>
        </is>
      </c>
      <c r="B53" s="23" t="inlineStr">
        <is>
          <t>C-1</t>
        </is>
      </c>
      <c r="C53" s="23" t="inlineStr">
        <is>
          <t>2022-07-17</t>
        </is>
      </c>
      <c r="D53" s="23" t="inlineStr">
        <is>
          <t>20:08</t>
        </is>
      </c>
      <c r="E53" s="23" t="inlineStr">
        <is>
          <t>34</t>
        </is>
      </c>
      <c r="F53" s="23" t="inlineStr">
        <is>
          <t>3008</t>
        </is>
      </c>
      <c r="G53" s="23" t="inlineStr">
        <is>
          <t>2014</t>
        </is>
      </c>
      <c r="H53" s="23" t="inlineStr">
        <is>
          <t>Entrecôte grillée</t>
        </is>
      </c>
      <c r="I53" s="24" t="n">
        <v>1</v>
      </c>
      <c r="J53" s="24" t="n">
        <v>0</v>
      </c>
      <c r="K53" s="24">
        <f>J53*I53</f>
        <v/>
      </c>
      <c r="L53" s="24" t="n">
        <v>38.9</v>
      </c>
      <c r="M53" s="24" t="n">
        <v>20</v>
      </c>
      <c r="N53" s="23" t="inlineStr">
        <is>
          <t>Restauration (SOLIDE - TVA 10 %)</t>
        </is>
      </c>
    </row>
    <row r="54" ht="15" customHeight="1" s="19">
      <c r="A54" s="23" t="inlineStr">
        <is>
          <t>2022-2023</t>
        </is>
      </c>
      <c r="B54" s="23" t="inlineStr">
        <is>
          <t>C-1</t>
        </is>
      </c>
      <c r="C54" s="23" t="inlineStr">
        <is>
          <t>2022-07-17</t>
        </is>
      </c>
      <c r="D54" s="23" t="inlineStr">
        <is>
          <t>20:52</t>
        </is>
      </c>
      <c r="E54" s="23" t="inlineStr">
        <is>
          <t>37</t>
        </is>
      </c>
      <c r="F54" s="23" t="inlineStr">
        <is>
          <t>3008</t>
        </is>
      </c>
      <c r="G54" s="23" t="inlineStr">
        <is>
          <t>1995</t>
        </is>
      </c>
      <c r="H54" s="23" t="inlineStr">
        <is>
          <t>Chat perché</t>
        </is>
      </c>
      <c r="I54" s="24" t="n">
        <v>2</v>
      </c>
      <c r="J54" s="24" t="n">
        <v>0</v>
      </c>
      <c r="K54" s="24">
        <f>J54*I54</f>
        <v/>
      </c>
      <c r="L54" s="24" t="n">
        <v>17.6</v>
      </c>
      <c r="M54" s="24" t="n">
        <v>10</v>
      </c>
      <c r="N54" s="23" t="inlineStr">
        <is>
          <t>Boissons alcoolisees (LIQUIDE - TVA 20 %)</t>
        </is>
      </c>
    </row>
    <row r="55" ht="15" customHeight="1" s="19">
      <c r="A55" s="23" t="inlineStr">
        <is>
          <t>2022-2023</t>
        </is>
      </c>
      <c r="B55" s="23" t="inlineStr">
        <is>
          <t>C-1</t>
        </is>
      </c>
      <c r="C55" s="23" t="inlineStr">
        <is>
          <t>2022-07-17</t>
        </is>
      </c>
      <c r="D55" s="23" t="inlineStr">
        <is>
          <t>20:52</t>
        </is>
      </c>
      <c r="E55" s="23" t="inlineStr">
        <is>
          <t>37</t>
        </is>
      </c>
      <c r="F55" s="23" t="inlineStr">
        <is>
          <t>3008</t>
        </is>
      </c>
      <c r="G55" s="23" t="inlineStr">
        <is>
          <t>0352</t>
        </is>
      </c>
      <c r="H55" s="23" t="inlineStr">
        <is>
          <t>Sirop à l'eau</t>
        </is>
      </c>
      <c r="I55" s="24" t="n">
        <v>1</v>
      </c>
      <c r="J55" s="24" t="n">
        <v>0</v>
      </c>
      <c r="K55" s="24">
        <f>J55*I55</f>
        <v/>
      </c>
      <c r="L55" s="24" t="n">
        <v>17.6</v>
      </c>
      <c r="M55" s="24" t="n">
        <v>20</v>
      </c>
      <c r="N55" s="23" t="inlineStr">
        <is>
          <t>Boissons non alcoolisees (LIQUIDE - TVA 10 %)</t>
        </is>
      </c>
    </row>
    <row r="56" ht="15" customHeight="1" s="19">
      <c r="A56" s="23" t="inlineStr">
        <is>
          <t>2022-2023</t>
        </is>
      </c>
      <c r="B56" s="23" t="inlineStr">
        <is>
          <t>C-1</t>
        </is>
      </c>
      <c r="C56" s="23" t="inlineStr">
        <is>
          <t>2022-07-24</t>
        </is>
      </c>
      <c r="D56" s="23" t="inlineStr">
        <is>
          <t>12:25</t>
        </is>
      </c>
      <c r="E56" s="23" t="inlineStr">
        <is>
          <t>9</t>
        </is>
      </c>
      <c r="F56" s="23" t="inlineStr">
        <is>
          <t>3014</t>
        </is>
      </c>
      <c r="G56" s="23" t="inlineStr">
        <is>
          <t>0333</t>
        </is>
      </c>
      <c r="H56" s="23" t="inlineStr">
        <is>
          <t>Père Gregoire</t>
        </is>
      </c>
      <c r="I56" s="24" t="n">
        <v>1</v>
      </c>
      <c r="J56" s="24" t="n">
        <v>0</v>
      </c>
      <c r="K56" s="24">
        <f>J56*I56</f>
        <v/>
      </c>
      <c r="L56" s="24" t="n">
        <v>103.5</v>
      </c>
      <c r="M56" s="24" t="n">
        <v>10</v>
      </c>
      <c r="N56" s="23" t="inlineStr">
        <is>
          <t>Boissons alcoolisees (LIQUIDE - TVA 20 %)</t>
        </is>
      </c>
    </row>
    <row r="57" ht="15" customHeight="1" s="19">
      <c r="A57" s="23" t="inlineStr">
        <is>
          <t>2022-2023</t>
        </is>
      </c>
      <c r="B57" s="23" t="inlineStr">
        <is>
          <t>C-1</t>
        </is>
      </c>
      <c r="C57" s="23" t="inlineStr">
        <is>
          <t>2022-07-24</t>
        </is>
      </c>
      <c r="D57" s="23" t="inlineStr">
        <is>
          <t>19:52</t>
        </is>
      </c>
      <c r="E57" s="23" t="inlineStr">
        <is>
          <t>25</t>
        </is>
      </c>
      <c r="F57" s="23" t="inlineStr">
        <is>
          <t>3014</t>
        </is>
      </c>
      <c r="G57" s="23" t="inlineStr">
        <is>
          <t>0111</t>
        </is>
      </c>
      <c r="H57" s="23" t="inlineStr">
        <is>
          <t>Expresso</t>
        </is>
      </c>
      <c r="I57" s="24" t="n">
        <v>3</v>
      </c>
      <c r="J57" s="24" t="n">
        <v>0</v>
      </c>
      <c r="K57" s="24">
        <f>J57*I57</f>
        <v/>
      </c>
      <c r="L57" s="24" t="n">
        <v>240.5</v>
      </c>
      <c r="M57" s="24" t="n">
        <v>10</v>
      </c>
      <c r="N57" s="23" t="inlineStr">
        <is>
          <t>Boissons non alcoolisees (LIQUIDE - TVA 10 %)</t>
        </is>
      </c>
    </row>
    <row r="58" ht="15" customHeight="1" s="19">
      <c r="A58" s="23" t="inlineStr">
        <is>
          <t>2022-2023</t>
        </is>
      </c>
      <c r="B58" s="23" t="inlineStr">
        <is>
          <t>C-1</t>
        </is>
      </c>
      <c r="C58" s="23" t="inlineStr">
        <is>
          <t>2022-07-26</t>
        </is>
      </c>
      <c r="D58" s="23" t="inlineStr">
        <is>
          <t>21:06</t>
        </is>
      </c>
      <c r="E58" s="23" t="inlineStr">
        <is>
          <t>32</t>
        </is>
      </c>
      <c r="F58" s="23" t="inlineStr">
        <is>
          <t>3015</t>
        </is>
      </c>
      <c r="G58" s="23" t="inlineStr">
        <is>
          <t>0155</t>
        </is>
      </c>
      <c r="H58" s="23" t="inlineStr">
        <is>
          <t>Salade Verte</t>
        </is>
      </c>
      <c r="I58" s="24" t="n">
        <v>1</v>
      </c>
      <c r="J58" s="24" t="n">
        <v>0</v>
      </c>
      <c r="K58" s="24">
        <f>J58*I58</f>
        <v/>
      </c>
      <c r="L58" s="24" t="n">
        <v>61.1</v>
      </c>
      <c r="M58" s="24" t="n">
        <v>10</v>
      </c>
      <c r="N58" s="23" t="inlineStr">
        <is>
          <t>Restauration (SOLIDE - TVA 10 %)</t>
        </is>
      </c>
    </row>
    <row r="59" ht="15" customHeight="1" s="19">
      <c r="A59" s="23" t="inlineStr">
        <is>
          <t>2022-2023</t>
        </is>
      </c>
      <c r="B59" s="23" t="inlineStr">
        <is>
          <t>C-1</t>
        </is>
      </c>
      <c r="C59" s="23" t="inlineStr">
        <is>
          <t>2022-07-28</t>
        </is>
      </c>
      <c r="D59" s="23" t="inlineStr">
        <is>
          <t>12:20</t>
        </is>
      </c>
      <c r="E59" s="23" t="inlineStr">
        <is>
          <t>8</t>
        </is>
      </c>
      <c r="F59" s="23" t="inlineStr">
        <is>
          <t>3017</t>
        </is>
      </c>
      <c r="G59" s="23" t="inlineStr">
        <is>
          <t>1997</t>
        </is>
      </c>
      <c r="H59" s="23" t="inlineStr">
        <is>
          <t>Luna</t>
        </is>
      </c>
      <c r="I59" s="24" t="n">
        <v>1</v>
      </c>
      <c r="J59" s="24" t="n">
        <v>0</v>
      </c>
      <c r="K59" s="24">
        <f>J59*I59</f>
        <v/>
      </c>
      <c r="L59" s="24" t="n">
        <v>75</v>
      </c>
      <c r="M59" s="24" t="n">
        <v>10</v>
      </c>
      <c r="N59" s="23" t="inlineStr">
        <is>
          <t>Boissons non alcoolisees (LIQUIDE - TVA 10 %)</t>
        </is>
      </c>
    </row>
    <row r="60" ht="15" customHeight="1" s="19">
      <c r="A60" s="23" t="inlineStr">
        <is>
          <t>2022-2023</t>
        </is>
      </c>
      <c r="B60" s="23" t="inlineStr">
        <is>
          <t>C-1</t>
        </is>
      </c>
      <c r="C60" s="23" t="inlineStr">
        <is>
          <t>2022-07-28</t>
        </is>
      </c>
      <c r="D60" s="23" t="inlineStr">
        <is>
          <t>12:20</t>
        </is>
      </c>
      <c r="E60" s="23" t="inlineStr">
        <is>
          <t>8</t>
        </is>
      </c>
      <c r="F60" s="23" t="inlineStr">
        <is>
          <t>3017</t>
        </is>
      </c>
      <c r="G60" s="23" t="inlineStr">
        <is>
          <t>2009</t>
        </is>
      </c>
      <c r="H60" s="23" t="inlineStr">
        <is>
          <t>Ambrée</t>
        </is>
      </c>
      <c r="I60" s="24" t="n">
        <v>1</v>
      </c>
      <c r="J60" s="24" t="n">
        <v>0</v>
      </c>
      <c r="K60" s="24">
        <f>J60*I60</f>
        <v/>
      </c>
      <c r="L60" s="24" t="n">
        <v>75</v>
      </c>
      <c r="M60" s="24" t="n">
        <v>10</v>
      </c>
      <c r="N60" s="23" t="inlineStr">
        <is>
          <t>Boissons alcoolisees (LIQUIDE - TVA 20 %)</t>
        </is>
      </c>
    </row>
    <row r="61" ht="15" customHeight="1" s="19">
      <c r="A61" s="23" t="inlineStr">
        <is>
          <t>2022-2023</t>
        </is>
      </c>
      <c r="B61" s="23" t="inlineStr">
        <is>
          <t>C-1</t>
        </is>
      </c>
      <c r="C61" s="23" t="inlineStr">
        <is>
          <t>2022-07-28</t>
        </is>
      </c>
      <c r="D61" s="23" t="inlineStr">
        <is>
          <t>12:27</t>
        </is>
      </c>
      <c r="E61" s="23" t="inlineStr">
        <is>
          <t>9</t>
        </is>
      </c>
      <c r="F61" s="23" t="inlineStr">
        <is>
          <t>3017</t>
        </is>
      </c>
      <c r="G61" s="23" t="inlineStr">
        <is>
          <t>0357</t>
        </is>
      </c>
      <c r="H61" s="23" t="inlineStr">
        <is>
          <t>La Vouivre</t>
        </is>
      </c>
      <c r="I61" s="24" t="n">
        <v>1</v>
      </c>
      <c r="J61" s="24" t="n">
        <v>0</v>
      </c>
      <c r="K61" s="24">
        <f>J61*I61</f>
        <v/>
      </c>
      <c r="L61" s="24" t="n">
        <v>116.8</v>
      </c>
      <c r="M61" s="24" t="n">
        <v>10</v>
      </c>
      <c r="N61" s="23" t="inlineStr">
        <is>
          <t>Boissons alcoolisees (LIQUIDE - TVA 20 %)</t>
        </is>
      </c>
    </row>
    <row r="62" ht="15" customHeight="1" s="19">
      <c r="A62" s="23" t="inlineStr">
        <is>
          <t>2022-2023</t>
        </is>
      </c>
      <c r="B62" s="23" t="inlineStr">
        <is>
          <t>C-1</t>
        </is>
      </c>
      <c r="C62" s="23" t="inlineStr">
        <is>
          <t>2022-07-28</t>
        </is>
      </c>
      <c r="D62" s="23" t="inlineStr">
        <is>
          <t>12:27</t>
        </is>
      </c>
      <c r="E62" s="23" t="inlineStr">
        <is>
          <t>9</t>
        </is>
      </c>
      <c r="F62" s="23" t="inlineStr">
        <is>
          <t>3017</t>
        </is>
      </c>
      <c r="G62" s="23" t="inlineStr">
        <is>
          <t>1995</t>
        </is>
      </c>
      <c r="H62" s="23" t="inlineStr">
        <is>
          <t>Chat perché</t>
        </is>
      </c>
      <c r="I62" s="24" t="n">
        <v>2</v>
      </c>
      <c r="J62" s="24" t="n">
        <v>0</v>
      </c>
      <c r="K62" s="24">
        <f>J62*I62</f>
        <v/>
      </c>
      <c r="L62" s="24" t="n">
        <v>116.8</v>
      </c>
      <c r="M62" s="24" t="n">
        <v>20</v>
      </c>
      <c r="N62" s="23" t="inlineStr">
        <is>
          <t>Boissons alcoolisees (LIQUIDE - TVA 20 %)</t>
        </is>
      </c>
    </row>
    <row r="63" ht="15" customHeight="1" s="19">
      <c r="A63" s="23" t="inlineStr">
        <is>
          <t>2022-2023</t>
        </is>
      </c>
      <c r="B63" s="23" t="inlineStr">
        <is>
          <t>C-1</t>
        </is>
      </c>
      <c r="C63" s="23" t="inlineStr">
        <is>
          <t>2022-07-28</t>
        </is>
      </c>
      <c r="D63" s="23" t="inlineStr">
        <is>
          <t>12:27</t>
        </is>
      </c>
      <c r="E63" s="23" t="inlineStr">
        <is>
          <t>9</t>
        </is>
      </c>
      <c r="F63" s="23" t="inlineStr">
        <is>
          <t>3017</t>
        </is>
      </c>
      <c r="G63" s="23" t="inlineStr">
        <is>
          <t>1996</t>
        </is>
      </c>
      <c r="H63" s="23" t="inlineStr">
        <is>
          <t>Mambo</t>
        </is>
      </c>
      <c r="I63" s="24" t="n">
        <v>1</v>
      </c>
      <c r="J63" s="24" t="n">
        <v>0</v>
      </c>
      <c r="K63" s="24">
        <f>J63*I63</f>
        <v/>
      </c>
      <c r="L63" s="24" t="n">
        <v>116.8</v>
      </c>
      <c r="M63" s="24" t="n">
        <v>20</v>
      </c>
      <c r="N63" s="23" t="inlineStr">
        <is>
          <t>Boissons non alcoolisees (LIQUIDE - TVA 10 %)</t>
        </is>
      </c>
    </row>
    <row r="64" ht="15" customHeight="1" s="19">
      <c r="A64" s="23" t="inlineStr">
        <is>
          <t>2022-2023</t>
        </is>
      </c>
      <c r="B64" s="23" t="inlineStr">
        <is>
          <t>C-1</t>
        </is>
      </c>
      <c r="C64" s="23" t="inlineStr">
        <is>
          <t>2022-07-28</t>
        </is>
      </c>
      <c r="D64" s="23" t="inlineStr">
        <is>
          <t>12:27</t>
        </is>
      </c>
      <c r="E64" s="23" t="inlineStr">
        <is>
          <t>9</t>
        </is>
      </c>
      <c r="F64" s="23" t="inlineStr">
        <is>
          <t>3017</t>
        </is>
      </c>
      <c r="G64" s="23" t="inlineStr">
        <is>
          <t>0096</t>
        </is>
      </c>
      <c r="H64" s="23" t="inlineStr">
        <is>
          <t>Perrier 33cl</t>
        </is>
      </c>
      <c r="I64" s="24" t="n">
        <v>1</v>
      </c>
      <c r="J64" s="24" t="n">
        <v>0</v>
      </c>
      <c r="K64" s="24">
        <f>J64*I64</f>
        <v/>
      </c>
      <c r="L64" s="24" t="n">
        <v>116.8</v>
      </c>
      <c r="M64" s="24" t="n">
        <v>10</v>
      </c>
      <c r="N64" s="23" t="inlineStr">
        <is>
          <t>Boissons non alcoolisees (LIQUIDE - TVA 10 %)</t>
        </is>
      </c>
    </row>
    <row r="65" ht="15" customHeight="1" s="19">
      <c r="A65" s="23" t="inlineStr">
        <is>
          <t>2022-2023</t>
        </is>
      </c>
      <c r="B65" s="23" t="inlineStr">
        <is>
          <t>C-1</t>
        </is>
      </c>
      <c r="C65" s="23" t="inlineStr">
        <is>
          <t>2022-07-29</t>
        </is>
      </c>
      <c r="D65" s="23" t="inlineStr">
        <is>
          <t>19:43</t>
        </is>
      </c>
      <c r="E65" s="23" t="inlineStr">
        <is>
          <t>25</t>
        </is>
      </c>
      <c r="F65" s="23" t="inlineStr">
        <is>
          <t>3018</t>
        </is>
      </c>
      <c r="G65" s="23" t="inlineStr">
        <is>
          <t>1995</t>
        </is>
      </c>
      <c r="H65" s="23" t="inlineStr">
        <is>
          <t>Chat perché</t>
        </is>
      </c>
      <c r="I65" s="24" t="n">
        <v>1</v>
      </c>
      <c r="J65" s="24" t="n">
        <v>0</v>
      </c>
      <c r="K65" s="24">
        <f>J65*I65</f>
        <v/>
      </c>
      <c r="L65" s="24" t="n">
        <v>25.1</v>
      </c>
      <c r="M65" s="24" t="n">
        <v>10</v>
      </c>
      <c r="N65" s="23" t="inlineStr">
        <is>
          <t>Boissons alcoolisees (LIQUIDE - TVA 20 %)</t>
        </is>
      </c>
    </row>
    <row r="66" ht="15" customHeight="1" s="19">
      <c r="A66" s="23" t="inlineStr">
        <is>
          <t>2022-2023</t>
        </is>
      </c>
      <c r="B66" s="23" t="inlineStr">
        <is>
          <t>C-1</t>
        </is>
      </c>
      <c r="C66" s="23" t="inlineStr">
        <is>
          <t>2022-07-31</t>
        </is>
      </c>
      <c r="D66" s="23" t="inlineStr">
        <is>
          <t>13:00</t>
        </is>
      </c>
      <c r="E66" s="23" t="inlineStr">
        <is>
          <t>17</t>
        </is>
      </c>
      <c r="F66" s="23" t="inlineStr">
        <is>
          <t>3020</t>
        </is>
      </c>
      <c r="G66" s="23" t="inlineStr">
        <is>
          <t>1989</t>
        </is>
      </c>
      <c r="H66" s="23" t="inlineStr">
        <is>
          <t>Pinte</t>
        </is>
      </c>
      <c r="I66" s="24" t="n">
        <v>2</v>
      </c>
      <c r="J66" s="24" t="n">
        <v>0</v>
      </c>
      <c r="K66" s="24">
        <f>J66*I66</f>
        <v/>
      </c>
      <c r="L66" s="24" t="n">
        <v>118.8</v>
      </c>
      <c r="M66" s="24" t="n">
        <v>10</v>
      </c>
      <c r="N66" s="23" t="inlineStr">
        <is>
          <t>Boissons alcoolisees (LIQUIDE - TVA 20 %)</t>
        </is>
      </c>
    </row>
    <row r="67" ht="15" customHeight="1" s="19">
      <c r="A67" s="23" t="inlineStr">
        <is>
          <t>2022-2023</t>
        </is>
      </c>
      <c r="B67" s="23" t="inlineStr">
        <is>
          <t>C-1</t>
        </is>
      </c>
      <c r="C67" s="23" t="inlineStr">
        <is>
          <t>2022-08-02</t>
        </is>
      </c>
      <c r="D67" s="23" t="inlineStr">
        <is>
          <t>19:00</t>
        </is>
      </c>
      <c r="E67" s="23" t="inlineStr">
        <is>
          <t>20</t>
        </is>
      </c>
      <c r="F67" s="23" t="inlineStr">
        <is>
          <t>3021</t>
        </is>
      </c>
      <c r="G67" s="23" t="inlineStr">
        <is>
          <t>2005</t>
        </is>
      </c>
      <c r="H67" s="23" t="inlineStr">
        <is>
          <t>pression</t>
        </is>
      </c>
      <c r="I67" s="24" t="n">
        <v>1</v>
      </c>
      <c r="J67" s="24" t="n">
        <v>0</v>
      </c>
      <c r="K67" s="24">
        <f>J67*I67</f>
        <v/>
      </c>
      <c r="L67" s="24" t="n">
        <v>51.4</v>
      </c>
      <c r="M67" s="24" t="n">
        <v>10</v>
      </c>
      <c r="N67" s="23" t="inlineStr">
        <is>
          <t>Boissons alcoolisees (LIQUIDE - TVA 20 %)</t>
        </is>
      </c>
    </row>
    <row r="68" ht="15" customHeight="1" s="19">
      <c r="A68" s="23" t="inlineStr">
        <is>
          <t>2022-2023</t>
        </is>
      </c>
      <c r="B68" s="23" t="inlineStr">
        <is>
          <t>C-1</t>
        </is>
      </c>
      <c r="C68" s="23" t="inlineStr">
        <is>
          <t>2022-08-02</t>
        </is>
      </c>
      <c r="D68" s="23" t="inlineStr">
        <is>
          <t>19:00</t>
        </is>
      </c>
      <c r="E68" s="23" t="inlineStr">
        <is>
          <t>20</t>
        </is>
      </c>
      <c r="F68" s="23" t="inlineStr">
        <is>
          <t>3021</t>
        </is>
      </c>
      <c r="G68" s="23" t="inlineStr">
        <is>
          <t>0333</t>
        </is>
      </c>
      <c r="H68" s="23" t="inlineStr">
        <is>
          <t>Père Gregoire</t>
        </is>
      </c>
      <c r="I68" s="24" t="n">
        <v>1</v>
      </c>
      <c r="J68" s="24" t="n">
        <v>0</v>
      </c>
      <c r="K68" s="24">
        <f>J68*I68</f>
        <v/>
      </c>
      <c r="L68" s="24" t="n">
        <v>51.4</v>
      </c>
      <c r="M68" s="24" t="n">
        <v>20</v>
      </c>
      <c r="N68" s="23" t="inlineStr">
        <is>
          <t>Boissons alcoolisees (LIQUIDE - TVA 20 %)</t>
        </is>
      </c>
    </row>
    <row r="69" ht="15" customHeight="1" s="19">
      <c r="A69" s="23" t="inlineStr">
        <is>
          <t>2022-2023</t>
        </is>
      </c>
      <c r="B69" s="23" t="inlineStr">
        <is>
          <t>C-1</t>
        </is>
      </c>
      <c r="C69" s="23" t="inlineStr">
        <is>
          <t>2022-08-11</t>
        </is>
      </c>
      <c r="D69" s="23" t="inlineStr">
        <is>
          <t>21:05</t>
        </is>
      </c>
      <c r="E69" s="23" t="inlineStr">
        <is>
          <t>34</t>
        </is>
      </c>
      <c r="F69" s="23" t="inlineStr">
        <is>
          <t>3029</t>
        </is>
      </c>
      <c r="G69" s="23" t="inlineStr">
        <is>
          <t>2006</t>
        </is>
      </c>
      <c r="H69" s="23" t="inlineStr">
        <is>
          <t>Crepe Chocolat</t>
        </is>
      </c>
      <c r="I69" s="24" t="n">
        <v>1</v>
      </c>
      <c r="J69" s="24" t="n">
        <v>0</v>
      </c>
      <c r="K69" s="24">
        <f>J69*I69</f>
        <v/>
      </c>
      <c r="L69" s="24" t="n">
        <v>65.59999999999999</v>
      </c>
      <c r="M69" s="24" t="n">
        <v>10</v>
      </c>
      <c r="N69" s="23" t="inlineStr">
        <is>
          <t>Restauration (SOLIDE - TVA 10 %)</t>
        </is>
      </c>
    </row>
    <row r="70" ht="15" customHeight="1" s="19">
      <c r="A70" s="23" t="inlineStr">
        <is>
          <t>2022-2023</t>
        </is>
      </c>
      <c r="B70" s="23" t="inlineStr">
        <is>
          <t>C-1</t>
        </is>
      </c>
      <c r="C70" s="23" t="inlineStr">
        <is>
          <t>2022-08-13</t>
        </is>
      </c>
      <c r="D70" s="23" t="inlineStr">
        <is>
          <t>12:19</t>
        </is>
      </c>
      <c r="E70" s="23" t="inlineStr">
        <is>
          <t>12</t>
        </is>
      </c>
      <c r="F70" s="23" t="inlineStr">
        <is>
          <t>3031</t>
        </is>
      </c>
      <c r="G70" s="23" t="inlineStr">
        <is>
          <t>1910</t>
        </is>
      </c>
      <c r="H70" s="23" t="inlineStr">
        <is>
          <t>TRUITE PESTO</t>
        </is>
      </c>
      <c r="I70" s="24" t="n">
        <v>1</v>
      </c>
      <c r="J70" s="24" t="n">
        <v>0</v>
      </c>
      <c r="K70" s="24">
        <f>J70*I70</f>
        <v/>
      </c>
      <c r="L70" s="24" t="n">
        <v>15.9</v>
      </c>
      <c r="M70" s="24" t="n">
        <v>10</v>
      </c>
      <c r="N70" s="23" t="inlineStr">
        <is>
          <t>Restauration (SOLIDE - TVA 10 %)</t>
        </is>
      </c>
    </row>
    <row r="71" ht="15" customHeight="1" s="19">
      <c r="A71" s="23" t="inlineStr">
        <is>
          <t>2022-2023</t>
        </is>
      </c>
      <c r="B71" s="23" t="inlineStr">
        <is>
          <t>C-1</t>
        </is>
      </c>
      <c r="C71" s="23" t="inlineStr">
        <is>
          <t>2022-08-18</t>
        </is>
      </c>
      <c r="D71" s="23" t="inlineStr">
        <is>
          <t>19:25</t>
        </is>
      </c>
      <c r="E71" s="23" t="inlineStr">
        <is>
          <t>22</t>
        </is>
      </c>
      <c r="F71" s="23" t="inlineStr">
        <is>
          <t>3035</t>
        </is>
      </c>
      <c r="G71" s="23" t="inlineStr">
        <is>
          <t>0333</t>
        </is>
      </c>
      <c r="H71" s="23" t="inlineStr">
        <is>
          <t>Père Gregoire</t>
        </is>
      </c>
      <c r="I71" s="24" t="n">
        <v>1</v>
      </c>
      <c r="J71" s="24" t="n">
        <v>0</v>
      </c>
      <c r="K71" s="24">
        <f>J71*I71</f>
        <v/>
      </c>
      <c r="L71" s="24" t="n">
        <v>86.40000000000001</v>
      </c>
      <c r="M71" s="24" t="n">
        <v>10</v>
      </c>
      <c r="N71" s="23" t="inlineStr">
        <is>
          <t>Boissons alcoolisees (LIQUIDE - TVA 20 %)</t>
        </is>
      </c>
    </row>
    <row r="72" ht="15" customHeight="1" s="19">
      <c r="A72" s="23" t="inlineStr">
        <is>
          <t>2022-2023</t>
        </is>
      </c>
      <c r="B72" s="23" t="inlineStr">
        <is>
          <t>C-1</t>
        </is>
      </c>
      <c r="C72" s="23" t="inlineStr">
        <is>
          <t>2022-08-18</t>
        </is>
      </c>
      <c r="D72" s="23" t="inlineStr">
        <is>
          <t>19:25</t>
        </is>
      </c>
      <c r="E72" s="23" t="inlineStr">
        <is>
          <t>22</t>
        </is>
      </c>
      <c r="F72" s="23" t="inlineStr">
        <is>
          <t>3035</t>
        </is>
      </c>
      <c r="G72" s="23" t="inlineStr">
        <is>
          <t>2005</t>
        </is>
      </c>
      <c r="H72" s="23" t="inlineStr">
        <is>
          <t>pression</t>
        </is>
      </c>
      <c r="I72" s="24" t="n">
        <v>1</v>
      </c>
      <c r="J72" s="24" t="n">
        <v>0</v>
      </c>
      <c r="K72" s="24">
        <f>J72*I72</f>
        <v/>
      </c>
      <c r="L72" s="24" t="n">
        <v>86.40000000000001</v>
      </c>
      <c r="M72" s="24" t="n">
        <v>20</v>
      </c>
      <c r="N72" s="23" t="inlineStr">
        <is>
          <t>Boissons alcoolisees (LIQUIDE - TVA 20 %)</t>
        </is>
      </c>
    </row>
    <row r="73" ht="15" customHeight="1" s="19">
      <c r="A73" s="23" t="inlineStr">
        <is>
          <t>2022-2023</t>
        </is>
      </c>
      <c r="B73" s="23" t="inlineStr">
        <is>
          <t>C-1</t>
        </is>
      </c>
      <c r="C73" s="23" t="inlineStr">
        <is>
          <t>2022-08-20</t>
        </is>
      </c>
      <c r="D73" s="23" t="inlineStr">
        <is>
          <t>19:53</t>
        </is>
      </c>
      <c r="E73" s="23" t="inlineStr">
        <is>
          <t>29</t>
        </is>
      </c>
      <c r="F73" s="23" t="inlineStr">
        <is>
          <t>3037</t>
        </is>
      </c>
      <c r="G73" s="23" t="inlineStr">
        <is>
          <t>0111</t>
        </is>
      </c>
      <c r="H73" s="23" t="inlineStr">
        <is>
          <t>Expresso</t>
        </is>
      </c>
      <c r="I73" s="24" t="n">
        <v>1</v>
      </c>
      <c r="J73" s="24" t="n">
        <v>0</v>
      </c>
      <c r="K73" s="24">
        <f>J73*I73</f>
        <v/>
      </c>
      <c r="L73" s="24" t="n">
        <v>64</v>
      </c>
      <c r="M73" s="24" t="n">
        <v>10</v>
      </c>
      <c r="N73" s="23" t="inlineStr">
        <is>
          <t>Boissons non alcoolisees (LIQUIDE - TVA 10 %)</t>
        </is>
      </c>
    </row>
    <row r="74" ht="15" customHeight="1" s="19">
      <c r="A74" s="23" t="inlineStr">
        <is>
          <t>2022-2023</t>
        </is>
      </c>
      <c r="B74" s="23" t="inlineStr">
        <is>
          <t>C-1</t>
        </is>
      </c>
      <c r="C74" s="23" t="inlineStr">
        <is>
          <t>2022-08-20</t>
        </is>
      </c>
      <c r="D74" s="23" t="inlineStr">
        <is>
          <t>19:52</t>
        </is>
      </c>
      <c r="E74" s="23" t="inlineStr">
        <is>
          <t>28</t>
        </is>
      </c>
      <c r="F74" s="23" t="inlineStr">
        <is>
          <t>3037</t>
        </is>
      </c>
      <c r="G74" s="23" t="inlineStr">
        <is>
          <t>0111</t>
        </is>
      </c>
      <c r="H74" s="23" t="inlineStr">
        <is>
          <t>Expresso</t>
        </is>
      </c>
      <c r="I74" s="24" t="n">
        <v>1</v>
      </c>
      <c r="J74" s="24" t="n">
        <v>0</v>
      </c>
      <c r="K74" s="24">
        <f>J74*I74</f>
        <v/>
      </c>
      <c r="L74" s="24" t="n">
        <v>64</v>
      </c>
      <c r="M74" s="24" t="n">
        <v>10</v>
      </c>
      <c r="N74" s="23" t="inlineStr">
        <is>
          <t>Boissons non alcoolisees (LIQUIDE - TVA 10 %)</t>
        </is>
      </c>
    </row>
    <row r="75" ht="15" customHeight="1" s="19">
      <c r="A75" s="23" t="inlineStr">
        <is>
          <t>2022-2023</t>
        </is>
      </c>
      <c r="B75" s="23" t="inlineStr">
        <is>
          <t>C-1</t>
        </is>
      </c>
      <c r="C75" s="23" t="inlineStr">
        <is>
          <t>2022-08-26</t>
        </is>
      </c>
      <c r="D75" s="23" t="inlineStr">
        <is>
          <t>13:09</t>
        </is>
      </c>
      <c r="E75" s="23" t="inlineStr">
        <is>
          <t>17</t>
        </is>
      </c>
      <c r="F75" s="23" t="inlineStr">
        <is>
          <t>3041</t>
        </is>
      </c>
      <c r="G75" s="23" t="inlineStr">
        <is>
          <t>1917</t>
        </is>
      </c>
      <c r="H75" s="23" t="inlineStr">
        <is>
          <t>POULET JURASSIENNE</t>
        </is>
      </c>
      <c r="I75" s="24" t="n">
        <v>1</v>
      </c>
      <c r="J75" s="24" t="n">
        <v>0</v>
      </c>
      <c r="K75" s="24">
        <f>J75*I75</f>
        <v/>
      </c>
      <c r="L75" s="24" t="n">
        <v>42.1</v>
      </c>
      <c r="M75" s="24" t="n">
        <v>20</v>
      </c>
      <c r="N75" s="23" t="inlineStr">
        <is>
          <t>Restauration (SOLIDE - TVA 10 %)</t>
        </is>
      </c>
    </row>
    <row r="76" ht="15" customHeight="1" s="19">
      <c r="A76" s="23" t="inlineStr">
        <is>
          <t>2022-2023</t>
        </is>
      </c>
      <c r="B76" s="23" t="inlineStr">
        <is>
          <t>C-1</t>
        </is>
      </c>
      <c r="C76" s="23" t="inlineStr">
        <is>
          <t>2022-09-01</t>
        </is>
      </c>
      <c r="D76" s="23" t="inlineStr">
        <is>
          <t>11:45</t>
        </is>
      </c>
      <c r="E76" s="23" t="inlineStr">
        <is>
          <t>4</t>
        </is>
      </c>
      <c r="F76" s="23" t="inlineStr">
        <is>
          <t>3046</t>
        </is>
      </c>
      <c r="G76" s="23" t="inlineStr">
        <is>
          <t>0096</t>
        </is>
      </c>
      <c r="H76" s="23" t="inlineStr">
        <is>
          <t>Perrier 33cl</t>
        </is>
      </c>
      <c r="I76" s="24" t="n">
        <v>1</v>
      </c>
      <c r="J76" s="24" t="n">
        <v>0</v>
      </c>
      <c r="K76" s="24">
        <f>J76*I76</f>
        <v/>
      </c>
      <c r="L76" s="24" t="n">
        <v>41</v>
      </c>
      <c r="M76" s="24" t="n">
        <v>10</v>
      </c>
      <c r="N76" s="23" t="inlineStr">
        <is>
          <t>Boissons non alcoolisees (LIQUIDE - TVA 10 %)</t>
        </is>
      </c>
    </row>
    <row r="77" ht="15" customHeight="1" s="19">
      <c r="A77" s="23" t="inlineStr">
        <is>
          <t>2022-2023</t>
        </is>
      </c>
      <c r="B77" s="23" t="inlineStr">
        <is>
          <t>C-1</t>
        </is>
      </c>
      <c r="C77" s="23" t="inlineStr">
        <is>
          <t>2022-09-11</t>
        </is>
      </c>
      <c r="D77" s="23" t="inlineStr">
        <is>
          <t>12:58</t>
        </is>
      </c>
      <c r="E77" s="23" t="inlineStr">
        <is>
          <t>13</t>
        </is>
      </c>
      <c r="F77" s="23" t="inlineStr">
        <is>
          <t>3054</t>
        </is>
      </c>
      <c r="G77" s="23" t="inlineStr">
        <is>
          <t>1989</t>
        </is>
      </c>
      <c r="H77" s="23" t="inlineStr">
        <is>
          <t>Pinte</t>
        </is>
      </c>
      <c r="I77" s="24" t="n">
        <v>1</v>
      </c>
      <c r="J77" s="24" t="n">
        <v>0</v>
      </c>
      <c r="K77" s="24">
        <f>J77*I77</f>
        <v/>
      </c>
      <c r="L77" s="24" t="n">
        <v>88</v>
      </c>
      <c r="M77" s="24" t="n">
        <v>10</v>
      </c>
      <c r="N77" s="23" t="inlineStr">
        <is>
          <t>Boissons alcoolisees (LIQUIDE - TVA 20 %)</t>
        </is>
      </c>
    </row>
    <row r="78" ht="15" customHeight="1" s="19">
      <c r="A78" s="23" t="inlineStr">
        <is>
          <t>2022-2023</t>
        </is>
      </c>
      <c r="B78" s="23" t="inlineStr">
        <is>
          <t>C-1</t>
        </is>
      </c>
      <c r="C78" s="23" t="inlineStr">
        <is>
          <t>2022-09-11</t>
        </is>
      </c>
      <c r="D78" s="23" t="inlineStr">
        <is>
          <t>12:58</t>
        </is>
      </c>
      <c r="E78" s="23" t="inlineStr">
        <is>
          <t>13</t>
        </is>
      </c>
      <c r="F78" s="23" t="inlineStr">
        <is>
          <t>3054</t>
        </is>
      </c>
      <c r="G78" s="23" t="inlineStr">
        <is>
          <t>0333</t>
        </is>
      </c>
      <c r="H78" s="23" t="inlineStr">
        <is>
          <t>Père Gregoire</t>
        </is>
      </c>
      <c r="I78" s="24" t="n">
        <v>1</v>
      </c>
      <c r="J78" s="24" t="n">
        <v>0</v>
      </c>
      <c r="K78" s="24">
        <f>J78*I78</f>
        <v/>
      </c>
      <c r="L78" s="24" t="n">
        <v>88</v>
      </c>
      <c r="M78" s="24" t="n">
        <v>10</v>
      </c>
      <c r="N78" s="23" t="inlineStr">
        <is>
          <t>Boissons alcoolisees (LIQUIDE - TVA 20 %)</t>
        </is>
      </c>
    </row>
    <row r="79" ht="15" customHeight="1" s="19">
      <c r="A79" s="23" t="inlineStr">
        <is>
          <t>2022-2023</t>
        </is>
      </c>
      <c r="B79" s="23" t="inlineStr">
        <is>
          <t>C-1</t>
        </is>
      </c>
      <c r="C79" s="23" t="inlineStr">
        <is>
          <t>2022-09-21</t>
        </is>
      </c>
      <c r="D79" s="23" t="inlineStr">
        <is>
          <t>19:09</t>
        </is>
      </c>
      <c r="E79" s="23" t="inlineStr">
        <is>
          <t>19</t>
        </is>
      </c>
      <c r="F79" s="23" t="inlineStr">
        <is>
          <t>3060</t>
        </is>
      </c>
      <c r="G79" s="23" t="inlineStr">
        <is>
          <t>0138</t>
        </is>
      </c>
      <c r="H79" s="23" t="inlineStr">
        <is>
          <t>Escargots de Bourgog</t>
        </is>
      </c>
      <c r="I79" s="24" t="n">
        <v>1</v>
      </c>
      <c r="J79" s="24" t="n">
        <v>0</v>
      </c>
      <c r="K79" s="24">
        <f>J79*I79</f>
        <v/>
      </c>
      <c r="L79" s="24" t="n">
        <v>97.59999999999999</v>
      </c>
      <c r="M79" s="24" t="n">
        <v>20</v>
      </c>
      <c r="N79" s="23" t="inlineStr">
        <is>
          <t>Restauration (SOLIDE - TVA 10 %)</t>
        </is>
      </c>
    </row>
    <row r="80" ht="15" customHeight="1" s="19">
      <c r="A80" s="23" t="inlineStr">
        <is>
          <t>2022-2023</t>
        </is>
      </c>
      <c r="B80" s="23" t="inlineStr">
        <is>
          <t>C-1</t>
        </is>
      </c>
      <c r="C80" s="23" t="inlineStr">
        <is>
          <t>2022-09-30</t>
        </is>
      </c>
      <c r="D80" s="23" t="inlineStr">
        <is>
          <t>12:46</t>
        </is>
      </c>
      <c r="E80" s="23" t="inlineStr">
        <is>
          <t>6</t>
        </is>
      </c>
      <c r="F80" s="23" t="inlineStr">
        <is>
          <t>3067</t>
        </is>
      </c>
      <c r="G80" s="23" t="inlineStr">
        <is>
          <t>0013</t>
        </is>
      </c>
      <c r="H80" s="23" t="inlineStr">
        <is>
          <t>Kir Bourgogne</t>
        </is>
      </c>
      <c r="I80" s="24" t="n">
        <v>1</v>
      </c>
      <c r="J80" s="24" t="n">
        <v>0</v>
      </c>
      <c r="K80" s="24">
        <f>J80*I80</f>
        <v/>
      </c>
      <c r="L80" s="24" t="n">
        <v>34</v>
      </c>
      <c r="M80" s="24" t="n">
        <v>10</v>
      </c>
      <c r="N80" s="23" t="inlineStr">
        <is>
          <t>Boissons alcoolisees (LIQUIDE - TVA 20 %)</t>
        </is>
      </c>
    </row>
    <row r="81" ht="15" customHeight="1" s="19">
      <c r="A81" s="23" t="inlineStr">
        <is>
          <t>2022-2023</t>
        </is>
      </c>
      <c r="B81" s="23" t="inlineStr">
        <is>
          <t>C-1</t>
        </is>
      </c>
      <c r="C81" s="23" t="inlineStr">
        <is>
          <t>2022-09-30</t>
        </is>
      </c>
      <c r="D81" s="23" t="inlineStr">
        <is>
          <t>12:46</t>
        </is>
      </c>
      <c r="E81" s="23" t="inlineStr">
        <is>
          <t>6</t>
        </is>
      </c>
      <c r="F81" s="23" t="inlineStr">
        <is>
          <t>3067</t>
        </is>
      </c>
      <c r="G81" s="23" t="inlineStr">
        <is>
          <t>0352</t>
        </is>
      </c>
      <c r="H81" s="23" t="inlineStr">
        <is>
          <t>Sirop à l'eau</t>
        </is>
      </c>
      <c r="I81" s="24" t="n">
        <v>1</v>
      </c>
      <c r="J81" s="24" t="n">
        <v>0</v>
      </c>
      <c r="K81" s="24">
        <f>J81*I81</f>
        <v/>
      </c>
      <c r="L81" s="24" t="n">
        <v>34</v>
      </c>
      <c r="M81" s="24" t="n">
        <v>20</v>
      </c>
      <c r="N81" s="23" t="inlineStr">
        <is>
          <t>Boissons non alcoolisees (LIQUIDE - TVA 10 %)</t>
        </is>
      </c>
    </row>
    <row r="82" ht="15" customHeight="1" s="19">
      <c r="A82" s="23" t="inlineStr">
        <is>
          <t>2022-2023</t>
        </is>
      </c>
      <c r="B82" s="23" t="inlineStr">
        <is>
          <t>C-1</t>
        </is>
      </c>
      <c r="C82" s="23" t="inlineStr">
        <is>
          <t>2022-10-01</t>
        </is>
      </c>
      <c r="D82" s="23" t="inlineStr">
        <is>
          <t>12:26</t>
        </is>
      </c>
      <c r="E82" s="23" t="inlineStr">
        <is>
          <t>7</t>
        </is>
      </c>
      <c r="F82" s="23" t="inlineStr">
        <is>
          <t>3068</t>
        </is>
      </c>
      <c r="G82" s="23" t="inlineStr">
        <is>
          <t>0111</t>
        </is>
      </c>
      <c r="H82" s="23" t="inlineStr">
        <is>
          <t>Expresso</t>
        </is>
      </c>
      <c r="I82" s="24" t="n">
        <v>2</v>
      </c>
      <c r="J82" s="24" t="n">
        <v>0</v>
      </c>
      <c r="K82" s="24">
        <f>J82*I82</f>
        <v/>
      </c>
      <c r="L82" s="24" t="n">
        <v>102.5</v>
      </c>
      <c r="M82" s="24" t="n">
        <v>20</v>
      </c>
      <c r="N82" s="23" t="inlineStr">
        <is>
          <t>Boissons non alcoolisees (LIQUIDE - TVA 10 %)</t>
        </is>
      </c>
    </row>
    <row r="83" ht="15" customHeight="1" s="19">
      <c r="A83" s="23" t="inlineStr">
        <is>
          <t>2022-2023</t>
        </is>
      </c>
      <c r="B83" s="23" t="inlineStr">
        <is>
          <t>C-1</t>
        </is>
      </c>
      <c r="C83" s="23" t="inlineStr">
        <is>
          <t>2022-10-01</t>
        </is>
      </c>
      <c r="D83" s="23" t="inlineStr">
        <is>
          <t>19:11</t>
        </is>
      </c>
      <c r="E83" s="23" t="inlineStr">
        <is>
          <t>20</t>
        </is>
      </c>
      <c r="F83" s="23" t="inlineStr">
        <is>
          <t>3068</t>
        </is>
      </c>
      <c r="G83" s="23" t="inlineStr">
        <is>
          <t>0006</t>
        </is>
      </c>
      <c r="H83" s="23" t="inlineStr">
        <is>
          <t>Ricard</t>
        </is>
      </c>
      <c r="I83" s="24" t="n">
        <v>1</v>
      </c>
      <c r="J83" s="24" t="n">
        <v>0</v>
      </c>
      <c r="K83" s="24">
        <f>J83*I83</f>
        <v/>
      </c>
      <c r="L83" s="24" t="n">
        <v>71.2</v>
      </c>
      <c r="M83" s="24" t="n">
        <v>10</v>
      </c>
      <c r="N83" s="23" t="inlineStr">
        <is>
          <t>Boissons alcoolisees (LIQUIDE - TVA 20 %)</t>
        </is>
      </c>
    </row>
    <row r="84" ht="15" customHeight="1" s="19">
      <c r="A84" s="23" t="inlineStr">
        <is>
          <t>2022-2023</t>
        </is>
      </c>
      <c r="B84" s="23" t="inlineStr">
        <is>
          <t>C-1</t>
        </is>
      </c>
      <c r="C84" s="23" t="inlineStr">
        <is>
          <t>2022-10-01</t>
        </is>
      </c>
      <c r="D84" s="23" t="inlineStr">
        <is>
          <t>19:11</t>
        </is>
      </c>
      <c r="E84" s="23" t="inlineStr">
        <is>
          <t>20</t>
        </is>
      </c>
      <c r="F84" s="23" t="inlineStr">
        <is>
          <t>3068</t>
        </is>
      </c>
      <c r="G84" s="23" t="inlineStr">
        <is>
          <t>0013</t>
        </is>
      </c>
      <c r="H84" s="23" t="inlineStr">
        <is>
          <t>Kir Bourgogne</t>
        </is>
      </c>
      <c r="I84" s="24" t="n">
        <v>1</v>
      </c>
      <c r="J84" s="24" t="n">
        <v>0</v>
      </c>
      <c r="K84" s="24">
        <f>J84*I84</f>
        <v/>
      </c>
      <c r="L84" s="24" t="n">
        <v>71.2</v>
      </c>
      <c r="M84" s="24" t="n">
        <v>20</v>
      </c>
      <c r="N84" s="23" t="inlineStr">
        <is>
          <t>Boissons alcoolisees (LIQUIDE - TVA 20 %)</t>
        </is>
      </c>
    </row>
    <row r="85" ht="15" customHeight="1" s="19">
      <c r="A85" s="23" t="inlineStr">
        <is>
          <t>2022-2023</t>
        </is>
      </c>
      <c r="B85" s="23" t="inlineStr">
        <is>
          <t>C-1</t>
        </is>
      </c>
      <c r="C85" s="23" t="inlineStr">
        <is>
          <t>2022-10-02</t>
        </is>
      </c>
      <c r="D85" s="23" t="inlineStr">
        <is>
          <t>18:32</t>
        </is>
      </c>
      <c r="E85" s="23" t="inlineStr">
        <is>
          <t>16</t>
        </is>
      </c>
      <c r="F85" s="23" t="inlineStr">
        <is>
          <t>3069</t>
        </is>
      </c>
      <c r="G85" s="23" t="inlineStr">
        <is>
          <t>1985</t>
        </is>
      </c>
      <c r="H85" s="23" t="inlineStr">
        <is>
          <t>CREME BRULEE</t>
        </is>
      </c>
      <c r="I85" s="24" t="n">
        <v>1</v>
      </c>
      <c r="J85" s="24" t="n">
        <v>0</v>
      </c>
      <c r="K85" s="24">
        <f>J85*I85</f>
        <v/>
      </c>
      <c r="L85" s="24" t="n">
        <v>121.8</v>
      </c>
      <c r="M85" s="24" t="n">
        <v>20</v>
      </c>
      <c r="N85" s="23" t="inlineStr">
        <is>
          <t>Restauration (SOLIDE - TVA 10 %)</t>
        </is>
      </c>
    </row>
    <row r="86" ht="15" customHeight="1" s="19">
      <c r="A86" s="23" t="inlineStr">
        <is>
          <t>2022-2023</t>
        </is>
      </c>
      <c r="B86" s="23" t="inlineStr">
        <is>
          <t>C-1</t>
        </is>
      </c>
      <c r="C86" s="23" t="inlineStr">
        <is>
          <t>2022-10-02</t>
        </is>
      </c>
      <c r="D86" s="23" t="inlineStr">
        <is>
          <t>18:32</t>
        </is>
      </c>
      <c r="E86" s="23" t="inlineStr">
        <is>
          <t>16</t>
        </is>
      </c>
      <c r="F86" s="23" t="inlineStr">
        <is>
          <t>3069</t>
        </is>
      </c>
      <c r="G86" s="23" t="inlineStr">
        <is>
          <t>2064</t>
        </is>
      </c>
      <c r="H86" s="23" t="inlineStr">
        <is>
          <t>Pavlova</t>
        </is>
      </c>
      <c r="I86" s="24" t="n">
        <v>1</v>
      </c>
      <c r="J86" s="24" t="n">
        <v>0</v>
      </c>
      <c r="K86" s="24">
        <f>J86*I86</f>
        <v/>
      </c>
      <c r="L86" s="24" t="n">
        <v>121.8</v>
      </c>
      <c r="M86" s="24" t="n">
        <v>10</v>
      </c>
      <c r="N86" s="23" t="inlineStr">
        <is>
          <t>Restauration (SOLIDE - TVA 10 %)</t>
        </is>
      </c>
    </row>
    <row r="87" ht="15" customHeight="1" s="19">
      <c r="A87" s="23" t="inlineStr">
        <is>
          <t>2022-2023</t>
        </is>
      </c>
      <c r="B87" s="23" t="inlineStr">
        <is>
          <t>C-1</t>
        </is>
      </c>
      <c r="C87" s="23" t="inlineStr">
        <is>
          <t>2022-10-02</t>
        </is>
      </c>
      <c r="D87" s="23" t="inlineStr">
        <is>
          <t>18:32</t>
        </is>
      </c>
      <c r="E87" s="23" t="inlineStr">
        <is>
          <t>16</t>
        </is>
      </c>
      <c r="F87" s="23" t="inlineStr">
        <is>
          <t>3069</t>
        </is>
      </c>
      <c r="G87" s="23" t="inlineStr">
        <is>
          <t>0111</t>
        </is>
      </c>
      <c r="H87" s="23" t="inlineStr">
        <is>
          <t>Expresso</t>
        </is>
      </c>
      <c r="I87" s="24" t="n">
        <v>1</v>
      </c>
      <c r="J87" s="24" t="n">
        <v>0</v>
      </c>
      <c r="K87" s="24">
        <f>J87*I87</f>
        <v/>
      </c>
      <c r="L87" s="24" t="n">
        <v>121.8</v>
      </c>
      <c r="M87" s="24" t="n">
        <v>10</v>
      </c>
      <c r="N87" s="23" t="inlineStr">
        <is>
          <t>Boissons non alcoolisees (LIQUIDE - TVA 10 %)</t>
        </is>
      </c>
    </row>
    <row r="88" ht="15" customHeight="1" s="19">
      <c r="A88" s="23" t="inlineStr">
        <is>
          <t>2022-2023</t>
        </is>
      </c>
      <c r="B88" s="23" t="inlineStr">
        <is>
          <t>C-1</t>
        </is>
      </c>
      <c r="C88" s="23" t="inlineStr">
        <is>
          <t>2022-10-26</t>
        </is>
      </c>
      <c r="D88" s="23" t="inlineStr">
        <is>
          <t>19:37</t>
        </is>
      </c>
      <c r="E88" s="23" t="inlineStr">
        <is>
          <t>27</t>
        </is>
      </c>
      <c r="F88" s="23" t="inlineStr">
        <is>
          <t>3085</t>
        </is>
      </c>
      <c r="G88" s="23" t="inlineStr">
        <is>
          <t>0108</t>
        </is>
      </c>
      <c r="H88" s="23" t="inlineStr">
        <is>
          <t>Limonade (25cl)</t>
        </is>
      </c>
      <c r="I88" s="24" t="n">
        <v>1</v>
      </c>
      <c r="J88" s="24" t="n">
        <v>0</v>
      </c>
      <c r="K88" s="24">
        <f>J88*I88</f>
        <v/>
      </c>
      <c r="L88" s="24" t="n">
        <v>63.4</v>
      </c>
      <c r="M88" s="24" t="n">
        <v>20</v>
      </c>
      <c r="N88" s="23" t="inlineStr">
        <is>
          <t>Boissons non alcoolisees (LIQUIDE - TVA 10 %)</t>
        </is>
      </c>
    </row>
    <row r="89" ht="15" customHeight="1" s="19">
      <c r="A89" s="23" t="inlineStr">
        <is>
          <t>2022-2023</t>
        </is>
      </c>
      <c r="B89" s="23" t="inlineStr">
        <is>
          <t>C-1</t>
        </is>
      </c>
      <c r="C89" s="23" t="inlineStr">
        <is>
          <t>2022-10-26</t>
        </is>
      </c>
      <c r="D89" s="23" t="inlineStr">
        <is>
          <t>19:37</t>
        </is>
      </c>
      <c r="E89" s="23" t="inlineStr">
        <is>
          <t>27</t>
        </is>
      </c>
      <c r="F89" s="23" t="inlineStr">
        <is>
          <t>3085</t>
        </is>
      </c>
      <c r="G89" s="23" t="inlineStr">
        <is>
          <t>2121</t>
        </is>
      </c>
      <c r="H89" s="23" t="inlineStr">
        <is>
          <t>Pichet 50cl vin</t>
        </is>
      </c>
      <c r="I89" s="24" t="n">
        <v>1</v>
      </c>
      <c r="J89" s="24" t="n">
        <v>0</v>
      </c>
      <c r="K89" s="24">
        <f>J89*I89</f>
        <v/>
      </c>
      <c r="L89" s="24" t="n">
        <v>63.4</v>
      </c>
      <c r="M89" s="24" t="n">
        <v>10</v>
      </c>
      <c r="N89" s="23" t="inlineStr">
        <is>
          <t>Boissons alcoolisees (LIQUIDE - TVA 20 %)</t>
        </is>
      </c>
    </row>
    <row r="90" ht="15" customHeight="1" s="19">
      <c r="A90" s="23" t="inlineStr">
        <is>
          <t>2022-2023</t>
        </is>
      </c>
      <c r="B90" s="23" t="inlineStr">
        <is>
          <t>C-1</t>
        </is>
      </c>
      <c r="C90" s="23" t="inlineStr">
        <is>
          <t>2022-10-28</t>
        </is>
      </c>
      <c r="D90" s="23" t="inlineStr">
        <is>
          <t>19:16</t>
        </is>
      </c>
      <c r="E90" s="23" t="inlineStr">
        <is>
          <t>20</t>
        </is>
      </c>
      <c r="F90" s="23" t="inlineStr">
        <is>
          <t>3087</t>
        </is>
      </c>
      <c r="G90" s="23" t="inlineStr">
        <is>
          <t>0357</t>
        </is>
      </c>
      <c r="H90" s="23" t="inlineStr">
        <is>
          <t>La Vouivre</t>
        </is>
      </c>
      <c r="I90" s="24" t="n">
        <v>1</v>
      </c>
      <c r="J90" s="24" t="n">
        <v>0</v>
      </c>
      <c r="K90" s="24">
        <f>J90*I90</f>
        <v/>
      </c>
      <c r="L90" s="24" t="n">
        <v>53.4</v>
      </c>
      <c r="M90" s="24" t="n">
        <v>10</v>
      </c>
      <c r="N90" s="23" t="inlineStr">
        <is>
          <t>Boissons alcoolisees (LIQUIDE - TVA 20 %)</t>
        </is>
      </c>
    </row>
    <row r="91" ht="15" customHeight="1" s="19">
      <c r="A91" s="23" t="inlineStr">
        <is>
          <t>2022-2023</t>
        </is>
      </c>
      <c r="B91" s="23" t="inlineStr">
        <is>
          <t>C-1</t>
        </is>
      </c>
      <c r="C91" s="23" t="inlineStr">
        <is>
          <t>2022-10-28</t>
        </is>
      </c>
      <c r="D91" s="23" t="inlineStr">
        <is>
          <t>19:16</t>
        </is>
      </c>
      <c r="E91" s="23" t="inlineStr">
        <is>
          <t>20</t>
        </is>
      </c>
      <c r="F91" s="23" t="inlineStr">
        <is>
          <t>3087</t>
        </is>
      </c>
      <c r="G91" s="23" t="inlineStr">
        <is>
          <t>0001</t>
        </is>
      </c>
      <c r="H91" s="23" t="inlineStr">
        <is>
          <t>KITTYKIR</t>
        </is>
      </c>
      <c r="I91" s="24" t="n">
        <v>1</v>
      </c>
      <c r="J91" s="24" t="n">
        <v>0</v>
      </c>
      <c r="K91" s="24">
        <f>J91*I91</f>
        <v/>
      </c>
      <c r="L91" s="24" t="n">
        <v>53.4</v>
      </c>
      <c r="M91" s="24" t="n">
        <v>20</v>
      </c>
      <c r="N91" s="23" t="inlineStr">
        <is>
          <t>Boissons alcoolisees (LIQUIDE - TVA 20 %)</t>
        </is>
      </c>
    </row>
    <row r="92" ht="15" customHeight="1" s="19">
      <c r="A92" s="23" t="inlineStr">
        <is>
          <t>2022-2023</t>
        </is>
      </c>
      <c r="B92" s="23" t="inlineStr">
        <is>
          <t>C-1</t>
        </is>
      </c>
      <c r="C92" s="23" t="inlineStr">
        <is>
          <t>2022-10-28</t>
        </is>
      </c>
      <c r="D92" s="23" t="inlineStr">
        <is>
          <t>20:41</t>
        </is>
      </c>
      <c r="E92" s="23" t="inlineStr">
        <is>
          <t>32</t>
        </is>
      </c>
      <c r="F92" s="23" t="inlineStr">
        <is>
          <t>3087</t>
        </is>
      </c>
      <c r="G92" s="23" t="inlineStr">
        <is>
          <t>2025</t>
        </is>
      </c>
      <c r="H92" s="23" t="inlineStr">
        <is>
          <t>H.C.B BEAUNE BTL</t>
        </is>
      </c>
      <c r="I92" s="24" t="n">
        <v>1</v>
      </c>
      <c r="J92" s="24" t="n">
        <v>0</v>
      </c>
      <c r="K92" s="24">
        <f>J92*I92</f>
        <v/>
      </c>
      <c r="L92" s="24" t="n">
        <v>18.6</v>
      </c>
      <c r="M92" s="24" t="n">
        <v>10</v>
      </c>
      <c r="N92" s="23" t="inlineStr">
        <is>
          <t>Boissons alcoolisees (LIQUIDE - TVA 20 %)</t>
        </is>
      </c>
    </row>
    <row r="93" ht="15" customHeight="1" s="19">
      <c r="A93" s="23" t="inlineStr">
        <is>
          <t>2022-2023</t>
        </is>
      </c>
      <c r="B93" s="23" t="inlineStr">
        <is>
          <t>C-1</t>
        </is>
      </c>
      <c r="C93" s="23" t="inlineStr">
        <is>
          <t>2022-10-28</t>
        </is>
      </c>
      <c r="D93" s="23" t="inlineStr">
        <is>
          <t>20:41</t>
        </is>
      </c>
      <c r="E93" s="23" t="inlineStr">
        <is>
          <t>32</t>
        </is>
      </c>
      <c r="F93" s="23" t="inlineStr">
        <is>
          <t>3087</t>
        </is>
      </c>
      <c r="G93" s="23" t="inlineStr">
        <is>
          <t>0137</t>
        </is>
      </c>
      <c r="H93" s="23" t="inlineStr">
        <is>
          <t>Croûtes Morilles</t>
        </is>
      </c>
      <c r="I93" s="24" t="n">
        <v>1</v>
      </c>
      <c r="J93" s="24" t="n">
        <v>0</v>
      </c>
      <c r="K93" s="24">
        <f>J93*I93</f>
        <v/>
      </c>
      <c r="L93" s="24" t="n">
        <v>18.6</v>
      </c>
      <c r="M93" s="24" t="n">
        <v>20</v>
      </c>
      <c r="N93" s="23" t="inlineStr">
        <is>
          <t>Restauration (SOLIDE - TVA 10 %)</t>
        </is>
      </c>
    </row>
    <row r="94" ht="15" customHeight="1" s="19">
      <c r="A94" s="23" t="inlineStr">
        <is>
          <t>2022-2023</t>
        </is>
      </c>
      <c r="B94" s="23" t="inlineStr">
        <is>
          <t>C-1</t>
        </is>
      </c>
      <c r="C94" s="23" t="inlineStr">
        <is>
          <t>2022-10-28</t>
        </is>
      </c>
      <c r="D94" s="23" t="inlineStr">
        <is>
          <t>20:41</t>
        </is>
      </c>
      <c r="E94" s="23" t="inlineStr">
        <is>
          <t>32</t>
        </is>
      </c>
      <c r="F94" s="23" t="inlineStr">
        <is>
          <t>3087</t>
        </is>
      </c>
      <c r="G94" s="23" t="inlineStr">
        <is>
          <t>1916</t>
        </is>
      </c>
      <c r="H94" s="23" t="inlineStr">
        <is>
          <t>BURGER COMTOIS</t>
        </is>
      </c>
      <c r="I94" s="24" t="n">
        <v>1</v>
      </c>
      <c r="J94" s="24" t="n">
        <v>0</v>
      </c>
      <c r="K94" s="24">
        <f>J94*I94</f>
        <v/>
      </c>
      <c r="L94" s="24" t="n">
        <v>18.6</v>
      </c>
      <c r="M94" s="24" t="n">
        <v>10</v>
      </c>
      <c r="N94" s="23" t="inlineStr">
        <is>
          <t>Restauration (SOLIDE - TVA 10 %)</t>
        </is>
      </c>
    </row>
    <row r="95" ht="15" customHeight="1" s="19">
      <c r="A95" s="23" t="inlineStr">
        <is>
          <t>2022-2023</t>
        </is>
      </c>
      <c r="B95" s="23" t="inlineStr">
        <is>
          <t>C-1</t>
        </is>
      </c>
      <c r="C95" s="23" t="inlineStr">
        <is>
          <t>2022-10-29</t>
        </is>
      </c>
      <c r="D95" s="23" t="inlineStr">
        <is>
          <t>11:55</t>
        </is>
      </c>
      <c r="E95" s="23" t="inlineStr">
        <is>
          <t>4</t>
        </is>
      </c>
      <c r="F95" s="23" t="inlineStr">
        <is>
          <t>3088</t>
        </is>
      </c>
      <c r="G95" s="23" t="inlineStr">
        <is>
          <t>1995</t>
        </is>
      </c>
      <c r="H95" s="23" t="inlineStr">
        <is>
          <t>Chat perché</t>
        </is>
      </c>
      <c r="I95" s="24" t="n">
        <v>2</v>
      </c>
      <c r="J95" s="24" t="n">
        <v>0</v>
      </c>
      <c r="K95" s="24">
        <f>J95*I95</f>
        <v/>
      </c>
      <c r="L95" s="24" t="n">
        <v>44.7</v>
      </c>
      <c r="M95" s="24" t="n">
        <v>10</v>
      </c>
      <c r="N95" s="23" t="inlineStr">
        <is>
          <t>Boissons alcoolisees (LIQUIDE - TVA 20 %)</t>
        </is>
      </c>
    </row>
    <row r="96" ht="15" customHeight="1" s="19">
      <c r="A96" s="23" t="inlineStr">
        <is>
          <t>2022-2023</t>
        </is>
      </c>
      <c r="B96" s="23" t="inlineStr">
        <is>
          <t>C-1</t>
        </is>
      </c>
      <c r="C96" s="23" t="inlineStr">
        <is>
          <t>2022-10-29</t>
        </is>
      </c>
      <c r="D96" s="23" t="inlineStr">
        <is>
          <t>11:55</t>
        </is>
      </c>
      <c r="E96" s="23" t="inlineStr">
        <is>
          <t>4</t>
        </is>
      </c>
      <c r="F96" s="23" t="inlineStr">
        <is>
          <t>3088</t>
        </is>
      </c>
      <c r="G96" s="23" t="inlineStr">
        <is>
          <t>0333</t>
        </is>
      </c>
      <c r="H96" s="23" t="inlineStr">
        <is>
          <t>Père Gregoire</t>
        </is>
      </c>
      <c r="I96" s="24" t="n">
        <v>1</v>
      </c>
      <c r="J96" s="24" t="n">
        <v>0</v>
      </c>
      <c r="K96" s="24">
        <f>J96*I96</f>
        <v/>
      </c>
      <c r="L96" s="24" t="n">
        <v>44.7</v>
      </c>
      <c r="M96" s="24" t="n">
        <v>20</v>
      </c>
      <c r="N96" s="23" t="inlineStr">
        <is>
          <t>Boissons alcoolisees (LIQUIDE - TVA 20 %)</t>
        </is>
      </c>
    </row>
    <row r="97" ht="15" customHeight="1" s="19">
      <c r="A97" s="23" t="inlineStr">
        <is>
          <t>2022-2023</t>
        </is>
      </c>
      <c r="B97" s="23" t="inlineStr">
        <is>
          <t>C-1</t>
        </is>
      </c>
      <c r="C97" s="23" t="inlineStr">
        <is>
          <t>2022-11-03</t>
        </is>
      </c>
      <c r="D97" s="23" t="inlineStr">
        <is>
          <t>12:13</t>
        </is>
      </c>
      <c r="E97" s="23" t="inlineStr">
        <is>
          <t>4</t>
        </is>
      </c>
      <c r="F97" s="23" t="inlineStr">
        <is>
          <t>3091</t>
        </is>
      </c>
      <c r="G97" s="23" t="inlineStr">
        <is>
          <t>0333</t>
        </is>
      </c>
      <c r="H97" s="23" t="inlineStr">
        <is>
          <t>Père Gregoire</t>
        </is>
      </c>
      <c r="I97" s="24" t="n">
        <v>2</v>
      </c>
      <c r="J97" s="24" t="n">
        <v>0</v>
      </c>
      <c r="K97" s="24">
        <f>J97*I97</f>
        <v/>
      </c>
      <c r="L97" s="24" t="n">
        <v>48.1</v>
      </c>
      <c r="M97" s="24" t="n">
        <v>10</v>
      </c>
      <c r="N97" s="23" t="inlineStr">
        <is>
          <t>Boissons alcoolisees (LIQUIDE - TVA 20 %)</t>
        </is>
      </c>
    </row>
    <row r="98" ht="15" customHeight="1" s="19">
      <c r="A98" s="23" t="inlineStr">
        <is>
          <t>2022-2023</t>
        </is>
      </c>
      <c r="B98" s="23" t="inlineStr">
        <is>
          <t>C-1</t>
        </is>
      </c>
      <c r="C98" s="23" t="inlineStr">
        <is>
          <t>2022-11-03</t>
        </is>
      </c>
      <c r="D98" s="23" t="inlineStr">
        <is>
          <t>12:13</t>
        </is>
      </c>
      <c r="E98" s="23" t="inlineStr">
        <is>
          <t>4</t>
        </is>
      </c>
      <c r="F98" s="23" t="inlineStr">
        <is>
          <t>3091</t>
        </is>
      </c>
      <c r="G98" s="23" t="inlineStr">
        <is>
          <t>2005</t>
        </is>
      </c>
      <c r="H98" s="23" t="inlineStr">
        <is>
          <t>pression</t>
        </is>
      </c>
      <c r="I98" s="24" t="n">
        <v>1</v>
      </c>
      <c r="J98" s="24" t="n">
        <v>0</v>
      </c>
      <c r="K98" s="24">
        <f>J98*I98</f>
        <v/>
      </c>
      <c r="L98" s="24" t="n">
        <v>48.1</v>
      </c>
      <c r="M98" s="24" t="n">
        <v>20</v>
      </c>
      <c r="N98" s="23" t="inlineStr">
        <is>
          <t>Boissons alcoolisees (LIQUIDE - TVA 20 %)</t>
        </is>
      </c>
    </row>
    <row r="99" ht="15" customHeight="1" s="19">
      <c r="A99" s="23" t="inlineStr">
        <is>
          <t>2022-2023</t>
        </is>
      </c>
      <c r="B99" s="23" t="inlineStr">
        <is>
          <t>C-1</t>
        </is>
      </c>
      <c r="C99" s="23" t="inlineStr">
        <is>
          <t>2022-11-04</t>
        </is>
      </c>
      <c r="D99" s="23" t="inlineStr">
        <is>
          <t>20:08</t>
        </is>
      </c>
      <c r="E99" s="23" t="inlineStr">
        <is>
          <t>18</t>
        </is>
      </c>
      <c r="F99" s="23" t="inlineStr">
        <is>
          <t>3092</t>
        </is>
      </c>
      <c r="G99" s="23" t="inlineStr">
        <is>
          <t>0003</t>
        </is>
      </c>
      <c r="H99" s="23" t="inlineStr">
        <is>
          <t>Macvin du Jura</t>
        </is>
      </c>
      <c r="I99" s="24" t="n">
        <v>2</v>
      </c>
      <c r="J99" s="24" t="n">
        <v>0</v>
      </c>
      <c r="K99" s="24">
        <f>J99*I99</f>
        <v/>
      </c>
      <c r="L99" s="24" t="n">
        <v>107.5</v>
      </c>
      <c r="M99" s="24" t="n">
        <v>10</v>
      </c>
      <c r="N99" s="23" t="inlineStr">
        <is>
          <t>Boissons alcoolisees (LIQUIDE - TVA 20 %)</t>
        </is>
      </c>
    </row>
    <row r="100" ht="15" customHeight="1" s="19">
      <c r="A100" s="23" t="inlineStr">
        <is>
          <t>2022-2023</t>
        </is>
      </c>
      <c r="B100" s="23" t="inlineStr">
        <is>
          <t>C-1</t>
        </is>
      </c>
      <c r="C100" s="23" t="inlineStr">
        <is>
          <t>2022-11-11</t>
        </is>
      </c>
      <c r="D100" s="23" t="inlineStr">
        <is>
          <t>20:03</t>
        </is>
      </c>
      <c r="E100" s="23" t="inlineStr">
        <is>
          <t>23</t>
        </is>
      </c>
      <c r="F100" s="23" t="inlineStr">
        <is>
          <t>3097</t>
        </is>
      </c>
      <c r="G100" s="23" t="inlineStr">
        <is>
          <t>1958</t>
        </is>
      </c>
      <c r="H100" s="23" t="inlineStr">
        <is>
          <t>GLACE 2 BOULES</t>
        </is>
      </c>
      <c r="I100" s="24" t="n">
        <v>1</v>
      </c>
      <c r="J100" s="24" t="n">
        <v>0</v>
      </c>
      <c r="K100" s="24">
        <f>J100*I100</f>
        <v/>
      </c>
      <c r="L100" s="24" t="n">
        <v>83.40000000000001</v>
      </c>
      <c r="M100" s="24" t="n">
        <v>20</v>
      </c>
      <c r="N100" s="23" t="inlineStr">
        <is>
          <t>Restauration (SOLIDE - TVA 10 %)</t>
        </is>
      </c>
    </row>
    <row r="101" ht="15" customHeight="1" s="19">
      <c r="A101" s="23" t="inlineStr">
        <is>
          <t>2022-2023</t>
        </is>
      </c>
      <c r="B101" s="23" t="inlineStr">
        <is>
          <t>C-1</t>
        </is>
      </c>
      <c r="C101" s="23" t="inlineStr">
        <is>
          <t>2022-11-11</t>
        </is>
      </c>
      <c r="D101" s="23" t="inlineStr">
        <is>
          <t>20:03</t>
        </is>
      </c>
      <c r="E101" s="23" t="inlineStr">
        <is>
          <t>23</t>
        </is>
      </c>
      <c r="F101" s="23" t="inlineStr">
        <is>
          <t>3097</t>
        </is>
      </c>
      <c r="G101" s="23" t="inlineStr">
        <is>
          <t>2006</t>
        </is>
      </c>
      <c r="H101" s="23" t="inlineStr">
        <is>
          <t>Crepe Chocolat</t>
        </is>
      </c>
      <c r="I101" s="24" t="n">
        <v>1</v>
      </c>
      <c r="J101" s="24" t="n">
        <v>0</v>
      </c>
      <c r="K101" s="24">
        <f>J101*I101</f>
        <v/>
      </c>
      <c r="L101" s="24" t="n">
        <v>83.40000000000001</v>
      </c>
      <c r="M101" s="24" t="n">
        <v>10</v>
      </c>
      <c r="N101" s="23" t="inlineStr">
        <is>
          <t>Restauration (SOLIDE - TVA 10 %)</t>
        </is>
      </c>
    </row>
    <row r="102" ht="15" customHeight="1" s="19">
      <c r="A102" s="23" t="inlineStr">
        <is>
          <t>2022-2023</t>
        </is>
      </c>
      <c r="B102" s="23" t="inlineStr">
        <is>
          <t>C-1</t>
        </is>
      </c>
      <c r="C102" s="23" t="inlineStr">
        <is>
          <t>2022-12-09</t>
        </is>
      </c>
      <c r="D102" s="23" t="inlineStr">
        <is>
          <t>19:04</t>
        </is>
      </c>
      <c r="E102" s="23" t="inlineStr">
        <is>
          <t>5</t>
        </is>
      </c>
      <c r="F102" s="23" t="inlineStr">
        <is>
          <t>3112</t>
        </is>
      </c>
      <c r="G102" s="23" t="inlineStr">
        <is>
          <t>0011</t>
        </is>
      </c>
      <c r="H102" s="23" t="inlineStr">
        <is>
          <t>Martini Blanc</t>
        </is>
      </c>
      <c r="I102" s="24" t="n">
        <v>2</v>
      </c>
      <c r="J102" s="24" t="n">
        <v>0</v>
      </c>
      <c r="K102" s="24">
        <f>J102*I102</f>
        <v/>
      </c>
      <c r="L102" s="24" t="n">
        <v>52.6</v>
      </c>
      <c r="M102" s="24" t="n">
        <v>10</v>
      </c>
      <c r="N102" s="23" t="inlineStr">
        <is>
          <t>Boissons alcoolisees (LIQUIDE - TVA 20 %)</t>
        </is>
      </c>
    </row>
    <row r="103" ht="15" customHeight="1" s="19">
      <c r="A103" s="23" t="inlineStr">
        <is>
          <t>2022-2023</t>
        </is>
      </c>
      <c r="B103" s="23" t="inlineStr">
        <is>
          <t>C-1</t>
        </is>
      </c>
      <c r="C103" s="23" t="inlineStr">
        <is>
          <t>2022-12-10</t>
        </is>
      </c>
      <c r="D103" s="23" t="inlineStr">
        <is>
          <t>12:22</t>
        </is>
      </c>
      <c r="E103" s="23" t="inlineStr">
        <is>
          <t>4</t>
        </is>
      </c>
      <c r="F103" s="23" t="inlineStr">
        <is>
          <t>3113</t>
        </is>
      </c>
      <c r="G103" s="23" t="inlineStr">
        <is>
          <t>0111</t>
        </is>
      </c>
      <c r="H103" s="23" t="inlineStr">
        <is>
          <t>Expresso</t>
        </is>
      </c>
      <c r="I103" s="24" t="n">
        <v>2</v>
      </c>
      <c r="J103" s="24" t="n">
        <v>0</v>
      </c>
      <c r="K103" s="24">
        <f>J103*I103</f>
        <v/>
      </c>
      <c r="L103" s="24" t="n">
        <v>90.8</v>
      </c>
      <c r="M103" s="24" t="n">
        <v>10</v>
      </c>
      <c r="N103" s="23" t="inlineStr">
        <is>
          <t>Boissons non alcoolisees (LIQUIDE - TVA 10 %)</t>
        </is>
      </c>
    </row>
    <row r="104" ht="15" customHeight="1" s="19">
      <c r="A104" s="23" t="inlineStr">
        <is>
          <t>2022-2023</t>
        </is>
      </c>
      <c r="B104" s="23" t="inlineStr">
        <is>
          <t>C-1</t>
        </is>
      </c>
      <c r="C104" s="23" t="inlineStr">
        <is>
          <t>2022-12-17</t>
        </is>
      </c>
      <c r="D104" s="23" t="inlineStr">
        <is>
          <t>20:17</t>
        </is>
      </c>
      <c r="E104" s="23" t="inlineStr">
        <is>
          <t>19</t>
        </is>
      </c>
      <c r="F104" s="23" t="inlineStr">
        <is>
          <t>3118</t>
        </is>
      </c>
      <c r="G104" s="23" t="inlineStr">
        <is>
          <t>1924</t>
        </is>
      </c>
      <c r="H104" s="23" t="inlineStr">
        <is>
          <t>Assortiment charcute</t>
        </is>
      </c>
      <c r="I104" s="24" t="n">
        <v>1</v>
      </c>
      <c r="J104" s="24" t="n">
        <v>0</v>
      </c>
      <c r="K104" s="24">
        <f>J104*I104</f>
        <v/>
      </c>
      <c r="L104" s="24" t="n">
        <v>103.5</v>
      </c>
      <c r="M104" s="24" t="n">
        <v>10</v>
      </c>
      <c r="N104" s="23" t="inlineStr">
        <is>
          <t>Restauration (SOLIDE - TVA 10 %)</t>
        </is>
      </c>
    </row>
    <row r="105" ht="15" customHeight="1" s="19">
      <c r="A105" s="23" t="inlineStr">
        <is>
          <t>2022-2023</t>
        </is>
      </c>
      <c r="B105" s="23" t="inlineStr">
        <is>
          <t>C-1</t>
        </is>
      </c>
      <c r="C105" s="23" t="inlineStr">
        <is>
          <t>2022-12-17</t>
        </is>
      </c>
      <c r="D105" s="23" t="inlineStr">
        <is>
          <t>20:17</t>
        </is>
      </c>
      <c r="E105" s="23" t="inlineStr">
        <is>
          <t>19</t>
        </is>
      </c>
      <c r="F105" s="23" t="inlineStr">
        <is>
          <t>3118</t>
        </is>
      </c>
      <c r="G105" s="23" t="inlineStr">
        <is>
          <t>1925</t>
        </is>
      </c>
      <c r="H105" s="23" t="inlineStr">
        <is>
          <t>Pommes grenailles</t>
        </is>
      </c>
      <c r="I105" s="24" t="n">
        <v>1</v>
      </c>
      <c r="J105" s="24" t="n">
        <v>0</v>
      </c>
      <c r="K105" s="24">
        <f>J105*I105</f>
        <v/>
      </c>
      <c r="L105" s="24" t="n">
        <v>103.5</v>
      </c>
      <c r="M105" s="24" t="n">
        <v>10</v>
      </c>
      <c r="N105" s="23" t="inlineStr">
        <is>
          <t>Restauration (SOLIDE - TVA 10 %)</t>
        </is>
      </c>
    </row>
    <row r="106" ht="15" customHeight="1" s="19">
      <c r="A106" s="23" t="inlineStr">
        <is>
          <t>2022-2023</t>
        </is>
      </c>
      <c r="B106" s="23" t="inlineStr">
        <is>
          <t>C-1</t>
        </is>
      </c>
      <c r="C106" s="23" t="inlineStr">
        <is>
          <t>2022-12-17</t>
        </is>
      </c>
      <c r="D106" s="23" t="inlineStr">
        <is>
          <t>20:49</t>
        </is>
      </c>
      <c r="E106" s="23" t="inlineStr">
        <is>
          <t>24</t>
        </is>
      </c>
      <c r="F106" s="23" t="inlineStr">
        <is>
          <t>3118</t>
        </is>
      </c>
      <c r="G106" s="23" t="inlineStr">
        <is>
          <t>2064</t>
        </is>
      </c>
      <c r="H106" s="23" t="inlineStr">
        <is>
          <t>Pavlova</t>
        </is>
      </c>
      <c r="I106" s="24" t="n">
        <v>1</v>
      </c>
      <c r="J106" s="24" t="n">
        <v>0</v>
      </c>
      <c r="K106" s="24">
        <f>J106*I106</f>
        <v/>
      </c>
      <c r="L106" s="24" t="n">
        <v>186.9</v>
      </c>
      <c r="M106" s="24" t="n">
        <v>10</v>
      </c>
      <c r="N106" s="23" t="inlineStr">
        <is>
          <t>Restauration (SOLIDE - TVA 10 %)</t>
        </is>
      </c>
    </row>
    <row r="107" ht="15" customHeight="1" s="19">
      <c r="A107" s="23" t="inlineStr">
        <is>
          <t>2022-2023</t>
        </is>
      </c>
      <c r="B107" s="23" t="inlineStr">
        <is>
          <t>C-1</t>
        </is>
      </c>
      <c r="C107" s="23" t="inlineStr">
        <is>
          <t>2022-12-28</t>
        </is>
      </c>
      <c r="D107" s="23" t="inlineStr">
        <is>
          <t>20:05</t>
        </is>
      </c>
      <c r="E107" s="23" t="inlineStr">
        <is>
          <t>17</t>
        </is>
      </c>
      <c r="F107" s="23" t="inlineStr">
        <is>
          <t>3123</t>
        </is>
      </c>
      <c r="G107" s="23" t="inlineStr">
        <is>
          <t>1995</t>
        </is>
      </c>
      <c r="H107" s="23" t="inlineStr">
        <is>
          <t>Chat perché</t>
        </is>
      </c>
      <c r="I107" s="24" t="n">
        <v>1</v>
      </c>
      <c r="J107" s="24" t="n">
        <v>0</v>
      </c>
      <c r="K107" s="24">
        <f>J107*I107</f>
        <v/>
      </c>
      <c r="L107" s="24" t="n">
        <v>0</v>
      </c>
      <c r="M107" s="24" t="n">
        <v>20</v>
      </c>
      <c r="N107" s="23" t="inlineStr">
        <is>
          <t>Boissons alcoolisees (LIQUIDE - TVA 20 %)</t>
        </is>
      </c>
    </row>
    <row r="108" ht="15" customHeight="1" s="19">
      <c r="A108" s="23" t="inlineStr">
        <is>
          <t>2022-2023</t>
        </is>
      </c>
      <c r="B108" s="23" t="inlineStr">
        <is>
          <t>C-1</t>
        </is>
      </c>
      <c r="C108" s="23" t="inlineStr">
        <is>
          <t>2022-12-28</t>
        </is>
      </c>
      <c r="D108" s="23" t="inlineStr">
        <is>
          <t>20:05</t>
        </is>
      </c>
      <c r="E108" s="23" t="inlineStr">
        <is>
          <t>17</t>
        </is>
      </c>
      <c r="F108" s="23" t="inlineStr">
        <is>
          <t>3123</t>
        </is>
      </c>
      <c r="G108" s="23" t="inlineStr">
        <is>
          <t>0333</t>
        </is>
      </c>
      <c r="H108" s="23" t="inlineStr">
        <is>
          <t>Père Gregoire</t>
        </is>
      </c>
      <c r="I108" s="24" t="n">
        <v>1</v>
      </c>
      <c r="J108" s="24" t="n">
        <v>0</v>
      </c>
      <c r="K108" s="24">
        <f>J108*I108</f>
        <v/>
      </c>
      <c r="L108" s="24" t="n">
        <v>0</v>
      </c>
      <c r="M108" s="24" t="n">
        <v>20</v>
      </c>
      <c r="N108" s="23" t="inlineStr">
        <is>
          <t>Boissons alcoolisees (LIQUIDE - TVA 20 %)</t>
        </is>
      </c>
    </row>
    <row r="109" ht="15" customHeight="1" s="19">
      <c r="A109" s="23" t="inlineStr">
        <is>
          <t>2022-2023</t>
        </is>
      </c>
      <c r="B109" s="23" t="inlineStr">
        <is>
          <t>C-1</t>
        </is>
      </c>
      <c r="C109" s="23" t="inlineStr">
        <is>
          <t>2022-12-28</t>
        </is>
      </c>
      <c r="D109" s="23" t="inlineStr">
        <is>
          <t>20:05</t>
        </is>
      </c>
      <c r="E109" s="23" t="inlineStr">
        <is>
          <t>17</t>
        </is>
      </c>
      <c r="F109" s="23" t="inlineStr">
        <is>
          <t>3123</t>
        </is>
      </c>
      <c r="G109" s="23" t="inlineStr">
        <is>
          <t>1997</t>
        </is>
      </c>
      <c r="H109" s="23" t="inlineStr">
        <is>
          <t>Luna</t>
        </is>
      </c>
      <c r="I109" s="24" t="n">
        <v>1</v>
      </c>
      <c r="J109" s="24" t="n">
        <v>0</v>
      </c>
      <c r="K109" s="24">
        <f>J109*I109</f>
        <v/>
      </c>
      <c r="L109" s="24" t="n">
        <v>0</v>
      </c>
      <c r="M109" s="24" t="n">
        <v>20</v>
      </c>
      <c r="N109" s="23" t="inlineStr">
        <is>
          <t>Boissons non alcoolisees (LIQUIDE - TVA 10 %)</t>
        </is>
      </c>
    </row>
    <row r="110" ht="15" customHeight="1" s="19">
      <c r="A110" s="23" t="inlineStr">
        <is>
          <t>2022-2023</t>
        </is>
      </c>
      <c r="B110" s="23" t="inlineStr">
        <is>
          <t>C-1</t>
        </is>
      </c>
      <c r="C110" s="23" t="inlineStr">
        <is>
          <t>2022-12-28</t>
        </is>
      </c>
      <c r="D110" s="23" t="inlineStr">
        <is>
          <t>20:05</t>
        </is>
      </c>
      <c r="E110" s="23" t="inlineStr">
        <is>
          <t>17</t>
        </is>
      </c>
      <c r="F110" s="23" t="inlineStr">
        <is>
          <t>3123</t>
        </is>
      </c>
      <c r="G110" s="23" t="inlineStr">
        <is>
          <t>0201</t>
        </is>
      </c>
      <c r="H110" s="23" t="inlineStr">
        <is>
          <t>Menu 'Galette'</t>
        </is>
      </c>
      <c r="I110" s="24" t="n">
        <v>1</v>
      </c>
      <c r="J110" s="24" t="n">
        <v>0</v>
      </c>
      <c r="K110" s="24">
        <f>J110*I110</f>
        <v/>
      </c>
      <c r="L110" s="24" t="n">
        <v>0</v>
      </c>
      <c r="M110" s="24" t="n">
        <v>10</v>
      </c>
      <c r="N110" s="23" t="inlineStr">
        <is>
          <t>Restauration (SOLIDE - TVA 10 %)</t>
        </is>
      </c>
    </row>
    <row r="111" ht="15" customHeight="1" s="19">
      <c r="A111" s="23" t="inlineStr">
        <is>
          <t>2022-2023</t>
        </is>
      </c>
      <c r="B111" s="23" t="inlineStr">
        <is>
          <t>C-1</t>
        </is>
      </c>
      <c r="C111" s="23" t="inlineStr">
        <is>
          <t>2022-12-28</t>
        </is>
      </c>
      <c r="D111" s="23" t="inlineStr">
        <is>
          <t>20:05</t>
        </is>
      </c>
      <c r="E111" s="23" t="inlineStr">
        <is>
          <t>17</t>
        </is>
      </c>
      <c r="F111" s="23" t="inlineStr">
        <is>
          <t>3123</t>
        </is>
      </c>
      <c r="G111" s="23" t="inlineStr">
        <is>
          <t>1932</t>
        </is>
      </c>
      <c r="H111" s="23" t="inlineStr">
        <is>
          <t>DADOULET</t>
        </is>
      </c>
      <c r="I111" s="24" t="n">
        <v>1</v>
      </c>
      <c r="J111" s="24" t="n">
        <v>0</v>
      </c>
      <c r="K111" s="24">
        <f>J111*I111</f>
        <v/>
      </c>
      <c r="L111" s="24" t="n">
        <v>0</v>
      </c>
      <c r="M111" s="24" t="n">
        <v>10</v>
      </c>
      <c r="N111" s="23" t="inlineStr">
        <is>
          <t>Restauration (SOLIDE - TVA 10 %)</t>
        </is>
      </c>
    </row>
    <row r="112" ht="15" customHeight="1" s="19">
      <c r="A112" s="23" t="inlineStr">
        <is>
          <t>2022-2023</t>
        </is>
      </c>
      <c r="B112" s="23" t="inlineStr">
        <is>
          <t>C-1</t>
        </is>
      </c>
      <c r="C112" s="23" t="inlineStr">
        <is>
          <t>2022-12-28</t>
        </is>
      </c>
      <c r="D112" s="23" t="inlineStr">
        <is>
          <t>20:05</t>
        </is>
      </c>
      <c r="E112" s="23" t="inlineStr">
        <is>
          <t>17</t>
        </is>
      </c>
      <c r="F112" s="23" t="inlineStr">
        <is>
          <t>3123</t>
        </is>
      </c>
      <c r="G112" s="23" t="inlineStr">
        <is>
          <t>1937</t>
        </is>
      </c>
      <c r="H112" s="23" t="inlineStr">
        <is>
          <t>LOURNETTE</t>
        </is>
      </c>
      <c r="I112" s="24" t="n">
        <v>1</v>
      </c>
      <c r="J112" s="24" t="n">
        <v>0</v>
      </c>
      <c r="K112" s="24">
        <f>J112*I112</f>
        <v/>
      </c>
      <c r="L112" s="24" t="n">
        <v>0</v>
      </c>
      <c r="M112" s="24" t="n">
        <v>10</v>
      </c>
      <c r="N112" s="23" t="inlineStr">
        <is>
          <t>Restauration (SOLIDE - TVA 10 %)</t>
        </is>
      </c>
    </row>
    <row r="113" ht="15" customHeight="1" s="19">
      <c r="A113" s="23" t="inlineStr">
        <is>
          <t>2022-2023</t>
        </is>
      </c>
      <c r="B113" s="23" t="inlineStr">
        <is>
          <t>C-1</t>
        </is>
      </c>
      <c r="C113" s="23" t="inlineStr">
        <is>
          <t>2022-12-30</t>
        </is>
      </c>
      <c r="D113" s="23" t="inlineStr">
        <is>
          <t>19:09</t>
        </is>
      </c>
      <c r="E113" s="23" t="inlineStr">
        <is>
          <t>9</t>
        </is>
      </c>
      <c r="F113" s="23" t="inlineStr">
        <is>
          <t>3125</t>
        </is>
      </c>
      <c r="G113" s="23" t="inlineStr">
        <is>
          <t>0006</t>
        </is>
      </c>
      <c r="H113" s="23" t="inlineStr">
        <is>
          <t>Ricard</t>
        </is>
      </c>
      <c r="I113" s="24" t="n">
        <v>1</v>
      </c>
      <c r="J113" s="24" t="n">
        <v>0</v>
      </c>
      <c r="K113" s="24">
        <f>J113*I113</f>
        <v/>
      </c>
      <c r="L113" s="24" t="n">
        <v>142.6</v>
      </c>
      <c r="M113" s="24" t="n">
        <v>10</v>
      </c>
      <c r="N113" s="23" t="inlineStr">
        <is>
          <t>Boissons alcoolisees (LIQUIDE - TVA 20 %)</t>
        </is>
      </c>
    </row>
    <row r="114" ht="15" customHeight="1" s="19">
      <c r="A114" s="23" t="inlineStr">
        <is>
          <t>2022-2023</t>
        </is>
      </c>
      <c r="B114" s="23" t="inlineStr">
        <is>
          <t>C-1</t>
        </is>
      </c>
      <c r="C114" s="23" t="inlineStr">
        <is>
          <t>2022-12-30</t>
        </is>
      </c>
      <c r="D114" s="23" t="inlineStr">
        <is>
          <t>19:09</t>
        </is>
      </c>
      <c r="E114" s="23" t="inlineStr">
        <is>
          <t>9</t>
        </is>
      </c>
      <c r="F114" s="23" t="inlineStr">
        <is>
          <t>3125</t>
        </is>
      </c>
      <c r="G114" s="23" t="inlineStr">
        <is>
          <t>0106</t>
        </is>
      </c>
      <c r="H114" s="23" t="inlineStr">
        <is>
          <t>Coca (25cl)</t>
        </is>
      </c>
      <c r="I114" s="24" t="n">
        <v>2</v>
      </c>
      <c r="J114" s="24" t="n">
        <v>0</v>
      </c>
      <c r="K114" s="24">
        <f>J114*I114</f>
        <v/>
      </c>
      <c r="L114" s="24" t="n">
        <v>142.6</v>
      </c>
      <c r="M114" s="24" t="n">
        <v>20</v>
      </c>
      <c r="N114" s="23" t="inlineStr">
        <is>
          <t>Boissons non alcoolisees (LIQUIDE - TVA 10 %)</t>
        </is>
      </c>
    </row>
    <row r="115" ht="15" customHeight="1" s="19">
      <c r="A115" s="23" t="inlineStr">
        <is>
          <t>2022-2023</t>
        </is>
      </c>
      <c r="B115" s="23" t="inlineStr">
        <is>
          <t>C-1</t>
        </is>
      </c>
      <c r="C115" s="23" t="inlineStr">
        <is>
          <t>2022-12-30</t>
        </is>
      </c>
      <c r="D115" s="23" t="inlineStr">
        <is>
          <t>19:09</t>
        </is>
      </c>
      <c r="E115" s="23" t="inlineStr">
        <is>
          <t>9</t>
        </is>
      </c>
      <c r="F115" s="23" t="inlineStr">
        <is>
          <t>3125</t>
        </is>
      </c>
      <c r="G115" s="23" t="inlineStr">
        <is>
          <t>0333</t>
        </is>
      </c>
      <c r="H115" s="23" t="inlineStr">
        <is>
          <t>Père Gregoire</t>
        </is>
      </c>
      <c r="I115" s="24" t="n">
        <v>1</v>
      </c>
      <c r="J115" s="24" t="n">
        <v>0</v>
      </c>
      <c r="K115" s="24">
        <f>J115*I115</f>
        <v/>
      </c>
      <c r="L115" s="24" t="n">
        <v>142.6</v>
      </c>
      <c r="M115" s="24" t="n">
        <v>10</v>
      </c>
      <c r="N115" s="23" t="inlineStr">
        <is>
          <t>Boissons alcoolisees (LIQUIDE - TVA 20 %)</t>
        </is>
      </c>
    </row>
    <row r="116" ht="15" customHeight="1" s="19">
      <c r="A116" s="23" t="inlineStr">
        <is>
          <t>2022-2023</t>
        </is>
      </c>
      <c r="B116" s="23" t="inlineStr">
        <is>
          <t>C-1</t>
        </is>
      </c>
      <c r="C116" s="23" t="inlineStr">
        <is>
          <t>2022-12-30</t>
        </is>
      </c>
      <c r="D116" s="23" t="inlineStr">
        <is>
          <t>19:09</t>
        </is>
      </c>
      <c r="E116" s="23" t="inlineStr">
        <is>
          <t>9</t>
        </is>
      </c>
      <c r="F116" s="23" t="inlineStr">
        <is>
          <t>3125</t>
        </is>
      </c>
      <c r="G116" s="23" t="inlineStr">
        <is>
          <t>0348</t>
        </is>
      </c>
      <c r="H116" s="23" t="inlineStr">
        <is>
          <t>Crémant</t>
        </is>
      </c>
      <c r="I116" s="24" t="n">
        <v>1</v>
      </c>
      <c r="J116" s="24" t="n">
        <v>0</v>
      </c>
      <c r="K116" s="24">
        <f>J116*I116</f>
        <v/>
      </c>
      <c r="L116" s="24" t="n">
        <v>142.6</v>
      </c>
      <c r="M116" s="24" t="n">
        <v>20</v>
      </c>
      <c r="N116" s="23" t="inlineStr">
        <is>
          <t>Boissons alcoolisees (LIQUIDE - TVA 20 %)</t>
        </is>
      </c>
    </row>
    <row r="117" ht="15" customHeight="1" s="19">
      <c r="A117" s="23" t="inlineStr">
        <is>
          <t>2022-2023</t>
        </is>
      </c>
      <c r="B117" s="23" t="inlineStr">
        <is>
          <t>C-1</t>
        </is>
      </c>
      <c r="C117" s="23" t="inlineStr">
        <is>
          <t>2022-12-30</t>
        </is>
      </c>
      <c r="D117" s="23" t="inlineStr">
        <is>
          <t>19:09</t>
        </is>
      </c>
      <c r="E117" s="23" t="inlineStr">
        <is>
          <t>9</t>
        </is>
      </c>
      <c r="F117" s="23" t="inlineStr">
        <is>
          <t>3125</t>
        </is>
      </c>
      <c r="G117" s="23" t="inlineStr">
        <is>
          <t>2005</t>
        </is>
      </c>
      <c r="H117" s="23" t="inlineStr">
        <is>
          <t>pression</t>
        </is>
      </c>
      <c r="I117" s="24" t="n">
        <v>1</v>
      </c>
      <c r="J117" s="24" t="n">
        <v>0</v>
      </c>
      <c r="K117" s="24">
        <f>J117*I117</f>
        <v/>
      </c>
      <c r="L117" s="24" t="n">
        <v>142.6</v>
      </c>
      <c r="M117" s="24" t="n">
        <v>20</v>
      </c>
      <c r="N117" s="23" t="inlineStr">
        <is>
          <t>Boissons alcoolisees (LIQUIDE - TVA 20 %)</t>
        </is>
      </c>
    </row>
    <row r="118" ht="15" customHeight="1" s="19">
      <c r="A118" s="23" t="inlineStr">
        <is>
          <t>2022-2023</t>
        </is>
      </c>
      <c r="B118" s="23" t="inlineStr">
        <is>
          <t>C-1</t>
        </is>
      </c>
      <c r="C118" s="23" t="inlineStr">
        <is>
          <t>2022-12-30</t>
        </is>
      </c>
      <c r="D118" s="23" t="inlineStr">
        <is>
          <t>19:09</t>
        </is>
      </c>
      <c r="E118" s="23" t="inlineStr">
        <is>
          <t>9</t>
        </is>
      </c>
      <c r="F118" s="23" t="inlineStr">
        <is>
          <t>3125</t>
        </is>
      </c>
      <c r="G118" s="23" t="inlineStr">
        <is>
          <t>0353</t>
        </is>
      </c>
      <c r="H118" s="23" t="inlineStr">
        <is>
          <t>Picon bière</t>
        </is>
      </c>
      <c r="I118" s="24" t="n">
        <v>1</v>
      </c>
      <c r="J118" s="24" t="n">
        <v>0</v>
      </c>
      <c r="K118" s="24">
        <f>J118*I118</f>
        <v/>
      </c>
      <c r="L118" s="24" t="n">
        <v>142.6</v>
      </c>
      <c r="M118" s="24" t="n">
        <v>20</v>
      </c>
      <c r="N118" s="23" t="inlineStr">
        <is>
          <t>Boissons alcoolisees (LIQUIDE - TVA 20 %)</t>
        </is>
      </c>
    </row>
    <row r="119" ht="15" customHeight="1" s="19">
      <c r="A119" s="23" t="inlineStr">
        <is>
          <t>2022-2023</t>
        </is>
      </c>
      <c r="B119" s="23" t="inlineStr">
        <is>
          <t>C-1</t>
        </is>
      </c>
      <c r="C119" s="23" t="inlineStr">
        <is>
          <t>2023-03-12</t>
        </is>
      </c>
      <c r="D119" s="23" t="inlineStr">
        <is>
          <t>12:19</t>
        </is>
      </c>
      <c r="E119" s="23" t="inlineStr">
        <is>
          <t>5</t>
        </is>
      </c>
      <c r="F119" s="23" t="inlineStr">
        <is>
          <t>3145</t>
        </is>
      </c>
      <c r="G119" s="23" t="inlineStr">
        <is>
          <t>2037</t>
        </is>
      </c>
      <c r="H119" s="23" t="inlineStr">
        <is>
          <t>Menu Franc-Comtois</t>
        </is>
      </c>
      <c r="I119" s="24" t="n">
        <v>1</v>
      </c>
      <c r="J119" s="24" t="n">
        <v>0</v>
      </c>
      <c r="K119" s="24">
        <f>J119*I119</f>
        <v/>
      </c>
      <c r="L119" s="24" t="n">
        <v>47.6</v>
      </c>
      <c r="M119" s="24" t="n">
        <v>20</v>
      </c>
      <c r="N119" s="23" t="inlineStr">
        <is>
          <t>Restauration (SOLIDE - TVA 10 %)</t>
        </is>
      </c>
    </row>
    <row r="120" ht="15" customHeight="1" s="19">
      <c r="A120" s="23" t="inlineStr">
        <is>
          <t>2022-2023</t>
        </is>
      </c>
      <c r="B120" s="23" t="inlineStr">
        <is>
          <t>C-1</t>
        </is>
      </c>
      <c r="C120" s="23" t="inlineStr">
        <is>
          <t>2023-03-18</t>
        </is>
      </c>
      <c r="D120" s="23" t="inlineStr">
        <is>
          <t>18:56</t>
        </is>
      </c>
      <c r="E120" s="23" t="inlineStr">
        <is>
          <t>7</t>
        </is>
      </c>
      <c r="F120" s="23" t="inlineStr">
        <is>
          <t>3149</t>
        </is>
      </c>
      <c r="G120" s="23" t="inlineStr">
        <is>
          <t>0001</t>
        </is>
      </c>
      <c r="H120" s="23" t="inlineStr">
        <is>
          <t>KITTYKIR</t>
        </is>
      </c>
      <c r="I120" s="24" t="n">
        <v>1</v>
      </c>
      <c r="J120" s="24" t="n">
        <v>0</v>
      </c>
      <c r="K120" s="24">
        <f>J120*I120</f>
        <v/>
      </c>
      <c r="L120" s="24" t="n">
        <v>60.5</v>
      </c>
      <c r="M120" s="24" t="n">
        <v>10</v>
      </c>
      <c r="N120" s="23" t="inlineStr">
        <is>
          <t>Boissons alcoolisees (LIQUIDE - TVA 20 %)</t>
        </is>
      </c>
    </row>
    <row r="121" ht="15" customHeight="1" s="19">
      <c r="A121" s="23" t="inlineStr">
        <is>
          <t>2022-2023</t>
        </is>
      </c>
      <c r="B121" s="23" t="inlineStr">
        <is>
          <t>C-1</t>
        </is>
      </c>
      <c r="C121" s="23" t="inlineStr">
        <is>
          <t>2023-03-18</t>
        </is>
      </c>
      <c r="D121" s="23" t="inlineStr">
        <is>
          <t>18:56</t>
        </is>
      </c>
      <c r="E121" s="23" t="inlineStr">
        <is>
          <t>7</t>
        </is>
      </c>
      <c r="F121" s="23" t="inlineStr">
        <is>
          <t>3149</t>
        </is>
      </c>
      <c r="G121" s="23" t="inlineStr">
        <is>
          <t>2009</t>
        </is>
      </c>
      <c r="H121" s="23" t="inlineStr">
        <is>
          <t>Ambrée</t>
        </is>
      </c>
      <c r="I121" s="24" t="n">
        <v>1</v>
      </c>
      <c r="J121" s="24" t="n">
        <v>0</v>
      </c>
      <c r="K121" s="24">
        <f>J121*I121</f>
        <v/>
      </c>
      <c r="L121" s="24" t="n">
        <v>60.5</v>
      </c>
      <c r="M121" s="24" t="n">
        <v>20</v>
      </c>
      <c r="N121" s="23" t="inlineStr">
        <is>
          <t>Boissons alcoolisees (LIQUIDE - TVA 20 %)</t>
        </is>
      </c>
    </row>
    <row r="122" ht="15" customHeight="1" s="19">
      <c r="A122" s="23" t="inlineStr">
        <is>
          <t>2023-2024</t>
        </is>
      </c>
      <c r="B122" s="23" t="inlineStr">
        <is>
          <t>C-2</t>
        </is>
      </c>
      <c r="C122" s="23" t="inlineStr">
        <is>
          <t>2023-04-01</t>
        </is>
      </c>
      <c r="D122" s="23" t="inlineStr">
        <is>
          <t>19:33</t>
        </is>
      </c>
      <c r="E122" s="23" t="inlineStr">
        <is>
          <t>18</t>
        </is>
      </c>
      <c r="F122" s="23" t="inlineStr">
        <is>
          <t>3159</t>
        </is>
      </c>
      <c r="G122" s="23" t="inlineStr">
        <is>
          <t>0106</t>
        </is>
      </c>
      <c r="H122" s="23" t="inlineStr">
        <is>
          <t>Coca (25cl)</t>
        </is>
      </c>
      <c r="I122" s="24" t="n">
        <v>2</v>
      </c>
      <c r="J122" s="24" t="n">
        <v>0</v>
      </c>
      <c r="K122" s="24">
        <f>J122*I122</f>
        <v/>
      </c>
      <c r="L122" s="24" t="n">
        <v>68</v>
      </c>
      <c r="M122" s="24" t="n">
        <v>10</v>
      </c>
      <c r="N122" s="23" t="inlineStr">
        <is>
          <t>Boissons non alcoolisees (LIQUIDE - TVA 10 %)</t>
        </is>
      </c>
    </row>
    <row r="123" ht="15" customHeight="1" s="19">
      <c r="A123" s="23" t="inlineStr">
        <is>
          <t>2023-2024</t>
        </is>
      </c>
      <c r="B123" s="23" t="inlineStr">
        <is>
          <t>C-2</t>
        </is>
      </c>
      <c r="C123" s="23" t="inlineStr">
        <is>
          <t>2023-04-02</t>
        </is>
      </c>
      <c r="D123" s="23" t="inlineStr">
        <is>
          <t>12:10</t>
        </is>
      </c>
      <c r="E123" s="23" t="inlineStr">
        <is>
          <t>1</t>
        </is>
      </c>
      <c r="F123" s="23" t="inlineStr">
        <is>
          <t>3160</t>
        </is>
      </c>
      <c r="G123" s="23" t="inlineStr">
        <is>
          <t>0007</t>
        </is>
      </c>
      <c r="H123" s="23" t="inlineStr">
        <is>
          <t>Pontarlier</t>
        </is>
      </c>
      <c r="I123" s="24" t="n">
        <v>1</v>
      </c>
      <c r="J123" s="24" t="n">
        <v>0</v>
      </c>
      <c r="K123" s="24">
        <f>J123*I123</f>
        <v/>
      </c>
      <c r="L123" s="24" t="n">
        <v>93.59999999999999</v>
      </c>
      <c r="M123" s="24" t="n">
        <v>20</v>
      </c>
      <c r="N123" s="23" t="inlineStr">
        <is>
          <t>Boissons alcoolisees (LIQUIDE - TVA 20 %)</t>
        </is>
      </c>
    </row>
    <row r="124" ht="15" customHeight="1" s="19">
      <c r="A124" s="23" t="inlineStr">
        <is>
          <t>2023-2024</t>
        </is>
      </c>
      <c r="B124" s="23" t="inlineStr">
        <is>
          <t>C-2</t>
        </is>
      </c>
      <c r="C124" s="23" t="inlineStr">
        <is>
          <t>2023-04-09</t>
        </is>
      </c>
      <c r="D124" s="23" t="inlineStr">
        <is>
          <t>13:46</t>
        </is>
      </c>
      <c r="E124" s="23" t="inlineStr">
        <is>
          <t>7</t>
        </is>
      </c>
      <c r="F124" s="23" t="inlineStr">
        <is>
          <t>3165</t>
        </is>
      </c>
      <c r="G124" s="23" t="inlineStr">
        <is>
          <t>0111</t>
        </is>
      </c>
      <c r="H124" s="23" t="inlineStr">
        <is>
          <t>Expresso</t>
        </is>
      </c>
      <c r="I124" s="24" t="n">
        <v>6</v>
      </c>
      <c r="J124" s="24" t="n">
        <v>0</v>
      </c>
      <c r="K124" s="24">
        <f>J124*I124</f>
        <v/>
      </c>
      <c r="L124" s="24" t="n">
        <v>362.8</v>
      </c>
      <c r="M124" s="24" t="n">
        <v>20</v>
      </c>
      <c r="N124" s="23" t="inlineStr">
        <is>
          <t>Boissons non alcoolisees (LIQUIDE - TVA 10 %)</t>
        </is>
      </c>
    </row>
    <row r="125" ht="15" customHeight="1" s="19">
      <c r="A125" s="23" t="inlineStr">
        <is>
          <t>2023-2024</t>
        </is>
      </c>
      <c r="B125" s="23" t="inlineStr">
        <is>
          <t>C-2</t>
        </is>
      </c>
      <c r="C125" s="23" t="inlineStr">
        <is>
          <t>2023-04-09</t>
        </is>
      </c>
      <c r="D125" s="23" t="inlineStr">
        <is>
          <t>13:46</t>
        </is>
      </c>
      <c r="E125" s="23" t="inlineStr">
        <is>
          <t>7</t>
        </is>
      </c>
      <c r="F125" s="23" t="inlineStr">
        <is>
          <t>3165</t>
        </is>
      </c>
      <c r="G125" s="23" t="inlineStr">
        <is>
          <t>0119</t>
        </is>
      </c>
      <c r="H125" s="23" t="inlineStr">
        <is>
          <t>Thé</t>
        </is>
      </c>
      <c r="I125" s="24" t="n">
        <v>1</v>
      </c>
      <c r="J125" s="24" t="n">
        <v>0</v>
      </c>
      <c r="K125" s="24">
        <f>J125*I125</f>
        <v/>
      </c>
      <c r="L125" s="24" t="n">
        <v>362.8</v>
      </c>
      <c r="M125" s="24" t="n">
        <v>10</v>
      </c>
      <c r="N125" s="23" t="inlineStr">
        <is>
          <t>Boissons non alcoolisees (LIQUIDE - TVA 10 %)</t>
        </is>
      </c>
    </row>
    <row r="126" ht="15" customHeight="1" s="19">
      <c r="A126" s="23" t="inlineStr">
        <is>
          <t>2023-2024</t>
        </is>
      </c>
      <c r="B126" s="23" t="inlineStr">
        <is>
          <t>C-2</t>
        </is>
      </c>
      <c r="C126" s="23" t="inlineStr">
        <is>
          <t>2023-04-09</t>
        </is>
      </c>
      <c r="D126" s="23" t="inlineStr">
        <is>
          <t>13:31</t>
        </is>
      </c>
      <c r="E126" s="23" t="inlineStr">
        <is>
          <t>6</t>
        </is>
      </c>
      <c r="F126" s="23" t="inlineStr">
        <is>
          <t>3165</t>
        </is>
      </c>
      <c r="G126" s="23" t="inlineStr">
        <is>
          <t>0106</t>
        </is>
      </c>
      <c r="H126" s="23" t="inlineStr">
        <is>
          <t>Coca (25cl)</t>
        </is>
      </c>
      <c r="I126" s="24" t="n">
        <v>2</v>
      </c>
      <c r="J126" s="24" t="n">
        <v>0</v>
      </c>
      <c r="K126" s="24">
        <f>J126*I126</f>
        <v/>
      </c>
      <c r="L126" s="24" t="n">
        <v>483.2</v>
      </c>
      <c r="M126" s="24" t="n">
        <v>20</v>
      </c>
      <c r="N126" s="23" t="inlineStr">
        <is>
          <t>Boissons non alcoolisees (LIQUIDE - TVA 10 %)</t>
        </is>
      </c>
    </row>
    <row r="127" ht="15" customHeight="1" s="19">
      <c r="A127" s="23" t="inlineStr">
        <is>
          <t>2023-2024</t>
        </is>
      </c>
      <c r="B127" s="23" t="inlineStr">
        <is>
          <t>C-2</t>
        </is>
      </c>
      <c r="C127" s="23" t="inlineStr">
        <is>
          <t>2023-04-09</t>
        </is>
      </c>
      <c r="D127" s="23" t="inlineStr">
        <is>
          <t>13:31</t>
        </is>
      </c>
      <c r="E127" s="23" t="inlineStr">
        <is>
          <t>6</t>
        </is>
      </c>
      <c r="F127" s="23" t="inlineStr">
        <is>
          <t>3165</t>
        </is>
      </c>
      <c r="G127" s="23" t="inlineStr">
        <is>
          <t>0094</t>
        </is>
      </c>
      <c r="H127" s="23" t="inlineStr">
        <is>
          <t>San Pelegrino</t>
        </is>
      </c>
      <c r="I127" s="24" t="n">
        <v>1</v>
      </c>
      <c r="J127" s="24" t="n">
        <v>0</v>
      </c>
      <c r="K127" s="24">
        <f>J127*I127</f>
        <v/>
      </c>
      <c r="L127" s="24" t="n">
        <v>483.2</v>
      </c>
      <c r="M127" s="24" t="n">
        <v>10</v>
      </c>
      <c r="N127" s="23" t="inlineStr">
        <is>
          <t>Boissons non alcoolisees (LIQUIDE - TVA 10 %)</t>
        </is>
      </c>
    </row>
    <row r="128" ht="15" customHeight="1" s="19">
      <c r="A128" s="23" t="inlineStr">
        <is>
          <t>2023-2024</t>
        </is>
      </c>
      <c r="B128" s="23" t="inlineStr">
        <is>
          <t>C-2</t>
        </is>
      </c>
      <c r="C128" s="23" t="inlineStr">
        <is>
          <t>2023-04-09</t>
        </is>
      </c>
      <c r="D128" s="23" t="inlineStr">
        <is>
          <t>13:31</t>
        </is>
      </c>
      <c r="E128" s="23" t="inlineStr">
        <is>
          <t>6</t>
        </is>
      </c>
      <c r="F128" s="23" t="inlineStr">
        <is>
          <t>3165</t>
        </is>
      </c>
      <c r="G128" s="23" t="inlineStr">
        <is>
          <t>0003</t>
        </is>
      </c>
      <c r="H128" s="23" t="inlineStr">
        <is>
          <t>Macvin du Jura</t>
        </is>
      </c>
      <c r="I128" s="24" t="n">
        <v>3</v>
      </c>
      <c r="J128" s="24" t="n">
        <v>0</v>
      </c>
      <c r="K128" s="24">
        <f>J128*I128</f>
        <v/>
      </c>
      <c r="L128" s="24" t="n">
        <v>483.2</v>
      </c>
      <c r="M128" s="24" t="n">
        <v>10</v>
      </c>
      <c r="N128" s="23" t="inlineStr">
        <is>
          <t>Boissons alcoolisees (LIQUIDE - TVA 20 %)</t>
        </is>
      </c>
    </row>
    <row r="129" ht="15" customHeight="1" s="19">
      <c r="A129" s="23" t="inlineStr">
        <is>
          <t>2023-2024</t>
        </is>
      </c>
      <c r="B129" s="23" t="inlineStr">
        <is>
          <t>C-2</t>
        </is>
      </c>
      <c r="C129" s="23" t="inlineStr">
        <is>
          <t>2023-04-12</t>
        </is>
      </c>
      <c r="D129" s="23" t="inlineStr">
        <is>
          <t>12:21</t>
        </is>
      </c>
      <c r="E129" s="23" t="inlineStr">
        <is>
          <t>6</t>
        </is>
      </c>
      <c r="F129" s="23" t="inlineStr">
        <is>
          <t>3166</t>
        </is>
      </c>
      <c r="G129" s="23" t="inlineStr">
        <is>
          <t>0111</t>
        </is>
      </c>
      <c r="H129" s="23" t="inlineStr">
        <is>
          <t>Expresso</t>
        </is>
      </c>
      <c r="I129" s="24" t="n">
        <v>1.5</v>
      </c>
      <c r="J129" s="24" t="n">
        <v>0</v>
      </c>
      <c r="K129" s="24">
        <f>J129*I129</f>
        <v/>
      </c>
      <c r="L129" s="24" t="n">
        <v>76.84999999999999</v>
      </c>
      <c r="M129" s="24" t="n">
        <v>10</v>
      </c>
      <c r="N129" s="23" t="inlineStr">
        <is>
          <t>Boissons non alcoolisees (LIQUIDE - TVA 10 %)</t>
        </is>
      </c>
    </row>
    <row r="130" ht="15" customHeight="1" s="19">
      <c r="A130" s="23" t="inlineStr">
        <is>
          <t>2023-2024</t>
        </is>
      </c>
      <c r="B130" s="23" t="inlineStr">
        <is>
          <t>C-2</t>
        </is>
      </c>
      <c r="C130" s="23" t="inlineStr">
        <is>
          <t>2023-04-12</t>
        </is>
      </c>
      <c r="D130" s="23" t="inlineStr">
        <is>
          <t>12:49</t>
        </is>
      </c>
      <c r="E130" s="23" t="inlineStr">
        <is>
          <t>13</t>
        </is>
      </c>
      <c r="F130" s="23" t="inlineStr">
        <is>
          <t>3166</t>
        </is>
      </c>
      <c r="G130" s="23" t="inlineStr">
        <is>
          <t>2009</t>
        </is>
      </c>
      <c r="H130" s="23" t="inlineStr">
        <is>
          <t>Ambrée</t>
        </is>
      </c>
      <c r="I130" s="24" t="n">
        <v>1</v>
      </c>
      <c r="J130" s="24" t="n">
        <v>0</v>
      </c>
      <c r="K130" s="24">
        <f>J130*I130</f>
        <v/>
      </c>
      <c r="L130" s="24" t="n">
        <v>106.2</v>
      </c>
      <c r="M130" s="24" t="n">
        <v>10</v>
      </c>
      <c r="N130" s="23" t="inlineStr">
        <is>
          <t>Boissons alcoolisees (LIQUIDE - TVA 20 %)</t>
        </is>
      </c>
    </row>
    <row r="131" ht="15" customHeight="1" s="19">
      <c r="A131" s="23" t="inlineStr">
        <is>
          <t>2023-2024</t>
        </is>
      </c>
      <c r="B131" s="23" t="inlineStr">
        <is>
          <t>C-2</t>
        </is>
      </c>
      <c r="C131" s="23" t="inlineStr">
        <is>
          <t>2023-04-12</t>
        </is>
      </c>
      <c r="D131" s="23" t="inlineStr">
        <is>
          <t>12:49</t>
        </is>
      </c>
      <c r="E131" s="23" t="inlineStr">
        <is>
          <t>13</t>
        </is>
      </c>
      <c r="F131" s="23" t="inlineStr">
        <is>
          <t>3166</t>
        </is>
      </c>
      <c r="G131" s="23" t="inlineStr">
        <is>
          <t>1993</t>
        </is>
      </c>
      <c r="H131" s="23" t="inlineStr">
        <is>
          <t>Blanche des plateaux</t>
        </is>
      </c>
      <c r="I131" s="24" t="n">
        <v>3</v>
      </c>
      <c r="J131" s="24" t="n">
        <v>0</v>
      </c>
      <c r="K131" s="24">
        <f>J131*I131</f>
        <v/>
      </c>
      <c r="L131" s="24" t="n">
        <v>106.2</v>
      </c>
      <c r="M131" s="24" t="n">
        <v>20</v>
      </c>
      <c r="N131" s="23" t="inlineStr">
        <is>
          <t>Boissons alcoolisees (LIQUIDE - TVA 20 %)</t>
        </is>
      </c>
    </row>
    <row r="132" ht="15" customHeight="1" s="19">
      <c r="A132" s="23" t="inlineStr">
        <is>
          <t>2023-2024</t>
        </is>
      </c>
      <c r="B132" s="23" t="inlineStr">
        <is>
          <t>C-2</t>
        </is>
      </c>
      <c r="C132" s="23" t="inlineStr">
        <is>
          <t>2023-04-12</t>
        </is>
      </c>
      <c r="D132" s="23" t="inlineStr">
        <is>
          <t>12:20</t>
        </is>
      </c>
      <c r="E132" s="23" t="inlineStr">
        <is>
          <t>5</t>
        </is>
      </c>
      <c r="F132" s="23" t="inlineStr">
        <is>
          <t>3166</t>
        </is>
      </c>
      <c r="G132" s="23" t="inlineStr">
        <is>
          <t>0111</t>
        </is>
      </c>
      <c r="H132" s="23" t="inlineStr">
        <is>
          <t>Expresso</t>
        </is>
      </c>
      <c r="I132" s="24" t="n">
        <v>1.5</v>
      </c>
      <c r="J132" s="24" t="n">
        <v>0</v>
      </c>
      <c r="K132" s="24">
        <f>J132*I132</f>
        <v/>
      </c>
      <c r="L132" s="24" t="n">
        <v>76.84999999999999</v>
      </c>
      <c r="M132" s="24" t="n">
        <v>10</v>
      </c>
      <c r="N132" s="23" t="inlineStr">
        <is>
          <t>Boissons non alcoolisees (LIQUIDE - TVA 10 %)</t>
        </is>
      </c>
    </row>
    <row r="133" ht="15" customHeight="1" s="19">
      <c r="A133" s="23" t="inlineStr">
        <is>
          <t>2023-2024</t>
        </is>
      </c>
      <c r="B133" s="23" t="inlineStr">
        <is>
          <t>C-2</t>
        </is>
      </c>
      <c r="C133" s="23" t="inlineStr">
        <is>
          <t>2023-04-15</t>
        </is>
      </c>
      <c r="D133" s="23" t="inlineStr">
        <is>
          <t>12:43</t>
        </is>
      </c>
      <c r="E133" s="23" t="inlineStr">
        <is>
          <t>5</t>
        </is>
      </c>
      <c r="F133" s="23" t="inlineStr">
        <is>
          <t>3169</t>
        </is>
      </c>
      <c r="G133" s="23" t="inlineStr">
        <is>
          <t>1830</t>
        </is>
      </c>
      <c r="H133" s="23" t="inlineStr">
        <is>
          <t>C du  Rhone St Josep</t>
        </is>
      </c>
      <c r="I133" s="24" t="n">
        <v>1</v>
      </c>
      <c r="J133" s="24" t="n">
        <v>0</v>
      </c>
      <c r="K133" s="24">
        <f>J133*I133</f>
        <v/>
      </c>
      <c r="L133" s="24" t="n">
        <v>60.8</v>
      </c>
      <c r="M133" s="24" t="n">
        <v>20</v>
      </c>
      <c r="N133" s="23" t="inlineStr">
        <is>
          <t>Boissons alcoolisees (LIQUIDE - TVA 20 %)</t>
        </is>
      </c>
    </row>
    <row r="134" ht="15" customHeight="1" s="19">
      <c r="A134" s="23" t="inlineStr">
        <is>
          <t>2023-2024</t>
        </is>
      </c>
      <c r="B134" s="23" t="inlineStr">
        <is>
          <t>C-2</t>
        </is>
      </c>
      <c r="C134" s="23" t="inlineStr">
        <is>
          <t>2023-04-15</t>
        </is>
      </c>
      <c r="D134" s="23" t="inlineStr">
        <is>
          <t>12:43</t>
        </is>
      </c>
      <c r="E134" s="23" t="inlineStr">
        <is>
          <t>5</t>
        </is>
      </c>
      <c r="F134" s="23" t="inlineStr">
        <is>
          <t>3169</t>
        </is>
      </c>
      <c r="G134" s="23" t="inlineStr">
        <is>
          <t>0111</t>
        </is>
      </c>
      <c r="H134" s="23" t="inlineStr">
        <is>
          <t>Expresso</t>
        </is>
      </c>
      <c r="I134" s="24" t="n">
        <v>2</v>
      </c>
      <c r="J134" s="24" t="n">
        <v>0</v>
      </c>
      <c r="K134" s="24">
        <f>J134*I134</f>
        <v/>
      </c>
      <c r="L134" s="24" t="n">
        <v>60.8</v>
      </c>
      <c r="M134" s="24" t="n">
        <v>20</v>
      </c>
      <c r="N134" s="23" t="inlineStr">
        <is>
          <t>Boissons non alcoolisees (LIQUIDE - TVA 10 %)</t>
        </is>
      </c>
    </row>
    <row r="135" ht="15" customHeight="1" s="19">
      <c r="A135" s="23" t="inlineStr">
        <is>
          <t>2023-2024</t>
        </is>
      </c>
      <c r="B135" s="23" t="inlineStr">
        <is>
          <t>C-2</t>
        </is>
      </c>
      <c r="C135" s="23" t="inlineStr">
        <is>
          <t>2023-04-15</t>
        </is>
      </c>
      <c r="D135" s="23" t="inlineStr">
        <is>
          <t>20:19</t>
        </is>
      </c>
      <c r="E135" s="23" t="inlineStr">
        <is>
          <t>12</t>
        </is>
      </c>
      <c r="F135" s="23" t="inlineStr">
        <is>
          <t>3169</t>
        </is>
      </c>
      <c r="G135" s="23" t="inlineStr">
        <is>
          <t>1939</t>
        </is>
      </c>
      <c r="H135" s="23" t="inlineStr">
        <is>
          <t>CANCOINE</t>
        </is>
      </c>
      <c r="I135" s="24" t="n">
        <v>1</v>
      </c>
      <c r="J135" s="24" t="n">
        <v>0</v>
      </c>
      <c r="K135" s="24">
        <f>J135*I135</f>
        <v/>
      </c>
      <c r="L135" s="24" t="n">
        <v>64.2</v>
      </c>
      <c r="M135" s="24" t="n">
        <v>10</v>
      </c>
      <c r="N135" s="23" t="inlineStr">
        <is>
          <t>Restauration (SOLIDE - TVA 10 %)</t>
        </is>
      </c>
    </row>
    <row r="136" ht="15" customHeight="1" s="19">
      <c r="A136" s="23" t="inlineStr">
        <is>
          <t>2023-2024</t>
        </is>
      </c>
      <c r="B136" s="23" t="inlineStr">
        <is>
          <t>C-2</t>
        </is>
      </c>
      <c r="C136" s="23" t="inlineStr">
        <is>
          <t>2023-04-15</t>
        </is>
      </c>
      <c r="D136" s="23" t="inlineStr">
        <is>
          <t>20:44</t>
        </is>
      </c>
      <c r="E136" s="23" t="inlineStr">
        <is>
          <t>13</t>
        </is>
      </c>
      <c r="F136" s="23" t="inlineStr">
        <is>
          <t>3169</t>
        </is>
      </c>
      <c r="G136" s="23" t="inlineStr">
        <is>
          <t>0111</t>
        </is>
      </c>
      <c r="H136" s="23" t="inlineStr">
        <is>
          <t>Expresso</t>
        </is>
      </c>
      <c r="I136" s="24" t="n">
        <v>3</v>
      </c>
      <c r="J136" s="24" t="n">
        <v>0</v>
      </c>
      <c r="K136" s="24">
        <f>J136*I136</f>
        <v/>
      </c>
      <c r="L136" s="24" t="n">
        <v>451</v>
      </c>
      <c r="M136" s="24" t="n">
        <v>10</v>
      </c>
      <c r="N136" s="23" t="inlineStr">
        <is>
          <t>Boissons non alcoolisees (LIQUIDE - TVA 10 %)</t>
        </is>
      </c>
    </row>
    <row r="137" ht="15" customHeight="1" s="19">
      <c r="A137" s="23" t="inlineStr">
        <is>
          <t>2023-2024</t>
        </is>
      </c>
      <c r="B137" s="23" t="inlineStr">
        <is>
          <t>C-2</t>
        </is>
      </c>
      <c r="C137" s="23" t="inlineStr">
        <is>
          <t>2023-04-15</t>
        </is>
      </c>
      <c r="D137" s="23" t="inlineStr">
        <is>
          <t>20:44</t>
        </is>
      </c>
      <c r="E137" s="23" t="inlineStr">
        <is>
          <t>13</t>
        </is>
      </c>
      <c r="F137" s="23" t="inlineStr">
        <is>
          <t>3169</t>
        </is>
      </c>
      <c r="G137" s="23" t="inlineStr">
        <is>
          <t>1664</t>
        </is>
      </c>
      <c r="H137" s="23" t="inlineStr">
        <is>
          <t>Get 27 (4cl)</t>
        </is>
      </c>
      <c r="I137" s="24" t="n">
        <v>2</v>
      </c>
      <c r="J137" s="24" t="n">
        <v>0</v>
      </c>
      <c r="K137" s="24">
        <f>J137*I137</f>
        <v/>
      </c>
      <c r="L137" s="24" t="n">
        <v>451</v>
      </c>
      <c r="M137" s="24" t="n">
        <v>10</v>
      </c>
      <c r="N137" s="23" t="inlineStr">
        <is>
          <t>Boissons alcoolisees (LIQUIDE - TVA 20 %)</t>
        </is>
      </c>
    </row>
    <row r="138" ht="15" customHeight="1" s="19">
      <c r="A138" s="23" t="inlineStr">
        <is>
          <t>2023-2024</t>
        </is>
      </c>
      <c r="B138" s="23" t="inlineStr">
        <is>
          <t>C-2</t>
        </is>
      </c>
      <c r="C138" s="23" t="inlineStr">
        <is>
          <t>2023-04-15</t>
        </is>
      </c>
      <c r="D138" s="23" t="inlineStr">
        <is>
          <t>20:44</t>
        </is>
      </c>
      <c r="E138" s="23" t="inlineStr">
        <is>
          <t>13</t>
        </is>
      </c>
      <c r="F138" s="23" t="inlineStr">
        <is>
          <t>3169</t>
        </is>
      </c>
      <c r="G138" s="23" t="inlineStr">
        <is>
          <t>2096</t>
        </is>
      </c>
      <c r="H138" s="23" t="inlineStr">
        <is>
          <t>Baileys</t>
        </is>
      </c>
      <c r="I138" s="24" t="n">
        <v>2</v>
      </c>
      <c r="J138" s="24" t="n">
        <v>0</v>
      </c>
      <c r="K138" s="24">
        <f>J138*I138</f>
        <v/>
      </c>
      <c r="L138" s="24" t="n">
        <v>451</v>
      </c>
      <c r="M138" s="24" t="n">
        <v>20</v>
      </c>
      <c r="N138" s="23" t="inlineStr">
        <is>
          <t>Boissons alcoolisees (LIQUIDE - TVA 20 %)</t>
        </is>
      </c>
    </row>
    <row r="139" ht="15" customHeight="1" s="19">
      <c r="A139" s="23" t="inlineStr">
        <is>
          <t>2023-2024</t>
        </is>
      </c>
      <c r="B139" s="23" t="inlineStr">
        <is>
          <t>C-2</t>
        </is>
      </c>
      <c r="C139" s="23" t="inlineStr">
        <is>
          <t>2023-04-15</t>
        </is>
      </c>
      <c r="D139" s="23" t="inlineStr">
        <is>
          <t>20:44</t>
        </is>
      </c>
      <c r="E139" s="23" t="inlineStr">
        <is>
          <t>13</t>
        </is>
      </c>
      <c r="F139" s="23" t="inlineStr">
        <is>
          <t>3169</t>
        </is>
      </c>
      <c r="G139" s="23" t="inlineStr">
        <is>
          <t>0129</t>
        </is>
      </c>
      <c r="H139" s="23" t="inlineStr">
        <is>
          <t>Marc du Jura (4cl)</t>
        </is>
      </c>
      <c r="I139" s="24" t="n">
        <v>1</v>
      </c>
      <c r="J139" s="24" t="n">
        <v>0</v>
      </c>
      <c r="K139" s="24">
        <f>J139*I139</f>
        <v/>
      </c>
      <c r="L139" s="24" t="n">
        <v>451</v>
      </c>
      <c r="M139" s="24" t="n">
        <v>20</v>
      </c>
      <c r="N139" s="23" t="inlineStr">
        <is>
          <t>Boissons alcoolisees (LIQUIDE - TVA 20 %)</t>
        </is>
      </c>
    </row>
    <row r="140" ht="15" customHeight="1" s="19">
      <c r="A140" s="23" t="inlineStr">
        <is>
          <t>2023-2024</t>
        </is>
      </c>
      <c r="B140" s="23" t="inlineStr">
        <is>
          <t>C-2</t>
        </is>
      </c>
      <c r="C140" s="23" t="inlineStr">
        <is>
          <t>2023-04-20</t>
        </is>
      </c>
      <c r="D140" s="23" t="inlineStr">
        <is>
          <t>11:48</t>
        </is>
      </c>
      <c r="E140" s="23" t="inlineStr">
        <is>
          <t>2</t>
        </is>
      </c>
      <c r="F140" s="23" t="inlineStr">
        <is>
          <t>3172</t>
        </is>
      </c>
      <c r="G140" s="23" t="inlineStr">
        <is>
          <t>0111</t>
        </is>
      </c>
      <c r="H140" s="23" t="inlineStr">
        <is>
          <t>Expresso</t>
        </is>
      </c>
      <c r="I140" s="24" t="n">
        <v>3</v>
      </c>
      <c r="J140" s="24" t="n">
        <v>0</v>
      </c>
      <c r="K140" s="24">
        <f>J140*I140</f>
        <v/>
      </c>
      <c r="L140" s="24" t="n">
        <v>64</v>
      </c>
      <c r="M140" s="24" t="n">
        <v>20</v>
      </c>
      <c r="N140" s="23" t="inlineStr">
        <is>
          <t>Boissons non alcoolisees (LIQUIDE - TVA 10 %)</t>
        </is>
      </c>
    </row>
    <row r="141" ht="15" customHeight="1" s="19">
      <c r="A141" s="23" t="inlineStr">
        <is>
          <t>2023-2024</t>
        </is>
      </c>
      <c r="B141" s="23" t="inlineStr">
        <is>
          <t>C-2</t>
        </is>
      </c>
      <c r="C141" s="23" t="inlineStr">
        <is>
          <t>2023-04-20</t>
        </is>
      </c>
      <c r="D141" s="23" t="inlineStr">
        <is>
          <t>19:53</t>
        </is>
      </c>
      <c r="E141" s="23" t="inlineStr">
        <is>
          <t>24</t>
        </is>
      </c>
      <c r="F141" s="23" t="inlineStr">
        <is>
          <t>3172</t>
        </is>
      </c>
      <c r="G141" s="23" t="inlineStr">
        <is>
          <t>0327</t>
        </is>
      </c>
      <c r="H141" s="23" t="inlineStr">
        <is>
          <t>Rêve Bleu</t>
        </is>
      </c>
      <c r="I141" s="24" t="n">
        <v>1</v>
      </c>
      <c r="J141" s="24" t="n">
        <v>0</v>
      </c>
      <c r="K141" s="24">
        <f>J141*I141</f>
        <v/>
      </c>
      <c r="L141" s="24" t="n">
        <v>53.4</v>
      </c>
      <c r="M141" s="24" t="n">
        <v>10</v>
      </c>
      <c r="N141" s="23" t="inlineStr">
        <is>
          <t>Boissons alcoolisees (LIQUIDE - TVA 20 %)</t>
        </is>
      </c>
    </row>
    <row r="142" ht="15" customHeight="1" s="19">
      <c r="A142" s="23" t="inlineStr">
        <is>
          <t>2023-2024</t>
        </is>
      </c>
      <c r="B142" s="23" t="inlineStr">
        <is>
          <t>C-2</t>
        </is>
      </c>
      <c r="C142" s="23" t="inlineStr">
        <is>
          <t>2023-04-20</t>
        </is>
      </c>
      <c r="D142" s="23" t="inlineStr">
        <is>
          <t>20:49</t>
        </is>
      </c>
      <c r="E142" s="23" t="inlineStr">
        <is>
          <t>27</t>
        </is>
      </c>
      <c r="F142" s="23" t="inlineStr">
        <is>
          <t>3172</t>
        </is>
      </c>
      <c r="G142" s="23" t="inlineStr">
        <is>
          <t>0353</t>
        </is>
      </c>
      <c r="H142" s="23" t="inlineStr">
        <is>
          <t>Picon bière</t>
        </is>
      </c>
      <c r="I142" s="24" t="n">
        <v>1</v>
      </c>
      <c r="J142" s="24" t="n">
        <v>0</v>
      </c>
      <c r="K142" s="24">
        <f>J142*I142</f>
        <v/>
      </c>
      <c r="L142" s="24" t="n">
        <v>186.2</v>
      </c>
      <c r="M142" s="24" t="n">
        <v>10</v>
      </c>
      <c r="N142" s="23" t="inlineStr">
        <is>
          <t>Boissons alcoolisees (LIQUIDE - TVA 20 %)</t>
        </is>
      </c>
    </row>
    <row r="143" ht="15" customHeight="1" s="19">
      <c r="A143" s="23" t="inlineStr">
        <is>
          <t>2023-2024</t>
        </is>
      </c>
      <c r="B143" s="23" t="inlineStr">
        <is>
          <t>C-2</t>
        </is>
      </c>
      <c r="C143" s="23" t="inlineStr">
        <is>
          <t>2023-04-20</t>
        </is>
      </c>
      <c r="D143" s="23" t="inlineStr">
        <is>
          <t>20:49</t>
        </is>
      </c>
      <c r="E143" s="23" t="inlineStr">
        <is>
          <t>27</t>
        </is>
      </c>
      <c r="F143" s="23" t="inlineStr">
        <is>
          <t>3172</t>
        </is>
      </c>
      <c r="G143" s="23" t="inlineStr">
        <is>
          <t>1737</t>
        </is>
      </c>
      <c r="H143" s="23" t="inlineStr">
        <is>
          <t>Saint Véran Verre</t>
        </is>
      </c>
      <c r="I143" s="24" t="n">
        <v>1</v>
      </c>
      <c r="J143" s="24" t="n">
        <v>0</v>
      </c>
      <c r="K143" s="24">
        <f>J143*I143</f>
        <v/>
      </c>
      <c r="L143" s="24" t="n">
        <v>186.2</v>
      </c>
      <c r="M143" s="24" t="n">
        <v>20</v>
      </c>
      <c r="N143" s="23" t="inlineStr">
        <is>
          <t>Boissons alcoolisees (LIQUIDE - TVA 20 %)</t>
        </is>
      </c>
    </row>
    <row r="144" ht="15" customHeight="1" s="19">
      <c r="A144" s="23" t="inlineStr">
        <is>
          <t>2023-2024</t>
        </is>
      </c>
      <c r="B144" s="23" t="inlineStr">
        <is>
          <t>C-2</t>
        </is>
      </c>
      <c r="C144" s="23" t="inlineStr">
        <is>
          <t>2023-04-20</t>
        </is>
      </c>
      <c r="D144" s="23" t="inlineStr">
        <is>
          <t>20:49</t>
        </is>
      </c>
      <c r="E144" s="23" t="inlineStr">
        <is>
          <t>27</t>
        </is>
      </c>
      <c r="F144" s="23" t="inlineStr">
        <is>
          <t>3172</t>
        </is>
      </c>
      <c r="G144" s="23" t="inlineStr">
        <is>
          <t>1993</t>
        </is>
      </c>
      <c r="H144" s="23" t="inlineStr">
        <is>
          <t>Blanche des plateaux</t>
        </is>
      </c>
      <c r="I144" s="24" t="n">
        <v>1</v>
      </c>
      <c r="J144" s="24" t="n">
        <v>0</v>
      </c>
      <c r="K144" s="24">
        <f>J144*I144</f>
        <v/>
      </c>
      <c r="L144" s="24" t="n">
        <v>186.2</v>
      </c>
      <c r="M144" s="24" t="n">
        <v>20</v>
      </c>
      <c r="N144" s="23" t="inlineStr">
        <is>
          <t>Boissons alcoolisees (LIQUIDE - TVA 20 %)</t>
        </is>
      </c>
    </row>
    <row r="145" ht="15" customHeight="1" s="19">
      <c r="A145" s="23" t="inlineStr">
        <is>
          <t>2023-2024</t>
        </is>
      </c>
      <c r="B145" s="23" t="inlineStr">
        <is>
          <t>C-2</t>
        </is>
      </c>
      <c r="C145" s="23" t="inlineStr">
        <is>
          <t>2023-04-20</t>
        </is>
      </c>
      <c r="D145" s="23" t="inlineStr">
        <is>
          <t>20:49</t>
        </is>
      </c>
      <c r="E145" s="23" t="inlineStr">
        <is>
          <t>27</t>
        </is>
      </c>
      <c r="F145" s="23" t="inlineStr">
        <is>
          <t>3172</t>
        </is>
      </c>
      <c r="G145" s="23" t="inlineStr">
        <is>
          <t>1996</t>
        </is>
      </c>
      <c r="H145" s="23" t="inlineStr">
        <is>
          <t>Mambo</t>
        </is>
      </c>
      <c r="I145" s="24" t="n">
        <v>1</v>
      </c>
      <c r="J145" s="24" t="n">
        <v>0</v>
      </c>
      <c r="K145" s="24">
        <f>J145*I145</f>
        <v/>
      </c>
      <c r="L145" s="24" t="n">
        <v>186.2</v>
      </c>
      <c r="M145" s="24" t="n">
        <v>20</v>
      </c>
      <c r="N145" s="23" t="inlineStr">
        <is>
          <t>Boissons non alcoolisees (LIQUIDE - TVA 10 %)</t>
        </is>
      </c>
    </row>
    <row r="146" ht="15" customHeight="1" s="19">
      <c r="A146" s="23" t="inlineStr">
        <is>
          <t>2023-2024</t>
        </is>
      </c>
      <c r="B146" s="23" t="inlineStr">
        <is>
          <t>C-2</t>
        </is>
      </c>
      <c r="C146" s="23" t="inlineStr">
        <is>
          <t>2023-04-22</t>
        </is>
      </c>
      <c r="D146" s="23" t="inlineStr">
        <is>
          <t>20:00</t>
        </is>
      </c>
      <c r="E146" s="23" t="inlineStr">
        <is>
          <t>12</t>
        </is>
      </c>
      <c r="F146" s="23" t="inlineStr">
        <is>
          <t>3174</t>
        </is>
      </c>
      <c r="G146" s="23" t="inlineStr">
        <is>
          <t>0108</t>
        </is>
      </c>
      <c r="H146" s="23" t="inlineStr">
        <is>
          <t>Limonade (25cl)</t>
        </is>
      </c>
      <c r="I146" s="24" t="n">
        <v>2</v>
      </c>
      <c r="J146" s="24" t="n">
        <v>0</v>
      </c>
      <c r="K146" s="24">
        <f>J146*I146</f>
        <v/>
      </c>
      <c r="L146" s="24" t="n">
        <v>166.5</v>
      </c>
      <c r="M146" s="24" t="n">
        <v>10</v>
      </c>
      <c r="N146" s="23" t="inlineStr">
        <is>
          <t>Boissons non alcoolisees (LIQUIDE - TVA 10 %)</t>
        </is>
      </c>
    </row>
    <row r="147" ht="15" customHeight="1" s="19">
      <c r="A147" s="23" t="inlineStr">
        <is>
          <t>2023-2024</t>
        </is>
      </c>
      <c r="B147" s="23" t="inlineStr">
        <is>
          <t>C-2</t>
        </is>
      </c>
      <c r="C147" s="23" t="inlineStr">
        <is>
          <t>2023-04-22</t>
        </is>
      </c>
      <c r="D147" s="23" t="inlineStr">
        <is>
          <t>20:00</t>
        </is>
      </c>
      <c r="E147" s="23" t="inlineStr">
        <is>
          <t>12</t>
        </is>
      </c>
      <c r="F147" s="23" t="inlineStr">
        <is>
          <t>3174</t>
        </is>
      </c>
      <c r="G147" s="23" t="inlineStr">
        <is>
          <t>2031</t>
        </is>
      </c>
      <c r="H147" s="23" t="inlineStr">
        <is>
          <t>Poulet aux Morilles</t>
        </is>
      </c>
      <c r="I147" s="24" t="n">
        <v>1</v>
      </c>
      <c r="J147" s="24" t="n">
        <v>0</v>
      </c>
      <c r="K147" s="24">
        <f>J147*I147</f>
        <v/>
      </c>
      <c r="L147" s="24" t="n">
        <v>166.5</v>
      </c>
      <c r="M147" s="24" t="n">
        <v>10</v>
      </c>
      <c r="N147" s="23" t="inlineStr">
        <is>
          <t>Restauration (SOLIDE - TVA 10 %)</t>
        </is>
      </c>
    </row>
    <row r="148" ht="15" customHeight="1" s="19">
      <c r="A148" s="23" t="inlineStr">
        <is>
          <t>2023-2024</t>
        </is>
      </c>
      <c r="B148" s="23" t="inlineStr">
        <is>
          <t>C-2</t>
        </is>
      </c>
      <c r="C148" s="23" t="inlineStr">
        <is>
          <t>2023-04-22</t>
        </is>
      </c>
      <c r="D148" s="23" t="inlineStr">
        <is>
          <t>20:00</t>
        </is>
      </c>
      <c r="E148" s="23" t="inlineStr">
        <is>
          <t>12</t>
        </is>
      </c>
      <c r="F148" s="23" t="inlineStr">
        <is>
          <t>3174</t>
        </is>
      </c>
      <c r="G148" s="23" t="inlineStr">
        <is>
          <t>1918</t>
        </is>
      </c>
      <c r="H148" s="23" t="inlineStr">
        <is>
          <t>CAMEMBERT ROTI</t>
        </is>
      </c>
      <c r="I148" s="24" t="n">
        <v>1</v>
      </c>
      <c r="J148" s="24" t="n">
        <v>0</v>
      </c>
      <c r="K148" s="24">
        <f>J148*I148</f>
        <v/>
      </c>
      <c r="L148" s="24" t="n">
        <v>166.5</v>
      </c>
      <c r="M148" s="24" t="n">
        <v>10</v>
      </c>
      <c r="N148" s="23" t="inlineStr">
        <is>
          <t>Restauration (SOLIDE - TVA 10 %)</t>
        </is>
      </c>
    </row>
    <row r="149" ht="15" customHeight="1" s="19">
      <c r="A149" s="23" t="inlineStr">
        <is>
          <t>2023-2024</t>
        </is>
      </c>
      <c r="B149" s="23" t="inlineStr">
        <is>
          <t>C-2</t>
        </is>
      </c>
      <c r="C149" s="23" t="inlineStr">
        <is>
          <t>2023-04-22</t>
        </is>
      </c>
      <c r="D149" s="23" t="inlineStr">
        <is>
          <t>20:00</t>
        </is>
      </c>
      <c r="E149" s="23" t="inlineStr">
        <is>
          <t>12</t>
        </is>
      </c>
      <c r="F149" s="23" t="inlineStr">
        <is>
          <t>3174</t>
        </is>
      </c>
      <c r="G149" s="23" t="inlineStr">
        <is>
          <t>2054</t>
        </is>
      </c>
      <c r="H149" s="23" t="inlineStr">
        <is>
          <t>Mi</t>
        </is>
      </c>
      <c r="I149" s="24" t="n">
        <v>1</v>
      </c>
      <c r="J149" s="24" t="n">
        <v>0</v>
      </c>
      <c r="K149" s="24">
        <f>J149*I149</f>
        <v/>
      </c>
      <c r="L149" s="24" t="n">
        <v>166.5</v>
      </c>
      <c r="M149" s="24" t="n">
        <v>10</v>
      </c>
      <c r="N149" s="23" t="inlineStr">
        <is>
          <t>Boissons alcoolisees (LIQUIDE - TVA 20 %)</t>
        </is>
      </c>
    </row>
    <row r="150" ht="15" customHeight="1" s="19">
      <c r="A150" s="23" t="inlineStr">
        <is>
          <t>2023-2024</t>
        </is>
      </c>
      <c r="B150" s="23" t="inlineStr">
        <is>
          <t>C-2</t>
        </is>
      </c>
      <c r="C150" s="23" t="inlineStr">
        <is>
          <t>2023-04-28</t>
        </is>
      </c>
      <c r="D150" s="23" t="inlineStr">
        <is>
          <t>20:37</t>
        </is>
      </c>
      <c r="E150" s="23" t="inlineStr">
        <is>
          <t>11</t>
        </is>
      </c>
      <c r="F150" s="23" t="inlineStr">
        <is>
          <t>3178</t>
        </is>
      </c>
      <c r="G150" s="23" t="inlineStr">
        <is>
          <t>2002</t>
        </is>
      </c>
      <c r="H150" s="23" t="inlineStr">
        <is>
          <t>Crêpe Salidou</t>
        </is>
      </c>
      <c r="I150" s="24" t="n">
        <v>1</v>
      </c>
      <c r="J150" s="24" t="n">
        <v>0</v>
      </c>
      <c r="K150" s="24">
        <f>J150*I150</f>
        <v/>
      </c>
      <c r="L150" s="24" t="n">
        <v>97.3</v>
      </c>
      <c r="M150" s="24" t="n">
        <v>20</v>
      </c>
      <c r="N150" s="23" t="inlineStr">
        <is>
          <t>Restauration (SOLIDE - TVA 10 %)</t>
        </is>
      </c>
    </row>
    <row r="151" ht="15" customHeight="1" s="19">
      <c r="A151" s="23" t="inlineStr">
        <is>
          <t>2023-2024</t>
        </is>
      </c>
      <c r="B151" s="23" t="inlineStr">
        <is>
          <t>C-2</t>
        </is>
      </c>
      <c r="C151" s="23" t="inlineStr">
        <is>
          <t>2023-04-30</t>
        </is>
      </c>
      <c r="D151" s="23" t="inlineStr">
        <is>
          <t>13:23</t>
        </is>
      </c>
      <c r="E151" s="23" t="inlineStr">
        <is>
          <t>13</t>
        </is>
      </c>
      <c r="F151" s="23" t="inlineStr">
        <is>
          <t>3180</t>
        </is>
      </c>
      <c r="G151" s="23" t="inlineStr">
        <is>
          <t>0111</t>
        </is>
      </c>
      <c r="H151" s="23" t="inlineStr">
        <is>
          <t>Expresso</t>
        </is>
      </c>
      <c r="I151" s="24" t="n">
        <v>3.2</v>
      </c>
      <c r="J151" s="24" t="n">
        <v>0</v>
      </c>
      <c r="K151" s="24">
        <f>J151*I151</f>
        <v/>
      </c>
      <c r="L151" s="24" t="n">
        <v>199.92</v>
      </c>
      <c r="M151" s="24" t="n">
        <v>10</v>
      </c>
      <c r="N151" s="23" t="inlineStr">
        <is>
          <t>Boissons non alcoolisees (LIQUIDE - TVA 10 %)</t>
        </is>
      </c>
    </row>
    <row r="152" ht="15" customHeight="1" s="19">
      <c r="A152" s="23" t="inlineStr">
        <is>
          <t>2023-2024</t>
        </is>
      </c>
      <c r="B152" s="23" t="inlineStr">
        <is>
          <t>C-2</t>
        </is>
      </c>
      <c r="C152" s="23" t="inlineStr">
        <is>
          <t>2023-04-30</t>
        </is>
      </c>
      <c r="D152" s="23" t="inlineStr">
        <is>
          <t>13:21</t>
        </is>
      </c>
      <c r="E152" s="23" t="inlineStr">
        <is>
          <t>12</t>
        </is>
      </c>
      <c r="F152" s="23" t="inlineStr">
        <is>
          <t>3180</t>
        </is>
      </c>
      <c r="G152" s="23" t="inlineStr">
        <is>
          <t>0111</t>
        </is>
      </c>
      <c r="H152" s="23" t="inlineStr">
        <is>
          <t>Expresso</t>
        </is>
      </c>
      <c r="I152" s="24" t="n">
        <v>0.8</v>
      </c>
      <c r="J152" s="24" t="n">
        <v>0</v>
      </c>
      <c r="K152" s="24">
        <f>J152*I152</f>
        <v/>
      </c>
      <c r="L152" s="24" t="n">
        <v>49.98</v>
      </c>
      <c r="M152" s="24" t="n">
        <v>10</v>
      </c>
      <c r="N152" s="23" t="inlineStr">
        <is>
          <t>Boissons non alcoolisees (LIQUIDE - TVA 10 %)</t>
        </is>
      </c>
    </row>
    <row r="153" ht="15" customHeight="1" s="19">
      <c r="A153" s="23" t="inlineStr">
        <is>
          <t>2023-2024</t>
        </is>
      </c>
      <c r="B153" s="23" t="inlineStr">
        <is>
          <t>C-2</t>
        </is>
      </c>
      <c r="C153" s="23" t="inlineStr">
        <is>
          <t>2023-05-05</t>
        </is>
      </c>
      <c r="D153" s="23" t="inlineStr">
        <is>
          <t>12:50</t>
        </is>
      </c>
      <c r="E153" s="23" t="inlineStr">
        <is>
          <t>11</t>
        </is>
      </c>
      <c r="F153" s="23" t="inlineStr">
        <is>
          <t>3183</t>
        </is>
      </c>
      <c r="G153" s="23" t="inlineStr">
        <is>
          <t>0106</t>
        </is>
      </c>
      <c r="H153" s="23" t="inlineStr">
        <is>
          <t>Coca (25cl)</t>
        </is>
      </c>
      <c r="I153" s="24" t="n">
        <v>1</v>
      </c>
      <c r="J153" s="24" t="n">
        <v>0</v>
      </c>
      <c r="K153" s="24">
        <f>J153*I153</f>
        <v/>
      </c>
      <c r="L153" s="24" t="n">
        <v>19.5</v>
      </c>
      <c r="M153" s="24" t="n">
        <v>10</v>
      </c>
      <c r="N153" s="23" t="inlineStr">
        <is>
          <t>Boissons non alcoolisees (LIQUIDE - TVA 10 %)</t>
        </is>
      </c>
    </row>
    <row r="154" ht="15" customHeight="1" s="19">
      <c r="A154" s="23" t="inlineStr">
        <is>
          <t>2023-2024</t>
        </is>
      </c>
      <c r="B154" s="23" t="inlineStr">
        <is>
          <t>C-2</t>
        </is>
      </c>
      <c r="C154" s="23" t="inlineStr">
        <is>
          <t>2023-05-05</t>
        </is>
      </c>
      <c r="D154" s="23" t="inlineStr">
        <is>
          <t>12:49</t>
        </is>
      </c>
      <c r="E154" s="23" t="inlineStr">
        <is>
          <t>10</t>
        </is>
      </c>
      <c r="F154" s="23" t="inlineStr">
        <is>
          <t>3183</t>
        </is>
      </c>
      <c r="G154" s="23" t="inlineStr">
        <is>
          <t>0106</t>
        </is>
      </c>
      <c r="H154" s="23" t="inlineStr">
        <is>
          <t>Coca (25cl)</t>
        </is>
      </c>
      <c r="I154" s="24" t="n">
        <v>1</v>
      </c>
      <c r="J154" s="24" t="n">
        <v>0</v>
      </c>
      <c r="K154" s="24">
        <f>J154*I154</f>
        <v/>
      </c>
      <c r="L154" s="24" t="n">
        <v>19.5</v>
      </c>
      <c r="M154" s="24" t="n">
        <v>10</v>
      </c>
      <c r="N154" s="23" t="inlineStr">
        <is>
          <t>Boissons non alcoolisees (LIQUIDE - TVA 10 %)</t>
        </is>
      </c>
    </row>
    <row r="155" ht="15" customHeight="1" s="19">
      <c r="A155" s="23" t="inlineStr">
        <is>
          <t>2023-2024</t>
        </is>
      </c>
      <c r="B155" s="23" t="inlineStr">
        <is>
          <t>C-2</t>
        </is>
      </c>
      <c r="C155" s="23" t="inlineStr">
        <is>
          <t>2023-05-06</t>
        </is>
      </c>
      <c r="D155" s="23" t="inlineStr">
        <is>
          <t>20:35</t>
        </is>
      </c>
      <c r="E155" s="23" t="inlineStr">
        <is>
          <t>26</t>
        </is>
      </c>
      <c r="F155" s="23" t="inlineStr">
        <is>
          <t>3184</t>
        </is>
      </c>
      <c r="G155" s="23" t="inlineStr">
        <is>
          <t>0333</t>
        </is>
      </c>
      <c r="H155" s="23" t="inlineStr">
        <is>
          <t>Père Gregoire</t>
        </is>
      </c>
      <c r="I155" s="24" t="n">
        <v>1</v>
      </c>
      <c r="J155" s="24" t="n">
        <v>0</v>
      </c>
      <c r="K155" s="24">
        <f>J155*I155</f>
        <v/>
      </c>
      <c r="L155" s="24" t="n">
        <v>175.8</v>
      </c>
      <c r="M155" s="24" t="n">
        <v>10</v>
      </c>
      <c r="N155" s="23" t="inlineStr">
        <is>
          <t>Boissons alcoolisees (LIQUIDE - TVA 20 %)</t>
        </is>
      </c>
    </row>
    <row r="156" ht="15" customHeight="1" s="19">
      <c r="A156" s="23" t="inlineStr">
        <is>
          <t>2023-2024</t>
        </is>
      </c>
      <c r="B156" s="23" t="inlineStr">
        <is>
          <t>C-2</t>
        </is>
      </c>
      <c r="C156" s="23" t="inlineStr">
        <is>
          <t>2023-05-06</t>
        </is>
      </c>
      <c r="D156" s="23" t="inlineStr">
        <is>
          <t>20:35</t>
        </is>
      </c>
      <c r="E156" s="23" t="inlineStr">
        <is>
          <t>26</t>
        </is>
      </c>
      <c r="F156" s="23" t="inlineStr">
        <is>
          <t>3184</t>
        </is>
      </c>
      <c r="G156" s="23" t="inlineStr">
        <is>
          <t>1995</t>
        </is>
      </c>
      <c r="H156" s="23" t="inlineStr">
        <is>
          <t>Chat perché</t>
        </is>
      </c>
      <c r="I156" s="24" t="n">
        <v>2</v>
      </c>
      <c r="J156" s="24" t="n">
        <v>0</v>
      </c>
      <c r="K156" s="24">
        <f>J156*I156</f>
        <v/>
      </c>
      <c r="L156" s="24" t="n">
        <v>175.8</v>
      </c>
      <c r="M156" s="24" t="n">
        <v>20</v>
      </c>
      <c r="N156" s="23" t="inlineStr">
        <is>
          <t>Boissons alcoolisees (LIQUIDE - TVA 20 %)</t>
        </is>
      </c>
    </row>
    <row r="157" ht="15" customHeight="1" s="19">
      <c r="A157" s="23" t="inlineStr">
        <is>
          <t>2023-2024</t>
        </is>
      </c>
      <c r="B157" s="23" t="inlineStr">
        <is>
          <t>C-2</t>
        </is>
      </c>
      <c r="C157" s="23" t="inlineStr">
        <is>
          <t>2023-05-06</t>
        </is>
      </c>
      <c r="D157" s="23" t="inlineStr">
        <is>
          <t>20:35</t>
        </is>
      </c>
      <c r="E157" s="23" t="inlineStr">
        <is>
          <t>26</t>
        </is>
      </c>
      <c r="F157" s="23" t="inlineStr">
        <is>
          <t>3184</t>
        </is>
      </c>
      <c r="G157" s="23" t="inlineStr">
        <is>
          <t>0357</t>
        </is>
      </c>
      <c r="H157" s="23" t="inlineStr">
        <is>
          <t>La Vouivre</t>
        </is>
      </c>
      <c r="I157" s="24" t="n">
        <v>1</v>
      </c>
      <c r="J157" s="24" t="n">
        <v>0</v>
      </c>
      <c r="K157" s="24">
        <f>J157*I157</f>
        <v/>
      </c>
      <c r="L157" s="24" t="n">
        <v>175.8</v>
      </c>
      <c r="M157" s="24" t="n">
        <v>20</v>
      </c>
      <c r="N157" s="23" t="inlineStr">
        <is>
          <t>Boissons alcoolisees (LIQUIDE - TVA 20 %)</t>
        </is>
      </c>
    </row>
    <row r="158" ht="15" customHeight="1" s="19">
      <c r="A158" s="23" t="inlineStr">
        <is>
          <t>2023-2024</t>
        </is>
      </c>
      <c r="B158" s="23" t="inlineStr">
        <is>
          <t>C-2</t>
        </is>
      </c>
      <c r="C158" s="23" t="inlineStr">
        <is>
          <t>2023-05-06</t>
        </is>
      </c>
      <c r="D158" s="23" t="inlineStr">
        <is>
          <t>20:35</t>
        </is>
      </c>
      <c r="E158" s="23" t="inlineStr">
        <is>
          <t>26</t>
        </is>
      </c>
      <c r="F158" s="23" t="inlineStr">
        <is>
          <t>3184</t>
        </is>
      </c>
      <c r="G158" s="23" t="inlineStr">
        <is>
          <t>0111</t>
        </is>
      </c>
      <c r="H158" s="23" t="inlineStr">
        <is>
          <t>Expresso</t>
        </is>
      </c>
      <c r="I158" s="24" t="n">
        <v>1</v>
      </c>
      <c r="J158" s="24" t="n">
        <v>0</v>
      </c>
      <c r="K158" s="24">
        <f>J158*I158</f>
        <v/>
      </c>
      <c r="L158" s="24" t="n">
        <v>175.8</v>
      </c>
      <c r="M158" s="24" t="n">
        <v>10</v>
      </c>
      <c r="N158" s="23" t="inlineStr">
        <is>
          <t>Boissons non alcoolisees (LIQUIDE - TVA 10 %)</t>
        </is>
      </c>
    </row>
    <row r="159" ht="15" customHeight="1" s="19">
      <c r="A159" s="23" t="inlineStr">
        <is>
          <t>2023-2024</t>
        </is>
      </c>
      <c r="B159" s="23" t="inlineStr">
        <is>
          <t>C-2</t>
        </is>
      </c>
      <c r="C159" s="23" t="inlineStr">
        <is>
          <t>2023-05-06</t>
        </is>
      </c>
      <c r="D159" s="23" t="inlineStr">
        <is>
          <t>20:35</t>
        </is>
      </c>
      <c r="E159" s="23" t="inlineStr">
        <is>
          <t>26</t>
        </is>
      </c>
      <c r="F159" s="23" t="inlineStr">
        <is>
          <t>3184</t>
        </is>
      </c>
      <c r="G159" s="23" t="inlineStr">
        <is>
          <t>0113</t>
        </is>
      </c>
      <c r="H159" s="23" t="inlineStr">
        <is>
          <t>Expresso Crème</t>
        </is>
      </c>
      <c r="I159" s="24" t="n">
        <v>1</v>
      </c>
      <c r="J159" s="24" t="n">
        <v>0</v>
      </c>
      <c r="K159" s="24">
        <f>J159*I159</f>
        <v/>
      </c>
      <c r="L159" s="24" t="n">
        <v>175.8</v>
      </c>
      <c r="M159" s="24" t="n">
        <v>10</v>
      </c>
      <c r="N159" s="23" t="inlineStr">
        <is>
          <t>Boissons non alcoolisees (LIQUIDE - TVA 10 %)</t>
        </is>
      </c>
    </row>
    <row r="160" ht="15" customHeight="1" s="19">
      <c r="A160" s="23" t="inlineStr">
        <is>
          <t>2023-2024</t>
        </is>
      </c>
      <c r="B160" s="23" t="inlineStr">
        <is>
          <t>C-2</t>
        </is>
      </c>
      <c r="C160" s="23" t="inlineStr">
        <is>
          <t>2023-05-07</t>
        </is>
      </c>
      <c r="D160" s="23" t="inlineStr">
        <is>
          <t>11:34</t>
        </is>
      </c>
      <c r="E160" s="23" t="inlineStr">
        <is>
          <t>1</t>
        </is>
      </c>
      <c r="F160" s="23" t="inlineStr">
        <is>
          <t>3185</t>
        </is>
      </c>
      <c r="G160" s="23" t="inlineStr">
        <is>
          <t>0111</t>
        </is>
      </c>
      <c r="H160" s="23" t="inlineStr">
        <is>
          <t>Expresso</t>
        </is>
      </c>
      <c r="I160" s="24" t="n">
        <v>1</v>
      </c>
      <c r="J160" s="24" t="n">
        <v>0</v>
      </c>
      <c r="K160" s="24">
        <f>J160*I160</f>
        <v/>
      </c>
      <c r="L160" s="24" t="n">
        <v>59.2</v>
      </c>
      <c r="M160" s="24" t="n">
        <v>10</v>
      </c>
      <c r="N160" s="23" t="inlineStr">
        <is>
          <t>Boissons non alcoolisees (LIQUIDE - TVA 10 %)</t>
        </is>
      </c>
    </row>
    <row r="161" ht="15" customHeight="1" s="19">
      <c r="A161" s="23" t="inlineStr">
        <is>
          <t>2023-2024</t>
        </is>
      </c>
      <c r="B161" s="23" t="inlineStr">
        <is>
          <t>C-2</t>
        </is>
      </c>
      <c r="C161" s="23" t="inlineStr">
        <is>
          <t>2023-05-13</t>
        </is>
      </c>
      <c r="D161" s="23" t="inlineStr">
        <is>
          <t>21:18</t>
        </is>
      </c>
      <c r="E161" s="23" t="inlineStr">
        <is>
          <t>23</t>
        </is>
      </c>
      <c r="F161" s="23" t="inlineStr">
        <is>
          <t>3189</t>
        </is>
      </c>
      <c r="G161" s="23" t="inlineStr">
        <is>
          <t>1716</t>
        </is>
      </c>
      <c r="H161" s="23" t="inlineStr">
        <is>
          <t>Menu Bambin</t>
        </is>
      </c>
      <c r="I161" s="24" t="n">
        <v>1</v>
      </c>
      <c r="J161" s="24" t="n">
        <v>0</v>
      </c>
      <c r="K161" s="24">
        <f>J161*I161</f>
        <v/>
      </c>
      <c r="L161" s="24" t="n">
        <v>141.8</v>
      </c>
      <c r="M161" s="24" t="n">
        <v>10</v>
      </c>
      <c r="N161" s="23" t="inlineStr">
        <is>
          <t>Restauration (SOLIDE - TVA 10 %)</t>
        </is>
      </c>
    </row>
    <row r="162" ht="15" customHeight="1" s="19">
      <c r="A162" s="23" t="inlineStr">
        <is>
          <t>2023-2024</t>
        </is>
      </c>
      <c r="B162" s="23" t="inlineStr">
        <is>
          <t>C-2</t>
        </is>
      </c>
      <c r="C162" s="23" t="inlineStr">
        <is>
          <t>2023-05-13</t>
        </is>
      </c>
      <c r="D162" s="23" t="inlineStr">
        <is>
          <t>21:18</t>
        </is>
      </c>
      <c r="E162" s="23" t="inlineStr">
        <is>
          <t>23</t>
        </is>
      </c>
      <c r="F162" s="23" t="inlineStr">
        <is>
          <t>3189</t>
        </is>
      </c>
      <c r="G162" s="23" t="inlineStr">
        <is>
          <t>2105</t>
        </is>
      </c>
      <c r="H162" s="23" t="inlineStr">
        <is>
          <t>Sprintz</t>
        </is>
      </c>
      <c r="I162" s="24" t="n">
        <v>3</v>
      </c>
      <c r="J162" s="24" t="n">
        <v>0</v>
      </c>
      <c r="K162" s="24">
        <f>J162*I162</f>
        <v/>
      </c>
      <c r="L162" s="24" t="n">
        <v>141.8</v>
      </c>
      <c r="M162" s="24" t="n">
        <v>10</v>
      </c>
      <c r="N162" s="23" t="inlineStr">
        <is>
          <t>Restauration (SOLIDE - TVA 10 %)</t>
        </is>
      </c>
    </row>
    <row r="163" ht="15" customHeight="1" s="19">
      <c r="A163" s="23" t="inlineStr">
        <is>
          <t>2023-2024</t>
        </is>
      </c>
      <c r="B163" s="23" t="inlineStr">
        <is>
          <t>C-2</t>
        </is>
      </c>
      <c r="C163" s="23" t="inlineStr">
        <is>
          <t>2023-05-13</t>
        </is>
      </c>
      <c r="D163" s="23" t="inlineStr">
        <is>
          <t>21:18</t>
        </is>
      </c>
      <c r="E163" s="23" t="inlineStr">
        <is>
          <t>23</t>
        </is>
      </c>
      <c r="F163" s="23" t="inlineStr">
        <is>
          <t>3189</t>
        </is>
      </c>
      <c r="G163" s="23" t="inlineStr">
        <is>
          <t>1989</t>
        </is>
      </c>
      <c r="H163" s="23" t="inlineStr">
        <is>
          <t>Pinte</t>
        </is>
      </c>
      <c r="I163" s="24" t="n">
        <v>1</v>
      </c>
      <c r="J163" s="24" t="n">
        <v>0</v>
      </c>
      <c r="K163" s="24">
        <f>J163*I163</f>
        <v/>
      </c>
      <c r="L163" s="24" t="n">
        <v>141.8</v>
      </c>
      <c r="M163" s="24" t="n">
        <v>20</v>
      </c>
      <c r="N163" s="23" t="inlineStr">
        <is>
          <t>Boissons alcoolisees (LIQUIDE - TVA 20 %)</t>
        </is>
      </c>
    </row>
    <row r="164" ht="15" customHeight="1" s="19">
      <c r="A164" s="23" t="inlineStr">
        <is>
          <t>2023-2024</t>
        </is>
      </c>
      <c r="B164" s="23" t="inlineStr">
        <is>
          <t>C-2</t>
        </is>
      </c>
      <c r="C164" s="23" t="inlineStr">
        <is>
          <t>2023-05-13</t>
        </is>
      </c>
      <c r="D164" s="23" t="inlineStr">
        <is>
          <t>21:18</t>
        </is>
      </c>
      <c r="E164" s="23" t="inlineStr">
        <is>
          <t>23</t>
        </is>
      </c>
      <c r="F164" s="23" t="inlineStr">
        <is>
          <t>3189</t>
        </is>
      </c>
      <c r="G164" s="23" t="inlineStr">
        <is>
          <t>0352</t>
        </is>
      </c>
      <c r="H164" s="23" t="inlineStr">
        <is>
          <t>Sirop à l'eau</t>
        </is>
      </c>
      <c r="I164" s="24" t="n">
        <v>1</v>
      </c>
      <c r="J164" s="24" t="n">
        <v>0</v>
      </c>
      <c r="K164" s="24">
        <f>J164*I164</f>
        <v/>
      </c>
      <c r="L164" s="24" t="n">
        <v>141.8</v>
      </c>
      <c r="M164" s="24" t="n">
        <v>10</v>
      </c>
      <c r="N164" s="23" t="inlineStr">
        <is>
          <t>Boissons non alcoolisees (LIQUIDE - TVA 10 %)</t>
        </is>
      </c>
    </row>
    <row r="165" ht="15" customHeight="1" s="19">
      <c r="A165" s="23" t="inlineStr">
        <is>
          <t>2023-2024</t>
        </is>
      </c>
      <c r="B165" s="23" t="inlineStr">
        <is>
          <t>C-2</t>
        </is>
      </c>
      <c r="C165" s="23" t="inlineStr">
        <is>
          <t>2023-05-18</t>
        </is>
      </c>
      <c r="D165" s="23" t="inlineStr">
        <is>
          <t>19:54</t>
        </is>
      </c>
      <c r="E165" s="23" t="inlineStr">
        <is>
          <t>31</t>
        </is>
      </c>
      <c r="F165" s="23" t="inlineStr">
        <is>
          <t>3192</t>
        </is>
      </c>
      <c r="G165" s="23" t="inlineStr">
        <is>
          <t>0348</t>
        </is>
      </c>
      <c r="H165" s="23" t="inlineStr">
        <is>
          <t>Crémant</t>
        </is>
      </c>
      <c r="I165" s="24" t="n">
        <v>3</v>
      </c>
      <c r="J165" s="24" t="n">
        <v>0</v>
      </c>
      <c r="K165" s="24">
        <f>J165*I165</f>
        <v/>
      </c>
      <c r="L165" s="24" t="n">
        <v>157</v>
      </c>
      <c r="M165" s="24" t="n">
        <v>10</v>
      </c>
      <c r="N165" s="23" t="inlineStr">
        <is>
          <t>Boissons alcoolisees (LIQUIDE - TVA 20 %)</t>
        </is>
      </c>
    </row>
    <row r="166" ht="15" customHeight="1" s="19">
      <c r="A166" s="23" t="inlineStr">
        <is>
          <t>2023-2024</t>
        </is>
      </c>
      <c r="B166" s="23" t="inlineStr">
        <is>
          <t>C-2</t>
        </is>
      </c>
      <c r="C166" s="23" t="inlineStr">
        <is>
          <t>2023-05-18</t>
        </is>
      </c>
      <c r="D166" s="23" t="inlineStr">
        <is>
          <t>19:54</t>
        </is>
      </c>
      <c r="E166" s="23" t="inlineStr">
        <is>
          <t>31</t>
        </is>
      </c>
      <c r="F166" s="23" t="inlineStr">
        <is>
          <t>3192</t>
        </is>
      </c>
      <c r="G166" s="23" t="inlineStr">
        <is>
          <t>0106</t>
        </is>
      </c>
      <c r="H166" s="23" t="inlineStr">
        <is>
          <t>Coca (25cl)</t>
        </is>
      </c>
      <c r="I166" s="24" t="n">
        <v>1</v>
      </c>
      <c r="J166" s="24" t="n">
        <v>0</v>
      </c>
      <c r="K166" s="24">
        <f>J166*I166</f>
        <v/>
      </c>
      <c r="L166" s="24" t="n">
        <v>157</v>
      </c>
      <c r="M166" s="24" t="n">
        <v>20</v>
      </c>
      <c r="N166" s="23" t="inlineStr">
        <is>
          <t>Boissons non alcoolisees (LIQUIDE - TVA 10 %)</t>
        </is>
      </c>
    </row>
    <row r="167" ht="15" customHeight="1" s="19">
      <c r="A167" s="23" t="inlineStr">
        <is>
          <t>2023-2024</t>
        </is>
      </c>
      <c r="B167" s="23" t="inlineStr">
        <is>
          <t>C-2</t>
        </is>
      </c>
      <c r="C167" s="23" t="inlineStr">
        <is>
          <t>2023-05-19</t>
        </is>
      </c>
      <c r="D167" s="23" t="inlineStr">
        <is>
          <t>20:21</t>
        </is>
      </c>
      <c r="E167" s="23" t="inlineStr">
        <is>
          <t>28</t>
        </is>
      </c>
      <c r="F167" s="23" t="inlineStr">
        <is>
          <t>3193</t>
        </is>
      </c>
      <c r="G167" s="23" t="inlineStr">
        <is>
          <t>0333</t>
        </is>
      </c>
      <c r="H167" s="23" t="inlineStr">
        <is>
          <t>Père Gregoire</t>
        </is>
      </c>
      <c r="I167" s="24" t="n">
        <v>1</v>
      </c>
      <c r="J167" s="24" t="n">
        <v>0</v>
      </c>
      <c r="K167" s="24">
        <f>J167*I167</f>
        <v/>
      </c>
      <c r="L167" s="24" t="n">
        <v>90</v>
      </c>
      <c r="M167" s="24" t="n">
        <v>10</v>
      </c>
      <c r="N167" s="23" t="inlineStr">
        <is>
          <t>Boissons alcoolisees (LIQUIDE - TVA 20 %)</t>
        </is>
      </c>
    </row>
    <row r="168" ht="15" customHeight="1" s="19">
      <c r="A168" s="23" t="inlineStr">
        <is>
          <t>2023-2024</t>
        </is>
      </c>
      <c r="B168" s="23" t="inlineStr">
        <is>
          <t>C-2</t>
        </is>
      </c>
      <c r="C168" s="23" t="inlineStr">
        <is>
          <t>2023-05-19</t>
        </is>
      </c>
      <c r="D168" s="23" t="inlineStr">
        <is>
          <t>20:21</t>
        </is>
      </c>
      <c r="E168" s="23" t="inlineStr">
        <is>
          <t>28</t>
        </is>
      </c>
      <c r="F168" s="23" t="inlineStr">
        <is>
          <t>3193</t>
        </is>
      </c>
      <c r="G168" s="23" t="inlineStr">
        <is>
          <t>0001</t>
        </is>
      </c>
      <c r="H168" s="23" t="inlineStr">
        <is>
          <t>KITTYKIR</t>
        </is>
      </c>
      <c r="I168" s="24" t="n">
        <v>1</v>
      </c>
      <c r="J168" s="24" t="n">
        <v>0</v>
      </c>
      <c r="K168" s="24">
        <f>J168*I168</f>
        <v/>
      </c>
      <c r="L168" s="24" t="n">
        <v>90</v>
      </c>
      <c r="M168" s="24" t="n">
        <v>20</v>
      </c>
      <c r="N168" s="23" t="inlineStr">
        <is>
          <t>Boissons alcoolisees (LIQUIDE - TVA 20 %)</t>
        </is>
      </c>
    </row>
    <row r="169" ht="15" customHeight="1" s="19">
      <c r="A169" s="23" t="inlineStr">
        <is>
          <t>2023-2024</t>
        </is>
      </c>
      <c r="B169" s="23" t="inlineStr">
        <is>
          <t>C-2</t>
        </is>
      </c>
      <c r="C169" s="23" t="inlineStr">
        <is>
          <t>2023-05-19</t>
        </is>
      </c>
      <c r="D169" s="23" t="inlineStr">
        <is>
          <t>20:21</t>
        </is>
      </c>
      <c r="E169" s="23" t="inlineStr">
        <is>
          <t>28</t>
        </is>
      </c>
      <c r="F169" s="23" t="inlineStr">
        <is>
          <t>3193</t>
        </is>
      </c>
      <c r="G169" s="23" t="inlineStr">
        <is>
          <t>1734</t>
        </is>
      </c>
      <c r="H169" s="23" t="inlineStr">
        <is>
          <t>Savagnin verre</t>
        </is>
      </c>
      <c r="I169" s="24" t="n">
        <v>1</v>
      </c>
      <c r="J169" s="24" t="n">
        <v>0</v>
      </c>
      <c r="K169" s="24">
        <f>J169*I169</f>
        <v/>
      </c>
      <c r="L169" s="24" t="n">
        <v>90</v>
      </c>
      <c r="M169" s="24" t="n">
        <v>10</v>
      </c>
      <c r="N169" s="23" t="inlineStr">
        <is>
          <t>Boissons alcoolisees (LIQUIDE - TVA 20 %)</t>
        </is>
      </c>
    </row>
    <row r="170" ht="15" customHeight="1" s="19">
      <c r="A170" s="23" t="inlineStr">
        <is>
          <t>2023-2024</t>
        </is>
      </c>
      <c r="B170" s="23" t="inlineStr">
        <is>
          <t>C-2</t>
        </is>
      </c>
      <c r="C170" s="23" t="inlineStr">
        <is>
          <t>2023-05-20</t>
        </is>
      </c>
      <c r="D170" s="23" t="inlineStr">
        <is>
          <t>19:39</t>
        </is>
      </c>
      <c r="E170" s="23" t="inlineStr">
        <is>
          <t>29</t>
        </is>
      </c>
      <c r="F170" s="23" t="inlineStr">
        <is>
          <t>3194</t>
        </is>
      </c>
      <c r="G170" s="23" t="inlineStr">
        <is>
          <t>2005</t>
        </is>
      </c>
      <c r="H170" s="23" t="inlineStr">
        <is>
          <t>pression</t>
        </is>
      </c>
      <c r="I170" s="24" t="n">
        <v>1</v>
      </c>
      <c r="J170" s="24" t="n">
        <v>0</v>
      </c>
      <c r="K170" s="24">
        <f>J170*I170</f>
        <v/>
      </c>
      <c r="L170" s="24" t="n">
        <v>71.5</v>
      </c>
      <c r="M170" s="24" t="n">
        <v>10</v>
      </c>
      <c r="N170" s="23" t="inlineStr">
        <is>
          <t>Boissons alcoolisees (LIQUIDE - TVA 20 %)</t>
        </is>
      </c>
    </row>
    <row r="171" ht="15" customHeight="1" s="19">
      <c r="A171" s="23" t="inlineStr">
        <is>
          <t>2023-2024</t>
        </is>
      </c>
      <c r="B171" s="23" t="inlineStr">
        <is>
          <t>C-2</t>
        </is>
      </c>
      <c r="C171" s="23" t="inlineStr">
        <is>
          <t>2023-05-20</t>
        </is>
      </c>
      <c r="D171" s="23" t="inlineStr">
        <is>
          <t>19:39</t>
        </is>
      </c>
      <c r="E171" s="23" t="inlineStr">
        <is>
          <t>29</t>
        </is>
      </c>
      <c r="F171" s="23" t="inlineStr">
        <is>
          <t>3194</t>
        </is>
      </c>
      <c r="G171" s="23" t="inlineStr">
        <is>
          <t>0368</t>
        </is>
      </c>
      <c r="H171" s="23" t="inlineStr">
        <is>
          <t>Jus de Fruit</t>
        </is>
      </c>
      <c r="I171" s="24" t="n">
        <v>1</v>
      </c>
      <c r="J171" s="24" t="n">
        <v>0</v>
      </c>
      <c r="K171" s="24">
        <f>J171*I171</f>
        <v/>
      </c>
      <c r="L171" s="24" t="n">
        <v>71.5</v>
      </c>
      <c r="M171" s="24" t="n">
        <v>20</v>
      </c>
      <c r="N171" s="23" t="inlineStr">
        <is>
          <t>Boissons non alcoolisees (LIQUIDE - TVA 10 %)</t>
        </is>
      </c>
    </row>
    <row r="172" ht="15" customHeight="1" s="19">
      <c r="A172" s="23" t="inlineStr">
        <is>
          <t>2023-2024</t>
        </is>
      </c>
      <c r="B172" s="23" t="inlineStr">
        <is>
          <t>C-2</t>
        </is>
      </c>
      <c r="C172" s="23" t="inlineStr">
        <is>
          <t>2023-05-26</t>
        </is>
      </c>
      <c r="D172" s="23" t="inlineStr">
        <is>
          <t>21:03</t>
        </is>
      </c>
      <c r="E172" s="23" t="inlineStr">
        <is>
          <t>27</t>
        </is>
      </c>
      <c r="F172" s="23" t="inlineStr">
        <is>
          <t>3198</t>
        </is>
      </c>
      <c r="G172" s="23" t="inlineStr">
        <is>
          <t>2001</t>
        </is>
      </c>
      <c r="H172" s="23" t="inlineStr">
        <is>
          <t>Crêpe Nutella</t>
        </is>
      </c>
      <c r="I172" s="24" t="n">
        <v>1</v>
      </c>
      <c r="J172" s="24" t="n">
        <v>0</v>
      </c>
      <c r="K172" s="24">
        <f>J172*I172</f>
        <v/>
      </c>
      <c r="L172" s="24" t="n">
        <v>27.6</v>
      </c>
      <c r="M172" s="24" t="n">
        <v>10</v>
      </c>
      <c r="N172" s="23" t="inlineStr">
        <is>
          <t>Restauration (SOLIDE - TVA 10 %)</t>
        </is>
      </c>
    </row>
    <row r="173" ht="15" customHeight="1" s="19">
      <c r="A173" s="23" t="inlineStr">
        <is>
          <t>2023-2024</t>
        </is>
      </c>
      <c r="B173" s="23" t="inlineStr">
        <is>
          <t>C-2</t>
        </is>
      </c>
      <c r="C173" s="23" t="inlineStr">
        <is>
          <t>2023-05-27</t>
        </is>
      </c>
      <c r="D173" s="23" t="inlineStr">
        <is>
          <t>11:39</t>
        </is>
      </c>
      <c r="E173" s="23" t="inlineStr">
        <is>
          <t>3</t>
        </is>
      </c>
      <c r="F173" s="23" t="inlineStr">
        <is>
          <t>3199</t>
        </is>
      </c>
      <c r="G173" s="23" t="inlineStr">
        <is>
          <t>0106</t>
        </is>
      </c>
      <c r="H173" s="23" t="inlineStr">
        <is>
          <t>Coca (25cl)</t>
        </is>
      </c>
      <c r="I173" s="24" t="n">
        <v>2</v>
      </c>
      <c r="J173" s="24" t="n">
        <v>0</v>
      </c>
      <c r="K173" s="24">
        <f>J173*I173</f>
        <v/>
      </c>
      <c r="L173" s="24" t="n">
        <v>61.2</v>
      </c>
      <c r="M173" s="24" t="n">
        <v>10</v>
      </c>
      <c r="N173" s="23" t="inlineStr">
        <is>
          <t>Boissons non alcoolisees (LIQUIDE - TVA 10 %)</t>
        </is>
      </c>
    </row>
    <row r="174" ht="15" customHeight="1" s="19">
      <c r="A174" s="23" t="inlineStr">
        <is>
          <t>2023-2024</t>
        </is>
      </c>
      <c r="B174" s="23" t="inlineStr">
        <is>
          <t>C-2</t>
        </is>
      </c>
      <c r="C174" s="23" t="inlineStr">
        <is>
          <t>2023-06-10</t>
        </is>
      </c>
      <c r="D174" s="23" t="inlineStr">
        <is>
          <t>20:56</t>
        </is>
      </c>
      <c r="E174" s="23" t="inlineStr">
        <is>
          <t>30</t>
        </is>
      </c>
      <c r="F174" s="23" t="inlineStr">
        <is>
          <t>3209</t>
        </is>
      </c>
      <c r="G174" s="23" t="inlineStr">
        <is>
          <t>2001</t>
        </is>
      </c>
      <c r="H174" s="23" t="inlineStr">
        <is>
          <t>Crêpe Nutella</t>
        </is>
      </c>
      <c r="I174" s="24" t="n">
        <v>1</v>
      </c>
      <c r="J174" s="24" t="n">
        <v>0</v>
      </c>
      <c r="K174" s="24">
        <f>J174*I174</f>
        <v/>
      </c>
      <c r="L174" s="24" t="n">
        <v>89.59999999999999</v>
      </c>
      <c r="M174" s="24" t="n">
        <v>10</v>
      </c>
      <c r="N174" s="23" t="inlineStr">
        <is>
          <t>Restauration (SOLIDE - TVA 10 %)</t>
        </is>
      </c>
    </row>
    <row r="175" ht="15" customHeight="1" s="19">
      <c r="A175" s="23" t="inlineStr">
        <is>
          <t>2023-2024</t>
        </is>
      </c>
      <c r="B175" s="23" t="inlineStr">
        <is>
          <t>C-2</t>
        </is>
      </c>
      <c r="C175" s="23" t="inlineStr">
        <is>
          <t>2023-06-11</t>
        </is>
      </c>
      <c r="D175" s="23" t="inlineStr">
        <is>
          <t>20:27</t>
        </is>
      </c>
      <c r="E175" s="23" t="inlineStr">
        <is>
          <t>29</t>
        </is>
      </c>
      <c r="F175" s="23" t="inlineStr">
        <is>
          <t>3210</t>
        </is>
      </c>
      <c r="G175" s="23" t="inlineStr">
        <is>
          <t>0107</t>
        </is>
      </c>
      <c r="H175" s="23" t="inlineStr">
        <is>
          <t>Orangina (25cl)</t>
        </is>
      </c>
      <c r="I175" s="24" t="n">
        <v>1</v>
      </c>
      <c r="J175" s="24" t="n">
        <v>0</v>
      </c>
      <c r="K175" s="24">
        <f>J175*I175</f>
        <v/>
      </c>
      <c r="L175" s="24" t="n">
        <v>89.8</v>
      </c>
      <c r="M175" s="24" t="n">
        <v>10</v>
      </c>
      <c r="N175" s="23" t="inlineStr">
        <is>
          <t>Boissons non alcoolisees (LIQUIDE - TVA 10 %)</t>
        </is>
      </c>
    </row>
    <row r="176" ht="15" customHeight="1" s="19">
      <c r="A176" s="23" t="inlineStr">
        <is>
          <t>2023-2024</t>
        </is>
      </c>
      <c r="B176" s="23" t="inlineStr">
        <is>
          <t>C-2</t>
        </is>
      </c>
      <c r="C176" s="23" t="inlineStr">
        <is>
          <t>2023-06-11</t>
        </is>
      </c>
      <c r="D176" s="23" t="inlineStr">
        <is>
          <t>20:27</t>
        </is>
      </c>
      <c r="E176" s="23" t="inlineStr">
        <is>
          <t>29</t>
        </is>
      </c>
      <c r="F176" s="23" t="inlineStr">
        <is>
          <t>3210</t>
        </is>
      </c>
      <c r="G176" s="23" t="inlineStr">
        <is>
          <t>0342</t>
        </is>
      </c>
      <c r="H176" s="23" t="inlineStr">
        <is>
          <t>Fuze Tea</t>
        </is>
      </c>
      <c r="I176" s="24" t="n">
        <v>1</v>
      </c>
      <c r="J176" s="24" t="n">
        <v>0</v>
      </c>
      <c r="K176" s="24">
        <f>J176*I176</f>
        <v/>
      </c>
      <c r="L176" s="24" t="n">
        <v>89.8</v>
      </c>
      <c r="M176" s="24" t="n">
        <v>10</v>
      </c>
      <c r="N176" s="23" t="inlineStr">
        <is>
          <t>Boissons non alcoolisees (LIQUIDE - TVA 10 %)</t>
        </is>
      </c>
    </row>
    <row r="177" ht="15" customHeight="1" s="19">
      <c r="A177" s="23" t="inlineStr">
        <is>
          <t>2023-2024</t>
        </is>
      </c>
      <c r="B177" s="23" t="inlineStr">
        <is>
          <t>C-2</t>
        </is>
      </c>
      <c r="C177" s="23" t="inlineStr">
        <is>
          <t>2023-06-22</t>
        </is>
      </c>
      <c r="D177" s="23" t="inlineStr">
        <is>
          <t>12:52</t>
        </is>
      </c>
      <c r="E177" s="23" t="inlineStr">
        <is>
          <t>11</t>
        </is>
      </c>
      <c r="F177" s="23" t="inlineStr">
        <is>
          <t>3217</t>
        </is>
      </c>
      <c r="G177" s="23" t="inlineStr">
        <is>
          <t>1995</t>
        </is>
      </c>
      <c r="H177" s="23" t="inlineStr">
        <is>
          <t>Chat perché</t>
        </is>
      </c>
      <c r="I177" s="24" t="n">
        <v>2</v>
      </c>
      <c r="J177" s="24" t="n">
        <v>0</v>
      </c>
      <c r="K177" s="24">
        <f>J177*I177</f>
        <v/>
      </c>
      <c r="L177" s="24" t="n">
        <v>53</v>
      </c>
      <c r="M177" s="24" t="n">
        <v>10</v>
      </c>
      <c r="N177" s="23" t="inlineStr">
        <is>
          <t>Boissons alcoolisees (LIQUIDE - TVA 20 %)</t>
        </is>
      </c>
    </row>
    <row r="178" ht="15" customHeight="1" s="19">
      <c r="A178" s="23" t="inlineStr">
        <is>
          <t>2023-2024</t>
        </is>
      </c>
      <c r="B178" s="23" t="inlineStr">
        <is>
          <t>C-2</t>
        </is>
      </c>
      <c r="C178" s="23" t="inlineStr">
        <is>
          <t>2023-06-28</t>
        </is>
      </c>
      <c r="D178" s="23" t="inlineStr">
        <is>
          <t>12:09</t>
        </is>
      </c>
      <c r="E178" s="23" t="inlineStr">
        <is>
          <t>6</t>
        </is>
      </c>
      <c r="F178" s="23" t="inlineStr">
        <is>
          <t>3221</t>
        </is>
      </c>
      <c r="G178" s="23" t="inlineStr">
        <is>
          <t>2064</t>
        </is>
      </c>
      <c r="H178" s="23" t="inlineStr">
        <is>
          <t>Pavlova</t>
        </is>
      </c>
      <c r="I178" s="24" t="n">
        <v>1</v>
      </c>
      <c r="J178" s="24" t="n">
        <v>0</v>
      </c>
      <c r="K178" s="24">
        <f>J178*I178</f>
        <v/>
      </c>
      <c r="L178" s="24" t="n">
        <v>34.45</v>
      </c>
      <c r="M178" s="24" t="n">
        <v>10</v>
      </c>
      <c r="N178" s="23" t="inlineStr">
        <is>
          <t>Restauration (SOLIDE - TVA 10 %)</t>
        </is>
      </c>
    </row>
    <row r="179" ht="15" customHeight="1" s="19">
      <c r="A179" s="23" t="inlineStr">
        <is>
          <t>2023-2024</t>
        </is>
      </c>
      <c r="B179" s="23" t="inlineStr">
        <is>
          <t>C-2</t>
        </is>
      </c>
      <c r="C179" s="23" t="inlineStr">
        <is>
          <t>2023-06-28</t>
        </is>
      </c>
      <c r="D179" s="23" t="inlineStr">
        <is>
          <t>12:08</t>
        </is>
      </c>
      <c r="E179" s="23" t="inlineStr">
        <is>
          <t>5</t>
        </is>
      </c>
      <c r="F179" s="23" t="inlineStr">
        <is>
          <t>3221</t>
        </is>
      </c>
      <c r="G179" s="23" t="inlineStr">
        <is>
          <t>2064</t>
        </is>
      </c>
      <c r="H179" s="23" t="inlineStr">
        <is>
          <t>Pavlova</t>
        </is>
      </c>
      <c r="I179" s="24" t="n">
        <v>1</v>
      </c>
      <c r="J179" s="24" t="n">
        <v>0</v>
      </c>
      <c r="K179" s="24">
        <f>J179*I179</f>
        <v/>
      </c>
      <c r="L179" s="24" t="n">
        <v>34.45</v>
      </c>
      <c r="M179" s="24" t="n">
        <v>10</v>
      </c>
      <c r="N179" s="23" t="inlineStr">
        <is>
          <t>Restauration (SOLIDE - TVA 10 %)</t>
        </is>
      </c>
    </row>
    <row r="180" ht="15" customHeight="1" s="19">
      <c r="A180" s="23" t="inlineStr">
        <is>
          <t>2023-2024</t>
        </is>
      </c>
      <c r="B180" s="23" t="inlineStr">
        <is>
          <t>C-2</t>
        </is>
      </c>
      <c r="C180" s="23" t="inlineStr">
        <is>
          <t>2023-06-29</t>
        </is>
      </c>
      <c r="D180" s="23" t="inlineStr">
        <is>
          <t>20:13</t>
        </is>
      </c>
      <c r="E180" s="23" t="inlineStr">
        <is>
          <t>32</t>
        </is>
      </c>
      <c r="F180" s="23" t="inlineStr">
        <is>
          <t>3222</t>
        </is>
      </c>
      <c r="G180" s="23" t="inlineStr">
        <is>
          <t>0226</t>
        </is>
      </c>
      <c r="H180" s="23" t="inlineStr">
        <is>
          <t>Cidre Bouché Doux</t>
        </is>
      </c>
      <c r="I180" s="24" t="n">
        <v>1</v>
      </c>
      <c r="J180" s="24" t="n">
        <v>0</v>
      </c>
      <c r="K180" s="24">
        <f>J180*I180</f>
        <v/>
      </c>
      <c r="L180" s="24" t="n">
        <v>53.6</v>
      </c>
      <c r="M180" s="24" t="n">
        <v>10</v>
      </c>
      <c r="N180" s="23" t="inlineStr">
        <is>
          <t>Boissons alcoolisees (LIQUIDE - TVA 20 %)</t>
        </is>
      </c>
    </row>
    <row r="181" ht="15" customHeight="1" s="19">
      <c r="A181" s="23" t="inlineStr">
        <is>
          <t>2023-2024</t>
        </is>
      </c>
      <c r="B181" s="23" t="inlineStr">
        <is>
          <t>C-2</t>
        </is>
      </c>
      <c r="C181" s="23" t="inlineStr">
        <is>
          <t>2023-07-01</t>
        </is>
      </c>
      <c r="D181" s="23" t="inlineStr">
        <is>
          <t>19:45</t>
        </is>
      </c>
      <c r="E181" s="23" t="inlineStr">
        <is>
          <t>19</t>
        </is>
      </c>
      <c r="F181" s="23" t="inlineStr">
        <is>
          <t>3224</t>
        </is>
      </c>
      <c r="G181" s="23" t="inlineStr">
        <is>
          <t>0111</t>
        </is>
      </c>
      <c r="H181" s="23" t="inlineStr">
        <is>
          <t>Expresso</t>
        </is>
      </c>
      <c r="I181" s="24" t="n">
        <v>0.5</v>
      </c>
      <c r="J181" s="24" t="n">
        <v>0</v>
      </c>
      <c r="K181" s="24">
        <f>J181*I181</f>
        <v/>
      </c>
      <c r="L181" s="24" t="n">
        <v>44.41</v>
      </c>
      <c r="M181" s="24" t="n">
        <v>10</v>
      </c>
      <c r="N181" s="23" t="inlineStr">
        <is>
          <t>Boissons non alcoolisees (LIQUIDE - TVA 10 %)</t>
        </is>
      </c>
    </row>
    <row r="182" ht="15" customHeight="1" s="19">
      <c r="A182" s="23" t="inlineStr">
        <is>
          <t>2023-2024</t>
        </is>
      </c>
      <c r="B182" s="23" t="inlineStr">
        <is>
          <t>C-2</t>
        </is>
      </c>
      <c r="C182" s="23" t="inlineStr">
        <is>
          <t>2023-07-01</t>
        </is>
      </c>
      <c r="D182" s="23" t="inlineStr">
        <is>
          <t>19:45</t>
        </is>
      </c>
      <c r="E182" s="23" t="inlineStr">
        <is>
          <t>19</t>
        </is>
      </c>
      <c r="F182" s="23" t="inlineStr">
        <is>
          <t>3224</t>
        </is>
      </c>
      <c r="G182" s="23" t="inlineStr">
        <is>
          <t>1994</t>
        </is>
      </c>
      <c r="H182" s="23" t="inlineStr">
        <is>
          <t>Café Viennois</t>
        </is>
      </c>
      <c r="I182" s="24" t="n">
        <v>0.25</v>
      </c>
      <c r="J182" s="24" t="n">
        <v>0</v>
      </c>
      <c r="K182" s="24">
        <f>J182*I182</f>
        <v/>
      </c>
      <c r="L182" s="24" t="n">
        <v>44.41</v>
      </c>
      <c r="M182" s="24" t="n">
        <v>10</v>
      </c>
      <c r="N182" s="23" t="inlineStr">
        <is>
          <t>Boissons non alcoolisees (LIQUIDE - TVA 10 %)</t>
        </is>
      </c>
    </row>
    <row r="183" ht="15" customHeight="1" s="19">
      <c r="A183" s="23" t="inlineStr">
        <is>
          <t>2023-2024</t>
        </is>
      </c>
      <c r="B183" s="23" t="inlineStr">
        <is>
          <t>C-2</t>
        </is>
      </c>
      <c r="C183" s="23" t="inlineStr">
        <is>
          <t>2023-07-01</t>
        </is>
      </c>
      <c r="D183" s="23" t="inlineStr">
        <is>
          <t>19:46</t>
        </is>
      </c>
      <c r="E183" s="23" t="inlineStr">
        <is>
          <t>20</t>
        </is>
      </c>
      <c r="F183" s="23" t="inlineStr">
        <is>
          <t>3224</t>
        </is>
      </c>
      <c r="G183" s="23" t="inlineStr">
        <is>
          <t>0111</t>
        </is>
      </c>
      <c r="H183" s="23" t="inlineStr">
        <is>
          <t>Expresso</t>
        </is>
      </c>
      <c r="I183" s="24" t="n">
        <v>0.5</v>
      </c>
      <c r="J183" s="24" t="n">
        <v>0</v>
      </c>
      <c r="K183" s="24">
        <f>J183*I183</f>
        <v/>
      </c>
      <c r="L183" s="24" t="n">
        <v>44.41</v>
      </c>
      <c r="M183" s="24" t="n">
        <v>10</v>
      </c>
      <c r="N183" s="23" t="inlineStr">
        <is>
          <t>Boissons non alcoolisees (LIQUIDE - TVA 10 %)</t>
        </is>
      </c>
    </row>
    <row r="184" ht="15" customHeight="1" s="19">
      <c r="A184" s="23" t="inlineStr">
        <is>
          <t>2023-2024</t>
        </is>
      </c>
      <c r="B184" s="23" t="inlineStr">
        <is>
          <t>C-2</t>
        </is>
      </c>
      <c r="C184" s="23" t="inlineStr">
        <is>
          <t>2023-07-01</t>
        </is>
      </c>
      <c r="D184" s="23" t="inlineStr">
        <is>
          <t>19:46</t>
        </is>
      </c>
      <c r="E184" s="23" t="inlineStr">
        <is>
          <t>20</t>
        </is>
      </c>
      <c r="F184" s="23" t="inlineStr">
        <is>
          <t>3224</t>
        </is>
      </c>
      <c r="G184" s="23" t="inlineStr">
        <is>
          <t>1994</t>
        </is>
      </c>
      <c r="H184" s="23" t="inlineStr">
        <is>
          <t>Café Viennois</t>
        </is>
      </c>
      <c r="I184" s="24" t="n">
        <v>0.25</v>
      </c>
      <c r="J184" s="24" t="n">
        <v>0</v>
      </c>
      <c r="K184" s="24">
        <f>J184*I184</f>
        <v/>
      </c>
      <c r="L184" s="24" t="n">
        <v>44.41</v>
      </c>
      <c r="M184" s="24" t="n">
        <v>10</v>
      </c>
      <c r="N184" s="23" t="inlineStr">
        <is>
          <t>Boissons non alcoolisees (LIQUIDE - TVA 10 %)</t>
        </is>
      </c>
    </row>
    <row r="185" ht="15" customHeight="1" s="19">
      <c r="A185" s="23" t="inlineStr">
        <is>
          <t>2023-2024</t>
        </is>
      </c>
      <c r="B185" s="23" t="inlineStr">
        <is>
          <t>C-2</t>
        </is>
      </c>
      <c r="C185" s="23" t="inlineStr">
        <is>
          <t>2023-07-09</t>
        </is>
      </c>
      <c r="D185" s="23" t="inlineStr">
        <is>
          <t>12:02</t>
        </is>
      </c>
      <c r="E185" s="23" t="inlineStr">
        <is>
          <t>7</t>
        </is>
      </c>
      <c r="F185" s="23" t="inlineStr">
        <is>
          <t>3230</t>
        </is>
      </c>
      <c r="G185" s="23" t="inlineStr">
        <is>
          <t>0354</t>
        </is>
      </c>
      <c r="H185" s="23" t="inlineStr">
        <is>
          <t>Monaco</t>
        </is>
      </c>
      <c r="I185" s="24" t="n">
        <v>1</v>
      </c>
      <c r="J185" s="24" t="n">
        <v>0</v>
      </c>
      <c r="K185" s="24">
        <f>J185*I185</f>
        <v/>
      </c>
      <c r="L185" s="24" t="n">
        <v>46.3</v>
      </c>
      <c r="M185" s="24" t="n">
        <v>10</v>
      </c>
      <c r="N185" s="23" t="inlineStr">
        <is>
          <t>Boissons alcoolisees (LIQUIDE - TVA 20 %)</t>
        </is>
      </c>
    </row>
    <row r="186" ht="15" customHeight="1" s="19">
      <c r="A186" s="23" t="inlineStr">
        <is>
          <t>2023-2024</t>
        </is>
      </c>
      <c r="B186" s="23" t="inlineStr">
        <is>
          <t>C-2</t>
        </is>
      </c>
      <c r="C186" s="23" t="inlineStr">
        <is>
          <t>2023-07-09</t>
        </is>
      </c>
      <c r="D186" s="23" t="inlineStr">
        <is>
          <t>12:02</t>
        </is>
      </c>
      <c r="E186" s="23" t="inlineStr">
        <is>
          <t>7</t>
        </is>
      </c>
      <c r="F186" s="23" t="inlineStr">
        <is>
          <t>3230</t>
        </is>
      </c>
      <c r="G186" s="23" t="inlineStr">
        <is>
          <t>0333</t>
        </is>
      </c>
      <c r="H186" s="23" t="inlineStr">
        <is>
          <t>Père Gregoire</t>
        </is>
      </c>
      <c r="I186" s="24" t="n">
        <v>1</v>
      </c>
      <c r="J186" s="24" t="n">
        <v>0</v>
      </c>
      <c r="K186" s="24">
        <f>J186*I186</f>
        <v/>
      </c>
      <c r="L186" s="24" t="n">
        <v>46.3</v>
      </c>
      <c r="M186" s="24" t="n">
        <v>10</v>
      </c>
      <c r="N186" s="23" t="inlineStr">
        <is>
          <t>Boissons alcoolisees (LIQUIDE - TVA 20 %)</t>
        </is>
      </c>
    </row>
    <row r="187" ht="15" customHeight="1" s="19">
      <c r="A187" s="23" t="inlineStr">
        <is>
          <t>2023-2024</t>
        </is>
      </c>
      <c r="B187" s="23" t="inlineStr">
        <is>
          <t>C-2</t>
        </is>
      </c>
      <c r="C187" s="23" t="inlineStr">
        <is>
          <t>2023-07-15</t>
        </is>
      </c>
      <c r="D187" s="23" t="inlineStr">
        <is>
          <t>20:00</t>
        </is>
      </c>
      <c r="E187" s="23" t="inlineStr">
        <is>
          <t>20</t>
        </is>
      </c>
      <c r="F187" s="23" t="inlineStr">
        <is>
          <t>3234</t>
        </is>
      </c>
      <c r="G187" s="23" t="inlineStr">
        <is>
          <t>1765</t>
        </is>
      </c>
      <c r="H187" s="23" t="inlineStr">
        <is>
          <t>Crêpe nature</t>
        </is>
      </c>
      <c r="I187" s="24" t="n">
        <v>1</v>
      </c>
      <c r="J187" s="24" t="n">
        <v>0</v>
      </c>
      <c r="K187" s="24">
        <f>J187*I187</f>
        <v/>
      </c>
      <c r="L187" s="24" t="n">
        <v>183.6</v>
      </c>
      <c r="M187" s="24" t="n">
        <v>10</v>
      </c>
      <c r="N187" s="23" t="inlineStr">
        <is>
          <t>Restauration (SOLIDE - TVA 10 %)</t>
        </is>
      </c>
    </row>
    <row r="188" ht="15" customHeight="1" s="19">
      <c r="A188" s="23" t="inlineStr">
        <is>
          <t>2023-2024</t>
        </is>
      </c>
      <c r="B188" s="23" t="inlineStr">
        <is>
          <t>C-2</t>
        </is>
      </c>
      <c r="C188" s="23" t="inlineStr">
        <is>
          <t>2023-07-15</t>
        </is>
      </c>
      <c r="D188" s="23" t="inlineStr">
        <is>
          <t>20:00</t>
        </is>
      </c>
      <c r="E188" s="23" t="inlineStr">
        <is>
          <t>20</t>
        </is>
      </c>
      <c r="F188" s="23" t="inlineStr">
        <is>
          <t>3234</t>
        </is>
      </c>
      <c r="G188" s="23" t="inlineStr">
        <is>
          <t>0391</t>
        </is>
      </c>
      <c r="H188" s="23" t="inlineStr">
        <is>
          <t>Chocolat Blanc</t>
        </is>
      </c>
      <c r="I188" s="24" t="n">
        <v>1</v>
      </c>
      <c r="J188" s="24" t="n">
        <v>0</v>
      </c>
      <c r="K188" s="24">
        <f>J188*I188</f>
        <v/>
      </c>
      <c r="L188" s="24" t="n">
        <v>183.6</v>
      </c>
      <c r="M188" s="24" t="n">
        <v>10</v>
      </c>
      <c r="N188" s="23" t="inlineStr">
        <is>
          <t>Restauration (SOLIDE - TVA 10 %)</t>
        </is>
      </c>
    </row>
    <row r="189" ht="15" customHeight="1" s="19">
      <c r="A189" s="23" t="inlineStr">
        <is>
          <t>2023-2024</t>
        </is>
      </c>
      <c r="B189" s="23" t="inlineStr">
        <is>
          <t>C-2</t>
        </is>
      </c>
      <c r="C189" s="23" t="inlineStr">
        <is>
          <t>2023-07-15</t>
        </is>
      </c>
      <c r="D189" s="23" t="inlineStr">
        <is>
          <t>20:00</t>
        </is>
      </c>
      <c r="E189" s="23" t="inlineStr">
        <is>
          <t>20</t>
        </is>
      </c>
      <c r="F189" s="23" t="inlineStr">
        <is>
          <t>3234</t>
        </is>
      </c>
      <c r="G189" s="23" t="inlineStr">
        <is>
          <t>1960</t>
        </is>
      </c>
      <c r="H189" s="23" t="inlineStr">
        <is>
          <t>Chantilly</t>
        </is>
      </c>
      <c r="I189" s="24" t="n">
        <v>1</v>
      </c>
      <c r="J189" s="24" t="n">
        <v>0</v>
      </c>
      <c r="K189" s="24">
        <f>J189*I189</f>
        <v/>
      </c>
      <c r="L189" s="24" t="n">
        <v>183.6</v>
      </c>
      <c r="M189" s="24" t="n">
        <v>10</v>
      </c>
      <c r="N189" s="23" t="inlineStr">
        <is>
          <t>Restauration (SOLIDE - TVA 10 %)</t>
        </is>
      </c>
    </row>
    <row r="190" ht="15" customHeight="1" s="19">
      <c r="A190" s="23" t="inlineStr">
        <is>
          <t>2023-2024</t>
        </is>
      </c>
      <c r="B190" s="23" t="inlineStr">
        <is>
          <t>C-2</t>
        </is>
      </c>
      <c r="C190" s="23" t="inlineStr">
        <is>
          <t>2023-07-15</t>
        </is>
      </c>
      <c r="D190" s="23" t="inlineStr">
        <is>
          <t>20:00</t>
        </is>
      </c>
      <c r="E190" s="23" t="inlineStr">
        <is>
          <t>20</t>
        </is>
      </c>
      <c r="F190" s="23" t="inlineStr">
        <is>
          <t>3234</t>
        </is>
      </c>
      <c r="G190" s="23" t="inlineStr">
        <is>
          <t>1961</t>
        </is>
      </c>
      <c r="H190" s="23" t="inlineStr">
        <is>
          <t>SAUCE CHOCO/CAFE/CAR</t>
        </is>
      </c>
      <c r="I190" s="24" t="n">
        <v>1</v>
      </c>
      <c r="J190" s="24" t="n">
        <v>0</v>
      </c>
      <c r="K190" s="24">
        <f>J190*I190</f>
        <v/>
      </c>
      <c r="L190" s="24" t="n">
        <v>183.6</v>
      </c>
      <c r="M190" s="24" t="n">
        <v>10</v>
      </c>
      <c r="N190" s="23" t="inlineStr">
        <is>
          <t>Restauration (SOLIDE - TVA 10 %)</t>
        </is>
      </c>
    </row>
    <row r="191" ht="15" customHeight="1" s="19">
      <c r="A191" s="23" t="inlineStr">
        <is>
          <t>2023-2024</t>
        </is>
      </c>
      <c r="B191" s="23" t="inlineStr">
        <is>
          <t>C-2</t>
        </is>
      </c>
      <c r="C191" s="23" t="inlineStr">
        <is>
          <t>2023-07-15</t>
        </is>
      </c>
      <c r="D191" s="23" t="inlineStr">
        <is>
          <t>20:00</t>
        </is>
      </c>
      <c r="E191" s="23" t="inlineStr">
        <is>
          <t>20</t>
        </is>
      </c>
      <c r="F191" s="23" t="inlineStr">
        <is>
          <t>3234</t>
        </is>
      </c>
      <c r="G191" s="23" t="inlineStr">
        <is>
          <t>2050</t>
        </is>
      </c>
      <c r="H191" s="23" t="inlineStr">
        <is>
          <t>VALENTINE</t>
        </is>
      </c>
      <c r="I191" s="24" t="n">
        <v>2</v>
      </c>
      <c r="J191" s="24" t="n">
        <v>0</v>
      </c>
      <c r="K191" s="24">
        <f>J191*I191</f>
        <v/>
      </c>
      <c r="L191" s="24" t="n">
        <v>183.6</v>
      </c>
      <c r="M191" s="24" t="n">
        <v>10</v>
      </c>
      <c r="N191" s="23" t="inlineStr">
        <is>
          <t>Restauration (SOLIDE - TVA 10 %)</t>
        </is>
      </c>
    </row>
    <row r="192" ht="15" customHeight="1" s="19">
      <c r="A192" s="23" t="inlineStr">
        <is>
          <t>2023-2024</t>
        </is>
      </c>
      <c r="B192" s="23" t="inlineStr">
        <is>
          <t>C-2</t>
        </is>
      </c>
      <c r="C192" s="23" t="inlineStr">
        <is>
          <t>2023-07-15</t>
        </is>
      </c>
      <c r="D192" s="23" t="inlineStr">
        <is>
          <t>20:00</t>
        </is>
      </c>
      <c r="E192" s="23" t="inlineStr">
        <is>
          <t>20</t>
        </is>
      </c>
      <c r="F192" s="23" t="inlineStr">
        <is>
          <t>3234</t>
        </is>
      </c>
      <c r="G192" s="23" t="inlineStr">
        <is>
          <t>1958</t>
        </is>
      </c>
      <c r="H192" s="23" t="inlineStr">
        <is>
          <t>GLACE 2 BOULES</t>
        </is>
      </c>
      <c r="I192" s="24" t="n">
        <v>2</v>
      </c>
      <c r="J192" s="24" t="n">
        <v>0</v>
      </c>
      <c r="K192" s="24">
        <f>J192*I192</f>
        <v/>
      </c>
      <c r="L192" s="24" t="n">
        <v>183.6</v>
      </c>
      <c r="M192" s="24" t="n">
        <v>10</v>
      </c>
      <c r="N192" s="23" t="inlineStr">
        <is>
          <t>Restauration (SOLIDE - TVA 10 %)</t>
        </is>
      </c>
    </row>
    <row r="193" ht="15" customHeight="1" s="19">
      <c r="A193" s="23" t="inlineStr">
        <is>
          <t>2023-2024</t>
        </is>
      </c>
      <c r="B193" s="23" t="inlineStr">
        <is>
          <t>C-2</t>
        </is>
      </c>
      <c r="C193" s="23" t="inlineStr">
        <is>
          <t>2023-07-19</t>
        </is>
      </c>
      <c r="D193" s="23" t="inlineStr">
        <is>
          <t>20:51</t>
        </is>
      </c>
      <c r="E193" s="23" t="inlineStr">
        <is>
          <t>33</t>
        </is>
      </c>
      <c r="F193" s="23" t="inlineStr">
        <is>
          <t>3236</t>
        </is>
      </c>
      <c r="G193" s="23" t="inlineStr">
        <is>
          <t>1995</t>
        </is>
      </c>
      <c r="H193" s="23" t="inlineStr">
        <is>
          <t>Chat perché</t>
        </is>
      </c>
      <c r="I193" s="24" t="n">
        <v>1</v>
      </c>
      <c r="J193" s="24" t="n">
        <v>0</v>
      </c>
      <c r="K193" s="24">
        <f>J193*I193</f>
        <v/>
      </c>
      <c r="L193" s="24" t="n">
        <v>69.8</v>
      </c>
      <c r="M193" s="24" t="n">
        <v>10</v>
      </c>
      <c r="N193" s="23" t="inlineStr">
        <is>
          <t>Boissons alcoolisees (LIQUIDE - TVA 20 %)</t>
        </is>
      </c>
    </row>
    <row r="194" ht="15" customHeight="1" s="19">
      <c r="A194" s="23" t="inlineStr">
        <is>
          <t>2023-2024</t>
        </is>
      </c>
      <c r="B194" s="23" t="inlineStr">
        <is>
          <t>C-2</t>
        </is>
      </c>
      <c r="C194" s="23" t="inlineStr">
        <is>
          <t>2023-07-19</t>
        </is>
      </c>
      <c r="D194" s="23" t="inlineStr">
        <is>
          <t>20:51</t>
        </is>
      </c>
      <c r="E194" s="23" t="inlineStr">
        <is>
          <t>33</t>
        </is>
      </c>
      <c r="F194" s="23" t="inlineStr">
        <is>
          <t>3236</t>
        </is>
      </c>
      <c r="G194" s="23" t="inlineStr">
        <is>
          <t>0333</t>
        </is>
      </c>
      <c r="H194" s="23" t="inlineStr">
        <is>
          <t>Père Gregoire</t>
        </is>
      </c>
      <c r="I194" s="24" t="n">
        <v>1</v>
      </c>
      <c r="J194" s="24" t="n">
        <v>0</v>
      </c>
      <c r="K194" s="24">
        <f>J194*I194</f>
        <v/>
      </c>
      <c r="L194" s="24" t="n">
        <v>69.8</v>
      </c>
      <c r="M194" s="24" t="n">
        <v>20</v>
      </c>
      <c r="N194" s="23" t="inlineStr">
        <is>
          <t>Boissons alcoolisees (LIQUIDE - TVA 20 %)</t>
        </is>
      </c>
    </row>
    <row r="195" ht="15" customHeight="1" s="19">
      <c r="A195" s="23" t="inlineStr">
        <is>
          <t>2023-2024</t>
        </is>
      </c>
      <c r="B195" s="23" t="inlineStr">
        <is>
          <t>C-2</t>
        </is>
      </c>
      <c r="C195" s="23" t="inlineStr">
        <is>
          <t>2023-07-20</t>
        </is>
      </c>
      <c r="D195" s="23" t="inlineStr">
        <is>
          <t>12:09</t>
        </is>
      </c>
      <c r="E195" s="23" t="inlineStr">
        <is>
          <t>8</t>
        </is>
      </c>
      <c r="F195" s="23" t="inlineStr">
        <is>
          <t>3237</t>
        </is>
      </c>
      <c r="G195" s="23" t="inlineStr">
        <is>
          <t>0096</t>
        </is>
      </c>
      <c r="H195" s="23" t="inlineStr">
        <is>
          <t>Perrier 33cl</t>
        </is>
      </c>
      <c r="I195" s="24" t="n">
        <v>1</v>
      </c>
      <c r="J195" s="24" t="n">
        <v>0</v>
      </c>
      <c r="K195" s="24">
        <f>J195*I195</f>
        <v/>
      </c>
      <c r="L195" s="24" t="n">
        <v>29.5</v>
      </c>
      <c r="M195" s="24" t="n">
        <v>10</v>
      </c>
      <c r="N195" s="23" t="inlineStr">
        <is>
          <t>Boissons non alcoolisees (LIQUIDE - TVA 10 %)</t>
        </is>
      </c>
    </row>
    <row r="196" ht="15" customHeight="1" s="19">
      <c r="A196" s="23" t="inlineStr">
        <is>
          <t>2023-2024</t>
        </is>
      </c>
      <c r="B196" s="23" t="inlineStr">
        <is>
          <t>C-2</t>
        </is>
      </c>
      <c r="C196" s="23" t="inlineStr">
        <is>
          <t>2023-07-20</t>
        </is>
      </c>
      <c r="D196" s="23" t="inlineStr">
        <is>
          <t>12:09</t>
        </is>
      </c>
      <c r="E196" s="23" t="inlineStr">
        <is>
          <t>8</t>
        </is>
      </c>
      <c r="F196" s="23" t="inlineStr">
        <is>
          <t>3237</t>
        </is>
      </c>
      <c r="G196" s="23" t="inlineStr">
        <is>
          <t>0353</t>
        </is>
      </c>
      <c r="H196" s="23" t="inlineStr">
        <is>
          <t>Picon bière</t>
        </is>
      </c>
      <c r="I196" s="24" t="n">
        <v>1</v>
      </c>
      <c r="J196" s="24" t="n">
        <v>0</v>
      </c>
      <c r="K196" s="24">
        <f>J196*I196</f>
        <v/>
      </c>
      <c r="L196" s="24" t="n">
        <v>29.5</v>
      </c>
      <c r="M196" s="24" t="n">
        <v>10</v>
      </c>
      <c r="N196" s="23" t="inlineStr">
        <is>
          <t>Boissons alcoolisees (LIQUIDE - TVA 20 %)</t>
        </is>
      </c>
    </row>
    <row r="197" ht="15" customHeight="1" s="19">
      <c r="A197" s="23" t="inlineStr">
        <is>
          <t>2023-2024</t>
        </is>
      </c>
      <c r="B197" s="23" t="inlineStr">
        <is>
          <t>C-2</t>
        </is>
      </c>
      <c r="C197" s="23" t="inlineStr">
        <is>
          <t>2023-07-20</t>
        </is>
      </c>
      <c r="D197" s="23" t="inlineStr">
        <is>
          <t>19:28</t>
        </is>
      </c>
      <c r="E197" s="23" t="inlineStr">
        <is>
          <t>19</t>
        </is>
      </c>
      <c r="F197" s="23" t="inlineStr">
        <is>
          <t>3237</t>
        </is>
      </c>
      <c r="G197" s="23" t="inlineStr">
        <is>
          <t>0348</t>
        </is>
      </c>
      <c r="H197" s="23" t="inlineStr">
        <is>
          <t>Crémant</t>
        </is>
      </c>
      <c r="I197" s="24" t="n">
        <v>2</v>
      </c>
      <c r="J197" s="24" t="n">
        <v>0</v>
      </c>
      <c r="K197" s="24">
        <f>J197*I197</f>
        <v/>
      </c>
      <c r="L197" s="24" t="n">
        <v>86</v>
      </c>
      <c r="M197" s="24" t="n">
        <v>20</v>
      </c>
      <c r="N197" s="23" t="inlineStr">
        <is>
          <t>Boissons alcoolisees (LIQUIDE - TVA 20 %)</t>
        </is>
      </c>
    </row>
    <row r="198" ht="15" customHeight="1" s="19">
      <c r="A198" s="23" t="inlineStr">
        <is>
          <t>2023-2024</t>
        </is>
      </c>
      <c r="B198" s="23" t="inlineStr">
        <is>
          <t>C-2</t>
        </is>
      </c>
      <c r="C198" s="23" t="inlineStr">
        <is>
          <t>2023-07-20</t>
        </is>
      </c>
      <c r="D198" s="23" t="inlineStr">
        <is>
          <t>19:28</t>
        </is>
      </c>
      <c r="E198" s="23" t="inlineStr">
        <is>
          <t>19</t>
        </is>
      </c>
      <c r="F198" s="23" t="inlineStr">
        <is>
          <t>3237</t>
        </is>
      </c>
      <c r="G198" s="23" t="inlineStr">
        <is>
          <t>0106</t>
        </is>
      </c>
      <c r="H198" s="23" t="inlineStr">
        <is>
          <t>Coca (25cl)</t>
        </is>
      </c>
      <c r="I198" s="24" t="n">
        <v>1</v>
      </c>
      <c r="J198" s="24" t="n">
        <v>0</v>
      </c>
      <c r="K198" s="24">
        <f>J198*I198</f>
        <v/>
      </c>
      <c r="L198" s="24" t="n">
        <v>86</v>
      </c>
      <c r="M198" s="24" t="n">
        <v>20</v>
      </c>
      <c r="N198" s="23" t="inlineStr">
        <is>
          <t>Boissons non alcoolisees (LIQUIDE - TVA 10 %)</t>
        </is>
      </c>
    </row>
    <row r="199" ht="15" customHeight="1" s="19">
      <c r="A199" s="23" t="inlineStr">
        <is>
          <t>2023-2024</t>
        </is>
      </c>
      <c r="B199" s="23" t="inlineStr">
        <is>
          <t>C-2</t>
        </is>
      </c>
      <c r="C199" s="23" t="inlineStr">
        <is>
          <t>2023-07-20</t>
        </is>
      </c>
      <c r="D199" s="23" t="inlineStr">
        <is>
          <t>19:28</t>
        </is>
      </c>
      <c r="E199" s="23" t="inlineStr">
        <is>
          <t>19</t>
        </is>
      </c>
      <c r="F199" s="23" t="inlineStr">
        <is>
          <t>3237</t>
        </is>
      </c>
      <c r="G199" s="23" t="inlineStr">
        <is>
          <t>1813</t>
        </is>
      </c>
      <c r="H199" s="23" t="inlineStr">
        <is>
          <t>Déca</t>
        </is>
      </c>
      <c r="I199" s="24" t="n">
        <v>2</v>
      </c>
      <c r="J199" s="24" t="n">
        <v>0</v>
      </c>
      <c r="K199" s="24">
        <f>J199*I199</f>
        <v/>
      </c>
      <c r="L199" s="24" t="n">
        <v>86</v>
      </c>
      <c r="M199" s="24" t="n">
        <v>10</v>
      </c>
      <c r="N199" s="23" t="inlineStr">
        <is>
          <t>Boissons non alcoolisees (LIQUIDE - TVA 10 %)</t>
        </is>
      </c>
    </row>
    <row r="200" ht="15" customHeight="1" s="19">
      <c r="A200" s="23" t="inlineStr">
        <is>
          <t>2023-2024</t>
        </is>
      </c>
      <c r="B200" s="23" t="inlineStr">
        <is>
          <t>C-2</t>
        </is>
      </c>
      <c r="C200" s="23" t="inlineStr">
        <is>
          <t>2023-07-22</t>
        </is>
      </c>
      <c r="D200" s="23" t="inlineStr">
        <is>
          <t>11:52</t>
        </is>
      </c>
      <c r="E200" s="23" t="inlineStr">
        <is>
          <t>4</t>
        </is>
      </c>
      <c r="F200" s="23" t="inlineStr">
        <is>
          <t>3239</t>
        </is>
      </c>
      <c r="G200" s="23" t="inlineStr">
        <is>
          <t>0013</t>
        </is>
      </c>
      <c r="H200" s="23" t="inlineStr">
        <is>
          <t>Kir Bourgogne</t>
        </is>
      </c>
      <c r="I200" s="24" t="n">
        <v>2</v>
      </c>
      <c r="J200" s="24" t="n">
        <v>0</v>
      </c>
      <c r="K200" s="24">
        <f>J200*I200</f>
        <v/>
      </c>
      <c r="L200" s="24" t="n">
        <v>41.4</v>
      </c>
      <c r="M200" s="24" t="n">
        <v>10</v>
      </c>
      <c r="N200" s="23" t="inlineStr">
        <is>
          <t>Boissons alcoolisees (LIQUIDE - TVA 20 %)</t>
        </is>
      </c>
    </row>
    <row r="201" ht="15" customHeight="1" s="19">
      <c r="A201" s="23" t="inlineStr">
        <is>
          <t>2023-2024</t>
        </is>
      </c>
      <c r="B201" s="23" t="inlineStr">
        <is>
          <t>C-2</t>
        </is>
      </c>
      <c r="C201" s="23" t="inlineStr">
        <is>
          <t>2023-08-05</t>
        </is>
      </c>
      <c r="D201" s="23" t="inlineStr">
        <is>
          <t>12:07</t>
        </is>
      </c>
      <c r="E201" s="23" t="inlineStr">
        <is>
          <t>5</t>
        </is>
      </c>
      <c r="F201" s="23" t="inlineStr">
        <is>
          <t>3249</t>
        </is>
      </c>
      <c r="G201" s="23" t="inlineStr">
        <is>
          <t>0111</t>
        </is>
      </c>
      <c r="H201" s="23" t="inlineStr">
        <is>
          <t>Expresso</t>
        </is>
      </c>
      <c r="I201" s="24" t="n">
        <v>1</v>
      </c>
      <c r="J201" s="24" t="n">
        <v>0</v>
      </c>
      <c r="K201" s="24">
        <f>J201*I201</f>
        <v/>
      </c>
      <c r="L201" s="24" t="n">
        <v>33.1</v>
      </c>
      <c r="M201" s="24" t="n">
        <v>10</v>
      </c>
      <c r="N201" s="23" t="inlineStr">
        <is>
          <t>Boissons non alcoolisees (LIQUIDE - TVA 10 %)</t>
        </is>
      </c>
    </row>
    <row r="202" ht="15" customHeight="1" s="19">
      <c r="A202" s="23" t="inlineStr">
        <is>
          <t>2023-2024</t>
        </is>
      </c>
      <c r="B202" s="23" t="inlineStr">
        <is>
          <t>C-2</t>
        </is>
      </c>
      <c r="C202" s="23" t="inlineStr">
        <is>
          <t>2023-08-05</t>
        </is>
      </c>
      <c r="D202" s="23" t="inlineStr">
        <is>
          <t>20:35</t>
        </is>
      </c>
      <c r="E202" s="23" t="inlineStr">
        <is>
          <t>28</t>
        </is>
      </c>
      <c r="F202" s="23" t="inlineStr">
        <is>
          <t>3249</t>
        </is>
      </c>
      <c r="G202" s="23" t="inlineStr">
        <is>
          <t>0357</t>
        </is>
      </c>
      <c r="H202" s="23" t="inlineStr">
        <is>
          <t>La Vouivre</t>
        </is>
      </c>
      <c r="I202" s="24" t="n">
        <v>1</v>
      </c>
      <c r="J202" s="24" t="n">
        <v>0</v>
      </c>
      <c r="K202" s="24">
        <f>J202*I202</f>
        <v/>
      </c>
      <c r="L202" s="24" t="n">
        <v>72.40000000000001</v>
      </c>
      <c r="M202" s="24" t="n">
        <v>10</v>
      </c>
      <c r="N202" s="23" t="inlineStr">
        <is>
          <t>Boissons alcoolisees (LIQUIDE - TVA 20 %)</t>
        </is>
      </c>
    </row>
    <row r="203" ht="15" customHeight="1" s="19">
      <c r="A203" s="23" t="inlineStr">
        <is>
          <t>2023-2024</t>
        </is>
      </c>
      <c r="B203" s="23" t="inlineStr">
        <is>
          <t>C-2</t>
        </is>
      </c>
      <c r="C203" s="23" t="inlineStr">
        <is>
          <t>2023-08-05</t>
        </is>
      </c>
      <c r="D203" s="23" t="inlineStr">
        <is>
          <t>20:35</t>
        </is>
      </c>
      <c r="E203" s="23" t="inlineStr">
        <is>
          <t>28</t>
        </is>
      </c>
      <c r="F203" s="23" t="inlineStr">
        <is>
          <t>3249</t>
        </is>
      </c>
      <c r="G203" s="23" t="inlineStr">
        <is>
          <t>1995</t>
        </is>
      </c>
      <c r="H203" s="23" t="inlineStr">
        <is>
          <t>Chat perché</t>
        </is>
      </c>
      <c r="I203" s="24" t="n">
        <v>1</v>
      </c>
      <c r="J203" s="24" t="n">
        <v>0</v>
      </c>
      <c r="K203" s="24">
        <f>J203*I203</f>
        <v/>
      </c>
      <c r="L203" s="24" t="n">
        <v>72.40000000000001</v>
      </c>
      <c r="M203" s="24" t="n">
        <v>20</v>
      </c>
      <c r="N203" s="23" t="inlineStr">
        <is>
          <t>Boissons alcoolisees (LIQUIDE - TVA 20 %)</t>
        </is>
      </c>
    </row>
    <row r="204" ht="15" customHeight="1" s="19">
      <c r="A204" s="23" t="inlineStr">
        <is>
          <t>2023-2024</t>
        </is>
      </c>
      <c r="B204" s="23" t="inlineStr">
        <is>
          <t>C-2</t>
        </is>
      </c>
      <c r="C204" s="23" t="inlineStr">
        <is>
          <t>2023-08-05</t>
        </is>
      </c>
      <c r="D204" s="23" t="inlineStr">
        <is>
          <t>21:15</t>
        </is>
      </c>
      <c r="E204" s="23" t="inlineStr">
        <is>
          <t>32</t>
        </is>
      </c>
      <c r="F204" s="23" t="inlineStr">
        <is>
          <t>3249</t>
        </is>
      </c>
      <c r="G204" s="23" t="inlineStr">
        <is>
          <t>2113</t>
        </is>
      </c>
      <c r="H204" s="23" t="inlineStr">
        <is>
          <t>PICHET ALIGOTE 50cL</t>
        </is>
      </c>
      <c r="I204" s="24" t="n">
        <v>1</v>
      </c>
      <c r="J204" s="24" t="n">
        <v>0</v>
      </c>
      <c r="K204" s="24">
        <f>J204*I204</f>
        <v/>
      </c>
      <c r="L204" s="24" t="n">
        <v>45.1</v>
      </c>
      <c r="M204" s="24" t="n">
        <v>10</v>
      </c>
      <c r="N204" s="23" t="inlineStr">
        <is>
          <t>Boissons alcoolisees (LIQUIDE - TVA 20 %)</t>
        </is>
      </c>
    </row>
    <row r="205" ht="15" customHeight="1" s="19">
      <c r="A205" s="23" t="inlineStr">
        <is>
          <t>2023-2024</t>
        </is>
      </c>
      <c r="B205" s="23" t="inlineStr">
        <is>
          <t>C-2</t>
        </is>
      </c>
      <c r="C205" s="23" t="inlineStr">
        <is>
          <t>2023-08-09</t>
        </is>
      </c>
      <c r="D205" s="23" t="inlineStr">
        <is>
          <t>13:22</t>
        </is>
      </c>
      <c r="E205" s="23" t="inlineStr">
        <is>
          <t>19</t>
        </is>
      </c>
      <c r="F205" s="23" t="inlineStr">
        <is>
          <t>3251</t>
        </is>
      </c>
      <c r="G205" s="23" t="inlineStr">
        <is>
          <t>0368</t>
        </is>
      </c>
      <c r="H205" s="23" t="inlineStr">
        <is>
          <t>Jus de Fruit</t>
        </is>
      </c>
      <c r="I205" s="24" t="n">
        <v>2</v>
      </c>
      <c r="J205" s="24" t="n">
        <v>0</v>
      </c>
      <c r="K205" s="24">
        <f>J205*I205</f>
        <v/>
      </c>
      <c r="L205" s="24" t="n">
        <v>50.8</v>
      </c>
      <c r="M205" s="24" t="n">
        <v>10</v>
      </c>
      <c r="N205" s="23" t="inlineStr">
        <is>
          <t>Boissons non alcoolisees (LIQUIDE - TVA 10 %)</t>
        </is>
      </c>
    </row>
    <row r="206" ht="15" customHeight="1" s="19">
      <c r="A206" s="23" t="inlineStr">
        <is>
          <t>2023-2024</t>
        </is>
      </c>
      <c r="B206" s="23" t="inlineStr">
        <is>
          <t>C-2</t>
        </is>
      </c>
      <c r="C206" s="23" t="inlineStr">
        <is>
          <t>2023-08-09</t>
        </is>
      </c>
      <c r="D206" s="23" t="inlineStr">
        <is>
          <t>13:02</t>
        </is>
      </c>
      <c r="E206" s="23" t="inlineStr">
        <is>
          <t>12</t>
        </is>
      </c>
      <c r="F206" s="23" t="inlineStr">
        <is>
          <t>3251</t>
        </is>
      </c>
      <c r="G206" s="23" t="inlineStr">
        <is>
          <t>0357</t>
        </is>
      </c>
      <c r="H206" s="23" t="inlineStr">
        <is>
          <t>La Vouivre</t>
        </is>
      </c>
      <c r="I206" s="24" t="n">
        <v>4</v>
      </c>
      <c r="J206" s="24" t="n">
        <v>0</v>
      </c>
      <c r="K206" s="24">
        <f>J206*I206</f>
        <v/>
      </c>
      <c r="L206" s="24" t="n">
        <v>181.3</v>
      </c>
      <c r="M206" s="24" t="n">
        <v>10</v>
      </c>
      <c r="N206" s="23" t="inlineStr">
        <is>
          <t>Boissons alcoolisees (LIQUIDE - TVA 20 %)</t>
        </is>
      </c>
    </row>
    <row r="207" ht="15" customHeight="1" s="19">
      <c r="A207" s="23" t="inlineStr">
        <is>
          <t>2023-2024</t>
        </is>
      </c>
      <c r="B207" s="23" t="inlineStr">
        <is>
          <t>C-2</t>
        </is>
      </c>
      <c r="C207" s="23" t="inlineStr">
        <is>
          <t>2023-08-09</t>
        </is>
      </c>
      <c r="D207" s="23" t="inlineStr">
        <is>
          <t>13:02</t>
        </is>
      </c>
      <c r="E207" s="23" t="inlineStr">
        <is>
          <t>12</t>
        </is>
      </c>
      <c r="F207" s="23" t="inlineStr">
        <is>
          <t>3251</t>
        </is>
      </c>
      <c r="G207" s="23" t="inlineStr">
        <is>
          <t>0011</t>
        </is>
      </c>
      <c r="H207" s="23" t="inlineStr">
        <is>
          <t>Martini Blanc</t>
        </is>
      </c>
      <c r="I207" s="24" t="n">
        <v>1</v>
      </c>
      <c r="J207" s="24" t="n">
        <v>0</v>
      </c>
      <c r="K207" s="24">
        <f>J207*I207</f>
        <v/>
      </c>
      <c r="L207" s="24" t="n">
        <v>181.3</v>
      </c>
      <c r="M207" s="24" t="n">
        <v>20</v>
      </c>
      <c r="N207" s="23" t="inlineStr">
        <is>
          <t>Boissons alcoolisees (LIQUIDE - TVA 20 %)</t>
        </is>
      </c>
    </row>
    <row r="208" ht="15" customHeight="1" s="19">
      <c r="A208" s="23" t="inlineStr">
        <is>
          <t>2023-2024</t>
        </is>
      </c>
      <c r="B208" s="23" t="inlineStr">
        <is>
          <t>C-2</t>
        </is>
      </c>
      <c r="C208" s="23" t="inlineStr">
        <is>
          <t>2023-08-10</t>
        </is>
      </c>
      <c r="D208" s="23" t="inlineStr">
        <is>
          <t>20:39</t>
        </is>
      </c>
      <c r="E208" s="23" t="inlineStr">
        <is>
          <t>32</t>
        </is>
      </c>
      <c r="F208" s="23" t="inlineStr">
        <is>
          <t>3252</t>
        </is>
      </c>
      <c r="G208" s="23" t="inlineStr">
        <is>
          <t>1995</t>
        </is>
      </c>
      <c r="H208" s="23" t="inlineStr">
        <is>
          <t>Chat perché</t>
        </is>
      </c>
      <c r="I208" s="24" t="n">
        <v>1</v>
      </c>
      <c r="J208" s="24" t="n">
        <v>0</v>
      </c>
      <c r="K208" s="24">
        <f>J208*I208</f>
        <v/>
      </c>
      <c r="L208" s="24" t="n">
        <v>157.2</v>
      </c>
      <c r="M208" s="24" t="n">
        <v>10</v>
      </c>
      <c r="N208" s="23" t="inlineStr">
        <is>
          <t>Boissons alcoolisees (LIQUIDE - TVA 20 %)</t>
        </is>
      </c>
    </row>
    <row r="209" ht="15" customHeight="1" s="19">
      <c r="A209" s="23" t="inlineStr">
        <is>
          <t>2023-2024</t>
        </is>
      </c>
      <c r="B209" s="23" t="inlineStr">
        <is>
          <t>C-2</t>
        </is>
      </c>
      <c r="C209" s="23" t="inlineStr">
        <is>
          <t>2023-08-10</t>
        </is>
      </c>
      <c r="D209" s="23" t="inlineStr">
        <is>
          <t>20:39</t>
        </is>
      </c>
      <c r="E209" s="23" t="inlineStr">
        <is>
          <t>32</t>
        </is>
      </c>
      <c r="F209" s="23" t="inlineStr">
        <is>
          <t>3252</t>
        </is>
      </c>
      <c r="G209" s="23" t="inlineStr">
        <is>
          <t>0333</t>
        </is>
      </c>
      <c r="H209" s="23" t="inlineStr">
        <is>
          <t>Père Gregoire</t>
        </is>
      </c>
      <c r="I209" s="24" t="n">
        <v>1</v>
      </c>
      <c r="J209" s="24" t="n">
        <v>0</v>
      </c>
      <c r="K209" s="24">
        <f>J209*I209</f>
        <v/>
      </c>
      <c r="L209" s="24" t="n">
        <v>157.2</v>
      </c>
      <c r="M209" s="24" t="n">
        <v>20</v>
      </c>
      <c r="N209" s="23" t="inlineStr">
        <is>
          <t>Boissons alcoolisees (LIQUIDE - TVA 20 %)</t>
        </is>
      </c>
    </row>
    <row r="210" ht="15" customHeight="1" s="19">
      <c r="A210" s="23" t="inlineStr">
        <is>
          <t>2023-2024</t>
        </is>
      </c>
      <c r="B210" s="23" t="inlineStr">
        <is>
          <t>C-2</t>
        </is>
      </c>
      <c r="C210" s="23" t="inlineStr">
        <is>
          <t>2023-08-10</t>
        </is>
      </c>
      <c r="D210" s="23" t="inlineStr">
        <is>
          <t>20:39</t>
        </is>
      </c>
      <c r="E210" s="23" t="inlineStr">
        <is>
          <t>32</t>
        </is>
      </c>
      <c r="F210" s="23" t="inlineStr">
        <is>
          <t>3252</t>
        </is>
      </c>
      <c r="G210" s="23" t="inlineStr">
        <is>
          <t>0013</t>
        </is>
      </c>
      <c r="H210" s="23" t="inlineStr">
        <is>
          <t>Kir Bourgogne</t>
        </is>
      </c>
      <c r="I210" s="24" t="n">
        <v>1</v>
      </c>
      <c r="J210" s="24" t="n">
        <v>0</v>
      </c>
      <c r="K210" s="24">
        <f>J210*I210</f>
        <v/>
      </c>
      <c r="L210" s="24" t="n">
        <v>157.2</v>
      </c>
      <c r="M210" s="24" t="n">
        <v>20</v>
      </c>
      <c r="N210" s="23" t="inlineStr">
        <is>
          <t>Boissons alcoolisees (LIQUIDE - TVA 20 %)</t>
        </is>
      </c>
    </row>
    <row r="211" ht="15" customHeight="1" s="19">
      <c r="A211" s="23" t="inlineStr">
        <is>
          <t>2023-2024</t>
        </is>
      </c>
      <c r="B211" s="23" t="inlineStr">
        <is>
          <t>C-2</t>
        </is>
      </c>
      <c r="C211" s="23" t="inlineStr">
        <is>
          <t>2023-08-10</t>
        </is>
      </c>
      <c r="D211" s="23" t="inlineStr">
        <is>
          <t>20:39</t>
        </is>
      </c>
      <c r="E211" s="23" t="inlineStr">
        <is>
          <t>32</t>
        </is>
      </c>
      <c r="F211" s="23" t="inlineStr">
        <is>
          <t>3252</t>
        </is>
      </c>
      <c r="G211" s="23" t="inlineStr">
        <is>
          <t>2005</t>
        </is>
      </c>
      <c r="H211" s="23" t="inlineStr">
        <is>
          <t>pression</t>
        </is>
      </c>
      <c r="I211" s="24" t="n">
        <v>1</v>
      </c>
      <c r="J211" s="24" t="n">
        <v>0</v>
      </c>
      <c r="K211" s="24">
        <f>J211*I211</f>
        <v/>
      </c>
      <c r="L211" s="24" t="n">
        <v>157.2</v>
      </c>
      <c r="M211" s="24" t="n">
        <v>20</v>
      </c>
      <c r="N211" s="23" t="inlineStr">
        <is>
          <t>Boissons alcoolisees (LIQUIDE - TVA 20 %)</t>
        </is>
      </c>
    </row>
    <row r="212" ht="15" customHeight="1" s="19">
      <c r="A212" s="23" t="inlineStr">
        <is>
          <t>2023-2024</t>
        </is>
      </c>
      <c r="B212" s="23" t="inlineStr">
        <is>
          <t>C-2</t>
        </is>
      </c>
      <c r="C212" s="23" t="inlineStr">
        <is>
          <t>2023-08-10</t>
        </is>
      </c>
      <c r="D212" s="23" t="inlineStr">
        <is>
          <t>20:39</t>
        </is>
      </c>
      <c r="E212" s="23" t="inlineStr">
        <is>
          <t>32</t>
        </is>
      </c>
      <c r="F212" s="23" t="inlineStr">
        <is>
          <t>3252</t>
        </is>
      </c>
      <c r="G212" s="23" t="inlineStr">
        <is>
          <t>0001</t>
        </is>
      </c>
      <c r="H212" s="23" t="inlineStr">
        <is>
          <t>KITTYKIR</t>
        </is>
      </c>
      <c r="I212" s="24" t="n">
        <v>1</v>
      </c>
      <c r="J212" s="24" t="n">
        <v>0</v>
      </c>
      <c r="K212" s="24">
        <f>J212*I212</f>
        <v/>
      </c>
      <c r="L212" s="24" t="n">
        <v>157.2</v>
      </c>
      <c r="M212" s="24" t="n">
        <v>20</v>
      </c>
      <c r="N212" s="23" t="inlineStr">
        <is>
          <t>Boissons alcoolisees (LIQUIDE - TVA 20 %)</t>
        </is>
      </c>
    </row>
    <row r="213" ht="15" customHeight="1" s="19">
      <c r="A213" s="23" t="inlineStr">
        <is>
          <t>2023-2024</t>
        </is>
      </c>
      <c r="B213" s="23" t="inlineStr">
        <is>
          <t>C-2</t>
        </is>
      </c>
      <c r="C213" s="23" t="inlineStr">
        <is>
          <t>2023-08-10</t>
        </is>
      </c>
      <c r="D213" s="23" t="inlineStr">
        <is>
          <t>20:39</t>
        </is>
      </c>
      <c r="E213" s="23" t="inlineStr">
        <is>
          <t>32</t>
        </is>
      </c>
      <c r="F213" s="23" t="inlineStr">
        <is>
          <t>3252</t>
        </is>
      </c>
      <c r="G213" s="23" t="inlineStr">
        <is>
          <t>2009</t>
        </is>
      </c>
      <c r="H213" s="23" t="inlineStr">
        <is>
          <t>Ambrée</t>
        </is>
      </c>
      <c r="I213" s="24" t="n">
        <v>1</v>
      </c>
      <c r="J213" s="24" t="n">
        <v>0</v>
      </c>
      <c r="K213" s="24">
        <f>J213*I213</f>
        <v/>
      </c>
      <c r="L213" s="24" t="n">
        <v>157.2</v>
      </c>
      <c r="M213" s="24" t="n">
        <v>20</v>
      </c>
      <c r="N213" s="23" t="inlineStr">
        <is>
          <t>Boissons alcoolisees (LIQUIDE - TVA 20 %)</t>
        </is>
      </c>
    </row>
    <row r="214" ht="15" customHeight="1" s="19">
      <c r="A214" s="23" t="inlineStr">
        <is>
          <t>2023-2024</t>
        </is>
      </c>
      <c r="B214" s="23" t="inlineStr">
        <is>
          <t>C-2</t>
        </is>
      </c>
      <c r="C214" s="23" t="inlineStr">
        <is>
          <t>2023-08-10</t>
        </is>
      </c>
      <c r="D214" s="23" t="inlineStr">
        <is>
          <t>20:39</t>
        </is>
      </c>
      <c r="E214" s="23" t="inlineStr">
        <is>
          <t>32</t>
        </is>
      </c>
      <c r="F214" s="23" t="inlineStr">
        <is>
          <t>3252</t>
        </is>
      </c>
      <c r="G214" s="23" t="inlineStr">
        <is>
          <t>1828</t>
        </is>
      </c>
      <c r="H214" s="23" t="inlineStr">
        <is>
          <t>Arbois Trousseau Le</t>
        </is>
      </c>
      <c r="I214" s="24" t="n">
        <v>1</v>
      </c>
      <c r="J214" s="24" t="n">
        <v>0</v>
      </c>
      <c r="K214" s="24">
        <f>J214*I214</f>
        <v/>
      </c>
      <c r="L214" s="24" t="n">
        <v>157.2</v>
      </c>
      <c r="M214" s="24" t="n">
        <v>20</v>
      </c>
      <c r="N214" s="23" t="inlineStr">
        <is>
          <t>Boissons alcoolisees (LIQUIDE - TVA 20 %)</t>
        </is>
      </c>
    </row>
    <row r="215" ht="15" customHeight="1" s="19">
      <c r="A215" s="23" t="inlineStr">
        <is>
          <t>2023-2024</t>
        </is>
      </c>
      <c r="B215" s="23" t="inlineStr">
        <is>
          <t>C-2</t>
        </is>
      </c>
      <c r="C215" s="23" t="inlineStr">
        <is>
          <t>2023-08-12</t>
        </is>
      </c>
      <c r="D215" s="23" t="inlineStr">
        <is>
          <t>21:08</t>
        </is>
      </c>
      <c r="E215" s="23" t="inlineStr">
        <is>
          <t>32</t>
        </is>
      </c>
      <c r="F215" s="23" t="inlineStr">
        <is>
          <t>3254</t>
        </is>
      </c>
      <c r="G215" s="23" t="inlineStr">
        <is>
          <t>1995</t>
        </is>
      </c>
      <c r="H215" s="23" t="inlineStr">
        <is>
          <t>Chat perché</t>
        </is>
      </c>
      <c r="I215" s="24" t="n">
        <v>2</v>
      </c>
      <c r="J215" s="24" t="n">
        <v>0</v>
      </c>
      <c r="K215" s="24">
        <f>J215*I215</f>
        <v/>
      </c>
      <c r="L215" s="24" t="n">
        <v>90.09999999999999</v>
      </c>
      <c r="M215" s="24" t="n">
        <v>10</v>
      </c>
      <c r="N215" s="23" t="inlineStr">
        <is>
          <t>Boissons alcoolisees (LIQUIDE - TVA 20 %)</t>
        </is>
      </c>
    </row>
    <row r="216" ht="15" customHeight="1" s="19">
      <c r="A216" s="23" t="inlineStr">
        <is>
          <t>2023-2024</t>
        </is>
      </c>
      <c r="B216" s="23" t="inlineStr">
        <is>
          <t>C-2</t>
        </is>
      </c>
      <c r="C216" s="23" t="inlineStr">
        <is>
          <t>2023-08-12</t>
        </is>
      </c>
      <c r="D216" s="23" t="inlineStr">
        <is>
          <t>21:08</t>
        </is>
      </c>
      <c r="E216" s="23" t="inlineStr">
        <is>
          <t>32</t>
        </is>
      </c>
      <c r="F216" s="23" t="inlineStr">
        <is>
          <t>3254</t>
        </is>
      </c>
      <c r="G216" s="23" t="inlineStr">
        <is>
          <t>2043</t>
        </is>
      </c>
      <c r="H216" s="23" t="inlineStr">
        <is>
          <t>Liqueur de Poire</t>
        </is>
      </c>
      <c r="I216" s="24" t="n">
        <v>1</v>
      </c>
      <c r="J216" s="24" t="n">
        <v>0</v>
      </c>
      <c r="K216" s="24">
        <f>J216*I216</f>
        <v/>
      </c>
      <c r="L216" s="24" t="n">
        <v>90.09999999999999</v>
      </c>
      <c r="M216" s="24" t="n">
        <v>10</v>
      </c>
      <c r="N216" s="23" t="inlineStr">
        <is>
          <t>Boissons alcoolisees (LIQUIDE - TVA 20 %)</t>
        </is>
      </c>
    </row>
    <row r="217" ht="15" customHeight="1" s="19">
      <c r="A217" s="23" t="inlineStr">
        <is>
          <t>2023-2024</t>
        </is>
      </c>
      <c r="B217" s="23" t="inlineStr">
        <is>
          <t>C-2</t>
        </is>
      </c>
      <c r="C217" s="23" t="inlineStr">
        <is>
          <t>2023-08-12</t>
        </is>
      </c>
      <c r="D217" s="23" t="inlineStr">
        <is>
          <t>21:08</t>
        </is>
      </c>
      <c r="E217" s="23" t="inlineStr">
        <is>
          <t>32</t>
        </is>
      </c>
      <c r="F217" s="23" t="inlineStr">
        <is>
          <t>3254</t>
        </is>
      </c>
      <c r="G217" s="23" t="inlineStr">
        <is>
          <t>0111</t>
        </is>
      </c>
      <c r="H217" s="23" t="inlineStr">
        <is>
          <t>Expresso</t>
        </is>
      </c>
      <c r="I217" s="24" t="n">
        <v>1</v>
      </c>
      <c r="J217" s="24" t="n">
        <v>0</v>
      </c>
      <c r="K217" s="24">
        <f>J217*I217</f>
        <v/>
      </c>
      <c r="L217" s="24" t="n">
        <v>90.09999999999999</v>
      </c>
      <c r="M217" s="24" t="n">
        <v>20</v>
      </c>
      <c r="N217" s="23" t="inlineStr">
        <is>
          <t>Boissons non alcoolisees (LIQUIDE - TVA 10 %)</t>
        </is>
      </c>
    </row>
    <row r="218" ht="15" customHeight="1" s="19">
      <c r="A218" s="23" t="inlineStr">
        <is>
          <t>2023-2024</t>
        </is>
      </c>
      <c r="B218" s="23" t="inlineStr">
        <is>
          <t>C-2</t>
        </is>
      </c>
      <c r="C218" s="23" t="inlineStr">
        <is>
          <t>2023-08-25</t>
        </is>
      </c>
      <c r="D218" s="23" t="inlineStr">
        <is>
          <t>12:13</t>
        </is>
      </c>
      <c r="E218" s="23" t="inlineStr">
        <is>
          <t>5</t>
        </is>
      </c>
      <c r="F218" s="23" t="inlineStr">
        <is>
          <t>3263</t>
        </is>
      </c>
      <c r="G218" s="23" t="inlineStr">
        <is>
          <t>0002</t>
        </is>
      </c>
      <c r="H218" s="23" t="inlineStr">
        <is>
          <t>BALIDOU</t>
        </is>
      </c>
      <c r="I218" s="24" t="n">
        <v>1</v>
      </c>
      <c r="J218" s="24" t="n">
        <v>0</v>
      </c>
      <c r="K218" s="24">
        <f>J218*I218</f>
        <v/>
      </c>
      <c r="L218" s="24" t="n">
        <v>49.4</v>
      </c>
      <c r="M218" s="24" t="n">
        <v>10</v>
      </c>
      <c r="N218" s="23" t="inlineStr">
        <is>
          <t>Boissons alcoolisees (LIQUIDE - TVA 20 %)</t>
        </is>
      </c>
    </row>
    <row r="219" ht="15" customHeight="1" s="19">
      <c r="A219" s="23" t="inlineStr">
        <is>
          <t>2023-2024</t>
        </is>
      </c>
      <c r="B219" s="23" t="inlineStr">
        <is>
          <t>C-2</t>
        </is>
      </c>
      <c r="C219" s="23" t="inlineStr">
        <is>
          <t>2023-08-25</t>
        </is>
      </c>
      <c r="D219" s="23" t="inlineStr">
        <is>
          <t>12:13</t>
        </is>
      </c>
      <c r="E219" s="23" t="inlineStr">
        <is>
          <t>5</t>
        </is>
      </c>
      <c r="F219" s="23" t="inlineStr">
        <is>
          <t>3263</t>
        </is>
      </c>
      <c r="G219" s="23" t="inlineStr">
        <is>
          <t>1993</t>
        </is>
      </c>
      <c r="H219" s="23" t="inlineStr">
        <is>
          <t>Blanche des plateaux</t>
        </is>
      </c>
      <c r="I219" s="24" t="n">
        <v>1</v>
      </c>
      <c r="J219" s="24" t="n">
        <v>0</v>
      </c>
      <c r="K219" s="24">
        <f>J219*I219</f>
        <v/>
      </c>
      <c r="L219" s="24" t="n">
        <v>49.4</v>
      </c>
      <c r="M219" s="24" t="n">
        <v>20</v>
      </c>
      <c r="N219" s="23" t="inlineStr">
        <is>
          <t>Boissons alcoolisees (LIQUIDE - TVA 20 %)</t>
        </is>
      </c>
    </row>
    <row r="220" ht="15" customHeight="1" s="19">
      <c r="A220" s="23" t="inlineStr">
        <is>
          <t>2023-2024</t>
        </is>
      </c>
      <c r="B220" s="23" t="inlineStr">
        <is>
          <t>C-2</t>
        </is>
      </c>
      <c r="C220" s="23" t="inlineStr">
        <is>
          <t>2023-08-27</t>
        </is>
      </c>
      <c r="D220" s="23" t="inlineStr">
        <is>
          <t>20:06</t>
        </is>
      </c>
      <c r="E220" s="23" t="inlineStr">
        <is>
          <t>31</t>
        </is>
      </c>
      <c r="F220" s="23" t="inlineStr">
        <is>
          <t>3265</t>
        </is>
      </c>
      <c r="G220" s="23" t="inlineStr">
        <is>
          <t>0110</t>
        </is>
      </c>
      <c r="H220" s="23" t="inlineStr">
        <is>
          <t>Diabolo (25cl)</t>
        </is>
      </c>
      <c r="I220" s="24" t="n">
        <v>1</v>
      </c>
      <c r="J220" s="24" t="n">
        <v>0</v>
      </c>
      <c r="K220" s="24">
        <f>J220*I220</f>
        <v/>
      </c>
      <c r="L220" s="24" t="n">
        <v>162.2</v>
      </c>
      <c r="M220" s="24" t="n">
        <v>10</v>
      </c>
      <c r="N220" s="23" t="inlineStr">
        <is>
          <t>Boissons non alcoolisees (LIQUIDE - TVA 10 %)</t>
        </is>
      </c>
    </row>
    <row r="221" ht="15" customHeight="1" s="19">
      <c r="A221" s="23" t="inlineStr">
        <is>
          <t>2023-2024</t>
        </is>
      </c>
      <c r="B221" s="23" t="inlineStr">
        <is>
          <t>C-2</t>
        </is>
      </c>
      <c r="C221" s="23" t="inlineStr">
        <is>
          <t>2023-09-01</t>
        </is>
      </c>
      <c r="D221" s="23" t="inlineStr">
        <is>
          <t>13:19</t>
        </is>
      </c>
      <c r="E221" s="23" t="inlineStr">
        <is>
          <t>13</t>
        </is>
      </c>
      <c r="F221" s="23" t="inlineStr">
        <is>
          <t>3268</t>
        </is>
      </c>
      <c r="G221" s="23" t="inlineStr">
        <is>
          <t>0094</t>
        </is>
      </c>
      <c r="H221" s="23" t="inlineStr">
        <is>
          <t>San Pelegrino</t>
        </is>
      </c>
      <c r="I221" s="24" t="n">
        <v>1</v>
      </c>
      <c r="J221" s="24" t="n">
        <v>0</v>
      </c>
      <c r="K221" s="24">
        <f>J221*I221</f>
        <v/>
      </c>
      <c r="L221" s="24" t="n">
        <v>155.8</v>
      </c>
      <c r="M221" s="24" t="n">
        <v>10</v>
      </c>
      <c r="N221" s="23" t="inlineStr">
        <is>
          <t>Boissons non alcoolisees (LIQUIDE - TVA 10 %)</t>
        </is>
      </c>
    </row>
    <row r="222" ht="15" customHeight="1" s="19">
      <c r="A222" s="23" t="inlineStr">
        <is>
          <t>2023-2024</t>
        </is>
      </c>
      <c r="B222" s="23" t="inlineStr">
        <is>
          <t>C-2</t>
        </is>
      </c>
      <c r="C222" s="23" t="inlineStr">
        <is>
          <t>2023-09-01</t>
        </is>
      </c>
      <c r="D222" s="23" t="inlineStr">
        <is>
          <t>13:19</t>
        </is>
      </c>
      <c r="E222" s="23" t="inlineStr">
        <is>
          <t>13</t>
        </is>
      </c>
      <c r="F222" s="23" t="inlineStr">
        <is>
          <t>3268</t>
        </is>
      </c>
      <c r="G222" s="23" t="inlineStr">
        <is>
          <t>0002</t>
        </is>
      </c>
      <c r="H222" s="23" t="inlineStr">
        <is>
          <t>BALIDOU</t>
        </is>
      </c>
      <c r="I222" s="24" t="n">
        <v>1</v>
      </c>
      <c r="J222" s="24" t="n">
        <v>0</v>
      </c>
      <c r="K222" s="24">
        <f>J222*I222</f>
        <v/>
      </c>
      <c r="L222" s="24" t="n">
        <v>155.8</v>
      </c>
      <c r="M222" s="24" t="n">
        <v>10</v>
      </c>
      <c r="N222" s="23" t="inlineStr">
        <is>
          <t>Boissons alcoolisees (LIQUIDE - TVA 20 %)</t>
        </is>
      </c>
    </row>
    <row r="223" ht="15" customHeight="1" s="19">
      <c r="A223" s="23" t="inlineStr">
        <is>
          <t>2023-2024</t>
        </is>
      </c>
      <c r="B223" s="23" t="inlineStr">
        <is>
          <t>C-2</t>
        </is>
      </c>
      <c r="C223" s="23" t="inlineStr">
        <is>
          <t>2023-09-01</t>
        </is>
      </c>
      <c r="D223" s="23" t="inlineStr">
        <is>
          <t>13:19</t>
        </is>
      </c>
      <c r="E223" s="23" t="inlineStr">
        <is>
          <t>13</t>
        </is>
      </c>
      <c r="F223" s="23" t="inlineStr">
        <is>
          <t>3268</t>
        </is>
      </c>
      <c r="G223" s="23" t="inlineStr">
        <is>
          <t>1989</t>
        </is>
      </c>
      <c r="H223" s="23" t="inlineStr">
        <is>
          <t>Pinte</t>
        </is>
      </c>
      <c r="I223" s="24" t="n">
        <v>1</v>
      </c>
      <c r="J223" s="24" t="n">
        <v>0</v>
      </c>
      <c r="K223" s="24">
        <f>J223*I223</f>
        <v/>
      </c>
      <c r="L223" s="24" t="n">
        <v>155.8</v>
      </c>
      <c r="M223" s="24" t="n">
        <v>20</v>
      </c>
      <c r="N223" s="23" t="inlineStr">
        <is>
          <t>Boissons alcoolisees (LIQUIDE - TVA 20 %)</t>
        </is>
      </c>
    </row>
    <row r="224" ht="15" customHeight="1" s="19">
      <c r="A224" s="23" t="inlineStr">
        <is>
          <t>2023-2024</t>
        </is>
      </c>
      <c r="B224" s="23" t="inlineStr">
        <is>
          <t>C-2</t>
        </is>
      </c>
      <c r="C224" s="23" t="inlineStr">
        <is>
          <t>2023-09-01</t>
        </is>
      </c>
      <c r="D224" s="23" t="inlineStr">
        <is>
          <t>13:19</t>
        </is>
      </c>
      <c r="E224" s="23" t="inlineStr">
        <is>
          <t>13</t>
        </is>
      </c>
      <c r="F224" s="23" t="inlineStr">
        <is>
          <t>3268</t>
        </is>
      </c>
      <c r="G224" s="23" t="inlineStr">
        <is>
          <t>1997</t>
        </is>
      </c>
      <c r="H224" s="23" t="inlineStr">
        <is>
          <t>Luna</t>
        </is>
      </c>
      <c r="I224" s="24" t="n">
        <v>1</v>
      </c>
      <c r="J224" s="24" t="n">
        <v>0</v>
      </c>
      <c r="K224" s="24">
        <f>J224*I224</f>
        <v/>
      </c>
      <c r="L224" s="24" t="n">
        <v>155.8</v>
      </c>
      <c r="M224" s="24" t="n">
        <v>10</v>
      </c>
      <c r="N224" s="23" t="inlineStr">
        <is>
          <t>Boissons non alcoolisees (LIQUIDE - TVA 10 %)</t>
        </is>
      </c>
    </row>
    <row r="225" ht="15" customHeight="1" s="19">
      <c r="A225" s="23" t="inlineStr">
        <is>
          <t>2023-2024</t>
        </is>
      </c>
      <c r="B225" s="23" t="inlineStr">
        <is>
          <t>C-2</t>
        </is>
      </c>
      <c r="C225" s="23" t="inlineStr">
        <is>
          <t>2023-09-02</t>
        </is>
      </c>
      <c r="D225" s="23" t="inlineStr">
        <is>
          <t>20:27</t>
        </is>
      </c>
      <c r="E225" s="23" t="inlineStr">
        <is>
          <t>27</t>
        </is>
      </c>
      <c r="F225" s="23" t="inlineStr">
        <is>
          <t>3269</t>
        </is>
      </c>
      <c r="G225" s="23" t="inlineStr">
        <is>
          <t>1995</t>
        </is>
      </c>
      <c r="H225" s="23" t="inlineStr">
        <is>
          <t>Chat perché</t>
        </is>
      </c>
      <c r="I225" s="24" t="n">
        <v>2</v>
      </c>
      <c r="J225" s="24" t="n">
        <v>0</v>
      </c>
      <c r="K225" s="24">
        <f>J225*I225</f>
        <v/>
      </c>
      <c r="L225" s="24" t="n">
        <v>271.3</v>
      </c>
      <c r="M225" s="24" t="n">
        <v>10</v>
      </c>
      <c r="N225" s="23" t="inlineStr">
        <is>
          <t>Boissons alcoolisees (LIQUIDE - TVA 20 %)</t>
        </is>
      </c>
    </row>
    <row r="226" ht="15" customHeight="1" s="19">
      <c r="A226" s="23" t="inlineStr">
        <is>
          <t>2023-2024</t>
        </is>
      </c>
      <c r="B226" s="23" t="inlineStr">
        <is>
          <t>C-2</t>
        </is>
      </c>
      <c r="C226" s="23" t="inlineStr">
        <is>
          <t>2023-09-03</t>
        </is>
      </c>
      <c r="D226" s="23" t="inlineStr">
        <is>
          <t>13:04</t>
        </is>
      </c>
      <c r="E226" s="23" t="inlineStr">
        <is>
          <t>14</t>
        </is>
      </c>
      <c r="F226" s="23" t="inlineStr">
        <is>
          <t>3270</t>
        </is>
      </c>
      <c r="G226" s="23" t="inlineStr">
        <is>
          <t>2009</t>
        </is>
      </c>
      <c r="H226" s="23" t="inlineStr">
        <is>
          <t>Ambrée</t>
        </is>
      </c>
      <c r="I226" s="24" t="n">
        <v>1</v>
      </c>
      <c r="J226" s="24" t="n">
        <v>0</v>
      </c>
      <c r="K226" s="24">
        <f>J226*I226</f>
        <v/>
      </c>
      <c r="L226" s="24" t="n">
        <v>77</v>
      </c>
      <c r="M226" s="24" t="n">
        <v>10</v>
      </c>
      <c r="N226" s="23" t="inlineStr">
        <is>
          <t>Boissons alcoolisees (LIQUIDE - TVA 20 %)</t>
        </is>
      </c>
    </row>
    <row r="227" ht="15" customHeight="1" s="19">
      <c r="A227" s="23" t="inlineStr">
        <is>
          <t>2023-2024</t>
        </is>
      </c>
      <c r="B227" s="23" t="inlineStr">
        <is>
          <t>C-2</t>
        </is>
      </c>
      <c r="C227" s="23" t="inlineStr">
        <is>
          <t>2023-09-03</t>
        </is>
      </c>
      <c r="D227" s="23" t="inlineStr">
        <is>
          <t>13:04</t>
        </is>
      </c>
      <c r="E227" s="23" t="inlineStr">
        <is>
          <t>14</t>
        </is>
      </c>
      <c r="F227" s="23" t="inlineStr">
        <is>
          <t>3270</t>
        </is>
      </c>
      <c r="G227" s="23" t="inlineStr">
        <is>
          <t>1997</t>
        </is>
      </c>
      <c r="H227" s="23" t="inlineStr">
        <is>
          <t>Luna</t>
        </is>
      </c>
      <c r="I227" s="24" t="n">
        <v>1</v>
      </c>
      <c r="J227" s="24" t="n">
        <v>0</v>
      </c>
      <c r="K227" s="24">
        <f>J227*I227</f>
        <v/>
      </c>
      <c r="L227" s="24" t="n">
        <v>77</v>
      </c>
      <c r="M227" s="24" t="n">
        <v>20</v>
      </c>
      <c r="N227" s="23" t="inlineStr">
        <is>
          <t>Boissons non alcoolisees (LIQUIDE - TVA 10 %)</t>
        </is>
      </c>
    </row>
    <row r="228" ht="15" customHeight="1" s="19">
      <c r="A228" s="23" t="inlineStr">
        <is>
          <t>2023-2024</t>
        </is>
      </c>
      <c r="B228" s="23" t="inlineStr">
        <is>
          <t>C-2</t>
        </is>
      </c>
      <c r="C228" s="23" t="inlineStr">
        <is>
          <t>2023-09-07</t>
        </is>
      </c>
      <c r="D228" s="23" t="inlineStr">
        <is>
          <t>20:28</t>
        </is>
      </c>
      <c r="E228" s="23" t="inlineStr">
        <is>
          <t>32</t>
        </is>
      </c>
      <c r="F228" s="23" t="inlineStr">
        <is>
          <t>3272</t>
        </is>
      </c>
      <c r="G228" s="23" t="inlineStr">
        <is>
          <t>1989</t>
        </is>
      </c>
      <c r="H228" s="23" t="inlineStr">
        <is>
          <t>Pinte</t>
        </is>
      </c>
      <c r="I228" s="24" t="n">
        <v>1</v>
      </c>
      <c r="J228" s="24" t="n">
        <v>0</v>
      </c>
      <c r="K228" s="24">
        <f>J228*I228</f>
        <v/>
      </c>
      <c r="L228" s="24" t="n">
        <v>62.95</v>
      </c>
      <c r="M228" s="24" t="n">
        <v>10</v>
      </c>
      <c r="N228" s="23" t="inlineStr">
        <is>
          <t>Boissons alcoolisees (LIQUIDE - TVA 20 %)</t>
        </is>
      </c>
    </row>
    <row r="229" ht="15" customHeight="1" s="19">
      <c r="A229" s="23" t="inlineStr">
        <is>
          <t>2023-2024</t>
        </is>
      </c>
      <c r="B229" s="23" t="inlineStr">
        <is>
          <t>C-2</t>
        </is>
      </c>
      <c r="C229" s="23" t="inlineStr">
        <is>
          <t>2023-09-07</t>
        </is>
      </c>
      <c r="D229" s="23" t="inlineStr">
        <is>
          <t>20:28</t>
        </is>
      </c>
      <c r="E229" s="23" t="inlineStr">
        <is>
          <t>32</t>
        </is>
      </c>
      <c r="F229" s="23" t="inlineStr">
        <is>
          <t>3272</t>
        </is>
      </c>
      <c r="G229" s="23" t="inlineStr">
        <is>
          <t>2105</t>
        </is>
      </c>
      <c r="H229" s="23" t="inlineStr">
        <is>
          <t>Sprintz</t>
        </is>
      </c>
      <c r="I229" s="24" t="n">
        <v>1</v>
      </c>
      <c r="J229" s="24" t="n">
        <v>0</v>
      </c>
      <c r="K229" s="24">
        <f>J229*I229</f>
        <v/>
      </c>
      <c r="L229" s="24" t="n">
        <v>62.95</v>
      </c>
      <c r="M229" s="24" t="n">
        <v>10</v>
      </c>
      <c r="N229" s="23" t="inlineStr">
        <is>
          <t>Restauration (SOLIDE - TVA 10 %)</t>
        </is>
      </c>
    </row>
    <row r="230" ht="15" customHeight="1" s="19">
      <c r="A230" s="23" t="inlineStr">
        <is>
          <t>2023-2024</t>
        </is>
      </c>
      <c r="B230" s="23" t="inlineStr">
        <is>
          <t>C-2</t>
        </is>
      </c>
      <c r="C230" s="23" t="inlineStr">
        <is>
          <t>2023-09-07</t>
        </is>
      </c>
      <c r="D230" s="23" t="inlineStr">
        <is>
          <t>20:27</t>
        </is>
      </c>
      <c r="E230" s="23" t="inlineStr">
        <is>
          <t>31</t>
        </is>
      </c>
      <c r="F230" s="23" t="inlineStr">
        <is>
          <t>3272</t>
        </is>
      </c>
      <c r="G230" s="23" t="inlineStr">
        <is>
          <t>1989</t>
        </is>
      </c>
      <c r="H230" s="23" t="inlineStr">
        <is>
          <t>Pinte</t>
        </is>
      </c>
      <c r="I230" s="24" t="n">
        <v>1</v>
      </c>
      <c r="J230" s="24" t="n">
        <v>0</v>
      </c>
      <c r="K230" s="24">
        <f>J230*I230</f>
        <v/>
      </c>
      <c r="L230" s="24" t="n">
        <v>62.95</v>
      </c>
      <c r="M230" s="24" t="n">
        <v>10</v>
      </c>
      <c r="N230" s="23" t="inlineStr">
        <is>
          <t>Boissons alcoolisees (LIQUIDE - TVA 20 %)</t>
        </is>
      </c>
    </row>
    <row r="231" ht="15" customHeight="1" s="19">
      <c r="A231" s="23" t="inlineStr">
        <is>
          <t>2023-2024</t>
        </is>
      </c>
      <c r="B231" s="23" t="inlineStr">
        <is>
          <t>C-2</t>
        </is>
      </c>
      <c r="C231" s="23" t="inlineStr">
        <is>
          <t>2023-09-07</t>
        </is>
      </c>
      <c r="D231" s="23" t="inlineStr">
        <is>
          <t>20:27</t>
        </is>
      </c>
      <c r="E231" s="23" t="inlineStr">
        <is>
          <t>31</t>
        </is>
      </c>
      <c r="F231" s="23" t="inlineStr">
        <is>
          <t>3272</t>
        </is>
      </c>
      <c r="G231" s="23" t="inlineStr">
        <is>
          <t>2105</t>
        </is>
      </c>
      <c r="H231" s="23" t="inlineStr">
        <is>
          <t>Sprintz</t>
        </is>
      </c>
      <c r="I231" s="24" t="n">
        <v>1</v>
      </c>
      <c r="J231" s="24" t="n">
        <v>0</v>
      </c>
      <c r="K231" s="24">
        <f>J231*I231</f>
        <v/>
      </c>
      <c r="L231" s="24" t="n">
        <v>62.95</v>
      </c>
      <c r="M231" s="24" t="n">
        <v>10</v>
      </c>
      <c r="N231" s="23" t="inlineStr">
        <is>
          <t>Restauration (SOLIDE - TVA 10 %)</t>
        </is>
      </c>
    </row>
    <row r="232" ht="15" customHeight="1" s="19">
      <c r="A232" s="23" t="inlineStr">
        <is>
          <t>2023-2024</t>
        </is>
      </c>
      <c r="B232" s="23" t="inlineStr">
        <is>
          <t>C-2</t>
        </is>
      </c>
      <c r="C232" s="23" t="inlineStr">
        <is>
          <t>2023-09-09</t>
        </is>
      </c>
      <c r="D232" s="23" t="inlineStr">
        <is>
          <t>20:39</t>
        </is>
      </c>
      <c r="E232" s="23" t="inlineStr">
        <is>
          <t>40</t>
        </is>
      </c>
      <c r="F232" s="23" t="inlineStr">
        <is>
          <t>3274</t>
        </is>
      </c>
      <c r="G232" s="23" t="inlineStr">
        <is>
          <t>0092</t>
        </is>
      </c>
      <c r="H232" s="23" t="inlineStr">
        <is>
          <t>Vittel litre</t>
        </is>
      </c>
      <c r="I232" s="24" t="n">
        <v>0.75</v>
      </c>
      <c r="J232" s="24" t="n">
        <v>0</v>
      </c>
      <c r="K232" s="24">
        <f>J232*I232</f>
        <v/>
      </c>
      <c r="L232" s="24" t="n">
        <v>82.34</v>
      </c>
      <c r="M232" s="24" t="n">
        <v>10</v>
      </c>
      <c r="N232" s="23" t="inlineStr">
        <is>
          <t>Boissons non alcoolisees (LIQUIDE - TVA 10 %)</t>
        </is>
      </c>
    </row>
    <row r="233" ht="15" customHeight="1" s="19">
      <c r="A233" s="23" t="inlineStr">
        <is>
          <t>2023-2024</t>
        </is>
      </c>
      <c r="B233" s="23" t="inlineStr">
        <is>
          <t>C-2</t>
        </is>
      </c>
      <c r="C233" s="23" t="inlineStr">
        <is>
          <t>2023-09-09</t>
        </is>
      </c>
      <c r="D233" s="23" t="inlineStr">
        <is>
          <t>20:38</t>
        </is>
      </c>
      <c r="E233" s="23" t="inlineStr">
        <is>
          <t>39</t>
        </is>
      </c>
      <c r="F233" s="23" t="inlineStr">
        <is>
          <t>3274</t>
        </is>
      </c>
      <c r="G233" s="23" t="inlineStr">
        <is>
          <t>0092</t>
        </is>
      </c>
      <c r="H233" s="23" t="inlineStr">
        <is>
          <t>Vittel litre</t>
        </is>
      </c>
      <c r="I233" s="24" t="n">
        <v>0.25</v>
      </c>
      <c r="J233" s="24" t="n">
        <v>0</v>
      </c>
      <c r="K233" s="24">
        <f>J233*I233</f>
        <v/>
      </c>
      <c r="L233" s="24" t="n">
        <v>27.46</v>
      </c>
      <c r="M233" s="24" t="n">
        <v>20</v>
      </c>
      <c r="N233" s="23" t="inlineStr">
        <is>
          <t>Boissons non alcoolisees (LIQUIDE - TVA 10 %)</t>
        </is>
      </c>
    </row>
    <row r="234" ht="15" customHeight="1" s="19">
      <c r="A234" s="23" t="inlineStr">
        <is>
          <t>2023-2024</t>
        </is>
      </c>
      <c r="B234" s="23" t="inlineStr">
        <is>
          <t>C-2</t>
        </is>
      </c>
      <c r="C234" s="23" t="inlineStr">
        <is>
          <t>2023-12-17</t>
        </is>
      </c>
      <c r="D234" s="23" t="inlineStr">
        <is>
          <t>12:18</t>
        </is>
      </c>
      <c r="E234" s="23" t="inlineStr">
        <is>
          <t>5</t>
        </is>
      </c>
      <c r="F234" s="23" t="inlineStr">
        <is>
          <t>3342</t>
        </is>
      </c>
      <c r="G234" s="23" t="inlineStr">
        <is>
          <t>0110</t>
        </is>
      </c>
      <c r="H234" s="23" t="inlineStr">
        <is>
          <t>Diabolo (25cl)</t>
        </is>
      </c>
      <c r="I234" s="24" t="n">
        <v>2</v>
      </c>
      <c r="J234" s="24" t="n">
        <v>0</v>
      </c>
      <c r="K234" s="24">
        <f>J234*I234</f>
        <v/>
      </c>
      <c r="L234" s="24" t="n">
        <v>98.40000000000001</v>
      </c>
      <c r="M234" s="24" t="n">
        <v>10</v>
      </c>
      <c r="N234" s="23" t="inlineStr">
        <is>
          <t>Boissons non alcoolisees (LIQUIDE - TVA 10 %)</t>
        </is>
      </c>
    </row>
    <row r="235" ht="15" customHeight="1" s="19">
      <c r="A235" s="23" t="inlineStr">
        <is>
          <t>2023-2024</t>
        </is>
      </c>
      <c r="B235" s="23" t="inlineStr">
        <is>
          <t>C-2</t>
        </is>
      </c>
      <c r="C235" s="23" t="inlineStr">
        <is>
          <t>2023-12-17</t>
        </is>
      </c>
      <c r="D235" s="23" t="inlineStr">
        <is>
          <t>12:18</t>
        </is>
      </c>
      <c r="E235" s="23" t="inlineStr">
        <is>
          <t>5</t>
        </is>
      </c>
      <c r="F235" s="23" t="inlineStr">
        <is>
          <t>3342</t>
        </is>
      </c>
      <c r="G235" s="23" t="inlineStr">
        <is>
          <t>0352</t>
        </is>
      </c>
      <c r="H235" s="23" t="inlineStr">
        <is>
          <t>Sirop à l'eau</t>
        </is>
      </c>
      <c r="I235" s="24" t="n">
        <v>1</v>
      </c>
      <c r="J235" s="24" t="n">
        <v>0</v>
      </c>
      <c r="K235" s="24">
        <f>J235*I235</f>
        <v/>
      </c>
      <c r="L235" s="24" t="n">
        <v>98.40000000000001</v>
      </c>
      <c r="M235" s="24" t="n">
        <v>10</v>
      </c>
      <c r="N235" s="23" t="inlineStr">
        <is>
          <t>Boissons non alcoolisees (LIQUIDE - TVA 10 %)</t>
        </is>
      </c>
    </row>
    <row r="236" ht="15" customHeight="1" s="19">
      <c r="A236" s="23" t="inlineStr">
        <is>
          <t>2023-2024</t>
        </is>
      </c>
      <c r="B236" s="23" t="inlineStr">
        <is>
          <t>C-2</t>
        </is>
      </c>
      <c r="C236" s="23" t="inlineStr">
        <is>
          <t>2023-12-17</t>
        </is>
      </c>
      <c r="D236" s="23" t="inlineStr">
        <is>
          <t>12:18</t>
        </is>
      </c>
      <c r="E236" s="23" t="inlineStr">
        <is>
          <t>5</t>
        </is>
      </c>
      <c r="F236" s="23" t="inlineStr">
        <is>
          <t>3342</t>
        </is>
      </c>
      <c r="G236" s="23" t="inlineStr">
        <is>
          <t>0333</t>
        </is>
      </c>
      <c r="H236" s="23" t="inlineStr">
        <is>
          <t>Père Gregoire</t>
        </is>
      </c>
      <c r="I236" s="24" t="n">
        <v>1</v>
      </c>
      <c r="J236" s="24" t="n">
        <v>0</v>
      </c>
      <c r="K236" s="24">
        <f>J236*I236</f>
        <v/>
      </c>
      <c r="L236" s="24" t="n">
        <v>98.40000000000001</v>
      </c>
      <c r="M236" s="24" t="n">
        <v>10</v>
      </c>
      <c r="N236" s="23" t="inlineStr">
        <is>
          <t>Boissons alcoolisees (LIQUIDE - TVA 20 %)</t>
        </is>
      </c>
    </row>
    <row r="237" ht="15" customHeight="1" s="19">
      <c r="A237" s="23" t="inlineStr">
        <is>
          <t>2023-2024</t>
        </is>
      </c>
      <c r="B237" s="23" t="inlineStr">
        <is>
          <t>C-2</t>
        </is>
      </c>
      <c r="C237" s="23" t="inlineStr">
        <is>
          <t>2023-12-17</t>
        </is>
      </c>
      <c r="D237" s="23" t="inlineStr">
        <is>
          <t>12:18</t>
        </is>
      </c>
      <c r="E237" s="23" t="inlineStr">
        <is>
          <t>5</t>
        </is>
      </c>
      <c r="F237" s="23" t="inlineStr">
        <is>
          <t>3342</t>
        </is>
      </c>
      <c r="G237" s="23" t="inlineStr">
        <is>
          <t>1957</t>
        </is>
      </c>
      <c r="H237" s="23" t="inlineStr">
        <is>
          <t>GLACE 1 BOULE</t>
        </is>
      </c>
      <c r="I237" s="24" t="n">
        <v>1</v>
      </c>
      <c r="J237" s="24" t="n">
        <v>0</v>
      </c>
      <c r="K237" s="24">
        <f>J237*I237</f>
        <v/>
      </c>
      <c r="L237" s="24" t="n">
        <v>98.40000000000001</v>
      </c>
      <c r="M237" s="24" t="n">
        <v>20</v>
      </c>
      <c r="N237" s="23" t="inlineStr">
        <is>
          <t>Restauration (SOLIDE - TVA 10 %)</t>
        </is>
      </c>
    </row>
    <row r="238" ht="15" customHeight="1" s="19">
      <c r="A238" s="23" t="inlineStr">
        <is>
          <t>2023-2024</t>
        </is>
      </c>
      <c r="B238" s="23" t="inlineStr">
        <is>
          <t>C-2</t>
        </is>
      </c>
      <c r="C238" s="23" t="inlineStr">
        <is>
          <t>2023-12-17</t>
        </is>
      </c>
      <c r="D238" s="23" t="inlineStr">
        <is>
          <t>12:18</t>
        </is>
      </c>
      <c r="E238" s="23" t="inlineStr">
        <is>
          <t>5</t>
        </is>
      </c>
      <c r="F238" s="23" t="inlineStr">
        <is>
          <t>3342</t>
        </is>
      </c>
      <c r="G238" s="23" t="inlineStr">
        <is>
          <t>1958</t>
        </is>
      </c>
      <c r="H238" s="23" t="inlineStr">
        <is>
          <t>GLACE 2 BOULES</t>
        </is>
      </c>
      <c r="I238" s="24" t="n">
        <v>3</v>
      </c>
      <c r="J238" s="24" t="n">
        <v>0</v>
      </c>
      <c r="K238" s="24">
        <f>J238*I238</f>
        <v/>
      </c>
      <c r="L238" s="24" t="n">
        <v>98.40000000000001</v>
      </c>
      <c r="M238" s="24" t="n">
        <v>10</v>
      </c>
      <c r="N238" s="23" t="inlineStr">
        <is>
          <t>Restauration (SOLIDE - TVA 10 %)</t>
        </is>
      </c>
    </row>
    <row r="239" ht="15" customHeight="1" s="19">
      <c r="A239" s="23" t="inlineStr">
        <is>
          <t>2023-2024</t>
        </is>
      </c>
      <c r="B239" s="23" t="inlineStr">
        <is>
          <t>C-2</t>
        </is>
      </c>
      <c r="C239" s="23" t="inlineStr">
        <is>
          <t>2024-03-07</t>
        </is>
      </c>
      <c r="D239" s="23" t="inlineStr">
        <is>
          <t>18:43</t>
        </is>
      </c>
      <c r="E239" s="23" t="inlineStr">
        <is>
          <t>7</t>
        </is>
      </c>
      <c r="F239" s="23" t="inlineStr">
        <is>
          <t>3360</t>
        </is>
      </c>
      <c r="G239" s="23" t="inlineStr">
        <is>
          <t>0003</t>
        </is>
      </c>
      <c r="H239" s="23" t="inlineStr">
        <is>
          <t>Macvin du Jura</t>
        </is>
      </c>
      <c r="I239" s="24" t="n">
        <v>1</v>
      </c>
      <c r="J239" s="24" t="n">
        <v>0</v>
      </c>
      <c r="K239" s="24">
        <f>J239*I239</f>
        <v/>
      </c>
      <c r="L239" s="24" t="n">
        <v>57.4</v>
      </c>
      <c r="M239" s="24" t="n">
        <v>10</v>
      </c>
      <c r="N239" s="23" t="inlineStr">
        <is>
          <t>Boissons alcoolisees (LIQUIDE - TVA 20 %)</t>
        </is>
      </c>
    </row>
    <row r="240" ht="15" customHeight="1" s="19">
      <c r="A240" s="23" t="inlineStr">
        <is>
          <t>2023-2024</t>
        </is>
      </c>
      <c r="B240" s="23" t="inlineStr">
        <is>
          <t>C-2</t>
        </is>
      </c>
      <c r="C240" s="23" t="inlineStr">
        <is>
          <t>2024-03-07</t>
        </is>
      </c>
      <c r="D240" s="23" t="inlineStr">
        <is>
          <t>18:43</t>
        </is>
      </c>
      <c r="E240" s="23" t="inlineStr">
        <is>
          <t>7</t>
        </is>
      </c>
      <c r="F240" s="23" t="inlineStr">
        <is>
          <t>3360</t>
        </is>
      </c>
      <c r="G240" s="23" t="inlineStr">
        <is>
          <t>1734</t>
        </is>
      </c>
      <c r="H240" s="23" t="inlineStr">
        <is>
          <t>Savagnin verre</t>
        </is>
      </c>
      <c r="I240" s="24" t="n">
        <v>1</v>
      </c>
      <c r="J240" s="24" t="n">
        <v>0</v>
      </c>
      <c r="K240" s="24">
        <f>J240*I240</f>
        <v/>
      </c>
      <c r="L240" s="24" t="n">
        <v>57.4</v>
      </c>
      <c r="M240" s="24" t="n">
        <v>20</v>
      </c>
      <c r="N240" s="23" t="inlineStr">
        <is>
          <t>Boissons alcoolisees (LIQUIDE - TVA 20 %)</t>
        </is>
      </c>
    </row>
    <row r="241" ht="15" customHeight="1" s="19">
      <c r="A241" s="23" t="inlineStr">
        <is>
          <t>2023-2024</t>
        </is>
      </c>
      <c r="B241" s="23" t="inlineStr">
        <is>
          <t>C-2</t>
        </is>
      </c>
      <c r="C241" s="23" t="inlineStr">
        <is>
          <t>2024-03-14</t>
        </is>
      </c>
      <c r="D241" s="23" t="inlineStr">
        <is>
          <t>19:26</t>
        </is>
      </c>
      <c r="E241" s="23" t="inlineStr">
        <is>
          <t>16</t>
        </is>
      </c>
      <c r="F241" s="23" t="inlineStr">
        <is>
          <t>3365</t>
        </is>
      </c>
      <c r="G241" s="23" t="inlineStr">
        <is>
          <t>2040</t>
        </is>
      </c>
      <c r="H241" s="23" t="inlineStr">
        <is>
          <t>Vieux Marc Bourgogne</t>
        </is>
      </c>
      <c r="I241" s="24" t="n">
        <v>1</v>
      </c>
      <c r="J241" s="24" t="n">
        <v>0</v>
      </c>
      <c r="K241" s="24">
        <f>J241*I241</f>
        <v/>
      </c>
      <c r="L241" s="24" t="n">
        <v>59.2</v>
      </c>
      <c r="M241" s="24" t="n">
        <v>20</v>
      </c>
      <c r="N241" s="23" t="inlineStr">
        <is>
          <t>Boissons alcoolisees (LIQUIDE - TVA 20 %)</t>
        </is>
      </c>
    </row>
    <row r="242" ht="15" customHeight="1" s="19">
      <c r="A242" s="23" t="inlineStr">
        <is>
          <t>2024-2025</t>
        </is>
      </c>
      <c r="B242" s="23" t="inlineStr">
        <is>
          <t>C-3</t>
        </is>
      </c>
      <c r="C242" s="23" t="inlineStr">
        <is>
          <t>2024-04-13</t>
        </is>
      </c>
      <c r="D242" s="23" t="inlineStr">
        <is>
          <t>20:17</t>
        </is>
      </c>
      <c r="E242" s="23" t="inlineStr">
        <is>
          <t>21</t>
        </is>
      </c>
      <c r="F242" s="23" t="inlineStr">
        <is>
          <t>3387</t>
        </is>
      </c>
      <c r="G242" s="23" t="inlineStr">
        <is>
          <t>0357</t>
        </is>
      </c>
      <c r="H242" s="23" t="inlineStr">
        <is>
          <t>La Vouivre</t>
        </is>
      </c>
      <c r="I242" s="24" t="n">
        <v>3</v>
      </c>
      <c r="J242" s="24" t="n">
        <v>0</v>
      </c>
      <c r="K242" s="24">
        <f>J242*I242</f>
        <v/>
      </c>
      <c r="L242" s="24" t="n">
        <v>105.2</v>
      </c>
      <c r="M242" s="24" t="n">
        <v>10</v>
      </c>
      <c r="N242" s="23" t="inlineStr">
        <is>
          <t>Boissons alcoolisees (LIQUIDE - TVA 20 %)</t>
        </is>
      </c>
    </row>
    <row r="243" ht="15" customHeight="1" s="19">
      <c r="A243" s="23" t="inlineStr">
        <is>
          <t>2024-2025</t>
        </is>
      </c>
      <c r="B243" s="23" t="inlineStr">
        <is>
          <t>C-3</t>
        </is>
      </c>
      <c r="C243" s="23" t="inlineStr">
        <is>
          <t>2024-04-18</t>
        </is>
      </c>
      <c r="D243" s="23" t="inlineStr">
        <is>
          <t>20:38</t>
        </is>
      </c>
      <c r="E243" s="23" t="inlineStr">
        <is>
          <t>19</t>
        </is>
      </c>
      <c r="F243" s="23" t="inlineStr">
        <is>
          <t>3390</t>
        </is>
      </c>
      <c r="G243" s="23" t="inlineStr">
        <is>
          <t>0002</t>
        </is>
      </c>
      <c r="H243" s="23" t="inlineStr">
        <is>
          <t>BALIDOU</t>
        </is>
      </c>
      <c r="I243" s="24" t="n">
        <v>2</v>
      </c>
      <c r="J243" s="24" t="n">
        <v>0</v>
      </c>
      <c r="K243" s="24">
        <f>J243*I243</f>
        <v/>
      </c>
      <c r="L243" s="24" t="n">
        <v>59.6</v>
      </c>
      <c r="M243" s="24" t="n">
        <v>10</v>
      </c>
      <c r="N243" s="23" t="inlineStr">
        <is>
          <t>Boissons alcoolisees (LIQUIDE - TVA 20 %)</t>
        </is>
      </c>
    </row>
    <row r="244" ht="15" customHeight="1" s="19">
      <c r="A244" s="23" t="inlineStr">
        <is>
          <t>2024-2025</t>
        </is>
      </c>
      <c r="B244" s="23" t="inlineStr">
        <is>
          <t>C-3</t>
        </is>
      </c>
      <c r="C244" s="23" t="inlineStr">
        <is>
          <t>2024-04-18</t>
        </is>
      </c>
      <c r="D244" s="23" t="inlineStr">
        <is>
          <t>20:38</t>
        </is>
      </c>
      <c r="E244" s="23" t="inlineStr">
        <is>
          <t>19</t>
        </is>
      </c>
      <c r="F244" s="23" t="inlineStr">
        <is>
          <t>3390</t>
        </is>
      </c>
      <c r="G244" s="23" t="inlineStr">
        <is>
          <t>0229</t>
        </is>
      </c>
      <c r="H244" s="23" t="inlineStr">
        <is>
          <t>1/2 Arbois Béthanie</t>
        </is>
      </c>
      <c r="I244" s="24" t="n">
        <v>1</v>
      </c>
      <c r="J244" s="24" t="n">
        <v>0</v>
      </c>
      <c r="K244" s="24">
        <f>J244*I244</f>
        <v/>
      </c>
      <c r="L244" s="24" t="n">
        <v>59.6</v>
      </c>
      <c r="M244" s="24" t="n">
        <v>20</v>
      </c>
      <c r="N244" s="23" t="inlineStr">
        <is>
          <t>Boissons alcoolisees (LIQUIDE - TVA 20 %)</t>
        </is>
      </c>
    </row>
    <row r="245" ht="15" customHeight="1" s="19">
      <c r="A245" s="23" t="inlineStr">
        <is>
          <t>2024-2025</t>
        </is>
      </c>
      <c r="B245" s="23" t="inlineStr">
        <is>
          <t>C-3</t>
        </is>
      </c>
      <c r="C245" s="23" t="inlineStr">
        <is>
          <t>2024-05-02</t>
        </is>
      </c>
      <c r="D245" s="23" t="inlineStr">
        <is>
          <t>20:42</t>
        </is>
      </c>
      <c r="E245" s="23" t="inlineStr">
        <is>
          <t>20</t>
        </is>
      </c>
      <c r="F245" s="23" t="inlineStr">
        <is>
          <t>3399</t>
        </is>
      </c>
      <c r="G245" s="23" t="inlineStr">
        <is>
          <t>1995</t>
        </is>
      </c>
      <c r="H245" s="23" t="inlineStr">
        <is>
          <t>Chat perché</t>
        </is>
      </c>
      <c r="I245" s="24" t="n">
        <v>1</v>
      </c>
      <c r="J245" s="24" t="n">
        <v>0</v>
      </c>
      <c r="K245" s="24">
        <f>J245*I245</f>
        <v/>
      </c>
      <c r="L245" s="24" t="n">
        <v>31.4</v>
      </c>
      <c r="M245" s="24" t="n">
        <v>10</v>
      </c>
      <c r="N245" s="23" t="inlineStr">
        <is>
          <t>Boissons alcoolisees (LIQUIDE - TVA 20 %)</t>
        </is>
      </c>
    </row>
    <row r="246" ht="15" customHeight="1" s="19">
      <c r="A246" s="23" t="inlineStr">
        <is>
          <t>2024-2025</t>
        </is>
      </c>
      <c r="B246" s="23" t="inlineStr">
        <is>
          <t>C-3</t>
        </is>
      </c>
      <c r="C246" s="23" t="inlineStr">
        <is>
          <t>2024-05-02</t>
        </is>
      </c>
      <c r="D246" s="23" t="inlineStr">
        <is>
          <t>20:42</t>
        </is>
      </c>
      <c r="E246" s="23" t="inlineStr">
        <is>
          <t>21</t>
        </is>
      </c>
      <c r="F246" s="23" t="inlineStr">
        <is>
          <t>3399</t>
        </is>
      </c>
      <c r="G246" s="23" t="inlineStr">
        <is>
          <t>1995</t>
        </is>
      </c>
      <c r="H246" s="23" t="inlineStr">
        <is>
          <t>Chat perché</t>
        </is>
      </c>
      <c r="I246" s="24" t="n">
        <v>1</v>
      </c>
      <c r="J246" s="24" t="n">
        <v>0</v>
      </c>
      <c r="K246" s="24">
        <f>J246*I246</f>
        <v/>
      </c>
      <c r="L246" s="24" t="n">
        <v>31.4</v>
      </c>
      <c r="M246" s="24" t="n">
        <v>10</v>
      </c>
      <c r="N246" s="23" t="inlineStr">
        <is>
          <t>Boissons alcoolisees (LIQUIDE - TVA 20 %)</t>
        </is>
      </c>
    </row>
    <row r="247" ht="15" customHeight="1" s="19">
      <c r="A247" s="23" t="inlineStr">
        <is>
          <t>2024-2025</t>
        </is>
      </c>
      <c r="B247" s="23" t="inlineStr">
        <is>
          <t>C-3</t>
        </is>
      </c>
      <c r="C247" s="23" t="inlineStr">
        <is>
          <t>2024-05-02</t>
        </is>
      </c>
      <c r="D247" s="23" t="inlineStr">
        <is>
          <t>20:43</t>
        </is>
      </c>
      <c r="E247" s="23" t="inlineStr">
        <is>
          <t>22</t>
        </is>
      </c>
      <c r="F247" s="23" t="inlineStr">
        <is>
          <t>3399</t>
        </is>
      </c>
      <c r="G247" s="23" t="inlineStr">
        <is>
          <t>1830</t>
        </is>
      </c>
      <c r="H247" s="23" t="inlineStr">
        <is>
          <t>C du  Rhone St Josep</t>
        </is>
      </c>
      <c r="I247" s="24" t="n">
        <v>1</v>
      </c>
      <c r="J247" s="24" t="n">
        <v>0</v>
      </c>
      <c r="K247" s="24">
        <f>J247*I247</f>
        <v/>
      </c>
      <c r="L247" s="24" t="n">
        <v>19.5</v>
      </c>
      <c r="M247" s="24" t="n">
        <v>10</v>
      </c>
      <c r="N247" s="23" t="inlineStr">
        <is>
          <t>Boissons alcoolisees (LIQUIDE - TVA 20 %)</t>
        </is>
      </c>
    </row>
    <row r="248" ht="15" customHeight="1" s="19">
      <c r="A248" s="23" t="inlineStr">
        <is>
          <t>2024-2025</t>
        </is>
      </c>
      <c r="B248" s="23" t="inlineStr">
        <is>
          <t>C-3</t>
        </is>
      </c>
      <c r="C248" s="23" t="inlineStr">
        <is>
          <t>2024-05-02</t>
        </is>
      </c>
      <c r="D248" s="23" t="inlineStr">
        <is>
          <t>20:44</t>
        </is>
      </c>
      <c r="E248" s="23" t="inlineStr">
        <is>
          <t>23</t>
        </is>
      </c>
      <c r="F248" s="23" t="inlineStr">
        <is>
          <t>3399</t>
        </is>
      </c>
      <c r="G248" s="23" t="inlineStr">
        <is>
          <t>2005</t>
        </is>
      </c>
      <c r="H248" s="23" t="inlineStr">
        <is>
          <t>pression</t>
        </is>
      </c>
      <c r="I248" s="24" t="n">
        <v>1</v>
      </c>
      <c r="J248" s="24" t="n">
        <v>0</v>
      </c>
      <c r="K248" s="24">
        <f>J248*I248</f>
        <v/>
      </c>
      <c r="L248" s="24" t="n">
        <v>18.6</v>
      </c>
      <c r="M248" s="24" t="n">
        <v>10</v>
      </c>
      <c r="N248" s="23" t="inlineStr">
        <is>
          <t>Boissons alcoolisees (LIQUIDE - TVA 20 %)</t>
        </is>
      </c>
    </row>
    <row r="249" ht="15" customHeight="1" s="19">
      <c r="A249" s="23" t="inlineStr">
        <is>
          <t>2024-2025</t>
        </is>
      </c>
      <c r="B249" s="23" t="inlineStr">
        <is>
          <t>C-3</t>
        </is>
      </c>
      <c r="C249" s="23" t="inlineStr">
        <is>
          <t>2024-05-10</t>
        </is>
      </c>
      <c r="D249" s="23" t="inlineStr">
        <is>
          <t>20:33</t>
        </is>
      </c>
      <c r="E249" s="23" t="inlineStr">
        <is>
          <t>27</t>
        </is>
      </c>
      <c r="F249" s="23" t="inlineStr">
        <is>
          <t>3405</t>
        </is>
      </c>
      <c r="G249" s="23" t="inlineStr">
        <is>
          <t>0006</t>
        </is>
      </c>
      <c r="H249" s="23" t="inlineStr">
        <is>
          <t>Ricard</t>
        </is>
      </c>
      <c r="I249" s="24" t="n">
        <v>1</v>
      </c>
      <c r="J249" s="24" t="n">
        <v>0</v>
      </c>
      <c r="K249" s="24">
        <f>J249*I249</f>
        <v/>
      </c>
      <c r="L249" s="24" t="n">
        <v>101.1</v>
      </c>
      <c r="M249" s="24" t="n">
        <v>10</v>
      </c>
      <c r="N249" s="23" t="inlineStr">
        <is>
          <t>Boissons alcoolisees (LIQUIDE - TVA 20 %)</t>
        </is>
      </c>
    </row>
    <row r="250" ht="15" customHeight="1" s="19">
      <c r="A250" s="23" t="inlineStr">
        <is>
          <t>2024-2025</t>
        </is>
      </c>
      <c r="B250" s="23" t="inlineStr">
        <is>
          <t>C-3</t>
        </is>
      </c>
      <c r="C250" s="23" t="inlineStr">
        <is>
          <t>2024-05-10</t>
        </is>
      </c>
      <c r="D250" s="23" t="inlineStr">
        <is>
          <t>20:33</t>
        </is>
      </c>
      <c r="E250" s="23" t="inlineStr">
        <is>
          <t>27</t>
        </is>
      </c>
      <c r="F250" s="23" t="inlineStr">
        <is>
          <t>3405</t>
        </is>
      </c>
      <c r="G250" s="23" t="inlineStr">
        <is>
          <t>1737</t>
        </is>
      </c>
      <c r="H250" s="23" t="inlineStr">
        <is>
          <t>Saint Véran Verre</t>
        </is>
      </c>
      <c r="I250" s="24" t="n">
        <v>2</v>
      </c>
      <c r="J250" s="24" t="n">
        <v>0</v>
      </c>
      <c r="K250" s="24">
        <f>J250*I250</f>
        <v/>
      </c>
      <c r="L250" s="24" t="n">
        <v>101.1</v>
      </c>
      <c r="M250" s="24" t="n">
        <v>20</v>
      </c>
      <c r="N250" s="23" t="inlineStr">
        <is>
          <t>Boissons alcoolisees (LIQUIDE - TVA 20 %)</t>
        </is>
      </c>
    </row>
    <row r="251" ht="15" customHeight="1" s="19">
      <c r="A251" s="23" t="inlineStr">
        <is>
          <t>2024-2025</t>
        </is>
      </c>
      <c r="B251" s="23" t="inlineStr">
        <is>
          <t>C-3</t>
        </is>
      </c>
      <c r="C251" s="23" t="inlineStr">
        <is>
          <t>2024-06-30</t>
        </is>
      </c>
      <c r="D251" s="23" t="inlineStr">
        <is>
          <t>13:15</t>
        </is>
      </c>
      <c r="E251" s="23" t="inlineStr">
        <is>
          <t>12</t>
        </is>
      </c>
      <c r="F251" s="23" t="inlineStr">
        <is>
          <t>3442</t>
        </is>
      </c>
      <c r="G251" s="23" t="inlineStr">
        <is>
          <t>0111</t>
        </is>
      </c>
      <c r="H251" s="23" t="inlineStr">
        <is>
          <t>Expresso</t>
        </is>
      </c>
      <c r="I251" s="24" t="n">
        <v>3</v>
      </c>
      <c r="J251" s="24" t="n">
        <v>0</v>
      </c>
      <c r="K251" s="24">
        <f>J251*I251</f>
        <v/>
      </c>
      <c r="L251" s="24" t="n">
        <v>158.1</v>
      </c>
      <c r="M251" s="24" t="n">
        <v>10</v>
      </c>
      <c r="N251" s="23" t="inlineStr">
        <is>
          <t>Boissons non alcoolisees (LIQUIDE - TVA 10 %)</t>
        </is>
      </c>
    </row>
    <row r="252" ht="15" customHeight="1" s="19">
      <c r="A252" s="23" t="inlineStr">
        <is>
          <t>2024-2025</t>
        </is>
      </c>
      <c r="B252" s="23" t="inlineStr">
        <is>
          <t>C-3</t>
        </is>
      </c>
      <c r="C252" s="23" t="inlineStr">
        <is>
          <t>2024-07-28</t>
        </is>
      </c>
      <c r="D252" s="23" t="inlineStr">
        <is>
          <t>13:21</t>
        </is>
      </c>
      <c r="E252" s="23" t="inlineStr">
        <is>
          <t>11</t>
        </is>
      </c>
      <c r="F252" s="23" t="inlineStr">
        <is>
          <t>3462</t>
        </is>
      </c>
      <c r="G252" s="23" t="inlineStr">
        <is>
          <t>0007</t>
        </is>
      </c>
      <c r="H252" s="23" t="inlineStr">
        <is>
          <t>Pontarlier</t>
        </is>
      </c>
      <c r="I252" s="24" t="n">
        <v>2</v>
      </c>
      <c r="J252" s="24" t="n">
        <v>0</v>
      </c>
      <c r="K252" s="24">
        <f>J252*I252</f>
        <v/>
      </c>
      <c r="L252" s="24" t="n">
        <v>185.6</v>
      </c>
      <c r="M252" s="24" t="n">
        <v>10</v>
      </c>
      <c r="N252" s="23" t="inlineStr">
        <is>
          <t>Boissons alcoolisees (LIQUIDE - TVA 20 %)</t>
        </is>
      </c>
    </row>
    <row r="253" ht="15" customHeight="1" s="19">
      <c r="A253" s="23" t="inlineStr">
        <is>
          <t>2024-2025</t>
        </is>
      </c>
      <c r="B253" s="23" t="inlineStr">
        <is>
          <t>C-3</t>
        </is>
      </c>
      <c r="C253" s="23" t="inlineStr">
        <is>
          <t>2024-07-28</t>
        </is>
      </c>
      <c r="D253" s="23" t="inlineStr">
        <is>
          <t>13:21</t>
        </is>
      </c>
      <c r="E253" s="23" t="inlineStr">
        <is>
          <t>11</t>
        </is>
      </c>
      <c r="F253" s="23" t="inlineStr">
        <is>
          <t>3462</t>
        </is>
      </c>
      <c r="G253" s="23" t="inlineStr">
        <is>
          <t>0353</t>
        </is>
      </c>
      <c r="H253" s="23" t="inlineStr">
        <is>
          <t>Picon bière</t>
        </is>
      </c>
      <c r="I253" s="24" t="n">
        <v>1</v>
      </c>
      <c r="J253" s="24" t="n">
        <v>0</v>
      </c>
      <c r="K253" s="24">
        <f>J253*I253</f>
        <v/>
      </c>
      <c r="L253" s="24" t="n">
        <v>185.6</v>
      </c>
      <c r="M253" s="24" t="n">
        <v>20</v>
      </c>
      <c r="N253" s="23" t="inlineStr">
        <is>
          <t>Boissons alcoolisees (LIQUIDE - TVA 20 %)</t>
        </is>
      </c>
    </row>
    <row r="254" ht="15" customHeight="1" s="19">
      <c r="A254" s="23" t="inlineStr">
        <is>
          <t>2024-2025</t>
        </is>
      </c>
      <c r="B254" s="23" t="inlineStr">
        <is>
          <t>C-3</t>
        </is>
      </c>
      <c r="C254" s="23" t="inlineStr">
        <is>
          <t>2024-07-28</t>
        </is>
      </c>
      <c r="D254" s="23" t="inlineStr">
        <is>
          <t>13:21</t>
        </is>
      </c>
      <c r="E254" s="23" t="inlineStr">
        <is>
          <t>11</t>
        </is>
      </c>
      <c r="F254" s="23" t="inlineStr">
        <is>
          <t>3462</t>
        </is>
      </c>
      <c r="G254" s="23" t="inlineStr">
        <is>
          <t>0368</t>
        </is>
      </c>
      <c r="H254" s="23" t="inlineStr">
        <is>
          <t>Jus de Fruit</t>
        </is>
      </c>
      <c r="I254" s="24" t="n">
        <v>2</v>
      </c>
      <c r="J254" s="24" t="n">
        <v>0</v>
      </c>
      <c r="K254" s="24">
        <f>J254*I254</f>
        <v/>
      </c>
      <c r="L254" s="24" t="n">
        <v>185.6</v>
      </c>
      <c r="M254" s="24" t="n">
        <v>20</v>
      </c>
      <c r="N254" s="23" t="inlineStr">
        <is>
          <t>Boissons non alcoolisees (LIQUIDE - TVA 10 %)</t>
        </is>
      </c>
    </row>
    <row r="255" ht="15" customHeight="1" s="19">
      <c r="A255" s="23" t="inlineStr">
        <is>
          <t>2024-2025</t>
        </is>
      </c>
      <c r="B255" s="23" t="inlineStr">
        <is>
          <t>C-3</t>
        </is>
      </c>
      <c r="C255" s="23" t="inlineStr">
        <is>
          <t>2024-10-25</t>
        </is>
      </c>
      <c r="D255" s="23" t="inlineStr">
        <is>
          <t>20:14</t>
        </is>
      </c>
      <c r="E255" s="23" t="inlineStr">
        <is>
          <t>18</t>
        </is>
      </c>
      <c r="F255" s="23" t="inlineStr">
        <is>
          <t>3525</t>
        </is>
      </c>
      <c r="G255" s="23" t="inlineStr">
        <is>
          <t>0011</t>
        </is>
      </c>
      <c r="H255" s="23" t="inlineStr">
        <is>
          <t>Martini Blanc</t>
        </is>
      </c>
      <c r="I255" s="24" t="n">
        <v>2</v>
      </c>
      <c r="J255" s="24" t="n">
        <v>0</v>
      </c>
      <c r="K255" s="24">
        <f>J255*I255</f>
        <v/>
      </c>
      <c r="L255" s="24" t="n">
        <v>139.5</v>
      </c>
      <c r="M255" s="24" t="n">
        <v>10</v>
      </c>
      <c r="N255" s="23" t="inlineStr">
        <is>
          <t>Boissons alcoolisees (LIQUIDE - TVA 20 %)</t>
        </is>
      </c>
    </row>
    <row r="256" ht="15" customHeight="1" s="19">
      <c r="A256" s="23" t="inlineStr">
        <is>
          <t>2024-2025</t>
        </is>
      </c>
      <c r="B256" s="23" t="inlineStr">
        <is>
          <t>C-3</t>
        </is>
      </c>
      <c r="C256" s="23" t="inlineStr">
        <is>
          <t>2024-10-25</t>
        </is>
      </c>
      <c r="D256" s="23" t="inlineStr">
        <is>
          <t>20:14</t>
        </is>
      </c>
      <c r="E256" s="23" t="inlineStr">
        <is>
          <t>18</t>
        </is>
      </c>
      <c r="F256" s="23" t="inlineStr">
        <is>
          <t>3525</t>
        </is>
      </c>
      <c r="G256" s="23" t="inlineStr">
        <is>
          <t>1997</t>
        </is>
      </c>
      <c r="H256" s="23" t="inlineStr">
        <is>
          <t>Luna</t>
        </is>
      </c>
      <c r="I256" s="24" t="n">
        <v>1</v>
      </c>
      <c r="J256" s="24" t="n">
        <v>0</v>
      </c>
      <c r="K256" s="24">
        <f>J256*I256</f>
        <v/>
      </c>
      <c r="L256" s="24" t="n">
        <v>139.5</v>
      </c>
      <c r="M256" s="24" t="n">
        <v>20</v>
      </c>
      <c r="N256" s="23" t="inlineStr">
        <is>
          <t>Boissons non alcoolisees (LIQUIDE - TVA 10 %)</t>
        </is>
      </c>
    </row>
    <row r="257" ht="15" customHeight="1" s="19">
      <c r="A257" s="23" t="inlineStr">
        <is>
          <t>2024-2025</t>
        </is>
      </c>
      <c r="B257" s="23" t="inlineStr">
        <is>
          <t>C-3</t>
        </is>
      </c>
      <c r="C257" s="23" t="inlineStr">
        <is>
          <t>2024-10-25</t>
        </is>
      </c>
      <c r="D257" s="23" t="inlineStr">
        <is>
          <t>20:14</t>
        </is>
      </c>
      <c r="E257" s="23" t="inlineStr">
        <is>
          <t>18</t>
        </is>
      </c>
      <c r="F257" s="23" t="inlineStr">
        <is>
          <t>3525</t>
        </is>
      </c>
      <c r="G257" s="23" t="inlineStr">
        <is>
          <t>0342</t>
        </is>
      </c>
      <c r="H257" s="23" t="inlineStr">
        <is>
          <t>Fuze Tea</t>
        </is>
      </c>
      <c r="I257" s="24" t="n">
        <v>1</v>
      </c>
      <c r="J257" s="24" t="n">
        <v>0</v>
      </c>
      <c r="K257" s="24">
        <f>J257*I257</f>
        <v/>
      </c>
      <c r="L257" s="24" t="n">
        <v>139.5</v>
      </c>
      <c r="M257" s="24" t="n">
        <v>10</v>
      </c>
      <c r="N257" s="23" t="inlineStr">
        <is>
          <t>Boissons non alcoolisees (LIQUIDE - TVA 10 %)</t>
        </is>
      </c>
    </row>
    <row r="258" ht="15" customHeight="1" s="19">
      <c r="A258" s="23" t="inlineStr">
        <is>
          <t>2024-2025</t>
        </is>
      </c>
      <c r="B258" s="23" t="inlineStr">
        <is>
          <t>C-3</t>
        </is>
      </c>
      <c r="C258" s="23" t="inlineStr">
        <is>
          <t>2024-10-26</t>
        </is>
      </c>
      <c r="D258" s="23" t="inlineStr">
        <is>
          <t>13:18</t>
        </is>
      </c>
      <c r="E258" s="23" t="inlineStr">
        <is>
          <t>18</t>
        </is>
      </c>
      <c r="F258" s="23" t="inlineStr">
        <is>
          <t>3526</t>
        </is>
      </c>
      <c r="G258" s="23" t="inlineStr">
        <is>
          <t>0099</t>
        </is>
      </c>
      <c r="H258" s="23" t="inlineStr">
        <is>
          <t>Panaché</t>
        </is>
      </c>
      <c r="I258" s="24" t="n">
        <v>0.5</v>
      </c>
      <c r="J258" s="24" t="n">
        <v>0</v>
      </c>
      <c r="K258" s="24">
        <f>J258*I258</f>
        <v/>
      </c>
      <c r="L258" s="24" t="n">
        <v>111.05</v>
      </c>
      <c r="M258" s="24" t="n">
        <v>10</v>
      </c>
      <c r="N258" s="23" t="inlineStr">
        <is>
          <t>Boissons alcoolisees (LIQUIDE - TVA 20 %)</t>
        </is>
      </c>
    </row>
    <row r="259" ht="15" customHeight="1" s="19">
      <c r="A259" s="23" t="inlineStr">
        <is>
          <t>2024-2025</t>
        </is>
      </c>
      <c r="B259" s="23" t="inlineStr">
        <is>
          <t>C-3</t>
        </is>
      </c>
      <c r="C259" s="23" t="inlineStr">
        <is>
          <t>2024-10-26</t>
        </is>
      </c>
      <c r="D259" s="23" t="inlineStr">
        <is>
          <t>13:18</t>
        </is>
      </c>
      <c r="E259" s="23" t="inlineStr">
        <is>
          <t>18</t>
        </is>
      </c>
      <c r="F259" s="23" t="inlineStr">
        <is>
          <t>3526</t>
        </is>
      </c>
      <c r="G259" s="23" t="inlineStr">
        <is>
          <t>2009</t>
        </is>
      </c>
      <c r="H259" s="23" t="inlineStr">
        <is>
          <t>Ambrée</t>
        </is>
      </c>
      <c r="I259" s="24" t="n">
        <v>0.5</v>
      </c>
      <c r="J259" s="24" t="n">
        <v>0</v>
      </c>
      <c r="K259" s="24">
        <f>J259*I259</f>
        <v/>
      </c>
      <c r="L259" s="24" t="n">
        <v>111.05</v>
      </c>
      <c r="M259" s="24" t="n">
        <v>10</v>
      </c>
      <c r="N259" s="23" t="inlineStr">
        <is>
          <t>Boissons alcoolisees (LIQUIDE - TVA 20 %)</t>
        </is>
      </c>
    </row>
    <row r="260" ht="15" customHeight="1" s="19">
      <c r="A260" s="23" t="inlineStr">
        <is>
          <t>2024-2025</t>
        </is>
      </c>
      <c r="B260" s="23" t="inlineStr">
        <is>
          <t>C-3</t>
        </is>
      </c>
      <c r="C260" s="23" t="inlineStr">
        <is>
          <t>2024-10-26</t>
        </is>
      </c>
      <c r="D260" s="23" t="inlineStr">
        <is>
          <t>13:18</t>
        </is>
      </c>
      <c r="E260" s="23" t="inlineStr">
        <is>
          <t>18</t>
        </is>
      </c>
      <c r="F260" s="23" t="inlineStr">
        <is>
          <t>3526</t>
        </is>
      </c>
      <c r="G260" s="23" t="inlineStr">
        <is>
          <t>1993</t>
        </is>
      </c>
      <c r="H260" s="23" t="inlineStr">
        <is>
          <t>Blanche des plateaux</t>
        </is>
      </c>
      <c r="I260" s="24" t="n">
        <v>0.5</v>
      </c>
      <c r="J260" s="24" t="n">
        <v>0</v>
      </c>
      <c r="K260" s="24">
        <f>J260*I260</f>
        <v/>
      </c>
      <c r="L260" s="24" t="n">
        <v>111.05</v>
      </c>
      <c r="M260" s="24" t="n">
        <v>20</v>
      </c>
      <c r="N260" s="23" t="inlineStr">
        <is>
          <t>Boissons alcoolisees (LIQUIDE - TVA 20 %)</t>
        </is>
      </c>
    </row>
    <row r="261" ht="15" customHeight="1" s="19">
      <c r="A261" s="23" t="inlineStr">
        <is>
          <t>2024-2025</t>
        </is>
      </c>
      <c r="B261" s="23" t="inlineStr">
        <is>
          <t>C-3</t>
        </is>
      </c>
      <c r="C261" s="23" t="inlineStr">
        <is>
          <t>2024-10-26</t>
        </is>
      </c>
      <c r="D261" s="23" t="inlineStr">
        <is>
          <t>13:18</t>
        </is>
      </c>
      <c r="E261" s="23" t="inlineStr">
        <is>
          <t>18</t>
        </is>
      </c>
      <c r="F261" s="23" t="inlineStr">
        <is>
          <t>3526</t>
        </is>
      </c>
      <c r="G261" s="23" t="inlineStr">
        <is>
          <t>2005</t>
        </is>
      </c>
      <c r="H261" s="23" t="inlineStr">
        <is>
          <t>pression</t>
        </is>
      </c>
      <c r="I261" s="24" t="n">
        <v>0.5</v>
      </c>
      <c r="J261" s="24" t="n">
        <v>0</v>
      </c>
      <c r="K261" s="24">
        <f>J261*I261</f>
        <v/>
      </c>
      <c r="L261" s="24" t="n">
        <v>111.05</v>
      </c>
      <c r="M261" s="24" t="n">
        <v>20</v>
      </c>
      <c r="N261" s="23" t="inlineStr">
        <is>
          <t>Boissons alcoolisees (LIQUIDE - TVA 20 %)</t>
        </is>
      </c>
    </row>
    <row r="262" ht="15" customHeight="1" s="19">
      <c r="A262" s="23" t="inlineStr">
        <is>
          <t>2024-2025</t>
        </is>
      </c>
      <c r="B262" s="23" t="inlineStr">
        <is>
          <t>C-3</t>
        </is>
      </c>
      <c r="C262" s="23" t="inlineStr">
        <is>
          <t>2024-10-26</t>
        </is>
      </c>
      <c r="D262" s="23" t="inlineStr">
        <is>
          <t>13:18</t>
        </is>
      </c>
      <c r="E262" s="23" t="inlineStr">
        <is>
          <t>17</t>
        </is>
      </c>
      <c r="F262" s="23" t="inlineStr">
        <is>
          <t>3526</t>
        </is>
      </c>
      <c r="G262" s="23" t="inlineStr">
        <is>
          <t>0099</t>
        </is>
      </c>
      <c r="H262" s="23" t="inlineStr">
        <is>
          <t>Panaché</t>
        </is>
      </c>
      <c r="I262" s="24" t="n">
        <v>0.5</v>
      </c>
      <c r="J262" s="24" t="n">
        <v>0</v>
      </c>
      <c r="K262" s="24">
        <f>J262*I262</f>
        <v/>
      </c>
      <c r="L262" s="24" t="n">
        <v>111.05</v>
      </c>
      <c r="M262" s="24" t="n">
        <v>10</v>
      </c>
      <c r="N262" s="23" t="inlineStr">
        <is>
          <t>Boissons alcoolisees (LIQUIDE - TVA 20 %)</t>
        </is>
      </c>
    </row>
    <row r="263" ht="15" customHeight="1" s="19">
      <c r="A263" s="23" t="inlineStr">
        <is>
          <t>2024-2025</t>
        </is>
      </c>
      <c r="B263" s="23" t="inlineStr">
        <is>
          <t>C-3</t>
        </is>
      </c>
      <c r="C263" s="23" t="inlineStr">
        <is>
          <t>2024-10-26</t>
        </is>
      </c>
      <c r="D263" s="23" t="inlineStr">
        <is>
          <t>13:18</t>
        </is>
      </c>
      <c r="E263" s="23" t="inlineStr">
        <is>
          <t>17</t>
        </is>
      </c>
      <c r="F263" s="23" t="inlineStr">
        <is>
          <t>3526</t>
        </is>
      </c>
      <c r="G263" s="23" t="inlineStr">
        <is>
          <t>2009</t>
        </is>
      </c>
      <c r="H263" s="23" t="inlineStr">
        <is>
          <t>Ambrée</t>
        </is>
      </c>
      <c r="I263" s="24" t="n">
        <v>0.5</v>
      </c>
      <c r="J263" s="24" t="n">
        <v>0</v>
      </c>
      <c r="K263" s="24">
        <f>J263*I263</f>
        <v/>
      </c>
      <c r="L263" s="24" t="n">
        <v>111.05</v>
      </c>
      <c r="M263" s="24" t="n">
        <v>10</v>
      </c>
      <c r="N263" s="23" t="inlineStr">
        <is>
          <t>Boissons alcoolisees (LIQUIDE - TVA 20 %)</t>
        </is>
      </c>
    </row>
    <row r="264" ht="15" customHeight="1" s="19">
      <c r="A264" s="23" t="inlineStr">
        <is>
          <t>2024-2025</t>
        </is>
      </c>
      <c r="B264" s="23" t="inlineStr">
        <is>
          <t>C-3</t>
        </is>
      </c>
      <c r="C264" s="23" t="inlineStr">
        <is>
          <t>2024-10-26</t>
        </is>
      </c>
      <c r="D264" s="23" t="inlineStr">
        <is>
          <t>13:18</t>
        </is>
      </c>
      <c r="E264" s="23" t="inlineStr">
        <is>
          <t>17</t>
        </is>
      </c>
      <c r="F264" s="23" t="inlineStr">
        <is>
          <t>3526</t>
        </is>
      </c>
      <c r="G264" s="23" t="inlineStr">
        <is>
          <t>1993</t>
        </is>
      </c>
      <c r="H264" s="23" t="inlineStr">
        <is>
          <t>Blanche des plateaux</t>
        </is>
      </c>
      <c r="I264" s="24" t="n">
        <v>0.5</v>
      </c>
      <c r="J264" s="24" t="n">
        <v>0</v>
      </c>
      <c r="K264" s="24">
        <f>J264*I264</f>
        <v/>
      </c>
      <c r="L264" s="24" t="n">
        <v>111.05</v>
      </c>
      <c r="M264" s="24" t="n">
        <v>20</v>
      </c>
      <c r="N264" s="23" t="inlineStr">
        <is>
          <t>Boissons alcoolisees (LIQUIDE - TVA 20 %)</t>
        </is>
      </c>
    </row>
    <row r="265" ht="15" customHeight="1" s="19">
      <c r="A265" s="23" t="inlineStr">
        <is>
          <t>2024-2025</t>
        </is>
      </c>
      <c r="B265" s="23" t="inlineStr">
        <is>
          <t>C-3</t>
        </is>
      </c>
      <c r="C265" s="23" t="inlineStr">
        <is>
          <t>2024-10-26</t>
        </is>
      </c>
      <c r="D265" s="23" t="inlineStr">
        <is>
          <t>13:18</t>
        </is>
      </c>
      <c r="E265" s="23" t="inlineStr">
        <is>
          <t>17</t>
        </is>
      </c>
      <c r="F265" s="23" t="inlineStr">
        <is>
          <t>3526</t>
        </is>
      </c>
      <c r="G265" s="23" t="inlineStr">
        <is>
          <t>2005</t>
        </is>
      </c>
      <c r="H265" s="23" t="inlineStr">
        <is>
          <t>pression</t>
        </is>
      </c>
      <c r="I265" s="24" t="n">
        <v>0.5</v>
      </c>
      <c r="J265" s="24" t="n">
        <v>0</v>
      </c>
      <c r="K265" s="24">
        <f>J265*I265</f>
        <v/>
      </c>
      <c r="L265" s="24" t="n">
        <v>111.05</v>
      </c>
      <c r="M265" s="24" t="n">
        <v>20</v>
      </c>
      <c r="N265" s="23" t="inlineStr">
        <is>
          <t>Boissons alcoolisees (LIQUIDE - TVA 20 %)</t>
        </is>
      </c>
    </row>
    <row r="266" ht="15" customHeight="1" s="19">
      <c r="A266" s="23" t="inlineStr">
        <is>
          <t>2024-2025</t>
        </is>
      </c>
      <c r="B266" s="23" t="inlineStr">
        <is>
          <t>C-3</t>
        </is>
      </c>
      <c r="C266" s="23" t="inlineStr">
        <is>
          <t>2024-10-30</t>
        </is>
      </c>
      <c r="D266" s="23" t="inlineStr">
        <is>
          <t>13:17</t>
        </is>
      </c>
      <c r="E266" s="23" t="inlineStr">
        <is>
          <t>15</t>
        </is>
      </c>
      <c r="F266" s="23" t="inlineStr">
        <is>
          <t>3528</t>
        </is>
      </c>
      <c r="G266" s="23" t="inlineStr">
        <is>
          <t>1734</t>
        </is>
      </c>
      <c r="H266" s="23" t="inlineStr">
        <is>
          <t>Savagnin verre</t>
        </is>
      </c>
      <c r="I266" s="24" t="n">
        <v>3</v>
      </c>
      <c r="J266" s="24" t="n">
        <v>0</v>
      </c>
      <c r="K266" s="24">
        <f>J266*I266</f>
        <v/>
      </c>
      <c r="L266" s="24" t="n">
        <v>72</v>
      </c>
      <c r="M266" s="24" t="n">
        <v>10</v>
      </c>
      <c r="N266" s="23" t="inlineStr">
        <is>
          <t>Boissons alcoolisees (LIQUIDE - TVA 20 %)</t>
        </is>
      </c>
    </row>
    <row r="267" ht="15" customHeight="1" s="19">
      <c r="A267" s="23" t="inlineStr">
        <is>
          <t>2024-2025</t>
        </is>
      </c>
      <c r="B267" s="23" t="inlineStr">
        <is>
          <t>C-3</t>
        </is>
      </c>
      <c r="C267" s="23" t="inlineStr">
        <is>
          <t>2024-12-14</t>
        </is>
      </c>
      <c r="D267" s="23" t="inlineStr">
        <is>
          <t>20:37</t>
        </is>
      </c>
      <c r="E267" s="23" t="inlineStr">
        <is>
          <t>17</t>
        </is>
      </c>
      <c r="F267" s="23" t="inlineStr">
        <is>
          <t>3561</t>
        </is>
      </c>
      <c r="G267" s="23" t="inlineStr">
        <is>
          <t>1996</t>
        </is>
      </c>
      <c r="H267" s="23" t="inlineStr">
        <is>
          <t>Mambo</t>
        </is>
      </c>
      <c r="I267" s="24" t="n">
        <v>1</v>
      </c>
      <c r="J267" s="24" t="n">
        <v>0</v>
      </c>
      <c r="K267" s="24">
        <f>J267*I267</f>
        <v/>
      </c>
      <c r="L267" s="24" t="n">
        <v>108.1</v>
      </c>
      <c r="M267" s="24" t="n">
        <v>10</v>
      </c>
      <c r="N267" s="23" t="inlineStr">
        <is>
          <t>Boissons non alcoolisees (LIQUIDE - TVA 10 %)</t>
        </is>
      </c>
    </row>
    <row r="268" ht="15" customHeight="1" s="19">
      <c r="A268" s="23" t="inlineStr">
        <is>
          <t>2024-2025</t>
        </is>
      </c>
      <c r="B268" s="23" t="inlineStr">
        <is>
          <t>C-3</t>
        </is>
      </c>
      <c r="C268" s="23" t="inlineStr">
        <is>
          <t>2024-12-14</t>
        </is>
      </c>
      <c r="D268" s="23" t="inlineStr">
        <is>
          <t>20:37</t>
        </is>
      </c>
      <c r="E268" s="23" t="inlineStr">
        <is>
          <t>17</t>
        </is>
      </c>
      <c r="F268" s="23" t="inlineStr">
        <is>
          <t>3561</t>
        </is>
      </c>
      <c r="G268" s="23" t="inlineStr">
        <is>
          <t>0357</t>
        </is>
      </c>
      <c r="H268" s="23" t="inlineStr">
        <is>
          <t>La Vouivre</t>
        </is>
      </c>
      <c r="I268" s="24" t="n">
        <v>1</v>
      </c>
      <c r="J268" s="24" t="n">
        <v>0</v>
      </c>
      <c r="K268" s="24">
        <f>J268*I268</f>
        <v/>
      </c>
      <c r="L268" s="24" t="n">
        <v>108.1</v>
      </c>
      <c r="M268" s="24" t="n">
        <v>10</v>
      </c>
      <c r="N268" s="23" t="inlineStr">
        <is>
          <t>Boissons alcoolisees (LIQUIDE - TVA 20 %)</t>
        </is>
      </c>
    </row>
    <row r="269" ht="15" customHeight="1" s="19">
      <c r="A269" s="23" t="inlineStr">
        <is>
          <t>2024-2025</t>
        </is>
      </c>
      <c r="B269" s="23" t="inlineStr">
        <is>
          <t>C-3</t>
        </is>
      </c>
      <c r="C269" s="23" t="inlineStr">
        <is>
          <t>2024-12-14</t>
        </is>
      </c>
      <c r="D269" s="23" t="inlineStr">
        <is>
          <t>20:37</t>
        </is>
      </c>
      <c r="E269" s="23" t="inlineStr">
        <is>
          <t>17</t>
        </is>
      </c>
      <c r="F269" s="23" t="inlineStr">
        <is>
          <t>3561</t>
        </is>
      </c>
      <c r="G269" s="23" t="inlineStr">
        <is>
          <t>0003</t>
        </is>
      </c>
      <c r="H269" s="23" t="inlineStr">
        <is>
          <t>Macvin du Jura</t>
        </is>
      </c>
      <c r="I269" s="24" t="n">
        <v>2</v>
      </c>
      <c r="J269" s="24" t="n">
        <v>0</v>
      </c>
      <c r="K269" s="24">
        <f>J269*I269</f>
        <v/>
      </c>
      <c r="L269" s="24" t="n">
        <v>108.1</v>
      </c>
      <c r="M269" s="24" t="n">
        <v>20</v>
      </c>
      <c r="N269" s="23" t="inlineStr">
        <is>
          <t>Boissons alcoolisees (LIQUIDE - TVA 20 %)</t>
        </is>
      </c>
    </row>
    <row r="270" ht="15" customHeight="1" s="19">
      <c r="A270" s="23" t="inlineStr">
        <is>
          <t>2024-2025</t>
        </is>
      </c>
      <c r="B270" s="23" t="inlineStr">
        <is>
          <t>C-3</t>
        </is>
      </c>
      <c r="C270" s="23" t="inlineStr">
        <is>
          <t>2024-12-14</t>
        </is>
      </c>
      <c r="D270" s="23" t="inlineStr">
        <is>
          <t>20:37</t>
        </is>
      </c>
      <c r="E270" s="23" t="inlineStr">
        <is>
          <t>17</t>
        </is>
      </c>
      <c r="F270" s="23" t="inlineStr">
        <is>
          <t>3561</t>
        </is>
      </c>
      <c r="G270" s="23" t="inlineStr">
        <is>
          <t>2061</t>
        </is>
      </c>
      <c r="H270" s="23" t="inlineStr">
        <is>
          <t>Crêpe Pommes</t>
        </is>
      </c>
      <c r="I270" s="24" t="n">
        <v>1</v>
      </c>
      <c r="J270" s="24" t="n">
        <v>0</v>
      </c>
      <c r="K270" s="24">
        <f>J270*I270</f>
        <v/>
      </c>
      <c r="L270" s="24" t="n">
        <v>108.1</v>
      </c>
      <c r="M270" s="24" t="n">
        <v>10</v>
      </c>
      <c r="N270" s="23" t="inlineStr">
        <is>
          <t>Restauration (SOLIDE - TVA 10 %)</t>
        </is>
      </c>
    </row>
    <row r="271" ht="15" customHeight="1" s="19">
      <c r="A271" s="23" t="inlineStr">
        <is>
          <t>2024-2025</t>
        </is>
      </c>
      <c r="B271" s="23" t="inlineStr">
        <is>
          <t>C-3</t>
        </is>
      </c>
      <c r="C271" s="23" t="inlineStr">
        <is>
          <t>2024-12-14</t>
        </is>
      </c>
      <c r="D271" s="23" t="inlineStr">
        <is>
          <t>20:37</t>
        </is>
      </c>
      <c r="E271" s="23" t="inlineStr">
        <is>
          <t>17</t>
        </is>
      </c>
      <c r="F271" s="23" t="inlineStr">
        <is>
          <t>3561</t>
        </is>
      </c>
      <c r="G271" s="23" t="inlineStr">
        <is>
          <t>2075</t>
        </is>
      </c>
      <c r="H271" s="23" t="inlineStr">
        <is>
          <t>CREPE NUTELLA CHANTI</t>
        </is>
      </c>
      <c r="I271" s="24" t="n">
        <v>1</v>
      </c>
      <c r="J271" s="24" t="n">
        <v>0</v>
      </c>
      <c r="K271" s="24">
        <f>J271*I271</f>
        <v/>
      </c>
      <c r="L271" s="24" t="n">
        <v>108.1</v>
      </c>
      <c r="M271" s="24" t="n">
        <v>10</v>
      </c>
      <c r="N271" s="23" t="inlineStr">
        <is>
          <t>Restauration (SOLIDE - TVA 10 %)</t>
        </is>
      </c>
    </row>
    <row r="272" ht="15" customHeight="1" s="19">
      <c r="A272" s="23" t="inlineStr">
        <is>
          <t>2024-2025</t>
        </is>
      </c>
      <c r="B272" s="23" t="inlineStr">
        <is>
          <t>C-3</t>
        </is>
      </c>
      <c r="C272" s="23" t="inlineStr">
        <is>
          <t>2024-12-14</t>
        </is>
      </c>
      <c r="D272" s="23" t="inlineStr">
        <is>
          <t>20:37</t>
        </is>
      </c>
      <c r="E272" s="23" t="inlineStr">
        <is>
          <t>17</t>
        </is>
      </c>
      <c r="F272" s="23" t="inlineStr">
        <is>
          <t>3561</t>
        </is>
      </c>
      <c r="G272" s="23" t="inlineStr">
        <is>
          <t>1959</t>
        </is>
      </c>
      <c r="H272" s="23" t="inlineStr">
        <is>
          <t>GLACE 3 BOULES</t>
        </is>
      </c>
      <c r="I272" s="24" t="n">
        <v>2</v>
      </c>
      <c r="J272" s="24" t="n">
        <v>0</v>
      </c>
      <c r="K272" s="24">
        <f>J272*I272</f>
        <v/>
      </c>
      <c r="L272" s="24" t="n">
        <v>108.1</v>
      </c>
      <c r="M272" s="24" t="n">
        <v>10</v>
      </c>
      <c r="N272" s="23" t="inlineStr">
        <is>
          <t>Restauration (SOLIDE - TVA 10 %)</t>
        </is>
      </c>
    </row>
    <row r="273" ht="15" customHeight="1" s="19">
      <c r="A273" s="23" t="inlineStr">
        <is>
          <t>2024-2025</t>
        </is>
      </c>
      <c r="B273" s="23" t="inlineStr">
        <is>
          <t>C-3</t>
        </is>
      </c>
      <c r="C273" s="23" t="inlineStr">
        <is>
          <t>2024-12-28</t>
        </is>
      </c>
      <c r="D273" s="23" t="inlineStr">
        <is>
          <t>20:41</t>
        </is>
      </c>
      <c r="E273" s="23" t="inlineStr">
        <is>
          <t>26</t>
        </is>
      </c>
      <c r="F273" s="23" t="inlineStr">
        <is>
          <t>3570</t>
        </is>
      </c>
      <c r="G273" s="23" t="inlineStr">
        <is>
          <t>1956</t>
        </is>
      </c>
      <c r="H273" s="23" t="inlineStr">
        <is>
          <t>VOGEOTTE</t>
        </is>
      </c>
      <c r="I273" s="24" t="n">
        <v>1</v>
      </c>
      <c r="J273" s="24" t="n">
        <v>0</v>
      </c>
      <c r="K273" s="24">
        <f>J273*I273</f>
        <v/>
      </c>
      <c r="L273" s="24" t="n">
        <v>27.4</v>
      </c>
      <c r="M273" s="24" t="n">
        <v>20</v>
      </c>
      <c r="N273" s="23" t="inlineStr">
        <is>
          <t>Restauration (SOLIDE - TVA 10 %)</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18" min="1" max="1"/>
    <col width="14" customWidth="1" style="18" min="2" max="2"/>
    <col width="15" customWidth="1" style="18" min="3" max="3"/>
    <col width="17" customWidth="1" style="18" min="4" max="4"/>
    <col width="15" customWidth="1" style="18" min="5" max="5"/>
    <col width="26" customWidth="1" style="18" min="6" max="6"/>
    <col width="14" customWidth="1" style="18" min="7" max="7"/>
    <col width="10" customWidth="1" style="18" min="8" max="8"/>
  </cols>
  <sheetData>
    <row r="1" ht="15" customHeight="1" s="19">
      <c r="A1" s="25" t="inlineStr">
        <is>
          <t>Decompte des lignes a prix unitaire 0,00 EUR, par exercice (comptages par formule sur Sources_272)</t>
        </is>
      </c>
    </row>
    <row r="3" ht="23.85" customHeight="1" s="19">
      <c r="A3" s="22" t="inlineStr">
        <is>
          <t>Exercice</t>
        </is>
      </c>
      <c r="B3" s="22" t="inlineStr">
        <is>
          <t>Annexe</t>
        </is>
      </c>
      <c r="C3" s="22" t="inlineStr">
        <is>
          <t>Lignes a 0 EUR</t>
        </is>
      </c>
      <c r="D3" s="22" t="inlineStr">
        <is>
          <t>Dont note encaissee</t>
        </is>
      </c>
      <c r="E3" s="22" t="inlineStr">
        <is>
          <t>Dont note a 0 EUR</t>
        </is>
      </c>
      <c r="F3" s="22" t="inlineStr">
        <is>
          <t>Encaissement (somme prix x qte)</t>
        </is>
      </c>
      <c r="G3" s="22" t="inlineStr">
        <is>
          <t>Lignes de vente</t>
        </is>
      </c>
      <c r="H3" s="22" t="inlineStr">
        <is>
          <t>Part</t>
        </is>
      </c>
    </row>
    <row r="4" ht="15" customHeight="1" s="19">
      <c r="A4" s="23" t="inlineStr">
        <is>
          <t>2022-2023</t>
        </is>
      </c>
      <c r="B4" s="23" t="inlineStr">
        <is>
          <t>C-1 (versee)</t>
        </is>
      </c>
      <c r="C4" s="24">
        <f>COUNTIF(Sources_272!$A$2:$A$273,A4)</f>
        <v/>
      </c>
      <c r="D4" s="24">
        <f>COUNTIFS(Sources_272!$A$2:$A$273,A4,Sources_272!$L$2:$L$273,"&gt;0")</f>
        <v/>
      </c>
      <c r="E4" s="24">
        <f>COUNTIFS(Sources_272!$A$2:$A$273,A4,Sources_272!$L$2:$L$273,0)</f>
        <v/>
      </c>
      <c r="F4" s="26">
        <f>SUMIF(Sources_272!$A$2:$A$273,A4,Sources_272!$K$2:$K$273)</f>
        <v/>
      </c>
      <c r="G4" s="24" t="n">
        <v>33220</v>
      </c>
      <c r="H4" s="27">
        <f>C4/G4</f>
        <v/>
      </c>
    </row>
    <row r="5" ht="15" customHeight="1" s="19">
      <c r="A5" s="23" t="inlineStr">
        <is>
          <t>2023-2024</t>
        </is>
      </c>
      <c r="B5" s="23" t="inlineStr">
        <is>
          <t>C-2 (versee)</t>
        </is>
      </c>
      <c r="C5" s="24">
        <f>COUNTIF(Sources_272!$A$2:$A$273,A5)</f>
        <v/>
      </c>
      <c r="D5" s="24">
        <f>COUNTIFS(Sources_272!$A$2:$A$273,A5,Sources_272!$L$2:$L$273,"&gt;0")</f>
        <v/>
      </c>
      <c r="E5" s="24">
        <f>COUNTIFS(Sources_272!$A$2:$A$273,A5,Sources_272!$L$2:$L$273,0)</f>
        <v/>
      </c>
      <c r="F5" s="26">
        <f>SUMIF(Sources_272!$A$2:$A$273,A5,Sources_272!$K$2:$K$273)</f>
        <v/>
      </c>
      <c r="G5" s="24" t="n">
        <v>32758</v>
      </c>
      <c r="H5" s="27">
        <f>C5/G5</f>
        <v/>
      </c>
    </row>
    <row r="6" ht="15" customHeight="1" s="19">
      <c r="A6" s="23" t="inlineStr">
        <is>
          <t>2024-2025</t>
        </is>
      </c>
      <c r="B6" s="23" t="inlineStr">
        <is>
          <t>C-3 (versee)</t>
        </is>
      </c>
      <c r="C6" s="24">
        <f>COUNTIF(Sources_272!$A$2:$A$273,A6)</f>
        <v/>
      </c>
      <c r="D6" s="24">
        <f>COUNTIFS(Sources_272!$A$2:$A$273,A6,Sources_272!$L$2:$L$273,"&gt;0")</f>
        <v/>
      </c>
      <c r="E6" s="24">
        <f>COUNTIFS(Sources_272!$A$2:$A$273,A6,Sources_272!$L$2:$L$273,0)</f>
        <v/>
      </c>
      <c r="F6" s="26">
        <f>SUMIF(Sources_272!$A$2:$A$273,A6,Sources_272!$K$2:$K$273)</f>
        <v/>
      </c>
      <c r="G6" s="24" t="n">
        <v>31791</v>
      </c>
      <c r="H6" s="27">
        <f>C6/G6</f>
        <v/>
      </c>
    </row>
    <row r="7" ht="15" customHeight="1" s="19">
      <c r="A7" s="28" t="inlineStr">
        <is>
          <t>Total</t>
        </is>
      </c>
      <c r="B7" s="28" t="inlineStr">
        <is>
          <t>C-1 a C-3</t>
        </is>
      </c>
      <c r="C7" s="29">
        <f>SUM(C4:C6)</f>
        <v/>
      </c>
      <c r="D7" s="29">
        <f>SUM(D4:D6)</f>
        <v/>
      </c>
      <c r="E7" s="29">
        <f>SUM(E4:E6)</f>
        <v/>
      </c>
      <c r="F7" s="30">
        <f>SUM(F4:F6)</f>
        <v/>
      </c>
      <c r="G7" s="29">
        <f>SUM(G4:G6)</f>
        <v/>
      </c>
      <c r="H7" s="31">
        <f>C7/G7</f>
        <v/>
      </c>
    </row>
    <row r="9" ht="15" customHeight="1" s="19">
      <c r="A9" s="25" t="inlineStr">
        <is>
          <t>Prix unitaire maximal sur les 272 lignes (EUR)</t>
        </is>
      </c>
      <c r="C9" s="32">
        <f>MAX(Sources_272!$J$2:$J$273)</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4" customWidth="1" style="18" min="1" max="1"/>
    <col width="18" customWidth="1" style="18" min="2" max="2"/>
    <col width="12" customWidth="1" style="18" min="3" max="5"/>
    <col width="10" customWidth="1" style="18" min="6" max="6"/>
  </cols>
  <sheetData>
    <row r="1" ht="15" customHeight="1" s="19">
      <c r="A1" s="25" t="inlineStr">
        <is>
          <t>Classement des 272 lignes par famille officielle de la caisse (annexes D), comptages par formule</t>
        </is>
      </c>
    </row>
    <row r="3" ht="15" customHeight="1" s="19">
      <c r="A3" s="22" t="inlineStr">
        <is>
          <t>Famille</t>
        </is>
      </c>
      <c r="B3" s="22" t="inlineStr">
        <is>
          <t>Total lignes a 0 EUR</t>
        </is>
      </c>
      <c r="C3" s="22" t="inlineStr">
        <is>
          <t>2022-2023</t>
        </is>
      </c>
      <c r="D3" s="22" t="inlineStr">
        <is>
          <t>2023-2024</t>
        </is>
      </c>
      <c r="E3" s="22" t="inlineStr">
        <is>
          <t>2024-2025</t>
        </is>
      </c>
      <c r="F3" s="22" t="inlineStr">
        <is>
          <t>Part</t>
        </is>
      </c>
    </row>
    <row r="4" ht="15" customHeight="1" s="19">
      <c r="A4" s="23" t="inlineStr">
        <is>
          <t>Boissons alcoolisees (LIQUIDE - TVA 20 %)</t>
        </is>
      </c>
      <c r="B4" s="24">
        <f>COUNTIF(Sources_272!$N$2:$N$273,A4)</f>
        <v/>
      </c>
      <c r="C4" s="24">
        <f>COUNTIFS(Sources_272!$N$2:$N$273,A4,Sources_272!$A$2:$A$273,"2022-2023")</f>
        <v/>
      </c>
      <c r="D4" s="24">
        <f>COUNTIFS(Sources_272!$N$2:$N$273,A4,Sources_272!$A$2:$A$273,"2023-2024")</f>
        <v/>
      </c>
      <c r="E4" s="24">
        <f>COUNTIFS(Sources_272!$N$2:$N$273,A4,Sources_272!$A$2:$A$273,"2024-2025")</f>
        <v/>
      </c>
      <c r="F4" s="33">
        <f>B4/$B$7</f>
        <v/>
      </c>
    </row>
    <row r="5" ht="15" customHeight="1" s="19">
      <c r="A5" s="23" t="inlineStr">
        <is>
          <t>Boissons non alcoolisees (LIQUIDE - TVA 10 %)</t>
        </is>
      </c>
      <c r="B5" s="24">
        <f>COUNTIF(Sources_272!$N$2:$N$273,A5)</f>
        <v/>
      </c>
      <c r="C5" s="24">
        <f>COUNTIFS(Sources_272!$N$2:$N$273,A5,Sources_272!$A$2:$A$273,"2022-2023")</f>
        <v/>
      </c>
      <c r="D5" s="24">
        <f>COUNTIFS(Sources_272!$N$2:$N$273,A5,Sources_272!$A$2:$A$273,"2023-2024")</f>
        <v/>
      </c>
      <c r="E5" s="24">
        <f>COUNTIFS(Sources_272!$N$2:$N$273,A5,Sources_272!$A$2:$A$273,"2024-2025")</f>
        <v/>
      </c>
      <c r="F5" s="33">
        <f>B5/$B$7</f>
        <v/>
      </c>
    </row>
    <row r="6" ht="15" customHeight="1" s="19">
      <c r="A6" s="23" t="inlineStr">
        <is>
          <t>Restauration (SOLIDE - TVA 10 %)</t>
        </is>
      </c>
      <c r="B6" s="24">
        <f>COUNTIF(Sources_272!$N$2:$N$273,A6)</f>
        <v/>
      </c>
      <c r="C6" s="24">
        <f>COUNTIFS(Sources_272!$N$2:$N$273,A6,Sources_272!$A$2:$A$273,"2022-2023")</f>
        <v/>
      </c>
      <c r="D6" s="24">
        <f>COUNTIFS(Sources_272!$N$2:$N$273,A6,Sources_272!$A$2:$A$273,"2023-2024")</f>
        <v/>
      </c>
      <c r="E6" s="24">
        <f>COUNTIFS(Sources_272!$N$2:$N$273,A6,Sources_272!$A$2:$A$273,"2024-2025")</f>
        <v/>
      </c>
      <c r="F6" s="33">
        <f>B6/$B$7</f>
        <v/>
      </c>
    </row>
    <row r="7" ht="15" customHeight="1" s="19">
      <c r="A7" s="28" t="inlineStr">
        <is>
          <t>Total</t>
        </is>
      </c>
      <c r="B7" s="29">
        <f>SUM(B4:B6)</f>
        <v/>
      </c>
      <c r="C7" s="29">
        <f>SUM(C4:C6)</f>
        <v/>
      </c>
      <c r="D7" s="29">
        <f>SUM(D4:D6)</f>
        <v/>
      </c>
      <c r="E7" s="29">
        <f>SUM(E4:E6)</f>
        <v/>
      </c>
      <c r="F7" s="34">
        <f>B7/B7</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18" min="1" max="1"/>
    <col width="8" customWidth="1" style="18" min="2" max="2"/>
    <col width="22" customWidth="1" style="18" min="3" max="3"/>
    <col width="9" customWidth="1" style="18" min="4" max="4"/>
    <col width="8" customWidth="1" style="18" min="5" max="5"/>
    <col width="18" customWidth="1" style="18" min="6" max="6"/>
    <col width="16" customWidth="1" style="18" min="7" max="7"/>
    <col width="10" customWidth="1" style="18" min="8" max="8"/>
  </cols>
  <sheetData>
    <row r="1" ht="15" customHeight="1" s="19">
      <c r="A1" s="25" t="inlineStr">
        <is>
          <t>Les 18 lignes offertes a quantite non entiere : 9 groupes sur 5 tables (annexes C-2 et C-3)</t>
        </is>
      </c>
    </row>
    <row r="2" ht="15" customHeight="1" s="19">
      <c r="A2" s="35" t="inlineStr">
        <is>
          <t>Somme des parts calculee par formule. Une table reglee en plusieurs notes : la caisse ventile chaque article au prorata.</t>
        </is>
      </c>
    </row>
    <row r="4" ht="15" customHeight="1" s="19">
      <c r="A4" s="22" t="inlineStr">
        <is>
          <t>Date</t>
        </is>
      </c>
      <c r="B4" s="22" t="inlineStr">
        <is>
          <t>N° Z</t>
        </is>
      </c>
      <c r="C4" s="22" t="inlineStr">
        <is>
          <t>Libelle offert</t>
        </is>
      </c>
      <c r="D4" s="22" t="inlineStr">
        <is>
          <t>N° ticket</t>
        </is>
      </c>
      <c r="E4" s="22" t="inlineStr">
        <is>
          <t>Part</t>
        </is>
      </c>
      <c r="F4" s="22" t="inlineStr">
        <is>
          <t>Total TTC note (EUR)</t>
        </is>
      </c>
      <c r="G4" s="22" t="inlineStr">
        <is>
          <t>SOMME DES PARTS</t>
        </is>
      </c>
      <c r="H4" s="22" t="inlineStr">
        <is>
          <t>Entier ?</t>
        </is>
      </c>
    </row>
    <row r="5" ht="15" customHeight="1" s="19">
      <c r="A5" s="23" t="inlineStr">
        <is>
          <t>2023-04-12</t>
        </is>
      </c>
      <c r="B5" s="23" t="inlineStr">
        <is>
          <t>3166</t>
        </is>
      </c>
      <c r="C5" s="23" t="inlineStr">
        <is>
          <t>Expresso</t>
        </is>
      </c>
      <c r="D5" s="23" t="inlineStr">
        <is>
          <t>5</t>
        </is>
      </c>
      <c r="E5" s="24" t="n">
        <v>1.5</v>
      </c>
      <c r="F5" s="24" t="n">
        <v>76.84999999999999</v>
      </c>
      <c r="G5" s="24">
        <f>SUM(E5:E6)</f>
        <v/>
      </c>
      <c r="H5" s="23">
        <f>IF(G5=ROUND(G5,0),"OUI","non")</f>
        <v/>
      </c>
    </row>
    <row r="6" ht="15" customHeight="1" s="19">
      <c r="A6" s="23" t="inlineStr">
        <is>
          <t>2023-04-12</t>
        </is>
      </c>
      <c r="B6" s="23" t="inlineStr">
        <is>
          <t>3166</t>
        </is>
      </c>
      <c r="C6" s="23" t="inlineStr">
        <is>
          <t>Expresso</t>
        </is>
      </c>
      <c r="D6" s="23" t="inlineStr">
        <is>
          <t>6</t>
        </is>
      </c>
      <c r="E6" s="24" t="n">
        <v>1.5</v>
      </c>
      <c r="F6" s="24" t="n">
        <v>76.84999999999999</v>
      </c>
      <c r="G6" s="24" t="n"/>
      <c r="H6" s="23" t="n"/>
    </row>
    <row r="7" ht="15" customHeight="1" s="19">
      <c r="A7" s="23" t="inlineStr">
        <is>
          <t>2023-04-30</t>
        </is>
      </c>
      <c r="B7" s="23" t="inlineStr">
        <is>
          <t>3180</t>
        </is>
      </c>
      <c r="C7" s="23" t="inlineStr">
        <is>
          <t>Expresso</t>
        </is>
      </c>
      <c r="D7" s="23" t="inlineStr">
        <is>
          <t>12</t>
        </is>
      </c>
      <c r="E7" s="24" t="n">
        <v>0.8</v>
      </c>
      <c r="F7" s="24" t="n">
        <v>49.98</v>
      </c>
      <c r="G7" s="24">
        <f>SUM(E7:E8)</f>
        <v/>
      </c>
      <c r="H7" s="23">
        <f>IF(G7=ROUND(G7,0),"OUI","non")</f>
        <v/>
      </c>
    </row>
    <row r="8" ht="15" customHeight="1" s="19">
      <c r="A8" s="23" t="inlineStr">
        <is>
          <t>2023-04-30</t>
        </is>
      </c>
      <c r="B8" s="23" t="inlineStr">
        <is>
          <t>3180</t>
        </is>
      </c>
      <c r="C8" s="23" t="inlineStr">
        <is>
          <t>Expresso</t>
        </is>
      </c>
      <c r="D8" s="23" t="inlineStr">
        <is>
          <t>13</t>
        </is>
      </c>
      <c r="E8" s="24" t="n">
        <v>3.2</v>
      </c>
      <c r="F8" s="24" t="n">
        <v>199.92</v>
      </c>
      <c r="G8" s="24" t="n"/>
      <c r="H8" s="23" t="n"/>
    </row>
    <row r="9" ht="15" customHeight="1" s="19">
      <c r="A9" s="23" t="inlineStr">
        <is>
          <t>2023-07-01</t>
        </is>
      </c>
      <c r="B9" s="23" t="inlineStr">
        <is>
          <t>3224</t>
        </is>
      </c>
      <c r="C9" s="23" t="inlineStr">
        <is>
          <t>Café Viennois</t>
        </is>
      </c>
      <c r="D9" s="23" t="inlineStr">
        <is>
          <t>19</t>
        </is>
      </c>
      <c r="E9" s="24" t="n">
        <v>0.25</v>
      </c>
      <c r="F9" s="24" t="n">
        <v>44.41</v>
      </c>
      <c r="G9" s="24">
        <f>SUM(E9:E10)</f>
        <v/>
      </c>
      <c r="H9" s="23">
        <f>IF(G9=ROUND(G9,0),"OUI","non")</f>
        <v/>
      </c>
    </row>
    <row r="10" ht="15" customHeight="1" s="19">
      <c r="A10" s="23" t="inlineStr">
        <is>
          <t>2023-07-01</t>
        </is>
      </c>
      <c r="B10" s="23" t="inlineStr">
        <is>
          <t>3224</t>
        </is>
      </c>
      <c r="C10" s="23" t="inlineStr">
        <is>
          <t>Café Viennois</t>
        </is>
      </c>
      <c r="D10" s="23" t="inlineStr">
        <is>
          <t>20</t>
        </is>
      </c>
      <c r="E10" s="24" t="n">
        <v>0.25</v>
      </c>
      <c r="F10" s="24" t="n">
        <v>44.41</v>
      </c>
      <c r="G10" s="24" t="n"/>
      <c r="H10" s="23" t="n"/>
    </row>
    <row r="11" ht="15" customHeight="1" s="19">
      <c r="A11" s="23" t="inlineStr">
        <is>
          <t>2023-07-01</t>
        </is>
      </c>
      <c r="B11" s="23" t="inlineStr">
        <is>
          <t>3224</t>
        </is>
      </c>
      <c r="C11" s="23" t="inlineStr">
        <is>
          <t>Expresso</t>
        </is>
      </c>
      <c r="D11" s="23" t="inlineStr">
        <is>
          <t>19</t>
        </is>
      </c>
      <c r="E11" s="24" t="n">
        <v>0.5</v>
      </c>
      <c r="F11" s="24" t="n">
        <v>44.41</v>
      </c>
      <c r="G11" s="24">
        <f>SUM(E11:E12)</f>
        <v/>
      </c>
      <c r="H11" s="23">
        <f>IF(G11=ROUND(G11,0),"OUI","non")</f>
        <v/>
      </c>
    </row>
    <row r="12" ht="15" customHeight="1" s="19">
      <c r="A12" s="23" t="inlineStr">
        <is>
          <t>2023-07-01</t>
        </is>
      </c>
      <c r="B12" s="23" t="inlineStr">
        <is>
          <t>3224</t>
        </is>
      </c>
      <c r="C12" s="23" t="inlineStr">
        <is>
          <t>Expresso</t>
        </is>
      </c>
      <c r="D12" s="23" t="inlineStr">
        <is>
          <t>20</t>
        </is>
      </c>
      <c r="E12" s="24" t="n">
        <v>0.5</v>
      </c>
      <c r="F12" s="24" t="n">
        <v>44.41</v>
      </c>
      <c r="G12" s="24" t="n"/>
      <c r="H12" s="23" t="n"/>
    </row>
    <row r="13" ht="15" customHeight="1" s="19">
      <c r="A13" s="23" t="inlineStr">
        <is>
          <t>2023-09-09</t>
        </is>
      </c>
      <c r="B13" s="23" t="inlineStr">
        <is>
          <t>3274</t>
        </is>
      </c>
      <c r="C13" s="23" t="inlineStr">
        <is>
          <t>Vittel litre</t>
        </is>
      </c>
      <c r="D13" s="23" t="inlineStr">
        <is>
          <t>39</t>
        </is>
      </c>
      <c r="E13" s="24" t="n">
        <v>0.25</v>
      </c>
      <c r="F13" s="24" t="n">
        <v>27.46</v>
      </c>
      <c r="G13" s="24">
        <f>SUM(E13:E14)</f>
        <v/>
      </c>
      <c r="H13" s="23">
        <f>IF(G13=ROUND(G13,0),"OUI","non")</f>
        <v/>
      </c>
    </row>
    <row r="14" ht="15" customHeight="1" s="19">
      <c r="A14" s="23" t="inlineStr">
        <is>
          <t>2023-09-09</t>
        </is>
      </c>
      <c r="B14" s="23" t="inlineStr">
        <is>
          <t>3274</t>
        </is>
      </c>
      <c r="C14" s="23" t="inlineStr">
        <is>
          <t>Vittel litre</t>
        </is>
      </c>
      <c r="D14" s="23" t="inlineStr">
        <is>
          <t>40</t>
        </is>
      </c>
      <c r="E14" s="24" t="n">
        <v>0.75</v>
      </c>
      <c r="F14" s="24" t="n">
        <v>82.34</v>
      </c>
      <c r="G14" s="24" t="n"/>
      <c r="H14" s="23" t="n"/>
    </row>
    <row r="15" ht="15" customHeight="1" s="19">
      <c r="A15" s="23" t="inlineStr">
        <is>
          <t>2024-10-26</t>
        </is>
      </c>
      <c r="B15" s="23" t="inlineStr">
        <is>
          <t>3526</t>
        </is>
      </c>
      <c r="C15" s="23" t="inlineStr">
        <is>
          <t>Ambrée</t>
        </is>
      </c>
      <c r="D15" s="23" t="inlineStr">
        <is>
          <t>17</t>
        </is>
      </c>
      <c r="E15" s="24" t="n">
        <v>0.5</v>
      </c>
      <c r="F15" s="24" t="n">
        <v>111.05</v>
      </c>
      <c r="G15" s="24">
        <f>SUM(E15:E16)</f>
        <v/>
      </c>
      <c r="H15" s="23">
        <f>IF(G15=ROUND(G15,0),"OUI","non")</f>
        <v/>
      </c>
    </row>
    <row r="16" ht="15" customHeight="1" s="19">
      <c r="A16" s="23" t="inlineStr">
        <is>
          <t>2024-10-26</t>
        </is>
      </c>
      <c r="B16" s="23" t="inlineStr">
        <is>
          <t>3526</t>
        </is>
      </c>
      <c r="C16" s="23" t="inlineStr">
        <is>
          <t>Ambrée</t>
        </is>
      </c>
      <c r="D16" s="23" t="inlineStr">
        <is>
          <t>18</t>
        </is>
      </c>
      <c r="E16" s="24" t="n">
        <v>0.5</v>
      </c>
      <c r="F16" s="24" t="n">
        <v>111.05</v>
      </c>
      <c r="G16" s="24" t="n"/>
      <c r="H16" s="23" t="n"/>
    </row>
    <row r="17" ht="15" customHeight="1" s="19">
      <c r="A17" s="23" t="inlineStr">
        <is>
          <t>2024-10-26</t>
        </is>
      </c>
      <c r="B17" s="23" t="inlineStr">
        <is>
          <t>3526</t>
        </is>
      </c>
      <c r="C17" s="23" t="inlineStr">
        <is>
          <t>Blanche des plateaux</t>
        </is>
      </c>
      <c r="D17" s="23" t="inlineStr">
        <is>
          <t>17</t>
        </is>
      </c>
      <c r="E17" s="24" t="n">
        <v>0.5</v>
      </c>
      <c r="F17" s="24" t="n">
        <v>111.05</v>
      </c>
      <c r="G17" s="24">
        <f>SUM(E17:E18)</f>
        <v/>
      </c>
      <c r="H17" s="23">
        <f>IF(G17=ROUND(G17,0),"OUI","non")</f>
        <v/>
      </c>
    </row>
    <row r="18" ht="15" customHeight="1" s="19">
      <c r="A18" s="23" t="inlineStr">
        <is>
          <t>2024-10-26</t>
        </is>
      </c>
      <c r="B18" s="23" t="inlineStr">
        <is>
          <t>3526</t>
        </is>
      </c>
      <c r="C18" s="23" t="inlineStr">
        <is>
          <t>Blanche des plateaux</t>
        </is>
      </c>
      <c r="D18" s="23" t="inlineStr">
        <is>
          <t>18</t>
        </is>
      </c>
      <c r="E18" s="24" t="n">
        <v>0.5</v>
      </c>
      <c r="F18" s="24" t="n">
        <v>111.05</v>
      </c>
      <c r="G18" s="24" t="n"/>
      <c r="H18" s="23" t="n"/>
    </row>
    <row r="19" ht="15" customHeight="1" s="19">
      <c r="A19" s="23" t="inlineStr">
        <is>
          <t>2024-10-26</t>
        </is>
      </c>
      <c r="B19" s="23" t="inlineStr">
        <is>
          <t>3526</t>
        </is>
      </c>
      <c r="C19" s="23" t="inlineStr">
        <is>
          <t>Panaché</t>
        </is>
      </c>
      <c r="D19" s="23" t="inlineStr">
        <is>
          <t>17</t>
        </is>
      </c>
      <c r="E19" s="24" t="n">
        <v>0.5</v>
      </c>
      <c r="F19" s="24" t="n">
        <v>111.05</v>
      </c>
      <c r="G19" s="24">
        <f>SUM(E19:E20)</f>
        <v/>
      </c>
      <c r="H19" s="23">
        <f>IF(G19=ROUND(G19,0),"OUI","non")</f>
        <v/>
      </c>
    </row>
    <row r="20" ht="15" customHeight="1" s="19">
      <c r="A20" s="23" t="inlineStr">
        <is>
          <t>2024-10-26</t>
        </is>
      </c>
      <c r="B20" s="23" t="inlineStr">
        <is>
          <t>3526</t>
        </is>
      </c>
      <c r="C20" s="23" t="inlineStr">
        <is>
          <t>Panaché</t>
        </is>
      </c>
      <c r="D20" s="23" t="inlineStr">
        <is>
          <t>18</t>
        </is>
      </c>
      <c r="E20" s="24" t="n">
        <v>0.5</v>
      </c>
      <c r="F20" s="24" t="n">
        <v>111.05</v>
      </c>
      <c r="G20" s="24" t="n"/>
      <c r="H20" s="23" t="n"/>
    </row>
    <row r="21" ht="15" customHeight="1" s="19">
      <c r="A21" s="23" t="inlineStr">
        <is>
          <t>2024-10-26</t>
        </is>
      </c>
      <c r="B21" s="23" t="inlineStr">
        <is>
          <t>3526</t>
        </is>
      </c>
      <c r="C21" s="23" t="inlineStr">
        <is>
          <t>pression</t>
        </is>
      </c>
      <c r="D21" s="23" t="inlineStr">
        <is>
          <t>17</t>
        </is>
      </c>
      <c r="E21" s="24" t="n">
        <v>0.5</v>
      </c>
      <c r="F21" s="24" t="n">
        <v>111.05</v>
      </c>
      <c r="G21" s="24">
        <f>SUM(E21:E22)</f>
        <v/>
      </c>
      <c r="H21" s="23">
        <f>IF(G21=ROUND(G21,0),"OUI","non")</f>
        <v/>
      </c>
    </row>
    <row r="22" ht="15" customHeight="1" s="19">
      <c r="A22" s="23" t="inlineStr">
        <is>
          <t>2024-10-26</t>
        </is>
      </c>
      <c r="B22" s="23" t="inlineStr">
        <is>
          <t>3526</t>
        </is>
      </c>
      <c r="C22" s="23" t="inlineStr">
        <is>
          <t>pression</t>
        </is>
      </c>
      <c r="D22" s="23" t="inlineStr">
        <is>
          <t>18</t>
        </is>
      </c>
      <c r="E22" s="24" t="n">
        <v>0.5</v>
      </c>
      <c r="F22" s="24" t="n">
        <v>111.05</v>
      </c>
      <c r="G22" s="24" t="n"/>
      <c r="H22" s="23" t="n"/>
    </row>
    <row r="24" ht="15" customHeight="1" s="19">
      <c r="A24" s="35" t="inlineStr">
        <is>
          <t>8 des 9 groupes se referment sur un entier. Exception : Cafe Viennois du 01/07/2023 (Z 3224), 0,25 + 0,25 = 0,50 (cafe partage, une moitie offerte).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18" min="1" max="1"/>
    <col width="9" customWidth="1" style="18" min="2" max="2"/>
    <col width="11" customWidth="1" style="18" min="3" max="3"/>
    <col width="10" customWidth="1" style="18" min="4" max="4"/>
    <col width="56" customWidth="1" style="18" min="5" max="5"/>
  </cols>
  <sheetData>
    <row r="1" ht="15" customHeight="1" s="19">
      <c r="A1" s="25" t="inlineStr">
        <is>
          <t>Tickets clotures a 0,00 EUR (annexes H-1 a H-3), comptes par formule sur l'onglet Detail_tickets_0</t>
        </is>
      </c>
    </row>
    <row r="3" ht="35.05" customHeight="1" s="19">
      <c r="A3" s="22" t="inlineStr">
        <is>
          <t>Exercice</t>
        </is>
      </c>
      <c r="B3" s="22" t="inlineStr">
        <is>
          <t>Tickets clotures a 0 EUR</t>
        </is>
      </c>
      <c r="C3" s="22" t="inlineStr">
        <is>
          <t>Dont jumeau encaisse meme jour</t>
        </is>
      </c>
      <c r="D3" s="22" t="inlineStr">
        <is>
          <t>Orphelins</t>
        </is>
      </c>
    </row>
    <row r="4" ht="15" customHeight="1" s="19">
      <c r="A4" s="23" t="inlineStr">
        <is>
          <t>2022-2023</t>
        </is>
      </c>
      <c r="B4" s="24" t="n">
        <v>1190</v>
      </c>
      <c r="C4" s="24" t="n">
        <v>1187</v>
      </c>
      <c r="D4" s="24" t="n">
        <v>3</v>
      </c>
    </row>
    <row r="5" ht="15" customHeight="1" s="19">
      <c r="A5" s="23" t="inlineStr">
        <is>
          <t>2023-2024</t>
        </is>
      </c>
      <c r="B5" s="24" t="n">
        <v>1096</v>
      </c>
      <c r="C5" s="24" t="n">
        <v>1096</v>
      </c>
      <c r="D5" s="24" t="n">
        <v>0</v>
      </c>
    </row>
    <row r="6" ht="15" customHeight="1" s="19">
      <c r="A6" s="23" t="inlineStr">
        <is>
          <t>2024-2025</t>
        </is>
      </c>
      <c r="B6" s="24" t="n">
        <v>995</v>
      </c>
      <c r="C6" s="24" t="n">
        <v>995</v>
      </c>
      <c r="D6" s="24" t="n">
        <v>0</v>
      </c>
    </row>
    <row r="7" ht="15" customHeight="1" s="19">
      <c r="A7" s="28" t="inlineStr">
        <is>
          <t>Total</t>
        </is>
      </c>
      <c r="B7" s="29">
        <f>SUM(B4:B6)</f>
        <v/>
      </c>
      <c r="C7" s="29">
        <f>SUM(C4:C6)</f>
        <v/>
      </c>
      <c r="D7" s="29">
        <f>SUM(D4:D6)</f>
        <v/>
      </c>
    </row>
    <row r="8" ht="15" customHeight="1" s="19">
      <c r="A8" s="25" t="inlineStr">
        <is>
          <t>Part des tickets a 0 EUR adosses a un encaissement</t>
        </is>
      </c>
      <c r="C8" s="36">
        <f>C7/B7</f>
        <v/>
      </c>
    </row>
    <row r="10" ht="15" customHeight="1" s="19">
      <c r="A10" s="25" t="inlineStr">
        <is>
          <t>Les 3 orphelins :</t>
        </is>
      </c>
    </row>
    <row r="11" ht="15" customHeight="1" s="19">
      <c r="A11" s="22" t="inlineStr">
        <is>
          <t>Date</t>
        </is>
      </c>
      <c r="B11" s="22" t="inlineStr">
        <is>
          <t>Heure</t>
        </is>
      </c>
      <c r="C11" s="22" t="inlineStr">
        <is>
          <t>N° ticket</t>
        </is>
      </c>
      <c r="D11" s="22" t="inlineStr">
        <is>
          <t>N° Z</t>
        </is>
      </c>
      <c r="E11" s="22" t="inlineStr">
        <is>
          <t>Explication</t>
        </is>
      </c>
    </row>
    <row r="12" ht="15" customHeight="1" s="19">
      <c r="A12" s="23" t="inlineStr">
        <is>
          <t>2022-04-29</t>
        </is>
      </c>
      <c r="B12" s="23" t="inlineStr">
        <is>
          <t>13:15</t>
        </is>
      </c>
      <c r="C12" s="23" t="inlineStr">
        <is>
          <t>15</t>
        </is>
      </c>
      <c r="D12" s="23" t="inlineStr">
        <is>
          <t>2950</t>
        </is>
      </c>
      <c r="E12" s="23" t="inlineStr">
        <is>
          <t>Repas integralement offert (7 lignes, toutes a 0 EUR)</t>
        </is>
      </c>
    </row>
    <row r="13" ht="15" customHeight="1" s="19">
      <c r="A13" s="23" t="inlineStr">
        <is>
          <t>2022-12-28</t>
        </is>
      </c>
      <c r="B13" s="23" t="inlineStr">
        <is>
          <t>20:05</t>
        </is>
      </c>
      <c r="C13" s="23" t="inlineStr">
        <is>
          <t>17</t>
        </is>
      </c>
      <c r="D13" s="23" t="inlineStr">
        <is>
          <t>3123</t>
        </is>
      </c>
      <c r="E13" s="23" t="inlineStr">
        <is>
          <t>Repas integralement offert (6 lignes, toutes a 0 EUR)</t>
        </is>
      </c>
    </row>
    <row r="14" ht="15" customHeight="1" s="19">
      <c r="A14" s="23" t="inlineStr">
        <is>
          <t>2023-03-23</t>
        </is>
      </c>
      <c r="B14" s="23" t="inlineStr">
        <is>
          <t>-</t>
        </is>
      </c>
      <c r="C14" s="23" t="inlineStr">
        <is>
          <t>5</t>
        </is>
      </c>
      <c r="D14" s="23" t="inlineStr">
        <is>
          <t>3152</t>
        </is>
      </c>
      <c r="E14" s="23" t="inlineStr">
        <is>
          <t>Aucune ligne au detail : table ouverte puis refermee sans commande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E278"/>
  <sheetViews>
    <sheetView workbookViewId="0">
      <selection activeCell="A1" sqref="A1"/>
    </sheetView>
  </sheetViews>
  <sheetFormatPr baseColWidth="8" defaultRowHeight="15"/>
  <cols>
    <col width="12" customWidth="1" style="19" min="1" max="1"/>
    <col width="12" customWidth="1" style="19" min="2" max="2"/>
    <col width="10" customWidth="1" style="19" min="3" max="3"/>
    <col width="30" customWidth="1" style="19" min="4" max="4"/>
    <col width="28" customWidth="1" style="19" min="5" max="5"/>
  </cols>
  <sheetData>
    <row r="1">
      <c r="A1" s="37" t="inlineStr">
        <is>
          <t>Controle : la colonne 15 « Discount Rate » (taux de remise) des annexes C-1 a C-3 sur les 272 lignes a prix unitaire 0 EUR</t>
        </is>
      </c>
    </row>
    <row r="2">
      <c r="A2" s="18" t="inlineStr">
        <is>
          <t>Une ligne saisie a 0 EUR n'est pas une « touche remise » : le taux de remise de la caisse est nul sur chacune des 272 lignes (colonne D ci-dessous, recopiee de l'annexe C ; controles par formule en D276 et D277).</t>
        </is>
      </c>
    </row>
    <row r="3">
      <c r="A3" s="37" t="inlineStr">
        <is>
          <t>Exercice</t>
        </is>
      </c>
      <c r="B3" s="37" t="inlineStr">
        <is>
          <t>Date</t>
        </is>
      </c>
      <c r="C3" s="37" t="inlineStr">
        <is>
          <t>N° ticket</t>
        </is>
      </c>
      <c r="D3" s="37" t="inlineStr">
        <is>
          <t>Discount Rate (col. 15 annexe C)</t>
        </is>
      </c>
      <c r="E3" s="37" t="inlineStr">
        <is>
          <t>Libelle</t>
        </is>
      </c>
    </row>
    <row r="4">
      <c r="A4" s="18" t="inlineStr">
        <is>
          <t>2022-2023</t>
        </is>
      </c>
      <c r="B4" s="18" t="inlineStr">
        <is>
          <t>2022-04-20</t>
        </is>
      </c>
      <c r="C4" s="18" t="n">
        <v>24</v>
      </c>
      <c r="D4" s="18" t="n">
        <v>0</v>
      </c>
      <c r="E4" s="18" t="inlineStr">
        <is>
          <t>Kir Bourgogne</t>
        </is>
      </c>
    </row>
    <row r="5">
      <c r="A5" s="18" t="inlineStr">
        <is>
          <t>2022-2023</t>
        </is>
      </c>
      <c r="B5" s="18" t="inlineStr">
        <is>
          <t>2022-04-21</t>
        </is>
      </c>
      <c r="C5" s="18" t="n">
        <v>13</v>
      </c>
      <c r="D5" s="18" t="n">
        <v>0</v>
      </c>
      <c r="E5" s="18" t="inlineStr">
        <is>
          <t>La Vouivre</t>
        </is>
      </c>
    </row>
    <row r="6">
      <c r="A6" s="18" t="inlineStr">
        <is>
          <t>2022-2023</t>
        </is>
      </c>
      <c r="B6" s="18" t="inlineStr">
        <is>
          <t>2022-04-23</t>
        </is>
      </c>
      <c r="C6" s="18" t="n">
        <v>14</v>
      </c>
      <c r="D6" s="18" t="n">
        <v>0</v>
      </c>
      <c r="E6" s="18" t="inlineStr">
        <is>
          <t>Menu 'Enfant'</t>
        </is>
      </c>
    </row>
    <row r="7">
      <c r="A7" s="18" t="inlineStr">
        <is>
          <t>2022-2023</t>
        </is>
      </c>
      <c r="B7" s="18" t="inlineStr">
        <is>
          <t>2022-04-29</t>
        </is>
      </c>
      <c r="C7" s="18" t="n">
        <v>15</v>
      </c>
      <c r="D7" s="18" t="n">
        <v>0</v>
      </c>
      <c r="E7" s="18" t="inlineStr">
        <is>
          <t>Martini Blanc</t>
        </is>
      </c>
    </row>
    <row r="8">
      <c r="A8" s="18" t="inlineStr">
        <is>
          <t>2022-2023</t>
        </is>
      </c>
      <c r="B8" s="18" t="inlineStr">
        <is>
          <t>2022-04-29</t>
        </is>
      </c>
      <c r="C8" s="18" t="n">
        <v>15</v>
      </c>
      <c r="D8" s="18" t="n">
        <v>0</v>
      </c>
      <c r="E8" s="18" t="inlineStr">
        <is>
          <t>Schweppes</t>
        </is>
      </c>
    </row>
    <row r="9">
      <c r="A9" s="18" t="inlineStr">
        <is>
          <t>2022-2023</t>
        </is>
      </c>
      <c r="B9" s="18" t="inlineStr">
        <is>
          <t>2022-04-29</t>
        </is>
      </c>
      <c r="C9" s="18" t="n">
        <v>15</v>
      </c>
      <c r="D9" s="18" t="n">
        <v>0</v>
      </c>
      <c r="E9" s="18" t="inlineStr">
        <is>
          <t>Luna</t>
        </is>
      </c>
    </row>
    <row r="10">
      <c r="A10" s="18" t="inlineStr">
        <is>
          <t>2022-2023</t>
        </is>
      </c>
      <c r="B10" s="18" t="inlineStr">
        <is>
          <t>2022-04-29</t>
        </is>
      </c>
      <c r="C10" s="18" t="n">
        <v>15</v>
      </c>
      <c r="D10" s="18" t="n">
        <v>0</v>
      </c>
      <c r="E10" s="18" t="inlineStr">
        <is>
          <t>Complète</t>
        </is>
      </c>
    </row>
    <row r="11">
      <c r="A11" s="18" t="inlineStr">
        <is>
          <t>2022-2023</t>
        </is>
      </c>
      <c r="B11" s="18" t="inlineStr">
        <is>
          <t>2022-04-29</t>
        </is>
      </c>
      <c r="C11" s="18" t="n">
        <v>15</v>
      </c>
      <c r="D11" s="18" t="n">
        <v>0</v>
      </c>
      <c r="E11" s="18" t="inlineStr">
        <is>
          <t>Salade Verte aux Noi</t>
        </is>
      </c>
    </row>
    <row r="12">
      <c r="A12" s="18" t="inlineStr">
        <is>
          <t>2022-2023</t>
        </is>
      </c>
      <c r="B12" s="18" t="inlineStr">
        <is>
          <t>2022-04-29</t>
        </is>
      </c>
      <c r="C12" s="18" t="n">
        <v>15</v>
      </c>
      <c r="D12" s="18" t="n">
        <v>0</v>
      </c>
      <c r="E12" s="18" t="inlineStr">
        <is>
          <t xml:space="preserve"> POMMES FRITES</t>
        </is>
      </c>
    </row>
    <row r="13">
      <c r="A13" s="18" t="inlineStr">
        <is>
          <t>2022-2023</t>
        </is>
      </c>
      <c r="B13" s="18" t="inlineStr">
        <is>
          <t>2022-04-29</t>
        </is>
      </c>
      <c r="C13" s="18" t="n">
        <v>15</v>
      </c>
      <c r="D13" s="18" t="n">
        <v>0</v>
      </c>
      <c r="E13" s="18" t="inlineStr">
        <is>
          <t>FONDUE VIN JAUNE</t>
        </is>
      </c>
    </row>
    <row r="14">
      <c r="A14" s="18" t="inlineStr">
        <is>
          <t>2022-2023</t>
        </is>
      </c>
      <c r="B14" s="18" t="inlineStr">
        <is>
          <t>2022-05-14</t>
        </is>
      </c>
      <c r="C14" s="18" t="n">
        <v>28</v>
      </c>
      <c r="D14" s="18" t="n">
        <v>0</v>
      </c>
      <c r="E14" s="18" t="inlineStr">
        <is>
          <t>Fuze Tea</t>
        </is>
      </c>
    </row>
    <row r="15">
      <c r="A15" s="18" t="inlineStr">
        <is>
          <t>2022-2023</t>
        </is>
      </c>
      <c r="B15" s="18" t="inlineStr">
        <is>
          <t>2022-05-14</t>
        </is>
      </c>
      <c r="C15" s="18" t="n">
        <v>28</v>
      </c>
      <c r="D15" s="18" t="n">
        <v>0</v>
      </c>
      <c r="E15" s="18" t="inlineStr">
        <is>
          <t>Expresso</t>
        </is>
      </c>
    </row>
    <row r="16">
      <c r="A16" s="18" t="inlineStr">
        <is>
          <t>2022-2023</t>
        </is>
      </c>
      <c r="B16" s="18" t="inlineStr">
        <is>
          <t>2022-05-26</t>
        </is>
      </c>
      <c r="C16" s="18" t="n">
        <v>9</v>
      </c>
      <c r="D16" s="18" t="n">
        <v>0</v>
      </c>
      <c r="E16" s="18" t="inlineStr">
        <is>
          <t>Chat perché</t>
        </is>
      </c>
    </row>
    <row r="17">
      <c r="A17" s="18" t="inlineStr">
        <is>
          <t>2022-2023</t>
        </is>
      </c>
      <c r="B17" s="18" t="inlineStr">
        <is>
          <t>2022-05-26</t>
        </is>
      </c>
      <c r="C17" s="18" t="n">
        <v>9</v>
      </c>
      <c r="D17" s="18" t="n">
        <v>0</v>
      </c>
      <c r="E17" s="18" t="inlineStr">
        <is>
          <t>TEQUILA SUNRISE</t>
        </is>
      </c>
    </row>
    <row r="18">
      <c r="A18" s="18" t="inlineStr">
        <is>
          <t>2022-2023</t>
        </is>
      </c>
      <c r="B18" s="18" t="inlineStr">
        <is>
          <t>2022-05-26</t>
        </is>
      </c>
      <c r="C18" s="18" t="n">
        <v>26</v>
      </c>
      <c r="D18" s="18" t="n">
        <v>0</v>
      </c>
      <c r="E18" s="18" t="inlineStr">
        <is>
          <t>Macvin du Jura</t>
        </is>
      </c>
    </row>
    <row r="19">
      <c r="A19" s="18" t="inlineStr">
        <is>
          <t>2022-2023</t>
        </is>
      </c>
      <c r="B19" s="18" t="inlineStr">
        <is>
          <t>2022-05-26</t>
        </is>
      </c>
      <c r="C19" s="18" t="n">
        <v>26</v>
      </c>
      <c r="D19" s="18" t="n">
        <v>0</v>
      </c>
      <c r="E19" s="18" t="inlineStr">
        <is>
          <t>Pontarlier</t>
        </is>
      </c>
    </row>
    <row r="20">
      <c r="A20" s="18" t="inlineStr">
        <is>
          <t>2022-2023</t>
        </is>
      </c>
      <c r="B20" s="18" t="inlineStr">
        <is>
          <t>2022-05-27</t>
        </is>
      </c>
      <c r="C20" s="18" t="n">
        <v>12</v>
      </c>
      <c r="D20" s="18" t="n">
        <v>0</v>
      </c>
      <c r="E20" s="18" t="inlineStr">
        <is>
          <t>Coca (25cl)</t>
        </is>
      </c>
    </row>
    <row r="21">
      <c r="A21" s="18" t="inlineStr">
        <is>
          <t>2022-2023</t>
        </is>
      </c>
      <c r="B21" s="18" t="inlineStr">
        <is>
          <t>2022-05-27</t>
        </is>
      </c>
      <c r="C21" s="18" t="n">
        <v>12</v>
      </c>
      <c r="D21" s="18" t="n">
        <v>0</v>
      </c>
      <c r="E21" s="18" t="inlineStr">
        <is>
          <t>Fuze Tea</t>
        </is>
      </c>
    </row>
    <row r="22">
      <c r="A22" s="18" t="inlineStr">
        <is>
          <t>2022-2023</t>
        </is>
      </c>
      <c r="B22" s="18" t="inlineStr">
        <is>
          <t>2022-05-27</t>
        </is>
      </c>
      <c r="C22" s="18" t="n">
        <v>12</v>
      </c>
      <c r="D22" s="18" t="n">
        <v>0</v>
      </c>
      <c r="E22" s="18" t="inlineStr">
        <is>
          <t>Père Gregoire</t>
        </is>
      </c>
    </row>
    <row r="23">
      <c r="A23" s="18" t="inlineStr">
        <is>
          <t>2022-2023</t>
        </is>
      </c>
      <c r="B23" s="18" t="inlineStr">
        <is>
          <t>2022-05-27</t>
        </is>
      </c>
      <c r="C23" s="18" t="n">
        <v>12</v>
      </c>
      <c r="D23" s="18" t="n">
        <v>0</v>
      </c>
      <c r="E23" s="18" t="inlineStr">
        <is>
          <t>pression</t>
        </is>
      </c>
    </row>
    <row r="24">
      <c r="A24" s="18" t="inlineStr">
        <is>
          <t>2022-2023</t>
        </is>
      </c>
      <c r="B24" s="18" t="inlineStr">
        <is>
          <t>2022-06-03</t>
        </is>
      </c>
      <c r="C24" s="18" t="n">
        <v>4</v>
      </c>
      <c r="D24" s="18" t="n">
        <v>0</v>
      </c>
      <c r="E24" s="18" t="inlineStr">
        <is>
          <t>BALIDOU</t>
        </is>
      </c>
    </row>
    <row r="25">
      <c r="A25" s="18" t="inlineStr">
        <is>
          <t>2022-2023</t>
        </is>
      </c>
      <c r="B25" s="18" t="inlineStr">
        <is>
          <t>2022-06-03</t>
        </is>
      </c>
      <c r="C25" s="18" t="n">
        <v>4</v>
      </c>
      <c r="D25" s="18" t="n">
        <v>0</v>
      </c>
      <c r="E25" s="18" t="inlineStr">
        <is>
          <t>Mambo</t>
        </is>
      </c>
    </row>
    <row r="26">
      <c r="A26" s="18" t="inlineStr">
        <is>
          <t>2022-2023</t>
        </is>
      </c>
      <c r="B26" s="18" t="inlineStr">
        <is>
          <t>2022-06-03</t>
        </is>
      </c>
      <c r="C26" s="18" t="n">
        <v>4</v>
      </c>
      <c r="D26" s="18" t="n">
        <v>0</v>
      </c>
      <c r="E26" s="18" t="inlineStr">
        <is>
          <t>Chat perché</t>
        </is>
      </c>
    </row>
    <row r="27">
      <c r="A27" s="18" t="inlineStr">
        <is>
          <t>2022-2023</t>
        </is>
      </c>
      <c r="B27" s="18" t="inlineStr">
        <is>
          <t>2022-06-04</t>
        </is>
      </c>
      <c r="C27" s="18" t="n">
        <v>11</v>
      </c>
      <c r="D27" s="18" t="n">
        <v>0</v>
      </c>
      <c r="E27" s="18" t="inlineStr">
        <is>
          <t>pression</t>
        </is>
      </c>
    </row>
    <row r="28">
      <c r="A28" s="18" t="inlineStr">
        <is>
          <t>2022-2023</t>
        </is>
      </c>
      <c r="B28" s="18" t="inlineStr">
        <is>
          <t>2022-06-04</t>
        </is>
      </c>
      <c r="C28" s="18" t="n">
        <v>11</v>
      </c>
      <c r="D28" s="18" t="n">
        <v>0</v>
      </c>
      <c r="E28" s="18" t="inlineStr">
        <is>
          <t>Père Gregoire</t>
        </is>
      </c>
    </row>
    <row r="29">
      <c r="A29" s="18" t="inlineStr">
        <is>
          <t>2022-2023</t>
        </is>
      </c>
      <c r="B29" s="18" t="inlineStr">
        <is>
          <t>2022-06-04</t>
        </is>
      </c>
      <c r="C29" s="18" t="n">
        <v>11</v>
      </c>
      <c r="D29" s="18" t="n">
        <v>0</v>
      </c>
      <c r="E29" s="18" t="inlineStr">
        <is>
          <t>Double Expresso</t>
        </is>
      </c>
    </row>
    <row r="30">
      <c r="A30" s="18" t="inlineStr">
        <is>
          <t>2022-2023</t>
        </is>
      </c>
      <c r="B30" s="18" t="inlineStr">
        <is>
          <t>2022-06-04</t>
        </is>
      </c>
      <c r="C30" s="18" t="n">
        <v>11</v>
      </c>
      <c r="D30" s="18" t="n">
        <v>0</v>
      </c>
      <c r="E30" s="18" t="inlineStr">
        <is>
          <t>Thé</t>
        </is>
      </c>
    </row>
    <row r="31">
      <c r="A31" s="18" t="inlineStr">
        <is>
          <t>2022-2023</t>
        </is>
      </c>
      <c r="B31" s="18" t="inlineStr">
        <is>
          <t>2022-06-08</t>
        </is>
      </c>
      <c r="C31" s="18" t="n">
        <v>20</v>
      </c>
      <c r="D31" s="18" t="n">
        <v>0</v>
      </c>
      <c r="E31" s="18" t="inlineStr">
        <is>
          <t>Expresso</t>
        </is>
      </c>
    </row>
    <row r="32">
      <c r="A32" s="18" t="inlineStr">
        <is>
          <t>2022-2023</t>
        </is>
      </c>
      <c r="B32" s="18" t="inlineStr">
        <is>
          <t>2022-06-10</t>
        </is>
      </c>
      <c r="C32" s="18" t="n">
        <v>3</v>
      </c>
      <c r="D32" s="18" t="n">
        <v>0</v>
      </c>
      <c r="E32" s="18" t="inlineStr">
        <is>
          <t>Jus de Fruit</t>
        </is>
      </c>
    </row>
    <row r="33">
      <c r="A33" s="18" t="inlineStr">
        <is>
          <t>2022-2023</t>
        </is>
      </c>
      <c r="B33" s="18" t="inlineStr">
        <is>
          <t>2022-06-10</t>
        </is>
      </c>
      <c r="C33" s="18" t="n">
        <v>3</v>
      </c>
      <c r="D33" s="18" t="n">
        <v>0</v>
      </c>
      <c r="E33" s="18" t="inlineStr">
        <is>
          <t>Pinte</t>
        </is>
      </c>
    </row>
    <row r="34">
      <c r="A34" s="18" t="inlineStr">
        <is>
          <t>2022-2023</t>
        </is>
      </c>
      <c r="B34" s="18" t="inlineStr">
        <is>
          <t>2022-06-26</t>
        </is>
      </c>
      <c r="C34" s="18" t="n">
        <v>16</v>
      </c>
      <c r="D34" s="18" t="n">
        <v>0</v>
      </c>
      <c r="E34" s="18" t="inlineStr">
        <is>
          <t>La Vouivre</t>
        </is>
      </c>
    </row>
    <row r="35">
      <c r="A35" s="18" t="inlineStr">
        <is>
          <t>2022-2023</t>
        </is>
      </c>
      <c r="B35" s="18" t="inlineStr">
        <is>
          <t>2022-06-26</t>
        </is>
      </c>
      <c r="C35" s="18" t="n">
        <v>24</v>
      </c>
      <c r="D35" s="18" t="n">
        <v>0</v>
      </c>
      <c r="E35" s="18" t="inlineStr">
        <is>
          <t>Coca (25cl)</t>
        </is>
      </c>
    </row>
    <row r="36">
      <c r="A36" s="18" t="inlineStr">
        <is>
          <t>2022-2023</t>
        </is>
      </c>
      <c r="B36" s="18" t="inlineStr">
        <is>
          <t>2022-06-26</t>
        </is>
      </c>
      <c r="C36" s="18" t="n">
        <v>24</v>
      </c>
      <c r="D36" s="18" t="n">
        <v>0</v>
      </c>
      <c r="E36" s="18" t="inlineStr">
        <is>
          <t>Macvin du Jura</t>
        </is>
      </c>
    </row>
    <row r="37">
      <c r="A37" s="18" t="inlineStr">
        <is>
          <t>2022-2023</t>
        </is>
      </c>
      <c r="B37" s="18" t="inlineStr">
        <is>
          <t>2022-06-26</t>
        </is>
      </c>
      <c r="C37" s="18" t="n">
        <v>24</v>
      </c>
      <c r="D37" s="18" t="n">
        <v>0</v>
      </c>
      <c r="E37" s="18" t="inlineStr">
        <is>
          <t>pression</t>
        </is>
      </c>
    </row>
    <row r="38">
      <c r="A38" s="18" t="inlineStr">
        <is>
          <t>2022-2023</t>
        </is>
      </c>
      <c r="B38" s="18" t="inlineStr">
        <is>
          <t>2022-06-30</t>
        </is>
      </c>
      <c r="C38" s="18" t="n">
        <v>17</v>
      </c>
      <c r="D38" s="18" t="n">
        <v>0</v>
      </c>
      <c r="E38" s="18" t="inlineStr">
        <is>
          <t>Crepe Chocolat</t>
        </is>
      </c>
    </row>
    <row r="39">
      <c r="A39" s="18" t="inlineStr">
        <is>
          <t>2022-2023</t>
        </is>
      </c>
      <c r="B39" s="18" t="inlineStr">
        <is>
          <t>2022-06-30</t>
        </is>
      </c>
      <c r="C39" s="18" t="n">
        <v>17</v>
      </c>
      <c r="D39" s="18" t="n">
        <v>0</v>
      </c>
      <c r="E39" s="18" t="inlineStr">
        <is>
          <t>Café Viennois</t>
        </is>
      </c>
    </row>
    <row r="40">
      <c r="A40" s="18" t="inlineStr">
        <is>
          <t>2022-2023</t>
        </is>
      </c>
      <c r="B40" s="18" t="inlineStr">
        <is>
          <t>2022-07-01</t>
        </is>
      </c>
      <c r="C40" s="18" t="n">
        <v>20</v>
      </c>
      <c r="D40" s="18" t="n">
        <v>0</v>
      </c>
      <c r="E40" s="18" t="inlineStr">
        <is>
          <t>Pastis</t>
        </is>
      </c>
    </row>
    <row r="41">
      <c r="A41" s="18" t="inlineStr">
        <is>
          <t>2022-2023</t>
        </is>
      </c>
      <c r="B41" s="18" t="inlineStr">
        <is>
          <t>2022-07-01</t>
        </is>
      </c>
      <c r="C41" s="18" t="n">
        <v>20</v>
      </c>
      <c r="D41" s="18" t="n">
        <v>0</v>
      </c>
      <c r="E41" s="18" t="inlineStr">
        <is>
          <t>pression</t>
        </is>
      </c>
    </row>
    <row r="42">
      <c r="A42" s="18" t="inlineStr">
        <is>
          <t>2022-2023</t>
        </is>
      </c>
      <c r="B42" s="18" t="inlineStr">
        <is>
          <t>2022-07-01</t>
        </is>
      </c>
      <c r="C42" s="18" t="n">
        <v>20</v>
      </c>
      <c r="D42" s="18" t="n">
        <v>0</v>
      </c>
      <c r="E42" s="18" t="inlineStr">
        <is>
          <t>FROMAGES REGIONAUX</t>
        </is>
      </c>
    </row>
    <row r="43">
      <c r="A43" s="18" t="inlineStr">
        <is>
          <t>2022-2023</t>
        </is>
      </c>
      <c r="B43" s="18" t="inlineStr">
        <is>
          <t>2022-07-02</t>
        </is>
      </c>
      <c r="C43" s="18" t="n">
        <v>23</v>
      </c>
      <c r="D43" s="18" t="n">
        <v>0</v>
      </c>
      <c r="E43" s="18" t="inlineStr">
        <is>
          <t>CREPE NUTELLA CHANTI</t>
        </is>
      </c>
    </row>
    <row r="44">
      <c r="A44" s="18" t="inlineStr">
        <is>
          <t>2022-2023</t>
        </is>
      </c>
      <c r="B44" s="18" t="inlineStr">
        <is>
          <t>2022-07-02</t>
        </is>
      </c>
      <c r="C44" s="18" t="n">
        <v>31</v>
      </c>
      <c r="D44" s="18" t="n">
        <v>0</v>
      </c>
      <c r="E44" s="18" t="inlineStr">
        <is>
          <t>Coca (25cl)</t>
        </is>
      </c>
    </row>
    <row r="45">
      <c r="A45" s="18" t="inlineStr">
        <is>
          <t>2022-2023</t>
        </is>
      </c>
      <c r="B45" s="18" t="inlineStr">
        <is>
          <t>2022-07-03</t>
        </is>
      </c>
      <c r="C45" s="18" t="n">
        <v>15</v>
      </c>
      <c r="D45" s="18" t="n">
        <v>0</v>
      </c>
      <c r="E45" s="18" t="inlineStr">
        <is>
          <t>Expresso</t>
        </is>
      </c>
    </row>
    <row r="46">
      <c r="A46" s="18" t="inlineStr">
        <is>
          <t>2022-2023</t>
        </is>
      </c>
      <c r="B46" s="18" t="inlineStr">
        <is>
          <t>2022-07-07</t>
        </is>
      </c>
      <c r="C46" s="18" t="n">
        <v>30</v>
      </c>
      <c r="D46" s="18" t="n">
        <v>0</v>
      </c>
      <c r="E46" s="18" t="inlineStr">
        <is>
          <t>Chat perché</t>
        </is>
      </c>
    </row>
    <row r="47">
      <c r="A47" s="18" t="inlineStr">
        <is>
          <t>2022-2023</t>
        </is>
      </c>
      <c r="B47" s="18" t="inlineStr">
        <is>
          <t>2022-07-07</t>
        </is>
      </c>
      <c r="C47" s="18" t="n">
        <v>30</v>
      </c>
      <c r="D47" s="18" t="n">
        <v>0</v>
      </c>
      <c r="E47" s="18" t="inlineStr">
        <is>
          <t>Expresso</t>
        </is>
      </c>
    </row>
    <row r="48">
      <c r="A48" s="18" t="inlineStr">
        <is>
          <t>2022-2023</t>
        </is>
      </c>
      <c r="B48" s="18" t="inlineStr">
        <is>
          <t>2022-07-07</t>
        </is>
      </c>
      <c r="C48" s="18" t="n">
        <v>32</v>
      </c>
      <c r="D48" s="18" t="n">
        <v>0</v>
      </c>
      <c r="E48" s="18" t="inlineStr">
        <is>
          <t>Expresso</t>
        </is>
      </c>
    </row>
    <row r="49">
      <c r="A49" s="18" t="inlineStr">
        <is>
          <t>2022-2023</t>
        </is>
      </c>
      <c r="B49" s="18" t="inlineStr">
        <is>
          <t>2022-07-08</t>
        </is>
      </c>
      <c r="C49" s="18" t="n">
        <v>2</v>
      </c>
      <c r="D49" s="18" t="n">
        <v>0</v>
      </c>
      <c r="E49" s="18" t="inlineStr">
        <is>
          <t>Pichet 50cl vin</t>
        </is>
      </c>
    </row>
    <row r="50">
      <c r="A50" s="18" t="inlineStr">
        <is>
          <t>2022-2023</t>
        </is>
      </c>
      <c r="B50" s="18" t="inlineStr">
        <is>
          <t>2022-07-09</t>
        </is>
      </c>
      <c r="C50" s="18" t="n">
        <v>9</v>
      </c>
      <c r="D50" s="18" t="n">
        <v>0</v>
      </c>
      <c r="E50" s="18" t="inlineStr">
        <is>
          <t>Père Gregoire</t>
        </is>
      </c>
    </row>
    <row r="51">
      <c r="A51" s="18" t="inlineStr">
        <is>
          <t>2022-2023</t>
        </is>
      </c>
      <c r="B51" s="18" t="inlineStr">
        <is>
          <t>2022-07-10</t>
        </is>
      </c>
      <c r="C51" s="18" t="n">
        <v>6</v>
      </c>
      <c r="D51" s="18" t="n">
        <v>0</v>
      </c>
      <c r="E51" s="18" t="inlineStr">
        <is>
          <t>Crémant</t>
        </is>
      </c>
    </row>
    <row r="52">
      <c r="A52" s="18" t="inlineStr">
        <is>
          <t>2022-2023</t>
        </is>
      </c>
      <c r="B52" s="18" t="inlineStr">
        <is>
          <t>2022-07-12</t>
        </is>
      </c>
      <c r="C52" s="18" t="n">
        <v>30</v>
      </c>
      <c r="D52" s="18" t="n">
        <v>0</v>
      </c>
      <c r="E52" s="18" t="inlineStr">
        <is>
          <t>Kir Bourgogne</t>
        </is>
      </c>
    </row>
    <row r="53">
      <c r="A53" s="18" t="inlineStr">
        <is>
          <t>2022-2023</t>
        </is>
      </c>
      <c r="B53" s="18" t="inlineStr">
        <is>
          <t>2022-07-12</t>
        </is>
      </c>
      <c r="C53" s="18" t="n">
        <v>30</v>
      </c>
      <c r="D53" s="18" t="n">
        <v>0</v>
      </c>
      <c r="E53" s="18" t="inlineStr">
        <is>
          <t>Limonade (25cl)</t>
        </is>
      </c>
    </row>
    <row r="54">
      <c r="A54" s="18" t="inlineStr">
        <is>
          <t>2022-2023</t>
        </is>
      </c>
      <c r="B54" s="18" t="inlineStr">
        <is>
          <t>2022-07-17</t>
        </is>
      </c>
      <c r="C54" s="18" t="n">
        <v>34</v>
      </c>
      <c r="D54" s="18" t="n">
        <v>0</v>
      </c>
      <c r="E54" s="18" t="inlineStr">
        <is>
          <t>cidre la Mordue</t>
        </is>
      </c>
    </row>
    <row r="55">
      <c r="A55" s="18" t="inlineStr">
        <is>
          <t>2022-2023</t>
        </is>
      </c>
      <c r="B55" s="18" t="inlineStr">
        <is>
          <t>2022-07-17</t>
        </is>
      </c>
      <c r="C55" s="18" t="n">
        <v>34</v>
      </c>
      <c r="D55" s="18" t="n">
        <v>0</v>
      </c>
      <c r="E55" s="18" t="inlineStr">
        <is>
          <t>Entrecôte grillée</t>
        </is>
      </c>
    </row>
    <row r="56">
      <c r="A56" s="18" t="inlineStr">
        <is>
          <t>2022-2023</t>
        </is>
      </c>
      <c r="B56" s="18" t="inlineStr">
        <is>
          <t>2022-07-17</t>
        </is>
      </c>
      <c r="C56" s="18" t="n">
        <v>37</v>
      </c>
      <c r="D56" s="18" t="n">
        <v>0</v>
      </c>
      <c r="E56" s="18" t="inlineStr">
        <is>
          <t>Chat perché</t>
        </is>
      </c>
    </row>
    <row r="57">
      <c r="A57" s="18" t="inlineStr">
        <is>
          <t>2022-2023</t>
        </is>
      </c>
      <c r="B57" s="18" t="inlineStr">
        <is>
          <t>2022-07-17</t>
        </is>
      </c>
      <c r="C57" s="18" t="n">
        <v>37</v>
      </c>
      <c r="D57" s="18" t="n">
        <v>0</v>
      </c>
      <c r="E57" s="18" t="inlineStr">
        <is>
          <t>Sirop à l'eau</t>
        </is>
      </c>
    </row>
    <row r="58">
      <c r="A58" s="18" t="inlineStr">
        <is>
          <t>2022-2023</t>
        </is>
      </c>
      <c r="B58" s="18" t="inlineStr">
        <is>
          <t>2022-07-24</t>
        </is>
      </c>
      <c r="C58" s="18" t="n">
        <v>9</v>
      </c>
      <c r="D58" s="18" t="n">
        <v>0</v>
      </c>
      <c r="E58" s="18" t="inlineStr">
        <is>
          <t>Père Gregoire</t>
        </is>
      </c>
    </row>
    <row r="59">
      <c r="A59" s="18" t="inlineStr">
        <is>
          <t>2022-2023</t>
        </is>
      </c>
      <c r="B59" s="18" t="inlineStr">
        <is>
          <t>2022-07-24</t>
        </is>
      </c>
      <c r="C59" s="18" t="n">
        <v>25</v>
      </c>
      <c r="D59" s="18" t="n">
        <v>0</v>
      </c>
      <c r="E59" s="18" t="inlineStr">
        <is>
          <t>Expresso</t>
        </is>
      </c>
    </row>
    <row r="60">
      <c r="A60" s="18" t="inlineStr">
        <is>
          <t>2022-2023</t>
        </is>
      </c>
      <c r="B60" s="18" t="inlineStr">
        <is>
          <t>2022-07-26</t>
        </is>
      </c>
      <c r="C60" s="18" t="n">
        <v>32</v>
      </c>
      <c r="D60" s="18" t="n">
        <v>0</v>
      </c>
      <c r="E60" s="18" t="inlineStr">
        <is>
          <t>Salade Verte</t>
        </is>
      </c>
    </row>
    <row r="61">
      <c r="A61" s="18" t="inlineStr">
        <is>
          <t>2022-2023</t>
        </is>
      </c>
      <c r="B61" s="18" t="inlineStr">
        <is>
          <t>2022-07-28</t>
        </is>
      </c>
      <c r="C61" s="18" t="n">
        <v>8</v>
      </c>
      <c r="D61" s="18" t="n">
        <v>0</v>
      </c>
      <c r="E61" s="18" t="inlineStr">
        <is>
          <t>Luna</t>
        </is>
      </c>
    </row>
    <row r="62">
      <c r="A62" s="18" t="inlineStr">
        <is>
          <t>2022-2023</t>
        </is>
      </c>
      <c r="B62" s="18" t="inlineStr">
        <is>
          <t>2022-07-28</t>
        </is>
      </c>
      <c r="C62" s="18" t="n">
        <v>8</v>
      </c>
      <c r="D62" s="18" t="n">
        <v>0</v>
      </c>
      <c r="E62" s="18" t="inlineStr">
        <is>
          <t>Ambrée</t>
        </is>
      </c>
    </row>
    <row r="63">
      <c r="A63" s="18" t="inlineStr">
        <is>
          <t>2022-2023</t>
        </is>
      </c>
      <c r="B63" s="18" t="inlineStr">
        <is>
          <t>2022-07-28</t>
        </is>
      </c>
      <c r="C63" s="18" t="n">
        <v>9</v>
      </c>
      <c r="D63" s="18" t="n">
        <v>0</v>
      </c>
      <c r="E63" s="18" t="inlineStr">
        <is>
          <t>La Vouivre</t>
        </is>
      </c>
    </row>
    <row r="64">
      <c r="A64" s="18" t="inlineStr">
        <is>
          <t>2022-2023</t>
        </is>
      </c>
      <c r="B64" s="18" t="inlineStr">
        <is>
          <t>2022-07-28</t>
        </is>
      </c>
      <c r="C64" s="18" t="n">
        <v>9</v>
      </c>
      <c r="D64" s="18" t="n">
        <v>0</v>
      </c>
      <c r="E64" s="18" t="inlineStr">
        <is>
          <t>Chat perché</t>
        </is>
      </c>
    </row>
    <row r="65">
      <c r="A65" s="18" t="inlineStr">
        <is>
          <t>2022-2023</t>
        </is>
      </c>
      <c r="B65" s="18" t="inlineStr">
        <is>
          <t>2022-07-28</t>
        </is>
      </c>
      <c r="C65" s="18" t="n">
        <v>9</v>
      </c>
      <c r="D65" s="18" t="n">
        <v>0</v>
      </c>
      <c r="E65" s="18" t="inlineStr">
        <is>
          <t>Mambo</t>
        </is>
      </c>
    </row>
    <row r="66">
      <c r="A66" s="18" t="inlineStr">
        <is>
          <t>2022-2023</t>
        </is>
      </c>
      <c r="B66" s="18" t="inlineStr">
        <is>
          <t>2022-07-28</t>
        </is>
      </c>
      <c r="C66" s="18" t="n">
        <v>9</v>
      </c>
      <c r="D66" s="18" t="n">
        <v>0</v>
      </c>
      <c r="E66" s="18" t="inlineStr">
        <is>
          <t>Perrier 33cl</t>
        </is>
      </c>
    </row>
    <row r="67">
      <c r="A67" s="18" t="inlineStr">
        <is>
          <t>2022-2023</t>
        </is>
      </c>
      <c r="B67" s="18" t="inlineStr">
        <is>
          <t>2022-07-29</t>
        </is>
      </c>
      <c r="C67" s="18" t="n">
        <v>25</v>
      </c>
      <c r="D67" s="18" t="n">
        <v>0</v>
      </c>
      <c r="E67" s="18" t="inlineStr">
        <is>
          <t>Chat perché</t>
        </is>
      </c>
    </row>
    <row r="68">
      <c r="A68" s="18" t="inlineStr">
        <is>
          <t>2022-2023</t>
        </is>
      </c>
      <c r="B68" s="18" t="inlineStr">
        <is>
          <t>2022-07-31</t>
        </is>
      </c>
      <c r="C68" s="18" t="n">
        <v>17</v>
      </c>
      <c r="D68" s="18" t="n">
        <v>0</v>
      </c>
      <c r="E68" s="18" t="inlineStr">
        <is>
          <t>Pinte</t>
        </is>
      </c>
    </row>
    <row r="69">
      <c r="A69" s="18" t="inlineStr">
        <is>
          <t>2022-2023</t>
        </is>
      </c>
      <c r="B69" s="18" t="inlineStr">
        <is>
          <t>2022-08-02</t>
        </is>
      </c>
      <c r="C69" s="18" t="n">
        <v>20</v>
      </c>
      <c r="D69" s="18" t="n">
        <v>0</v>
      </c>
      <c r="E69" s="18" t="inlineStr">
        <is>
          <t>pression</t>
        </is>
      </c>
    </row>
    <row r="70">
      <c r="A70" s="18" t="inlineStr">
        <is>
          <t>2022-2023</t>
        </is>
      </c>
      <c r="B70" s="18" t="inlineStr">
        <is>
          <t>2022-08-02</t>
        </is>
      </c>
      <c r="C70" s="18" t="n">
        <v>20</v>
      </c>
      <c r="D70" s="18" t="n">
        <v>0</v>
      </c>
      <c r="E70" s="18" t="inlineStr">
        <is>
          <t>Père Gregoire</t>
        </is>
      </c>
    </row>
    <row r="71">
      <c r="A71" s="18" t="inlineStr">
        <is>
          <t>2022-2023</t>
        </is>
      </c>
      <c r="B71" s="18" t="inlineStr">
        <is>
          <t>2022-08-11</t>
        </is>
      </c>
      <c r="C71" s="18" t="n">
        <v>34</v>
      </c>
      <c r="D71" s="18" t="n">
        <v>0</v>
      </c>
      <c r="E71" s="18" t="inlineStr">
        <is>
          <t>Crepe Chocolat</t>
        </is>
      </c>
    </row>
    <row r="72">
      <c r="A72" s="18" t="inlineStr">
        <is>
          <t>2022-2023</t>
        </is>
      </c>
      <c r="B72" s="18" t="inlineStr">
        <is>
          <t>2022-08-13</t>
        </is>
      </c>
      <c r="C72" s="18" t="n">
        <v>12</v>
      </c>
      <c r="D72" s="18" t="n">
        <v>0</v>
      </c>
      <c r="E72" s="18" t="inlineStr">
        <is>
          <t>TRUITE PESTO</t>
        </is>
      </c>
    </row>
    <row r="73">
      <c r="A73" s="18" t="inlineStr">
        <is>
          <t>2022-2023</t>
        </is>
      </c>
      <c r="B73" s="18" t="inlineStr">
        <is>
          <t>2022-08-18</t>
        </is>
      </c>
      <c r="C73" s="18" t="n">
        <v>22</v>
      </c>
      <c r="D73" s="18" t="n">
        <v>0</v>
      </c>
      <c r="E73" s="18" t="inlineStr">
        <is>
          <t>Père Gregoire</t>
        </is>
      </c>
    </row>
    <row r="74">
      <c r="A74" s="18" t="inlineStr">
        <is>
          <t>2022-2023</t>
        </is>
      </c>
      <c r="B74" s="18" t="inlineStr">
        <is>
          <t>2022-08-18</t>
        </is>
      </c>
      <c r="C74" s="18" t="n">
        <v>22</v>
      </c>
      <c r="D74" s="18" t="n">
        <v>0</v>
      </c>
      <c r="E74" s="18" t="inlineStr">
        <is>
          <t>pression</t>
        </is>
      </c>
    </row>
    <row r="75">
      <c r="A75" s="18" t="inlineStr">
        <is>
          <t>2022-2023</t>
        </is>
      </c>
      <c r="B75" s="18" t="inlineStr">
        <is>
          <t>2022-08-20</t>
        </is>
      </c>
      <c r="C75" s="18" t="n">
        <v>28</v>
      </c>
      <c r="D75" s="18" t="n">
        <v>0</v>
      </c>
      <c r="E75" s="18" t="inlineStr">
        <is>
          <t>Expresso</t>
        </is>
      </c>
    </row>
    <row r="76">
      <c r="A76" s="18" t="inlineStr">
        <is>
          <t>2022-2023</t>
        </is>
      </c>
      <c r="B76" s="18" t="inlineStr">
        <is>
          <t>2022-08-20</t>
        </is>
      </c>
      <c r="C76" s="18" t="n">
        <v>29</v>
      </c>
      <c r="D76" s="18" t="n">
        <v>0</v>
      </c>
      <c r="E76" s="18" t="inlineStr">
        <is>
          <t>Expresso</t>
        </is>
      </c>
    </row>
    <row r="77">
      <c r="A77" s="18" t="inlineStr">
        <is>
          <t>2022-2023</t>
        </is>
      </c>
      <c r="B77" s="18" t="inlineStr">
        <is>
          <t>2022-08-26</t>
        </is>
      </c>
      <c r="C77" s="18" t="n">
        <v>17</v>
      </c>
      <c r="D77" s="18" t="n">
        <v>0</v>
      </c>
      <c r="E77" s="18" t="inlineStr">
        <is>
          <t>POULET JURASSIENNE</t>
        </is>
      </c>
    </row>
    <row r="78">
      <c r="A78" s="18" t="inlineStr">
        <is>
          <t>2022-2023</t>
        </is>
      </c>
      <c r="B78" s="18" t="inlineStr">
        <is>
          <t>2022-09-01</t>
        </is>
      </c>
      <c r="C78" s="18" t="n">
        <v>4</v>
      </c>
      <c r="D78" s="18" t="n">
        <v>0</v>
      </c>
      <c r="E78" s="18" t="inlineStr">
        <is>
          <t>Perrier 33cl</t>
        </is>
      </c>
    </row>
    <row r="79">
      <c r="A79" s="18" t="inlineStr">
        <is>
          <t>2022-2023</t>
        </is>
      </c>
      <c r="B79" s="18" t="inlineStr">
        <is>
          <t>2022-09-11</t>
        </is>
      </c>
      <c r="C79" s="18" t="n">
        <v>13</v>
      </c>
      <c r="D79" s="18" t="n">
        <v>0</v>
      </c>
      <c r="E79" s="18" t="inlineStr">
        <is>
          <t>Pinte</t>
        </is>
      </c>
    </row>
    <row r="80">
      <c r="A80" s="18" t="inlineStr">
        <is>
          <t>2022-2023</t>
        </is>
      </c>
      <c r="B80" s="18" t="inlineStr">
        <is>
          <t>2022-09-11</t>
        </is>
      </c>
      <c r="C80" s="18" t="n">
        <v>13</v>
      </c>
      <c r="D80" s="18" t="n">
        <v>0</v>
      </c>
      <c r="E80" s="18" t="inlineStr">
        <is>
          <t>Père Gregoire</t>
        </is>
      </c>
    </row>
    <row r="81">
      <c r="A81" s="18" t="inlineStr">
        <is>
          <t>2022-2023</t>
        </is>
      </c>
      <c r="B81" s="18" t="inlineStr">
        <is>
          <t>2022-09-21</t>
        </is>
      </c>
      <c r="C81" s="18" t="n">
        <v>19</v>
      </c>
      <c r="D81" s="18" t="n">
        <v>0</v>
      </c>
      <c r="E81" s="18" t="inlineStr">
        <is>
          <t>Escargots de Bourgog</t>
        </is>
      </c>
    </row>
    <row r="82">
      <c r="A82" s="18" t="inlineStr">
        <is>
          <t>2022-2023</t>
        </is>
      </c>
      <c r="B82" s="18" t="inlineStr">
        <is>
          <t>2022-09-30</t>
        </is>
      </c>
      <c r="C82" s="18" t="n">
        <v>6</v>
      </c>
      <c r="D82" s="18" t="n">
        <v>0</v>
      </c>
      <c r="E82" s="18" t="inlineStr">
        <is>
          <t>Kir Bourgogne</t>
        </is>
      </c>
    </row>
    <row r="83">
      <c r="A83" s="18" t="inlineStr">
        <is>
          <t>2022-2023</t>
        </is>
      </c>
      <c r="B83" s="18" t="inlineStr">
        <is>
          <t>2022-09-30</t>
        </is>
      </c>
      <c r="C83" s="18" t="n">
        <v>6</v>
      </c>
      <c r="D83" s="18" t="n">
        <v>0</v>
      </c>
      <c r="E83" s="18" t="inlineStr">
        <is>
          <t>Sirop à l'eau</t>
        </is>
      </c>
    </row>
    <row r="84">
      <c r="A84" s="18" t="inlineStr">
        <is>
          <t>2022-2023</t>
        </is>
      </c>
      <c r="B84" s="18" t="inlineStr">
        <is>
          <t>2022-10-01</t>
        </is>
      </c>
      <c r="C84" s="18" t="n">
        <v>7</v>
      </c>
      <c r="D84" s="18" t="n">
        <v>0</v>
      </c>
      <c r="E84" s="18" t="inlineStr">
        <is>
          <t>Expresso</t>
        </is>
      </c>
    </row>
    <row r="85">
      <c r="A85" s="18" t="inlineStr">
        <is>
          <t>2022-2023</t>
        </is>
      </c>
      <c r="B85" s="18" t="inlineStr">
        <is>
          <t>2022-10-01</t>
        </is>
      </c>
      <c r="C85" s="18" t="n">
        <v>20</v>
      </c>
      <c r="D85" s="18" t="n">
        <v>0</v>
      </c>
      <c r="E85" s="18" t="inlineStr">
        <is>
          <t>Ricard</t>
        </is>
      </c>
    </row>
    <row r="86">
      <c r="A86" s="18" t="inlineStr">
        <is>
          <t>2022-2023</t>
        </is>
      </c>
      <c r="B86" s="18" t="inlineStr">
        <is>
          <t>2022-10-01</t>
        </is>
      </c>
      <c r="C86" s="18" t="n">
        <v>20</v>
      </c>
      <c r="D86" s="18" t="n">
        <v>0</v>
      </c>
      <c r="E86" s="18" t="inlineStr">
        <is>
          <t>Kir Bourgogne</t>
        </is>
      </c>
    </row>
    <row r="87">
      <c r="A87" s="18" t="inlineStr">
        <is>
          <t>2022-2023</t>
        </is>
      </c>
      <c r="B87" s="18" t="inlineStr">
        <is>
          <t>2022-10-02</t>
        </is>
      </c>
      <c r="C87" s="18" t="n">
        <v>16</v>
      </c>
      <c r="D87" s="18" t="n">
        <v>0</v>
      </c>
      <c r="E87" s="18" t="inlineStr">
        <is>
          <t>CREME BRULEE</t>
        </is>
      </c>
    </row>
    <row r="88">
      <c r="A88" s="18" t="inlineStr">
        <is>
          <t>2022-2023</t>
        </is>
      </c>
      <c r="B88" s="18" t="inlineStr">
        <is>
          <t>2022-10-02</t>
        </is>
      </c>
      <c r="C88" s="18" t="n">
        <v>16</v>
      </c>
      <c r="D88" s="18" t="n">
        <v>0</v>
      </c>
      <c r="E88" s="18" t="inlineStr">
        <is>
          <t>Pavlova</t>
        </is>
      </c>
    </row>
    <row r="89">
      <c r="A89" s="18" t="inlineStr">
        <is>
          <t>2022-2023</t>
        </is>
      </c>
      <c r="B89" s="18" t="inlineStr">
        <is>
          <t>2022-10-02</t>
        </is>
      </c>
      <c r="C89" s="18" t="n">
        <v>16</v>
      </c>
      <c r="D89" s="18" t="n">
        <v>0</v>
      </c>
      <c r="E89" s="18" t="inlineStr">
        <is>
          <t>Expresso</t>
        </is>
      </c>
    </row>
    <row r="90">
      <c r="A90" s="18" t="inlineStr">
        <is>
          <t>2022-2023</t>
        </is>
      </c>
      <c r="B90" s="18" t="inlineStr">
        <is>
          <t>2022-10-26</t>
        </is>
      </c>
      <c r="C90" s="18" t="n">
        <v>27</v>
      </c>
      <c r="D90" s="18" t="n">
        <v>0</v>
      </c>
      <c r="E90" s="18" t="inlineStr">
        <is>
          <t>Limonade (25cl)</t>
        </is>
      </c>
    </row>
    <row r="91">
      <c r="A91" s="18" t="inlineStr">
        <is>
          <t>2022-2023</t>
        </is>
      </c>
      <c r="B91" s="18" t="inlineStr">
        <is>
          <t>2022-10-26</t>
        </is>
      </c>
      <c r="C91" s="18" t="n">
        <v>27</v>
      </c>
      <c r="D91" s="18" t="n">
        <v>0</v>
      </c>
      <c r="E91" s="18" t="inlineStr">
        <is>
          <t>Pichet 50cl vin</t>
        </is>
      </c>
    </row>
    <row r="92">
      <c r="A92" s="18" t="inlineStr">
        <is>
          <t>2022-2023</t>
        </is>
      </c>
      <c r="B92" s="18" t="inlineStr">
        <is>
          <t>2022-10-28</t>
        </is>
      </c>
      <c r="C92" s="18" t="n">
        <v>20</v>
      </c>
      <c r="D92" s="18" t="n">
        <v>0</v>
      </c>
      <c r="E92" s="18" t="inlineStr">
        <is>
          <t>La Vouivre</t>
        </is>
      </c>
    </row>
    <row r="93">
      <c r="A93" s="18" t="inlineStr">
        <is>
          <t>2022-2023</t>
        </is>
      </c>
      <c r="B93" s="18" t="inlineStr">
        <is>
          <t>2022-10-28</t>
        </is>
      </c>
      <c r="C93" s="18" t="n">
        <v>20</v>
      </c>
      <c r="D93" s="18" t="n">
        <v>0</v>
      </c>
      <c r="E93" s="18" t="inlineStr">
        <is>
          <t>KITTYKIR</t>
        </is>
      </c>
    </row>
    <row r="94">
      <c r="A94" s="18" t="inlineStr">
        <is>
          <t>2022-2023</t>
        </is>
      </c>
      <c r="B94" s="18" t="inlineStr">
        <is>
          <t>2022-10-28</t>
        </is>
      </c>
      <c r="C94" s="18" t="n">
        <v>32</v>
      </c>
      <c r="D94" s="18" t="n">
        <v>0</v>
      </c>
      <c r="E94" s="18" t="inlineStr">
        <is>
          <t>H.C.B BEAUNE BTL</t>
        </is>
      </c>
    </row>
    <row r="95">
      <c r="A95" s="18" t="inlineStr">
        <is>
          <t>2022-2023</t>
        </is>
      </c>
      <c r="B95" s="18" t="inlineStr">
        <is>
          <t>2022-10-28</t>
        </is>
      </c>
      <c r="C95" s="18" t="n">
        <v>32</v>
      </c>
      <c r="D95" s="18" t="n">
        <v>0</v>
      </c>
      <c r="E95" s="18" t="inlineStr">
        <is>
          <t>Croûtes Morilles</t>
        </is>
      </c>
    </row>
    <row r="96">
      <c r="A96" s="18" t="inlineStr">
        <is>
          <t>2022-2023</t>
        </is>
      </c>
      <c r="B96" s="18" t="inlineStr">
        <is>
          <t>2022-10-28</t>
        </is>
      </c>
      <c r="C96" s="18" t="n">
        <v>32</v>
      </c>
      <c r="D96" s="18" t="n">
        <v>0</v>
      </c>
      <c r="E96" s="18" t="inlineStr">
        <is>
          <t>BURGER COMTOIS</t>
        </is>
      </c>
    </row>
    <row r="97">
      <c r="A97" s="18" t="inlineStr">
        <is>
          <t>2022-2023</t>
        </is>
      </c>
      <c r="B97" s="18" t="inlineStr">
        <is>
          <t>2022-10-29</t>
        </is>
      </c>
      <c r="C97" s="18" t="n">
        <v>4</v>
      </c>
      <c r="D97" s="18" t="n">
        <v>0</v>
      </c>
      <c r="E97" s="18" t="inlineStr">
        <is>
          <t>Chat perché</t>
        </is>
      </c>
    </row>
    <row r="98">
      <c r="A98" s="18" t="inlineStr">
        <is>
          <t>2022-2023</t>
        </is>
      </c>
      <c r="B98" s="18" t="inlineStr">
        <is>
          <t>2022-10-29</t>
        </is>
      </c>
      <c r="C98" s="18" t="n">
        <v>4</v>
      </c>
      <c r="D98" s="18" t="n">
        <v>0</v>
      </c>
      <c r="E98" s="18" t="inlineStr">
        <is>
          <t>Père Gregoire</t>
        </is>
      </c>
    </row>
    <row r="99">
      <c r="A99" s="18" t="inlineStr">
        <is>
          <t>2022-2023</t>
        </is>
      </c>
      <c r="B99" s="18" t="inlineStr">
        <is>
          <t>2022-11-03</t>
        </is>
      </c>
      <c r="C99" s="18" t="n">
        <v>4</v>
      </c>
      <c r="D99" s="18" t="n">
        <v>0</v>
      </c>
      <c r="E99" s="18" t="inlineStr">
        <is>
          <t>Père Gregoire</t>
        </is>
      </c>
    </row>
    <row r="100">
      <c r="A100" s="18" t="inlineStr">
        <is>
          <t>2022-2023</t>
        </is>
      </c>
      <c r="B100" s="18" t="inlineStr">
        <is>
          <t>2022-11-03</t>
        </is>
      </c>
      <c r="C100" s="18" t="n">
        <v>4</v>
      </c>
      <c r="D100" s="18" t="n">
        <v>0</v>
      </c>
      <c r="E100" s="18" t="inlineStr">
        <is>
          <t>pression</t>
        </is>
      </c>
    </row>
    <row r="101">
      <c r="A101" s="18" t="inlineStr">
        <is>
          <t>2022-2023</t>
        </is>
      </c>
      <c r="B101" s="18" t="inlineStr">
        <is>
          <t>2022-11-04</t>
        </is>
      </c>
      <c r="C101" s="18" t="n">
        <v>18</v>
      </c>
      <c r="D101" s="18" t="n">
        <v>0</v>
      </c>
      <c r="E101" s="18" t="inlineStr">
        <is>
          <t>Macvin du Jura</t>
        </is>
      </c>
    </row>
    <row r="102">
      <c r="A102" s="18" t="inlineStr">
        <is>
          <t>2022-2023</t>
        </is>
      </c>
      <c r="B102" s="18" t="inlineStr">
        <is>
          <t>2022-11-11</t>
        </is>
      </c>
      <c r="C102" s="18" t="n">
        <v>23</v>
      </c>
      <c r="D102" s="18" t="n">
        <v>0</v>
      </c>
      <c r="E102" s="18" t="inlineStr">
        <is>
          <t>GLACE 2 BOULES</t>
        </is>
      </c>
    </row>
    <row r="103">
      <c r="A103" s="18" t="inlineStr">
        <is>
          <t>2022-2023</t>
        </is>
      </c>
      <c r="B103" s="18" t="inlineStr">
        <is>
          <t>2022-11-11</t>
        </is>
      </c>
      <c r="C103" s="18" t="n">
        <v>23</v>
      </c>
      <c r="D103" s="18" t="n">
        <v>0</v>
      </c>
      <c r="E103" s="18" t="inlineStr">
        <is>
          <t>Crepe Chocolat</t>
        </is>
      </c>
    </row>
    <row r="104">
      <c r="A104" s="18" t="inlineStr">
        <is>
          <t>2022-2023</t>
        </is>
      </c>
      <c r="B104" s="18" t="inlineStr">
        <is>
          <t>2022-12-09</t>
        </is>
      </c>
      <c r="C104" s="18" t="n">
        <v>5</v>
      </c>
      <c r="D104" s="18" t="n">
        <v>0</v>
      </c>
      <c r="E104" s="18" t="inlineStr">
        <is>
          <t>Martini Blanc</t>
        </is>
      </c>
    </row>
    <row r="105">
      <c r="A105" s="18" t="inlineStr">
        <is>
          <t>2022-2023</t>
        </is>
      </c>
      <c r="B105" s="18" t="inlineStr">
        <is>
          <t>2022-12-10</t>
        </is>
      </c>
      <c r="C105" s="18" t="n">
        <v>4</v>
      </c>
      <c r="D105" s="18" t="n">
        <v>0</v>
      </c>
      <c r="E105" s="18" t="inlineStr">
        <is>
          <t>Expresso</t>
        </is>
      </c>
    </row>
    <row r="106">
      <c r="A106" s="18" t="inlineStr">
        <is>
          <t>2022-2023</t>
        </is>
      </c>
      <c r="B106" s="18" t="inlineStr">
        <is>
          <t>2022-12-17</t>
        </is>
      </c>
      <c r="C106" s="18" t="n">
        <v>19</v>
      </c>
      <c r="D106" s="18" t="n">
        <v>0</v>
      </c>
      <c r="E106" s="18" t="inlineStr">
        <is>
          <t>Assortiment charcute</t>
        </is>
      </c>
    </row>
    <row r="107">
      <c r="A107" s="18" t="inlineStr">
        <is>
          <t>2022-2023</t>
        </is>
      </c>
      <c r="B107" s="18" t="inlineStr">
        <is>
          <t>2022-12-17</t>
        </is>
      </c>
      <c r="C107" s="18" t="n">
        <v>19</v>
      </c>
      <c r="D107" s="18" t="n">
        <v>0</v>
      </c>
      <c r="E107" s="18" t="inlineStr">
        <is>
          <t>Pommes grenailles</t>
        </is>
      </c>
    </row>
    <row r="108">
      <c r="A108" s="18" t="inlineStr">
        <is>
          <t>2022-2023</t>
        </is>
      </c>
      <c r="B108" s="18" t="inlineStr">
        <is>
          <t>2022-12-17</t>
        </is>
      </c>
      <c r="C108" s="18" t="n">
        <v>24</v>
      </c>
      <c r="D108" s="18" t="n">
        <v>0</v>
      </c>
      <c r="E108" s="18" t="inlineStr">
        <is>
          <t>Pavlova</t>
        </is>
      </c>
    </row>
    <row r="109">
      <c r="A109" s="18" t="inlineStr">
        <is>
          <t>2022-2023</t>
        </is>
      </c>
      <c r="B109" s="18" t="inlineStr">
        <is>
          <t>2022-12-28</t>
        </is>
      </c>
      <c r="C109" s="18" t="n">
        <v>17</v>
      </c>
      <c r="D109" s="18" t="n">
        <v>0</v>
      </c>
      <c r="E109" s="18" t="inlineStr">
        <is>
          <t>Chat perché</t>
        </is>
      </c>
    </row>
    <row r="110">
      <c r="A110" s="18" t="inlineStr">
        <is>
          <t>2022-2023</t>
        </is>
      </c>
      <c r="B110" s="18" t="inlineStr">
        <is>
          <t>2022-12-28</t>
        </is>
      </c>
      <c r="C110" s="18" t="n">
        <v>17</v>
      </c>
      <c r="D110" s="18" t="n">
        <v>0</v>
      </c>
      <c r="E110" s="18" t="inlineStr">
        <is>
          <t>Père Gregoire</t>
        </is>
      </c>
    </row>
    <row r="111">
      <c r="A111" s="18" t="inlineStr">
        <is>
          <t>2022-2023</t>
        </is>
      </c>
      <c r="B111" s="18" t="inlineStr">
        <is>
          <t>2022-12-28</t>
        </is>
      </c>
      <c r="C111" s="18" t="n">
        <v>17</v>
      </c>
      <c r="D111" s="18" t="n">
        <v>0</v>
      </c>
      <c r="E111" s="18" t="inlineStr">
        <is>
          <t>Luna</t>
        </is>
      </c>
    </row>
    <row r="112">
      <c r="A112" s="18" t="inlineStr">
        <is>
          <t>2022-2023</t>
        </is>
      </c>
      <c r="B112" s="18" t="inlineStr">
        <is>
          <t>2022-12-28</t>
        </is>
      </c>
      <c r="C112" s="18" t="n">
        <v>17</v>
      </c>
      <c r="D112" s="18" t="n">
        <v>0</v>
      </c>
      <c r="E112" s="18" t="inlineStr">
        <is>
          <t>Menu 'Galette'</t>
        </is>
      </c>
    </row>
    <row r="113">
      <c r="A113" s="18" t="inlineStr">
        <is>
          <t>2022-2023</t>
        </is>
      </c>
      <c r="B113" s="18" t="inlineStr">
        <is>
          <t>2022-12-28</t>
        </is>
      </c>
      <c r="C113" s="18" t="n">
        <v>17</v>
      </c>
      <c r="D113" s="18" t="n">
        <v>0</v>
      </c>
      <c r="E113" s="18" t="inlineStr">
        <is>
          <t>DADOULET</t>
        </is>
      </c>
    </row>
    <row r="114">
      <c r="A114" s="18" t="inlineStr">
        <is>
          <t>2022-2023</t>
        </is>
      </c>
      <c r="B114" s="18" t="inlineStr">
        <is>
          <t>2022-12-28</t>
        </is>
      </c>
      <c r="C114" s="18" t="n">
        <v>17</v>
      </c>
      <c r="D114" s="18" t="n">
        <v>0</v>
      </c>
      <c r="E114" s="18" t="inlineStr">
        <is>
          <t>LOURNETTE</t>
        </is>
      </c>
    </row>
    <row r="115">
      <c r="A115" s="18" t="inlineStr">
        <is>
          <t>2022-2023</t>
        </is>
      </c>
      <c r="B115" s="18" t="inlineStr">
        <is>
          <t>2022-12-30</t>
        </is>
      </c>
      <c r="C115" s="18" t="n">
        <v>9</v>
      </c>
      <c r="D115" s="18" t="n">
        <v>0</v>
      </c>
      <c r="E115" s="18" t="inlineStr">
        <is>
          <t>Ricard</t>
        </is>
      </c>
    </row>
    <row r="116">
      <c r="A116" s="18" t="inlineStr">
        <is>
          <t>2022-2023</t>
        </is>
      </c>
      <c r="B116" s="18" t="inlineStr">
        <is>
          <t>2022-12-30</t>
        </is>
      </c>
      <c r="C116" s="18" t="n">
        <v>9</v>
      </c>
      <c r="D116" s="18" t="n">
        <v>0</v>
      </c>
      <c r="E116" s="18" t="inlineStr">
        <is>
          <t>Coca (25cl)</t>
        </is>
      </c>
    </row>
    <row r="117">
      <c r="A117" s="18" t="inlineStr">
        <is>
          <t>2022-2023</t>
        </is>
      </c>
      <c r="B117" s="18" t="inlineStr">
        <is>
          <t>2022-12-30</t>
        </is>
      </c>
      <c r="C117" s="18" t="n">
        <v>9</v>
      </c>
      <c r="D117" s="18" t="n">
        <v>0</v>
      </c>
      <c r="E117" s="18" t="inlineStr">
        <is>
          <t>Père Gregoire</t>
        </is>
      </c>
    </row>
    <row r="118">
      <c r="A118" s="18" t="inlineStr">
        <is>
          <t>2022-2023</t>
        </is>
      </c>
      <c r="B118" s="18" t="inlineStr">
        <is>
          <t>2022-12-30</t>
        </is>
      </c>
      <c r="C118" s="18" t="n">
        <v>9</v>
      </c>
      <c r="D118" s="18" t="n">
        <v>0</v>
      </c>
      <c r="E118" s="18" t="inlineStr">
        <is>
          <t>Crémant</t>
        </is>
      </c>
    </row>
    <row r="119">
      <c r="A119" s="18" t="inlineStr">
        <is>
          <t>2022-2023</t>
        </is>
      </c>
      <c r="B119" s="18" t="inlineStr">
        <is>
          <t>2022-12-30</t>
        </is>
      </c>
      <c r="C119" s="18" t="n">
        <v>9</v>
      </c>
      <c r="D119" s="18" t="n">
        <v>0</v>
      </c>
      <c r="E119" s="18" t="inlineStr">
        <is>
          <t>pression</t>
        </is>
      </c>
    </row>
    <row r="120">
      <c r="A120" s="18" t="inlineStr">
        <is>
          <t>2022-2023</t>
        </is>
      </c>
      <c r="B120" s="18" t="inlineStr">
        <is>
          <t>2022-12-30</t>
        </is>
      </c>
      <c r="C120" s="18" t="n">
        <v>9</v>
      </c>
      <c r="D120" s="18" t="n">
        <v>0</v>
      </c>
      <c r="E120" s="18" t="inlineStr">
        <is>
          <t>Picon bière</t>
        </is>
      </c>
    </row>
    <row r="121">
      <c r="A121" s="18" t="inlineStr">
        <is>
          <t>2022-2023</t>
        </is>
      </c>
      <c r="B121" s="18" t="inlineStr">
        <is>
          <t>2023-03-12</t>
        </is>
      </c>
      <c r="C121" s="18" t="n">
        <v>5</v>
      </c>
      <c r="D121" s="18" t="n">
        <v>0</v>
      </c>
      <c r="E121" s="18" t="inlineStr">
        <is>
          <t>Menu Franc-Comtois</t>
        </is>
      </c>
    </row>
    <row r="122">
      <c r="A122" s="18" t="inlineStr">
        <is>
          <t>2022-2023</t>
        </is>
      </c>
      <c r="B122" s="18" t="inlineStr">
        <is>
          <t>2023-03-18</t>
        </is>
      </c>
      <c r="C122" s="18" t="n">
        <v>7</v>
      </c>
      <c r="D122" s="18" t="n">
        <v>0</v>
      </c>
      <c r="E122" s="18" t="inlineStr">
        <is>
          <t>KITTYKIR</t>
        </is>
      </c>
    </row>
    <row r="123">
      <c r="A123" s="18" t="inlineStr">
        <is>
          <t>2022-2023</t>
        </is>
      </c>
      <c r="B123" s="18" t="inlineStr">
        <is>
          <t>2023-03-18</t>
        </is>
      </c>
      <c r="C123" s="18" t="n">
        <v>7</v>
      </c>
      <c r="D123" s="18" t="n">
        <v>0</v>
      </c>
      <c r="E123" s="18" t="inlineStr">
        <is>
          <t>Ambrée</t>
        </is>
      </c>
    </row>
    <row r="124">
      <c r="A124" s="18" t="inlineStr">
        <is>
          <t>2023-2024</t>
        </is>
      </c>
      <c r="B124" s="18" t="inlineStr">
        <is>
          <t>2023-04-01</t>
        </is>
      </c>
      <c r="C124" s="18" t="n">
        <v>18</v>
      </c>
      <c r="D124" s="18" t="n">
        <v>0</v>
      </c>
      <c r="E124" s="18" t="inlineStr">
        <is>
          <t>Coca (25cl)</t>
        </is>
      </c>
    </row>
    <row r="125">
      <c r="A125" s="18" t="inlineStr">
        <is>
          <t>2023-2024</t>
        </is>
      </c>
      <c r="B125" s="18" t="inlineStr">
        <is>
          <t>2023-04-02</t>
        </is>
      </c>
      <c r="C125" s="18" t="n">
        <v>1</v>
      </c>
      <c r="D125" s="18" t="n">
        <v>0</v>
      </c>
      <c r="E125" s="18" t="inlineStr">
        <is>
          <t>Pontarlier</t>
        </is>
      </c>
    </row>
    <row r="126">
      <c r="A126" s="18" t="inlineStr">
        <is>
          <t>2023-2024</t>
        </is>
      </c>
      <c r="B126" s="18" t="inlineStr">
        <is>
          <t>2023-04-09</t>
        </is>
      </c>
      <c r="C126" s="18" t="n">
        <v>6</v>
      </c>
      <c r="D126" s="18" t="n">
        <v>0</v>
      </c>
      <c r="E126" s="18" t="inlineStr">
        <is>
          <t>Coca (25cl)</t>
        </is>
      </c>
    </row>
    <row r="127">
      <c r="A127" s="18" t="inlineStr">
        <is>
          <t>2023-2024</t>
        </is>
      </c>
      <c r="B127" s="18" t="inlineStr">
        <is>
          <t>2023-04-09</t>
        </is>
      </c>
      <c r="C127" s="18" t="n">
        <v>6</v>
      </c>
      <c r="D127" s="18" t="n">
        <v>0</v>
      </c>
      <c r="E127" s="18" t="inlineStr">
        <is>
          <t>San Pelegrino</t>
        </is>
      </c>
    </row>
    <row r="128">
      <c r="A128" s="18" t="inlineStr">
        <is>
          <t>2023-2024</t>
        </is>
      </c>
      <c r="B128" s="18" t="inlineStr">
        <is>
          <t>2023-04-09</t>
        </is>
      </c>
      <c r="C128" s="18" t="n">
        <v>6</v>
      </c>
      <c r="D128" s="18" t="n">
        <v>0</v>
      </c>
      <c r="E128" s="18" t="inlineStr">
        <is>
          <t>Macvin du Jura</t>
        </is>
      </c>
    </row>
    <row r="129">
      <c r="A129" s="18" t="inlineStr">
        <is>
          <t>2023-2024</t>
        </is>
      </c>
      <c r="B129" s="18" t="inlineStr">
        <is>
          <t>2023-04-09</t>
        </is>
      </c>
      <c r="C129" s="18" t="n">
        <v>7</v>
      </c>
      <c r="D129" s="18" t="n">
        <v>0</v>
      </c>
      <c r="E129" s="18" t="inlineStr">
        <is>
          <t>Expresso</t>
        </is>
      </c>
    </row>
    <row r="130">
      <c r="A130" s="18" t="inlineStr">
        <is>
          <t>2023-2024</t>
        </is>
      </c>
      <c r="B130" s="18" t="inlineStr">
        <is>
          <t>2023-04-09</t>
        </is>
      </c>
      <c r="C130" s="18" t="n">
        <v>7</v>
      </c>
      <c r="D130" s="18" t="n">
        <v>0</v>
      </c>
      <c r="E130" s="18" t="inlineStr">
        <is>
          <t>Thé</t>
        </is>
      </c>
    </row>
    <row r="131">
      <c r="A131" s="18" t="inlineStr">
        <is>
          <t>2023-2024</t>
        </is>
      </c>
      <c r="B131" s="18" t="inlineStr">
        <is>
          <t>2023-04-12</t>
        </is>
      </c>
      <c r="C131" s="18" t="n">
        <v>5</v>
      </c>
      <c r="D131" s="18" t="n">
        <v>0</v>
      </c>
      <c r="E131" s="18" t="inlineStr">
        <is>
          <t>Expresso</t>
        </is>
      </c>
    </row>
    <row r="132">
      <c r="A132" s="18" t="inlineStr">
        <is>
          <t>2023-2024</t>
        </is>
      </c>
      <c r="B132" s="18" t="inlineStr">
        <is>
          <t>2023-04-12</t>
        </is>
      </c>
      <c r="C132" s="18" t="n">
        <v>6</v>
      </c>
      <c r="D132" s="18" t="n">
        <v>0</v>
      </c>
      <c r="E132" s="18" t="inlineStr">
        <is>
          <t>Expresso</t>
        </is>
      </c>
    </row>
    <row r="133">
      <c r="A133" s="18" t="inlineStr">
        <is>
          <t>2023-2024</t>
        </is>
      </c>
      <c r="B133" s="18" t="inlineStr">
        <is>
          <t>2023-04-12</t>
        </is>
      </c>
      <c r="C133" s="18" t="n">
        <v>13</v>
      </c>
      <c r="D133" s="18" t="n">
        <v>0</v>
      </c>
      <c r="E133" s="18" t="inlineStr">
        <is>
          <t>Ambrée</t>
        </is>
      </c>
    </row>
    <row r="134">
      <c r="A134" s="18" t="inlineStr">
        <is>
          <t>2023-2024</t>
        </is>
      </c>
      <c r="B134" s="18" t="inlineStr">
        <is>
          <t>2023-04-12</t>
        </is>
      </c>
      <c r="C134" s="18" t="n">
        <v>13</v>
      </c>
      <c r="D134" s="18" t="n">
        <v>0</v>
      </c>
      <c r="E134" s="18" t="inlineStr">
        <is>
          <t>Blanche des plateaux</t>
        </is>
      </c>
    </row>
    <row r="135">
      <c r="A135" s="18" t="inlineStr">
        <is>
          <t>2023-2024</t>
        </is>
      </c>
      <c r="B135" s="18" t="inlineStr">
        <is>
          <t>2023-04-15</t>
        </is>
      </c>
      <c r="C135" s="18" t="n">
        <v>5</v>
      </c>
      <c r="D135" s="18" t="n">
        <v>0</v>
      </c>
      <c r="E135" s="18" t="inlineStr">
        <is>
          <t>C du  Rhone St Josep</t>
        </is>
      </c>
    </row>
    <row r="136">
      <c r="A136" s="18" t="inlineStr">
        <is>
          <t>2023-2024</t>
        </is>
      </c>
      <c r="B136" s="18" t="inlineStr">
        <is>
          <t>2023-04-15</t>
        </is>
      </c>
      <c r="C136" s="18" t="n">
        <v>5</v>
      </c>
      <c r="D136" s="18" t="n">
        <v>0</v>
      </c>
      <c r="E136" s="18" t="inlineStr">
        <is>
          <t>Expresso</t>
        </is>
      </c>
    </row>
    <row r="137">
      <c r="A137" s="18" t="inlineStr">
        <is>
          <t>2023-2024</t>
        </is>
      </c>
      <c r="B137" s="18" t="inlineStr">
        <is>
          <t>2023-04-15</t>
        </is>
      </c>
      <c r="C137" s="18" t="n">
        <v>12</v>
      </c>
      <c r="D137" s="18" t="n">
        <v>0</v>
      </c>
      <c r="E137" s="18" t="inlineStr">
        <is>
          <t>CANCOINE</t>
        </is>
      </c>
    </row>
    <row r="138">
      <c r="A138" s="18" t="inlineStr">
        <is>
          <t>2023-2024</t>
        </is>
      </c>
      <c r="B138" s="18" t="inlineStr">
        <is>
          <t>2023-04-15</t>
        </is>
      </c>
      <c r="C138" s="18" t="n">
        <v>13</v>
      </c>
      <c r="D138" s="18" t="n">
        <v>0</v>
      </c>
      <c r="E138" s="18" t="inlineStr">
        <is>
          <t>Expresso</t>
        </is>
      </c>
    </row>
    <row r="139">
      <c r="A139" s="18" t="inlineStr">
        <is>
          <t>2023-2024</t>
        </is>
      </c>
      <c r="B139" s="18" t="inlineStr">
        <is>
          <t>2023-04-15</t>
        </is>
      </c>
      <c r="C139" s="18" t="n">
        <v>13</v>
      </c>
      <c r="D139" s="18" t="n">
        <v>0</v>
      </c>
      <c r="E139" s="18" t="inlineStr">
        <is>
          <t>Get 27 (4cl)</t>
        </is>
      </c>
    </row>
    <row r="140">
      <c r="A140" s="18" t="inlineStr">
        <is>
          <t>2023-2024</t>
        </is>
      </c>
      <c r="B140" s="18" t="inlineStr">
        <is>
          <t>2023-04-15</t>
        </is>
      </c>
      <c r="C140" s="18" t="n">
        <v>13</v>
      </c>
      <c r="D140" s="18" t="n">
        <v>0</v>
      </c>
      <c r="E140" s="18" t="inlineStr">
        <is>
          <t>Baileys</t>
        </is>
      </c>
    </row>
    <row r="141">
      <c r="A141" s="18" t="inlineStr">
        <is>
          <t>2023-2024</t>
        </is>
      </c>
      <c r="B141" s="18" t="inlineStr">
        <is>
          <t>2023-04-15</t>
        </is>
      </c>
      <c r="C141" s="18" t="n">
        <v>13</v>
      </c>
      <c r="D141" s="18" t="n">
        <v>0</v>
      </c>
      <c r="E141" s="18" t="inlineStr">
        <is>
          <t>Marc du Jura (4cl)</t>
        </is>
      </c>
    </row>
    <row r="142">
      <c r="A142" s="18" t="inlineStr">
        <is>
          <t>2023-2024</t>
        </is>
      </c>
      <c r="B142" s="18" t="inlineStr">
        <is>
          <t>2023-04-20</t>
        </is>
      </c>
      <c r="C142" s="18" t="n">
        <v>2</v>
      </c>
      <c r="D142" s="18" t="n">
        <v>0</v>
      </c>
      <c r="E142" s="18" t="inlineStr">
        <is>
          <t>Expresso</t>
        </is>
      </c>
    </row>
    <row r="143">
      <c r="A143" s="18" t="inlineStr">
        <is>
          <t>2023-2024</t>
        </is>
      </c>
      <c r="B143" s="18" t="inlineStr">
        <is>
          <t>2023-04-20</t>
        </is>
      </c>
      <c r="C143" s="18" t="n">
        <v>24</v>
      </c>
      <c r="D143" s="18" t="n">
        <v>0</v>
      </c>
      <c r="E143" s="18" t="inlineStr">
        <is>
          <t>Rêve Bleu</t>
        </is>
      </c>
    </row>
    <row r="144">
      <c r="A144" s="18" t="inlineStr">
        <is>
          <t>2023-2024</t>
        </is>
      </c>
      <c r="B144" s="18" t="inlineStr">
        <is>
          <t>2023-04-20</t>
        </is>
      </c>
      <c r="C144" s="18" t="n">
        <v>27</v>
      </c>
      <c r="D144" s="18" t="n">
        <v>0</v>
      </c>
      <c r="E144" s="18" t="inlineStr">
        <is>
          <t>Picon bière</t>
        </is>
      </c>
    </row>
    <row r="145">
      <c r="A145" s="18" t="inlineStr">
        <is>
          <t>2023-2024</t>
        </is>
      </c>
      <c r="B145" s="18" t="inlineStr">
        <is>
          <t>2023-04-20</t>
        </is>
      </c>
      <c r="C145" s="18" t="n">
        <v>27</v>
      </c>
      <c r="D145" s="18" t="n">
        <v>0</v>
      </c>
      <c r="E145" s="18" t="inlineStr">
        <is>
          <t>Saint Véran Verre</t>
        </is>
      </c>
    </row>
    <row r="146">
      <c r="A146" s="18" t="inlineStr">
        <is>
          <t>2023-2024</t>
        </is>
      </c>
      <c r="B146" s="18" t="inlineStr">
        <is>
          <t>2023-04-20</t>
        </is>
      </c>
      <c r="C146" s="18" t="n">
        <v>27</v>
      </c>
      <c r="D146" s="18" t="n">
        <v>0</v>
      </c>
      <c r="E146" s="18" t="inlineStr">
        <is>
          <t>Blanche des plateaux</t>
        </is>
      </c>
    </row>
    <row r="147">
      <c r="A147" s="18" t="inlineStr">
        <is>
          <t>2023-2024</t>
        </is>
      </c>
      <c r="B147" s="18" t="inlineStr">
        <is>
          <t>2023-04-20</t>
        </is>
      </c>
      <c r="C147" s="18" t="n">
        <v>27</v>
      </c>
      <c r="D147" s="18" t="n">
        <v>0</v>
      </c>
      <c r="E147" s="18" t="inlineStr">
        <is>
          <t>Mambo</t>
        </is>
      </c>
    </row>
    <row r="148">
      <c r="A148" s="18" t="inlineStr">
        <is>
          <t>2023-2024</t>
        </is>
      </c>
      <c r="B148" s="18" t="inlineStr">
        <is>
          <t>2023-04-22</t>
        </is>
      </c>
      <c r="C148" s="18" t="n">
        <v>12</v>
      </c>
      <c r="D148" s="18" t="n">
        <v>0</v>
      </c>
      <c r="E148" s="18" t="inlineStr">
        <is>
          <t>Limonade (25cl)</t>
        </is>
      </c>
    </row>
    <row r="149">
      <c r="A149" s="18" t="inlineStr">
        <is>
          <t>2023-2024</t>
        </is>
      </c>
      <c r="B149" s="18" t="inlineStr">
        <is>
          <t>2023-04-22</t>
        </is>
      </c>
      <c r="C149" s="18" t="n">
        <v>12</v>
      </c>
      <c r="D149" s="18" t="n">
        <v>0</v>
      </c>
      <c r="E149" s="18" t="inlineStr">
        <is>
          <t>Poulet aux Morilles</t>
        </is>
      </c>
    </row>
    <row r="150">
      <c r="A150" s="18" t="inlineStr">
        <is>
          <t>2023-2024</t>
        </is>
      </c>
      <c r="B150" s="18" t="inlineStr">
        <is>
          <t>2023-04-22</t>
        </is>
      </c>
      <c r="C150" s="18" t="n">
        <v>12</v>
      </c>
      <c r="D150" s="18" t="n">
        <v>0</v>
      </c>
      <c r="E150" s="18" t="inlineStr">
        <is>
          <t>CAMEMBERT ROTI</t>
        </is>
      </c>
    </row>
    <row r="151">
      <c r="A151" s="18" t="inlineStr">
        <is>
          <t>2023-2024</t>
        </is>
      </c>
      <c r="B151" s="18" t="inlineStr">
        <is>
          <t>2023-04-22</t>
        </is>
      </c>
      <c r="C151" s="18" t="n">
        <v>12</v>
      </c>
      <c r="D151" s="18" t="n">
        <v>0</v>
      </c>
      <c r="E151" s="18" t="inlineStr">
        <is>
          <t>Mi</t>
        </is>
      </c>
    </row>
    <row r="152">
      <c r="A152" s="18" t="inlineStr">
        <is>
          <t>2023-2024</t>
        </is>
      </c>
      <c r="B152" s="18" t="inlineStr">
        <is>
          <t>2023-04-28</t>
        </is>
      </c>
      <c r="C152" s="18" t="n">
        <v>11</v>
      </c>
      <c r="D152" s="18" t="n">
        <v>0</v>
      </c>
      <c r="E152" s="18" t="inlineStr">
        <is>
          <t>Crêpe Salidou</t>
        </is>
      </c>
    </row>
    <row r="153">
      <c r="A153" s="18" t="inlineStr">
        <is>
          <t>2023-2024</t>
        </is>
      </c>
      <c r="B153" s="18" t="inlineStr">
        <is>
          <t>2023-04-30</t>
        </is>
      </c>
      <c r="C153" s="18" t="n">
        <v>12</v>
      </c>
      <c r="D153" s="18" t="n">
        <v>0</v>
      </c>
      <c r="E153" s="18" t="inlineStr">
        <is>
          <t>Expresso</t>
        </is>
      </c>
    </row>
    <row r="154">
      <c r="A154" s="18" t="inlineStr">
        <is>
          <t>2023-2024</t>
        </is>
      </c>
      <c r="B154" s="18" t="inlineStr">
        <is>
          <t>2023-04-30</t>
        </is>
      </c>
      <c r="C154" s="18" t="n">
        <v>13</v>
      </c>
      <c r="D154" s="18" t="n">
        <v>0</v>
      </c>
      <c r="E154" s="18" t="inlineStr">
        <is>
          <t>Expresso</t>
        </is>
      </c>
    </row>
    <row r="155">
      <c r="A155" s="18" t="inlineStr">
        <is>
          <t>2023-2024</t>
        </is>
      </c>
      <c r="B155" s="18" t="inlineStr">
        <is>
          <t>2023-05-05</t>
        </is>
      </c>
      <c r="C155" s="18" t="n">
        <v>10</v>
      </c>
      <c r="D155" s="18" t="n">
        <v>0</v>
      </c>
      <c r="E155" s="18" t="inlineStr">
        <is>
          <t>Coca (25cl)</t>
        </is>
      </c>
    </row>
    <row r="156">
      <c r="A156" s="18" t="inlineStr">
        <is>
          <t>2023-2024</t>
        </is>
      </c>
      <c r="B156" s="18" t="inlineStr">
        <is>
          <t>2023-05-05</t>
        </is>
      </c>
      <c r="C156" s="18" t="n">
        <v>11</v>
      </c>
      <c r="D156" s="18" t="n">
        <v>0</v>
      </c>
      <c r="E156" s="18" t="inlineStr">
        <is>
          <t>Coca (25cl)</t>
        </is>
      </c>
    </row>
    <row r="157">
      <c r="A157" s="18" t="inlineStr">
        <is>
          <t>2023-2024</t>
        </is>
      </c>
      <c r="B157" s="18" t="inlineStr">
        <is>
          <t>2023-05-06</t>
        </is>
      </c>
      <c r="C157" s="18" t="n">
        <v>26</v>
      </c>
      <c r="D157" s="18" t="n">
        <v>0</v>
      </c>
      <c r="E157" s="18" t="inlineStr">
        <is>
          <t>Père Gregoire</t>
        </is>
      </c>
    </row>
    <row r="158">
      <c r="A158" s="18" t="inlineStr">
        <is>
          <t>2023-2024</t>
        </is>
      </c>
      <c r="B158" s="18" t="inlineStr">
        <is>
          <t>2023-05-06</t>
        </is>
      </c>
      <c r="C158" s="18" t="n">
        <v>26</v>
      </c>
      <c r="D158" s="18" t="n">
        <v>0</v>
      </c>
      <c r="E158" s="18" t="inlineStr">
        <is>
          <t>Chat perché</t>
        </is>
      </c>
    </row>
    <row r="159">
      <c r="A159" s="18" t="inlineStr">
        <is>
          <t>2023-2024</t>
        </is>
      </c>
      <c r="B159" s="18" t="inlineStr">
        <is>
          <t>2023-05-06</t>
        </is>
      </c>
      <c r="C159" s="18" t="n">
        <v>26</v>
      </c>
      <c r="D159" s="18" t="n">
        <v>0</v>
      </c>
      <c r="E159" s="18" t="inlineStr">
        <is>
          <t>La Vouivre</t>
        </is>
      </c>
    </row>
    <row r="160">
      <c r="A160" s="18" t="inlineStr">
        <is>
          <t>2023-2024</t>
        </is>
      </c>
      <c r="B160" s="18" t="inlineStr">
        <is>
          <t>2023-05-06</t>
        </is>
      </c>
      <c r="C160" s="18" t="n">
        <v>26</v>
      </c>
      <c r="D160" s="18" t="n">
        <v>0</v>
      </c>
      <c r="E160" s="18" t="inlineStr">
        <is>
          <t>Expresso</t>
        </is>
      </c>
    </row>
    <row r="161">
      <c r="A161" s="18" t="inlineStr">
        <is>
          <t>2023-2024</t>
        </is>
      </c>
      <c r="B161" s="18" t="inlineStr">
        <is>
          <t>2023-05-06</t>
        </is>
      </c>
      <c r="C161" s="18" t="n">
        <v>26</v>
      </c>
      <c r="D161" s="18" t="n">
        <v>0</v>
      </c>
      <c r="E161" s="18" t="inlineStr">
        <is>
          <t>Expresso Crème</t>
        </is>
      </c>
    </row>
    <row r="162">
      <c r="A162" s="18" t="inlineStr">
        <is>
          <t>2023-2024</t>
        </is>
      </c>
      <c r="B162" s="18" t="inlineStr">
        <is>
          <t>2023-05-07</t>
        </is>
      </c>
      <c r="C162" s="18" t="n">
        <v>1</v>
      </c>
      <c r="D162" s="18" t="n">
        <v>0</v>
      </c>
      <c r="E162" s="18" t="inlineStr">
        <is>
          <t>Expresso</t>
        </is>
      </c>
    </row>
    <row r="163">
      <c r="A163" s="18" t="inlineStr">
        <is>
          <t>2023-2024</t>
        </is>
      </c>
      <c r="B163" s="18" t="inlineStr">
        <is>
          <t>2023-05-13</t>
        </is>
      </c>
      <c r="C163" s="18" t="n">
        <v>23</v>
      </c>
      <c r="D163" s="18" t="n">
        <v>0</v>
      </c>
      <c r="E163" s="18" t="inlineStr">
        <is>
          <t>Menu Bambin</t>
        </is>
      </c>
    </row>
    <row r="164">
      <c r="A164" s="18" t="inlineStr">
        <is>
          <t>2023-2024</t>
        </is>
      </c>
      <c r="B164" s="18" t="inlineStr">
        <is>
          <t>2023-05-13</t>
        </is>
      </c>
      <c r="C164" s="18" t="n">
        <v>23</v>
      </c>
      <c r="D164" s="18" t="n">
        <v>0</v>
      </c>
      <c r="E164" s="18" t="inlineStr">
        <is>
          <t>Sprintz</t>
        </is>
      </c>
    </row>
    <row r="165">
      <c r="A165" s="18" t="inlineStr">
        <is>
          <t>2023-2024</t>
        </is>
      </c>
      <c r="B165" s="18" t="inlineStr">
        <is>
          <t>2023-05-13</t>
        </is>
      </c>
      <c r="C165" s="18" t="n">
        <v>23</v>
      </c>
      <c r="D165" s="18" t="n">
        <v>0</v>
      </c>
      <c r="E165" s="18" t="inlineStr">
        <is>
          <t>Pinte</t>
        </is>
      </c>
    </row>
    <row r="166">
      <c r="A166" s="18" t="inlineStr">
        <is>
          <t>2023-2024</t>
        </is>
      </c>
      <c r="B166" s="18" t="inlineStr">
        <is>
          <t>2023-05-13</t>
        </is>
      </c>
      <c r="C166" s="18" t="n">
        <v>23</v>
      </c>
      <c r="D166" s="18" t="n">
        <v>0</v>
      </c>
      <c r="E166" s="18" t="inlineStr">
        <is>
          <t>Sirop à l'eau</t>
        </is>
      </c>
    </row>
    <row r="167">
      <c r="A167" s="18" t="inlineStr">
        <is>
          <t>2023-2024</t>
        </is>
      </c>
      <c r="B167" s="18" t="inlineStr">
        <is>
          <t>2023-05-18</t>
        </is>
      </c>
      <c r="C167" s="18" t="n">
        <v>31</v>
      </c>
      <c r="D167" s="18" t="n">
        <v>0</v>
      </c>
      <c r="E167" s="18" t="inlineStr">
        <is>
          <t>Crémant</t>
        </is>
      </c>
    </row>
    <row r="168">
      <c r="A168" s="18" t="inlineStr">
        <is>
          <t>2023-2024</t>
        </is>
      </c>
      <c r="B168" s="18" t="inlineStr">
        <is>
          <t>2023-05-18</t>
        </is>
      </c>
      <c r="C168" s="18" t="n">
        <v>31</v>
      </c>
      <c r="D168" s="18" t="n">
        <v>0</v>
      </c>
      <c r="E168" s="18" t="inlineStr">
        <is>
          <t>Coca (25cl)</t>
        </is>
      </c>
    </row>
    <row r="169">
      <c r="A169" s="18" t="inlineStr">
        <is>
          <t>2023-2024</t>
        </is>
      </c>
      <c r="B169" s="18" t="inlineStr">
        <is>
          <t>2023-05-19</t>
        </is>
      </c>
      <c r="C169" s="18" t="n">
        <v>28</v>
      </c>
      <c r="D169" s="18" t="n">
        <v>0</v>
      </c>
      <c r="E169" s="18" t="inlineStr">
        <is>
          <t>Père Gregoire</t>
        </is>
      </c>
    </row>
    <row r="170">
      <c r="A170" s="18" t="inlineStr">
        <is>
          <t>2023-2024</t>
        </is>
      </c>
      <c r="B170" s="18" t="inlineStr">
        <is>
          <t>2023-05-19</t>
        </is>
      </c>
      <c r="C170" s="18" t="n">
        <v>28</v>
      </c>
      <c r="D170" s="18" t="n">
        <v>0</v>
      </c>
      <c r="E170" s="18" t="inlineStr">
        <is>
          <t>KITTYKIR</t>
        </is>
      </c>
    </row>
    <row r="171">
      <c r="A171" s="18" t="inlineStr">
        <is>
          <t>2023-2024</t>
        </is>
      </c>
      <c r="B171" s="18" t="inlineStr">
        <is>
          <t>2023-05-19</t>
        </is>
      </c>
      <c r="C171" s="18" t="n">
        <v>28</v>
      </c>
      <c r="D171" s="18" t="n">
        <v>0</v>
      </c>
      <c r="E171" s="18" t="inlineStr">
        <is>
          <t>Savagnin verre</t>
        </is>
      </c>
    </row>
    <row r="172">
      <c r="A172" s="18" t="inlineStr">
        <is>
          <t>2023-2024</t>
        </is>
      </c>
      <c r="B172" s="18" t="inlineStr">
        <is>
          <t>2023-05-20</t>
        </is>
      </c>
      <c r="C172" s="18" t="n">
        <v>29</v>
      </c>
      <c r="D172" s="18" t="n">
        <v>0</v>
      </c>
      <c r="E172" s="18" t="inlineStr">
        <is>
          <t>pression</t>
        </is>
      </c>
    </row>
    <row r="173">
      <c r="A173" s="18" t="inlineStr">
        <is>
          <t>2023-2024</t>
        </is>
      </c>
      <c r="B173" s="18" t="inlineStr">
        <is>
          <t>2023-05-20</t>
        </is>
      </c>
      <c r="C173" s="18" t="n">
        <v>29</v>
      </c>
      <c r="D173" s="18" t="n">
        <v>0</v>
      </c>
      <c r="E173" s="18" t="inlineStr">
        <is>
          <t>Jus de Fruit</t>
        </is>
      </c>
    </row>
    <row r="174">
      <c r="A174" s="18" t="inlineStr">
        <is>
          <t>2023-2024</t>
        </is>
      </c>
      <c r="B174" s="18" t="inlineStr">
        <is>
          <t>2023-05-26</t>
        </is>
      </c>
      <c r="C174" s="18" t="n">
        <v>27</v>
      </c>
      <c r="D174" s="18" t="n">
        <v>0</v>
      </c>
      <c r="E174" s="18" t="inlineStr">
        <is>
          <t>Crêpe Nutella</t>
        </is>
      </c>
    </row>
    <row r="175">
      <c r="A175" s="18" t="inlineStr">
        <is>
          <t>2023-2024</t>
        </is>
      </c>
      <c r="B175" s="18" t="inlineStr">
        <is>
          <t>2023-05-27</t>
        </is>
      </c>
      <c r="C175" s="18" t="n">
        <v>3</v>
      </c>
      <c r="D175" s="18" t="n">
        <v>0</v>
      </c>
      <c r="E175" s="18" t="inlineStr">
        <is>
          <t>Coca (25cl)</t>
        </is>
      </c>
    </row>
    <row r="176">
      <c r="A176" s="18" t="inlineStr">
        <is>
          <t>2023-2024</t>
        </is>
      </c>
      <c r="B176" s="18" t="inlineStr">
        <is>
          <t>2023-06-10</t>
        </is>
      </c>
      <c r="C176" s="18" t="n">
        <v>30</v>
      </c>
      <c r="D176" s="18" t="n">
        <v>0</v>
      </c>
      <c r="E176" s="18" t="inlineStr">
        <is>
          <t>Crêpe Nutella</t>
        </is>
      </c>
    </row>
    <row r="177">
      <c r="A177" s="18" t="inlineStr">
        <is>
          <t>2023-2024</t>
        </is>
      </c>
      <c r="B177" s="18" t="inlineStr">
        <is>
          <t>2023-06-11</t>
        </is>
      </c>
      <c r="C177" s="18" t="n">
        <v>29</v>
      </c>
      <c r="D177" s="18" t="n">
        <v>0</v>
      </c>
      <c r="E177" s="18" t="inlineStr">
        <is>
          <t>Orangina (25cl)</t>
        </is>
      </c>
    </row>
    <row r="178">
      <c r="A178" s="18" t="inlineStr">
        <is>
          <t>2023-2024</t>
        </is>
      </c>
      <c r="B178" s="18" t="inlineStr">
        <is>
          <t>2023-06-11</t>
        </is>
      </c>
      <c r="C178" s="18" t="n">
        <v>29</v>
      </c>
      <c r="D178" s="18" t="n">
        <v>0</v>
      </c>
      <c r="E178" s="18" t="inlineStr">
        <is>
          <t>Fuze Tea</t>
        </is>
      </c>
    </row>
    <row r="179">
      <c r="A179" s="18" t="inlineStr">
        <is>
          <t>2023-2024</t>
        </is>
      </c>
      <c r="B179" s="18" t="inlineStr">
        <is>
          <t>2023-06-22</t>
        </is>
      </c>
      <c r="C179" s="18" t="n">
        <v>11</v>
      </c>
      <c r="D179" s="18" t="n">
        <v>0</v>
      </c>
      <c r="E179" s="18" t="inlineStr">
        <is>
          <t>Chat perché</t>
        </is>
      </c>
    </row>
    <row r="180">
      <c r="A180" s="18" t="inlineStr">
        <is>
          <t>2023-2024</t>
        </is>
      </c>
      <c r="B180" s="18" t="inlineStr">
        <is>
          <t>2023-06-28</t>
        </is>
      </c>
      <c r="C180" s="18" t="n">
        <v>5</v>
      </c>
      <c r="D180" s="18" t="n">
        <v>0</v>
      </c>
      <c r="E180" s="18" t="inlineStr">
        <is>
          <t>Pavlova</t>
        </is>
      </c>
    </row>
    <row r="181">
      <c r="A181" s="18" t="inlineStr">
        <is>
          <t>2023-2024</t>
        </is>
      </c>
      <c r="B181" s="18" t="inlineStr">
        <is>
          <t>2023-06-28</t>
        </is>
      </c>
      <c r="C181" s="18" t="n">
        <v>6</v>
      </c>
      <c r="D181" s="18" t="n">
        <v>0</v>
      </c>
      <c r="E181" s="18" t="inlineStr">
        <is>
          <t>Pavlova</t>
        </is>
      </c>
    </row>
    <row r="182">
      <c r="A182" s="18" t="inlineStr">
        <is>
          <t>2023-2024</t>
        </is>
      </c>
      <c r="B182" s="18" t="inlineStr">
        <is>
          <t>2023-06-29</t>
        </is>
      </c>
      <c r="C182" s="18" t="n">
        <v>32</v>
      </c>
      <c r="D182" s="18" t="n">
        <v>0</v>
      </c>
      <c r="E182" s="18" t="inlineStr">
        <is>
          <t>Cidre Bouché Doux</t>
        </is>
      </c>
    </row>
    <row r="183">
      <c r="A183" s="18" t="inlineStr">
        <is>
          <t>2023-2024</t>
        </is>
      </c>
      <c r="B183" s="18" t="inlineStr">
        <is>
          <t>2023-07-01</t>
        </is>
      </c>
      <c r="C183" s="18" t="n">
        <v>19</v>
      </c>
      <c r="D183" s="18" t="n">
        <v>0</v>
      </c>
      <c r="E183" s="18" t="inlineStr">
        <is>
          <t>Expresso</t>
        </is>
      </c>
    </row>
    <row r="184">
      <c r="A184" s="18" t="inlineStr">
        <is>
          <t>2023-2024</t>
        </is>
      </c>
      <c r="B184" s="18" t="inlineStr">
        <is>
          <t>2023-07-01</t>
        </is>
      </c>
      <c r="C184" s="18" t="n">
        <v>19</v>
      </c>
      <c r="D184" s="18" t="n">
        <v>0</v>
      </c>
      <c r="E184" s="18" t="inlineStr">
        <is>
          <t>Café Viennois</t>
        </is>
      </c>
    </row>
    <row r="185">
      <c r="A185" s="18" t="inlineStr">
        <is>
          <t>2023-2024</t>
        </is>
      </c>
      <c r="B185" s="18" t="inlineStr">
        <is>
          <t>2023-07-01</t>
        </is>
      </c>
      <c r="C185" s="18" t="n">
        <v>20</v>
      </c>
      <c r="D185" s="18" t="n">
        <v>0</v>
      </c>
      <c r="E185" s="18" t="inlineStr">
        <is>
          <t>Expresso</t>
        </is>
      </c>
    </row>
    <row r="186">
      <c r="A186" s="18" t="inlineStr">
        <is>
          <t>2023-2024</t>
        </is>
      </c>
      <c r="B186" s="18" t="inlineStr">
        <is>
          <t>2023-07-01</t>
        </is>
      </c>
      <c r="C186" s="18" t="n">
        <v>20</v>
      </c>
      <c r="D186" s="18" t="n">
        <v>0</v>
      </c>
      <c r="E186" s="18" t="inlineStr">
        <is>
          <t>Café Viennois</t>
        </is>
      </c>
    </row>
    <row r="187">
      <c r="A187" s="18" t="inlineStr">
        <is>
          <t>2023-2024</t>
        </is>
      </c>
      <c r="B187" s="18" t="inlineStr">
        <is>
          <t>2023-07-09</t>
        </is>
      </c>
      <c r="C187" s="18" t="n">
        <v>7</v>
      </c>
      <c r="D187" s="18" t="n">
        <v>0</v>
      </c>
      <c r="E187" s="18" t="inlineStr">
        <is>
          <t>Monaco</t>
        </is>
      </c>
    </row>
    <row r="188">
      <c r="A188" s="18" t="inlineStr">
        <is>
          <t>2023-2024</t>
        </is>
      </c>
      <c r="B188" s="18" t="inlineStr">
        <is>
          <t>2023-07-09</t>
        </is>
      </c>
      <c r="C188" s="18" t="n">
        <v>7</v>
      </c>
      <c r="D188" s="18" t="n">
        <v>0</v>
      </c>
      <c r="E188" s="18" t="inlineStr">
        <is>
          <t>Père Gregoire</t>
        </is>
      </c>
    </row>
    <row r="189">
      <c r="A189" s="18" t="inlineStr">
        <is>
          <t>2023-2024</t>
        </is>
      </c>
      <c r="B189" s="18" t="inlineStr">
        <is>
          <t>2023-07-15</t>
        </is>
      </c>
      <c r="C189" s="18" t="n">
        <v>20</v>
      </c>
      <c r="D189" s="18" t="n">
        <v>0</v>
      </c>
      <c r="E189" s="18" t="inlineStr">
        <is>
          <t>Crêpe nature</t>
        </is>
      </c>
    </row>
    <row r="190">
      <c r="A190" s="18" t="inlineStr">
        <is>
          <t>2023-2024</t>
        </is>
      </c>
      <c r="B190" s="18" t="inlineStr">
        <is>
          <t>2023-07-15</t>
        </is>
      </c>
      <c r="C190" s="18" t="n">
        <v>20</v>
      </c>
      <c r="D190" s="18" t="n">
        <v>0</v>
      </c>
      <c r="E190" s="18" t="inlineStr">
        <is>
          <t>Chocolat Blanc</t>
        </is>
      </c>
    </row>
    <row r="191">
      <c r="A191" s="18" t="inlineStr">
        <is>
          <t>2023-2024</t>
        </is>
      </c>
      <c r="B191" s="18" t="inlineStr">
        <is>
          <t>2023-07-15</t>
        </is>
      </c>
      <c r="C191" s="18" t="n">
        <v>20</v>
      </c>
      <c r="D191" s="18" t="n">
        <v>0</v>
      </c>
      <c r="E191" s="18" t="inlineStr">
        <is>
          <t>Chantilly</t>
        </is>
      </c>
    </row>
    <row r="192">
      <c r="A192" s="18" t="inlineStr">
        <is>
          <t>2023-2024</t>
        </is>
      </c>
      <c r="B192" s="18" t="inlineStr">
        <is>
          <t>2023-07-15</t>
        </is>
      </c>
      <c r="C192" s="18" t="n">
        <v>20</v>
      </c>
      <c r="D192" s="18" t="n">
        <v>0</v>
      </c>
      <c r="E192" s="18" t="inlineStr">
        <is>
          <t>SAUCE CHOCO/CAFE/CAR</t>
        </is>
      </c>
    </row>
    <row r="193">
      <c r="A193" s="18" t="inlineStr">
        <is>
          <t>2023-2024</t>
        </is>
      </c>
      <c r="B193" s="18" t="inlineStr">
        <is>
          <t>2023-07-15</t>
        </is>
      </c>
      <c r="C193" s="18" t="n">
        <v>20</v>
      </c>
      <c r="D193" s="18" t="n">
        <v>0</v>
      </c>
      <c r="E193" s="18" t="inlineStr">
        <is>
          <t>VALENTINE</t>
        </is>
      </c>
    </row>
    <row r="194">
      <c r="A194" s="18" t="inlineStr">
        <is>
          <t>2023-2024</t>
        </is>
      </c>
      <c r="B194" s="18" t="inlineStr">
        <is>
          <t>2023-07-15</t>
        </is>
      </c>
      <c r="C194" s="18" t="n">
        <v>20</v>
      </c>
      <c r="D194" s="18" t="n">
        <v>0</v>
      </c>
      <c r="E194" s="18" t="inlineStr">
        <is>
          <t>GLACE 2 BOULES</t>
        </is>
      </c>
    </row>
    <row r="195">
      <c r="A195" s="18" t="inlineStr">
        <is>
          <t>2023-2024</t>
        </is>
      </c>
      <c r="B195" s="18" t="inlineStr">
        <is>
          <t>2023-07-19</t>
        </is>
      </c>
      <c r="C195" s="18" t="n">
        <v>33</v>
      </c>
      <c r="D195" s="18" t="n">
        <v>0</v>
      </c>
      <c r="E195" s="18" t="inlineStr">
        <is>
          <t>Chat perché</t>
        </is>
      </c>
    </row>
    <row r="196">
      <c r="A196" s="18" t="inlineStr">
        <is>
          <t>2023-2024</t>
        </is>
      </c>
      <c r="B196" s="18" t="inlineStr">
        <is>
          <t>2023-07-19</t>
        </is>
      </c>
      <c r="C196" s="18" t="n">
        <v>33</v>
      </c>
      <c r="D196" s="18" t="n">
        <v>0</v>
      </c>
      <c r="E196" s="18" t="inlineStr">
        <is>
          <t>Père Gregoire</t>
        </is>
      </c>
    </row>
    <row r="197">
      <c r="A197" s="18" t="inlineStr">
        <is>
          <t>2023-2024</t>
        </is>
      </c>
      <c r="B197" s="18" t="inlineStr">
        <is>
          <t>2023-07-20</t>
        </is>
      </c>
      <c r="C197" s="18" t="n">
        <v>8</v>
      </c>
      <c r="D197" s="18" t="n">
        <v>0</v>
      </c>
      <c r="E197" s="18" t="inlineStr">
        <is>
          <t>Perrier 33cl</t>
        </is>
      </c>
    </row>
    <row r="198">
      <c r="A198" s="18" t="inlineStr">
        <is>
          <t>2023-2024</t>
        </is>
      </c>
      <c r="B198" s="18" t="inlineStr">
        <is>
          <t>2023-07-20</t>
        </is>
      </c>
      <c r="C198" s="18" t="n">
        <v>8</v>
      </c>
      <c r="D198" s="18" t="n">
        <v>0</v>
      </c>
      <c r="E198" s="18" t="inlineStr">
        <is>
          <t>Picon bière</t>
        </is>
      </c>
    </row>
    <row r="199">
      <c r="A199" s="18" t="inlineStr">
        <is>
          <t>2023-2024</t>
        </is>
      </c>
      <c r="B199" s="18" t="inlineStr">
        <is>
          <t>2023-07-20</t>
        </is>
      </c>
      <c r="C199" s="18" t="n">
        <v>19</v>
      </c>
      <c r="D199" s="18" t="n">
        <v>0</v>
      </c>
      <c r="E199" s="18" t="inlineStr">
        <is>
          <t>Crémant</t>
        </is>
      </c>
    </row>
    <row r="200">
      <c r="A200" s="18" t="inlineStr">
        <is>
          <t>2023-2024</t>
        </is>
      </c>
      <c r="B200" s="18" t="inlineStr">
        <is>
          <t>2023-07-20</t>
        </is>
      </c>
      <c r="C200" s="18" t="n">
        <v>19</v>
      </c>
      <c r="D200" s="18" t="n">
        <v>0</v>
      </c>
      <c r="E200" s="18" t="inlineStr">
        <is>
          <t>Coca (25cl)</t>
        </is>
      </c>
    </row>
    <row r="201">
      <c r="A201" s="18" t="inlineStr">
        <is>
          <t>2023-2024</t>
        </is>
      </c>
      <c r="B201" s="18" t="inlineStr">
        <is>
          <t>2023-07-20</t>
        </is>
      </c>
      <c r="C201" s="18" t="n">
        <v>19</v>
      </c>
      <c r="D201" s="18" t="n">
        <v>0</v>
      </c>
      <c r="E201" s="18" t="inlineStr">
        <is>
          <t>Déca</t>
        </is>
      </c>
    </row>
    <row r="202">
      <c r="A202" s="18" t="inlineStr">
        <is>
          <t>2023-2024</t>
        </is>
      </c>
      <c r="B202" s="18" t="inlineStr">
        <is>
          <t>2023-07-22</t>
        </is>
      </c>
      <c r="C202" s="18" t="n">
        <v>4</v>
      </c>
      <c r="D202" s="18" t="n">
        <v>0</v>
      </c>
      <c r="E202" s="18" t="inlineStr">
        <is>
          <t>Kir Bourgogne</t>
        </is>
      </c>
    </row>
    <row r="203">
      <c r="A203" s="18" t="inlineStr">
        <is>
          <t>2023-2024</t>
        </is>
      </c>
      <c r="B203" s="18" t="inlineStr">
        <is>
          <t>2023-08-05</t>
        </is>
      </c>
      <c r="C203" s="18" t="n">
        <v>5</v>
      </c>
      <c r="D203" s="18" t="n">
        <v>0</v>
      </c>
      <c r="E203" s="18" t="inlineStr">
        <is>
          <t>Expresso</t>
        </is>
      </c>
    </row>
    <row r="204">
      <c r="A204" s="18" t="inlineStr">
        <is>
          <t>2023-2024</t>
        </is>
      </c>
      <c r="B204" s="18" t="inlineStr">
        <is>
          <t>2023-08-05</t>
        </is>
      </c>
      <c r="C204" s="18" t="n">
        <v>28</v>
      </c>
      <c r="D204" s="18" t="n">
        <v>0</v>
      </c>
      <c r="E204" s="18" t="inlineStr">
        <is>
          <t>La Vouivre</t>
        </is>
      </c>
    </row>
    <row r="205">
      <c r="A205" s="18" t="inlineStr">
        <is>
          <t>2023-2024</t>
        </is>
      </c>
      <c r="B205" s="18" t="inlineStr">
        <is>
          <t>2023-08-05</t>
        </is>
      </c>
      <c r="C205" s="18" t="n">
        <v>28</v>
      </c>
      <c r="D205" s="18" t="n">
        <v>0</v>
      </c>
      <c r="E205" s="18" t="inlineStr">
        <is>
          <t>Chat perché</t>
        </is>
      </c>
    </row>
    <row r="206">
      <c r="A206" s="18" t="inlineStr">
        <is>
          <t>2023-2024</t>
        </is>
      </c>
      <c r="B206" s="18" t="inlineStr">
        <is>
          <t>2023-08-05</t>
        </is>
      </c>
      <c r="C206" s="18" t="n">
        <v>32</v>
      </c>
      <c r="D206" s="18" t="n">
        <v>0</v>
      </c>
      <c r="E206" s="18" t="inlineStr">
        <is>
          <t>PICHET ALIGOTE 50cL</t>
        </is>
      </c>
    </row>
    <row r="207">
      <c r="A207" s="18" t="inlineStr">
        <is>
          <t>2023-2024</t>
        </is>
      </c>
      <c r="B207" s="18" t="inlineStr">
        <is>
          <t>2023-08-09</t>
        </is>
      </c>
      <c r="C207" s="18" t="n">
        <v>12</v>
      </c>
      <c r="D207" s="18" t="n">
        <v>0</v>
      </c>
      <c r="E207" s="18" t="inlineStr">
        <is>
          <t>La Vouivre</t>
        </is>
      </c>
    </row>
    <row r="208">
      <c r="A208" s="18" t="inlineStr">
        <is>
          <t>2023-2024</t>
        </is>
      </c>
      <c r="B208" s="18" t="inlineStr">
        <is>
          <t>2023-08-09</t>
        </is>
      </c>
      <c r="C208" s="18" t="n">
        <v>12</v>
      </c>
      <c r="D208" s="18" t="n">
        <v>0</v>
      </c>
      <c r="E208" s="18" t="inlineStr">
        <is>
          <t>Martini Blanc</t>
        </is>
      </c>
    </row>
    <row r="209">
      <c r="A209" s="18" t="inlineStr">
        <is>
          <t>2023-2024</t>
        </is>
      </c>
      <c r="B209" s="18" t="inlineStr">
        <is>
          <t>2023-08-09</t>
        </is>
      </c>
      <c r="C209" s="18" t="n">
        <v>19</v>
      </c>
      <c r="D209" s="18" t="n">
        <v>0</v>
      </c>
      <c r="E209" s="18" t="inlineStr">
        <is>
          <t>Jus de Fruit</t>
        </is>
      </c>
    </row>
    <row r="210">
      <c r="A210" s="18" t="inlineStr">
        <is>
          <t>2023-2024</t>
        </is>
      </c>
      <c r="B210" s="18" t="inlineStr">
        <is>
          <t>2023-08-10</t>
        </is>
      </c>
      <c r="C210" s="18" t="n">
        <v>32</v>
      </c>
      <c r="D210" s="18" t="n">
        <v>0</v>
      </c>
      <c r="E210" s="18" t="inlineStr">
        <is>
          <t>Chat perché</t>
        </is>
      </c>
    </row>
    <row r="211">
      <c r="A211" s="18" t="inlineStr">
        <is>
          <t>2023-2024</t>
        </is>
      </c>
      <c r="B211" s="18" t="inlineStr">
        <is>
          <t>2023-08-10</t>
        </is>
      </c>
      <c r="C211" s="18" t="n">
        <v>32</v>
      </c>
      <c r="D211" s="18" t="n">
        <v>0</v>
      </c>
      <c r="E211" s="18" t="inlineStr">
        <is>
          <t>Père Gregoire</t>
        </is>
      </c>
    </row>
    <row r="212">
      <c r="A212" s="18" t="inlineStr">
        <is>
          <t>2023-2024</t>
        </is>
      </c>
      <c r="B212" s="18" t="inlineStr">
        <is>
          <t>2023-08-10</t>
        </is>
      </c>
      <c r="C212" s="18" t="n">
        <v>32</v>
      </c>
      <c r="D212" s="18" t="n">
        <v>0</v>
      </c>
      <c r="E212" s="18" t="inlineStr">
        <is>
          <t>Kir Bourgogne</t>
        </is>
      </c>
    </row>
    <row r="213">
      <c r="A213" s="18" t="inlineStr">
        <is>
          <t>2023-2024</t>
        </is>
      </c>
      <c r="B213" s="18" t="inlineStr">
        <is>
          <t>2023-08-10</t>
        </is>
      </c>
      <c r="C213" s="18" t="n">
        <v>32</v>
      </c>
      <c r="D213" s="18" t="n">
        <v>0</v>
      </c>
      <c r="E213" s="18" t="inlineStr">
        <is>
          <t>pression</t>
        </is>
      </c>
    </row>
    <row r="214">
      <c r="A214" s="18" t="inlineStr">
        <is>
          <t>2023-2024</t>
        </is>
      </c>
      <c r="B214" s="18" t="inlineStr">
        <is>
          <t>2023-08-10</t>
        </is>
      </c>
      <c r="C214" s="18" t="n">
        <v>32</v>
      </c>
      <c r="D214" s="18" t="n">
        <v>0</v>
      </c>
      <c r="E214" s="18" t="inlineStr">
        <is>
          <t>KITTYKIR</t>
        </is>
      </c>
    </row>
    <row r="215">
      <c r="A215" s="18" t="inlineStr">
        <is>
          <t>2023-2024</t>
        </is>
      </c>
      <c r="B215" s="18" t="inlineStr">
        <is>
          <t>2023-08-10</t>
        </is>
      </c>
      <c r="C215" s="18" t="n">
        <v>32</v>
      </c>
      <c r="D215" s="18" t="n">
        <v>0</v>
      </c>
      <c r="E215" s="18" t="inlineStr">
        <is>
          <t>Ambrée</t>
        </is>
      </c>
    </row>
    <row r="216">
      <c r="A216" s="18" t="inlineStr">
        <is>
          <t>2023-2024</t>
        </is>
      </c>
      <c r="B216" s="18" t="inlineStr">
        <is>
          <t>2023-08-10</t>
        </is>
      </c>
      <c r="C216" s="18" t="n">
        <v>32</v>
      </c>
      <c r="D216" s="18" t="n">
        <v>0</v>
      </c>
      <c r="E216" s="18" t="inlineStr">
        <is>
          <t>Arbois Trousseau Le</t>
        </is>
      </c>
    </row>
    <row r="217">
      <c r="A217" s="18" t="inlineStr">
        <is>
          <t>2023-2024</t>
        </is>
      </c>
      <c r="B217" s="18" t="inlineStr">
        <is>
          <t>2023-08-12</t>
        </is>
      </c>
      <c r="C217" s="18" t="n">
        <v>32</v>
      </c>
      <c r="D217" s="18" t="n">
        <v>0</v>
      </c>
      <c r="E217" s="18" t="inlineStr">
        <is>
          <t>Chat perché</t>
        </is>
      </c>
    </row>
    <row r="218">
      <c r="A218" s="18" t="inlineStr">
        <is>
          <t>2023-2024</t>
        </is>
      </c>
      <c r="B218" s="18" t="inlineStr">
        <is>
          <t>2023-08-12</t>
        </is>
      </c>
      <c r="C218" s="18" t="n">
        <v>32</v>
      </c>
      <c r="D218" s="18" t="n">
        <v>0</v>
      </c>
      <c r="E218" s="18" t="inlineStr">
        <is>
          <t>Liqueur de Poire</t>
        </is>
      </c>
    </row>
    <row r="219">
      <c r="A219" s="18" t="inlineStr">
        <is>
          <t>2023-2024</t>
        </is>
      </c>
      <c r="B219" s="18" t="inlineStr">
        <is>
          <t>2023-08-12</t>
        </is>
      </c>
      <c r="C219" s="18" t="n">
        <v>32</v>
      </c>
      <c r="D219" s="18" t="n">
        <v>0</v>
      </c>
      <c r="E219" s="18" t="inlineStr">
        <is>
          <t>Expresso</t>
        </is>
      </c>
    </row>
    <row r="220">
      <c r="A220" s="18" t="inlineStr">
        <is>
          <t>2023-2024</t>
        </is>
      </c>
      <c r="B220" s="18" t="inlineStr">
        <is>
          <t>2023-08-25</t>
        </is>
      </c>
      <c r="C220" s="18" t="n">
        <v>5</v>
      </c>
      <c r="D220" s="18" t="n">
        <v>0</v>
      </c>
      <c r="E220" s="18" t="inlineStr">
        <is>
          <t>BALIDOU</t>
        </is>
      </c>
    </row>
    <row r="221">
      <c r="A221" s="18" t="inlineStr">
        <is>
          <t>2023-2024</t>
        </is>
      </c>
      <c r="B221" s="18" t="inlineStr">
        <is>
          <t>2023-08-25</t>
        </is>
      </c>
      <c r="C221" s="18" t="n">
        <v>5</v>
      </c>
      <c r="D221" s="18" t="n">
        <v>0</v>
      </c>
      <c r="E221" s="18" t="inlineStr">
        <is>
          <t>Blanche des plateaux</t>
        </is>
      </c>
    </row>
    <row r="222">
      <c r="A222" s="18" t="inlineStr">
        <is>
          <t>2023-2024</t>
        </is>
      </c>
      <c r="B222" s="18" t="inlineStr">
        <is>
          <t>2023-08-27</t>
        </is>
      </c>
      <c r="C222" s="18" t="n">
        <v>31</v>
      </c>
      <c r="D222" s="18" t="n">
        <v>0</v>
      </c>
      <c r="E222" s="18" t="inlineStr">
        <is>
          <t>Diabolo (25cl)</t>
        </is>
      </c>
    </row>
    <row r="223">
      <c r="A223" s="18" t="inlineStr">
        <is>
          <t>2023-2024</t>
        </is>
      </c>
      <c r="B223" s="18" t="inlineStr">
        <is>
          <t>2023-09-01</t>
        </is>
      </c>
      <c r="C223" s="18" t="n">
        <v>13</v>
      </c>
      <c r="D223" s="18" t="n">
        <v>0</v>
      </c>
      <c r="E223" s="18" t="inlineStr">
        <is>
          <t>San Pelegrino</t>
        </is>
      </c>
    </row>
    <row r="224">
      <c r="A224" s="18" t="inlineStr">
        <is>
          <t>2023-2024</t>
        </is>
      </c>
      <c r="B224" s="18" t="inlineStr">
        <is>
          <t>2023-09-01</t>
        </is>
      </c>
      <c r="C224" s="18" t="n">
        <v>13</v>
      </c>
      <c r="D224" s="18" t="n">
        <v>0</v>
      </c>
      <c r="E224" s="18" t="inlineStr">
        <is>
          <t>BALIDOU</t>
        </is>
      </c>
    </row>
    <row r="225">
      <c r="A225" s="18" t="inlineStr">
        <is>
          <t>2023-2024</t>
        </is>
      </c>
      <c r="B225" s="18" t="inlineStr">
        <is>
          <t>2023-09-01</t>
        </is>
      </c>
      <c r="C225" s="18" t="n">
        <v>13</v>
      </c>
      <c r="D225" s="18" t="n">
        <v>0</v>
      </c>
      <c r="E225" s="18" t="inlineStr">
        <is>
          <t>Pinte</t>
        </is>
      </c>
    </row>
    <row r="226">
      <c r="A226" s="18" t="inlineStr">
        <is>
          <t>2023-2024</t>
        </is>
      </c>
      <c r="B226" s="18" t="inlineStr">
        <is>
          <t>2023-09-01</t>
        </is>
      </c>
      <c r="C226" s="18" t="n">
        <v>13</v>
      </c>
      <c r="D226" s="18" t="n">
        <v>0</v>
      </c>
      <c r="E226" s="18" t="inlineStr">
        <is>
          <t>Luna</t>
        </is>
      </c>
    </row>
    <row r="227">
      <c r="A227" s="18" t="inlineStr">
        <is>
          <t>2023-2024</t>
        </is>
      </c>
      <c r="B227" s="18" t="inlineStr">
        <is>
          <t>2023-09-02</t>
        </is>
      </c>
      <c r="C227" s="18" t="n">
        <v>27</v>
      </c>
      <c r="D227" s="18" t="n">
        <v>0</v>
      </c>
      <c r="E227" s="18" t="inlineStr">
        <is>
          <t>Chat perché</t>
        </is>
      </c>
    </row>
    <row r="228">
      <c r="A228" s="18" t="inlineStr">
        <is>
          <t>2023-2024</t>
        </is>
      </c>
      <c r="B228" s="18" t="inlineStr">
        <is>
          <t>2023-09-03</t>
        </is>
      </c>
      <c r="C228" s="18" t="n">
        <v>14</v>
      </c>
      <c r="D228" s="18" t="n">
        <v>0</v>
      </c>
      <c r="E228" s="18" t="inlineStr">
        <is>
          <t>Ambrée</t>
        </is>
      </c>
    </row>
    <row r="229">
      <c r="A229" s="18" t="inlineStr">
        <is>
          <t>2023-2024</t>
        </is>
      </c>
      <c r="B229" s="18" t="inlineStr">
        <is>
          <t>2023-09-03</t>
        </is>
      </c>
      <c r="C229" s="18" t="n">
        <v>14</v>
      </c>
      <c r="D229" s="18" t="n">
        <v>0</v>
      </c>
      <c r="E229" s="18" t="inlineStr">
        <is>
          <t>Luna</t>
        </is>
      </c>
    </row>
    <row r="230">
      <c r="A230" s="18" t="inlineStr">
        <is>
          <t>2023-2024</t>
        </is>
      </c>
      <c r="B230" s="18" t="inlineStr">
        <is>
          <t>2023-09-07</t>
        </is>
      </c>
      <c r="C230" s="18" t="n">
        <v>31</v>
      </c>
      <c r="D230" s="18" t="n">
        <v>0</v>
      </c>
      <c r="E230" s="18" t="inlineStr">
        <is>
          <t>Pinte</t>
        </is>
      </c>
    </row>
    <row r="231">
      <c r="A231" s="18" t="inlineStr">
        <is>
          <t>2023-2024</t>
        </is>
      </c>
      <c r="B231" s="18" t="inlineStr">
        <is>
          <t>2023-09-07</t>
        </is>
      </c>
      <c r="C231" s="18" t="n">
        <v>31</v>
      </c>
      <c r="D231" s="18" t="n">
        <v>0</v>
      </c>
      <c r="E231" s="18" t="inlineStr">
        <is>
          <t>Sprintz</t>
        </is>
      </c>
    </row>
    <row r="232">
      <c r="A232" s="18" t="inlineStr">
        <is>
          <t>2023-2024</t>
        </is>
      </c>
      <c r="B232" s="18" t="inlineStr">
        <is>
          <t>2023-09-07</t>
        </is>
      </c>
      <c r="C232" s="18" t="n">
        <v>32</v>
      </c>
      <c r="D232" s="18" t="n">
        <v>0</v>
      </c>
      <c r="E232" s="18" t="inlineStr">
        <is>
          <t>Pinte</t>
        </is>
      </c>
    </row>
    <row r="233">
      <c r="A233" s="18" t="inlineStr">
        <is>
          <t>2023-2024</t>
        </is>
      </c>
      <c r="B233" s="18" t="inlineStr">
        <is>
          <t>2023-09-07</t>
        </is>
      </c>
      <c r="C233" s="18" t="n">
        <v>32</v>
      </c>
      <c r="D233" s="18" t="n">
        <v>0</v>
      </c>
      <c r="E233" s="18" t="inlineStr">
        <is>
          <t>Sprintz</t>
        </is>
      </c>
    </row>
    <row r="234">
      <c r="A234" s="18" t="inlineStr">
        <is>
          <t>2023-2024</t>
        </is>
      </c>
      <c r="B234" s="18" t="inlineStr">
        <is>
          <t>2023-09-09</t>
        </is>
      </c>
      <c r="C234" s="18" t="n">
        <v>39</v>
      </c>
      <c r="D234" s="18" t="n">
        <v>0</v>
      </c>
      <c r="E234" s="18" t="inlineStr">
        <is>
          <t>Vittel litre</t>
        </is>
      </c>
    </row>
    <row r="235">
      <c r="A235" s="18" t="inlineStr">
        <is>
          <t>2023-2024</t>
        </is>
      </c>
      <c r="B235" s="18" t="inlineStr">
        <is>
          <t>2023-09-09</t>
        </is>
      </c>
      <c r="C235" s="18" t="n">
        <v>40</v>
      </c>
      <c r="D235" s="18" t="n">
        <v>0</v>
      </c>
      <c r="E235" s="18" t="inlineStr">
        <is>
          <t>Vittel litre</t>
        </is>
      </c>
    </row>
    <row r="236">
      <c r="A236" s="18" t="inlineStr">
        <is>
          <t>2023-2024</t>
        </is>
      </c>
      <c r="B236" s="18" t="inlineStr">
        <is>
          <t>2023-12-17</t>
        </is>
      </c>
      <c r="C236" s="18" t="n">
        <v>5</v>
      </c>
      <c r="D236" s="18" t="n">
        <v>0</v>
      </c>
      <c r="E236" s="18" t="inlineStr">
        <is>
          <t>Diabolo (25cl)</t>
        </is>
      </c>
    </row>
    <row r="237">
      <c r="A237" s="18" t="inlineStr">
        <is>
          <t>2023-2024</t>
        </is>
      </c>
      <c r="B237" s="18" t="inlineStr">
        <is>
          <t>2023-12-17</t>
        </is>
      </c>
      <c r="C237" s="18" t="n">
        <v>5</v>
      </c>
      <c r="D237" s="18" t="n">
        <v>0</v>
      </c>
      <c r="E237" s="18" t="inlineStr">
        <is>
          <t>Sirop à l'eau</t>
        </is>
      </c>
    </row>
    <row r="238">
      <c r="A238" s="18" t="inlineStr">
        <is>
          <t>2023-2024</t>
        </is>
      </c>
      <c r="B238" s="18" t="inlineStr">
        <is>
          <t>2023-12-17</t>
        </is>
      </c>
      <c r="C238" s="18" t="n">
        <v>5</v>
      </c>
      <c r="D238" s="18" t="n">
        <v>0</v>
      </c>
      <c r="E238" s="18" t="inlineStr">
        <is>
          <t>Père Gregoire</t>
        </is>
      </c>
    </row>
    <row r="239">
      <c r="A239" s="18" t="inlineStr">
        <is>
          <t>2023-2024</t>
        </is>
      </c>
      <c r="B239" s="18" t="inlineStr">
        <is>
          <t>2023-12-17</t>
        </is>
      </c>
      <c r="C239" s="18" t="n">
        <v>5</v>
      </c>
      <c r="D239" s="18" t="n">
        <v>0</v>
      </c>
      <c r="E239" s="18" t="inlineStr">
        <is>
          <t>GLACE 1 BOULE</t>
        </is>
      </c>
    </row>
    <row r="240">
      <c r="A240" s="18" t="inlineStr">
        <is>
          <t>2023-2024</t>
        </is>
      </c>
      <c r="B240" s="18" t="inlineStr">
        <is>
          <t>2023-12-17</t>
        </is>
      </c>
      <c r="C240" s="18" t="n">
        <v>5</v>
      </c>
      <c r="D240" s="18" t="n">
        <v>0</v>
      </c>
      <c r="E240" s="18" t="inlineStr">
        <is>
          <t>GLACE 2 BOULES</t>
        </is>
      </c>
    </row>
    <row r="241">
      <c r="A241" s="18" t="inlineStr">
        <is>
          <t>2023-2024</t>
        </is>
      </c>
      <c r="B241" s="18" t="inlineStr">
        <is>
          <t>2024-03-07</t>
        </is>
      </c>
      <c r="C241" s="18" t="n">
        <v>7</v>
      </c>
      <c r="D241" s="18" t="n">
        <v>0</v>
      </c>
      <c r="E241" s="18" t="inlineStr">
        <is>
          <t>Macvin du Jura</t>
        </is>
      </c>
    </row>
    <row r="242">
      <c r="A242" s="18" t="inlineStr">
        <is>
          <t>2023-2024</t>
        </is>
      </c>
      <c r="B242" s="18" t="inlineStr">
        <is>
          <t>2024-03-07</t>
        </is>
      </c>
      <c r="C242" s="18" t="n">
        <v>7</v>
      </c>
      <c r="D242" s="18" t="n">
        <v>0</v>
      </c>
      <c r="E242" s="18" t="inlineStr">
        <is>
          <t>Savagnin verre</t>
        </is>
      </c>
    </row>
    <row r="243">
      <c r="A243" s="18" t="inlineStr">
        <is>
          <t>2023-2024</t>
        </is>
      </c>
      <c r="B243" s="18" t="inlineStr">
        <is>
          <t>2024-03-14</t>
        </is>
      </c>
      <c r="C243" s="18" t="n">
        <v>16</v>
      </c>
      <c r="D243" s="18" t="n">
        <v>0</v>
      </c>
      <c r="E243" s="18" t="inlineStr">
        <is>
          <t>Vieux Marc Bourgogne</t>
        </is>
      </c>
    </row>
    <row r="244">
      <c r="A244" s="18" t="inlineStr">
        <is>
          <t>2024-2025</t>
        </is>
      </c>
      <c r="B244" s="18" t="inlineStr">
        <is>
          <t>2024-04-13</t>
        </is>
      </c>
      <c r="C244" s="18" t="n">
        <v>21</v>
      </c>
      <c r="D244" s="18" t="n">
        <v>0</v>
      </c>
      <c r="E244" s="18" t="inlineStr">
        <is>
          <t>La Vouivre</t>
        </is>
      </c>
    </row>
    <row r="245">
      <c r="A245" s="18" t="inlineStr">
        <is>
          <t>2024-2025</t>
        </is>
      </c>
      <c r="B245" s="18" t="inlineStr">
        <is>
          <t>2024-04-18</t>
        </is>
      </c>
      <c r="C245" s="18" t="n">
        <v>19</v>
      </c>
      <c r="D245" s="18" t="n">
        <v>0</v>
      </c>
      <c r="E245" s="18" t="inlineStr">
        <is>
          <t>BALIDOU</t>
        </is>
      </c>
    </row>
    <row r="246">
      <c r="A246" s="18" t="inlineStr">
        <is>
          <t>2024-2025</t>
        </is>
      </c>
      <c r="B246" s="18" t="inlineStr">
        <is>
          <t>2024-04-18</t>
        </is>
      </c>
      <c r="C246" s="18" t="n">
        <v>19</v>
      </c>
      <c r="D246" s="18" t="n">
        <v>0</v>
      </c>
      <c r="E246" s="18" t="inlineStr">
        <is>
          <t>1/2 Arbois Béthanie</t>
        </is>
      </c>
    </row>
    <row r="247">
      <c r="A247" s="18" t="inlineStr">
        <is>
          <t>2024-2025</t>
        </is>
      </c>
      <c r="B247" s="18" t="inlineStr">
        <is>
          <t>2024-05-02</t>
        </is>
      </c>
      <c r="C247" s="18" t="n">
        <v>20</v>
      </c>
      <c r="D247" s="18" t="n">
        <v>0</v>
      </c>
      <c r="E247" s="18" t="inlineStr">
        <is>
          <t>Chat perché</t>
        </is>
      </c>
    </row>
    <row r="248">
      <c r="A248" s="18" t="inlineStr">
        <is>
          <t>2024-2025</t>
        </is>
      </c>
      <c r="B248" s="18" t="inlineStr">
        <is>
          <t>2024-05-02</t>
        </is>
      </c>
      <c r="C248" s="18" t="n">
        <v>21</v>
      </c>
      <c r="D248" s="18" t="n">
        <v>0</v>
      </c>
      <c r="E248" s="18" t="inlineStr">
        <is>
          <t>Chat perché</t>
        </is>
      </c>
    </row>
    <row r="249">
      <c r="A249" s="18" t="inlineStr">
        <is>
          <t>2024-2025</t>
        </is>
      </c>
      <c r="B249" s="18" t="inlineStr">
        <is>
          <t>2024-05-02</t>
        </is>
      </c>
      <c r="C249" s="18" t="n">
        <v>22</v>
      </c>
      <c r="D249" s="18" t="n">
        <v>0</v>
      </c>
      <c r="E249" s="18" t="inlineStr">
        <is>
          <t>C du  Rhone St Josep</t>
        </is>
      </c>
    </row>
    <row r="250">
      <c r="A250" s="18" t="inlineStr">
        <is>
          <t>2024-2025</t>
        </is>
      </c>
      <c r="B250" s="18" t="inlineStr">
        <is>
          <t>2024-05-02</t>
        </is>
      </c>
      <c r="C250" s="18" t="n">
        <v>23</v>
      </c>
      <c r="D250" s="18" t="n">
        <v>0</v>
      </c>
      <c r="E250" s="18" t="inlineStr">
        <is>
          <t>pression</t>
        </is>
      </c>
    </row>
    <row r="251">
      <c r="A251" s="18" t="inlineStr">
        <is>
          <t>2024-2025</t>
        </is>
      </c>
      <c r="B251" s="18" t="inlineStr">
        <is>
          <t>2024-05-10</t>
        </is>
      </c>
      <c r="C251" s="18" t="n">
        <v>27</v>
      </c>
      <c r="D251" s="18" t="n">
        <v>0</v>
      </c>
      <c r="E251" s="18" t="inlineStr">
        <is>
          <t>Ricard</t>
        </is>
      </c>
    </row>
    <row r="252">
      <c r="A252" s="18" t="inlineStr">
        <is>
          <t>2024-2025</t>
        </is>
      </c>
      <c r="B252" s="18" t="inlineStr">
        <is>
          <t>2024-05-10</t>
        </is>
      </c>
      <c r="C252" s="18" t="n">
        <v>27</v>
      </c>
      <c r="D252" s="18" t="n">
        <v>0</v>
      </c>
      <c r="E252" s="18" t="inlineStr">
        <is>
          <t>Saint Véran Verre</t>
        </is>
      </c>
    </row>
    <row r="253">
      <c r="A253" s="18" t="inlineStr">
        <is>
          <t>2024-2025</t>
        </is>
      </c>
      <c r="B253" s="18" t="inlineStr">
        <is>
          <t>2024-06-30</t>
        </is>
      </c>
      <c r="C253" s="18" t="n">
        <v>12</v>
      </c>
      <c r="D253" s="18" t="n">
        <v>0</v>
      </c>
      <c r="E253" s="18" t="inlineStr">
        <is>
          <t>Expresso</t>
        </is>
      </c>
    </row>
    <row r="254">
      <c r="A254" s="18" t="inlineStr">
        <is>
          <t>2024-2025</t>
        </is>
      </c>
      <c r="B254" s="18" t="inlineStr">
        <is>
          <t>2024-07-28</t>
        </is>
      </c>
      <c r="C254" s="18" t="n">
        <v>11</v>
      </c>
      <c r="D254" s="18" t="n">
        <v>0</v>
      </c>
      <c r="E254" s="18" t="inlineStr">
        <is>
          <t>Pontarlier</t>
        </is>
      </c>
    </row>
    <row r="255">
      <c r="A255" s="18" t="inlineStr">
        <is>
          <t>2024-2025</t>
        </is>
      </c>
      <c r="B255" s="18" t="inlineStr">
        <is>
          <t>2024-07-28</t>
        </is>
      </c>
      <c r="C255" s="18" t="n">
        <v>11</v>
      </c>
      <c r="D255" s="18" t="n">
        <v>0</v>
      </c>
      <c r="E255" s="18" t="inlineStr">
        <is>
          <t>Picon bière</t>
        </is>
      </c>
    </row>
    <row r="256">
      <c r="A256" s="18" t="inlineStr">
        <is>
          <t>2024-2025</t>
        </is>
      </c>
      <c r="B256" s="18" t="inlineStr">
        <is>
          <t>2024-07-28</t>
        </is>
      </c>
      <c r="C256" s="18" t="n">
        <v>11</v>
      </c>
      <c r="D256" s="18" t="n">
        <v>0</v>
      </c>
      <c r="E256" s="18" t="inlineStr">
        <is>
          <t>Jus de Fruit</t>
        </is>
      </c>
    </row>
    <row r="257">
      <c r="A257" s="18" t="inlineStr">
        <is>
          <t>2024-2025</t>
        </is>
      </c>
      <c r="B257" s="18" t="inlineStr">
        <is>
          <t>2024-10-25</t>
        </is>
      </c>
      <c r="C257" s="18" t="n">
        <v>18</v>
      </c>
      <c r="D257" s="18" t="n">
        <v>0</v>
      </c>
      <c r="E257" s="18" t="inlineStr">
        <is>
          <t>Martini Blanc</t>
        </is>
      </c>
    </row>
    <row r="258">
      <c r="A258" s="18" t="inlineStr">
        <is>
          <t>2024-2025</t>
        </is>
      </c>
      <c r="B258" s="18" t="inlineStr">
        <is>
          <t>2024-10-25</t>
        </is>
      </c>
      <c r="C258" s="18" t="n">
        <v>18</v>
      </c>
      <c r="D258" s="18" t="n">
        <v>0</v>
      </c>
      <c r="E258" s="18" t="inlineStr">
        <is>
          <t>Luna</t>
        </is>
      </c>
    </row>
    <row r="259">
      <c r="A259" s="18" t="inlineStr">
        <is>
          <t>2024-2025</t>
        </is>
      </c>
      <c r="B259" s="18" t="inlineStr">
        <is>
          <t>2024-10-25</t>
        </is>
      </c>
      <c r="C259" s="18" t="n">
        <v>18</v>
      </c>
      <c r="D259" s="18" t="n">
        <v>0</v>
      </c>
      <c r="E259" s="18" t="inlineStr">
        <is>
          <t>Fuze Tea</t>
        </is>
      </c>
    </row>
    <row r="260">
      <c r="A260" s="18" t="inlineStr">
        <is>
          <t>2024-2025</t>
        </is>
      </c>
      <c r="B260" s="18" t="inlineStr">
        <is>
          <t>2024-10-26</t>
        </is>
      </c>
      <c r="C260" s="18" t="n">
        <v>17</v>
      </c>
      <c r="D260" s="18" t="n">
        <v>0</v>
      </c>
      <c r="E260" s="18" t="inlineStr">
        <is>
          <t>Panaché</t>
        </is>
      </c>
    </row>
    <row r="261">
      <c r="A261" s="18" t="inlineStr">
        <is>
          <t>2024-2025</t>
        </is>
      </c>
      <c r="B261" s="18" t="inlineStr">
        <is>
          <t>2024-10-26</t>
        </is>
      </c>
      <c r="C261" s="18" t="n">
        <v>17</v>
      </c>
      <c r="D261" s="18" t="n">
        <v>0</v>
      </c>
      <c r="E261" s="18" t="inlineStr">
        <is>
          <t>Ambrée</t>
        </is>
      </c>
    </row>
    <row r="262">
      <c r="A262" s="18" t="inlineStr">
        <is>
          <t>2024-2025</t>
        </is>
      </c>
      <c r="B262" s="18" t="inlineStr">
        <is>
          <t>2024-10-26</t>
        </is>
      </c>
      <c r="C262" s="18" t="n">
        <v>17</v>
      </c>
      <c r="D262" s="18" t="n">
        <v>0</v>
      </c>
      <c r="E262" s="18" t="inlineStr">
        <is>
          <t>Blanche des plateaux</t>
        </is>
      </c>
    </row>
    <row r="263">
      <c r="A263" s="18" t="inlineStr">
        <is>
          <t>2024-2025</t>
        </is>
      </c>
      <c r="B263" s="18" t="inlineStr">
        <is>
          <t>2024-10-26</t>
        </is>
      </c>
      <c r="C263" s="18" t="n">
        <v>17</v>
      </c>
      <c r="D263" s="18" t="n">
        <v>0</v>
      </c>
      <c r="E263" s="18" t="inlineStr">
        <is>
          <t>pression</t>
        </is>
      </c>
    </row>
    <row r="264">
      <c r="A264" s="18" t="inlineStr">
        <is>
          <t>2024-2025</t>
        </is>
      </c>
      <c r="B264" s="18" t="inlineStr">
        <is>
          <t>2024-10-26</t>
        </is>
      </c>
      <c r="C264" s="18" t="n">
        <v>18</v>
      </c>
      <c r="D264" s="18" t="n">
        <v>0</v>
      </c>
      <c r="E264" s="18" t="inlineStr">
        <is>
          <t>Panaché</t>
        </is>
      </c>
    </row>
    <row r="265">
      <c r="A265" s="18" t="inlineStr">
        <is>
          <t>2024-2025</t>
        </is>
      </c>
      <c r="B265" s="18" t="inlineStr">
        <is>
          <t>2024-10-26</t>
        </is>
      </c>
      <c r="C265" s="18" t="n">
        <v>18</v>
      </c>
      <c r="D265" s="18" t="n">
        <v>0</v>
      </c>
      <c r="E265" s="18" t="inlineStr">
        <is>
          <t>Ambrée</t>
        </is>
      </c>
    </row>
    <row r="266">
      <c r="A266" s="18" t="inlineStr">
        <is>
          <t>2024-2025</t>
        </is>
      </c>
      <c r="B266" s="18" t="inlineStr">
        <is>
          <t>2024-10-26</t>
        </is>
      </c>
      <c r="C266" s="18" t="n">
        <v>18</v>
      </c>
      <c r="D266" s="18" t="n">
        <v>0</v>
      </c>
      <c r="E266" s="18" t="inlineStr">
        <is>
          <t>Blanche des plateaux</t>
        </is>
      </c>
    </row>
    <row r="267">
      <c r="A267" s="18" t="inlineStr">
        <is>
          <t>2024-2025</t>
        </is>
      </c>
      <c r="B267" s="18" t="inlineStr">
        <is>
          <t>2024-10-26</t>
        </is>
      </c>
      <c r="C267" s="18" t="n">
        <v>18</v>
      </c>
      <c r="D267" s="18" t="n">
        <v>0</v>
      </c>
      <c r="E267" s="18" t="inlineStr">
        <is>
          <t>pression</t>
        </is>
      </c>
    </row>
    <row r="268">
      <c r="A268" s="18" t="inlineStr">
        <is>
          <t>2024-2025</t>
        </is>
      </c>
      <c r="B268" s="18" t="inlineStr">
        <is>
          <t>2024-10-30</t>
        </is>
      </c>
      <c r="C268" s="18" t="n">
        <v>15</v>
      </c>
      <c r="D268" s="18" t="n">
        <v>0</v>
      </c>
      <c r="E268" s="18" t="inlineStr">
        <is>
          <t>Savagnin verre</t>
        </is>
      </c>
    </row>
    <row r="269">
      <c r="A269" s="18" t="inlineStr">
        <is>
          <t>2024-2025</t>
        </is>
      </c>
      <c r="B269" s="18" t="inlineStr">
        <is>
          <t>2024-12-14</t>
        </is>
      </c>
      <c r="C269" s="18" t="n">
        <v>17</v>
      </c>
      <c r="D269" s="18" t="n">
        <v>0</v>
      </c>
      <c r="E269" s="18" t="inlineStr">
        <is>
          <t>Mambo</t>
        </is>
      </c>
    </row>
    <row r="270">
      <c r="A270" s="18" t="inlineStr">
        <is>
          <t>2024-2025</t>
        </is>
      </c>
      <c r="B270" s="18" t="inlineStr">
        <is>
          <t>2024-12-14</t>
        </is>
      </c>
      <c r="C270" s="18" t="n">
        <v>17</v>
      </c>
      <c r="D270" s="18" t="n">
        <v>0</v>
      </c>
      <c r="E270" s="18" t="inlineStr">
        <is>
          <t>La Vouivre</t>
        </is>
      </c>
    </row>
    <row r="271">
      <c r="A271" s="18" t="inlineStr">
        <is>
          <t>2024-2025</t>
        </is>
      </c>
      <c r="B271" s="18" t="inlineStr">
        <is>
          <t>2024-12-14</t>
        </is>
      </c>
      <c r="C271" s="18" t="n">
        <v>17</v>
      </c>
      <c r="D271" s="18" t="n">
        <v>0</v>
      </c>
      <c r="E271" s="18" t="inlineStr">
        <is>
          <t>Macvin du Jura</t>
        </is>
      </c>
    </row>
    <row r="272">
      <c r="A272" s="18" t="inlineStr">
        <is>
          <t>2024-2025</t>
        </is>
      </c>
      <c r="B272" s="18" t="inlineStr">
        <is>
          <t>2024-12-14</t>
        </is>
      </c>
      <c r="C272" s="18" t="n">
        <v>17</v>
      </c>
      <c r="D272" s="18" t="n">
        <v>0</v>
      </c>
      <c r="E272" s="18" t="inlineStr">
        <is>
          <t>Crêpe Pommes</t>
        </is>
      </c>
    </row>
    <row r="273">
      <c r="A273" s="18" t="inlineStr">
        <is>
          <t>2024-2025</t>
        </is>
      </c>
      <c r="B273" s="18" t="inlineStr">
        <is>
          <t>2024-12-14</t>
        </is>
      </c>
      <c r="C273" s="18" t="n">
        <v>17</v>
      </c>
      <c r="D273" s="18" t="n">
        <v>0</v>
      </c>
      <c r="E273" s="18" t="inlineStr">
        <is>
          <t>CREPE NUTELLA CHANTI</t>
        </is>
      </c>
    </row>
    <row r="274">
      <c r="A274" s="18" t="inlineStr">
        <is>
          <t>2024-2025</t>
        </is>
      </c>
      <c r="B274" s="18" t="inlineStr">
        <is>
          <t>2024-12-14</t>
        </is>
      </c>
      <c r="C274" s="18" t="n">
        <v>17</v>
      </c>
      <c r="D274" s="18" t="n">
        <v>0</v>
      </c>
      <c r="E274" s="18" t="inlineStr">
        <is>
          <t>GLACE 3 BOULES</t>
        </is>
      </c>
    </row>
    <row r="275">
      <c r="A275" s="18" t="inlineStr">
        <is>
          <t>2024-2025</t>
        </is>
      </c>
      <c r="B275" s="18" t="inlineStr">
        <is>
          <t>2024-12-28</t>
        </is>
      </c>
      <c r="C275" s="18" t="n">
        <v>26</v>
      </c>
      <c r="D275" s="18" t="n">
        <v>0</v>
      </c>
      <c r="E275" s="18" t="inlineStr">
        <is>
          <t>VOGEOTTE</t>
        </is>
      </c>
    </row>
    <row r="276">
      <c r="C276" s="37" t="inlineStr">
        <is>
          <t>MAX du taux de remise</t>
        </is>
      </c>
      <c r="D276" s="18">
        <f>MAX(D4:D275)</f>
        <v/>
      </c>
    </row>
    <row r="277">
      <c r="C277" s="37" t="inlineStr">
        <is>
          <t>Nombre de lignes a taux de remise non nul</t>
        </is>
      </c>
      <c r="D277" s="18">
        <f>COUNTIF(D4:D275,"&lt;&gt;0")</f>
        <v/>
      </c>
    </row>
    <row r="278">
      <c r="C278" s="37" t="inlineStr">
        <is>
          <t>Nombre de lignes controlees</t>
        </is>
      </c>
      <c r="D278" s="18">
        <f>COUNT(D4:D275)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52"/>
  <sheetViews>
    <sheetView workbookViewId="0">
      <selection activeCell="A1" sqref="A1"/>
    </sheetView>
  </sheetViews>
  <sheetFormatPr baseColWidth="8" defaultRowHeight="15"/>
  <cols>
    <col width="14" customWidth="1" style="19" min="1" max="1"/>
    <col width="12" customWidth="1" style="19" min="2" max="2"/>
    <col width="10" customWidth="1" style="19" min="3" max="3"/>
    <col width="8" customWidth="1" style="19" min="4" max="4"/>
    <col width="20" customWidth="1" style="19" min="5" max="5"/>
    <col width="26" customWidth="1" style="19" min="6" max="6"/>
    <col width="28" customWidth="1" style="19" min="7" max="7"/>
  </cols>
  <sheetData>
    <row r="1">
      <c r="A1" s="37" t="inlineStr">
        <is>
          <t>Notes (tickets) et journees portant au moins une ligne a prix unitaire 0 EUR (annexes C-1 a C-3)</t>
        </is>
      </c>
    </row>
    <row r="2">
      <c r="A2" s="18" t="inlineStr">
        <is>
          <t>Une note = un ticket (date + numero). Les lignes a 0 EUR sont groupees par note ; le nombre de notes et de journees est compte par formule (COUNTA / COUNTIF) ; les totaux de notes et de journees des annexes (16 607 notes, 659 journees) sont les comptages de l'onglet Tickets_0 et de l'annexe H.</t>
        </is>
      </c>
    </row>
    <row r="3">
      <c r="A3" s="37" t="inlineStr">
        <is>
          <t>Exercice</t>
        </is>
      </c>
      <c r="B3" s="37" t="inlineStr">
        <is>
          <t>Date</t>
        </is>
      </c>
      <c r="C3" s="37" t="inlineStr">
        <is>
          <t>N° ticket</t>
        </is>
      </c>
      <c r="D3" s="37" t="inlineStr">
        <is>
          <t>N° Z</t>
        </is>
      </c>
      <c r="E3" s="37" t="inlineStr">
        <is>
          <t>Total TTC note (EUR)</t>
        </is>
      </c>
      <c r="F3" s="37" t="inlineStr">
        <is>
          <t>Lignes a 0 EUR dans la note</t>
        </is>
      </c>
      <c r="G3" s="37" t="inlineStr">
        <is>
          <t>Articles a 0 EUR (somme des quantites)</t>
        </is>
      </c>
    </row>
    <row r="4">
      <c r="A4" s="18" t="inlineStr">
        <is>
          <t>2022-2023</t>
        </is>
      </c>
      <c r="B4" s="18" t="inlineStr">
        <is>
          <t>2022-04-20</t>
        </is>
      </c>
      <c r="C4" s="18" t="n">
        <v>24</v>
      </c>
      <c r="D4" s="18" t="n">
        <v>2943</v>
      </c>
      <c r="E4" s="18" t="n">
        <v>17.6</v>
      </c>
      <c r="F4" s="18" t="n">
        <v>1</v>
      </c>
      <c r="G4" s="18" t="n">
        <v>2</v>
      </c>
    </row>
    <row r="5">
      <c r="A5" s="18" t="inlineStr">
        <is>
          <t>2022-2023</t>
        </is>
      </c>
      <c r="B5" s="18" t="inlineStr">
        <is>
          <t>2022-04-21</t>
        </is>
      </c>
      <c r="C5" s="18" t="n">
        <v>13</v>
      </c>
      <c r="D5" s="18" t="n">
        <v>2944</v>
      </c>
      <c r="E5" s="18" t="n">
        <v>77.90000000000001</v>
      </c>
      <c r="F5" s="18" t="n">
        <v>1</v>
      </c>
      <c r="G5" s="18" t="n">
        <v>1</v>
      </c>
    </row>
    <row r="6">
      <c r="A6" s="18" t="inlineStr">
        <is>
          <t>2022-2023</t>
        </is>
      </c>
      <c r="B6" s="18" t="inlineStr">
        <is>
          <t>2022-04-23</t>
        </is>
      </c>
      <c r="C6" s="18" t="n">
        <v>14</v>
      </c>
      <c r="D6" s="18" t="n">
        <v>2946</v>
      </c>
      <c r="E6" s="18" t="n">
        <v>62.8</v>
      </c>
      <c r="F6" s="18" t="n">
        <v>1</v>
      </c>
      <c r="G6" s="18" t="n">
        <v>1</v>
      </c>
    </row>
    <row r="7">
      <c r="A7" s="18" t="inlineStr">
        <is>
          <t>2022-2023</t>
        </is>
      </c>
      <c r="B7" s="18" t="inlineStr">
        <is>
          <t>2022-04-29</t>
        </is>
      </c>
      <c r="C7" s="18" t="n">
        <v>15</v>
      </c>
      <c r="D7" s="18" t="n">
        <v>2950</v>
      </c>
      <c r="E7" s="18" t="n">
        <v>0</v>
      </c>
      <c r="F7" s="18" t="n">
        <v>7</v>
      </c>
      <c r="G7" s="18" t="n">
        <v>8</v>
      </c>
    </row>
    <row r="8">
      <c r="A8" s="18" t="inlineStr">
        <is>
          <t>2022-2023</t>
        </is>
      </c>
      <c r="B8" s="18" t="inlineStr">
        <is>
          <t>2022-05-14</t>
        </is>
      </c>
      <c r="C8" s="18" t="n">
        <v>28</v>
      </c>
      <c r="D8" s="18" t="n">
        <v>2960</v>
      </c>
      <c r="E8" s="18" t="n">
        <v>42.2</v>
      </c>
      <c r="F8" s="18" t="n">
        <v>2</v>
      </c>
      <c r="G8" s="18" t="n">
        <v>2</v>
      </c>
    </row>
    <row r="9">
      <c r="A9" s="18" t="inlineStr">
        <is>
          <t>2022-2023</t>
        </is>
      </c>
      <c r="B9" s="18" t="inlineStr">
        <is>
          <t>2022-05-26</t>
        </is>
      </c>
      <c r="C9" s="18" t="n">
        <v>9</v>
      </c>
      <c r="D9" s="18" t="n">
        <v>2968</v>
      </c>
      <c r="E9" s="18" t="n">
        <v>50</v>
      </c>
      <c r="F9" s="18" t="n">
        <v>2</v>
      </c>
      <c r="G9" s="18" t="n">
        <v>2</v>
      </c>
    </row>
    <row r="10">
      <c r="A10" s="18" t="inlineStr">
        <is>
          <t>2022-2023</t>
        </is>
      </c>
      <c r="B10" s="18" t="inlineStr">
        <is>
          <t>2022-05-26</t>
        </is>
      </c>
      <c r="C10" s="18" t="n">
        <v>26</v>
      </c>
      <c r="D10" s="18" t="n">
        <v>2968</v>
      </c>
      <c r="E10" s="18" t="n">
        <v>141.4</v>
      </c>
      <c r="F10" s="18" t="n">
        <v>2</v>
      </c>
      <c r="G10" s="18" t="n">
        <v>4</v>
      </c>
    </row>
    <row r="11">
      <c r="A11" s="18" t="inlineStr">
        <is>
          <t>2022-2023</t>
        </is>
      </c>
      <c r="B11" s="18" t="inlineStr">
        <is>
          <t>2022-05-27</t>
        </is>
      </c>
      <c r="C11" s="18" t="n">
        <v>12</v>
      </c>
      <c r="D11" s="18" t="n">
        <v>2969</v>
      </c>
      <c r="E11" s="18" t="n">
        <v>143.7</v>
      </c>
      <c r="F11" s="18" t="n">
        <v>4</v>
      </c>
      <c r="G11" s="18" t="n">
        <v>5</v>
      </c>
    </row>
    <row r="12">
      <c r="A12" s="18" t="inlineStr">
        <is>
          <t>2022-2023</t>
        </is>
      </c>
      <c r="B12" s="18" t="inlineStr">
        <is>
          <t>2022-06-03</t>
        </is>
      </c>
      <c r="C12" s="18" t="n">
        <v>4</v>
      </c>
      <c r="D12" s="18" t="n">
        <v>2974</v>
      </c>
      <c r="E12" s="18" t="n">
        <v>120</v>
      </c>
      <c r="F12" s="18" t="n">
        <v>3</v>
      </c>
      <c r="G12" s="18" t="n">
        <v>4</v>
      </c>
    </row>
    <row r="13">
      <c r="A13" s="18" t="inlineStr">
        <is>
          <t>2022-2023</t>
        </is>
      </c>
      <c r="B13" s="18" t="inlineStr">
        <is>
          <t>2022-06-04</t>
        </is>
      </c>
      <c r="C13" s="18" t="n">
        <v>11</v>
      </c>
      <c r="D13" s="18" t="n">
        <v>2975</v>
      </c>
      <c r="E13" s="18" t="n">
        <v>232.3</v>
      </c>
      <c r="F13" s="18" t="n">
        <v>4</v>
      </c>
      <c r="G13" s="18" t="n">
        <v>8</v>
      </c>
    </row>
    <row r="14">
      <c r="A14" s="18" t="inlineStr">
        <is>
          <t>2022-2023</t>
        </is>
      </c>
      <c r="B14" s="18" t="inlineStr">
        <is>
          <t>2022-06-08</t>
        </is>
      </c>
      <c r="C14" s="18" t="n">
        <v>20</v>
      </c>
      <c r="D14" s="18" t="n">
        <v>2978</v>
      </c>
      <c r="E14" s="18" t="n">
        <v>55.7</v>
      </c>
      <c r="F14" s="18" t="n">
        <v>1</v>
      </c>
      <c r="G14" s="18" t="n">
        <v>1</v>
      </c>
    </row>
    <row r="15">
      <c r="A15" s="18" t="inlineStr">
        <is>
          <t>2022-2023</t>
        </is>
      </c>
      <c r="B15" s="18" t="inlineStr">
        <is>
          <t>2022-06-10</t>
        </is>
      </c>
      <c r="C15" s="18" t="n">
        <v>3</v>
      </c>
      <c r="D15" s="18" t="n">
        <v>2980</v>
      </c>
      <c r="E15" s="18" t="n">
        <v>45.1</v>
      </c>
      <c r="F15" s="18" t="n">
        <v>2</v>
      </c>
      <c r="G15" s="18" t="n">
        <v>2</v>
      </c>
    </row>
    <row r="16">
      <c r="A16" s="18" t="inlineStr">
        <is>
          <t>2022-2023</t>
        </is>
      </c>
      <c r="B16" s="18" t="inlineStr">
        <is>
          <t>2022-06-26</t>
        </is>
      </c>
      <c r="C16" s="18" t="n">
        <v>16</v>
      </c>
      <c r="D16" s="18" t="n">
        <v>2992</v>
      </c>
      <c r="E16" s="18" t="n">
        <v>52.2</v>
      </c>
      <c r="F16" s="18" t="n">
        <v>1</v>
      </c>
      <c r="G16" s="18" t="n">
        <v>1</v>
      </c>
    </row>
    <row r="17">
      <c r="A17" s="18" t="inlineStr">
        <is>
          <t>2022-2023</t>
        </is>
      </c>
      <c r="B17" s="18" t="inlineStr">
        <is>
          <t>2022-06-26</t>
        </is>
      </c>
      <c r="C17" s="18" t="n">
        <v>24</v>
      </c>
      <c r="D17" s="18" t="n">
        <v>2992</v>
      </c>
      <c r="E17" s="18" t="n">
        <v>109.8</v>
      </c>
      <c r="F17" s="18" t="n">
        <v>3</v>
      </c>
      <c r="G17" s="18" t="n">
        <v>5</v>
      </c>
    </row>
    <row r="18">
      <c r="A18" s="18" t="inlineStr">
        <is>
          <t>2022-2023</t>
        </is>
      </c>
      <c r="B18" s="18" t="inlineStr">
        <is>
          <t>2022-06-30</t>
        </is>
      </c>
      <c r="C18" s="18" t="n">
        <v>17</v>
      </c>
      <c r="D18" s="18" t="n">
        <v>2994</v>
      </c>
      <c r="E18" s="18" t="n">
        <v>72.40000000000001</v>
      </c>
      <c r="F18" s="18" t="n">
        <v>2</v>
      </c>
      <c r="G18" s="18" t="n">
        <v>2</v>
      </c>
    </row>
    <row r="19">
      <c r="A19" s="18" t="inlineStr">
        <is>
          <t>2022-2023</t>
        </is>
      </c>
      <c r="B19" s="18" t="inlineStr">
        <is>
          <t>2022-07-01</t>
        </is>
      </c>
      <c r="C19" s="18" t="n">
        <v>20</v>
      </c>
      <c r="D19" s="18" t="n">
        <v>2995</v>
      </c>
      <c r="E19" s="18" t="n">
        <v>97.59999999999999</v>
      </c>
      <c r="F19" s="18" t="n">
        <v>3</v>
      </c>
      <c r="G19" s="18" t="n">
        <v>4</v>
      </c>
    </row>
    <row r="20">
      <c r="A20" s="18" t="inlineStr">
        <is>
          <t>2022-2023</t>
        </is>
      </c>
      <c r="B20" s="18" t="inlineStr">
        <is>
          <t>2022-07-02</t>
        </is>
      </c>
      <c r="C20" s="18" t="n">
        <v>23</v>
      </c>
      <c r="D20" s="18" t="n">
        <v>2996</v>
      </c>
      <c r="E20" s="18" t="n">
        <v>54.4</v>
      </c>
      <c r="F20" s="18" t="n">
        <v>1</v>
      </c>
      <c r="G20" s="18" t="n">
        <v>1</v>
      </c>
    </row>
    <row r="21">
      <c r="A21" s="18" t="inlineStr">
        <is>
          <t>2022-2023</t>
        </is>
      </c>
      <c r="B21" s="18" t="inlineStr">
        <is>
          <t>2022-07-02</t>
        </is>
      </c>
      <c r="C21" s="18" t="n">
        <v>31</v>
      </c>
      <c r="D21" s="18" t="n">
        <v>2996</v>
      </c>
      <c r="E21" s="18" t="n">
        <v>76.2</v>
      </c>
      <c r="F21" s="18" t="n">
        <v>1</v>
      </c>
      <c r="G21" s="18" t="n">
        <v>2</v>
      </c>
    </row>
    <row r="22">
      <c r="A22" s="18" t="inlineStr">
        <is>
          <t>2022-2023</t>
        </is>
      </c>
      <c r="B22" s="18" t="inlineStr">
        <is>
          <t>2022-07-03</t>
        </is>
      </c>
      <c r="C22" s="18" t="n">
        <v>15</v>
      </c>
      <c r="D22" s="18" t="n">
        <v>2997</v>
      </c>
      <c r="E22" s="18" t="n">
        <v>303</v>
      </c>
      <c r="F22" s="18" t="n">
        <v>1</v>
      </c>
      <c r="G22" s="18" t="n">
        <v>5</v>
      </c>
    </row>
    <row r="23">
      <c r="A23" s="18" t="inlineStr">
        <is>
          <t>2022-2023</t>
        </is>
      </c>
      <c r="B23" s="18" t="inlineStr">
        <is>
          <t>2022-07-07</t>
        </is>
      </c>
      <c r="C23" s="18" t="n">
        <v>30</v>
      </c>
      <c r="D23" s="18" t="n">
        <v>2999</v>
      </c>
      <c r="E23" s="18" t="n">
        <v>105.3</v>
      </c>
      <c r="F23" s="18" t="n">
        <v>2</v>
      </c>
      <c r="G23" s="18" t="n">
        <v>4</v>
      </c>
    </row>
    <row r="24">
      <c r="A24" s="18" t="inlineStr">
        <is>
          <t>2022-2023</t>
        </is>
      </c>
      <c r="B24" s="18" t="inlineStr">
        <is>
          <t>2022-07-07</t>
        </is>
      </c>
      <c r="C24" s="18" t="n">
        <v>32</v>
      </c>
      <c r="D24" s="18" t="n">
        <v>2999</v>
      </c>
      <c r="E24" s="18" t="n">
        <v>183</v>
      </c>
      <c r="F24" s="18" t="n">
        <v>1</v>
      </c>
      <c r="G24" s="18" t="n">
        <v>4</v>
      </c>
    </row>
    <row r="25">
      <c r="A25" s="18" t="inlineStr">
        <is>
          <t>2022-2023</t>
        </is>
      </c>
      <c r="B25" s="18" t="inlineStr">
        <is>
          <t>2022-07-08</t>
        </is>
      </c>
      <c r="C25" s="18" t="n">
        <v>2</v>
      </c>
      <c r="D25" s="18" t="n">
        <v>3000</v>
      </c>
      <c r="E25" s="18" t="n">
        <v>47.8</v>
      </c>
      <c r="F25" s="18" t="n">
        <v>1</v>
      </c>
      <c r="G25" s="18" t="n">
        <v>1</v>
      </c>
    </row>
    <row r="26">
      <c r="A26" s="18" t="inlineStr">
        <is>
          <t>2022-2023</t>
        </is>
      </c>
      <c r="B26" s="18" t="inlineStr">
        <is>
          <t>2022-07-09</t>
        </is>
      </c>
      <c r="C26" s="18" t="n">
        <v>9</v>
      </c>
      <c r="D26" s="18" t="n">
        <v>3001</v>
      </c>
      <c r="E26" s="18" t="n">
        <v>51.7</v>
      </c>
      <c r="F26" s="18" t="n">
        <v>1</v>
      </c>
      <c r="G26" s="18" t="n">
        <v>2</v>
      </c>
    </row>
    <row r="27">
      <c r="A27" s="18" t="inlineStr">
        <is>
          <t>2022-2023</t>
        </is>
      </c>
      <c r="B27" s="18" t="inlineStr">
        <is>
          <t>2022-07-10</t>
        </is>
      </c>
      <c r="C27" s="18" t="n">
        <v>6</v>
      </c>
      <c r="D27" s="18" t="n">
        <v>3002</v>
      </c>
      <c r="E27" s="18" t="n">
        <v>57.2</v>
      </c>
      <c r="F27" s="18" t="n">
        <v>1</v>
      </c>
      <c r="G27" s="18" t="n">
        <v>2</v>
      </c>
    </row>
    <row r="28">
      <c r="A28" s="18" t="inlineStr">
        <is>
          <t>2022-2023</t>
        </is>
      </c>
      <c r="B28" s="18" t="inlineStr">
        <is>
          <t>2022-07-12</t>
        </is>
      </c>
      <c r="C28" s="18" t="n">
        <v>30</v>
      </c>
      <c r="D28" s="18" t="n">
        <v>3003</v>
      </c>
      <c r="E28" s="18" t="n">
        <v>58.5</v>
      </c>
      <c r="F28" s="18" t="n">
        <v>2</v>
      </c>
      <c r="G28" s="18" t="n">
        <v>3</v>
      </c>
    </row>
    <row r="29">
      <c r="A29" s="18" t="inlineStr">
        <is>
          <t>2022-2023</t>
        </is>
      </c>
      <c r="B29" s="18" t="inlineStr">
        <is>
          <t>2022-07-17</t>
        </is>
      </c>
      <c r="C29" s="18" t="n">
        <v>34</v>
      </c>
      <c r="D29" s="18" t="n">
        <v>3008</v>
      </c>
      <c r="E29" s="18" t="n">
        <v>38.9</v>
      </c>
      <c r="F29" s="18" t="n">
        <v>2</v>
      </c>
      <c r="G29" s="18" t="n">
        <v>3</v>
      </c>
    </row>
    <row r="30">
      <c r="A30" s="18" t="inlineStr">
        <is>
          <t>2022-2023</t>
        </is>
      </c>
      <c r="B30" s="18" t="inlineStr">
        <is>
          <t>2022-07-17</t>
        </is>
      </c>
      <c r="C30" s="18" t="n">
        <v>37</v>
      </c>
      <c r="D30" s="18" t="n">
        <v>3008</v>
      </c>
      <c r="E30" s="18" t="n">
        <v>17.6</v>
      </c>
      <c r="F30" s="18" t="n">
        <v>2</v>
      </c>
      <c r="G30" s="18" t="n">
        <v>3</v>
      </c>
    </row>
    <row r="31">
      <c r="A31" s="18" t="inlineStr">
        <is>
          <t>2022-2023</t>
        </is>
      </c>
      <c r="B31" s="18" t="inlineStr">
        <is>
          <t>2022-07-24</t>
        </is>
      </c>
      <c r="C31" s="18" t="n">
        <v>9</v>
      </c>
      <c r="D31" s="18" t="n">
        <v>3014</v>
      </c>
      <c r="E31" s="18" t="n">
        <v>103.5</v>
      </c>
      <c r="F31" s="18" t="n">
        <v>1</v>
      </c>
      <c r="G31" s="18" t="n">
        <v>1</v>
      </c>
    </row>
    <row r="32">
      <c r="A32" s="18" t="inlineStr">
        <is>
          <t>2022-2023</t>
        </is>
      </c>
      <c r="B32" s="18" t="inlineStr">
        <is>
          <t>2022-07-24</t>
        </is>
      </c>
      <c r="C32" s="18" t="n">
        <v>25</v>
      </c>
      <c r="D32" s="18" t="n">
        <v>3014</v>
      </c>
      <c r="E32" s="18" t="n">
        <v>240.5</v>
      </c>
      <c r="F32" s="18" t="n">
        <v>1</v>
      </c>
      <c r="G32" s="18" t="n">
        <v>3</v>
      </c>
    </row>
    <row r="33">
      <c r="A33" s="18" t="inlineStr">
        <is>
          <t>2022-2023</t>
        </is>
      </c>
      <c r="B33" s="18" t="inlineStr">
        <is>
          <t>2022-07-26</t>
        </is>
      </c>
      <c r="C33" s="18" t="n">
        <v>32</v>
      </c>
      <c r="D33" s="18" t="n">
        <v>3015</v>
      </c>
      <c r="E33" s="18" t="n">
        <v>61.1</v>
      </c>
      <c r="F33" s="18" t="n">
        <v>1</v>
      </c>
      <c r="G33" s="18" t="n">
        <v>1</v>
      </c>
    </row>
    <row r="34">
      <c r="A34" s="18" t="inlineStr">
        <is>
          <t>2022-2023</t>
        </is>
      </c>
      <c r="B34" s="18" t="inlineStr">
        <is>
          <t>2022-07-28</t>
        </is>
      </c>
      <c r="C34" s="18" t="n">
        <v>8</v>
      </c>
      <c r="D34" s="18" t="n">
        <v>3017</v>
      </c>
      <c r="E34" s="18" t="n">
        <v>75</v>
      </c>
      <c r="F34" s="18" t="n">
        <v>2</v>
      </c>
      <c r="G34" s="18" t="n">
        <v>2</v>
      </c>
    </row>
    <row r="35">
      <c r="A35" s="18" t="inlineStr">
        <is>
          <t>2022-2023</t>
        </is>
      </c>
      <c r="B35" s="18" t="inlineStr">
        <is>
          <t>2022-07-28</t>
        </is>
      </c>
      <c r="C35" s="18" t="n">
        <v>9</v>
      </c>
      <c r="D35" s="18" t="n">
        <v>3017</v>
      </c>
      <c r="E35" s="18" t="n">
        <v>116.8</v>
      </c>
      <c r="F35" s="18" t="n">
        <v>4</v>
      </c>
      <c r="G35" s="18" t="n">
        <v>5</v>
      </c>
    </row>
    <row r="36">
      <c r="A36" s="18" t="inlineStr">
        <is>
          <t>2022-2023</t>
        </is>
      </c>
      <c r="B36" s="18" t="inlineStr">
        <is>
          <t>2022-07-29</t>
        </is>
      </c>
      <c r="C36" s="18" t="n">
        <v>25</v>
      </c>
      <c r="D36" s="18" t="n">
        <v>3018</v>
      </c>
      <c r="E36" s="18" t="n">
        <v>25.1</v>
      </c>
      <c r="F36" s="18" t="n">
        <v>1</v>
      </c>
      <c r="G36" s="18" t="n">
        <v>1</v>
      </c>
    </row>
    <row r="37">
      <c r="A37" s="18" t="inlineStr">
        <is>
          <t>2022-2023</t>
        </is>
      </c>
      <c r="B37" s="18" t="inlineStr">
        <is>
          <t>2022-07-31</t>
        </is>
      </c>
      <c r="C37" s="18" t="n">
        <v>17</v>
      </c>
      <c r="D37" s="18" t="n">
        <v>3020</v>
      </c>
      <c r="E37" s="18" t="n">
        <v>118.8</v>
      </c>
      <c r="F37" s="18" t="n">
        <v>1</v>
      </c>
      <c r="G37" s="18" t="n">
        <v>2</v>
      </c>
    </row>
    <row r="38">
      <c r="A38" s="18" t="inlineStr">
        <is>
          <t>2022-2023</t>
        </is>
      </c>
      <c r="B38" s="18" t="inlineStr">
        <is>
          <t>2022-08-02</t>
        </is>
      </c>
      <c r="C38" s="18" t="n">
        <v>20</v>
      </c>
      <c r="D38" s="18" t="n">
        <v>3021</v>
      </c>
      <c r="E38" s="18" t="n">
        <v>51.4</v>
      </c>
      <c r="F38" s="18" t="n">
        <v>2</v>
      </c>
      <c r="G38" s="18" t="n">
        <v>2</v>
      </c>
    </row>
    <row r="39">
      <c r="A39" s="18" t="inlineStr">
        <is>
          <t>2022-2023</t>
        </is>
      </c>
      <c r="B39" s="18" t="inlineStr">
        <is>
          <t>2022-08-11</t>
        </is>
      </c>
      <c r="C39" s="18" t="n">
        <v>34</v>
      </c>
      <c r="D39" s="18" t="n">
        <v>3029</v>
      </c>
      <c r="E39" s="18" t="n">
        <v>65.59999999999999</v>
      </c>
      <c r="F39" s="18" t="n">
        <v>1</v>
      </c>
      <c r="G39" s="18" t="n">
        <v>1</v>
      </c>
    </row>
    <row r="40">
      <c r="A40" s="18" t="inlineStr">
        <is>
          <t>2022-2023</t>
        </is>
      </c>
      <c r="B40" s="18" t="inlineStr">
        <is>
          <t>2022-08-13</t>
        </is>
      </c>
      <c r="C40" s="18" t="n">
        <v>12</v>
      </c>
      <c r="D40" s="18" t="n">
        <v>3031</v>
      </c>
      <c r="E40" s="18" t="n">
        <v>15.9</v>
      </c>
      <c r="F40" s="18" t="n">
        <v>1</v>
      </c>
      <c r="G40" s="18" t="n">
        <v>1</v>
      </c>
    </row>
    <row r="41">
      <c r="A41" s="18" t="inlineStr">
        <is>
          <t>2022-2023</t>
        </is>
      </c>
      <c r="B41" s="18" t="inlineStr">
        <is>
          <t>2022-08-18</t>
        </is>
      </c>
      <c r="C41" s="18" t="n">
        <v>22</v>
      </c>
      <c r="D41" s="18" t="n">
        <v>3035</v>
      </c>
      <c r="E41" s="18" t="n">
        <v>86.40000000000001</v>
      </c>
      <c r="F41" s="18" t="n">
        <v>2</v>
      </c>
      <c r="G41" s="18" t="n">
        <v>2</v>
      </c>
    </row>
    <row r="42">
      <c r="A42" s="18" t="inlineStr">
        <is>
          <t>2022-2023</t>
        </is>
      </c>
      <c r="B42" s="18" t="inlineStr">
        <is>
          <t>2022-08-20</t>
        </is>
      </c>
      <c r="C42" s="18" t="n">
        <v>28</v>
      </c>
      <c r="D42" s="18" t="n">
        <v>3037</v>
      </c>
      <c r="E42" s="18" t="n">
        <v>64</v>
      </c>
      <c r="F42" s="18" t="n">
        <v>1</v>
      </c>
      <c r="G42" s="18" t="n">
        <v>1</v>
      </c>
    </row>
    <row r="43">
      <c r="A43" s="18" t="inlineStr">
        <is>
          <t>2022-2023</t>
        </is>
      </c>
      <c r="B43" s="18" t="inlineStr">
        <is>
          <t>2022-08-20</t>
        </is>
      </c>
      <c r="C43" s="18" t="n">
        <v>29</v>
      </c>
      <c r="D43" s="18" t="n">
        <v>3037</v>
      </c>
      <c r="E43" s="18" t="n">
        <v>64</v>
      </c>
      <c r="F43" s="18" t="n">
        <v>1</v>
      </c>
      <c r="G43" s="18" t="n">
        <v>1</v>
      </c>
    </row>
    <row r="44">
      <c r="A44" s="18" t="inlineStr">
        <is>
          <t>2022-2023</t>
        </is>
      </c>
      <c r="B44" s="18" t="inlineStr">
        <is>
          <t>2022-08-26</t>
        </is>
      </c>
      <c r="C44" s="18" t="n">
        <v>17</v>
      </c>
      <c r="D44" s="18" t="n">
        <v>3041</v>
      </c>
      <c r="E44" s="18" t="n">
        <v>42.1</v>
      </c>
      <c r="F44" s="18" t="n">
        <v>1</v>
      </c>
      <c r="G44" s="18" t="n">
        <v>1</v>
      </c>
    </row>
    <row r="45">
      <c r="A45" s="18" t="inlineStr">
        <is>
          <t>2022-2023</t>
        </is>
      </c>
      <c r="B45" s="18" t="inlineStr">
        <is>
          <t>2022-09-01</t>
        </is>
      </c>
      <c r="C45" s="18" t="n">
        <v>4</v>
      </c>
      <c r="D45" s="18" t="n">
        <v>3046</v>
      </c>
      <c r="E45" s="18" t="n">
        <v>41</v>
      </c>
      <c r="F45" s="18" t="n">
        <v>1</v>
      </c>
      <c r="G45" s="18" t="n">
        <v>1</v>
      </c>
    </row>
    <row r="46">
      <c r="A46" s="18" t="inlineStr">
        <is>
          <t>2022-2023</t>
        </is>
      </c>
      <c r="B46" s="18" t="inlineStr">
        <is>
          <t>2022-09-11</t>
        </is>
      </c>
      <c r="C46" s="18" t="n">
        <v>13</v>
      </c>
      <c r="D46" s="18" t="n">
        <v>3054</v>
      </c>
      <c r="E46" s="18" t="n">
        <v>88</v>
      </c>
      <c r="F46" s="18" t="n">
        <v>2</v>
      </c>
      <c r="G46" s="18" t="n">
        <v>2</v>
      </c>
    </row>
    <row r="47">
      <c r="A47" s="18" t="inlineStr">
        <is>
          <t>2022-2023</t>
        </is>
      </c>
      <c r="B47" s="18" t="inlineStr">
        <is>
          <t>2022-09-21</t>
        </is>
      </c>
      <c r="C47" s="18" t="n">
        <v>19</v>
      </c>
      <c r="D47" s="18" t="n">
        <v>3060</v>
      </c>
      <c r="E47" s="18" t="n">
        <v>97.59999999999999</v>
      </c>
      <c r="F47" s="18" t="n">
        <v>1</v>
      </c>
      <c r="G47" s="18" t="n">
        <v>1</v>
      </c>
    </row>
    <row r="48">
      <c r="A48" s="18" t="inlineStr">
        <is>
          <t>2022-2023</t>
        </is>
      </c>
      <c r="B48" s="18" t="inlineStr">
        <is>
          <t>2022-09-30</t>
        </is>
      </c>
      <c r="C48" s="18" t="n">
        <v>6</v>
      </c>
      <c r="D48" s="18" t="n">
        <v>3067</v>
      </c>
      <c r="E48" s="18" t="n">
        <v>34</v>
      </c>
      <c r="F48" s="18" t="n">
        <v>2</v>
      </c>
      <c r="G48" s="18" t="n">
        <v>2</v>
      </c>
    </row>
    <row r="49">
      <c r="A49" s="18" t="inlineStr">
        <is>
          <t>2022-2023</t>
        </is>
      </c>
      <c r="B49" s="18" t="inlineStr">
        <is>
          <t>2022-10-01</t>
        </is>
      </c>
      <c r="C49" s="18" t="n">
        <v>7</v>
      </c>
      <c r="D49" s="18" t="n">
        <v>3068</v>
      </c>
      <c r="E49" s="18" t="n">
        <v>102.5</v>
      </c>
      <c r="F49" s="18" t="n">
        <v>1</v>
      </c>
      <c r="G49" s="18" t="n">
        <v>2</v>
      </c>
    </row>
    <row r="50">
      <c r="A50" s="18" t="inlineStr">
        <is>
          <t>2022-2023</t>
        </is>
      </c>
      <c r="B50" s="18" t="inlineStr">
        <is>
          <t>2022-10-01</t>
        </is>
      </c>
      <c r="C50" s="18" t="n">
        <v>20</v>
      </c>
      <c r="D50" s="18" t="n">
        <v>3068</v>
      </c>
      <c r="E50" s="18" t="n">
        <v>71.2</v>
      </c>
      <c r="F50" s="18" t="n">
        <v>2</v>
      </c>
      <c r="G50" s="18" t="n">
        <v>2</v>
      </c>
    </row>
    <row r="51">
      <c r="A51" s="18" t="inlineStr">
        <is>
          <t>2022-2023</t>
        </is>
      </c>
      <c r="B51" s="18" t="inlineStr">
        <is>
          <t>2022-10-02</t>
        </is>
      </c>
      <c r="C51" s="18" t="n">
        <v>16</v>
      </c>
      <c r="D51" s="18" t="n">
        <v>3069</v>
      </c>
      <c r="E51" s="18" t="n">
        <v>121.8</v>
      </c>
      <c r="F51" s="18" t="n">
        <v>3</v>
      </c>
      <c r="G51" s="18" t="n">
        <v>3</v>
      </c>
    </row>
    <row r="52">
      <c r="A52" s="18" t="inlineStr">
        <is>
          <t>2022-2023</t>
        </is>
      </c>
      <c r="B52" s="18" t="inlineStr">
        <is>
          <t>2022-10-26</t>
        </is>
      </c>
      <c r="C52" s="18" t="n">
        <v>27</v>
      </c>
      <c r="D52" s="18" t="n">
        <v>3085</v>
      </c>
      <c r="E52" s="18" t="n">
        <v>63.4</v>
      </c>
      <c r="F52" s="18" t="n">
        <v>2</v>
      </c>
      <c r="G52" s="18" t="n">
        <v>2</v>
      </c>
    </row>
    <row r="53">
      <c r="A53" s="18" t="inlineStr">
        <is>
          <t>2022-2023</t>
        </is>
      </c>
      <c r="B53" s="18" t="inlineStr">
        <is>
          <t>2022-10-28</t>
        </is>
      </c>
      <c r="C53" s="18" t="n">
        <v>20</v>
      </c>
      <c r="D53" s="18" t="n">
        <v>3087</v>
      </c>
      <c r="E53" s="18" t="n">
        <v>53.4</v>
      </c>
      <c r="F53" s="18" t="n">
        <v>2</v>
      </c>
      <c r="G53" s="18" t="n">
        <v>2</v>
      </c>
    </row>
    <row r="54">
      <c r="A54" s="18" t="inlineStr">
        <is>
          <t>2022-2023</t>
        </is>
      </c>
      <c r="B54" s="18" t="inlineStr">
        <is>
          <t>2022-10-28</t>
        </is>
      </c>
      <c r="C54" s="18" t="n">
        <v>32</v>
      </c>
      <c r="D54" s="18" t="n">
        <v>3087</v>
      </c>
      <c r="E54" s="18" t="n">
        <v>18.6</v>
      </c>
      <c r="F54" s="18" t="n">
        <v>3</v>
      </c>
      <c r="G54" s="18" t="n">
        <v>3</v>
      </c>
    </row>
    <row r="55">
      <c r="A55" s="18" t="inlineStr">
        <is>
          <t>2022-2023</t>
        </is>
      </c>
      <c r="B55" s="18" t="inlineStr">
        <is>
          <t>2022-10-29</t>
        </is>
      </c>
      <c r="C55" s="18" t="n">
        <v>4</v>
      </c>
      <c r="D55" s="18" t="n">
        <v>3088</v>
      </c>
      <c r="E55" s="18" t="n">
        <v>44.7</v>
      </c>
      <c r="F55" s="18" t="n">
        <v>2</v>
      </c>
      <c r="G55" s="18" t="n">
        <v>3</v>
      </c>
    </row>
    <row r="56">
      <c r="A56" s="18" t="inlineStr">
        <is>
          <t>2022-2023</t>
        </is>
      </c>
      <c r="B56" s="18" t="inlineStr">
        <is>
          <t>2022-11-03</t>
        </is>
      </c>
      <c r="C56" s="18" t="n">
        <v>4</v>
      </c>
      <c r="D56" s="18" t="n">
        <v>3091</v>
      </c>
      <c r="E56" s="18" t="n">
        <v>48.1</v>
      </c>
      <c r="F56" s="18" t="n">
        <v>2</v>
      </c>
      <c r="G56" s="18" t="n">
        <v>3</v>
      </c>
    </row>
    <row r="57">
      <c r="A57" s="18" t="inlineStr">
        <is>
          <t>2022-2023</t>
        </is>
      </c>
      <c r="B57" s="18" t="inlineStr">
        <is>
          <t>2022-11-04</t>
        </is>
      </c>
      <c r="C57" s="18" t="n">
        <v>18</v>
      </c>
      <c r="D57" s="18" t="n">
        <v>3092</v>
      </c>
      <c r="E57" s="18" t="n">
        <v>107.5</v>
      </c>
      <c r="F57" s="18" t="n">
        <v>1</v>
      </c>
      <c r="G57" s="18" t="n">
        <v>2</v>
      </c>
    </row>
    <row r="58">
      <c r="A58" s="18" t="inlineStr">
        <is>
          <t>2022-2023</t>
        </is>
      </c>
      <c r="B58" s="18" t="inlineStr">
        <is>
          <t>2022-11-11</t>
        </is>
      </c>
      <c r="C58" s="18" t="n">
        <v>23</v>
      </c>
      <c r="D58" s="18" t="n">
        <v>3097</v>
      </c>
      <c r="E58" s="18" t="n">
        <v>83.40000000000001</v>
      </c>
      <c r="F58" s="18" t="n">
        <v>2</v>
      </c>
      <c r="G58" s="18" t="n">
        <v>2</v>
      </c>
    </row>
    <row r="59">
      <c r="A59" s="18" t="inlineStr">
        <is>
          <t>2022-2023</t>
        </is>
      </c>
      <c r="B59" s="18" t="inlineStr">
        <is>
          <t>2022-12-09</t>
        </is>
      </c>
      <c r="C59" s="18" t="n">
        <v>5</v>
      </c>
      <c r="D59" s="18" t="n">
        <v>3112</v>
      </c>
      <c r="E59" s="18" t="n">
        <v>52.6</v>
      </c>
      <c r="F59" s="18" t="n">
        <v>1</v>
      </c>
      <c r="G59" s="18" t="n">
        <v>2</v>
      </c>
    </row>
    <row r="60">
      <c r="A60" s="18" t="inlineStr">
        <is>
          <t>2022-2023</t>
        </is>
      </c>
      <c r="B60" s="18" t="inlineStr">
        <is>
          <t>2022-12-10</t>
        </is>
      </c>
      <c r="C60" s="18" t="n">
        <v>4</v>
      </c>
      <c r="D60" s="18" t="n">
        <v>3113</v>
      </c>
      <c r="E60" s="18" t="n">
        <v>90.8</v>
      </c>
      <c r="F60" s="18" t="n">
        <v>1</v>
      </c>
      <c r="G60" s="18" t="n">
        <v>2</v>
      </c>
    </row>
    <row r="61">
      <c r="A61" s="18" t="inlineStr">
        <is>
          <t>2022-2023</t>
        </is>
      </c>
      <c r="B61" s="18" t="inlineStr">
        <is>
          <t>2022-12-17</t>
        </is>
      </c>
      <c r="C61" s="18" t="n">
        <v>19</v>
      </c>
      <c r="D61" s="18" t="n">
        <v>3118</v>
      </c>
      <c r="E61" s="18" t="n">
        <v>103.5</v>
      </c>
      <c r="F61" s="18" t="n">
        <v>2</v>
      </c>
      <c r="G61" s="18" t="n">
        <v>2</v>
      </c>
    </row>
    <row r="62">
      <c r="A62" s="18" t="inlineStr">
        <is>
          <t>2022-2023</t>
        </is>
      </c>
      <c r="B62" s="18" t="inlineStr">
        <is>
          <t>2022-12-17</t>
        </is>
      </c>
      <c r="C62" s="18" t="n">
        <v>24</v>
      </c>
      <c r="D62" s="18" t="n">
        <v>3118</v>
      </c>
      <c r="E62" s="18" t="n">
        <v>186.9</v>
      </c>
      <c r="F62" s="18" t="n">
        <v>1</v>
      </c>
      <c r="G62" s="18" t="n">
        <v>1</v>
      </c>
    </row>
    <row r="63">
      <c r="A63" s="18" t="inlineStr">
        <is>
          <t>2022-2023</t>
        </is>
      </c>
      <c r="B63" s="18" t="inlineStr">
        <is>
          <t>2022-12-28</t>
        </is>
      </c>
      <c r="C63" s="18" t="n">
        <v>17</v>
      </c>
      <c r="D63" s="18" t="n">
        <v>3123</v>
      </c>
      <c r="E63" s="18" t="n">
        <v>0</v>
      </c>
      <c r="F63" s="18" t="n">
        <v>6</v>
      </c>
      <c r="G63" s="18" t="n">
        <v>6</v>
      </c>
    </row>
    <row r="64">
      <c r="A64" s="18" t="inlineStr">
        <is>
          <t>2022-2023</t>
        </is>
      </c>
      <c r="B64" s="18" t="inlineStr">
        <is>
          <t>2022-12-30</t>
        </is>
      </c>
      <c r="C64" s="18" t="n">
        <v>9</v>
      </c>
      <c r="D64" s="18" t="n">
        <v>3125</v>
      </c>
      <c r="E64" s="18" t="n">
        <v>142.6</v>
      </c>
      <c r="F64" s="18" t="n">
        <v>6</v>
      </c>
      <c r="G64" s="18" t="n">
        <v>7</v>
      </c>
    </row>
    <row r="65">
      <c r="A65" s="18" t="inlineStr">
        <is>
          <t>2022-2023</t>
        </is>
      </c>
      <c r="B65" s="18" t="inlineStr">
        <is>
          <t>2023-03-12</t>
        </is>
      </c>
      <c r="C65" s="18" t="n">
        <v>5</v>
      </c>
      <c r="D65" s="18" t="n">
        <v>3145</v>
      </c>
      <c r="E65" s="18" t="n">
        <v>47.6</v>
      </c>
      <c r="F65" s="18" t="n">
        <v>1</v>
      </c>
      <c r="G65" s="18" t="n">
        <v>1</v>
      </c>
    </row>
    <row r="66">
      <c r="A66" s="18" t="inlineStr">
        <is>
          <t>2022-2023</t>
        </is>
      </c>
      <c r="B66" s="18" t="inlineStr">
        <is>
          <t>2023-03-18</t>
        </is>
      </c>
      <c r="C66" s="18" t="n">
        <v>7</v>
      </c>
      <c r="D66" s="18" t="n">
        <v>3149</v>
      </c>
      <c r="E66" s="18" t="n">
        <v>60.5</v>
      </c>
      <c r="F66" s="18" t="n">
        <v>2</v>
      </c>
      <c r="G66" s="18" t="n">
        <v>2</v>
      </c>
    </row>
    <row r="67">
      <c r="A67" s="18" t="inlineStr">
        <is>
          <t>2023-2024</t>
        </is>
      </c>
      <c r="B67" s="18" t="inlineStr">
        <is>
          <t>2023-04-01</t>
        </is>
      </c>
      <c r="C67" s="18" t="n">
        <v>18</v>
      </c>
      <c r="D67" s="18" t="n">
        <v>3159</v>
      </c>
      <c r="E67" s="18" t="n">
        <v>68</v>
      </c>
      <c r="F67" s="18" t="n">
        <v>1</v>
      </c>
      <c r="G67" s="18" t="n">
        <v>2</v>
      </c>
    </row>
    <row r="68">
      <c r="A68" s="18" t="inlineStr">
        <is>
          <t>2023-2024</t>
        </is>
      </c>
      <c r="B68" s="18" t="inlineStr">
        <is>
          <t>2023-04-02</t>
        </is>
      </c>
      <c r="C68" s="18" t="n">
        <v>1</v>
      </c>
      <c r="D68" s="18" t="n">
        <v>3160</v>
      </c>
      <c r="E68" s="18" t="n">
        <v>93.59999999999999</v>
      </c>
      <c r="F68" s="18" t="n">
        <v>1</v>
      </c>
      <c r="G68" s="18" t="n">
        <v>1</v>
      </c>
    </row>
    <row r="69">
      <c r="A69" s="18" t="inlineStr">
        <is>
          <t>2023-2024</t>
        </is>
      </c>
      <c r="B69" s="18" t="inlineStr">
        <is>
          <t>2023-04-09</t>
        </is>
      </c>
      <c r="C69" s="18" t="n">
        <v>6</v>
      </c>
      <c r="D69" s="18" t="n">
        <v>3165</v>
      </c>
      <c r="E69" s="18" t="n">
        <v>483.2</v>
      </c>
      <c r="F69" s="18" t="n">
        <v>3</v>
      </c>
      <c r="G69" s="18" t="n">
        <v>6</v>
      </c>
    </row>
    <row r="70">
      <c r="A70" s="18" t="inlineStr">
        <is>
          <t>2023-2024</t>
        </is>
      </c>
      <c r="B70" s="18" t="inlineStr">
        <is>
          <t>2023-04-09</t>
        </is>
      </c>
      <c r="C70" s="18" t="n">
        <v>7</v>
      </c>
      <c r="D70" s="18" t="n">
        <v>3165</v>
      </c>
      <c r="E70" s="18" t="n">
        <v>362.8</v>
      </c>
      <c r="F70" s="18" t="n">
        <v>2</v>
      </c>
      <c r="G70" s="18" t="n">
        <v>7</v>
      </c>
    </row>
    <row r="71">
      <c r="A71" s="18" t="inlineStr">
        <is>
          <t>2023-2024</t>
        </is>
      </c>
      <c r="B71" s="18" t="inlineStr">
        <is>
          <t>2023-04-12</t>
        </is>
      </c>
      <c r="C71" s="18" t="n">
        <v>5</v>
      </c>
      <c r="D71" s="18" t="n">
        <v>3166</v>
      </c>
      <c r="E71" s="18" t="n">
        <v>76.84999999999999</v>
      </c>
      <c r="F71" s="18" t="n">
        <v>1</v>
      </c>
      <c r="G71" s="18" t="n">
        <v>1.5</v>
      </c>
    </row>
    <row r="72">
      <c r="A72" s="18" t="inlineStr">
        <is>
          <t>2023-2024</t>
        </is>
      </c>
      <c r="B72" s="18" t="inlineStr">
        <is>
          <t>2023-04-12</t>
        </is>
      </c>
      <c r="C72" s="18" t="n">
        <v>6</v>
      </c>
      <c r="D72" s="18" t="n">
        <v>3166</v>
      </c>
      <c r="E72" s="18" t="n">
        <v>76.84999999999999</v>
      </c>
      <c r="F72" s="18" t="n">
        <v>1</v>
      </c>
      <c r="G72" s="18" t="n">
        <v>1.5</v>
      </c>
    </row>
    <row r="73">
      <c r="A73" s="18" t="inlineStr">
        <is>
          <t>2023-2024</t>
        </is>
      </c>
      <c r="B73" s="18" t="inlineStr">
        <is>
          <t>2023-04-12</t>
        </is>
      </c>
      <c r="C73" s="18" t="n">
        <v>13</v>
      </c>
      <c r="D73" s="18" t="n">
        <v>3166</v>
      </c>
      <c r="E73" s="18" t="n">
        <v>106.2</v>
      </c>
      <c r="F73" s="18" t="n">
        <v>2</v>
      </c>
      <c r="G73" s="18" t="n">
        <v>4</v>
      </c>
    </row>
    <row r="74">
      <c r="A74" s="18" t="inlineStr">
        <is>
          <t>2023-2024</t>
        </is>
      </c>
      <c r="B74" s="18" t="inlineStr">
        <is>
          <t>2023-04-15</t>
        </is>
      </c>
      <c r="C74" s="18" t="n">
        <v>5</v>
      </c>
      <c r="D74" s="18" t="n">
        <v>3169</v>
      </c>
      <c r="E74" s="18" t="n">
        <v>60.8</v>
      </c>
      <c r="F74" s="18" t="n">
        <v>2</v>
      </c>
      <c r="G74" s="18" t="n">
        <v>3</v>
      </c>
    </row>
    <row r="75">
      <c r="A75" s="18" t="inlineStr">
        <is>
          <t>2023-2024</t>
        </is>
      </c>
      <c r="B75" s="18" t="inlineStr">
        <is>
          <t>2023-04-15</t>
        </is>
      </c>
      <c r="C75" s="18" t="n">
        <v>12</v>
      </c>
      <c r="D75" s="18" t="n">
        <v>3169</v>
      </c>
      <c r="E75" s="18" t="n">
        <v>64.2</v>
      </c>
      <c r="F75" s="18" t="n">
        <v>1</v>
      </c>
      <c r="G75" s="18" t="n">
        <v>1</v>
      </c>
    </row>
    <row r="76">
      <c r="A76" s="18" t="inlineStr">
        <is>
          <t>2023-2024</t>
        </is>
      </c>
      <c r="B76" s="18" t="inlineStr">
        <is>
          <t>2023-04-15</t>
        </is>
      </c>
      <c r="C76" s="18" t="n">
        <v>13</v>
      </c>
      <c r="D76" s="18" t="n">
        <v>3169</v>
      </c>
      <c r="E76" s="18" t="n">
        <v>451</v>
      </c>
      <c r="F76" s="18" t="n">
        <v>4</v>
      </c>
      <c r="G76" s="18" t="n">
        <v>8</v>
      </c>
    </row>
    <row r="77">
      <c r="A77" s="18" t="inlineStr">
        <is>
          <t>2023-2024</t>
        </is>
      </c>
      <c r="B77" s="18" t="inlineStr">
        <is>
          <t>2023-04-20</t>
        </is>
      </c>
      <c r="C77" s="18" t="n">
        <v>2</v>
      </c>
      <c r="D77" s="18" t="n">
        <v>3172</v>
      </c>
      <c r="E77" s="18" t="n">
        <v>64</v>
      </c>
      <c r="F77" s="18" t="n">
        <v>1</v>
      </c>
      <c r="G77" s="18" t="n">
        <v>3</v>
      </c>
    </row>
    <row r="78">
      <c r="A78" s="18" t="inlineStr">
        <is>
          <t>2023-2024</t>
        </is>
      </c>
      <c r="B78" s="18" t="inlineStr">
        <is>
          <t>2023-04-20</t>
        </is>
      </c>
      <c r="C78" s="18" t="n">
        <v>24</v>
      </c>
      <c r="D78" s="18" t="n">
        <v>3172</v>
      </c>
      <c r="E78" s="18" t="n">
        <v>53.4</v>
      </c>
      <c r="F78" s="18" t="n">
        <v>1</v>
      </c>
      <c r="G78" s="18" t="n">
        <v>1</v>
      </c>
    </row>
    <row r="79">
      <c r="A79" s="18" t="inlineStr">
        <is>
          <t>2023-2024</t>
        </is>
      </c>
      <c r="B79" s="18" t="inlineStr">
        <is>
          <t>2023-04-20</t>
        </is>
      </c>
      <c r="C79" s="18" t="n">
        <v>27</v>
      </c>
      <c r="D79" s="18" t="n">
        <v>3172</v>
      </c>
      <c r="E79" s="18" t="n">
        <v>186.2</v>
      </c>
      <c r="F79" s="18" t="n">
        <v>4</v>
      </c>
      <c r="G79" s="18" t="n">
        <v>4</v>
      </c>
    </row>
    <row r="80">
      <c r="A80" s="18" t="inlineStr">
        <is>
          <t>2023-2024</t>
        </is>
      </c>
      <c r="B80" s="18" t="inlineStr">
        <is>
          <t>2023-04-22</t>
        </is>
      </c>
      <c r="C80" s="18" t="n">
        <v>12</v>
      </c>
      <c r="D80" s="18" t="n">
        <v>3174</v>
      </c>
      <c r="E80" s="18" t="n">
        <v>166.5</v>
      </c>
      <c r="F80" s="18" t="n">
        <v>4</v>
      </c>
      <c r="G80" s="18" t="n">
        <v>5</v>
      </c>
    </row>
    <row r="81">
      <c r="A81" s="18" t="inlineStr">
        <is>
          <t>2023-2024</t>
        </is>
      </c>
      <c r="B81" s="18" t="inlineStr">
        <is>
          <t>2023-04-28</t>
        </is>
      </c>
      <c r="C81" s="18" t="n">
        <v>11</v>
      </c>
      <c r="D81" s="18" t="n">
        <v>3178</v>
      </c>
      <c r="E81" s="18" t="n">
        <v>97.3</v>
      </c>
      <c r="F81" s="18" t="n">
        <v>1</v>
      </c>
      <c r="G81" s="18" t="n">
        <v>1</v>
      </c>
    </row>
    <row r="82">
      <c r="A82" s="18" t="inlineStr">
        <is>
          <t>2023-2024</t>
        </is>
      </c>
      <c r="B82" s="18" t="inlineStr">
        <is>
          <t>2023-04-30</t>
        </is>
      </c>
      <c r="C82" s="18" t="n">
        <v>12</v>
      </c>
      <c r="D82" s="18" t="n">
        <v>3180</v>
      </c>
      <c r="E82" s="18" t="n">
        <v>49.98</v>
      </c>
      <c r="F82" s="18" t="n">
        <v>1</v>
      </c>
      <c r="G82" s="18" t="n">
        <v>0.8</v>
      </c>
    </row>
    <row r="83">
      <c r="A83" s="18" t="inlineStr">
        <is>
          <t>2023-2024</t>
        </is>
      </c>
      <c r="B83" s="18" t="inlineStr">
        <is>
          <t>2023-04-30</t>
        </is>
      </c>
      <c r="C83" s="18" t="n">
        <v>13</v>
      </c>
      <c r="D83" s="18" t="n">
        <v>3180</v>
      </c>
      <c r="E83" s="18" t="n">
        <v>199.92</v>
      </c>
      <c r="F83" s="18" t="n">
        <v>1</v>
      </c>
      <c r="G83" s="18" t="n">
        <v>3.2</v>
      </c>
    </row>
    <row r="84">
      <c r="A84" s="18" t="inlineStr">
        <is>
          <t>2023-2024</t>
        </is>
      </c>
      <c r="B84" s="18" t="inlineStr">
        <is>
          <t>2023-05-05</t>
        </is>
      </c>
      <c r="C84" s="18" t="n">
        <v>10</v>
      </c>
      <c r="D84" s="18" t="n">
        <v>3183</v>
      </c>
      <c r="E84" s="18" t="n">
        <v>19.5</v>
      </c>
      <c r="F84" s="18" t="n">
        <v>1</v>
      </c>
      <c r="G84" s="18" t="n">
        <v>1</v>
      </c>
    </row>
    <row r="85">
      <c r="A85" s="18" t="inlineStr">
        <is>
          <t>2023-2024</t>
        </is>
      </c>
      <c r="B85" s="18" t="inlineStr">
        <is>
          <t>2023-05-05</t>
        </is>
      </c>
      <c r="C85" s="18" t="n">
        <v>11</v>
      </c>
      <c r="D85" s="18" t="n">
        <v>3183</v>
      </c>
      <c r="E85" s="18" t="n">
        <v>19.5</v>
      </c>
      <c r="F85" s="18" t="n">
        <v>1</v>
      </c>
      <c r="G85" s="18" t="n">
        <v>1</v>
      </c>
    </row>
    <row r="86">
      <c r="A86" s="18" t="inlineStr">
        <is>
          <t>2023-2024</t>
        </is>
      </c>
      <c r="B86" s="18" t="inlineStr">
        <is>
          <t>2023-05-06</t>
        </is>
      </c>
      <c r="C86" s="18" t="n">
        <v>26</v>
      </c>
      <c r="D86" s="18" t="n">
        <v>3184</v>
      </c>
      <c r="E86" s="18" t="n">
        <v>175.8</v>
      </c>
      <c r="F86" s="18" t="n">
        <v>5</v>
      </c>
      <c r="G86" s="18" t="n">
        <v>6</v>
      </c>
    </row>
    <row r="87">
      <c r="A87" s="18" t="inlineStr">
        <is>
          <t>2023-2024</t>
        </is>
      </c>
      <c r="B87" s="18" t="inlineStr">
        <is>
          <t>2023-05-07</t>
        </is>
      </c>
      <c r="C87" s="18" t="n">
        <v>1</v>
      </c>
      <c r="D87" s="18" t="n">
        <v>3185</v>
      </c>
      <c r="E87" s="18" t="n">
        <v>59.2</v>
      </c>
      <c r="F87" s="18" t="n">
        <v>1</v>
      </c>
      <c r="G87" s="18" t="n">
        <v>1</v>
      </c>
    </row>
    <row r="88">
      <c r="A88" s="18" t="inlineStr">
        <is>
          <t>2023-2024</t>
        </is>
      </c>
      <c r="B88" s="18" t="inlineStr">
        <is>
          <t>2023-05-13</t>
        </is>
      </c>
      <c r="C88" s="18" t="n">
        <v>23</v>
      </c>
      <c r="D88" s="18" t="n">
        <v>3189</v>
      </c>
      <c r="E88" s="18" t="n">
        <v>141.8</v>
      </c>
      <c r="F88" s="18" t="n">
        <v>4</v>
      </c>
      <c r="G88" s="18" t="n">
        <v>6</v>
      </c>
    </row>
    <row r="89">
      <c r="A89" s="18" t="inlineStr">
        <is>
          <t>2023-2024</t>
        </is>
      </c>
      <c r="B89" s="18" t="inlineStr">
        <is>
          <t>2023-05-18</t>
        </is>
      </c>
      <c r="C89" s="18" t="n">
        <v>31</v>
      </c>
      <c r="D89" s="18" t="n">
        <v>3192</v>
      </c>
      <c r="E89" s="18" t="n">
        <v>157</v>
      </c>
      <c r="F89" s="18" t="n">
        <v>2</v>
      </c>
      <c r="G89" s="18" t="n">
        <v>4</v>
      </c>
    </row>
    <row r="90">
      <c r="A90" s="18" t="inlineStr">
        <is>
          <t>2023-2024</t>
        </is>
      </c>
      <c r="B90" s="18" t="inlineStr">
        <is>
          <t>2023-05-19</t>
        </is>
      </c>
      <c r="C90" s="18" t="n">
        <v>28</v>
      </c>
      <c r="D90" s="18" t="n">
        <v>3193</v>
      </c>
      <c r="E90" s="18" t="n">
        <v>90</v>
      </c>
      <c r="F90" s="18" t="n">
        <v>3</v>
      </c>
      <c r="G90" s="18" t="n">
        <v>3</v>
      </c>
    </row>
    <row r="91">
      <c r="A91" s="18" t="inlineStr">
        <is>
          <t>2023-2024</t>
        </is>
      </c>
      <c r="B91" s="18" t="inlineStr">
        <is>
          <t>2023-05-20</t>
        </is>
      </c>
      <c r="C91" s="18" t="n">
        <v>29</v>
      </c>
      <c r="D91" s="18" t="n">
        <v>3194</v>
      </c>
      <c r="E91" s="18" t="n">
        <v>71.5</v>
      </c>
      <c r="F91" s="18" t="n">
        <v>2</v>
      </c>
      <c r="G91" s="18" t="n">
        <v>2</v>
      </c>
    </row>
    <row r="92">
      <c r="A92" s="18" t="inlineStr">
        <is>
          <t>2023-2024</t>
        </is>
      </c>
      <c r="B92" s="18" t="inlineStr">
        <is>
          <t>2023-05-26</t>
        </is>
      </c>
      <c r="C92" s="18" t="n">
        <v>27</v>
      </c>
      <c r="D92" s="18" t="n">
        <v>3198</v>
      </c>
      <c r="E92" s="18" t="n">
        <v>27.6</v>
      </c>
      <c r="F92" s="18" t="n">
        <v>1</v>
      </c>
      <c r="G92" s="18" t="n">
        <v>1</v>
      </c>
    </row>
    <row r="93">
      <c r="A93" s="18" t="inlineStr">
        <is>
          <t>2023-2024</t>
        </is>
      </c>
      <c r="B93" s="18" t="inlineStr">
        <is>
          <t>2023-05-27</t>
        </is>
      </c>
      <c r="C93" s="18" t="n">
        <v>3</v>
      </c>
      <c r="D93" s="18" t="n">
        <v>3199</v>
      </c>
      <c r="E93" s="18" t="n">
        <v>61.2</v>
      </c>
      <c r="F93" s="18" t="n">
        <v>1</v>
      </c>
      <c r="G93" s="18" t="n">
        <v>2</v>
      </c>
    </row>
    <row r="94">
      <c r="A94" s="18" t="inlineStr">
        <is>
          <t>2023-2024</t>
        </is>
      </c>
      <c r="B94" s="18" t="inlineStr">
        <is>
          <t>2023-06-10</t>
        </is>
      </c>
      <c r="C94" s="18" t="n">
        <v>30</v>
      </c>
      <c r="D94" s="18" t="n">
        <v>3209</v>
      </c>
      <c r="E94" s="18" t="n">
        <v>89.59999999999999</v>
      </c>
      <c r="F94" s="18" t="n">
        <v>1</v>
      </c>
      <c r="G94" s="18" t="n">
        <v>1</v>
      </c>
    </row>
    <row r="95">
      <c r="A95" s="18" t="inlineStr">
        <is>
          <t>2023-2024</t>
        </is>
      </c>
      <c r="B95" s="18" t="inlineStr">
        <is>
          <t>2023-06-11</t>
        </is>
      </c>
      <c r="C95" s="18" t="n">
        <v>29</v>
      </c>
      <c r="D95" s="18" t="n">
        <v>3210</v>
      </c>
      <c r="E95" s="18" t="n">
        <v>89.8</v>
      </c>
      <c r="F95" s="18" t="n">
        <v>2</v>
      </c>
      <c r="G95" s="18" t="n">
        <v>2</v>
      </c>
    </row>
    <row r="96">
      <c r="A96" s="18" t="inlineStr">
        <is>
          <t>2023-2024</t>
        </is>
      </c>
      <c r="B96" s="18" t="inlineStr">
        <is>
          <t>2023-06-22</t>
        </is>
      </c>
      <c r="C96" s="18" t="n">
        <v>11</v>
      </c>
      <c r="D96" s="18" t="n">
        <v>3217</v>
      </c>
      <c r="E96" s="18" t="n">
        <v>53</v>
      </c>
      <c r="F96" s="18" t="n">
        <v>1</v>
      </c>
      <c r="G96" s="18" t="n">
        <v>2</v>
      </c>
    </row>
    <row r="97">
      <c r="A97" s="18" t="inlineStr">
        <is>
          <t>2023-2024</t>
        </is>
      </c>
      <c r="B97" s="18" t="inlineStr">
        <is>
          <t>2023-06-28</t>
        </is>
      </c>
      <c r="C97" s="18" t="n">
        <v>5</v>
      </c>
      <c r="D97" s="18" t="n">
        <v>3221</v>
      </c>
      <c r="E97" s="18" t="n">
        <v>34.45</v>
      </c>
      <c r="F97" s="18" t="n">
        <v>1</v>
      </c>
      <c r="G97" s="18" t="n">
        <v>1</v>
      </c>
    </row>
    <row r="98">
      <c r="A98" s="18" t="inlineStr">
        <is>
          <t>2023-2024</t>
        </is>
      </c>
      <c r="B98" s="18" t="inlineStr">
        <is>
          <t>2023-06-28</t>
        </is>
      </c>
      <c r="C98" s="18" t="n">
        <v>6</v>
      </c>
      <c r="D98" s="18" t="n">
        <v>3221</v>
      </c>
      <c r="E98" s="18" t="n">
        <v>34.45</v>
      </c>
      <c r="F98" s="18" t="n">
        <v>1</v>
      </c>
      <c r="G98" s="18" t="n">
        <v>1</v>
      </c>
    </row>
    <row r="99">
      <c r="A99" s="18" t="inlineStr">
        <is>
          <t>2023-2024</t>
        </is>
      </c>
      <c r="B99" s="18" t="inlineStr">
        <is>
          <t>2023-06-29</t>
        </is>
      </c>
      <c r="C99" s="18" t="n">
        <v>32</v>
      </c>
      <c r="D99" s="18" t="n">
        <v>3222</v>
      </c>
      <c r="E99" s="18" t="n">
        <v>53.6</v>
      </c>
      <c r="F99" s="18" t="n">
        <v>1</v>
      </c>
      <c r="G99" s="18" t="n">
        <v>1</v>
      </c>
    </row>
    <row r="100">
      <c r="A100" s="18" t="inlineStr">
        <is>
          <t>2023-2024</t>
        </is>
      </c>
      <c r="B100" s="18" t="inlineStr">
        <is>
          <t>2023-07-01</t>
        </is>
      </c>
      <c r="C100" s="18" t="n">
        <v>19</v>
      </c>
      <c r="D100" s="18" t="n">
        <v>3224</v>
      </c>
      <c r="E100" s="18" t="n">
        <v>44.41</v>
      </c>
      <c r="F100" s="18" t="n">
        <v>2</v>
      </c>
      <c r="G100" s="18" t="n">
        <v>0.75</v>
      </c>
    </row>
    <row r="101">
      <c r="A101" s="18" t="inlineStr">
        <is>
          <t>2023-2024</t>
        </is>
      </c>
      <c r="B101" s="18" t="inlineStr">
        <is>
          <t>2023-07-01</t>
        </is>
      </c>
      <c r="C101" s="18" t="n">
        <v>20</v>
      </c>
      <c r="D101" s="18" t="n">
        <v>3224</v>
      </c>
      <c r="E101" s="18" t="n">
        <v>44.41</v>
      </c>
      <c r="F101" s="18" t="n">
        <v>2</v>
      </c>
      <c r="G101" s="18" t="n">
        <v>0.75</v>
      </c>
    </row>
    <row r="102">
      <c r="A102" s="18" t="inlineStr">
        <is>
          <t>2023-2024</t>
        </is>
      </c>
      <c r="B102" s="18" t="inlineStr">
        <is>
          <t>2023-07-09</t>
        </is>
      </c>
      <c r="C102" s="18" t="n">
        <v>7</v>
      </c>
      <c r="D102" s="18" t="n">
        <v>3230</v>
      </c>
      <c r="E102" s="18" t="n">
        <v>46.3</v>
      </c>
      <c r="F102" s="18" t="n">
        <v>2</v>
      </c>
      <c r="G102" s="18" t="n">
        <v>2</v>
      </c>
    </row>
    <row r="103">
      <c r="A103" s="18" t="inlineStr">
        <is>
          <t>2023-2024</t>
        </is>
      </c>
      <c r="B103" s="18" t="inlineStr">
        <is>
          <t>2023-07-15</t>
        </is>
      </c>
      <c r="C103" s="18" t="n">
        <v>20</v>
      </c>
      <c r="D103" s="18" t="n">
        <v>3234</v>
      </c>
      <c r="E103" s="18" t="n">
        <v>183.6</v>
      </c>
      <c r="F103" s="18" t="n">
        <v>6</v>
      </c>
      <c r="G103" s="18" t="n">
        <v>8</v>
      </c>
    </row>
    <row r="104">
      <c r="A104" s="18" t="inlineStr">
        <is>
          <t>2023-2024</t>
        </is>
      </c>
      <c r="B104" s="18" t="inlineStr">
        <is>
          <t>2023-07-19</t>
        </is>
      </c>
      <c r="C104" s="18" t="n">
        <v>33</v>
      </c>
      <c r="D104" s="18" t="n">
        <v>3236</v>
      </c>
      <c r="E104" s="18" t="n">
        <v>69.8</v>
      </c>
      <c r="F104" s="18" t="n">
        <v>2</v>
      </c>
      <c r="G104" s="18" t="n">
        <v>2</v>
      </c>
    </row>
    <row r="105">
      <c r="A105" s="18" t="inlineStr">
        <is>
          <t>2023-2024</t>
        </is>
      </c>
      <c r="B105" s="18" t="inlineStr">
        <is>
          <t>2023-07-20</t>
        </is>
      </c>
      <c r="C105" s="18" t="n">
        <v>8</v>
      </c>
      <c r="D105" s="18" t="n">
        <v>3237</v>
      </c>
      <c r="E105" s="18" t="n">
        <v>29.5</v>
      </c>
      <c r="F105" s="18" t="n">
        <v>2</v>
      </c>
      <c r="G105" s="18" t="n">
        <v>2</v>
      </c>
    </row>
    <row r="106">
      <c r="A106" s="18" t="inlineStr">
        <is>
          <t>2023-2024</t>
        </is>
      </c>
      <c r="B106" s="18" t="inlineStr">
        <is>
          <t>2023-07-20</t>
        </is>
      </c>
      <c r="C106" s="18" t="n">
        <v>19</v>
      </c>
      <c r="D106" s="18" t="n">
        <v>3237</v>
      </c>
      <c r="E106" s="18" t="n">
        <v>86</v>
      </c>
      <c r="F106" s="18" t="n">
        <v>3</v>
      </c>
      <c r="G106" s="18" t="n">
        <v>5</v>
      </c>
    </row>
    <row r="107">
      <c r="A107" s="18" t="inlineStr">
        <is>
          <t>2023-2024</t>
        </is>
      </c>
      <c r="B107" s="18" t="inlineStr">
        <is>
          <t>2023-07-22</t>
        </is>
      </c>
      <c r="C107" s="18" t="n">
        <v>4</v>
      </c>
      <c r="D107" s="18" t="n">
        <v>3239</v>
      </c>
      <c r="E107" s="18" t="n">
        <v>41.4</v>
      </c>
      <c r="F107" s="18" t="n">
        <v>1</v>
      </c>
      <c r="G107" s="18" t="n">
        <v>2</v>
      </c>
    </row>
    <row r="108">
      <c r="A108" s="18" t="inlineStr">
        <is>
          <t>2023-2024</t>
        </is>
      </c>
      <c r="B108" s="18" t="inlineStr">
        <is>
          <t>2023-08-05</t>
        </is>
      </c>
      <c r="C108" s="18" t="n">
        <v>5</v>
      </c>
      <c r="D108" s="18" t="n">
        <v>3249</v>
      </c>
      <c r="E108" s="18" t="n">
        <v>33.1</v>
      </c>
      <c r="F108" s="18" t="n">
        <v>1</v>
      </c>
      <c r="G108" s="18" t="n">
        <v>1</v>
      </c>
    </row>
    <row r="109">
      <c r="A109" s="18" t="inlineStr">
        <is>
          <t>2023-2024</t>
        </is>
      </c>
      <c r="B109" s="18" t="inlineStr">
        <is>
          <t>2023-08-05</t>
        </is>
      </c>
      <c r="C109" s="18" t="n">
        <v>28</v>
      </c>
      <c r="D109" s="18" t="n">
        <v>3249</v>
      </c>
      <c r="E109" s="18" t="n">
        <v>72.40000000000001</v>
      </c>
      <c r="F109" s="18" t="n">
        <v>2</v>
      </c>
      <c r="G109" s="18" t="n">
        <v>2</v>
      </c>
    </row>
    <row r="110">
      <c r="A110" s="18" t="inlineStr">
        <is>
          <t>2023-2024</t>
        </is>
      </c>
      <c r="B110" s="18" t="inlineStr">
        <is>
          <t>2023-08-05</t>
        </is>
      </c>
      <c r="C110" s="18" t="n">
        <v>32</v>
      </c>
      <c r="D110" s="18" t="n">
        <v>3249</v>
      </c>
      <c r="E110" s="18" t="n">
        <v>45.1</v>
      </c>
      <c r="F110" s="18" t="n">
        <v>1</v>
      </c>
      <c r="G110" s="18" t="n">
        <v>1</v>
      </c>
    </row>
    <row r="111">
      <c r="A111" s="18" t="inlineStr">
        <is>
          <t>2023-2024</t>
        </is>
      </c>
      <c r="B111" s="18" t="inlineStr">
        <is>
          <t>2023-08-09</t>
        </is>
      </c>
      <c r="C111" s="18" t="n">
        <v>12</v>
      </c>
      <c r="D111" s="18" t="n">
        <v>3251</v>
      </c>
      <c r="E111" s="18" t="n">
        <v>181.3</v>
      </c>
      <c r="F111" s="18" t="n">
        <v>2</v>
      </c>
      <c r="G111" s="18" t="n">
        <v>5</v>
      </c>
    </row>
    <row r="112">
      <c r="A112" s="18" t="inlineStr">
        <is>
          <t>2023-2024</t>
        </is>
      </c>
      <c r="B112" s="18" t="inlineStr">
        <is>
          <t>2023-08-09</t>
        </is>
      </c>
      <c r="C112" s="18" t="n">
        <v>19</v>
      </c>
      <c r="D112" s="18" t="n">
        <v>3251</v>
      </c>
      <c r="E112" s="18" t="n">
        <v>50.8</v>
      </c>
      <c r="F112" s="18" t="n">
        <v>1</v>
      </c>
      <c r="G112" s="18" t="n">
        <v>2</v>
      </c>
    </row>
    <row r="113">
      <c r="A113" s="18" t="inlineStr">
        <is>
          <t>2023-2024</t>
        </is>
      </c>
      <c r="B113" s="18" t="inlineStr">
        <is>
          <t>2023-08-10</t>
        </is>
      </c>
      <c r="C113" s="18" t="n">
        <v>32</v>
      </c>
      <c r="D113" s="18" t="n">
        <v>3252</v>
      </c>
      <c r="E113" s="18" t="n">
        <v>157.2</v>
      </c>
      <c r="F113" s="18" t="n">
        <v>7</v>
      </c>
      <c r="G113" s="18" t="n">
        <v>7</v>
      </c>
    </row>
    <row r="114">
      <c r="A114" s="18" t="inlineStr">
        <is>
          <t>2023-2024</t>
        </is>
      </c>
      <c r="B114" s="18" t="inlineStr">
        <is>
          <t>2023-08-12</t>
        </is>
      </c>
      <c r="C114" s="18" t="n">
        <v>32</v>
      </c>
      <c r="D114" s="18" t="n">
        <v>3254</v>
      </c>
      <c r="E114" s="18" t="n">
        <v>90.09999999999999</v>
      </c>
      <c r="F114" s="18" t="n">
        <v>3</v>
      </c>
      <c r="G114" s="18" t="n">
        <v>4</v>
      </c>
    </row>
    <row r="115">
      <c r="A115" s="18" t="inlineStr">
        <is>
          <t>2023-2024</t>
        </is>
      </c>
      <c r="B115" s="18" t="inlineStr">
        <is>
          <t>2023-08-25</t>
        </is>
      </c>
      <c r="C115" s="18" t="n">
        <v>5</v>
      </c>
      <c r="D115" s="18" t="n">
        <v>3263</v>
      </c>
      <c r="E115" s="18" t="n">
        <v>49.4</v>
      </c>
      <c r="F115" s="18" t="n">
        <v>2</v>
      </c>
      <c r="G115" s="18" t="n">
        <v>2</v>
      </c>
    </row>
    <row r="116">
      <c r="A116" s="18" t="inlineStr">
        <is>
          <t>2023-2024</t>
        </is>
      </c>
      <c r="B116" s="18" t="inlineStr">
        <is>
          <t>2023-08-27</t>
        </is>
      </c>
      <c r="C116" s="18" t="n">
        <v>31</v>
      </c>
      <c r="D116" s="18" t="n">
        <v>3265</v>
      </c>
      <c r="E116" s="18" t="n">
        <v>162.2</v>
      </c>
      <c r="F116" s="18" t="n">
        <v>1</v>
      </c>
      <c r="G116" s="18" t="n">
        <v>1</v>
      </c>
    </row>
    <row r="117">
      <c r="A117" s="18" t="inlineStr">
        <is>
          <t>2023-2024</t>
        </is>
      </c>
      <c r="B117" s="18" t="inlineStr">
        <is>
          <t>2023-09-01</t>
        </is>
      </c>
      <c r="C117" s="18" t="n">
        <v>13</v>
      </c>
      <c r="D117" s="18" t="n">
        <v>3268</v>
      </c>
      <c r="E117" s="18" t="n">
        <v>155.8</v>
      </c>
      <c r="F117" s="18" t="n">
        <v>4</v>
      </c>
      <c r="G117" s="18" t="n">
        <v>4</v>
      </c>
    </row>
    <row r="118">
      <c r="A118" s="18" t="inlineStr">
        <is>
          <t>2023-2024</t>
        </is>
      </c>
      <c r="B118" s="18" t="inlineStr">
        <is>
          <t>2023-09-02</t>
        </is>
      </c>
      <c r="C118" s="18" t="n">
        <v>27</v>
      </c>
      <c r="D118" s="18" t="n">
        <v>3269</v>
      </c>
      <c r="E118" s="18" t="n">
        <v>271.3</v>
      </c>
      <c r="F118" s="18" t="n">
        <v>1</v>
      </c>
      <c r="G118" s="18" t="n">
        <v>2</v>
      </c>
    </row>
    <row r="119">
      <c r="A119" s="18" t="inlineStr">
        <is>
          <t>2023-2024</t>
        </is>
      </c>
      <c r="B119" s="18" t="inlineStr">
        <is>
          <t>2023-09-03</t>
        </is>
      </c>
      <c r="C119" s="18" t="n">
        <v>14</v>
      </c>
      <c r="D119" s="18" t="n">
        <v>3270</v>
      </c>
      <c r="E119" s="18" t="n">
        <v>77</v>
      </c>
      <c r="F119" s="18" t="n">
        <v>2</v>
      </c>
      <c r="G119" s="18" t="n">
        <v>2</v>
      </c>
    </row>
    <row r="120">
      <c r="A120" s="18" t="inlineStr">
        <is>
          <t>2023-2024</t>
        </is>
      </c>
      <c r="B120" s="18" t="inlineStr">
        <is>
          <t>2023-09-07</t>
        </is>
      </c>
      <c r="C120" s="18" t="n">
        <v>31</v>
      </c>
      <c r="D120" s="18" t="n">
        <v>3272</v>
      </c>
      <c r="E120" s="18" t="n">
        <v>62.95</v>
      </c>
      <c r="F120" s="18" t="n">
        <v>2</v>
      </c>
      <c r="G120" s="18" t="n">
        <v>2</v>
      </c>
    </row>
    <row r="121">
      <c r="A121" s="18" t="inlineStr">
        <is>
          <t>2023-2024</t>
        </is>
      </c>
      <c r="B121" s="18" t="inlineStr">
        <is>
          <t>2023-09-07</t>
        </is>
      </c>
      <c r="C121" s="18" t="n">
        <v>32</v>
      </c>
      <c r="D121" s="18" t="n">
        <v>3272</v>
      </c>
      <c r="E121" s="18" t="n">
        <v>62.95</v>
      </c>
      <c r="F121" s="18" t="n">
        <v>2</v>
      </c>
      <c r="G121" s="18" t="n">
        <v>2</v>
      </c>
    </row>
    <row r="122">
      <c r="A122" s="18" t="inlineStr">
        <is>
          <t>2023-2024</t>
        </is>
      </c>
      <c r="B122" s="18" t="inlineStr">
        <is>
          <t>2023-09-09</t>
        </is>
      </c>
      <c r="C122" s="18" t="n">
        <v>39</v>
      </c>
      <c r="D122" s="18" t="n">
        <v>3274</v>
      </c>
      <c r="E122" s="18" t="n">
        <v>27.46</v>
      </c>
      <c r="F122" s="18" t="n">
        <v>1</v>
      </c>
      <c r="G122" s="18" t="n">
        <v>0.25</v>
      </c>
    </row>
    <row r="123">
      <c r="A123" s="18" t="inlineStr">
        <is>
          <t>2023-2024</t>
        </is>
      </c>
      <c r="B123" s="18" t="inlineStr">
        <is>
          <t>2023-09-09</t>
        </is>
      </c>
      <c r="C123" s="18" t="n">
        <v>40</v>
      </c>
      <c r="D123" s="18" t="n">
        <v>3274</v>
      </c>
      <c r="E123" s="18" t="n">
        <v>82.34</v>
      </c>
      <c r="F123" s="18" t="n">
        <v>1</v>
      </c>
      <c r="G123" s="18" t="n">
        <v>0.75</v>
      </c>
    </row>
    <row r="124">
      <c r="A124" s="18" t="inlineStr">
        <is>
          <t>2023-2024</t>
        </is>
      </c>
      <c r="B124" s="18" t="inlineStr">
        <is>
          <t>2023-12-17</t>
        </is>
      </c>
      <c r="C124" s="18" t="n">
        <v>5</v>
      </c>
      <c r="D124" s="18" t="n">
        <v>3342</v>
      </c>
      <c r="E124" s="18" t="n">
        <v>98.40000000000001</v>
      </c>
      <c r="F124" s="18" t="n">
        <v>5</v>
      </c>
      <c r="G124" s="18" t="n">
        <v>8</v>
      </c>
    </row>
    <row r="125">
      <c r="A125" s="18" t="inlineStr">
        <is>
          <t>2023-2024</t>
        </is>
      </c>
      <c r="B125" s="18" t="inlineStr">
        <is>
          <t>2024-03-07</t>
        </is>
      </c>
      <c r="C125" s="18" t="n">
        <v>7</v>
      </c>
      <c r="D125" s="18" t="n">
        <v>3360</v>
      </c>
      <c r="E125" s="18" t="n">
        <v>57.4</v>
      </c>
      <c r="F125" s="18" t="n">
        <v>2</v>
      </c>
      <c r="G125" s="18" t="n">
        <v>2</v>
      </c>
    </row>
    <row r="126">
      <c r="A126" s="18" t="inlineStr">
        <is>
          <t>2023-2024</t>
        </is>
      </c>
      <c r="B126" s="18" t="inlineStr">
        <is>
          <t>2024-03-14</t>
        </is>
      </c>
      <c r="C126" s="18" t="n">
        <v>16</v>
      </c>
      <c r="D126" s="18" t="n">
        <v>3365</v>
      </c>
      <c r="E126" s="18" t="n">
        <v>59.2</v>
      </c>
      <c r="F126" s="18" t="n">
        <v>1</v>
      </c>
      <c r="G126" s="18" t="n">
        <v>1</v>
      </c>
    </row>
    <row r="127">
      <c r="A127" s="18" t="inlineStr">
        <is>
          <t>2024-2025</t>
        </is>
      </c>
      <c r="B127" s="18" t="inlineStr">
        <is>
          <t>2024-04-13</t>
        </is>
      </c>
      <c r="C127" s="18" t="n">
        <v>21</v>
      </c>
      <c r="D127" s="18" t="n">
        <v>3387</v>
      </c>
      <c r="E127" s="18" t="n">
        <v>105.2</v>
      </c>
      <c r="F127" s="18" t="n">
        <v>1</v>
      </c>
      <c r="G127" s="18" t="n">
        <v>3</v>
      </c>
    </row>
    <row r="128">
      <c r="A128" s="18" t="inlineStr">
        <is>
          <t>2024-2025</t>
        </is>
      </c>
      <c r="B128" s="18" t="inlineStr">
        <is>
          <t>2024-04-18</t>
        </is>
      </c>
      <c r="C128" s="18" t="n">
        <v>19</v>
      </c>
      <c r="D128" s="18" t="n">
        <v>3390</v>
      </c>
      <c r="E128" s="18" t="n">
        <v>59.6</v>
      </c>
      <c r="F128" s="18" t="n">
        <v>2</v>
      </c>
      <c r="G128" s="18" t="n">
        <v>3</v>
      </c>
    </row>
    <row r="129">
      <c r="A129" s="18" t="inlineStr">
        <is>
          <t>2024-2025</t>
        </is>
      </c>
      <c r="B129" s="18" t="inlineStr">
        <is>
          <t>2024-05-02</t>
        </is>
      </c>
      <c r="C129" s="18" t="n">
        <v>20</v>
      </c>
      <c r="D129" s="18" t="n">
        <v>3399</v>
      </c>
      <c r="E129" s="18" t="n">
        <v>31.4</v>
      </c>
      <c r="F129" s="18" t="n">
        <v>1</v>
      </c>
      <c r="G129" s="18" t="n">
        <v>1</v>
      </c>
    </row>
    <row r="130">
      <c r="A130" s="18" t="inlineStr">
        <is>
          <t>2024-2025</t>
        </is>
      </c>
      <c r="B130" s="18" t="inlineStr">
        <is>
          <t>2024-05-02</t>
        </is>
      </c>
      <c r="C130" s="18" t="n">
        <v>21</v>
      </c>
      <c r="D130" s="18" t="n">
        <v>3399</v>
      </c>
      <c r="E130" s="18" t="n">
        <v>31.4</v>
      </c>
      <c r="F130" s="18" t="n">
        <v>1</v>
      </c>
      <c r="G130" s="18" t="n">
        <v>1</v>
      </c>
    </row>
    <row r="131">
      <c r="A131" s="18" t="inlineStr">
        <is>
          <t>2024-2025</t>
        </is>
      </c>
      <c r="B131" s="18" t="inlineStr">
        <is>
          <t>2024-05-02</t>
        </is>
      </c>
      <c r="C131" s="18" t="n">
        <v>22</v>
      </c>
      <c r="D131" s="18" t="n">
        <v>3399</v>
      </c>
      <c r="E131" s="18" t="n">
        <v>19.5</v>
      </c>
      <c r="F131" s="18" t="n">
        <v>1</v>
      </c>
      <c r="G131" s="18" t="n">
        <v>1</v>
      </c>
    </row>
    <row r="132">
      <c r="A132" s="18" t="inlineStr">
        <is>
          <t>2024-2025</t>
        </is>
      </c>
      <c r="B132" s="18" t="inlineStr">
        <is>
          <t>2024-05-02</t>
        </is>
      </c>
      <c r="C132" s="18" t="n">
        <v>23</v>
      </c>
      <c r="D132" s="18" t="n">
        <v>3399</v>
      </c>
      <c r="E132" s="18" t="n">
        <v>18.6</v>
      </c>
      <c r="F132" s="18" t="n">
        <v>1</v>
      </c>
      <c r="G132" s="18" t="n">
        <v>1</v>
      </c>
    </row>
    <row r="133">
      <c r="A133" s="18" t="inlineStr">
        <is>
          <t>2024-2025</t>
        </is>
      </c>
      <c r="B133" s="18" t="inlineStr">
        <is>
          <t>2024-05-10</t>
        </is>
      </c>
      <c r="C133" s="18" t="n">
        <v>27</v>
      </c>
      <c r="D133" s="18" t="n">
        <v>3405</v>
      </c>
      <c r="E133" s="18" t="n">
        <v>101.1</v>
      </c>
      <c r="F133" s="18" t="n">
        <v>2</v>
      </c>
      <c r="G133" s="18" t="n">
        <v>3</v>
      </c>
    </row>
    <row r="134">
      <c r="A134" s="18" t="inlineStr">
        <is>
          <t>2024-2025</t>
        </is>
      </c>
      <c r="B134" s="18" t="inlineStr">
        <is>
          <t>2024-06-30</t>
        </is>
      </c>
      <c r="C134" s="18" t="n">
        <v>12</v>
      </c>
      <c r="D134" s="18" t="n">
        <v>3442</v>
      </c>
      <c r="E134" s="18" t="n">
        <v>158.1</v>
      </c>
      <c r="F134" s="18" t="n">
        <v>1</v>
      </c>
      <c r="G134" s="18" t="n">
        <v>3</v>
      </c>
    </row>
    <row r="135">
      <c r="A135" s="18" t="inlineStr">
        <is>
          <t>2024-2025</t>
        </is>
      </c>
      <c r="B135" s="18" t="inlineStr">
        <is>
          <t>2024-07-28</t>
        </is>
      </c>
      <c r="C135" s="18" t="n">
        <v>11</v>
      </c>
      <c r="D135" s="18" t="n">
        <v>3462</v>
      </c>
      <c r="E135" s="18" t="n">
        <v>185.6</v>
      </c>
      <c r="F135" s="18" t="n">
        <v>3</v>
      </c>
      <c r="G135" s="18" t="n">
        <v>5</v>
      </c>
    </row>
    <row r="136">
      <c r="A136" s="18" t="inlineStr">
        <is>
          <t>2024-2025</t>
        </is>
      </c>
      <c r="B136" s="18" t="inlineStr">
        <is>
          <t>2024-10-25</t>
        </is>
      </c>
      <c r="C136" s="18" t="n">
        <v>18</v>
      </c>
      <c r="D136" s="18" t="n">
        <v>3525</v>
      </c>
      <c r="E136" s="18" t="n">
        <v>139.5</v>
      </c>
      <c r="F136" s="18" t="n">
        <v>3</v>
      </c>
      <c r="G136" s="18" t="n">
        <v>4</v>
      </c>
    </row>
    <row r="137">
      <c r="A137" s="18" t="inlineStr">
        <is>
          <t>2024-2025</t>
        </is>
      </c>
      <c r="B137" s="18" t="inlineStr">
        <is>
          <t>2024-10-26</t>
        </is>
      </c>
      <c r="C137" s="18" t="n">
        <v>17</v>
      </c>
      <c r="D137" s="18" t="n">
        <v>3526</v>
      </c>
      <c r="E137" s="18" t="n">
        <v>111.05</v>
      </c>
      <c r="F137" s="18" t="n">
        <v>4</v>
      </c>
      <c r="G137" s="18" t="n">
        <v>2</v>
      </c>
    </row>
    <row r="138">
      <c r="A138" s="18" t="inlineStr">
        <is>
          <t>2024-2025</t>
        </is>
      </c>
      <c r="B138" s="18" t="inlineStr">
        <is>
          <t>2024-10-26</t>
        </is>
      </c>
      <c r="C138" s="18" t="n">
        <v>18</v>
      </c>
      <c r="D138" s="18" t="n">
        <v>3526</v>
      </c>
      <c r="E138" s="18" t="n">
        <v>111.05</v>
      </c>
      <c r="F138" s="18" t="n">
        <v>4</v>
      </c>
      <c r="G138" s="18" t="n">
        <v>2</v>
      </c>
    </row>
    <row r="139">
      <c r="A139" s="18" t="inlineStr">
        <is>
          <t>2024-2025</t>
        </is>
      </c>
      <c r="B139" s="18" t="inlineStr">
        <is>
          <t>2024-10-30</t>
        </is>
      </c>
      <c r="C139" s="18" t="n">
        <v>15</v>
      </c>
      <c r="D139" s="18" t="n">
        <v>3528</v>
      </c>
      <c r="E139" s="18" t="n">
        <v>72</v>
      </c>
      <c r="F139" s="18" t="n">
        <v>1</v>
      </c>
      <c r="G139" s="18" t="n">
        <v>3</v>
      </c>
    </row>
    <row r="140">
      <c r="A140" s="18" t="inlineStr">
        <is>
          <t>2024-2025</t>
        </is>
      </c>
      <c r="B140" s="18" t="inlineStr">
        <is>
          <t>2024-12-14</t>
        </is>
      </c>
      <c r="C140" s="18" t="n">
        <v>17</v>
      </c>
      <c r="D140" s="18" t="n">
        <v>3561</v>
      </c>
      <c r="E140" s="18" t="n">
        <v>108.1</v>
      </c>
      <c r="F140" s="18" t="n">
        <v>6</v>
      </c>
      <c r="G140" s="18" t="n">
        <v>8</v>
      </c>
    </row>
    <row r="141">
      <c r="A141" s="18" t="inlineStr">
        <is>
          <t>2024-2025</t>
        </is>
      </c>
      <c r="B141" s="18" t="inlineStr">
        <is>
          <t>2024-12-28</t>
        </is>
      </c>
      <c r="C141" s="18" t="n">
        <v>26</v>
      </c>
      <c r="D141" s="18" t="n">
        <v>3570</v>
      </c>
      <c r="E141" s="18" t="n">
        <v>27.4</v>
      </c>
      <c r="F141" s="18" t="n">
        <v>1</v>
      </c>
      <c r="G141" s="18" t="n">
        <v>1</v>
      </c>
    </row>
    <row r="143">
      <c r="A143" s="37" t="inlineStr">
        <is>
          <t>Synthese</t>
        </is>
      </c>
    </row>
    <row r="144">
      <c r="A144" s="37" t="inlineStr">
        <is>
          <t>Exercice</t>
        </is>
      </c>
      <c r="B144" s="37" t="inlineStr">
        <is>
          <t>Notes portant une ligne a 0 EUR</t>
        </is>
      </c>
      <c r="C144" s="37" t="inlineStr">
        <is>
          <t>Journees concernees</t>
        </is>
      </c>
      <c r="D144" s="37" t="inlineStr">
        <is>
          <t>Lignes a 0 EUR</t>
        </is>
      </c>
      <c r="E144" s="37" t="inlineStr">
        <is>
          <t>Notes de l'exercice (annexe H)</t>
        </is>
      </c>
      <c r="F144" s="37" t="inlineStr">
        <is>
          <t>Part des notes</t>
        </is>
      </c>
    </row>
    <row r="145">
      <c r="A145" s="18" t="inlineStr">
        <is>
          <t>2022-2023</t>
        </is>
      </c>
      <c r="B145" s="18">
        <f>COUNTIF($A$4:$A$141,A145)</f>
        <v/>
      </c>
      <c r="C145" s="18" t="n">
        <v>52</v>
      </c>
      <c r="D145" s="18">
        <f>SUMIF($A$4:$A$141,A145,$F$4:$F$141)</f>
        <v/>
      </c>
      <c r="E145" s="18" t="n">
        <v>5660</v>
      </c>
      <c r="F145" s="18">
        <f>B145/E145</f>
        <v/>
      </c>
    </row>
    <row r="146">
      <c r="A146" s="18" t="inlineStr">
        <is>
          <t>2023-2024</t>
        </is>
      </c>
      <c r="B146" s="18">
        <f>COUNTIF($A$4:$A$141,A146)</f>
        <v/>
      </c>
      <c r="C146" s="18" t="n">
        <v>43</v>
      </c>
      <c r="D146" s="18">
        <f>SUMIF($A$4:$A$141,A146,$F$4:$F$141)</f>
        <v/>
      </c>
      <c r="E146" s="18" t="n">
        <v>5529</v>
      </c>
      <c r="F146" s="18">
        <f>B146/E146</f>
        <v/>
      </c>
    </row>
    <row r="147">
      <c r="A147" s="18" t="inlineStr">
        <is>
          <t>2024-2025</t>
        </is>
      </c>
      <c r="B147" s="18">
        <f>COUNTIF($A$4:$A$141,A147)</f>
        <v/>
      </c>
      <c r="C147" s="18" t="n">
        <v>11</v>
      </c>
      <c r="D147" s="18">
        <f>SUMIF($A$4:$A$141,A147,$F$4:$F$141)</f>
        <v/>
      </c>
      <c r="E147" s="18" t="n">
        <v>5418</v>
      </c>
      <c r="F147" s="18">
        <f>B147/E147</f>
        <v/>
      </c>
    </row>
    <row r="148">
      <c r="A148" s="37" t="inlineStr">
        <is>
          <t>Total</t>
        </is>
      </c>
      <c r="B148" s="18">
        <f>SUM(B145:B147)</f>
        <v/>
      </c>
      <c r="C148" s="18">
        <f>SUM(C145:C147)</f>
        <v/>
      </c>
      <c r="D148" s="18">
        <f>SUM(D145:D147)</f>
        <v/>
      </c>
      <c r="E148" s="18">
        <f>SUM(E145:E147)</f>
        <v/>
      </c>
      <c r="F148" s="18">
        <f>B148/E148</f>
        <v/>
      </c>
    </row>
    <row r="149">
      <c r="A149" s="18" t="inlineStr">
        <is>
          <t>Journees des 3 exercices (annexe H)</t>
        </is>
      </c>
      <c r="C149" s="18" t="n">
        <v>659</v>
      </c>
      <c r="D149" s="18">
        <f>C148/C149</f>
        <v/>
      </c>
      <c r="E149" s="18" t="inlineStr">
        <is>
          <t>part des journees avec au moins une ligne a 0 EUR</t>
        </is>
      </c>
    </row>
    <row r="150">
      <c r="A150" s="18" t="inlineStr">
        <is>
          <t>Nombre de lignes a 0 EUR par note : maximum</t>
        </is>
      </c>
      <c r="C150" s="18">
        <f>MAX(F4:F141)</f>
        <v/>
      </c>
    </row>
    <row r="151">
      <c r="A151" s="18" t="inlineStr">
        <is>
          <t>Nombre de lignes a 0 EUR par note : moyenne</t>
        </is>
      </c>
      <c r="C151" s="18">
        <f>AVERAGE(F4:F141)</f>
        <v/>
      </c>
    </row>
    <row r="152">
      <c r="A152" s="18" t="inlineStr">
        <is>
          <t>Source des notes par exercice : annexes H-1 a H-3, notes portant des articles (5 660 + 5 529 + 5 418 = 16 607), cf. piece R1-tickets-a-zero.xlsx onglet Synthese et R1-quantites-fractionnaires.xlsx onglet Synthese.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30" customWidth="1" style="19" min="1" max="1"/>
    <col width="18" customWidth="1" style="19" min="2" max="2"/>
    <col width="14" customWidth="1" style="19" min="3" max="3"/>
  </cols>
  <sheetData>
    <row r="1">
      <c r="A1" s="37" t="inlineStr">
        <is>
          <t>Repartition des quantites portees par les 272 lignes a 0 EUR (formules COUNTIF sur la colonne I « Quantite » de l'onglet Sources_272)</t>
        </is>
      </c>
    </row>
    <row r="2">
      <c r="A2" s="18" t="inlineStr">
        <is>
          <t>Les quantites superieures a 1 mesurent la taille de la tablee (plusieurs cafes offerts a une meme table) ; les quantites non entieres viennent du partage d'une addition en plusieurs notes (onglet Fractionnaires).</t>
        </is>
      </c>
    </row>
    <row r="3">
      <c r="A3" s="37" t="inlineStr">
        <is>
          <t>Quantite</t>
        </is>
      </c>
      <c r="B3" s="37" t="inlineStr">
        <is>
          <t>Nombre de lignes</t>
        </is>
      </c>
      <c r="C3" s="37" t="inlineStr">
        <is>
          <t>Part des 272</t>
        </is>
      </c>
    </row>
    <row r="4">
      <c r="A4" s="18" t="n">
        <v>0.25</v>
      </c>
      <c r="B4" s="18">
        <f>COUNTIF(Sources_272!$I$2:$I$273,A4)</f>
        <v/>
      </c>
      <c r="C4" s="18">
        <f>B4/$B$16</f>
        <v/>
      </c>
    </row>
    <row r="5">
      <c r="A5" s="18" t="n">
        <v>0.5</v>
      </c>
      <c r="B5" s="18">
        <f>COUNTIF(Sources_272!$I$2:$I$273,A5)</f>
        <v/>
      </c>
      <c r="C5" s="18">
        <f>B5/$B$16</f>
        <v/>
      </c>
    </row>
    <row r="6">
      <c r="A6" s="18" t="n">
        <v>0.75</v>
      </c>
      <c r="B6" s="18">
        <f>COUNTIF(Sources_272!$I$2:$I$273,A6)</f>
        <v/>
      </c>
      <c r="C6" s="18">
        <f>B6/$B$16</f>
        <v/>
      </c>
    </row>
    <row r="7">
      <c r="A7" s="18" t="n">
        <v>0.8</v>
      </c>
      <c r="B7" s="18">
        <f>COUNTIF(Sources_272!$I$2:$I$273,A7)</f>
        <v/>
      </c>
      <c r="C7" s="18">
        <f>B7/$B$16</f>
        <v/>
      </c>
    </row>
    <row r="8">
      <c r="A8" s="18" t="n">
        <v>1</v>
      </c>
      <c r="B8" s="18">
        <f>COUNTIF(Sources_272!$I$2:$I$273,A8)</f>
        <v/>
      </c>
      <c r="C8" s="18">
        <f>B8/$B$16</f>
        <v/>
      </c>
    </row>
    <row r="9">
      <c r="A9" s="18" t="n">
        <v>1.5</v>
      </c>
      <c r="B9" s="18">
        <f>COUNTIF(Sources_272!$I$2:$I$273,A9)</f>
        <v/>
      </c>
      <c r="C9" s="18">
        <f>B9/$B$16</f>
        <v/>
      </c>
    </row>
    <row r="10">
      <c r="A10" s="18" t="n">
        <v>2</v>
      </c>
      <c r="B10" s="18">
        <f>COUNTIF(Sources_272!$I$2:$I$273,A10)</f>
        <v/>
      </c>
      <c r="C10" s="18">
        <f>B10/$B$16</f>
        <v/>
      </c>
    </row>
    <row r="11">
      <c r="A11" s="18" t="n">
        <v>3</v>
      </c>
      <c r="B11" s="18">
        <f>COUNTIF(Sources_272!$I$2:$I$273,A11)</f>
        <v/>
      </c>
      <c r="C11" s="18">
        <f>B11/$B$16</f>
        <v/>
      </c>
    </row>
    <row r="12">
      <c r="A12" s="18" t="n">
        <v>3.2</v>
      </c>
      <c r="B12" s="18">
        <f>COUNTIF(Sources_272!$I$2:$I$273,A12)</f>
        <v/>
      </c>
      <c r="C12" s="18">
        <f>B12/$B$16</f>
        <v/>
      </c>
    </row>
    <row r="13">
      <c r="A13" s="18" t="n">
        <v>4</v>
      </c>
      <c r="B13" s="18">
        <f>COUNTIF(Sources_272!$I$2:$I$273,A13)</f>
        <v/>
      </c>
      <c r="C13" s="18">
        <f>B13/$B$16</f>
        <v/>
      </c>
    </row>
    <row r="14">
      <c r="A14" s="18" t="n">
        <v>5</v>
      </c>
      <c r="B14" s="18">
        <f>COUNTIF(Sources_272!$I$2:$I$273,A14)</f>
        <v/>
      </c>
      <c r="C14" s="18">
        <f>B14/$B$16</f>
        <v/>
      </c>
    </row>
    <row r="15">
      <c r="A15" s="18" t="n">
        <v>6</v>
      </c>
      <c r="B15" s="18">
        <f>COUNTIF(Sources_272!$I$2:$I$273,A15)</f>
        <v/>
      </c>
      <c r="C15" s="18">
        <f>B15/$B$16</f>
        <v/>
      </c>
    </row>
    <row r="16">
      <c r="A16" s="37" t="inlineStr">
        <is>
          <t>Total</t>
        </is>
      </c>
      <c r="B16" s="18">
        <f>SUM(B4:B15)</f>
        <v/>
      </c>
      <c r="C16" s="18">
        <f>B16/B16</f>
        <v/>
      </c>
    </row>
    <row r="17">
      <c r="A17" s="18" t="inlineStr">
        <is>
          <t>Lignes a quantite 1</t>
        </is>
      </c>
      <c r="B17" s="18">
        <f>COUNTIF(Sources_272!$I$2:$I$273,1)</f>
        <v/>
      </c>
      <c r="C17" s="18">
        <f>B17/$B$16</f>
        <v/>
      </c>
    </row>
    <row r="18">
      <c r="A18" s="18" t="inlineStr">
        <is>
          <t>Lignes a quantite entiere &gt; 1</t>
        </is>
      </c>
      <c r="B18" s="18">
        <f>COUNTIF(Sources_272!$I$2:$I$273,2)+COUNTIF(Sources_272!$I$2:$I$273,3)+COUNTIF(Sources_272!$I$2:$I$273,4)+COUNTIF(Sources_272!$I$2:$I$273,5)+COUNTIF(Sources_272!$I$2:$I$273,6)</f>
        <v/>
      </c>
      <c r="C18" s="18">
        <f>B18/$B$16</f>
        <v/>
      </c>
    </row>
    <row r="19">
      <c r="A19" s="18" t="inlineStr">
        <is>
          <t>Lignes a quantite non entiere</t>
        </is>
      </c>
      <c r="B19" s="18">
        <f>B16-B17-B18</f>
        <v/>
      </c>
      <c r="C19" s="18">
        <f>B19/$B$16</f>
        <v/>
      </c>
    </row>
    <row r="20">
      <c r="A20" s="18" t="inlineStr">
        <is>
          <t>Somme des quantites (articles)</t>
        </is>
      </c>
      <c r="B20" s="18">
        <f>SUM(Sources_272!$I$2:$I$273)</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6" customWidth="1" style="19" min="1" max="1"/>
    <col width="18" customWidth="1" style="19" min="2" max="2"/>
    <col width="14" customWidth="1" style="19" min="3" max="3"/>
    <col width="14" customWidth="1" style="19" min="4" max="4"/>
    <col width="14" customWidth="1" style="19" min="5" max="5"/>
    <col width="9" customWidth="1" style="19" min="6" max="6"/>
    <col width="18" customWidth="1" style="19" min="7" max="7"/>
    <col width="18" customWidth="1" style="19" min="8" max="8"/>
  </cols>
  <sheetData>
    <row r="1">
      <c r="A1" s="37" t="inlineStr">
        <is>
          <t>Table du 01/07/2023 (Z 3224), notes n° 19 (19:45) et n° 20 (19:46), 44,41 EUR chacune : toutes les lignes, payantes et offertes (annexe C-2)</t>
        </is>
      </c>
    </row>
    <row r="2">
      <c r="A2" s="18" t="inlineStr">
        <is>
          <t>La somme des parts est calculee par formule. Six articles PAYANTS (pression, Pinte Picon, Menu Franc-Comtois, croutes aux morilles, assiette franc-comtoise, creme brulee) ne se referment pas davantage que le Cafe Viennois offert : la table a ete decoupee en quarts et seules deux des parts figurent sous cette signature. La non-fermeture tient au decoupage de la table, pas au caractere offert.</t>
        </is>
      </c>
    </row>
    <row r="3">
      <c r="A3" s="37" t="inlineStr">
        <is>
          <t>Article</t>
        </is>
      </c>
      <c r="B3" s="37" t="inlineStr">
        <is>
          <t>Prix unitaire TTC (EUR)</t>
        </is>
      </c>
      <c r="C3" s="37" t="inlineStr">
        <is>
          <t>Part note n° 19</t>
        </is>
      </c>
      <c r="D3" s="37" t="inlineStr">
        <is>
          <t>Part note n° 20</t>
        </is>
      </c>
      <c r="E3" s="37" t="inlineStr">
        <is>
          <t>Somme des parts</t>
        </is>
      </c>
      <c r="F3" s="37" t="inlineStr">
        <is>
          <t>Entier ?</t>
        </is>
      </c>
      <c r="G3" s="37" t="inlineStr">
        <is>
          <t>Montant note 19 (EUR)</t>
        </is>
      </c>
      <c r="H3" s="37" t="inlineStr">
        <is>
          <t>Montant note 20 (EUR)</t>
        </is>
      </c>
    </row>
    <row r="4">
      <c r="A4" s="18" t="inlineStr">
        <is>
          <t>Pinte</t>
        </is>
      </c>
      <c r="B4" s="18" t="n">
        <v>8</v>
      </c>
      <c r="C4" s="18" t="n">
        <v>0.5</v>
      </c>
      <c r="D4" s="18" t="n">
        <v>0.5</v>
      </c>
      <c r="E4" s="18">
        <f>C4+D4</f>
        <v/>
      </c>
      <c r="F4" s="18">
        <f>IF(E4=ROUND(E4,0),"OUI","non")</f>
        <v/>
      </c>
      <c r="G4" s="18">
        <f>B4*C4</f>
        <v/>
      </c>
      <c r="H4" s="18">
        <f>B4*D4</f>
        <v/>
      </c>
    </row>
    <row r="5">
      <c r="A5" s="18" t="inlineStr">
        <is>
          <t>pression</t>
        </is>
      </c>
      <c r="B5" s="18" t="n">
        <v>4.2</v>
      </c>
      <c r="C5" s="18" t="n">
        <v>0.25</v>
      </c>
      <c r="D5" s="18" t="n">
        <v>0.25</v>
      </c>
      <c r="E5" s="18">
        <f>C5+D5</f>
        <v/>
      </c>
      <c r="F5" s="18">
        <f>IF(E5=ROUND(E5,0),"OUI","non")</f>
        <v/>
      </c>
      <c r="G5" s="18">
        <f>B5*C5</f>
        <v/>
      </c>
      <c r="H5" s="18">
        <f>B5*D5</f>
        <v/>
      </c>
    </row>
    <row r="6">
      <c r="A6" s="18" t="inlineStr">
        <is>
          <t>Pinte Picon</t>
        </is>
      </c>
      <c r="B6" s="18" t="n">
        <v>9</v>
      </c>
      <c r="C6" s="18" t="n">
        <v>0.25</v>
      </c>
      <c r="D6" s="18" t="n">
        <v>0.25</v>
      </c>
      <c r="E6" s="18">
        <f>C6+D6</f>
        <v/>
      </c>
      <c r="F6" s="18">
        <f>IF(E6=ROUND(E6,0),"OUI","non")</f>
        <v/>
      </c>
      <c r="G6" s="18">
        <f>B6*C6</f>
        <v/>
      </c>
      <c r="H6" s="18">
        <f>B6*D6</f>
        <v/>
      </c>
    </row>
    <row r="7">
      <c r="A7" s="18" t="inlineStr">
        <is>
          <t>Menu Franc-Comtois</t>
        </is>
      </c>
      <c r="B7" s="18" t="n">
        <v>34</v>
      </c>
      <c r="C7" s="18" t="n">
        <v>0.25</v>
      </c>
      <c r="D7" s="18" t="n">
        <v>0.25</v>
      </c>
      <c r="E7" s="18">
        <f>C7+D7</f>
        <v/>
      </c>
      <c r="F7" s="18">
        <f>IF(E7=ROUND(E7,0),"OUI","non")</f>
        <v/>
      </c>
      <c r="G7" s="18">
        <f>B7*C7</f>
        <v/>
      </c>
      <c r="H7" s="18">
        <f>B7*D7</f>
        <v/>
      </c>
    </row>
    <row r="8">
      <c r="A8" s="18" t="inlineStr">
        <is>
          <t>Croûtes Morilles</t>
        </is>
      </c>
      <c r="B8" s="18" t="n">
        <v>16.9</v>
      </c>
      <c r="C8" s="18" t="n">
        <v>0.75</v>
      </c>
      <c r="D8" s="18" t="n">
        <v>0.75</v>
      </c>
      <c r="E8" s="18">
        <f>C8+D8</f>
        <v/>
      </c>
      <c r="F8" s="18">
        <f>IF(E8=ROUND(E8,0),"OUI","non")</f>
        <v/>
      </c>
      <c r="G8" s="18">
        <f>B8*C8</f>
        <v/>
      </c>
      <c r="H8" s="18">
        <f>B8*D8</f>
        <v/>
      </c>
    </row>
    <row r="9">
      <c r="A9" s="18" t="inlineStr">
        <is>
          <t>POULET JURASSIENNE</t>
        </is>
      </c>
      <c r="B9" s="18" t="n">
        <v>18.6</v>
      </c>
      <c r="C9" s="18" t="n">
        <v>0.5</v>
      </c>
      <c r="D9" s="18" t="n">
        <v>0.5</v>
      </c>
      <c r="E9" s="18">
        <f>C9+D9</f>
        <v/>
      </c>
      <c r="F9" s="18">
        <f>IF(E9=ROUND(E9,0),"OUI","non")</f>
        <v/>
      </c>
      <c r="G9" s="18">
        <f>B9*C9</f>
        <v/>
      </c>
      <c r="H9" s="18">
        <f>B9*D9</f>
        <v/>
      </c>
    </row>
    <row r="10">
      <c r="A10" s="18" t="inlineStr">
        <is>
          <t>ASSIETTE FRANC-COMTO</t>
        </is>
      </c>
      <c r="B10" s="18" t="n">
        <v>18.6</v>
      </c>
      <c r="C10" s="18" t="n">
        <v>0.25</v>
      </c>
      <c r="D10" s="18" t="n">
        <v>0.25</v>
      </c>
      <c r="E10" s="18">
        <f>C10+D10</f>
        <v/>
      </c>
      <c r="F10" s="18">
        <f>IF(E10=ROUND(E10,0),"OUI","non")</f>
        <v/>
      </c>
      <c r="G10" s="18">
        <f>B10*C10</f>
        <v/>
      </c>
      <c r="H10" s="18">
        <f>B10*D10</f>
        <v/>
      </c>
    </row>
    <row r="11">
      <c r="A11" s="18" t="inlineStr">
        <is>
          <t>CREME BRULEE</t>
        </is>
      </c>
      <c r="B11" s="18" t="n">
        <v>7.9</v>
      </c>
      <c r="C11" s="18" t="n">
        <v>0.25</v>
      </c>
      <c r="D11" s="18" t="n">
        <v>0.25</v>
      </c>
      <c r="E11" s="18">
        <f>C11+D11</f>
        <v/>
      </c>
      <c r="F11" s="18">
        <f>IF(E11=ROUND(E11,0),"OUI","non")</f>
        <v/>
      </c>
      <c r="G11" s="18">
        <f>B11*C11</f>
        <v/>
      </c>
      <c r="H11" s="18">
        <f>B11*D11</f>
        <v/>
      </c>
    </row>
    <row r="12">
      <c r="A12" s="18" t="inlineStr">
        <is>
          <t>Expresso</t>
        </is>
      </c>
      <c r="B12" s="18" t="n">
        <v>0</v>
      </c>
      <c r="C12" s="18" t="n">
        <v>0.5</v>
      </c>
      <c r="D12" s="18" t="n">
        <v>0.5</v>
      </c>
      <c r="E12" s="18">
        <f>C12+D12</f>
        <v/>
      </c>
      <c r="F12" s="18">
        <f>IF(E12=ROUND(E12,0),"OUI","non")</f>
        <v/>
      </c>
      <c r="G12" s="18">
        <f>B12*C12</f>
        <v/>
      </c>
      <c r="H12" s="18">
        <f>B12*D12</f>
        <v/>
      </c>
    </row>
    <row r="13">
      <c r="A13" s="18" t="inlineStr">
        <is>
          <t>Café Viennois</t>
        </is>
      </c>
      <c r="B13" s="18" t="n">
        <v>0</v>
      </c>
      <c r="C13" s="18" t="n">
        <v>0.25</v>
      </c>
      <c r="D13" s="18" t="n">
        <v>0.25</v>
      </c>
      <c r="E13" s="18">
        <f>C13+D13</f>
        <v/>
      </c>
      <c r="F13" s="18">
        <f>IF(E13=ROUND(E13,0),"OUI","non")</f>
        <v/>
      </c>
      <c r="G13" s="18">
        <f>B13*C13</f>
        <v/>
      </c>
      <c r="H13" s="18">
        <f>B13*D13</f>
        <v/>
      </c>
    </row>
    <row r="14">
      <c r="A14" s="37" t="inlineStr">
        <is>
          <t>Total</t>
        </is>
      </c>
      <c r="G14" s="18">
        <f>SUM(G4:G13)</f>
        <v/>
      </c>
      <c r="H14" s="18">
        <f>SUM(H4:H13)</f>
        <v/>
      </c>
    </row>
    <row r="15">
      <c r="A15" s="18" t="inlineStr">
        <is>
          <t>Total TTC des notes dans l'annexe C-2 (colonne 6 Tot_ttc)</t>
        </is>
      </c>
      <c r="G15" s="18" t="n">
        <v>44.41</v>
      </c>
      <c r="H15" s="18" t="n">
        <v>44.41</v>
      </c>
    </row>
    <row r="16">
      <c r="A16" s="18" t="inlineStr">
        <is>
          <t>Articles dont la somme des parts n'est pas entiere</t>
        </is>
      </c>
      <c r="E16" s="18">
        <f>COUNTIF(F4:F13,"non")</f>
        <v/>
      </c>
    </row>
    <row r="17">
      <c r="A17" s="18" t="inlineStr">
        <is>
          <t>dont articles payants (prix &gt; 0)</t>
        </is>
      </c>
      <c r="E17" s="18">
        <f>COUNTIFS(F4:F13,"non",B4:B13,"&gt;0")</f>
        <v/>
      </c>
    </row>
    <row r="18">
      <c r="A18" s="18" t="inlineStr">
        <is>
          <t>dont articles a 0 EUR</t>
        </is>
      </c>
      <c r="E18" s="18">
        <f>COUNTIFS(F4:F13,"non",B4:B13,0)</f>
        <v/>
      </c>
    </row>
    <row r="19">
      <c r="A19" s="18" t="inlineStr">
        <is>
          <t>Cette table figure parmi les 8 tables a residu de la piece R2-quantites-recomposition.xlsx (onglet « Residu (8 tables) », ligne 2023-07-01 n° 19 + n° 20).</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6" customWidth="1" style="19" min="1" max="1"/>
    <col width="14" customWidth="1" style="19" min="2" max="2"/>
    <col width="22" customWidth="1" style="19" min="3" max="3"/>
    <col width="14" customWidth="1" style="19" min="4" max="4"/>
    <col width="14" customWidth="1" style="19" min="5" max="5"/>
    <col width="26" customWidth="1" style="19" min="6" max="6"/>
    <col width="18" customWidth="1" style="19" min="7" max="7"/>
  </cols>
  <sheetData>
    <row r="1">
      <c r="A1" s="37" t="inlineStr">
        <is>
          <t>Lignes a quantite non entiere dans les annexes C-1 a C-3 (toutes lignes, payantes et a 0 EUR) : recomptage direct des annexes (filtre « quantite non entiere » sur la colonne 12 Qte)</t>
        </is>
      </c>
    </row>
    <row r="2">
      <c r="A2" s="18" t="inlineStr">
        <is>
          <t>Valeurs recomptees sur les annexes C versees (reproductibles par filtre) ; les lignes a 0 EUR sont celles de l'onglet Fractionnaires.</t>
        </is>
      </c>
    </row>
    <row r="3">
      <c r="A3" s="37" t="inlineStr">
        <is>
          <t>Exercice</t>
        </is>
      </c>
      <c r="B3" s="37" t="inlineStr">
        <is>
          <t>Lignes de vente</t>
        </is>
      </c>
      <c r="C3" s="37" t="inlineStr">
        <is>
          <t>Lignes a quantite non entiere</t>
        </is>
      </c>
      <c r="D3" s="37" t="inlineStr">
        <is>
          <t>dont a prix &gt; 0</t>
        </is>
      </c>
      <c r="E3" s="37" t="inlineStr">
        <is>
          <t>dont a prix 0 EUR</t>
        </is>
      </c>
      <c r="F3" s="37" t="inlineStr">
        <is>
          <t>Notes portant une quantite non entiere</t>
        </is>
      </c>
      <c r="G3" s="37" t="inlineStr">
        <is>
          <t>Part des lignes non entieres</t>
        </is>
      </c>
    </row>
    <row r="4">
      <c r="A4" s="18" t="inlineStr">
        <is>
          <t>2022-2023</t>
        </is>
      </c>
      <c r="B4" s="18" t="n">
        <v>33220</v>
      </c>
      <c r="C4" s="18" t="n">
        <v>3839</v>
      </c>
      <c r="D4" s="18" t="n">
        <v>3839</v>
      </c>
      <c r="E4" s="18" t="n">
        <v>0</v>
      </c>
      <c r="F4" s="18" t="n">
        <v>660</v>
      </c>
      <c r="G4" s="18">
        <f>C4/B4</f>
        <v/>
      </c>
    </row>
    <row r="5">
      <c r="A5" s="18" t="inlineStr">
        <is>
          <t>2023-2024</t>
        </is>
      </c>
      <c r="B5" s="18" t="n">
        <v>32758</v>
      </c>
      <c r="C5" s="18" t="n">
        <v>3809</v>
      </c>
      <c r="D5" s="18" t="n">
        <v>3799</v>
      </c>
      <c r="E5" s="18" t="n">
        <v>10</v>
      </c>
      <c r="F5" s="18" t="n">
        <v>669</v>
      </c>
      <c r="G5" s="18">
        <f>C5/B5</f>
        <v/>
      </c>
    </row>
    <row r="6">
      <c r="A6" s="18" t="inlineStr">
        <is>
          <t>2024-2025</t>
        </is>
      </c>
      <c r="B6" s="18" t="n">
        <v>31791</v>
      </c>
      <c r="C6" s="18" t="n">
        <v>3378</v>
      </c>
      <c r="D6" s="18" t="n">
        <v>3370</v>
      </c>
      <c r="E6" s="18" t="n">
        <v>8</v>
      </c>
      <c r="F6" s="18" t="n">
        <v>584</v>
      </c>
      <c r="G6" s="18">
        <f>C6/B6</f>
        <v/>
      </c>
    </row>
    <row r="7">
      <c r="A7" s="37" t="inlineStr">
        <is>
          <t>Total</t>
        </is>
      </c>
      <c r="B7" s="18">
        <f>SUM(B4:B6)</f>
        <v/>
      </c>
      <c r="C7" s="18">
        <f>SUM(C4:C6)</f>
        <v/>
      </c>
      <c r="D7" s="18">
        <f>SUM(D4:D6)</f>
        <v/>
      </c>
      <c r="E7" s="18">
        <f>SUM(E4:E6)</f>
        <v/>
      </c>
      <c r="F7" s="18">
        <f>SUM(F4:F6)</f>
        <v/>
      </c>
      <c r="G7" s="18">
        <f>C7/B7</f>
        <v/>
      </c>
    </row>
    <row r="8">
      <c r="A8" s="18" t="inlineStr">
        <is>
          <t>Part des lignes a 0 EUR qui sont non entieres (18 / 272)</t>
        </is>
      </c>
      <c r="G8" s="18">
        <f>E7/Decompte_exercices!C7</f>
        <v/>
      </c>
    </row>
    <row r="9">
      <c r="A9" s="18" t="inlineStr">
        <is>
          <t>Part des notes concernees par un partage (notes non entieres / 16 607 notes)</t>
        </is>
      </c>
      <c r="G9" s="18">
        <f>F7/16607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2026-10-25T21:20:50Z</dcterms:created>
  <dcterms:modified xmlns:dcterms="http://purl.org/dc/terms/" xmlns:xsi="http://www.w3.org/2001/XMLSchema-instance" xsi:type="dcterms:W3CDTF">2026-10-27T08:13:10Z</dcterms:modified>
  <cp:revision>0</cp:revision>
</cp:coreProperties>
</file>