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Pages_datees" sheetId="2" state="visible" r:id="rId2"/>
    <sheet xmlns:r="http://schemas.openxmlformats.org/officeDocument/2006/relationships" name="Calcul" sheetId="3" state="visible" r:id="rId3"/>
    <sheet xmlns:r="http://schemas.openxmlformats.org/officeDocument/2006/relationships" name="Methode" sheetId="4" state="visible" r:id="rId4"/>
  </sheets>
  <definedNames/>
  <calcPr calcId="124519" fullCalcOnLoad="1"/>
</workbook>
</file>

<file path=xl/styles.xml><?xml version="1.0" encoding="utf-8"?>
<styleSheet xmlns="http://schemas.openxmlformats.org/spreadsheetml/2006/main">
  <numFmts count="1">
    <numFmt numFmtId="164" formatCode="#,##0.00 &quot;€&quot;"/>
  </numFmts>
  <fonts count="6">
    <font>
      <name val="Calibri"/>
      <family val="2"/>
      <color theme="1"/>
      <sz val="11"/>
      <scheme val="minor"/>
    </font>
    <font>
      <b val="1"/>
      <color rgb="001F4E5F"/>
      <sz val="13"/>
    </font>
    <font>
      <i val="1"/>
      <color rgb="00555555"/>
      <sz val="9"/>
    </font>
    <font>
      <b val="1"/>
      <color rgb="00FFFFFF"/>
    </font>
    <font>
      <b val="1"/>
    </font>
    <font>
      <b val="1"/>
      <color rgb="001F4E5F"/>
      <sz val="11"/>
    </font>
  </fonts>
  <fills count="3">
    <fill>
      <patternFill/>
    </fill>
    <fill>
      <patternFill patternType="gray125"/>
    </fill>
    <fill>
      <patternFill patternType="solid">
        <fgColor rgb="001F4E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0" fontId="4" fillId="0" borderId="0" pivotButton="0" quotePrefix="0" xfId="0"/>
    <xf numFmtId="164" fontId="4" fillId="0" borderId="1" pivotButton="0" quotePrefix="0" xfId="0"/>
    <xf numFmtId="0" fontId="5" fillId="0" borderId="0" pivotButton="0" quotePrefix="0" xfId="0"/>
    <xf numFmtId="0" fontId="0" fillId="0" borderId="1" applyAlignment="1" pivotButton="0" quotePrefix="0" xfId="0">
      <alignment horizontal="center"/>
    </xf>
    <xf numFmtId="0" fontId="4" fillId="0" borderId="0" applyAlignment="1" pivotButton="0" quotePrefix="0" xfId="0">
      <alignment horizontal="center"/>
    </xf>
    <xf numFmtId="0" fontId="0"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0" customWidth="1" min="1" max="1"/>
    <col width="16" customWidth="1" min="2" max="2"/>
    <col width="22" customWidth="1" min="3" max="3"/>
    <col width="42" customWidth="1" min="4" max="4"/>
    <col width="34" customWidth="1" min="5" max="5"/>
    <col width="20" customWidth="1" min="6" max="6"/>
  </cols>
  <sheetData>
    <row r="1">
      <c r="A1" s="1" t="inlineStr">
        <is>
          <t>Sources : totaux portes en pied des feuilles de comptage (inventaires scannes d'origine)</t>
        </is>
      </c>
    </row>
    <row r="2">
      <c r="A2" s="2" t="inlineStr">
        <is>
          <t>Chaque ligne reprend un sous-total manuscrit ou imprime lu en pied d'une feuille de comptage des 3 PDF d'inventaire. Ces valeurs sont les DONNEES BRUTES ; les resultats sont calcules par formule dans l'onglet « Calcul ».</t>
        </is>
      </c>
    </row>
    <row r="4">
      <c r="A4" s="3" t="inlineStr">
        <is>
          <t>Cle (exercice|categorie)</t>
        </is>
      </c>
      <c r="B4" s="3" t="inlineStr">
        <is>
          <t>Exercice (cloture)</t>
        </is>
      </c>
      <c r="C4" s="3" t="inlineStr">
        <is>
          <t>Categorie</t>
        </is>
      </c>
      <c r="D4" s="3" t="inlineStr">
        <is>
          <t>Feuille / page du PDF</t>
        </is>
      </c>
      <c r="E4" s="3" t="inlineStr">
        <is>
          <t>Lecture</t>
        </is>
      </c>
      <c r="F4" s="3" t="inlineStr">
        <is>
          <t>Sous-total en pied (€)</t>
        </is>
      </c>
    </row>
    <row r="5">
      <c r="A5" s="4" t="inlineStr">
        <is>
          <t>2023|SANS</t>
        </is>
      </c>
      <c r="B5" s="4" t="inlineStr">
        <is>
          <t>31/03/2023</t>
        </is>
      </c>
      <c r="C5" s="4" t="inlineStr">
        <is>
          <t>Boissons sans alcool</t>
        </is>
      </c>
      <c r="D5" s="4" t="inlineStr">
        <is>
          <t>p.10 (tableau SANS ALCOOL)</t>
        </is>
      </c>
      <c r="E5" s="4" t="inlineStr">
        <is>
          <t>imprime en pied</t>
        </is>
      </c>
      <c r="F5" s="5" t="n">
        <v>727.7</v>
      </c>
    </row>
    <row r="6">
      <c r="A6" s="4" t="inlineStr">
        <is>
          <t>2023|ALC</t>
        </is>
      </c>
      <c r="B6" s="4" t="inlineStr">
        <is>
          <t>31/03/2023</t>
        </is>
      </c>
      <c r="C6" s="4" t="inlineStr">
        <is>
          <t>Alcools et vins</t>
        </is>
      </c>
      <c r="D6" s="4" t="inlineStr">
        <is>
          <t>p.12 (pied du tableau ALCOOL, p.11-12)</t>
        </is>
      </c>
      <c r="E6" s="4" t="inlineStr">
        <is>
          <t>imprime en pied</t>
        </is>
      </c>
      <c r="F6" s="5" t="n">
        <v>3050.29</v>
      </c>
    </row>
    <row r="7">
      <c r="A7" s="4" t="inlineStr">
        <is>
          <t>2024|SANS</t>
        </is>
      </c>
      <c r="B7" s="4" t="inlineStr">
        <is>
          <t>31/03/2024</t>
        </is>
      </c>
      <c r="C7" s="4" t="inlineStr">
        <is>
          <t>Boissons sans alcool</t>
        </is>
      </c>
      <c r="D7" s="4" t="inlineStr">
        <is>
          <t>p.2-7 (fiche FCBS, sous-totaux manuscrits)</t>
        </is>
      </c>
      <c r="E7" s="4" t="inlineStr">
        <is>
          <t>manuscrit</t>
        </is>
      </c>
      <c r="F7" s="5" t="n">
        <v>198.79</v>
      </c>
    </row>
    <row r="8">
      <c r="A8" s="4" t="inlineStr">
        <is>
          <t>2024|SANS</t>
        </is>
      </c>
      <c r="B8" s="4" t="inlineStr">
        <is>
          <t>31/03/2024</t>
        </is>
      </c>
      <c r="C8" s="4" t="inlineStr">
        <is>
          <t>Boissons sans alcool</t>
        </is>
      </c>
      <c r="D8" s="4" t="inlineStr">
        <is>
          <t>p.2-7 (fiche FCBS, sous-totaux manuscrits)</t>
        </is>
      </c>
      <c r="E8" s="4" t="inlineStr">
        <is>
          <t>manuscrit</t>
        </is>
      </c>
      <c r="F8" s="5" t="n">
        <v>585.13</v>
      </c>
    </row>
    <row r="9">
      <c r="A9" s="4" t="inlineStr">
        <is>
          <t>2024|SANS</t>
        </is>
      </c>
      <c r="B9" s="4" t="inlineStr">
        <is>
          <t>31/03/2024</t>
        </is>
      </c>
      <c r="C9" s="4" t="inlineStr">
        <is>
          <t>Boissons sans alcool</t>
        </is>
      </c>
      <c r="D9" s="4" t="inlineStr">
        <is>
          <t>p.2-7 (fiche FCBS, sous-totaux manuscrits)</t>
        </is>
      </c>
      <c r="E9" s="4" t="inlineStr">
        <is>
          <t>manuscrit</t>
        </is>
      </c>
      <c r="F9" s="5" t="n">
        <v>34.75</v>
      </c>
    </row>
    <row r="10">
      <c r="A10" s="4" t="inlineStr">
        <is>
          <t>2024|SANS</t>
        </is>
      </c>
      <c r="B10" s="4" t="inlineStr">
        <is>
          <t>31/03/2024</t>
        </is>
      </c>
      <c r="C10" s="4" t="inlineStr">
        <is>
          <t>Boissons sans alcool</t>
        </is>
      </c>
      <c r="D10" s="4" t="inlineStr">
        <is>
          <t>p.7 (fiche FCBS, « Sans Alc. = 51,92 »)</t>
        </is>
      </c>
      <c r="E10" s="4" t="inlineStr">
        <is>
          <t>manuscrit</t>
        </is>
      </c>
      <c r="F10" s="5" t="n">
        <v>51.92</v>
      </c>
    </row>
    <row r="11">
      <c r="A11" s="4" t="inlineStr">
        <is>
          <t>2024|ALC</t>
        </is>
      </c>
      <c r="B11" s="4" t="inlineStr">
        <is>
          <t>31/03/2024</t>
        </is>
      </c>
      <c r="C11" s="4" t="inlineStr">
        <is>
          <t>Alcools et vins</t>
        </is>
      </c>
      <c r="D11" s="4" t="inlineStr">
        <is>
          <t>p.2-7 (fiche FCBS, sous-totaux manuscrits)</t>
        </is>
      </c>
      <c r="E11" s="4" t="inlineStr">
        <is>
          <t>manuscrit</t>
        </is>
      </c>
      <c r="F11" s="5" t="n">
        <v>210.7</v>
      </c>
    </row>
    <row r="12">
      <c r="A12" s="4" t="inlineStr">
        <is>
          <t>2024|ALC</t>
        </is>
      </c>
      <c r="B12" s="4" t="inlineStr">
        <is>
          <t>31/03/2024</t>
        </is>
      </c>
      <c r="C12" s="4" t="inlineStr">
        <is>
          <t>Alcools et vins</t>
        </is>
      </c>
      <c r="D12" s="4" t="inlineStr">
        <is>
          <t>p.2-7 (fiche FCBS, sous-totaux manuscrits)</t>
        </is>
      </c>
      <c r="E12" s="4" t="inlineStr">
        <is>
          <t>manuscrit</t>
        </is>
      </c>
      <c r="F12" s="5" t="n">
        <v>561.3200000000001</v>
      </c>
    </row>
    <row r="13">
      <c r="A13" s="4" t="inlineStr">
        <is>
          <t>2024|ALC</t>
        </is>
      </c>
      <c r="B13" s="4" t="inlineStr">
        <is>
          <t>31/03/2024</t>
        </is>
      </c>
      <c r="C13" s="4" t="inlineStr">
        <is>
          <t>Alcools et vins</t>
        </is>
      </c>
      <c r="D13" s="4" t="inlineStr">
        <is>
          <t>p.2-7 (fiche FCBS, sous-totaux manuscrits)</t>
        </is>
      </c>
      <c r="E13" s="4" t="inlineStr">
        <is>
          <t>manuscrit</t>
        </is>
      </c>
      <c r="F13" s="5" t="n">
        <v>900.99</v>
      </c>
    </row>
    <row r="14">
      <c r="A14" s="4" t="inlineStr">
        <is>
          <t>2024|ALC</t>
        </is>
      </c>
      <c r="B14" s="4" t="inlineStr">
        <is>
          <t>31/03/2024</t>
        </is>
      </c>
      <c r="C14" s="4" t="inlineStr">
        <is>
          <t>Alcools et vins</t>
        </is>
      </c>
      <c r="D14" s="4" t="inlineStr">
        <is>
          <t>p.2-7 (fiche FCBS, sous-totaux manuscrits)</t>
        </is>
      </c>
      <c r="E14" s="4" t="inlineStr">
        <is>
          <t>manuscrit</t>
        </is>
      </c>
      <c r="F14" s="5" t="n">
        <v>1704.49</v>
      </c>
    </row>
    <row r="15">
      <c r="A15" s="4" t="inlineStr">
        <is>
          <t>2024|ALC</t>
        </is>
      </c>
      <c r="B15" s="4" t="inlineStr">
        <is>
          <t>31/03/2024</t>
        </is>
      </c>
      <c r="C15" s="4" t="inlineStr">
        <is>
          <t>Alcools et vins</t>
        </is>
      </c>
      <c r="D15" s="4" t="inlineStr">
        <is>
          <t>p.7 (fiche FCBS, « Avec Alc = 559,57 »)</t>
        </is>
      </c>
      <c r="E15" s="4" t="inlineStr">
        <is>
          <t>manuscrit</t>
        </is>
      </c>
      <c r="F15" s="5" t="n">
        <v>559.5700000000001</v>
      </c>
    </row>
    <row r="16">
      <c r="A16" s="4" t="inlineStr">
        <is>
          <t>2025|ALC</t>
        </is>
      </c>
      <c r="B16" s="4" t="inlineStr">
        <is>
          <t>31/03/2025</t>
        </is>
      </c>
      <c r="C16" s="4" t="inlineStr">
        <is>
          <t>Alcools et vins</t>
        </is>
      </c>
      <c r="D16" s="4" t="inlineStr">
        <is>
          <t>p.8 (feuille cotee 5/5)</t>
        </is>
      </c>
      <c r="E16" s="4" t="inlineStr">
        <is>
          <t>manuscrit</t>
        </is>
      </c>
      <c r="F16" s="5" t="n">
        <v>557.99</v>
      </c>
    </row>
    <row r="17">
      <c r="A17" s="4" t="inlineStr">
        <is>
          <t>2025|ALC</t>
        </is>
      </c>
      <c r="B17" s="4" t="inlineStr">
        <is>
          <t>31/03/2025</t>
        </is>
      </c>
      <c r="C17" s="4" t="inlineStr">
        <is>
          <t>Alcools et vins</t>
        </is>
      </c>
      <c r="D17" s="4" t="inlineStr">
        <is>
          <t>p.9 (feuille cotee 4/5)</t>
        </is>
      </c>
      <c r="E17" s="4" t="inlineStr">
        <is>
          <t>manuscrit</t>
        </is>
      </c>
      <c r="F17" s="5" t="n">
        <v>1524.04</v>
      </c>
    </row>
    <row r="18">
      <c r="A18" s="4" t="inlineStr">
        <is>
          <t>2025|ALC</t>
        </is>
      </c>
      <c r="B18" s="4" t="inlineStr">
        <is>
          <t>31/03/2025</t>
        </is>
      </c>
      <c r="C18" s="4" t="inlineStr">
        <is>
          <t>Alcools et vins</t>
        </is>
      </c>
      <c r="D18" s="4" t="inlineStr">
        <is>
          <t>p.10 (feuille cotee 3/5)</t>
        </is>
      </c>
      <c r="E18" s="4" t="inlineStr">
        <is>
          <t>manuscrit</t>
        </is>
      </c>
      <c r="F18" s="5" t="n">
        <v>1686.48</v>
      </c>
    </row>
    <row r="19">
      <c r="A19" s="4" t="inlineStr">
        <is>
          <t>2025|SANS</t>
        </is>
      </c>
      <c r="B19" s="4" t="inlineStr">
        <is>
          <t>31/03/2025</t>
        </is>
      </c>
      <c r="C19" s="4" t="inlineStr">
        <is>
          <t>Boissons sans alcool</t>
        </is>
      </c>
      <c r="D19" s="4" t="inlineStr">
        <is>
          <t>p.11 (re-sommation des 20 lignes = 478,41)</t>
        </is>
      </c>
      <c r="E19" s="4" t="inlineStr">
        <is>
          <t>manuscrit</t>
        </is>
      </c>
      <c r="F19" s="5" t="n">
        <v>478.41</v>
      </c>
    </row>
    <row r="20">
      <c r="A20" s="4" t="inlineStr">
        <is>
          <t>2025|SANS</t>
        </is>
      </c>
      <c r="B20" s="4" t="inlineStr">
        <is>
          <t>31/03/2025</t>
        </is>
      </c>
      <c r="C20" s="4" t="inlineStr">
        <is>
          <t>Boissons sans alcool</t>
        </is>
      </c>
      <c r="D20" s="4" t="inlineStr">
        <is>
          <t>p.12 (feuille cotee 5/5)</t>
        </is>
      </c>
      <c r="E20" s="4" t="inlineStr">
        <is>
          <t>manuscrit</t>
        </is>
      </c>
      <c r="F20" s="5" t="n">
        <v>287.33</v>
      </c>
    </row>
    <row r="21">
      <c r="E21" s="6" t="inlineStr">
        <is>
          <t>Somme de controle (toutes lignes)</t>
        </is>
      </c>
      <c r="F21" s="7">
        <f>SUM(F5:F20)</f>
        <v/>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6" customWidth="1" min="1" max="1"/>
    <col width="24" customWidth="1" min="2" max="2"/>
    <col width="22" customWidth="1" min="3" max="3"/>
    <col width="32" customWidth="1" min="4" max="4"/>
    <col width="52" customWidth="1" min="5" max="5"/>
  </cols>
  <sheetData>
    <row r="1">
      <c r="A1" s="1" t="inlineStr">
        <is>
          <t>Pages recapitulatives datees (page 1 de chaque PDF d'inventaire)</t>
        </is>
      </c>
    </row>
    <row r="2">
      <c r="A2" s="2" t="inlineStr">
        <is>
          <t>Valeurs lues sur la 1re page datee de chaque PDF. Le total boissons est calcule par formule (sans alcool + alcools). La page 2024 imprime « Total : 4 807.60 € » (coquille) ; le report manuscrit de la p.7 et l'ecriture comptable retiennent 4 807,66 €, somme reelle des deux lignes.</t>
        </is>
      </c>
    </row>
    <row r="4">
      <c r="A4" s="3" t="inlineStr">
        <is>
          <t>Exercice (cloture)</t>
        </is>
      </c>
      <c r="B4" s="3" t="inlineStr">
        <is>
          <t>Boissons sans alcool (€)</t>
        </is>
      </c>
      <c r="C4" s="3" t="inlineStr">
        <is>
          <t>Alcools et vins (€)</t>
        </is>
      </c>
      <c r="D4" s="3" t="inlineStr">
        <is>
          <t>Total boissons (= somme, formule)</t>
        </is>
      </c>
      <c r="E4" s="3" t="inlineStr">
        <is>
          <t>Rappel total imprime</t>
        </is>
      </c>
    </row>
    <row r="5">
      <c r="A5" s="4" t="inlineStr">
        <is>
          <t>31/03/2023</t>
        </is>
      </c>
      <c r="B5" s="5" t="n">
        <v>727.7</v>
      </c>
      <c r="C5" s="5" t="n">
        <v>3050.29</v>
      </c>
      <c r="D5" s="7">
        <f>B5+C5</f>
        <v/>
      </c>
      <c r="E5" s="4" t="inlineStr">
        <is>
          <t>pas de sous-total boissons imprime (somme des 2 lignes)</t>
        </is>
      </c>
    </row>
    <row r="6">
      <c r="A6" s="4" t="inlineStr">
        <is>
          <t>31/03/2024</t>
        </is>
      </c>
      <c r="B6" s="5" t="n">
        <v>870.59</v>
      </c>
      <c r="C6" s="5" t="n">
        <v>3937.07</v>
      </c>
      <c r="D6" s="7">
        <f>B6+C6</f>
        <v/>
      </c>
      <c r="E6" s="4" t="inlineStr">
        <is>
          <t>imprime « Total : 4 807.60 € » (coquille) ; report manuscrit p.7 = 4 807,66 €</t>
        </is>
      </c>
    </row>
    <row r="7">
      <c r="A7" s="4" t="inlineStr">
        <is>
          <t>31/03/2025</t>
        </is>
      </c>
      <c r="B7" s="5" t="n">
        <v>765.74</v>
      </c>
      <c r="C7" s="5" t="n">
        <v>3768.51</v>
      </c>
      <c r="D7" s="7">
        <f>B7+C7</f>
        <v/>
      </c>
      <c r="E7" s="4" t="inlineStr">
        <is>
          <t>imprime « Boissons : 4 534.25 € »</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0" customWidth="1" min="1" max="1"/>
    <col width="24" customWidth="1" min="2" max="2"/>
    <col width="24" customWidth="1" min="3" max="3"/>
    <col width="30" customWidth="1" min="4" max="4"/>
    <col width="22" customWidth="1" min="5" max="5"/>
    <col width="22" customWidth="1" min="6" max="6"/>
    <col width="60" customWidth="1" min="7" max="7"/>
  </cols>
  <sheetData>
    <row r="1">
      <c r="A1" s="1" t="inlineStr">
        <is>
          <t>Calcul : la chaine, feuilles de comptage -&gt; pages datees -&gt; compte de stock</t>
        </is>
      </c>
    </row>
    <row r="2">
      <c r="A2" s="2" t="inlineStr">
        <is>
          <t>Bloc A : la somme des feuilles de comptage (SOMME.SI sur l'onglet Sources) est confrontee, categorie par categorie, au total porte sur la page datee. Bloc B : les stocks de cloture et la variation de stock, confrontes au montant retenu par le service. Toutes les cases « resultat » sont des formules.</t>
        </is>
      </c>
    </row>
    <row r="4">
      <c r="A4" s="8" t="inlineStr">
        <is>
          <t>A. Rapprochement : somme des feuilles de comptage vs page recapitulative datee</t>
        </is>
      </c>
    </row>
    <row r="5">
      <c r="A5" s="3" t="inlineStr">
        <is>
          <t>Exercice</t>
        </is>
      </c>
      <c r="B5" s="3" t="inlineStr">
        <is>
          <t>Categorie</t>
        </is>
      </c>
      <c r="C5" s="3" t="inlineStr">
        <is>
          <t>Somme des feuilles (SOMME.SI Sources)</t>
        </is>
      </c>
      <c r="D5" s="3" t="inlineStr">
        <is>
          <t>Page datee</t>
        </is>
      </c>
      <c r="E5" s="3" t="inlineStr">
        <is>
          <t>Ecart (formule)</t>
        </is>
      </c>
      <c r="F5" s="3" t="inlineStr">
        <is>
          <t>Etat</t>
        </is>
      </c>
    </row>
    <row r="6">
      <c r="A6" s="4" t="inlineStr">
        <is>
          <t>31/03/2023</t>
        </is>
      </c>
      <c r="B6" s="4" t="inlineStr">
        <is>
          <t>Sans alcool</t>
        </is>
      </c>
      <c r="C6" s="5">
        <f>SUMIF(Sources!$A$5:$A$20,"2023|SANS",Sources!$F$5:$F$20)</f>
        <v/>
      </c>
      <c r="D6" s="5">
        <f>Pages_datees!B5</f>
        <v/>
      </c>
      <c r="E6" s="5">
        <f>C6-D6</f>
        <v/>
      </c>
      <c r="F6" s="9">
        <f>IF(ROUND(E6,2)=0,"nul","ECART")</f>
        <v/>
      </c>
    </row>
    <row r="7">
      <c r="A7" s="4" t="inlineStr">
        <is>
          <t>31/03/2023</t>
        </is>
      </c>
      <c r="B7" s="4" t="inlineStr">
        <is>
          <t>Alcools et vins</t>
        </is>
      </c>
      <c r="C7" s="5">
        <f>SUMIF(Sources!$A$5:$A$20,"2023|ALC",Sources!$F$5:$F$20)</f>
        <v/>
      </c>
      <c r="D7" s="5">
        <f>Pages_datees!C5</f>
        <v/>
      </c>
      <c r="E7" s="5">
        <f>C7-D7</f>
        <v/>
      </c>
      <c r="F7" s="9">
        <f>IF(ROUND(E7,2)=0,"nul","ECART")</f>
        <v/>
      </c>
    </row>
    <row r="8">
      <c r="A8" s="4" t="inlineStr">
        <is>
          <t>31/03/2024</t>
        </is>
      </c>
      <c r="B8" s="4" t="inlineStr">
        <is>
          <t>Sans alcool</t>
        </is>
      </c>
      <c r="C8" s="5">
        <f>SUMIF(Sources!$A$5:$A$20,"2024|SANS",Sources!$F$5:$F$20)</f>
        <v/>
      </c>
      <c r="D8" s="5">
        <f>Pages_datees!B6</f>
        <v/>
      </c>
      <c r="E8" s="5">
        <f>C8-D8</f>
        <v/>
      </c>
      <c r="F8" s="9">
        <f>IF(ROUND(E8,2)=0,"nul","ECART")</f>
        <v/>
      </c>
    </row>
    <row r="9">
      <c r="A9" s="4" t="inlineStr">
        <is>
          <t>31/03/2024</t>
        </is>
      </c>
      <c r="B9" s="4" t="inlineStr">
        <is>
          <t>Alcools et vins</t>
        </is>
      </c>
      <c r="C9" s="5">
        <f>SUMIF(Sources!$A$5:$A$20,"2024|ALC",Sources!$F$5:$F$20)</f>
        <v/>
      </c>
      <c r="D9" s="5">
        <f>Pages_datees!C6</f>
        <v/>
      </c>
      <c r="E9" s="5">
        <f>C9-D9</f>
        <v/>
      </c>
      <c r="F9" s="9">
        <f>IF(ROUND(E9,2)=0,"nul","ECART")</f>
        <v/>
      </c>
    </row>
    <row r="10">
      <c r="A10" s="4" t="inlineStr">
        <is>
          <t>31/03/2025</t>
        </is>
      </c>
      <c r="B10" s="4" t="inlineStr">
        <is>
          <t>Alcools et vins</t>
        </is>
      </c>
      <c r="C10" s="5">
        <f>SUMIF(Sources!$A$5:$A$20,"2025|ALC",Sources!$F$5:$F$20)</f>
        <v/>
      </c>
      <c r="D10" s="5">
        <f>Pages_datees!C7</f>
        <v/>
      </c>
      <c r="E10" s="5">
        <f>C10-D10</f>
        <v/>
      </c>
      <c r="F10" s="9">
        <f>IF(ROUND(E10,2)=0,"nul","ECART")</f>
        <v/>
      </c>
    </row>
    <row r="11">
      <c r="A11" s="4" t="inlineStr">
        <is>
          <t>31/03/2025</t>
        </is>
      </c>
      <c r="B11" s="4" t="inlineStr">
        <is>
          <t>Sans alcool</t>
        </is>
      </c>
      <c r="C11" s="5">
        <f>SUMIF(Sources!$A$5:$A$20,"2025|SANS",Sources!$F$5:$F$20)</f>
        <v/>
      </c>
      <c r="D11" s="5">
        <f>Pages_datees!B7</f>
        <v/>
      </c>
      <c r="E11" s="5">
        <f>C11-D11</f>
        <v/>
      </c>
      <c r="F11" s="9">
        <f>IF(ROUND(E11,2)=0,"nul","ECART")</f>
        <v/>
      </c>
    </row>
    <row r="12">
      <c r="B12" s="6" t="inlineStr">
        <is>
          <t>Rapprochements nuls / total</t>
        </is>
      </c>
      <c r="F12" s="10">
        <f>COUNTIF(F6:F11,"nul")&amp;" / "&amp;COUNTA(F6:F11)</f>
        <v/>
      </c>
    </row>
    <row r="15">
      <c r="A15" s="8" t="inlineStr">
        <is>
          <t>B. Stock de cloture (boissons) et variation de stock vs montant retenu par le service</t>
        </is>
      </c>
    </row>
    <row r="16">
      <c r="A16" s="3" t="inlineStr">
        <is>
          <t>Exercice comptable</t>
        </is>
      </c>
      <c r="B16" s="3" t="inlineStr">
        <is>
          <t>Stock initial (page datee)</t>
        </is>
      </c>
      <c r="C16" s="3" t="inlineStr">
        <is>
          <t>Stock final (page datee)</t>
        </is>
      </c>
      <c r="D16" s="3" t="inlineStr">
        <is>
          <t>Variation = initial - final (formule)</t>
        </is>
      </c>
      <c r="E16" s="3" t="inlineStr">
        <is>
          <t>Retenu par le service</t>
        </is>
      </c>
      <c r="F16" s="3" t="inlineStr">
        <is>
          <t>Ecart (formule)</t>
        </is>
      </c>
    </row>
    <row r="17">
      <c r="A17" s="4" t="inlineStr">
        <is>
          <t>2022-2023</t>
        </is>
      </c>
      <c r="B17" s="4" t="inlineStr">
        <is>
          <t>non repris</t>
        </is>
      </c>
      <c r="C17" s="5">
        <f>Pages_datees!D5</f>
        <v/>
      </c>
      <c r="D17" s="4" t="inlineStr">
        <is>
          <t>non calculable</t>
        </is>
      </c>
      <c r="E17" s="5" t="n">
        <v>-800.83</v>
      </c>
      <c r="F17" s="4" t="inlineStr">
        <is>
          <t>non calculable</t>
        </is>
      </c>
      <c r="G17" t="inlineStr">
        <is>
          <t>stock au 31/03/2022 non repris dans nos etats -&gt; variation non calculable de notre cote</t>
        </is>
      </c>
    </row>
    <row r="18">
      <c r="A18" s="4" t="inlineStr">
        <is>
          <t>2023-2024</t>
        </is>
      </c>
      <c r="B18" s="5">
        <f>Pages_datees!D5</f>
        <v/>
      </c>
      <c r="C18" s="5">
        <f>Pages_datees!D6</f>
        <v/>
      </c>
      <c r="D18" s="7">
        <f>B18-C18</f>
        <v/>
      </c>
      <c r="E18" s="5" t="n">
        <v>-1029.67</v>
      </c>
      <c r="F18" s="5">
        <f>D18-E18</f>
        <v/>
      </c>
      <c r="G18" t="inlineStr">
        <is>
          <t>coincide au centime</t>
        </is>
      </c>
    </row>
    <row r="19">
      <c r="A19" s="4" t="inlineStr">
        <is>
          <t>2024-2025</t>
        </is>
      </c>
      <c r="B19" s="5">
        <f>Pages_datees!D6</f>
        <v/>
      </c>
      <c r="C19" s="5">
        <f>Pages_datees!D7</f>
        <v/>
      </c>
      <c r="D19" s="7">
        <f>B19-C19</f>
        <v/>
      </c>
      <c r="E19" s="5" t="n">
        <v>-273.41</v>
      </c>
      <c r="F19" s="5">
        <f>D19-E19</f>
        <v/>
      </c>
      <c r="G19" t="inlineStr">
        <is>
          <t>egalite en valeur absolue ; signe inverse au compte, releve pour memoire</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Methode : d'ou vient chaque chiffre</t>
        </is>
      </c>
    </row>
    <row r="2">
      <c r="A2" s="11" t="inlineStr"/>
    </row>
    <row r="3">
      <c r="A3" s="12" t="inlineStr">
        <is>
          <t>OBJET. Cette piece reconstruit, par formule, la chaine des totaux de stock de boissons des trois exercices verifies, depuis les feuilles de comptage des inventaires d'origine jusqu'au compte de stock dont le service tire sa reconstitution. Aucun resultat n'est saisi en dur : les sommes, ecarts et variations sont des formules Excel (SOMME, SOMME.SI, IF, COUNTIF). Seules les donnees brutes lues sur les scans sont saisies.</t>
        </is>
      </c>
    </row>
    <row r="4">
      <c r="A4" s="11" t="inlineStr"/>
    </row>
    <row r="5">
      <c r="A5" s="12" t="inlineStr">
        <is>
          <t>ONGLET « Sources ». Chaque ligne = un sous-total lu en pied d'une feuille de comptage d'un des trois PDF d'inventaire (colonne « Feuille / page du PDF »). Lecture directe des scans :</t>
        </is>
      </c>
    </row>
    <row r="6">
      <c r="A6" s="11" t="inlineStr">
        <is>
          <t xml:space="preserve">   • 31/03/2023 : p.10 tableau SANS ALCOOL = 727,70 € (imprime) ; p.12 pied du tableau ALCOOL = 3 050,29 € (imprime).</t>
        </is>
      </c>
    </row>
    <row r="7">
      <c r="A7" s="11" t="inlineStr">
        <is>
          <t xml:space="preserve">   • 31/03/2024 : fiche client FRANCHE-COMTE BOISSONS SERVICE editee « Le 7/03/24 a 13:55:33 - Semaine 10 Jour 67 » ; report manuscrit p.7 : « Total Sans Alcool = 870,59 / Avec Alcool = 3937,07 / 4807,66 ». Les sous-totaux manuscrits des feuilles somment a ces deux totaux (verifie par formule en onglet Calcul).</t>
        </is>
      </c>
    </row>
    <row r="8">
      <c r="A8" s="11" t="inlineStr">
        <is>
          <t xml:space="preserve">   • 31/03/2025 : feuilles manuscrites cotees 3/5 a 5/5 ; alcools p.8 = 557,99 / p.9 = 1 524,04 / p.10 = 1 686,48 ; sans alcool p.11 = 478,41 / p.12 = 287,33.</t>
        </is>
      </c>
    </row>
    <row r="9">
      <c r="A9" s="11" t="inlineStr"/>
    </row>
    <row r="10">
      <c r="A10" s="12" t="inlineStr">
        <is>
          <t>CORRECTION DE LECTURE (feuille sans alcool 2025, p.11). Une version anterieure de la transcription portait 473,41 € en pied de cette feuille. La re-sommation des vingt lignes entourees (32,70 + 27,12 + 50,40 + 30,42 + 15,63 + 32,10 + 13,89 + 21,50 + 9,68 + 6,11 + 11,22 + 9,28 + 4,32 + 12,72 + 4,64 + 77,88 + 41,61 + 19,20 + 29,93 + 28,06) donne 478,41 € au centime, et le chiffre manuscrit en pied se lit 478,41. La valeur retenue ici est donc 478,41 €. Consequence : sans alcool 2025 = 478,41 + 287,33 = 765,74 €, soit exactement la page datee (765,74 €) : le sixieme rapprochement est nul, et la chaine est nulle 6 fois sur 6.</t>
        </is>
      </c>
    </row>
    <row r="11">
      <c r="A11" s="11" t="inlineStr"/>
    </row>
    <row r="12">
      <c r="A12" s="12" t="inlineStr">
        <is>
          <t>ONGLET « Pages_datees ». Totaux lus en page 1 de chaque PDF. Le total boissons de la colonne D est une formule (sans alcool + alcools). La page 2024 imprime « Total : 4 807.60 € » : c'est une coquille d'impression ; la somme reelle des deux lignes (870,59 + 3 937,07) et le report manuscrit de la p.7 donnent 4 807,66 €, montant enregistre en comptabilite.</t>
        </is>
      </c>
    </row>
    <row r="13">
      <c r="A13" s="11" t="inlineStr"/>
    </row>
    <row r="14">
      <c r="A14" s="12" t="inlineStr">
        <is>
          <t>ONGLET « Calcul », bloc A. Pour chaque exercice et categorie, la colonne C fait SOMME.SI sur l'onglet Sources (cle exercice|categorie), la colonne D pointe la page datee, la colonne E calcule l'ecart et la colonne F le qualifie (« nul » si arrondi a 0). Resultat : 6 rapprochements sur 6 nuls au centime.</t>
        </is>
      </c>
    </row>
    <row r="15">
      <c r="A15" s="11" t="inlineStr"/>
    </row>
    <row r="16">
      <c r="A16" s="12" t="inlineStr">
        <is>
          <t>ONGLET « Calcul », bloc B. Le stock de cloture (boissons) de chaque page datee sert a calculer la variation de stock (stock initial - stock final, formule). Elle est confrontee au montant retenu par le service (annexes 7-1 a 7-3, ligne « 312000 STOCK BOISSONS DEMI LUNE », et tableau consolide p.34-35) :</t>
        </is>
      </c>
    </row>
    <row r="17">
      <c r="A17" s="11" t="inlineStr">
        <is>
          <t xml:space="preserve">   • 2023-2024 : 3 777,99 - 4 807,66 = -1 029,67 € = montant retenu par le service (ecart nul).</t>
        </is>
      </c>
    </row>
    <row r="18">
      <c r="A18" s="11" t="inlineStr">
        <is>
          <t xml:space="preserve">   • 2024-2025 : 4 807,66 - 4 534,25 = +273,41 € ; le service retient -273,41 € (egalite en valeur absolue ; le signe porte au compte est inverse de la convention, point releve pour memoire).</t>
        </is>
      </c>
    </row>
    <row r="19">
      <c r="A19" s="11" t="inlineStr">
        <is>
          <t xml:space="preserve">   • 2022-2023 : le stock au 31/03/2022 n'etant pas repris dans nos etats, la variation n'est pas calculable de notre cote ; le service retient -800,83 €.</t>
        </is>
      </c>
    </row>
    <row r="20">
      <c r="A20" s="11" t="inlineStr"/>
    </row>
    <row r="21">
      <c r="A21" s="12" t="inlineStr">
        <is>
          <t>PORTEE. La variation 2023-2024 que le service a lui-meme portee en comptabilite matiere (-1 029,67 €) est, au centime, la difference entre deux inventaires dates : ces inventaires existaient donc avant l'ecriture et leurs totaux sont exacts. Cette piece etablit la chaine arithmetique ; elle n'etablit pas, a elle seule, la date materielle du geste de comptage des boissons pour l'exercice 2024-2025 (feuilles 2025 non datees), point signale honnetement dans la page.</t>
        </is>
      </c>
    </row>
    <row r="22">
      <c r="A22" s="11" t="inlineStr"/>
    </row>
    <row r="23">
      <c r="A23" s="12" t="inlineStr">
        <is>
          <t>SOURCES PRIMAIRES. Inventaire_Demi_Lune_2023-03-31.pdf ; Inventaire_Demi_Lune_2024-03-31.pdf ; Inventaire_Demi_Lune_2025-03-31.pdf (public/documents/inventaires/).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2026-10-25T19:07:11Z</dcterms:created>
  <dcterms:modified xmlns:dcterms="http://purl.org/dc/terms/" xmlns:xsi="http://www.w3.org/2001/XMLSchema-instance" xsi:type="dcterms:W3CDTF">2026-10-25T19:07:11Z</dcterms:modified>
</cp:coreProperties>
</file>