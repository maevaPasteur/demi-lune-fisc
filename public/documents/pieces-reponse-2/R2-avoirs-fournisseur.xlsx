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" sheetId="1" state="visible" r:id="rId3"/>
    <sheet name="Calcul" sheetId="2" state="visible" r:id="rId4"/>
    <sheet name="Metho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<sst xmlns="http://schemas.openxmlformats.org/spreadsheetml/2006/main" count="55" uniqueCount="51">
  <si>
    <t xml:space="preserve">R2 - Avoirs et retours fournisseur FCBS : sources</t>
  </si>
  <si>
    <t xml:space="preserve">Relevé ligne à ligne des 199 factures et des 6 avoirs (notes de crédit) du fournisseur Franche-Comté Boissons Service. Les quantités négatives portées sur les factures (retours) sont déjà déduites des achats ; les 6 avoirs autonomes ci-dessous ne l'étaient pas dans les achats bruts du service (compte 601 200).</t>
  </si>
  <si>
    <t xml:space="preserve">N° avoir</t>
  </si>
  <si>
    <t xml:space="preserve">Date</t>
  </si>
  <si>
    <t xml:space="preserve">Code</t>
  </si>
  <si>
    <t xml:space="preserve">Désignation</t>
  </si>
  <si>
    <t xml:space="preserve">Qté</t>
  </si>
  <si>
    <t xml:space="preserve">HT (€)</t>
  </si>
  <si>
    <t xml:space="preserve">Volume boisson (L)</t>
  </si>
  <si>
    <t xml:space="preserve">Traitement</t>
  </si>
  <si>
    <t xml:space="preserve">520312</t>
  </si>
  <si>
    <t xml:space="preserve">16/07/2024</t>
  </si>
  <si>
    <t xml:space="preserve">403200</t>
  </si>
  <si>
    <t xml:space="preserve">CIDRE BRUT BOLEE ARMORIQ 75 CL</t>
  </si>
  <si>
    <t xml:space="preserve">Boisson - à retirer des achats</t>
  </si>
  <si>
    <t xml:space="preserve">526876</t>
  </si>
  <si>
    <t xml:space="preserve">25/09/2024</t>
  </si>
  <si>
    <t xml:space="preserve">510090</t>
  </si>
  <si>
    <t xml:space="preserve">GD MARNIER CORD RGE 70 CL 40°</t>
  </si>
  <si>
    <t xml:space="preserve">532782</t>
  </si>
  <si>
    <t xml:space="preserve">11/12/2024</t>
  </si>
  <si>
    <t xml:space="preserve">603040</t>
  </si>
  <si>
    <t xml:space="preserve">BIB BOURGOGNE ALIGOTE 10 L</t>
  </si>
  <si>
    <t xml:space="preserve">521589</t>
  </si>
  <si>
    <t xml:space="preserve">26/07/2024</t>
  </si>
  <si>
    <t xml:space="preserve">601674</t>
  </si>
  <si>
    <t xml:space="preserve">CHARDONNAY LES JAMELLES 75 CL 2022</t>
  </si>
  <si>
    <t xml:space="preserve">Hors champ boissons (produit non listé)</t>
  </si>
  <si>
    <t xml:space="preserve">531198</t>
  </si>
  <si>
    <t xml:space="preserve">21/11/2024</t>
  </si>
  <si>
    <t xml:space="preserve">101109</t>
  </si>
  <si>
    <t xml:space="preserve">SUCRE FCBS BUCHETTE x 4 KG</t>
  </si>
  <si>
    <t xml:space="preserve">Hors champ boissons (épicerie)</t>
  </si>
  <si>
    <t xml:space="preserve">539549</t>
  </si>
  <si>
    <t xml:space="preserve">14/03/2025</t>
  </si>
  <si>
    <t xml:space="preserve">212122</t>
  </si>
  <si>
    <t xml:space="preserve">FUT AFFLIGEM BLADE 8 L 6,7°</t>
  </si>
  <si>
    <t xml:space="preserve">Emballage repris (consigne), sans volume de boisson</t>
  </si>
  <si>
    <t xml:space="preserve">Note : 40 retours (quantités négatives) sont intégrés aux factures et déjà déduits des achats. Les lignes de consigne/déconsigne sont des emballages, sans volume de boisson.</t>
  </si>
  <si>
    <t xml:space="preserve">R2 - Avoirs boisson ignorés par le service : effet sur le « disponible »</t>
  </si>
  <si>
    <t xml:space="preserve">Avoir</t>
  </si>
  <si>
    <t xml:space="preserve">Volume (L)</t>
  </si>
  <si>
    <t xml:space="preserve">TOTAL avoirs boisson à retirer</t>
  </si>
  <si>
    <t xml:space="preserve">Effet : le « volume disponible » du service (disponible = achats + variation de stock) est bâti sur les achats bruts du compte 601 200, sans déduction de ces 3 avoirs de boisson. Il est donc surévalué de 204,65 € HT et de 34,6 L sur l'exercice 2024-2025 (dates des avoirs : 16/07/2024 au 14/03/2025). Tout « volume disparu » calculé sur ce disponible hérite de la même surévaluation.</t>
  </si>
  <si>
    <t xml:space="preserve">R2 - Avoirs fournisseur : méthode</t>
  </si>
  <si>
    <t xml:space="preserve">Objet : chiffrer les avoirs fournisseur que le service n'a pas déduits des achats, et donc du « volume disponible » servant à sa reconstitution.</t>
  </si>
  <si>
    <t xml:space="preserve">Source : fichier FCBS « Factures, avoirs et retours » (199 factures, 6 avoirs autonomes, retours intégrés).</t>
  </si>
  <si>
    <t xml:space="preserve">Tri : sur les 6 avoirs autonomes, 3 portent sur du volume de boisson (Cidre Brut, Grand Marnier, BIB Bourgogne Aligoté) ; 2 sont hors champ boissons (Chardonnay non listé, sucre) ; 1 est une reprise d'emballage (fût Affligem, consigne).</t>
  </si>
  <si>
    <t xml:space="preserve">Calcul : avoirs boisson = 83,40 + 66,96 + 54,29 = 204,65 € HT ; 22,5 + 2,1 + 10,0 = 34,6 L. Ces montants viennent en diminution des achats, donc du disponible.</t>
  </si>
  <si>
    <t xml:space="preserve">Les 40 retours (quantités négatives sur factures) étaient déjà déduits : ils ne sont pas recomptés ici.</t>
  </si>
  <si>
    <t xml:space="preserve">Portée : point défensif. Il établit que la base « disponible » du service est surévaluée ; l'effet chiffré est modeste (204,65 € HT) et circonscrit à l'exercice 2024-2025.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</si>
</sst>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\ ##0.00&quot; €&quot;;\-#\ ##0.00&quot; €&quot;"/>
    <numFmt numFmtId="166" formatCode="#\ ##0.0&quot; L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EF4"/>
        <bgColor rgb="FFE3F2E7"/>
      </patternFill>
    </fill>
    <fill>
      <patternFill patternType="solid">
        <fgColor rgb="FFFDF1DD"/>
        <bgColor rgb="FFE8EEF4"/>
      </patternFill>
    </fill>
    <fill>
      <patternFill patternType="solid">
        <fgColor rgb="FFE3F2E7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1DD"/>
      <rgbColor rgb="FFE3F2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n">
        <v>30</v>
      </c>
      <c r="F5" s="5" t="n">
        <v>83.4</v>
      </c>
      <c r="G5" s="6" t="n">
        <v>22.5</v>
      </c>
      <c r="H5" s="4" t="s">
        <v>14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s">
        <v>17</v>
      </c>
      <c r="D6" s="4" t="s">
        <v>18</v>
      </c>
      <c r="E6" s="4" t="n">
        <v>3</v>
      </c>
      <c r="F6" s="5" t="n">
        <v>66.96</v>
      </c>
      <c r="G6" s="6" t="n">
        <v>2.1</v>
      </c>
      <c r="H6" s="4" t="s">
        <v>14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n">
        <v>1</v>
      </c>
      <c r="F7" s="5" t="n">
        <v>54.29</v>
      </c>
      <c r="G7" s="6" t="n">
        <v>10</v>
      </c>
      <c r="H7" s="4" t="s">
        <v>14</v>
      </c>
    </row>
    <row r="8" customFormat="false" ht="15" hidden="false" customHeight="false" outlineLevel="0" collapsed="false">
      <c r="A8" s="7" t="s">
        <v>23</v>
      </c>
      <c r="B8" s="7" t="s">
        <v>24</v>
      </c>
      <c r="C8" s="7" t="s">
        <v>25</v>
      </c>
      <c r="D8" s="7" t="s">
        <v>26</v>
      </c>
      <c r="E8" s="7" t="n">
        <v>6</v>
      </c>
      <c r="F8" s="8" t="n">
        <v>35.52</v>
      </c>
      <c r="G8" s="9" t="n">
        <v>0</v>
      </c>
      <c r="H8" s="7" t="s">
        <v>27</v>
      </c>
    </row>
    <row r="9" customFormat="false" ht="15" hidden="false" customHeight="false" outlineLevel="0" collapsed="false">
      <c r="A9" s="7" t="s">
        <v>28</v>
      </c>
      <c r="B9" s="7" t="s">
        <v>29</v>
      </c>
      <c r="C9" s="7" t="s">
        <v>30</v>
      </c>
      <c r="D9" s="7" t="s">
        <v>31</v>
      </c>
      <c r="E9" s="7" t="n">
        <v>1</v>
      </c>
      <c r="F9" s="8" t="n">
        <v>14.89</v>
      </c>
      <c r="G9" s="9" t="n">
        <v>0</v>
      </c>
      <c r="H9" s="7" t="s">
        <v>32</v>
      </c>
    </row>
    <row r="10" customFormat="false" ht="15" hidden="false" customHeight="false" outlineLevel="0" collapsed="false">
      <c r="A10" s="7" t="s">
        <v>33</v>
      </c>
      <c r="B10" s="7" t="s">
        <v>34</v>
      </c>
      <c r="C10" s="7" t="s">
        <v>35</v>
      </c>
      <c r="D10" s="7" t="s">
        <v>36</v>
      </c>
      <c r="E10" s="7" t="n">
        <v>16</v>
      </c>
      <c r="F10" s="8" t="n">
        <v>69.6</v>
      </c>
      <c r="G10" s="9" t="n">
        <v>0</v>
      </c>
      <c r="H10" s="7" t="s">
        <v>37</v>
      </c>
    </row>
    <row r="12" customFormat="false" ht="30" hidden="false" customHeight="true" outlineLevel="0" collapsed="false">
      <c r="A12" s="2" t="s">
        <v>38</v>
      </c>
      <c r="B12" s="2"/>
      <c r="C12" s="2"/>
      <c r="D12" s="2"/>
      <c r="E12" s="2"/>
      <c r="F12" s="2"/>
      <c r="G12" s="2"/>
      <c r="H12" s="2"/>
    </row>
  </sheetData>
  <mergeCells count="2"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39</v>
      </c>
    </row>
    <row r="3" customFormat="false" ht="15" hidden="false" customHeight="false" outlineLevel="0" collapsed="false">
      <c r="A3" s="3" t="s">
        <v>40</v>
      </c>
      <c r="B3" s="3" t="s">
        <v>5</v>
      </c>
      <c r="C3" s="3" t="s">
        <v>7</v>
      </c>
      <c r="D3" s="3" t="s">
        <v>41</v>
      </c>
    </row>
    <row r="4" customFormat="false" ht="15" hidden="false" customHeight="false" outlineLevel="0" collapsed="false">
      <c r="A4" s="7" t="str">
        <f aca="false">Sources!A5</f>
        <v>520312</v>
      </c>
      <c r="B4" s="7" t="str">
        <f aca="false">Sources!D5</f>
        <v>CIDRE BRUT BOLEE ARMORIQ 75 CL</v>
      </c>
      <c r="C4" s="8" t="n">
        <f aca="false">Sources!F5</f>
        <v>83.4</v>
      </c>
      <c r="D4" s="9" t="n">
        <f aca="false">Sources!G5</f>
        <v>22.5</v>
      </c>
    </row>
    <row r="5" customFormat="false" ht="15" hidden="false" customHeight="false" outlineLevel="0" collapsed="false">
      <c r="A5" s="7" t="str">
        <f aca="false">Sources!A6</f>
        <v>526876</v>
      </c>
      <c r="B5" s="7" t="str">
        <f aca="false">Sources!D6</f>
        <v>GD MARNIER CORD RGE 70 CL 40°</v>
      </c>
      <c r="C5" s="8" t="n">
        <f aca="false">Sources!F6</f>
        <v>66.96</v>
      </c>
      <c r="D5" s="9" t="n">
        <f aca="false">Sources!G6</f>
        <v>2.1</v>
      </c>
    </row>
    <row r="6" customFormat="false" ht="15" hidden="false" customHeight="false" outlineLevel="0" collapsed="false">
      <c r="A6" s="7" t="str">
        <f aca="false">Sources!A7</f>
        <v>532782</v>
      </c>
      <c r="B6" s="7" t="str">
        <f aca="false">Sources!D7</f>
        <v>BIB BOURGOGNE ALIGOTE 10 L</v>
      </c>
      <c r="C6" s="8" t="n">
        <f aca="false">Sources!F7</f>
        <v>54.29</v>
      </c>
      <c r="D6" s="9" t="n">
        <f aca="false">Sources!G7</f>
        <v>10</v>
      </c>
    </row>
    <row r="7" customFormat="false" ht="15" hidden="false" customHeight="false" outlineLevel="0" collapsed="false">
      <c r="A7" s="10" t="s">
        <v>42</v>
      </c>
      <c r="B7" s="10"/>
      <c r="C7" s="11" t="n">
        <f aca="false">SUM(C4:C6)</f>
        <v>204.65</v>
      </c>
      <c r="D7" s="12" t="n">
        <f aca="false">SUM(D4:D6)</f>
        <v>34.6</v>
      </c>
    </row>
    <row r="9" customFormat="false" ht="60" hidden="false" customHeight="true" outlineLevel="0" collapsed="false">
      <c r="A9" s="2" t="s">
        <v>43</v>
      </c>
      <c r="B9" s="2"/>
      <c r="C9" s="2"/>
      <c r="D9" s="2"/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44</v>
      </c>
    </row>
    <row r="3" customFormat="false" ht="15" hidden="false" customHeight="false" outlineLevel="0" collapsed="false">
      <c r="A3" s="13" t="s">
        <v>45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 t="s">
        <v>46</v>
      </c>
    </row>
    <row r="6" customFormat="false" ht="15" hidden="false" customHeight="false" outlineLevel="0" collapsed="false">
      <c r="A6" s="13"/>
    </row>
    <row r="7" customFormat="false" ht="28.35" hidden="false" customHeight="false" outlineLevel="0" collapsed="false">
      <c r="A7" s="13" t="s">
        <v>47</v>
      </c>
    </row>
    <row r="8" customFormat="false" ht="15" hidden="false" customHeight="false" outlineLevel="0" collapsed="false">
      <c r="A8" s="13"/>
    </row>
    <row r="9" customFormat="false" ht="28.35" hidden="false" customHeight="false" outlineLevel="0" collapsed="false">
      <c r="A9" s="13" t="s">
        <v>48</v>
      </c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3" t="s">
        <v>49</v>
      </c>
    </row>
    <row r="12" customFormat="false" ht="15" hidden="false" customHeight="false" outlineLevel="0" collapsed="false">
      <c r="A12" s="13"/>
    </row>
    <row r="13" customFormat="false" ht="28.35" hidden="false" customHeight="false" outlineLevel="0" collapsed="false">
      <c r="A13" s="1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2026-10-25T21:18:00Z</dcterms:created>
  <dc:creator>openpyxl</dc:creator>
  <dc:description/>
  <dc:language>en-US</dc:language>
  <cp:lastModifiedBy/>
  <dcterms:modified xsi:type="dcterms:W3CDTF">2026-10-25T21:18:00Z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