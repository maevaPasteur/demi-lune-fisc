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fusions-de-code" sheetId="1" state="visible" r:id="rId3"/>
    <sheet name="Codes-fantomes" sheetId="2" state="visible" r:id="rId4"/>
    <sheet name="Cubis-et-boutons" sheetId="3" state="visible" r:id="rId5"/>
    <sheet name="Meth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<sst xmlns="http://schemas.openxmlformats.org/spreadsheetml/2006/main" count="98" uniqueCount="73">
  <si>
    <t xml:space="preserve">R2 - Correspondance des libellés : les « ventes sans achat » sont des confusions de code</t>
  </si>
  <si>
    <t xml:space="preserve">Un bouton de caisse est un nom d'écran, pas un libellé de facture. Le rattachement se fait par le code article fournisseur. Les deux « ventes sans achat » visées par le service sont des confusions de code établies par l'inventaire et les factures.</t>
  </si>
  <si>
    <t xml:space="preserve">Libellé / bouton visé par le service</t>
  </si>
  <si>
    <t xml:space="preserve">Référence réelle achetée</t>
  </si>
  <si>
    <t xml:space="preserve">Code article</t>
  </si>
  <si>
    <t xml:space="preserve">Achats facturés</t>
  </si>
  <si>
    <t xml:space="preserve">Stock inventorié</t>
  </si>
  <si>
    <t xml:space="preserve">Verdict</t>
  </si>
  <si>
    <t xml:space="preserve">Bordeaux « Mouton Cadet »</t>
  </si>
  <si>
    <t xml:space="preserve">Bordeaux Supérieur, Château Grand Renom (Antoine Moueix)</t>
  </si>
  <si>
    <t xml:space="preserve">661236</t>
  </si>
  <si>
    <t xml:space="preserve">11 bt en 2022-2023</t>
  </si>
  <si>
    <t xml:space="preserve">1 bt au 31/03/2023</t>
  </si>
  <si>
    <t xml:space="preserve">Aucun « Mouton Cadet » n'existe. Bouton générique frappé sur le Bordeaux réel. Confusion de code.</t>
  </si>
  <si>
    <t xml:space="preserve">« Hautes Côtes de Nuits »</t>
  </si>
  <si>
    <t xml:space="preserve">Hautes Côtes de Nuits BLANC, Lupé-Cholet 2017</t>
  </si>
  <si>
    <t xml:space="preserve">601416</t>
  </si>
  <si>
    <t xml:space="preserve">24 bt en 2022-2023, 0 ensuite</t>
  </si>
  <si>
    <t xml:space="preserve">absent (écoulé)</t>
  </si>
  <si>
    <t xml:space="preserve">Vin blanc, acheté le seul exercice 2022-2023. Distinct de la Beaune rouge. Confusion Nuits/Beaune et blanc/rouge.</t>
  </si>
  <si>
    <t xml:space="preserve">« Hautes Côtes de Beaune rouge »</t>
  </si>
  <si>
    <t xml:space="preserve">Hautes Côtes de Beaune rouge, Domaine Germain</t>
  </si>
  <si>
    <t xml:space="preserve">601667 / 601346 / 630253 / 601199</t>
  </si>
  <si>
    <t xml:space="preserve">269 bt sur 3 ans</t>
  </si>
  <si>
    <t xml:space="preserve">6 bt (2023), 8 bt (2025)</t>
  </si>
  <si>
    <t xml:space="preserve">Vin bel et bien acheté par centaines et stocké. C'est lui que le service range à tort sous « Nuits ».</t>
  </si>
  <si>
    <t xml:space="preserve">« Hautes Côtes de Beaune blanc »</t>
  </si>
  <si>
    <t xml:space="preserve">Hautes Côtes de Beaune blanc, Domaine Germain</t>
  </si>
  <si>
    <t xml:space="preserve">600425</t>
  </si>
  <si>
    <t xml:space="preserve">1 bt (2022-2023)</t>
  </si>
  <si>
    <t xml:space="preserve">absent</t>
  </si>
  <si>
    <t xml:space="preserve">Vendu 450 cl au pichet sous un bouton mal paramétré, couvert par le sur-stock de Nuits blanc.</t>
  </si>
  <si>
    <t xml:space="preserve">R2 - Codes de vente jamais paramétrés (dont 8 bières « 100 % disparues »)</t>
  </si>
  <si>
    <t xml:space="preserve">Le service dit ces produits « 100 % achetés non vendus ». En réalité : absents des 3 inventaires physiques ET vendu caisse = 0 dans les propres données de la société. Ce sont des codes créés mais jamais rattachés à un bouton de vente, pas des bouteilles évaporées.</t>
  </si>
  <si>
    <t xml:space="preserve">Produit (libellé fisc)</t>
  </si>
  <si>
    <t xml:space="preserve">Présent aux 3 inventaires ?</t>
  </si>
  <si>
    <t xml:space="preserve">Vendu caisse (nos données)</t>
  </si>
  <si>
    <t xml:space="preserve">Nature</t>
  </si>
  <si>
    <t xml:space="preserve">1664 33 cl</t>
  </si>
  <si>
    <t xml:space="preserve">non</t>
  </si>
  <si>
    <t xml:space="preserve">0 cl</t>
  </si>
  <si>
    <t xml:space="preserve">Bière - code jamais paramétré</t>
  </si>
  <si>
    <t xml:space="preserve">Heineken 33 cl</t>
  </si>
  <si>
    <t xml:space="preserve">Heineken 50 cl</t>
  </si>
  <si>
    <t xml:space="preserve">Grimbergen Blanche 33 cl</t>
  </si>
  <si>
    <t xml:space="preserve">White Mort Subite 33 cl</t>
  </si>
  <si>
    <t xml:space="preserve">White Rabbit 33 cl</t>
  </si>
  <si>
    <t xml:space="preserve">Hefeweizen 33 cl</t>
  </si>
  <si>
    <t xml:space="preserve">Bleue du Mont Blanc 33 cl</t>
  </si>
  <si>
    <t xml:space="preserve">Carola Bleue 50 cl</t>
  </si>
  <si>
    <t xml:space="preserve">Eau - code jamais paramétré</t>
  </si>
  <si>
    <t xml:space="preserve">Cidre Sassy 33 cl</t>
  </si>
  <si>
    <t xml:space="preserve">Cidre - code jamais paramétré</t>
  </si>
  <si>
    <t xml:space="preserve">Nombre de bières concernées</t>
  </si>
  <si>
    <t xml:space="preserve">Les seules bières réellement stockées et vendues sont la Rouget de Lisle (Blanche et Ambrée) et le fût Affligem, présentes aux 3 inventaires avec des écarts normaux (rotation). Le service a gonflé le « disponible » sur des codes morts, sans contrepartie physique.</t>
  </si>
  <si>
    <t xml:space="preserve">R2 - Le « Cubis » et les boutons génériques : conso sans achat au même libellé</t>
  </si>
  <si>
    <t xml:space="preserve">Le bilan matière fait apparaître des produits dont la consommation dépasse les achats « au même libellé ». Ce sont des boutons de caisse mutualisés ou génériques : le volume est bien vendu et encaissé, mais imputé à un libellé qui n'a pas d'achat propre. Le « Cubis de vin » en est le cas le plus net.</t>
  </si>
  <si>
    <t xml:space="preserve">Vin maison réellement servi sous le bouton « Cubis »</t>
  </si>
  <si>
    <t xml:space="preserve">Déficit avant correction (L)</t>
  </si>
  <si>
    <t xml:space="preserve">Déficit après réattribution (L)</t>
  </si>
  <si>
    <t xml:space="preserve">Bourgogne Aligoté maison</t>
  </si>
  <si>
    <t xml:space="preserve">Côtes de Provence rosé maison (Cap des Pins)</t>
  </si>
  <si>
    <t xml:space="preserve">Côtes du Rhône rouge maison (Chusclan)</t>
  </si>
  <si>
    <t xml:space="preserve">Cubis réattribué (volume absorbé par la correction)</t>
  </si>
  <si>
    <t xml:space="preserve">Le « Cubis de vin » affiche 426,9 L consommés pour 0 L acheté à ce libellé : c'est du vin maison (Aligoté, rosé, Côtes du Rhône) tiré au pichet et sonné sous un bouton générique. Réattribué à ses trois vins, il n'est pas une disparition. Au total, les boutons génériques encaissent 3 134 € HT de volume déjà présent dans le chiffre d'affaires déclaré, seulement non ventilé par référence.</t>
  </si>
  <si>
    <t xml:space="preserve">R2 - Correspondance des libellés : méthode et sources</t>
  </si>
  <si>
    <t xml:space="preserve">Objet : montrer que les « ventes sans achat » et les « consommations supérieures aux achats » du service s'expliquent par le paramétrage des boutons de caisse, sans aucune dissimulation.</t>
  </si>
  <si>
    <t xml:space="preserve">Sources : map caisse &lt;-&gt; achats (champ ventes[].ingredients[].achatCode), 199 factures FCBS, 3 inventaires physiques, données ventes-caisse de la société.</t>
  </si>
  <si>
    <t xml:space="preserve">Trois mécanismes :</t>
  </si>
  <si>
    <t xml:space="preserve">- Confusion de code : un bouton générique frappé sur une référence voisine (Mouton Cadet = Bordeaux Supérieur 661236 ; Hautes Côtes de Nuits blanc 601416 confondu avec la Beaune rouge Domaine Germain).</t>
  </si>
  <si>
    <t xml:space="preserve">- Codes fantômes : codes achetés mais jamais rattachés à un bouton de vente (8 bières, 1 eau, 1 cidre) : absents des inventaires, vendu caisse = 0.</t>
  </si>
  <si>
    <t xml:space="preserve">- Boutons mutualisés/génériques : un même bouton encaisse plusieurs millésimes ou plusieurs SKU (Cubis = vin maison au pichet), laissant un libellé « sur-vendu » et son frère « à 0 vendu ».</t>
  </si>
  <si>
    <t xml:space="preserve">Conclusion : effet miroir du paramétrage. Les ventes qui apparaissent sans achat sur un bouton ont pour contrepartie des achats sans vente sur un autre. La recette correspondante est encaissée et déclarée.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</si>
</sst>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 ##0.0&quot; L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EF4"/>
        <bgColor rgb="FFE3F2E7"/>
      </patternFill>
    </fill>
    <fill>
      <patternFill patternType="solid">
        <fgColor rgb="FFE3F2E7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3F2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4" min="3" style="1" width="22"/>
    <col collapsed="false" customWidth="true" hidden="false" outlineLevel="0" max="5" min="5" style="1" width="20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2" t="s">
        <v>0</v>
      </c>
    </row>
    <row r="2" customFormat="false" ht="39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41.25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41.25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customFormat="false" ht="41.25" hidden="false" customHeight="true" outlineLevel="0" collapsed="false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  <row r="8" customFormat="false" ht="41.25" hidden="false" customHeight="true" outlineLevel="0" collapsed="false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34"/>
  </cols>
  <sheetData>
    <row r="1" customFormat="false" ht="15.75" hidden="false" customHeight="true" outlineLevel="0" collapsed="false">
      <c r="A1" s="2" t="s">
        <v>32</v>
      </c>
    </row>
    <row r="2" customFormat="false" ht="39.75" hidden="false" customHeight="true" outlineLevel="0" collapsed="false">
      <c r="A2" s="3" t="s">
        <v>33</v>
      </c>
      <c r="B2" s="3"/>
      <c r="C2" s="3"/>
      <c r="D2" s="3"/>
    </row>
    <row r="4" customFormat="false" ht="27.75" hidden="false" customHeight="true" outlineLevel="0" collapsed="false">
      <c r="A4" s="4" t="s">
        <v>34</v>
      </c>
      <c r="B4" s="4" t="s">
        <v>35</v>
      </c>
      <c r="C4" s="4" t="s">
        <v>36</v>
      </c>
      <c r="D4" s="4" t="s">
        <v>37</v>
      </c>
    </row>
    <row r="5" customFormat="false" ht="15" hidden="false" customHeight="true" outlineLevel="0" collapsed="false">
      <c r="A5" s="6" t="s">
        <v>38</v>
      </c>
      <c r="B5" s="6" t="s">
        <v>39</v>
      </c>
      <c r="C5" s="6" t="s">
        <v>40</v>
      </c>
      <c r="D5" s="6" t="s">
        <v>41</v>
      </c>
    </row>
    <row r="6" customFormat="false" ht="15" hidden="false" customHeight="true" outlineLevel="0" collapsed="false">
      <c r="A6" s="6" t="s">
        <v>42</v>
      </c>
      <c r="B6" s="6" t="s">
        <v>39</v>
      </c>
      <c r="C6" s="6" t="s">
        <v>40</v>
      </c>
      <c r="D6" s="6" t="s">
        <v>41</v>
      </c>
    </row>
    <row r="7" customFormat="false" ht="15" hidden="false" customHeight="true" outlineLevel="0" collapsed="false">
      <c r="A7" s="6" t="s">
        <v>43</v>
      </c>
      <c r="B7" s="6" t="s">
        <v>39</v>
      </c>
      <c r="C7" s="6" t="s">
        <v>40</v>
      </c>
      <c r="D7" s="6" t="s">
        <v>41</v>
      </c>
    </row>
    <row r="8" customFormat="false" ht="15" hidden="false" customHeight="true" outlineLevel="0" collapsed="false">
      <c r="A8" s="6" t="s">
        <v>44</v>
      </c>
      <c r="B8" s="6" t="s">
        <v>39</v>
      </c>
      <c r="C8" s="6" t="s">
        <v>40</v>
      </c>
      <c r="D8" s="6" t="s">
        <v>41</v>
      </c>
    </row>
    <row r="9" customFormat="false" ht="15" hidden="false" customHeight="true" outlineLevel="0" collapsed="false">
      <c r="A9" s="6" t="s">
        <v>45</v>
      </c>
      <c r="B9" s="6" t="s">
        <v>39</v>
      </c>
      <c r="C9" s="6" t="s">
        <v>40</v>
      </c>
      <c r="D9" s="6" t="s">
        <v>41</v>
      </c>
    </row>
    <row r="10" customFormat="false" ht="15" hidden="false" customHeight="true" outlineLevel="0" collapsed="false">
      <c r="A10" s="6" t="s">
        <v>46</v>
      </c>
      <c r="B10" s="6" t="s">
        <v>39</v>
      </c>
      <c r="C10" s="6" t="s">
        <v>40</v>
      </c>
      <c r="D10" s="6" t="s">
        <v>41</v>
      </c>
    </row>
    <row r="11" customFormat="false" ht="15" hidden="false" customHeight="true" outlineLevel="0" collapsed="false">
      <c r="A11" s="6" t="s">
        <v>47</v>
      </c>
      <c r="B11" s="6" t="s">
        <v>39</v>
      </c>
      <c r="C11" s="6" t="s">
        <v>40</v>
      </c>
      <c r="D11" s="6" t="s">
        <v>41</v>
      </c>
    </row>
    <row r="12" customFormat="false" ht="15" hidden="false" customHeight="true" outlineLevel="0" collapsed="false">
      <c r="A12" s="6" t="s">
        <v>48</v>
      </c>
      <c r="B12" s="6" t="s">
        <v>39</v>
      </c>
      <c r="C12" s="6" t="s">
        <v>40</v>
      </c>
      <c r="D12" s="6" t="s">
        <v>41</v>
      </c>
    </row>
    <row r="13" customFormat="false" ht="15" hidden="false" customHeight="true" outlineLevel="0" collapsed="false">
      <c r="A13" s="6" t="s">
        <v>49</v>
      </c>
      <c r="B13" s="6" t="s">
        <v>39</v>
      </c>
      <c r="C13" s="6" t="s">
        <v>40</v>
      </c>
      <c r="D13" s="6" t="s">
        <v>50</v>
      </c>
    </row>
    <row r="14" customFormat="false" ht="15" hidden="false" customHeight="true" outlineLevel="0" collapsed="false">
      <c r="A14" s="6" t="s">
        <v>51</v>
      </c>
      <c r="B14" s="6" t="s">
        <v>39</v>
      </c>
      <c r="C14" s="6" t="s">
        <v>40</v>
      </c>
      <c r="D14" s="6" t="s">
        <v>52</v>
      </c>
    </row>
    <row r="15" customFormat="false" ht="15" hidden="false" customHeight="true" outlineLevel="0" collapsed="false">
      <c r="A15" s="7" t="s">
        <v>53</v>
      </c>
      <c r="B15" s="7" t="n">
        <f aca="false">COUNTIF(D5:D14,"Bière - code jamais paramétré")</f>
        <v>8</v>
      </c>
    </row>
    <row r="17" customFormat="false" ht="43.5" hidden="false" customHeight="true" outlineLevel="0" collapsed="false">
      <c r="A17" s="3" t="s">
        <v>54</v>
      </c>
      <c r="B17" s="3"/>
      <c r="C17" s="3"/>
      <c r="D17" s="3"/>
    </row>
  </sheetData>
  <mergeCells count="2">
    <mergeCell ref="A2:D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3" min="3" style="1" width="28"/>
  </cols>
  <sheetData>
    <row r="1" customFormat="false" ht="15.75" hidden="false" customHeight="true" outlineLevel="0" collapsed="false">
      <c r="A1" s="2" t="s">
        <v>55</v>
      </c>
    </row>
    <row r="2" customFormat="false" ht="39.75" hidden="false" customHeight="true" outlineLevel="0" collapsed="false">
      <c r="A2" s="3" t="s">
        <v>56</v>
      </c>
      <c r="B2" s="3"/>
      <c r="C2" s="3"/>
      <c r="D2" s="3"/>
    </row>
    <row r="4" customFormat="false" ht="27.75" hidden="false" customHeight="true" outlineLevel="0" collapsed="false">
      <c r="A4" s="4" t="s">
        <v>57</v>
      </c>
      <c r="B4" s="4" t="s">
        <v>58</v>
      </c>
      <c r="C4" s="4" t="s">
        <v>59</v>
      </c>
    </row>
    <row r="5" customFormat="false" ht="15" hidden="false" customHeight="true" outlineLevel="0" collapsed="false">
      <c r="A5" s="6" t="s">
        <v>60</v>
      </c>
      <c r="B5" s="8" t="n">
        <v>293.2</v>
      </c>
      <c r="C5" s="8" t="n">
        <v>161.9</v>
      </c>
    </row>
    <row r="6" customFormat="false" ht="15" hidden="false" customHeight="true" outlineLevel="0" collapsed="false">
      <c r="A6" s="6" t="s">
        <v>61</v>
      </c>
      <c r="B6" s="8" t="n">
        <v>394.2</v>
      </c>
      <c r="C6" s="8" t="n">
        <v>218.4</v>
      </c>
    </row>
    <row r="7" customFormat="false" ht="15" hidden="false" customHeight="true" outlineLevel="0" collapsed="false">
      <c r="A7" s="6" t="s">
        <v>62</v>
      </c>
      <c r="B7" s="8" t="n">
        <v>169.2</v>
      </c>
      <c r="C7" s="8" t="n">
        <v>49.5</v>
      </c>
    </row>
    <row r="8" customFormat="false" ht="15" hidden="false" customHeight="true" outlineLevel="0" collapsed="false">
      <c r="A8" s="7" t="s">
        <v>63</v>
      </c>
      <c r="B8" s="9" t="n">
        <f aca="false">B5+B6+B7-C5-C6-C7</f>
        <v>426.8</v>
      </c>
    </row>
    <row r="10" customFormat="false" ht="55.5" hidden="false" customHeight="true" outlineLevel="0" collapsed="false">
      <c r="A10" s="3" t="s">
        <v>64</v>
      </c>
      <c r="B10" s="3"/>
      <c r="C10" s="3"/>
      <c r="D10" s="3"/>
    </row>
  </sheetData>
  <mergeCells count="2"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2" t="s">
        <v>65</v>
      </c>
    </row>
    <row r="3" customFormat="false" ht="27.75" hidden="false" customHeight="true" outlineLevel="0" collapsed="false">
      <c r="A3" s="10" t="s">
        <v>66</v>
      </c>
    </row>
    <row r="4" customFormat="false" ht="15" hidden="false" customHeight="true" outlineLevel="0" collapsed="false">
      <c r="A4" s="10"/>
    </row>
    <row r="5" customFormat="false" ht="27.75" hidden="false" customHeight="true" outlineLevel="0" collapsed="false">
      <c r="A5" s="10" t="s">
        <v>67</v>
      </c>
    </row>
    <row r="6" customFormat="false" ht="15" hidden="false" customHeight="true" outlineLevel="0" collapsed="false">
      <c r="A6" s="10"/>
    </row>
    <row r="7" customFormat="false" ht="15" hidden="false" customHeight="true" outlineLevel="0" collapsed="false">
      <c r="A7" s="11" t="s">
        <v>68</v>
      </c>
    </row>
    <row r="8" customFormat="false" ht="27.75" hidden="false" customHeight="true" outlineLevel="0" collapsed="false">
      <c r="A8" s="10" t="s">
        <v>69</v>
      </c>
    </row>
    <row r="9" customFormat="false" ht="27.75" hidden="false" customHeight="true" outlineLevel="0" collapsed="false">
      <c r="A9" s="10" t="s">
        <v>70</v>
      </c>
    </row>
    <row r="10" customFormat="false" ht="27.75" hidden="false" customHeight="true" outlineLevel="0" collapsed="false">
      <c r="A10" s="10" t="s">
        <v>71</v>
      </c>
    </row>
    <row r="11" customFormat="false" ht="15" hidden="false" customHeight="true" outlineLevel="0" collapsed="false">
      <c r="A11" s="10"/>
    </row>
    <row r="12" customFormat="false" ht="27.75" hidden="false" customHeight="true" outlineLevel="0" collapsed="false">
      <c r="A12" s="1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2026-10-25T21:18:00Z</dcterms:created>
  <dc:creator>openpyxl</dc:creator>
  <dc:description/>
  <dc:language>en-US</dc:language>
  <cp:lastModifiedBy/>
  <dcterms:modified xsi:type="dcterms:W3CDTF">2026-10-26T08:43:41Z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