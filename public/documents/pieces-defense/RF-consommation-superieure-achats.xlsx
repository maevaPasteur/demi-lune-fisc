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elles conso superieur achats" sheetId="1" state="visible" r:id="rId1"/>
    <sheet name="Bilan matiere global" sheetId="2" state="visible" r:id="rId2"/>
    <sheet name="Exemples Cubis et Betha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26" customWidth="1" min="6" max="6"/>
    <col width="38" customWidth="1" min="7" max="7"/>
    <col width="52" customWidth="1" min="8" max="8"/>
  </cols>
  <sheetData>
    <row r="1">
      <c r="A1" s="1" t="inlineStr">
        <is>
          <t>Produit (libelle caisse)</t>
        </is>
      </c>
      <c r="B1" s="1" t="inlineStr">
        <is>
          <t>Categorie</t>
        </is>
      </c>
      <c r="C1" s="1" t="inlineStr">
        <is>
          <t>Achat (L)</t>
        </is>
      </c>
      <c r="D1" s="1" t="inlineStr">
        <is>
          <t>Conso (L)</t>
        </is>
      </c>
      <c r="E1" s="1" t="inlineStr">
        <is>
          <t>Ecart (L)</t>
        </is>
      </c>
      <c r="F1" s="1" t="inlineStr">
        <is>
          <t>Cause</t>
        </is>
      </c>
      <c r="G1" s="1" t="inlineStr">
        <is>
          <t>Correspondance / facture</t>
        </is>
      </c>
      <c r="H1" s="1" t="inlineStr">
        <is>
          <t>Explication</t>
        </is>
      </c>
    </row>
    <row r="2">
      <c r="A2" t="inlineStr">
        <is>
          <t>Cubis de vin (couleur non précisée)</t>
        </is>
      </c>
      <c r="B2" t="inlineStr">
        <is>
          <t>vin</t>
        </is>
      </c>
      <c r="C2" t="n">
        <v>0</v>
      </c>
      <c r="D2" t="n">
        <v>426.9</v>
      </c>
      <c r="E2" t="n">
        <v>-426.9</v>
      </c>
      <c r="F2" t="inlineStr">
        <is>
          <t>Libelle de caisse generique</t>
        </is>
      </c>
      <c r="G2" s="2" t="inlineStr">
        <is>
          <t>(libelle generique, aucune facture)</t>
        </is>
      </c>
      <c r="H2" s="2" t="inlineStr">
        <is>
          <t>Bouton caisse mutualise (verre/pichet) : le vin est achete sous son appellation precise, pas sous ce libelle.</t>
        </is>
      </c>
    </row>
    <row r="3">
      <c r="A3" t="inlineStr">
        <is>
          <t>Arbois Béthanie</t>
        </is>
      </c>
      <c r="B3" t="inlineStr">
        <is>
          <t>vin_blanc</t>
        </is>
      </c>
      <c r="C3" t="n">
        <v>214.5</v>
      </c>
      <c r="D3" t="n">
        <v>309.9</v>
      </c>
      <c r="E3" t="n">
        <v>-95.40000000000001</v>
      </c>
      <c r="F3" t="inlineStr">
        <is>
          <t>Format d'achat non rattache</t>
        </is>
      </c>
      <c r="G3" s="2" t="inlineStr">
        <is>
          <t>ARBOIS BETHANIE 75 CL / 37,5 CL</t>
        </is>
      </c>
      <c r="H3" s="2" t="inlineStr">
        <is>
          <t>Seul le format 75 cl est mappe ; les achats 37,5 cl sont restes en "achats non rattaches". Rattaches, l'achat depasse la conso.</t>
        </is>
      </c>
    </row>
    <row r="4">
      <c r="A4" t="inlineStr">
        <is>
          <t>Gewurztraminer</t>
        </is>
      </c>
      <c r="B4" t="inlineStr">
        <is>
          <t>vin_blanc</t>
        </is>
      </c>
      <c r="C4" t="n">
        <v>6</v>
      </c>
      <c r="D4" t="n">
        <v>78.90000000000001</v>
      </c>
      <c r="E4" t="n">
        <v>-75.09999999999999</v>
      </c>
      <c r="F4" t="inlineStr">
        <is>
          <t>Verres encaisses sous le bouton generique</t>
        </is>
      </c>
      <c r="G4" s="2" t="inlineStr">
        <is>
          <t>GEWURZTRAMINER 75 CL (Les Sorcières)</t>
        </is>
      </c>
      <c r="H4" s="2" t="inlineStr">
        <is>
          <t>Une partie des verres/pichets a ete saisie sous le bouton generique (Cubis / verre de vin) : miroir du surplus Cubis.</t>
        </is>
      </c>
    </row>
    <row r="5">
      <c r="A5" t="inlineStr">
        <is>
          <t>Chablis</t>
        </is>
      </c>
      <c r="B5" t="inlineStr">
        <is>
          <t>vin_blanc</t>
        </is>
      </c>
      <c r="C5" t="n">
        <v>18</v>
      </c>
      <c r="D5" t="n">
        <v>73.7</v>
      </c>
      <c r="E5" t="n">
        <v>-67.7</v>
      </c>
      <c r="F5" t="inlineStr">
        <is>
          <t>Verres encaisses sous le bouton generique</t>
        </is>
      </c>
      <c r="G5" s="2" t="inlineStr">
        <is>
          <t>CHABLIS 75 CL</t>
        </is>
      </c>
      <c r="H5" s="2" t="inlineStr">
        <is>
          <t>Une partie des verres/pichets a ete saisie sous le bouton generique (Cubis / verre de vin) : miroir du surplus Cubis.</t>
        </is>
      </c>
    </row>
    <row r="6">
      <c r="A6" t="inlineStr">
        <is>
          <t>Calvados</t>
        </is>
      </c>
      <c r="B6" t="inlineStr">
        <is>
          <t>eau_de_vie</t>
        </is>
      </c>
      <c r="C6" t="n">
        <v>73</v>
      </c>
      <c r="D6" t="n">
        <v>120.5</v>
      </c>
      <c r="E6" t="n">
        <v>-48.5</v>
      </c>
      <c r="F6" t="inlineStr">
        <is>
          <t>Verres encaisses sous le bouton generique</t>
        </is>
      </c>
      <c r="G6" s="2" t="inlineStr">
        <is>
          <t>CALVADOS BEAUJOUR 100 CL 40°</t>
        </is>
      </c>
      <c r="H6" s="2" t="inlineStr">
        <is>
          <t>Une partie des verres/pichets a ete saisie sous le bouton generique (Cubis / verre de vin) : miroir du surplus Cubis.</t>
        </is>
      </c>
    </row>
    <row r="7">
      <c r="A7" t="inlineStr">
        <is>
          <t>Miraval Rosé</t>
        </is>
      </c>
      <c r="B7" t="inlineStr">
        <is>
          <t>vin_rose</t>
        </is>
      </c>
      <c r="C7" t="n">
        <v>0</v>
      </c>
      <c r="D7" t="n">
        <v>6</v>
      </c>
      <c r="E7" t="n">
        <v>-6</v>
      </c>
      <c r="F7" t="inlineStr">
        <is>
          <t>Libelle de caisse generique</t>
        </is>
      </c>
      <c r="G7" s="2" t="inlineStr">
        <is>
          <t>MIRAVAL ROSE 75 CL CÔTES DE PROVENCE AOP</t>
        </is>
      </c>
      <c r="H7" s="2" t="inlineStr">
        <is>
          <t>Aucune facture rattachee a ce libelle : produit achete sous un autre nom.</t>
        </is>
      </c>
    </row>
    <row r="8">
      <c r="A8" t="inlineStr">
        <is>
          <t>Liqueur de Cerise</t>
        </is>
      </c>
      <c r="B8" t="inlineStr">
        <is>
          <t>liqueur</t>
        </is>
      </c>
      <c r="C8" t="n">
        <v>12.7</v>
      </c>
      <c r="D8" t="n">
        <v>16.1</v>
      </c>
      <c r="E8" t="n">
        <v>-4.8</v>
      </c>
      <c r="F8" t="inlineStr">
        <is>
          <t>Verres encaisses sous le bouton generique</t>
        </is>
      </c>
      <c r="G8" s="2" t="inlineStr">
        <is>
          <t>(libelle generique, aucune facture)</t>
        </is>
      </c>
      <c r="H8" s="2" t="inlineStr">
        <is>
          <t>Une partie des verres/pichets a ete saisie sous le bouton generique (Cubis / verre de vin) : miroir du surplus Cubis.</t>
        </is>
      </c>
    </row>
    <row r="9">
      <c r="A9" t="inlineStr">
        <is>
          <t>Hautes Côtes de Beaune blanc</t>
        </is>
      </c>
      <c r="B9" t="inlineStr">
        <is>
          <t>vin_blanc</t>
        </is>
      </c>
      <c r="C9" t="n">
        <v>0</v>
      </c>
      <c r="D9" t="n">
        <v>4.5</v>
      </c>
      <c r="E9" t="n">
        <v>-4.5</v>
      </c>
      <c r="F9" t="inlineStr">
        <is>
          <t>Achat sous un autre nom</t>
        </is>
      </c>
      <c r="G9" s="2" t="inlineStr">
        <is>
          <t>HTES COTES DE BEAUNE BLC 75 CL (Domaine Germain)</t>
        </is>
      </c>
      <c r="H9" s="2" t="inlineStr">
        <is>
          <t>Achete et facture sous l'appellation : HTES COTES DE BEAUNE BLC 75 CL (Domaine Germain).</t>
        </is>
      </c>
    </row>
    <row r="10">
      <c r="A10" t="inlineStr">
        <is>
          <t>Marc du Jura</t>
        </is>
      </c>
      <c r="B10" t="inlineStr">
        <is>
          <t>eau_de_vie</t>
        </is>
      </c>
      <c r="C10" t="n">
        <v>0</v>
      </c>
      <c r="D10" t="n">
        <v>2.4</v>
      </c>
      <c r="E10" t="n">
        <v>-2.4</v>
      </c>
      <c r="F10" t="inlineStr">
        <is>
          <t>Libelle de caisse generique</t>
        </is>
      </c>
      <c r="G10" s="2" t="inlineStr">
        <is>
          <t>MARC DU JURA 70 CL (Tissot)</t>
        </is>
      </c>
      <c r="H10" s="2" t="inlineStr">
        <is>
          <t>Aucune facture rattachee a ce libelle : produit achete sous un autre nom.</t>
        </is>
      </c>
    </row>
    <row r="11">
      <c r="A11" t="inlineStr">
        <is>
          <t>Eau de Vie de Poire</t>
        </is>
      </c>
      <c r="B11" t="inlineStr">
        <is>
          <t>eau_de_vie</t>
        </is>
      </c>
      <c r="C11" t="n">
        <v>0</v>
      </c>
      <c r="D11" t="n">
        <v>1.7</v>
      </c>
      <c r="E11" t="n">
        <v>-2.4</v>
      </c>
      <c r="F11" t="inlineStr">
        <is>
          <t>Libelle de caisse generique</t>
        </is>
      </c>
      <c r="G11" s="2" t="inlineStr">
        <is>
          <t>EAU DE VIE DE POIRE 70 CL</t>
        </is>
      </c>
      <c r="H11" s="2" t="inlineStr">
        <is>
          <t>Aucune facture rattachee a ce libelle : produit achete sous un autre nom.</t>
        </is>
      </c>
    </row>
    <row r="12">
      <c r="A12" t="inlineStr">
        <is>
          <t>Get 31</t>
        </is>
      </c>
      <c r="B12" t="inlineStr">
        <is>
          <t>liqueur</t>
        </is>
      </c>
      <c r="C12" t="n">
        <v>0</v>
      </c>
      <c r="D12" t="n">
        <v>0.9</v>
      </c>
      <c r="E12" t="n">
        <v>-1.6</v>
      </c>
      <c r="F12" t="inlineStr">
        <is>
          <t>Libelle de caisse generique</t>
        </is>
      </c>
      <c r="G12" s="2" t="inlineStr">
        <is>
          <t>GET 31 70 CL</t>
        </is>
      </c>
      <c r="H12" s="2" t="inlineStr">
        <is>
          <t>Aucune facture rattachee a ce libelle : produit achete sous un autre nom.</t>
        </is>
      </c>
    </row>
    <row r="13">
      <c r="A13" t="inlineStr">
        <is>
          <t>Eau de Vie Framboise</t>
        </is>
      </c>
      <c r="B13" t="inlineStr">
        <is>
          <t>eau_de_vie</t>
        </is>
      </c>
      <c r="C13" t="n">
        <v>0</v>
      </c>
      <c r="D13" t="n">
        <v>0.8</v>
      </c>
      <c r="E13" t="n">
        <v>-1.5</v>
      </c>
      <c r="F13" t="inlineStr">
        <is>
          <t>Libelle de caisse generique</t>
        </is>
      </c>
      <c r="G13" s="2" t="inlineStr">
        <is>
          <t>EAU DE VIE FRAMBOISE 70 CL</t>
        </is>
      </c>
      <c r="H13" s="2" t="inlineStr">
        <is>
          <t>Aucune facture rattachee a ce libelle : produit achete sous un autre nom.</t>
        </is>
      </c>
    </row>
    <row r="14">
      <c r="A14" t="inlineStr">
        <is>
          <t>Guignolet</t>
        </is>
      </c>
      <c r="B14" t="inlineStr">
        <is>
          <t>liqueur</t>
        </is>
      </c>
      <c r="C14" t="n">
        <v>0</v>
      </c>
      <c r="D14" t="n">
        <v>0</v>
      </c>
      <c r="E14" t="n">
        <v>-1.4</v>
      </c>
      <c r="F14" t="inlineStr">
        <is>
          <t>Achat sous un autre nom</t>
        </is>
      </c>
      <c r="G14" s="2" t="inlineStr">
        <is>
          <t>LIQUEUR DE CERISE 70 CL</t>
        </is>
      </c>
      <c r="H14" s="2" t="inlineStr">
        <is>
          <t>Achete et facture sous l'appellation : LIQUEUR DE CERISE 70 CL.</t>
        </is>
      </c>
    </row>
    <row r="15">
      <c r="A15" t="inlineStr">
        <is>
          <t>Grand Marnier</t>
        </is>
      </c>
      <c r="B15" t="inlineStr">
        <is>
          <t>liqueur</t>
        </is>
      </c>
      <c r="C15" t="n">
        <v>8.4</v>
      </c>
      <c r="D15" t="n">
        <v>8.1</v>
      </c>
      <c r="E15" t="n">
        <v>-1.1</v>
      </c>
      <c r="F15" t="inlineStr">
        <is>
          <t>Verres encaisses sous le bouton generique</t>
        </is>
      </c>
      <c r="G15" s="2" t="inlineStr">
        <is>
          <t>GRAND MARNIER CORDON ROUGE 70 CL 40°</t>
        </is>
      </c>
      <c r="H15" s="2" t="inlineStr">
        <is>
          <t>Une partie des verres/pichets a ete saisie sous le bouton generique (Cubis / verre de vin) : miroir du surplus Cubis.</t>
        </is>
      </c>
    </row>
    <row r="16">
      <c r="A16" t="inlineStr">
        <is>
          <t>Martini Blanc</t>
        </is>
      </c>
      <c r="B16" t="inlineStr">
        <is>
          <t>aperitif</t>
        </is>
      </c>
      <c r="C16" t="n">
        <v>13</v>
      </c>
      <c r="D16" t="n">
        <v>12.6</v>
      </c>
      <c r="E16" t="n">
        <v>-0.6</v>
      </c>
      <c r="F16" t="inlineStr">
        <is>
          <t>Verres encaisses sous le bouton generique</t>
        </is>
      </c>
      <c r="G16" s="2" t="inlineStr">
        <is>
          <t>MARTINI BIANCO 100 CL</t>
        </is>
      </c>
      <c r="H16" s="2" t="inlineStr">
        <is>
          <t>Une partie des verres/pichets a ete saisie sous le bouton generique (Cubis / verre de vin) : miroir du surplus Cubis.</t>
        </is>
      </c>
    </row>
    <row r="17">
      <c r="A17" s="3" t="inlineStr">
        <is>
          <t>TOTAL des ecarts negatifs</t>
        </is>
      </c>
      <c r="B17" t="inlineStr"/>
      <c r="C17" t="inlineStr"/>
      <c r="D17" t="inlineStr"/>
      <c r="E17" s="3" t="n">
        <v>-739.9</v>
      </c>
      <c r="F17" t="inlineStr"/>
      <c r="G17" s="2" t="inlineStr"/>
      <c r="H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4" t="inlineStr">
        <is>
          <t>Bilan matiere boissons (3 exercices, 65 produits agreges)</t>
        </is>
      </c>
    </row>
    <row r="3">
      <c r="A3" s="1" t="inlineStr">
        <is>
          <t>Poste</t>
        </is>
      </c>
      <c r="B3" s="1" t="inlineStr">
        <is>
          <t>Litres</t>
        </is>
      </c>
    </row>
    <row r="4">
      <c r="A4" t="inlineStr">
        <is>
          <t>Somme des ACHATS</t>
        </is>
      </c>
      <c r="B4" t="n">
        <v>10622</v>
      </c>
    </row>
    <row r="5">
      <c r="A5" t="inlineStr">
        <is>
          <t>moins Somme de la CONSO vendue/servie</t>
        </is>
      </c>
      <c r="B5" t="n">
        <v>7360.9</v>
      </c>
    </row>
    <row r="6">
      <c r="A6" t="inlineStr">
        <is>
          <t>moins Stock final (inventaire)</t>
        </is>
      </c>
      <c r="B6" t="n">
        <v>213.3</v>
      </c>
    </row>
    <row r="7">
      <c r="A7" s="3">
        <f> Bilan NET (alcool non explique)</f>
        <v/>
      </c>
      <c r="B7" s="3" t="n">
        <v>3047.8</v>
      </c>
    </row>
    <row r="9">
      <c r="A9" s="3" t="inlineStr">
        <is>
          <t>Rappel synthese boissonsPageData.json</t>
        </is>
      </c>
    </row>
    <row r="10">
      <c r="A10" t="inlineStr">
        <is>
          <t>disparu_brut_l (ecarts positifs seuls)</t>
        </is>
      </c>
      <c r="B10" t="n">
        <v>3788</v>
      </c>
    </row>
    <row r="11">
      <c r="A11" t="inlineStr">
        <is>
          <t>disparu_net_l (bilan global)</t>
        </is>
      </c>
      <c r="B11" t="n">
        <v>3048</v>
      </c>
    </row>
    <row r="12">
      <c r="A12" t="inlineStr">
        <is>
          <t>dont compense par les ecarts negatifs (etiquetage)</t>
        </is>
      </c>
      <c r="B12" t="n">
        <v>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4" t="inlineStr">
        <is>
          <t>Cas n.1 - Cubis de vin (libelle de caisse generique)</t>
        </is>
      </c>
    </row>
    <row r="2">
      <c r="A2" t="inlineStr">
        <is>
          <t>Achat sous ce libelle (L)</t>
        </is>
      </c>
      <c r="B2" t="n">
        <v>0</v>
      </c>
    </row>
    <row r="3">
      <c r="A3" t="inlineStr">
        <is>
          <t>Conso au verre/pichet sous ce libelle (L)</t>
        </is>
      </c>
      <c r="B3" t="n">
        <v>426.9</v>
      </c>
    </row>
    <row r="4">
      <c r="A4" t="inlineStr">
        <is>
          <t>Ecart (L)</t>
        </is>
      </c>
      <c r="B4" t="n">
        <v>-426.9</v>
      </c>
    </row>
    <row r="5">
      <c r="A5" t="inlineStr">
        <is>
          <t>Facture rattachee</t>
        </is>
      </c>
      <c r="B5" t="inlineStr">
        <is>
          <t>aucune (bouton verre/pichet mutualise)</t>
        </is>
      </c>
    </row>
    <row r="6">
      <c r="A6" t="inlineStr">
        <is>
          <t>Lecture</t>
        </is>
      </c>
      <c r="B6" s="2" t="inlineStr">
        <is>
          <t>Le vin existe et est achete sous son appellation precise ; il est seulement encaisse sous un bouton generique.</t>
        </is>
      </c>
    </row>
    <row r="8">
      <c r="A8" s="4" t="inlineStr">
        <is>
          <t>Cas n.2 - Arbois Bethanie (format d'achat non rattache)</t>
        </is>
      </c>
    </row>
    <row r="9">
      <c r="A9" t="inlineStr">
        <is>
          <t>Achat 75 cl mappe (L)</t>
        </is>
      </c>
      <c r="B9" t="n">
        <v>214.5</v>
      </c>
    </row>
    <row r="10">
      <c r="A10" t="inlineStr">
        <is>
          <t>Achat 37,5 cl reste en achats non rattaches (L)</t>
        </is>
      </c>
      <c r="B10" t="n">
        <v>168.8</v>
      </c>
    </row>
    <row r="11">
      <c r="A11" s="3">
        <f> Achat total tous formats (L)</f>
        <v/>
      </c>
      <c r="B11" t="n">
        <v>383.3</v>
      </c>
    </row>
    <row r="12">
      <c r="A12" t="inlineStr">
        <is>
          <t>Conso (L)</t>
        </is>
      </c>
      <c r="B12" t="n">
        <v>309.9</v>
      </c>
    </row>
    <row r="13">
      <c r="A13" s="3" t="inlineStr">
        <is>
          <t>Bilan apres rattachement (L)</t>
        </is>
      </c>
      <c r="B13" t="n">
        <v>73.40000000000001</v>
      </c>
    </row>
    <row r="14">
      <c r="A14" t="inlineStr">
        <is>
          <t>Lecture</t>
        </is>
      </c>
      <c r="B14" s="2" t="inlineStr">
        <is>
          <t>Une fois le format 37,5 cl rattache, l'achat depasse la conso : l'ecart negatif disparait et devient un surplus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2026-06-18T06:10:46Z</dcterms:created>
  <dcterms:modified xsi:type="dcterms:W3CDTF">2026-06-18T06:10:46Z</dcterms:modified>
</cp:coreProperties>
</file>