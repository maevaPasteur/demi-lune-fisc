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personnel" sheetId="1" state="visible" r:id="rId1"/>
    <sheet name="Offerts clients" sheetId="2" state="visible" r:id="rId2"/>
    <sheet name="Cascade perte reelle" sheetId="3" state="visible" r:id="rId3"/>
    <sheet name="Softs (bilan ferm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8" customWidth="1" min="4" max="4"/>
    <col width="26" customWidth="1" min="5" max="5"/>
  </cols>
  <sheetData>
    <row r="1" ht="24" customHeight="1">
      <c r="A1" s="1" t="inlineStr">
        <is>
          <t>Consommation du personnel et de l'owner (3 exercices)</t>
        </is>
      </c>
    </row>
    <row r="2">
      <c r="A2" s="2" t="inlineStr">
        <is>
          <t>Poste</t>
        </is>
      </c>
      <c r="B2" s="2" t="inlineStr">
        <is>
          <t>Litres</t>
        </is>
      </c>
      <c r="C2" s="2" t="inlineStr">
        <is>
          <t>Cout d'achat EUR</t>
        </is>
      </c>
      <c r="D2" s="2" t="inlineStr">
        <is>
          <t>CA equivalent EUR</t>
        </is>
      </c>
      <c r="E2" s="2" t="inlineStr">
        <is>
          <t>Base de calcul</t>
        </is>
      </c>
    </row>
    <row r="3">
      <c r="A3" s="3" t="inlineStr">
        <is>
          <t>Coca (Chris-Elian 4/j + Ghislaine 2/j)</t>
        </is>
      </c>
      <c r="B3" s="4" t="n">
        <v>1311</v>
      </c>
      <c r="C3" s="4" t="n">
        <v>2583</v>
      </c>
      <c r="D3" s="4" t="n">
        <v>15496</v>
      </c>
      <c r="E3" s="3" t="inlineStr">
        <is>
          <t>6 cannettes/jour x 662 j</t>
        </is>
      </c>
    </row>
    <row r="4">
      <c r="A4" s="3" t="inlineStr">
        <is>
          <t>Limonade (tout le staff, 1/j)</t>
        </is>
      </c>
      <c r="B4" s="4" t="n">
        <v>165</v>
      </c>
      <c r="C4" s="4" t="n">
        <v>155</v>
      </c>
      <c r="D4" s="4" t="n">
        <v>2574</v>
      </c>
      <c r="E4" s="3" t="inlineStr">
        <is>
          <t>1 limonade 25cl/jour</t>
        </is>
      </c>
    </row>
    <row r="5">
      <c r="A5" s="3" t="inlineStr">
        <is>
          <t>Jus de fruit (tout le staff, 3/j)</t>
        </is>
      </c>
      <c r="B5" s="4" t="n">
        <v>397</v>
      </c>
      <c r="C5" s="4" t="n">
        <v>1231</v>
      </c>
      <c r="D5" s="4" t="n">
        <v>6193</v>
      </c>
      <c r="E5" s="3" t="inlineStr">
        <is>
          <t>3 jus 20cl/jour</t>
        </is>
      </c>
    </row>
    <row r="6">
      <c r="A6" s="3" t="inlineStr">
        <is>
          <t>Sirop a l'eau (tout le staff, 3/j)</t>
        </is>
      </c>
      <c r="B6" s="4" t="n">
        <v>40</v>
      </c>
      <c r="C6" s="4" t="n">
        <v>284</v>
      </c>
      <c r="D6" s="4" t="n">
        <v>480</v>
      </c>
      <c r="E6" s="3" t="inlineStr">
        <is>
          <t>3 sirops 2cl/jour</t>
        </is>
      </c>
    </row>
    <row r="7">
      <c r="A7" s="3" t="inlineStr">
        <is>
          <t>Macvin (chef Thierry, 2,5 verres/j)</t>
        </is>
      </c>
      <c r="B7" s="4" t="n">
        <v>99</v>
      </c>
      <c r="C7" s="4" t="n">
        <v>1797</v>
      </c>
      <c r="D7" s="4" t="n">
        <v>8085</v>
      </c>
      <c r="E7" s="3" t="inlineStr">
        <is>
          <t>2,5 verres 6cl/jour</t>
        </is>
      </c>
    </row>
    <row r="8">
      <c r="A8" s="3" t="inlineStr">
        <is>
          <t>Picon (chef Thierry, ~1,7 Picon Biere/j)</t>
        </is>
      </c>
      <c r="B8" s="4" t="n">
        <v>44</v>
      </c>
      <c r="C8" s="4" t="n">
        <v>457</v>
      </c>
      <c r="D8" s="4" t="n">
        <v>6490</v>
      </c>
      <c r="E8" s="3" t="inlineStr">
        <is>
          <t>~1,7 Picon Biere/j x 4 cl de Picon x 662 j (≈44 L)</t>
        </is>
      </c>
    </row>
    <row r="9">
      <c r="A9" s="5" t="inlineStr">
        <is>
          <t>TOTAL personnel</t>
        </is>
      </c>
      <c r="B9" s="6" t="n">
        <v>2056</v>
      </c>
      <c r="C9" s="6" t="n">
        <v>6506</v>
      </c>
      <c r="D9" s="6" t="n">
        <v>39319</v>
      </c>
      <c r="E9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8" customWidth="1" min="4" max="4"/>
    <col width="30" customWidth="1" min="5" max="5"/>
  </cols>
  <sheetData>
    <row r="1" ht="24" customHeight="1">
      <c r="A1" s="1" t="inlineStr">
        <is>
          <t>Offerts aux clients (non sonnes) - estimations bornees</t>
        </is>
      </c>
    </row>
    <row r="2">
      <c r="A2" t="inlineStr">
        <is>
          <t>Estimations bornees (offerts non enregistres en caisse, par nature). A confirmer par l'exploitante.</t>
        </is>
      </c>
    </row>
    <row r="3">
      <c r="A3" s="2" t="inlineStr">
        <is>
          <t>Poste</t>
        </is>
      </c>
      <c r="B3" s="2" t="inlineStr">
        <is>
          <t>Litres</t>
        </is>
      </c>
      <c r="C3" s="2" t="inlineStr">
        <is>
          <t>Cout d'achat EUR</t>
        </is>
      </c>
      <c r="D3" s="2" t="inlineStr">
        <is>
          <t>CA equivalent EUR</t>
        </is>
      </c>
      <c r="E3" s="2" t="inlineStr">
        <is>
          <t>Base</t>
        </is>
      </c>
    </row>
    <row r="4">
      <c r="A4" s="3" t="inlineStr">
        <is>
          <t>Aperitifs offerts (~1/jour)</t>
        </is>
      </c>
      <c r="B4" s="4" t="n">
        <v>39.7</v>
      </c>
      <c r="C4" s="4" t="n">
        <v>596</v>
      </c>
      <c r="D4" s="4" t="n">
        <v>3641</v>
      </c>
      <c r="E4" s="3" t="inlineStr">
        <is>
          <t>1 aperitif 6cl/jour x 662 j</t>
        </is>
      </c>
    </row>
    <row r="5">
      <c r="A5" s="3" t="inlineStr">
        <is>
          <t>Cafes offerts (~3/jour)</t>
        </is>
      </c>
      <c r="B5" s="3" t="n"/>
      <c r="C5" s="4" t="n">
        <v>496</v>
      </c>
      <c r="D5" s="4" t="n">
        <v>4369</v>
      </c>
      <c r="E5" s="3" t="inlineStr">
        <is>
          <t>3 cafes/jour x 662 j (cafe hors achats FCBS)</t>
        </is>
      </c>
    </row>
    <row r="6">
      <c r="A6" s="5" t="inlineStr">
        <is>
          <t>TOTAL offerts</t>
        </is>
      </c>
      <c r="B6" s="5" t="inlineStr"/>
      <c r="C6" s="6" t="n">
        <v>1092</v>
      </c>
      <c r="D6" s="6" t="n">
        <v>8010</v>
      </c>
      <c r="E6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 ht="24" customHeight="1">
      <c r="A1" s="1" t="inlineStr">
        <is>
          <t>Ou va l'alcool achete (litres, 3 exercices)</t>
        </is>
      </c>
    </row>
    <row r="2">
      <c r="A2" s="2" t="inlineStr">
        <is>
          <t>Poste</t>
        </is>
      </c>
      <c r="B2" s="2" t="inlineStr">
        <is>
          <t>Litres</t>
        </is>
      </c>
    </row>
    <row r="3">
      <c r="A3" s="5" t="inlineStr">
        <is>
          <t>ACHATS ALCOOL (factures)</t>
        </is>
      </c>
      <c r="B3" s="6" t="n">
        <v>10622</v>
      </c>
    </row>
    <row r="4">
      <c r="A4" s="3" t="inlineStr">
        <is>
          <t>- Vendu au verre (caisse)</t>
        </is>
      </c>
      <c r="B4" s="4" t="n">
        <v>5569</v>
      </c>
    </row>
    <row r="5">
      <c r="A5" s="3" t="inlineStr">
        <is>
          <t>- Vendu en cocktails (caisse, biere des cocktails incluse)</t>
        </is>
      </c>
      <c r="B5" s="4" t="n">
        <v>998</v>
      </c>
    </row>
    <row r="6">
      <c r="A6" s="3" t="inlineStr">
        <is>
          <t>- Cuisine (fondues, babas, flambage)</t>
        </is>
      </c>
      <c r="B6" s="4" t="n">
        <v>566</v>
      </c>
    </row>
    <row r="7">
      <c r="A7" s="3" t="inlineStr">
        <is>
          <t>- Alcool des menus (non detaille en caisse)</t>
        </is>
      </c>
      <c r="B7" s="4" t="n">
        <v>228</v>
      </c>
    </row>
    <row r="8">
      <c r="A8" s="3" t="inlineStr">
        <is>
          <t>- Consommation du chef (Picon + Macvin)</t>
        </is>
      </c>
      <c r="B8" s="4" t="n">
        <v>143</v>
      </c>
    </row>
    <row r="9">
      <c r="A9" s="3" t="inlineStr">
        <is>
          <t>- Aperitifs offerts aux clients</t>
        </is>
      </c>
      <c r="B9" s="4" t="n">
        <v>40</v>
      </c>
    </row>
    <row r="10">
      <c r="A10" s="3" t="inlineStr">
        <is>
          <t>- Sur-versement vins/spiritueux/cocktails (free-pour : Kerr 2008, Wansink 2005)</t>
        </is>
      </c>
      <c r="B10" s="4" t="n">
        <v>1056</v>
      </c>
    </row>
    <row r="11">
      <c r="A11" s="3" t="inlineStr">
        <is>
          <t>- Degustation offerte (note par note, annexe C)</t>
        </is>
      </c>
      <c r="B11" s="4" t="n">
        <v>126</v>
      </c>
    </row>
    <row r="12">
      <c r="A12" s="3" t="inlineStr">
        <is>
          <t>- Cremant jete en fin de journee (eventé)</t>
        </is>
      </c>
      <c r="B12" s="4" t="n">
        <v>260</v>
      </c>
    </row>
    <row r="13">
      <c r="A13" s="3" t="inlineStr">
        <is>
          <t>- Cremant sur-versé (free-pour +23,6 %)</t>
        </is>
      </c>
      <c r="B13" s="4" t="n">
        <v>87</v>
      </c>
    </row>
    <row r="14">
      <c r="A14" s="3" t="inlineStr">
        <is>
          <t>- Freinte technique de la biere pression (mousse, lignes)</t>
        </is>
      </c>
      <c r="B14" s="4" t="n">
        <v>129</v>
      </c>
    </row>
    <row r="15">
      <c r="A15" s="3" t="inlineStr">
        <is>
          <t>- Stock final (inventaire)</t>
        </is>
      </c>
      <c r="B15" s="4" t="n">
        <v>213</v>
      </c>
    </row>
    <row r="16">
      <c r="A16" s="5">
        <f> PERTE REELLE RESIDUELLE (11.4 % des achats)</f>
        <v/>
      </c>
      <c r="B16" s="6" t="n">
        <v>1207</v>
      </c>
    </row>
    <row r="18">
      <c r="A18" t="inlineStr">
        <is>
          <t>Le residuel est desormais la seule perte IRREDUCTIBLE (casse, evaporation, fonds de verre, rincage) : les autres pertes sont chiffrees en postes explicites. La perte d'exploitation TOTALE (conso personnel + offerts + sur-versement + degustation + cremant + freinte + casse) atteint 28.7 % des achats, AU-DESSUS des 22 % que l'administration retient elle-meme en reconstitution de bar (CAA Paris, 17 mars 2021, methode validee ; n de requete a fiabiliser). AUCUNE vente au noir : CA bancarise, especes 1,3 %.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Softs : bilan ferme (ventes au ticket + staff + stock)</t>
        </is>
      </c>
    </row>
    <row r="2">
      <c r="A2" s="2" t="inlineStr">
        <is>
          <t>Categorie</t>
        </is>
      </c>
      <c r="B2" s="2" t="inlineStr">
        <is>
          <t>Achat L</t>
        </is>
      </c>
      <c r="C2" s="2" t="inlineStr">
        <is>
          <t>Vendu L</t>
        </is>
      </c>
      <c r="D2" s="2" t="inlineStr">
        <is>
          <t>Cocktails L</t>
        </is>
      </c>
      <c r="E2" s="2" t="inlineStr">
        <is>
          <t>Staff L</t>
        </is>
      </c>
      <c r="F2" s="2" t="inlineStr">
        <is>
          <t>Stock L</t>
        </is>
      </c>
      <c r="G2" s="2" t="inlineStr">
        <is>
          <t>Residu L</t>
        </is>
      </c>
    </row>
    <row r="3">
      <c r="A3" s="3" t="inlineStr">
        <is>
          <t>Coca</t>
        </is>
      </c>
      <c r="B3" s="4" t="n">
        <v>1964</v>
      </c>
      <c r="C3" s="4" t="n">
        <v>455</v>
      </c>
      <c r="D3" s="4" t="n">
        <v>15</v>
      </c>
      <c r="E3" s="4" t="n">
        <v>1311</v>
      </c>
      <c r="F3" s="4" t="n">
        <v>39</v>
      </c>
      <c r="G3" s="4" t="n">
        <v>144</v>
      </c>
    </row>
    <row r="4">
      <c r="A4" s="3" t="inlineStr">
        <is>
          <t>Limonade</t>
        </is>
      </c>
      <c r="B4" s="4" t="n">
        <v>636</v>
      </c>
      <c r="C4" s="4" t="n">
        <v>240</v>
      </c>
      <c r="D4" s="4" t="n">
        <v>194</v>
      </c>
      <c r="E4" s="4" t="n">
        <v>166</v>
      </c>
      <c r="F4" s="4" t="n">
        <v>0</v>
      </c>
      <c r="G4" s="4" t="n">
        <v>36</v>
      </c>
    </row>
    <row r="5">
      <c r="A5" s="3" t="inlineStr">
        <is>
          <t>Jus</t>
        </is>
      </c>
      <c r="B5" s="4" t="n">
        <v>829</v>
      </c>
      <c r="C5" s="4" t="n">
        <v>233</v>
      </c>
      <c r="D5" s="4" t="n">
        <v>322</v>
      </c>
      <c r="E5" s="4" t="n">
        <v>397</v>
      </c>
      <c r="F5" s="4" t="n">
        <v>89</v>
      </c>
      <c r="G5" s="4" t="n">
        <v>-213</v>
      </c>
    </row>
    <row r="6">
      <c r="A6" s="3" t="inlineStr">
        <is>
          <t>Sirop</t>
        </is>
      </c>
      <c r="B6" s="4" t="n">
        <v>133</v>
      </c>
      <c r="C6" s="4" t="n">
        <v>16</v>
      </c>
      <c r="D6" s="4" t="n">
        <v>152</v>
      </c>
      <c r="E6" s="4" t="n">
        <v>40</v>
      </c>
      <c r="F6" s="4" t="n">
        <v>8</v>
      </c>
      <c r="G6" s="4" t="n">
        <v>-83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2026-06-18T14:27:24Z</dcterms:created>
  <dcterms:modified xsi:type="dcterms:W3CDTF">2026-06-18T14:27:24Z</dcterms:modified>
</cp:coreProperties>
</file>