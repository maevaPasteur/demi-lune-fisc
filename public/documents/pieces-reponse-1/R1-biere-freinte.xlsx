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Futs achetes et biere servie" sheetId="1" state="visible" r:id="rId1"/>
    <sheet name="2. Du fut achete au facturable" sheetId="2" state="visible" r:id="rId2"/>
    <sheet name="3. Les deux taux du service" sheetId="3" state="visible" r:id="rId3"/>
    <sheet name="4. Le 15 % de fin de methode" sheetId="4" state="visible" r:id="rId4"/>
    <sheet name="5. Litres et eur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4748B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E6F4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</cols>
  <sheetData>
    <row r="1">
      <c r="A1" s="1" t="inlineStr">
        <is>
          <t>Bière pression : freinte technique du fût et assiette des abattements</t>
        </is>
      </c>
    </row>
    <row r="2">
      <c r="A2" s="2" t="inlineStr">
        <is>
          <t>SARL LA DEMI LUNE. Sources : factures FCBS, caisse (annexes C), annexes finales de la proposition de rectifications. Script : scripts/reponse1-biere-freinte.py</t>
        </is>
      </c>
    </row>
    <row r="4">
      <c r="A4" s="3" t="inlineStr">
        <is>
          <t>Article de caisse</t>
        </is>
      </c>
      <c r="B4" s="3" t="inlineStr">
        <is>
          <t>Contenance verre (cl)</t>
        </is>
      </c>
      <c r="C4" s="3" t="inlineStr">
        <is>
          <t>Part bière (cl)</t>
        </is>
      </c>
      <c r="D4" s="3" t="inlineStr">
        <is>
          <t>2022-23 qté</t>
        </is>
      </c>
      <c r="E4" s="3" t="inlineStr">
        <is>
          <t>2022-23 L bière</t>
        </is>
      </c>
      <c r="F4" s="3" t="inlineStr">
        <is>
          <t>2023-24 qté</t>
        </is>
      </c>
      <c r="G4" s="3" t="inlineStr">
        <is>
          <t>2023-24 L bière</t>
        </is>
      </c>
      <c r="H4" s="3" t="inlineStr">
        <is>
          <t>2024-25 qté</t>
        </is>
      </c>
      <c r="I4" s="3" t="inlineStr">
        <is>
          <t>2024-25 L bière</t>
        </is>
      </c>
      <c r="J4" s="3" t="inlineStr">
        <is>
          <t>Total qté</t>
        </is>
      </c>
      <c r="K4" s="3" t="inlineStr">
        <is>
          <t>Total L bière</t>
        </is>
      </c>
    </row>
    <row r="5">
      <c r="A5" s="4" t="inlineStr">
        <is>
          <t>Pression 25 cl</t>
        </is>
      </c>
      <c r="B5" s="5" t="n">
        <v>25</v>
      </c>
      <c r="C5" s="5" t="n">
        <v>25</v>
      </c>
      <c r="D5" s="5" t="n">
        <v>901.5</v>
      </c>
      <c r="E5" s="5" t="n">
        <v>225.4</v>
      </c>
      <c r="F5" s="5" t="n">
        <v>670</v>
      </c>
      <c r="G5" s="5" t="n">
        <v>167.5</v>
      </c>
      <c r="H5" s="5" t="n">
        <v>662</v>
      </c>
      <c r="I5" s="5" t="n">
        <v>165.5</v>
      </c>
      <c r="J5" s="5" t="n">
        <v>2233.5</v>
      </c>
      <c r="K5" s="5" t="n">
        <v>558.4</v>
      </c>
    </row>
    <row r="6">
      <c r="A6" s="4" t="inlineStr">
        <is>
          <t>Pression 50 cl (pinte)</t>
        </is>
      </c>
      <c r="B6" s="5" t="n">
        <v>50</v>
      </c>
      <c r="C6" s="5" t="n">
        <v>50</v>
      </c>
      <c r="D6" s="5" t="n">
        <v>282.5</v>
      </c>
      <c r="E6" s="5" t="n">
        <v>141.2</v>
      </c>
      <c r="F6" s="5" t="n">
        <v>286.5</v>
      </c>
      <c r="G6" s="5" t="n">
        <v>143.2</v>
      </c>
      <c r="H6" s="5" t="n">
        <v>308</v>
      </c>
      <c r="I6" s="5" t="n">
        <v>154</v>
      </c>
      <c r="J6" s="5" t="n">
        <v>877</v>
      </c>
      <c r="K6" s="5" t="n">
        <v>438.5</v>
      </c>
    </row>
    <row r="7">
      <c r="A7" s="4" t="inlineStr">
        <is>
          <t>Panaché 25 cl</t>
        </is>
      </c>
      <c r="B7" s="5" t="n">
        <v>25</v>
      </c>
      <c r="C7" s="5" t="n">
        <v>12.5</v>
      </c>
      <c r="D7" s="5" t="n">
        <v>147</v>
      </c>
      <c r="E7" s="5" t="n">
        <v>18.4</v>
      </c>
      <c r="F7" s="5" t="n">
        <v>102.5</v>
      </c>
      <c r="G7" s="5" t="n">
        <v>12.8</v>
      </c>
      <c r="H7" s="5" t="n">
        <v>97</v>
      </c>
      <c r="I7" s="5" t="n">
        <v>12.1</v>
      </c>
      <c r="J7" s="5" t="n">
        <v>346.5</v>
      </c>
      <c r="K7" s="5" t="n">
        <v>43.3</v>
      </c>
    </row>
    <row r="8">
      <c r="A8" s="4" t="inlineStr">
        <is>
          <t>Picon bière 25 cl</t>
        </is>
      </c>
      <c r="B8" s="5" t="n">
        <v>25</v>
      </c>
      <c r="C8" s="5" t="n">
        <v>23</v>
      </c>
      <c r="D8" s="5" t="n">
        <v>129</v>
      </c>
      <c r="E8" s="5" t="n">
        <v>29.7</v>
      </c>
      <c r="F8" s="5" t="n">
        <v>130</v>
      </c>
      <c r="G8" s="5" t="n">
        <v>29.9</v>
      </c>
      <c r="H8" s="5" t="n">
        <v>123.5</v>
      </c>
      <c r="I8" s="5" t="n">
        <v>28.4</v>
      </c>
      <c r="J8" s="5" t="n">
        <v>382.5</v>
      </c>
      <c r="K8" s="5" t="n">
        <v>88</v>
      </c>
    </row>
    <row r="9">
      <c r="A9" s="4" t="inlineStr">
        <is>
          <t>Picon bière 50 cl</t>
        </is>
      </c>
      <c r="B9" s="5" t="n">
        <v>50</v>
      </c>
      <c r="C9" s="5" t="n">
        <v>46</v>
      </c>
      <c r="D9" s="5" t="n">
        <v>37</v>
      </c>
      <c r="E9" s="5" t="n">
        <v>17</v>
      </c>
      <c r="F9" s="5" t="n">
        <v>66.5</v>
      </c>
      <c r="G9" s="5" t="n">
        <v>30.6</v>
      </c>
      <c r="H9" s="5" t="n">
        <v>59</v>
      </c>
      <c r="I9" s="5" t="n">
        <v>27.1</v>
      </c>
      <c r="J9" s="5" t="n">
        <v>162.5</v>
      </c>
      <c r="K9" s="5" t="n">
        <v>74.8</v>
      </c>
    </row>
    <row r="10">
      <c r="A10" s="4" t="inlineStr">
        <is>
          <t>Monaco 25 cl</t>
        </is>
      </c>
      <c r="B10" s="5" t="n">
        <v>25</v>
      </c>
      <c r="C10" s="5" t="n">
        <v>12.5</v>
      </c>
      <c r="D10" s="5" t="n">
        <v>0</v>
      </c>
      <c r="E10" s="5" t="n">
        <v>0</v>
      </c>
      <c r="F10" s="5" t="n">
        <v>56</v>
      </c>
      <c r="G10" s="5" t="n">
        <v>7</v>
      </c>
      <c r="H10" s="5" t="n">
        <v>74</v>
      </c>
      <c r="I10" s="5" t="n">
        <v>9.199999999999999</v>
      </c>
      <c r="J10" s="5" t="n">
        <v>130</v>
      </c>
      <c r="K10" s="5" t="n">
        <v>16.2</v>
      </c>
    </row>
    <row r="11">
      <c r="A11" s="6" t="inlineStr">
        <is>
          <t>TOTAL bière servie au verre</t>
        </is>
      </c>
      <c r="B11" s="6" t="inlineStr"/>
      <c r="C11" s="6" t="inlineStr"/>
      <c r="D11" s="7" t="n">
        <v>1497</v>
      </c>
      <c r="E11" s="7" t="n">
        <v>431.7</v>
      </c>
      <c r="F11" s="7" t="n">
        <v>1311.5</v>
      </c>
      <c r="G11" s="7" t="n">
        <v>391.1</v>
      </c>
      <c r="H11" s="7" t="n">
        <v>1323.5</v>
      </c>
      <c r="I11" s="7" t="n">
        <v>396.4</v>
      </c>
      <c r="J11" s="7" t="n">
        <v>4132</v>
      </c>
      <c r="K11" s="7" t="n">
        <v>1219.2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6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Bière pression : freinte technique du fût et assiette des abattements</t>
        </is>
      </c>
    </row>
    <row r="2">
      <c r="A2" s="2" t="inlineStr">
        <is>
          <t>SARL LA DEMI LUNE. Sources : factures FCBS, caisse (annexes C), annexes finales de la proposition de rectifications. Script : scripts/reponse1-biere-freinte.py</t>
        </is>
      </c>
    </row>
    <row r="4">
      <c r="A4" s="3" t="inlineStr">
        <is>
          <t>Exercice</t>
        </is>
      </c>
      <c r="B4" s="3" t="inlineStr">
        <is>
          <t>Fûts achetés (L)</t>
        </is>
      </c>
      <c r="C4" s="3" t="inlineStr">
        <is>
          <t>Nombre de fûts de 8 L</t>
        </is>
      </c>
      <c r="D4" s="3" t="inlineStr">
        <is>
          <t>Volume résiduel non tirable 1,5 % (L) - manuel Heineken Blade</t>
        </is>
      </c>
      <c r="E4" s="3" t="inlineStr">
        <is>
          <t>Freinte au taux retenu 10 % (L)</t>
        </is>
      </c>
      <c r="F4" s="3" t="inlineStr">
        <is>
          <t>Volume facturable à 10 % (L)</t>
        </is>
      </c>
      <c r="G4" s="3" t="inlineStr">
        <is>
          <t>Freinte à la borne haute 20 % (L)</t>
        </is>
      </c>
      <c r="H4" s="3" t="inlineStr">
        <is>
          <t>Volume facturable à 20 % (L)</t>
        </is>
      </c>
      <c r="I4" s="3" t="inlineStr">
        <is>
          <t>Bière servie en caisse (L)</t>
        </is>
      </c>
    </row>
    <row r="5">
      <c r="A5" s="4" t="inlineStr">
        <is>
          <t>2022-23</t>
        </is>
      </c>
      <c r="B5" s="5" t="n">
        <v>792</v>
      </c>
      <c r="C5" s="5" t="n">
        <v>99</v>
      </c>
      <c r="D5" s="5" t="n">
        <v>11.88</v>
      </c>
      <c r="E5" s="5" t="n">
        <v>79.2</v>
      </c>
      <c r="F5" s="5" t="n">
        <v>712.8</v>
      </c>
      <c r="G5" s="5" t="n">
        <v>158.4</v>
      </c>
      <c r="H5" s="5" t="n">
        <v>633.6</v>
      </c>
      <c r="I5" s="5" t="n">
        <v>431.7</v>
      </c>
    </row>
    <row r="6">
      <c r="A6" s="4" t="inlineStr">
        <is>
          <t>2023-24</t>
        </is>
      </c>
      <c r="B6" s="5" t="n">
        <v>632</v>
      </c>
      <c r="C6" s="5" t="n">
        <v>79</v>
      </c>
      <c r="D6" s="5" t="n">
        <v>9.48</v>
      </c>
      <c r="E6" s="5" t="n">
        <v>63.2</v>
      </c>
      <c r="F6" s="5" t="n">
        <v>568.8</v>
      </c>
      <c r="G6" s="5" t="n">
        <v>126.4</v>
      </c>
      <c r="H6" s="5" t="n">
        <v>505.6</v>
      </c>
      <c r="I6" s="5" t="n">
        <v>391.1</v>
      </c>
    </row>
    <row r="7">
      <c r="A7" s="4" t="inlineStr">
        <is>
          <t>2024-25</t>
        </is>
      </c>
      <c r="B7" s="5" t="n">
        <v>672</v>
      </c>
      <c r="C7" s="5" t="n">
        <v>84</v>
      </c>
      <c r="D7" s="5" t="n">
        <v>10.08</v>
      </c>
      <c r="E7" s="5" t="n">
        <v>67.2</v>
      </c>
      <c r="F7" s="5" t="n">
        <v>604.8</v>
      </c>
      <c r="G7" s="5" t="n">
        <v>134.4</v>
      </c>
      <c r="H7" s="5" t="n">
        <v>537.6</v>
      </c>
      <c r="I7" s="5" t="n">
        <v>396.4</v>
      </c>
    </row>
    <row r="8">
      <c r="A8" s="6" t="inlineStr">
        <is>
          <t>TOTAL 3 exercices</t>
        </is>
      </c>
      <c r="B8" s="7" t="n">
        <v>2096</v>
      </c>
      <c r="C8" s="7" t="n">
        <v>262</v>
      </c>
      <c r="D8" s="7" t="n">
        <v>31.44</v>
      </c>
      <c r="E8" s="7" t="n">
        <v>209.6</v>
      </c>
      <c r="F8" s="7" t="n">
        <v>1886.4</v>
      </c>
      <c r="G8" s="7" t="n">
        <v>419.2</v>
      </c>
      <c r="H8" s="7" t="n">
        <v>1676.8</v>
      </c>
      <c r="I8" s="7" t="n">
        <v>1219.2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15" customWidth="1" min="4" max="4"/>
    <col width="22" customWidth="1" min="5" max="5"/>
    <col width="14" customWidth="1" min="6" max="6"/>
    <col width="16" customWidth="1" min="7" max="7"/>
    <col width="16" customWidth="1" min="8" max="8"/>
    <col width="12" customWidth="1" min="9" max="9"/>
  </cols>
  <sheetData>
    <row r="1">
      <c r="A1" s="1" t="inlineStr">
        <is>
          <t>Bière pression : freinte technique du fût et assiette des abattements</t>
        </is>
      </c>
    </row>
    <row r="2">
      <c r="A2" s="2" t="inlineStr">
        <is>
          <t>SARL LA DEMI LUNE. Sources : factures FCBS, caisse (annexes C), annexes finales de la proposition de rectifications. Script : scripts/reponse1-biere-freinte.py</t>
        </is>
      </c>
    </row>
    <row r="4">
      <c r="A4" s="3" t="inlineStr">
        <is>
          <t>Exercice</t>
        </is>
      </c>
      <c r="B4" s="3" t="inlineStr">
        <is>
          <t>Fûts achetés (L)</t>
        </is>
      </c>
      <c r="C4" s="3" t="inlineStr">
        <is>
          <t>1er abattement : 15 % du fût (L)</t>
        </is>
      </c>
      <c r="D4" s="3" t="inlineStr">
        <is>
          <t>Volume net après (L)</t>
        </is>
      </c>
      <c r="E4" s="3" t="inlineStr">
        <is>
          <t>2e abattement : 15 % du net, en litres équivalents (L)</t>
        </is>
      </c>
      <c r="F4" s="3" t="inlineStr">
        <is>
          <t>Total retiré (L)</t>
        </is>
      </c>
      <c r="G4" s="3" t="inlineStr">
        <is>
          <t>Taux réel sur le fût (%)</t>
        </is>
      </c>
      <c r="H4" s="3" t="inlineStr">
        <is>
          <t>Taux revendiqué p. 61 et 83 (%)</t>
        </is>
      </c>
      <c r="I4" s="3" t="inlineStr">
        <is>
          <t>Écart (points)</t>
        </is>
      </c>
    </row>
    <row r="5">
      <c r="A5" s="4" t="inlineStr">
        <is>
          <t>2022-23</t>
        </is>
      </c>
      <c r="B5" s="5" t="n">
        <v>792</v>
      </c>
      <c r="C5" s="5" t="n">
        <v>118.8</v>
      </c>
      <c r="D5" s="5" t="n">
        <v>673.2</v>
      </c>
      <c r="E5" s="5" t="n">
        <v>101</v>
      </c>
      <c r="F5" s="5" t="n">
        <v>219.8</v>
      </c>
      <c r="G5" s="5" t="n">
        <v>27.75</v>
      </c>
      <c r="H5" s="5" t="n">
        <v>30</v>
      </c>
      <c r="I5" s="5" t="n">
        <v>-2.25</v>
      </c>
    </row>
    <row r="6">
      <c r="A6" s="4" t="inlineStr">
        <is>
          <t>2023-24</t>
        </is>
      </c>
      <c r="B6" s="5" t="n">
        <v>632</v>
      </c>
      <c r="C6" s="5" t="n">
        <v>94.8</v>
      </c>
      <c r="D6" s="5" t="n">
        <v>537.2</v>
      </c>
      <c r="E6" s="5" t="n">
        <v>80.59999999999999</v>
      </c>
      <c r="F6" s="5" t="n">
        <v>175.4</v>
      </c>
      <c r="G6" s="5" t="n">
        <v>27.75</v>
      </c>
      <c r="H6" s="5" t="n">
        <v>30</v>
      </c>
      <c r="I6" s="5" t="n">
        <v>-2.25</v>
      </c>
    </row>
    <row r="7">
      <c r="A7" s="4" t="inlineStr">
        <is>
          <t>2024-25</t>
        </is>
      </c>
      <c r="B7" s="5" t="n">
        <v>672</v>
      </c>
      <c r="C7" s="5" t="n">
        <v>100.8</v>
      </c>
      <c r="D7" s="5" t="n">
        <v>571.2</v>
      </c>
      <c r="E7" s="5" t="n">
        <v>85.7</v>
      </c>
      <c r="F7" s="5" t="n">
        <v>186.5</v>
      </c>
      <c r="G7" s="5" t="n">
        <v>27.75</v>
      </c>
      <c r="H7" s="5" t="n">
        <v>30</v>
      </c>
      <c r="I7" s="5" t="n">
        <v>-2.25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Bière pression : freinte technique du fût et assiette des abattements</t>
        </is>
      </c>
    </row>
    <row r="2">
      <c r="A2" s="2" t="inlineStr">
        <is>
          <t>SARL LA DEMI LUNE. Sources : factures FCBS, caisse (annexes C), annexes finales de la proposition de rectifications. Script : scripts/reponse1-biere-freinte.py</t>
        </is>
      </c>
    </row>
    <row r="4">
      <c r="A4" s="3" t="inlineStr">
        <is>
          <t>Exercice</t>
        </is>
      </c>
      <c r="B4" s="3" t="inlineStr">
        <is>
          <t>Base : volume net après le 1er abattement (L)</t>
        </is>
      </c>
      <c r="C4" s="3" t="inlineStr">
        <is>
          <t>Remise 5 % (L)</t>
        </is>
      </c>
      <c r="D4" s="3" t="inlineStr">
        <is>
          <t>Pertes 5 % (L)</t>
        </is>
      </c>
      <c r="E4" s="3" t="inlineStr">
        <is>
          <t>Conso personnel 5 % (L)</t>
        </is>
      </c>
      <c r="F4" s="3" t="inlineStr">
        <is>
          <t>Total 15 % (L)</t>
        </is>
      </c>
    </row>
    <row r="5">
      <c r="A5" s="4" t="inlineStr">
        <is>
          <t>2022-23</t>
        </is>
      </c>
      <c r="B5" s="5" t="n">
        <v>673.2</v>
      </c>
      <c r="C5" s="5" t="n">
        <v>33.7</v>
      </c>
      <c r="D5" s="5" t="n">
        <v>33.7</v>
      </c>
      <c r="E5" s="5" t="n">
        <v>33.7</v>
      </c>
      <c r="F5" s="5" t="n">
        <v>101</v>
      </c>
    </row>
    <row r="6">
      <c r="A6" s="4" t="inlineStr">
        <is>
          <t>2023-24</t>
        </is>
      </c>
      <c r="B6" s="5" t="n">
        <v>537.2</v>
      </c>
      <c r="C6" s="5" t="n">
        <v>26.9</v>
      </c>
      <c r="D6" s="5" t="n">
        <v>26.9</v>
      </c>
      <c r="E6" s="5" t="n">
        <v>26.9</v>
      </c>
      <c r="F6" s="5" t="n">
        <v>80.59999999999999</v>
      </c>
    </row>
    <row r="7">
      <c r="A7" s="4" t="inlineStr">
        <is>
          <t>2024-25</t>
        </is>
      </c>
      <c r="B7" s="5" t="n">
        <v>571.2</v>
      </c>
      <c r="C7" s="5" t="n">
        <v>28.6</v>
      </c>
      <c r="D7" s="5" t="n">
        <v>28.6</v>
      </c>
      <c r="E7" s="5" t="n">
        <v>28.6</v>
      </c>
      <c r="F7" s="5" t="n">
        <v>85.7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52" customWidth="1" min="4" max="4"/>
  </cols>
  <sheetData>
    <row r="1">
      <c r="A1" s="1" t="inlineStr">
        <is>
          <t>Bière pression : freinte technique du fût et assiette des abattements</t>
        </is>
      </c>
    </row>
    <row r="2">
      <c r="A2" s="2" t="inlineStr">
        <is>
          <t>SARL LA DEMI LUNE. Sources : factures FCBS, caisse (annexes C), annexes finales de la proposition de rectifications. Script : scripts/reponse1-biere-freinte.py</t>
        </is>
      </c>
    </row>
    <row r="4">
      <c r="A4" s="3" t="inlineStr">
        <is>
          <t>Grandeur</t>
        </is>
      </c>
      <c r="B4" s="3" t="inlineStr">
        <is>
          <t>Valeur</t>
        </is>
      </c>
      <c r="C4" s="3" t="inlineStr">
        <is>
          <t>Unité</t>
        </is>
      </c>
      <c r="D4" s="3" t="inlineStr">
        <is>
          <t>Source ou calcul</t>
        </is>
      </c>
    </row>
    <row r="5">
      <c r="A5" s="4" t="inlineStr">
        <is>
          <t>Prix moyen TTC du litre de bière retenu par le service</t>
        </is>
      </c>
      <c r="B5" s="5" t="n">
        <v>16.38</v>
      </c>
      <c r="C5" s="4" t="inlineStr">
        <is>
          <t>EUR/L</t>
        </is>
      </c>
      <c r="D5" s="4" t="inlineStr">
        <is>
          <t>annexes finales : CA bière reconstitué / volume valorisé</t>
        </is>
      </c>
    </row>
    <row r="6">
      <c r="A6" s="4" t="inlineStr">
        <is>
          <t>Abattements de fin de méthode appliqués au CA liquides</t>
        </is>
      </c>
      <c r="B6" s="5" t="n">
        <v>15</v>
      </c>
      <c r="C6" s="4" t="inlineStr">
        <is>
          <t>%</t>
        </is>
      </c>
      <c r="D6" s="4" t="inlineStr">
        <is>
          <t>5 % remise + 5 % pertes + 5 % conso personnel</t>
        </is>
      </c>
    </row>
    <row r="7">
      <c r="A7" s="4" t="inlineStr">
        <is>
          <t>Coefficient liquides -&gt; solides appliqué par le service</t>
        </is>
      </c>
      <c r="B7" s="5" t="n">
        <v>3.1</v>
      </c>
      <c r="C7" s="4" t="inlineStr">
        <is>
          <t>x</t>
        </is>
      </c>
      <c r="D7" s="4" t="inlineStr">
        <is>
          <t>CA solides = CA liquides après abattements x 3,10</t>
        </is>
      </c>
    </row>
    <row r="8">
      <c r="A8" s="4" t="inlineStr">
        <is>
          <t>CA total reconstitué TTC entraîné par 1 litre de fût</t>
        </is>
      </c>
      <c r="B8" s="5" t="n">
        <v>57.09</v>
      </c>
      <c r="C8" s="4" t="inlineStr">
        <is>
          <t>EUR/L</t>
        </is>
      </c>
      <c r="D8" s="4">
        <f> prix du litre x (1 - 15 %) x (1 + 3,10)</f>
        <v/>
      </c>
    </row>
    <row r="9">
      <c r="A9" s="4" t="inlineStr">
        <is>
          <t>Valeur du 1er abattement (15 % du fût), 3 exercices</t>
        </is>
      </c>
      <c r="B9" s="5" t="n">
        <v>17948</v>
      </c>
      <c r="C9" s="4" t="inlineStr">
        <is>
          <t>EUR</t>
        </is>
      </c>
      <c r="D9" s="4" t="inlineStr">
        <is>
          <t>314,4 L x 57,09 EUR/L</t>
        </is>
      </c>
    </row>
    <row r="10">
      <c r="A10" s="4" t="inlineStr">
        <is>
          <t>Valeur du 2e abattement (15 % en fin de méthode) sur la seule bière</t>
        </is>
      </c>
      <c r="B10" s="5" t="n">
        <v>17948</v>
      </c>
      <c r="C10" s="4" t="inlineStr">
        <is>
          <t>EUR</t>
        </is>
      </c>
      <c r="D10" s="4" t="inlineStr">
        <is>
          <t>267,2 L x 67,16 EUR/L</t>
        </is>
      </c>
    </row>
    <row r="11">
      <c r="A11" s="4" t="inlineStr">
        <is>
          <t>Taux réel retiré par le service sur le fût</t>
        </is>
      </c>
      <c r="B11" s="5" t="n">
        <v>27.75</v>
      </c>
      <c r="C11" s="4" t="inlineStr">
        <is>
          <t>%</t>
        </is>
      </c>
      <c r="D11" s="4" t="inlineStr">
        <is>
          <t>et non 30 % : 1 - 0,85 x 0,85</t>
        </is>
      </c>
    </row>
    <row r="12">
      <c r="A12" s="4" t="inlineStr">
        <is>
          <t>Écart entre le taux revendiqué (30 %) et le taux réel</t>
        </is>
      </c>
      <c r="B12" s="5" t="n">
        <v>2.25</v>
      </c>
      <c r="C12" s="4" t="inlineStr">
        <is>
          <t>points de fût</t>
        </is>
      </c>
      <c r="D12" s="4" t="inlineStr">
        <is>
          <t>soit 47,2 L sur 3 exercices</t>
        </is>
      </c>
    </row>
    <row r="13">
      <c r="A13" s="4" t="inlineStr">
        <is>
          <t>Écart en CA total reconstitué TTC</t>
        </is>
      </c>
      <c r="B13" s="5" t="n">
        <v>2692</v>
      </c>
      <c r="C13" s="4" t="inlineStr">
        <is>
          <t>EUR</t>
        </is>
      </c>
      <c r="D13" s="4" t="inlineStr">
        <is>
          <t>aux paramètres du service (prix du litre et coefficient 3,10)</t>
        </is>
      </c>
    </row>
    <row r="14">
      <c r="A14" s="4" t="inlineStr">
        <is>
          <t>Freinte retenue par la défense (10 % de la contenance servie)</t>
        </is>
      </c>
      <c r="B14" s="5" t="n">
        <v>129</v>
      </c>
      <c r="C14" s="4" t="inlineStr">
        <is>
          <t>L</t>
        </is>
      </c>
      <c r="D14" s="4" t="inlineStr">
        <is>
          <t>soit 6,2 % du fût acheté, donc moins que les 15 % du service</t>
        </is>
      </c>
    </row>
    <row r="15">
      <c r="A15" s="4" t="inlineStr">
        <is>
          <t>Volume résiduel jeté avec les fûts (262 x 120 ml)</t>
        </is>
      </c>
      <c r="B15" s="5" t="n">
        <v>31.44</v>
      </c>
      <c r="C15" s="4" t="inlineStr">
        <is>
          <t>L</t>
        </is>
      </c>
      <c r="D15" s="4" t="inlineStr">
        <is>
          <t>manuel Heineken Blade : 1,5 % (120 ml) par fût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2026-09-10T09:51:05Z</dcterms:created>
  <dcterms:modified xsi:type="dcterms:W3CDTF">2026-09-10T09:51:05Z</dcterms:modified>
</cp:coreProperties>
</file>