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 alcool menus par ca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6" fillId="0" borderId="0" pivotButton="0" quotePrefix="0" xfId="0"/>
    <xf numFmtId="164" fontId="4" fillId="0" borderId="1" applyAlignment="1" pivotButton="0" quotePrefix="0" xfId="0">
      <alignment horizontal="center" vertical="center"/>
    </xf>
    <xf numFmtId="0" fontId="4" fillId="5" borderId="1" pivotButton="0" quotePrefix="0" xfId="0"/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  <col width="8" customWidth="1" min="4" max="4"/>
    <col width="9" customWidth="1" min="5" max="5"/>
    <col width="30" customWidth="1" min="6" max="6"/>
    <col width="9" customWidth="1" min="7" max="7"/>
    <col width="11" customWidth="1" min="8" max="8"/>
    <col width="17" customWidth="1" min="9" max="9"/>
    <col width="8" customWidth="1" min="10" max="10"/>
    <col width="8" customWidth="1" min="11" max="11"/>
    <col width="9" customWidth="1" min="12" max="12"/>
    <col width="8" customWidth="1" min="13" max="13"/>
    <col width="12" customWidth="1" min="14" max="14"/>
    <col width="14" customWidth="1" min="15" max="15"/>
    <col width="12" customWidth="1" min="16" max="16"/>
  </cols>
  <sheetData>
    <row r="1">
      <c r="A1" s="1" t="inlineStr">
        <is>
          <t>DEMI LUNE - Estimation de l'alcool incorporé dans les menus vendus, par période de carte</t>
        </is>
      </c>
    </row>
    <row r="2" ht="42" customHeight="1">
      <c r="A2" s="2" t="inlineStr">
        <is>
          <t>Base : menus STANDARD uniquement (prix personnalisés exclus). Quand l'alcool dépend d'une option, Proba = part estimée de clients la choisissant (cellules MODIFIABLES, bornes basse/haute, moyenne = (basse+haute)/2). Conso = Nb vendu x Dose x Proba. Tiret bas = service où l'alcool est toujours présent (Proba 100%).</t>
        </is>
      </c>
    </row>
    <row r="4" ht="30" customHeight="1">
      <c r="A4" s="3" t="inlineStr">
        <is>
          <t>Période</t>
        </is>
      </c>
      <c r="B4" s="3" t="inlineStr">
        <is>
          <t>Carte (dates)</t>
        </is>
      </c>
      <c r="C4" s="3" t="inlineStr">
        <is>
          <t>Menu</t>
        </is>
      </c>
      <c r="D4" s="3" t="inlineStr">
        <is>
          <t>Nb menus
vendus</t>
        </is>
      </c>
      <c r="E4" s="3" t="inlineStr">
        <is>
          <t>Service</t>
        </is>
      </c>
      <c r="F4" s="3" t="inlineStr">
        <is>
          <t>Option alcoolisée</t>
        </is>
      </c>
      <c r="G4" s="3" t="inlineStr">
        <is>
          <t>Nb options
du service</t>
        </is>
      </c>
      <c r="H4" s="3" t="inlineStr">
        <is>
          <t>Obligatoire</t>
        </is>
      </c>
      <c r="I4" s="3" t="inlineStr">
        <is>
          <t>Type d'alcool</t>
        </is>
      </c>
      <c r="J4" s="3" t="inlineStr">
        <is>
          <t>Dose
(cl/menu)</t>
        </is>
      </c>
      <c r="K4" s="3" t="inlineStr">
        <is>
          <t>Proba
basse</t>
        </is>
      </c>
      <c r="L4" s="3" t="inlineStr">
        <is>
          <t>Proba
moyenne</t>
        </is>
      </c>
      <c r="M4" s="3" t="inlineStr">
        <is>
          <t>Proba
haute</t>
        </is>
      </c>
      <c r="N4" s="3" t="inlineStr">
        <is>
          <t>Conso basse
(cl)</t>
        </is>
      </c>
      <c r="O4" s="3" t="inlineStr">
        <is>
          <t>Conso moyenne
(cl)</t>
        </is>
      </c>
      <c r="P4" s="3" t="inlineStr">
        <is>
          <t>Conso haute
(cl)</t>
        </is>
      </c>
    </row>
    <row r="5">
      <c r="A5" s="4" t="inlineStr">
        <is>
          <t>A</t>
        </is>
      </c>
      <c r="B5" s="5" t="inlineStr">
        <is>
          <t>17/04/2023 - 17/07/2025</t>
        </is>
      </c>
      <c r="C5" s="5" t="inlineStr">
        <is>
          <t>Demi Lune</t>
        </is>
      </c>
      <c r="D5" s="4" t="n">
        <v>260</v>
      </c>
      <c r="E5" s="5" t="inlineStr">
        <is>
          <t>Plat</t>
        </is>
      </c>
      <c r="F5" s="5" t="inlineStr">
        <is>
          <t>Poulet ou truite aux morilles</t>
        </is>
      </c>
      <c r="G5" s="4" t="n">
        <v>2</v>
      </c>
      <c r="H5" s="4" t="inlineStr">
        <is>
          <t>Oui</t>
        </is>
      </c>
      <c r="I5" s="5" t="inlineStr">
        <is>
          <t>Porto</t>
        </is>
      </c>
      <c r="J5" s="4" t="n">
        <v>1</v>
      </c>
      <c r="K5" s="6" t="n">
        <v>1</v>
      </c>
      <c r="L5" s="6">
        <f>(K5+M5)/2</f>
        <v/>
      </c>
      <c r="M5" s="6" t="n">
        <v>1</v>
      </c>
      <c r="N5" s="7">
        <f>$D5*$J5*K5</f>
        <v/>
      </c>
      <c r="O5" s="7">
        <f>$D5*$J5*L5</f>
        <v/>
      </c>
      <c r="P5" s="7">
        <f>$D5*$J5*M5</f>
        <v/>
      </c>
    </row>
    <row r="6">
      <c r="A6" s="4" t="inlineStr">
        <is>
          <t>A</t>
        </is>
      </c>
      <c r="B6" s="5" t="inlineStr">
        <is>
          <t>17/04/2023 - 17/07/2025</t>
        </is>
      </c>
      <c r="C6" s="5" t="inlineStr">
        <is>
          <t>Demi Lune</t>
        </is>
      </c>
      <c r="D6" s="4" t="n">
        <v>260</v>
      </c>
      <c r="E6" s="5" t="inlineStr">
        <is>
          <t>Entrée</t>
        </is>
      </c>
      <c r="F6" s="5" t="inlineStr">
        <is>
          <t>Feuilleté forestier (populaire)</t>
        </is>
      </c>
      <c r="G6" s="4" t="n">
        <v>3</v>
      </c>
      <c r="H6" s="4" t="inlineStr">
        <is>
          <t>Non</t>
        </is>
      </c>
      <c r="I6" s="5" t="inlineStr">
        <is>
          <t>Porto</t>
        </is>
      </c>
      <c r="J6" s="4" t="n">
        <v>1</v>
      </c>
      <c r="K6" s="6" t="n">
        <v>0.33</v>
      </c>
      <c r="L6" s="6">
        <f>(K6+M6)/2</f>
        <v/>
      </c>
      <c r="M6" s="6" t="n">
        <v>0.6</v>
      </c>
      <c r="N6" s="7">
        <f>$D6*$J6*K6</f>
        <v/>
      </c>
      <c r="O6" s="7">
        <f>$D6*$J6*L6</f>
        <v/>
      </c>
      <c r="P6" s="7">
        <f>$D6*$J6*M6</f>
        <v/>
      </c>
    </row>
    <row r="7">
      <c r="A7" s="4" t="inlineStr">
        <is>
          <t>A</t>
        </is>
      </c>
      <c r="B7" s="5" t="inlineStr">
        <is>
          <t>17/04/2023 - 17/07/2025</t>
        </is>
      </c>
      <c r="C7" s="5" t="inlineStr">
        <is>
          <t>Demi Lune</t>
        </is>
      </c>
      <c r="D7" s="4" t="n">
        <v>260</v>
      </c>
      <c r="E7" s="5" t="inlineStr">
        <is>
          <t>Dessert</t>
        </is>
      </c>
      <c r="F7" s="5" t="inlineStr">
        <is>
          <t>Coupe glacée Ivresse</t>
        </is>
      </c>
      <c r="G7" s="4" t="n">
        <v>4</v>
      </c>
      <c r="H7" s="4" t="inlineStr">
        <is>
          <t>Non</t>
        </is>
      </c>
      <c r="I7" s="5" t="inlineStr">
        <is>
          <t>Baileys</t>
        </is>
      </c>
      <c r="J7" s="4" t="n">
        <v>4</v>
      </c>
      <c r="K7" s="6" t="n">
        <v>0.15</v>
      </c>
      <c r="L7" s="6">
        <f>(K7+M7)/2</f>
        <v/>
      </c>
      <c r="M7" s="6" t="n">
        <v>0.35</v>
      </c>
      <c r="N7" s="7">
        <f>$D7*$J7*K7</f>
        <v/>
      </c>
      <c r="O7" s="7">
        <f>$D7*$J7*L7</f>
        <v/>
      </c>
      <c r="P7" s="7">
        <f>$D7*$J7*M7</f>
        <v/>
      </c>
    </row>
    <row r="8">
      <c r="A8" s="4" t="inlineStr">
        <is>
          <t>A</t>
        </is>
      </c>
      <c r="B8" s="5" t="inlineStr">
        <is>
          <t>17/04/2023 - 17/07/2025</t>
        </is>
      </c>
      <c r="C8" s="5" t="inlineStr">
        <is>
          <t>Demi Lune</t>
        </is>
      </c>
      <c r="D8" s="4" t="n">
        <v>260</v>
      </c>
      <c r="E8" s="5" t="inlineStr">
        <is>
          <t>Dessert</t>
        </is>
      </c>
      <c r="F8" s="5" t="inlineStr">
        <is>
          <t>Baba à la liqueur de poire</t>
        </is>
      </c>
      <c r="G8" s="4" t="n">
        <v>4</v>
      </c>
      <c r="H8" s="4" t="inlineStr">
        <is>
          <t>Non</t>
        </is>
      </c>
      <c r="I8" s="5" t="inlineStr">
        <is>
          <t>Liqueur de poire</t>
        </is>
      </c>
      <c r="J8" s="4" t="n">
        <v>4</v>
      </c>
      <c r="K8" s="6" t="n">
        <v>0.15</v>
      </c>
      <c r="L8" s="6">
        <f>(K8+M8)/2</f>
        <v/>
      </c>
      <c r="M8" s="6" t="n">
        <v>0.35</v>
      </c>
      <c r="N8" s="7">
        <f>$D8*$J8*K8</f>
        <v/>
      </c>
      <c r="O8" s="7">
        <f>$D8*$J8*L8</f>
        <v/>
      </c>
      <c r="P8" s="7">
        <f>$D8*$J8*M8</f>
        <v/>
      </c>
    </row>
    <row r="9">
      <c r="A9" s="8" t="n"/>
      <c r="B9" s="8" t="n"/>
      <c r="C9" s="9" t="inlineStr">
        <is>
          <t>Sous-total Demi Lune A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10">
        <f>SUM(N5:N8)</f>
        <v/>
      </c>
      <c r="O9" s="10">
        <f>SUM(O5:O8)</f>
        <v/>
      </c>
      <c r="P9" s="10">
        <f>SUM(P5:P8)</f>
        <v/>
      </c>
    </row>
    <row r="10">
      <c r="A10" s="4" t="inlineStr">
        <is>
          <t>A</t>
        </is>
      </c>
      <c r="B10" s="5" t="inlineStr">
        <is>
          <t>17/04/2023 - 17/07/2025</t>
        </is>
      </c>
      <c r="C10" s="5" t="inlineStr">
        <is>
          <t>Dahu</t>
        </is>
      </c>
      <c r="D10" s="4" t="n">
        <v>355</v>
      </c>
      <c r="E10" s="5" t="inlineStr">
        <is>
          <t>Plat</t>
        </is>
      </c>
      <c r="F10" s="5" t="inlineStr">
        <is>
          <t>Fondue jurassienne</t>
        </is>
      </c>
      <c r="G10" s="4" t="n">
        <v>1</v>
      </c>
      <c r="H10" s="4" t="inlineStr">
        <is>
          <t>Oui</t>
        </is>
      </c>
      <c r="I10" s="5" t="inlineStr">
        <is>
          <t>Ravelin</t>
        </is>
      </c>
      <c r="J10" s="4" t="n">
        <v>10</v>
      </c>
      <c r="K10" s="6" t="n">
        <v>1</v>
      </c>
      <c r="L10" s="6">
        <f>(K10+M10)/2</f>
        <v/>
      </c>
      <c r="M10" s="6" t="n">
        <v>1</v>
      </c>
      <c r="N10" s="7">
        <f>$D10*$J10*K10</f>
        <v/>
      </c>
      <c r="O10" s="7">
        <f>$D10*$J10*L10</f>
        <v/>
      </c>
      <c r="P10" s="7">
        <f>$D10*$J10*M10</f>
        <v/>
      </c>
    </row>
    <row r="11">
      <c r="A11" s="8" t="n"/>
      <c r="B11" s="8" t="n"/>
      <c r="C11" s="9" t="inlineStr">
        <is>
          <t>Sous-total Dahu A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10">
        <f>SUM(N10:N10)</f>
        <v/>
      </c>
      <c r="O11" s="10">
        <f>SUM(O10:O10)</f>
        <v/>
      </c>
      <c r="P11" s="10">
        <f>SUM(P10:P10)</f>
        <v/>
      </c>
    </row>
    <row r="12">
      <c r="A12" s="4" t="inlineStr">
        <is>
          <t>A</t>
        </is>
      </c>
      <c r="B12" s="5" t="inlineStr">
        <is>
          <t>17/04/2023 - 17/07/2025</t>
        </is>
      </c>
      <c r="C12" s="5" t="inlineStr">
        <is>
          <t>Végétarien</t>
        </is>
      </c>
      <c r="D12" s="4" t="n">
        <v>283</v>
      </c>
      <c r="E12" s="5" t="inlineStr">
        <is>
          <t>Plat</t>
        </is>
      </c>
      <c r="F12" s="5" t="inlineStr">
        <is>
          <t>Assiette du père Grégoire</t>
        </is>
      </c>
      <c r="G12" s="4" t="n">
        <v>2</v>
      </c>
      <c r="H12" s="4" t="inlineStr">
        <is>
          <t>Non</t>
        </is>
      </c>
      <c r="I12" s="5" t="inlineStr">
        <is>
          <t>Calvados</t>
        </is>
      </c>
      <c r="J12" s="4" t="n">
        <v>4</v>
      </c>
      <c r="K12" s="6" t="n">
        <v>0.35</v>
      </c>
      <c r="L12" s="6">
        <f>(K12+M12)/2</f>
        <v/>
      </c>
      <c r="M12" s="6" t="n">
        <v>0.65</v>
      </c>
      <c r="N12" s="7">
        <f>$D12*$J12*K12</f>
        <v/>
      </c>
      <c r="O12" s="7">
        <f>$D12*$J12*L12</f>
        <v/>
      </c>
      <c r="P12" s="7">
        <f>$D12*$J12*M12</f>
        <v/>
      </c>
    </row>
    <row r="13">
      <c r="A13" s="4" t="inlineStr">
        <is>
          <t>A</t>
        </is>
      </c>
      <c r="B13" s="5" t="inlineStr">
        <is>
          <t>17/04/2023 - 17/07/2025</t>
        </is>
      </c>
      <c r="C13" s="5" t="inlineStr">
        <is>
          <t>Végétarien</t>
        </is>
      </c>
      <c r="D13" s="4" t="n">
        <v>283</v>
      </c>
      <c r="E13" s="5" t="inlineStr">
        <is>
          <t>Plat</t>
        </is>
      </c>
      <c r="F13" s="5" t="inlineStr">
        <is>
          <t>Galette sarrasin sauce forestière</t>
        </is>
      </c>
      <c r="G13" s="4" t="n">
        <v>2</v>
      </c>
      <c r="H13" s="4" t="inlineStr">
        <is>
          <t>Non</t>
        </is>
      </c>
      <c r="I13" s="5" t="inlineStr">
        <is>
          <t>Porto</t>
        </is>
      </c>
      <c r="J13" s="4" t="n">
        <v>1</v>
      </c>
      <c r="K13" s="6" t="n">
        <v>0.35</v>
      </c>
      <c r="L13" s="6">
        <f>(K13+M13)/2</f>
        <v/>
      </c>
      <c r="M13" s="6" t="n">
        <v>0.65</v>
      </c>
      <c r="N13" s="7">
        <f>$D13*$J13*K13</f>
        <v/>
      </c>
      <c r="O13" s="7">
        <f>$D13*$J13*L13</f>
        <v/>
      </c>
      <c r="P13" s="7">
        <f>$D13*$J13*M13</f>
        <v/>
      </c>
    </row>
    <row r="14">
      <c r="A14" s="8" t="n"/>
      <c r="B14" s="8" t="n"/>
      <c r="C14" s="9" t="inlineStr">
        <is>
          <t>Sous-total Végétarien 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10">
        <f>SUM(N12:N13)</f>
        <v/>
      </c>
      <c r="O14" s="10">
        <f>SUM(O12:O13)</f>
        <v/>
      </c>
      <c r="P14" s="10">
        <f>SUM(P12:P13)</f>
        <v/>
      </c>
    </row>
    <row r="15">
      <c r="A15" s="4" t="inlineStr">
        <is>
          <t>A</t>
        </is>
      </c>
      <c r="B15" s="5" t="inlineStr">
        <is>
          <t>17/04/2023 - 17/07/2025</t>
        </is>
      </c>
      <c r="C15" s="5" t="inlineStr">
        <is>
          <t>Bourguignon</t>
        </is>
      </c>
      <c r="D15" s="4" t="n">
        <v>431</v>
      </c>
      <c r="E15" s="5" t="inlineStr">
        <is>
          <t>Dessert</t>
        </is>
      </c>
      <c r="F15" s="5" t="inlineStr">
        <is>
          <t>Coupe Dijonnaise</t>
        </is>
      </c>
      <c r="G15" s="4" t="n">
        <v>2</v>
      </c>
      <c r="H15" s="4" t="inlineStr">
        <is>
          <t>Non</t>
        </is>
      </c>
      <c r="I15" s="5" t="inlineStr">
        <is>
          <t>Crème de cassis</t>
        </is>
      </c>
      <c r="J15" s="4" t="n">
        <v>4</v>
      </c>
      <c r="K15" s="6" t="n">
        <v>0.35</v>
      </c>
      <c r="L15" s="6">
        <f>(K15+M15)/2</f>
        <v/>
      </c>
      <c r="M15" s="6" t="n">
        <v>0.65</v>
      </c>
      <c r="N15" s="7">
        <f>$D15*$J15*K15</f>
        <v/>
      </c>
      <c r="O15" s="7">
        <f>$D15*$J15*L15</f>
        <v/>
      </c>
      <c r="P15" s="7">
        <f>$D15*$J15*M15</f>
        <v/>
      </c>
    </row>
    <row r="16">
      <c r="A16" s="4" t="inlineStr">
        <is>
          <t>A</t>
        </is>
      </c>
      <c r="B16" s="5" t="inlineStr">
        <is>
          <t>17/04/2023 - 17/07/2025</t>
        </is>
      </c>
      <c r="C16" s="5" t="inlineStr">
        <is>
          <t>Bourguignon</t>
        </is>
      </c>
      <c r="D16" s="4" t="n">
        <v>431</v>
      </c>
      <c r="E16" s="5" t="inlineStr">
        <is>
          <t>Dessert</t>
        </is>
      </c>
      <c r="F16" s="5" t="inlineStr">
        <is>
          <t>Baba au Baileys</t>
        </is>
      </c>
      <c r="G16" s="4" t="n">
        <v>2</v>
      </c>
      <c r="H16" s="4" t="inlineStr">
        <is>
          <t>Non</t>
        </is>
      </c>
      <c r="I16" s="5" t="inlineStr">
        <is>
          <t>Baileys</t>
        </is>
      </c>
      <c r="J16" s="4" t="n">
        <v>4</v>
      </c>
      <c r="K16" s="6" t="n">
        <v>0.35</v>
      </c>
      <c r="L16" s="6">
        <f>(K16+M16)/2</f>
        <v/>
      </c>
      <c r="M16" s="6" t="n">
        <v>0.65</v>
      </c>
      <c r="N16" s="7">
        <f>$D16*$J16*K16</f>
        <v/>
      </c>
      <c r="O16" s="7">
        <f>$D16*$J16*L16</f>
        <v/>
      </c>
      <c r="P16" s="7">
        <f>$D16*$J16*M16</f>
        <v/>
      </c>
    </row>
    <row r="17">
      <c r="A17" s="8" t="n"/>
      <c r="B17" s="8" t="n"/>
      <c r="C17" s="9" t="inlineStr">
        <is>
          <t>Sous-total Bourguignon A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10">
        <f>SUM(N15:N16)</f>
        <v/>
      </c>
      <c r="O17" s="10">
        <f>SUM(O15:O16)</f>
        <v/>
      </c>
      <c r="P17" s="10">
        <f>SUM(P15:P16)</f>
        <v/>
      </c>
    </row>
    <row r="18">
      <c r="A18" s="4" t="inlineStr">
        <is>
          <t>A</t>
        </is>
      </c>
      <c r="B18" s="5" t="inlineStr">
        <is>
          <t>17/04/2023 - 17/07/2025</t>
        </is>
      </c>
      <c r="C18" s="5" t="inlineStr">
        <is>
          <t>Franc-Comtois</t>
        </is>
      </c>
      <c r="D18" s="4" t="n">
        <v>932</v>
      </c>
      <c r="E18" s="5" t="inlineStr">
        <is>
          <t>Plat</t>
        </is>
      </c>
      <c r="F18" s="5" t="inlineStr">
        <is>
          <t>Poulet à la jurassienne</t>
        </is>
      </c>
      <c r="G18" s="4" t="n">
        <v>2</v>
      </c>
      <c r="H18" s="4" t="inlineStr">
        <is>
          <t>Non</t>
        </is>
      </c>
      <c r="I18" s="5" t="inlineStr">
        <is>
          <t>Vin jaune</t>
        </is>
      </c>
      <c r="J18" s="4" t="n">
        <v>1</v>
      </c>
      <c r="K18" s="6" t="n">
        <v>0.35</v>
      </c>
      <c r="L18" s="6">
        <f>(K18+M18)/2</f>
        <v/>
      </c>
      <c r="M18" s="6" t="n">
        <v>0.65</v>
      </c>
      <c r="N18" s="7">
        <f>$D18*$J18*K18</f>
        <v/>
      </c>
      <c r="O18" s="7">
        <f>$D18*$J18*L18</f>
        <v/>
      </c>
      <c r="P18" s="7">
        <f>$D18*$J18*M18</f>
        <v/>
      </c>
    </row>
    <row r="19">
      <c r="A19" s="4" t="inlineStr">
        <is>
          <t>A</t>
        </is>
      </c>
      <c r="B19" s="5" t="inlineStr">
        <is>
          <t>17/04/2023 - 17/07/2025</t>
        </is>
      </c>
      <c r="C19" s="5" t="inlineStr">
        <is>
          <t>Franc-Comtois</t>
        </is>
      </c>
      <c r="D19" s="4" t="n">
        <v>932</v>
      </c>
      <c r="E19" s="5" t="inlineStr">
        <is>
          <t>Plat</t>
        </is>
      </c>
      <c r="F19" s="5" t="inlineStr">
        <is>
          <t>Assiette franc-comtoise</t>
        </is>
      </c>
      <c r="G19" s="4" t="n">
        <v>2</v>
      </c>
      <c r="H19" s="4" t="inlineStr">
        <is>
          <t>Non</t>
        </is>
      </c>
      <c r="I19" s="5" t="inlineStr">
        <is>
          <t>Macvin</t>
        </is>
      </c>
      <c r="J19" s="4" t="n">
        <v>4</v>
      </c>
      <c r="K19" s="6" t="n">
        <v>0.35</v>
      </c>
      <c r="L19" s="6">
        <f>(K19+M19)/2</f>
        <v/>
      </c>
      <c r="M19" s="6" t="n">
        <v>0.65</v>
      </c>
      <c r="N19" s="7">
        <f>$D19*$J19*K19</f>
        <v/>
      </c>
      <c r="O19" s="7">
        <f>$D19*$J19*L19</f>
        <v/>
      </c>
      <c r="P19" s="7">
        <f>$D19*$J19*M19</f>
        <v/>
      </c>
    </row>
    <row r="20">
      <c r="A20" s="8" t="n"/>
      <c r="B20" s="8" t="n"/>
      <c r="C20" s="9" t="inlineStr">
        <is>
          <t>Sous-total Franc-Comtois 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10">
        <f>SUM(N18:N19)</f>
        <v/>
      </c>
      <c r="O20" s="10">
        <f>SUM(O18:O19)</f>
        <v/>
      </c>
      <c r="P20" s="10">
        <f>SUM(P18:P19)</f>
        <v/>
      </c>
    </row>
    <row r="21">
      <c r="A21" s="11" t="n"/>
      <c r="B21" s="11" t="n"/>
      <c r="C21" s="12" t="inlineStr">
        <is>
          <t>TOTAL PÉRIODE A (17/04/2023 - 17/07/2025)</t>
        </is>
      </c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3">
        <f>N9+N11+N14+N17+N20</f>
        <v/>
      </c>
      <c r="O21" s="13">
        <f>O9+O11+O14+O17+O20</f>
        <v/>
      </c>
      <c r="P21" s="13">
        <f>P9+P11+P14+P17+P20</f>
        <v/>
      </c>
    </row>
    <row r="23">
      <c r="A23" s="4" t="inlineStr">
        <is>
          <t>B</t>
        </is>
      </c>
      <c r="B23" s="5" t="inlineStr">
        <is>
          <t>23/07/2022 - 17/04/2023</t>
        </is>
      </c>
      <c r="C23" s="5" t="inlineStr">
        <is>
          <t>Demi Lune</t>
        </is>
      </c>
      <c r="D23" s="4" t="n">
        <v>40</v>
      </c>
      <c r="E23" s="5" t="inlineStr">
        <is>
          <t>Plat</t>
        </is>
      </c>
      <c r="F23" s="5" t="inlineStr">
        <is>
          <t>Poulet ou truite aux morilles</t>
        </is>
      </c>
      <c r="G23" s="4" t="n">
        <v>2</v>
      </c>
      <c r="H23" s="4" t="inlineStr">
        <is>
          <t>Oui</t>
        </is>
      </c>
      <c r="I23" s="5" t="inlineStr">
        <is>
          <t>Porto</t>
        </is>
      </c>
      <c r="J23" s="4" t="n">
        <v>1</v>
      </c>
      <c r="K23" s="6" t="n">
        <v>1</v>
      </c>
      <c r="L23" s="6">
        <f>(K23+M23)/2</f>
        <v/>
      </c>
      <c r="M23" s="6" t="n">
        <v>1</v>
      </c>
      <c r="N23" s="7">
        <f>$D23*$J23*K23</f>
        <v/>
      </c>
      <c r="O23" s="7">
        <f>$D23*$J23*L23</f>
        <v/>
      </c>
      <c r="P23" s="7">
        <f>$D23*$J23*M23</f>
        <v/>
      </c>
    </row>
    <row r="24">
      <c r="A24" s="4" t="inlineStr">
        <is>
          <t>B</t>
        </is>
      </c>
      <c r="B24" s="5" t="inlineStr">
        <is>
          <t>23/07/2022 - 17/04/2023</t>
        </is>
      </c>
      <c r="C24" s="5" t="inlineStr">
        <is>
          <t>Demi Lune</t>
        </is>
      </c>
      <c r="D24" s="4" t="n">
        <v>40</v>
      </c>
      <c r="E24" s="5" t="inlineStr">
        <is>
          <t>Entrée</t>
        </is>
      </c>
      <c r="F24" s="5" t="inlineStr">
        <is>
          <t>Feuilleté forestier (populaire)</t>
        </is>
      </c>
      <c r="G24" s="4" t="n">
        <v>3</v>
      </c>
      <c r="H24" s="4" t="inlineStr">
        <is>
          <t>Non</t>
        </is>
      </c>
      <c r="I24" s="5" t="inlineStr">
        <is>
          <t>Porto</t>
        </is>
      </c>
      <c r="J24" s="4" t="n">
        <v>1</v>
      </c>
      <c r="K24" s="6" t="n">
        <v>0.33</v>
      </c>
      <c r="L24" s="6">
        <f>(K24+M24)/2</f>
        <v/>
      </c>
      <c r="M24" s="6" t="n">
        <v>0.6</v>
      </c>
      <c r="N24" s="7">
        <f>$D24*$J24*K24</f>
        <v/>
      </c>
      <c r="O24" s="7">
        <f>$D24*$J24*L24</f>
        <v/>
      </c>
      <c r="P24" s="7">
        <f>$D24*$J24*M24</f>
        <v/>
      </c>
    </row>
    <row r="25">
      <c r="A25" s="8" t="n"/>
      <c r="B25" s="8" t="n"/>
      <c r="C25" s="9" t="inlineStr">
        <is>
          <t>Sous-total Demi Lune B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10">
        <f>SUM(N23:N24)</f>
        <v/>
      </c>
      <c r="O25" s="10">
        <f>SUM(O23:O24)</f>
        <v/>
      </c>
      <c r="P25" s="10">
        <f>SUM(P23:P24)</f>
        <v/>
      </c>
    </row>
    <row r="26">
      <c r="A26" s="4" t="inlineStr">
        <is>
          <t>B</t>
        </is>
      </c>
      <c r="B26" s="5" t="inlineStr">
        <is>
          <t>23/07/2022 - 17/04/2023</t>
        </is>
      </c>
      <c r="C26" s="5" t="inlineStr">
        <is>
          <t>Dahu</t>
        </is>
      </c>
      <c r="D26" s="4" t="n">
        <v>115</v>
      </c>
      <c r="E26" s="5" t="inlineStr">
        <is>
          <t>Plat</t>
        </is>
      </c>
      <c r="F26" s="5" t="inlineStr">
        <is>
          <t>Fondue jurassienne</t>
        </is>
      </c>
      <c r="G26" s="4" t="n">
        <v>1</v>
      </c>
      <c r="H26" s="4" t="inlineStr">
        <is>
          <t>Oui</t>
        </is>
      </c>
      <c r="I26" s="5" t="inlineStr">
        <is>
          <t>Ravelin</t>
        </is>
      </c>
      <c r="J26" s="4" t="n">
        <v>10</v>
      </c>
      <c r="K26" s="6" t="n">
        <v>1</v>
      </c>
      <c r="L26" s="6">
        <f>(K26+M26)/2</f>
        <v/>
      </c>
      <c r="M26" s="6" t="n">
        <v>1</v>
      </c>
      <c r="N26" s="7">
        <f>$D26*$J26*K26</f>
        <v/>
      </c>
      <c r="O26" s="7">
        <f>$D26*$J26*L26</f>
        <v/>
      </c>
      <c r="P26" s="7">
        <f>$D26*$J26*M26</f>
        <v/>
      </c>
    </row>
    <row r="27">
      <c r="A27" s="8" t="n"/>
      <c r="B27" s="8" t="n"/>
      <c r="C27" s="9" t="inlineStr">
        <is>
          <t>Sous-total Dahu B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10">
        <f>SUM(N26:N26)</f>
        <v/>
      </c>
      <c r="O27" s="10">
        <f>SUM(O26:O26)</f>
        <v/>
      </c>
      <c r="P27" s="10">
        <f>SUM(P26:P26)</f>
        <v/>
      </c>
    </row>
    <row r="28">
      <c r="A28" s="4" t="inlineStr">
        <is>
          <t>B</t>
        </is>
      </c>
      <c r="B28" s="5" t="inlineStr">
        <is>
          <t>23/07/2022 - 17/04/2023</t>
        </is>
      </c>
      <c r="C28" s="5" t="inlineStr">
        <is>
          <t>Végétarien</t>
        </is>
      </c>
      <c r="D28" s="4" t="n">
        <v>139</v>
      </c>
      <c r="E28" s="5" t="inlineStr">
        <is>
          <t>Plat</t>
        </is>
      </c>
      <c r="F28" s="5" t="inlineStr">
        <is>
          <t>Assiette du père Grégoire</t>
        </is>
      </c>
      <c r="G28" s="4" t="n">
        <v>2</v>
      </c>
      <c r="H28" s="4" t="inlineStr">
        <is>
          <t>Non</t>
        </is>
      </c>
      <c r="I28" s="5" t="inlineStr">
        <is>
          <t>Calvados</t>
        </is>
      </c>
      <c r="J28" s="4" t="n">
        <v>4</v>
      </c>
      <c r="K28" s="6" t="n">
        <v>0.35</v>
      </c>
      <c r="L28" s="6">
        <f>(K28+M28)/2</f>
        <v/>
      </c>
      <c r="M28" s="6" t="n">
        <v>0.65</v>
      </c>
      <c r="N28" s="7">
        <f>$D28*$J28*K28</f>
        <v/>
      </c>
      <c r="O28" s="7">
        <f>$D28*$J28*L28</f>
        <v/>
      </c>
      <c r="P28" s="7">
        <f>$D28*$J28*M28</f>
        <v/>
      </c>
    </row>
    <row r="29">
      <c r="A29" s="4" t="inlineStr">
        <is>
          <t>B</t>
        </is>
      </c>
      <c r="B29" s="5" t="inlineStr">
        <is>
          <t>23/07/2022 - 17/04/2023</t>
        </is>
      </c>
      <c r="C29" s="5" t="inlineStr">
        <is>
          <t>Végétarien</t>
        </is>
      </c>
      <c r="D29" s="4" t="n">
        <v>139</v>
      </c>
      <c r="E29" s="5" t="inlineStr">
        <is>
          <t>Plat</t>
        </is>
      </c>
      <c r="F29" s="5" t="inlineStr">
        <is>
          <t>Galette sarrasin sauce forestière</t>
        </is>
      </c>
      <c r="G29" s="4" t="n">
        <v>2</v>
      </c>
      <c r="H29" s="4" t="inlineStr">
        <is>
          <t>Non</t>
        </is>
      </c>
      <c r="I29" s="5" t="inlineStr">
        <is>
          <t>Porto</t>
        </is>
      </c>
      <c r="J29" s="4" t="n">
        <v>1</v>
      </c>
      <c r="K29" s="6" t="n">
        <v>0.35</v>
      </c>
      <c r="L29" s="6">
        <f>(K29+M29)/2</f>
        <v/>
      </c>
      <c r="M29" s="6" t="n">
        <v>0.65</v>
      </c>
      <c r="N29" s="7">
        <f>$D29*$J29*K29</f>
        <v/>
      </c>
      <c r="O29" s="7">
        <f>$D29*$J29*L29</f>
        <v/>
      </c>
      <c r="P29" s="7">
        <f>$D29*$J29*M29</f>
        <v/>
      </c>
    </row>
    <row r="30">
      <c r="A30" s="8" t="n"/>
      <c r="B30" s="8" t="n"/>
      <c r="C30" s="9" t="inlineStr">
        <is>
          <t>Sous-total Végétarien B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10">
        <f>SUM(N28:N29)</f>
        <v/>
      </c>
      <c r="O30" s="10">
        <f>SUM(O28:O29)</f>
        <v/>
      </c>
      <c r="P30" s="10">
        <f>SUM(P28:P29)</f>
        <v/>
      </c>
    </row>
    <row r="31">
      <c r="A31" s="4" t="inlineStr">
        <is>
          <t>B</t>
        </is>
      </c>
      <c r="B31" s="5" t="inlineStr">
        <is>
          <t>23/07/2022 - 17/04/2023</t>
        </is>
      </c>
      <c r="C31" s="5" t="inlineStr">
        <is>
          <t>Bourguignon</t>
        </is>
      </c>
      <c r="D31" s="4" t="n">
        <v>127</v>
      </c>
      <c r="E31" s="5" t="inlineStr">
        <is>
          <t>Dessert</t>
        </is>
      </c>
      <c r="F31" s="5" t="inlineStr">
        <is>
          <t>Coupe Dijonnaise</t>
        </is>
      </c>
      <c r="G31" s="4" t="n">
        <v>2</v>
      </c>
      <c r="H31" s="4" t="inlineStr">
        <is>
          <t>Non</t>
        </is>
      </c>
      <c r="I31" s="5" t="inlineStr">
        <is>
          <t>Crème de cassis</t>
        </is>
      </c>
      <c r="J31" s="4" t="n">
        <v>4</v>
      </c>
      <c r="K31" s="6" t="n">
        <v>0.35</v>
      </c>
      <c r="L31" s="6">
        <f>(K31+M31)/2</f>
        <v/>
      </c>
      <c r="M31" s="6" t="n">
        <v>0.65</v>
      </c>
      <c r="N31" s="7">
        <f>$D31*$J31*K31</f>
        <v/>
      </c>
      <c r="O31" s="7">
        <f>$D31*$J31*L31</f>
        <v/>
      </c>
      <c r="P31" s="7">
        <f>$D31*$J31*M31</f>
        <v/>
      </c>
    </row>
    <row r="32">
      <c r="A32" s="4" t="inlineStr">
        <is>
          <t>B</t>
        </is>
      </c>
      <c r="B32" s="5" t="inlineStr">
        <is>
          <t>23/07/2022 - 17/04/2023</t>
        </is>
      </c>
      <c r="C32" s="5" t="inlineStr">
        <is>
          <t>Bourguignon</t>
        </is>
      </c>
      <c r="D32" s="4" t="n">
        <v>127</v>
      </c>
      <c r="E32" s="5" t="inlineStr">
        <is>
          <t>Dessert</t>
        </is>
      </c>
      <c r="F32" s="5" t="inlineStr">
        <is>
          <t>Baba au marc de bourgogne</t>
        </is>
      </c>
      <c r="G32" s="4" t="n">
        <v>2</v>
      </c>
      <c r="H32" s="4" t="inlineStr">
        <is>
          <t>Non</t>
        </is>
      </c>
      <c r="I32" s="5" t="inlineStr">
        <is>
          <t>Marc de bourgogne</t>
        </is>
      </c>
      <c r="J32" s="4" t="n">
        <v>4</v>
      </c>
      <c r="K32" s="6" t="n">
        <v>0.35</v>
      </c>
      <c r="L32" s="6">
        <f>(K32+M32)/2</f>
        <v/>
      </c>
      <c r="M32" s="6" t="n">
        <v>0.65</v>
      </c>
      <c r="N32" s="7">
        <f>$D32*$J32*K32</f>
        <v/>
      </c>
      <c r="O32" s="7">
        <f>$D32*$J32*L32</f>
        <v/>
      </c>
      <c r="P32" s="7">
        <f>$D32*$J32*M32</f>
        <v/>
      </c>
    </row>
    <row r="33">
      <c r="A33" s="8" t="n"/>
      <c r="B33" s="8" t="n"/>
      <c r="C33" s="9" t="inlineStr">
        <is>
          <t>Sous-total Bourguignon B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10">
        <f>SUM(N31:N32)</f>
        <v/>
      </c>
      <c r="O33" s="10">
        <f>SUM(O31:O32)</f>
        <v/>
      </c>
      <c r="P33" s="10">
        <f>SUM(P31:P32)</f>
        <v/>
      </c>
    </row>
    <row r="34">
      <c r="A34" s="4" t="inlineStr">
        <is>
          <t>B</t>
        </is>
      </c>
      <c r="B34" s="5" t="inlineStr">
        <is>
          <t>23/07/2022 - 17/04/2023</t>
        </is>
      </c>
      <c r="C34" s="5" t="inlineStr">
        <is>
          <t>Franc-Comtois</t>
        </is>
      </c>
      <c r="D34" s="4" t="n">
        <v>292</v>
      </c>
      <c r="E34" s="5" t="inlineStr">
        <is>
          <t>Plat</t>
        </is>
      </c>
      <c r="F34" s="5" t="inlineStr">
        <is>
          <t>Poulet à la jurassienne</t>
        </is>
      </c>
      <c r="G34" s="4" t="n">
        <v>2</v>
      </c>
      <c r="H34" s="4" t="inlineStr">
        <is>
          <t>Non</t>
        </is>
      </c>
      <c r="I34" s="5" t="inlineStr">
        <is>
          <t>Vin jaune</t>
        </is>
      </c>
      <c r="J34" s="4" t="n">
        <v>1</v>
      </c>
      <c r="K34" s="6" t="n">
        <v>0.35</v>
      </c>
      <c r="L34" s="6">
        <f>(K34+M34)/2</f>
        <v/>
      </c>
      <c r="M34" s="6" t="n">
        <v>0.65</v>
      </c>
      <c r="N34" s="7">
        <f>$D34*$J34*K34</f>
        <v/>
      </c>
      <c r="O34" s="7">
        <f>$D34*$J34*L34</f>
        <v/>
      </c>
      <c r="P34" s="7">
        <f>$D34*$J34*M34</f>
        <v/>
      </c>
    </row>
    <row r="35">
      <c r="A35" s="4" t="inlineStr">
        <is>
          <t>B</t>
        </is>
      </c>
      <c r="B35" s="5" t="inlineStr">
        <is>
          <t>23/07/2022 - 17/04/2023</t>
        </is>
      </c>
      <c r="C35" s="5" t="inlineStr">
        <is>
          <t>Franc-Comtois</t>
        </is>
      </c>
      <c r="D35" s="4" t="n">
        <v>292</v>
      </c>
      <c r="E35" s="5" t="inlineStr">
        <is>
          <t>Plat</t>
        </is>
      </c>
      <c r="F35" s="5" t="inlineStr">
        <is>
          <t>Assiette franc-comtoise</t>
        </is>
      </c>
      <c r="G35" s="4" t="n">
        <v>2</v>
      </c>
      <c r="H35" s="4" t="inlineStr">
        <is>
          <t>Non</t>
        </is>
      </c>
      <c r="I35" s="5" t="inlineStr">
        <is>
          <t>Macvin</t>
        </is>
      </c>
      <c r="J35" s="4" t="n">
        <v>4</v>
      </c>
      <c r="K35" s="6" t="n">
        <v>0.35</v>
      </c>
      <c r="L35" s="6">
        <f>(K35+M35)/2</f>
        <v/>
      </c>
      <c r="M35" s="6" t="n">
        <v>0.65</v>
      </c>
      <c r="N35" s="7">
        <f>$D35*$J35*K35</f>
        <v/>
      </c>
      <c r="O35" s="7">
        <f>$D35*$J35*L35</f>
        <v/>
      </c>
      <c r="P35" s="7">
        <f>$D35*$J35*M35</f>
        <v/>
      </c>
    </row>
    <row r="36">
      <c r="A36" s="4" t="inlineStr">
        <is>
          <t>B</t>
        </is>
      </c>
      <c r="B36" s="5" t="inlineStr">
        <is>
          <t>23/07/2022 - 17/04/2023</t>
        </is>
      </c>
      <c r="C36" s="5" t="inlineStr">
        <is>
          <t>Franc-Comtois</t>
        </is>
      </c>
      <c r="D36" s="4" t="n">
        <v>292</v>
      </c>
      <c r="E36" s="5" t="inlineStr">
        <is>
          <t>Dessert</t>
        </is>
      </c>
      <c r="F36" s="5" t="inlineStr">
        <is>
          <t>Baba au macvin</t>
        </is>
      </c>
      <c r="G36" s="4" t="n">
        <v>3</v>
      </c>
      <c r="H36" s="4" t="inlineStr">
        <is>
          <t>Non</t>
        </is>
      </c>
      <c r="I36" s="5" t="inlineStr">
        <is>
          <t>Macvin</t>
        </is>
      </c>
      <c r="J36" s="4" t="n">
        <v>4</v>
      </c>
      <c r="K36" s="6" t="n">
        <v>0.2</v>
      </c>
      <c r="L36" s="6">
        <f>(K36+M36)/2</f>
        <v/>
      </c>
      <c r="M36" s="6" t="n">
        <v>0.45</v>
      </c>
      <c r="N36" s="7">
        <f>$D36*$J36*K36</f>
        <v/>
      </c>
      <c r="O36" s="7">
        <f>$D36*$J36*L36</f>
        <v/>
      </c>
      <c r="P36" s="7">
        <f>$D36*$J36*M36</f>
        <v/>
      </c>
    </row>
    <row r="37">
      <c r="A37" s="8" t="n"/>
      <c r="B37" s="8" t="n"/>
      <c r="C37" s="9" t="inlineStr">
        <is>
          <t>Sous-total Franc-Comtois B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10">
        <f>SUM(N34:N36)</f>
        <v/>
      </c>
      <c r="O37" s="10">
        <f>SUM(O34:O36)</f>
        <v/>
      </c>
      <c r="P37" s="10">
        <f>SUM(P34:P36)</f>
        <v/>
      </c>
    </row>
    <row r="38">
      <c r="A38" s="11" t="n"/>
      <c r="B38" s="11" t="n"/>
      <c r="C38" s="12" t="inlineStr">
        <is>
          <t>TOTAL PÉRIODE B (23/07/2022 - 17/04/2023)</t>
        </is>
      </c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3">
        <f>N25+N27+N30+N33+N37</f>
        <v/>
      </c>
      <c r="O38" s="13">
        <f>O25+O27+O30+O33+O37</f>
        <v/>
      </c>
      <c r="P38" s="13">
        <f>P25+P27+P30+P33+P37</f>
        <v/>
      </c>
    </row>
    <row r="40">
      <c r="A40" s="4" t="inlineStr">
        <is>
          <t>C</t>
        </is>
      </c>
      <c r="B40" s="5" t="inlineStr">
        <is>
          <t>29/03/2021 - 23/07/2022</t>
        </is>
      </c>
      <c r="C40" s="5" t="inlineStr">
        <is>
          <t>Demi Lune</t>
        </is>
      </c>
      <c r="D40" s="4" t="n">
        <v>29</v>
      </c>
      <c r="E40" s="5" t="inlineStr">
        <is>
          <t>Plat</t>
        </is>
      </c>
      <c r="F40" s="5" t="inlineStr">
        <is>
          <t>Poulet aux morilles</t>
        </is>
      </c>
      <c r="G40" s="4" t="n">
        <v>1</v>
      </c>
      <c r="H40" s="4" t="inlineStr">
        <is>
          <t>Oui</t>
        </is>
      </c>
      <c r="I40" s="5" t="inlineStr">
        <is>
          <t>Porto</t>
        </is>
      </c>
      <c r="J40" s="4" t="n">
        <v>1</v>
      </c>
      <c r="K40" s="6" t="n">
        <v>1</v>
      </c>
      <c r="L40" s="6">
        <f>(K40+M40)/2</f>
        <v/>
      </c>
      <c r="M40" s="6" t="n">
        <v>1</v>
      </c>
      <c r="N40" s="7">
        <f>$D40*$J40*K40</f>
        <v/>
      </c>
      <c r="O40" s="7">
        <f>$D40*$J40*L40</f>
        <v/>
      </c>
      <c r="P40" s="7">
        <f>$D40*$J40*M40</f>
        <v/>
      </c>
    </row>
    <row r="41">
      <c r="A41" s="4" t="inlineStr">
        <is>
          <t>C</t>
        </is>
      </c>
      <c r="B41" s="5" t="inlineStr">
        <is>
          <t>29/03/2021 - 23/07/2022</t>
        </is>
      </c>
      <c r="C41" s="5" t="inlineStr">
        <is>
          <t>Demi Lune</t>
        </is>
      </c>
      <c r="D41" s="4" t="n">
        <v>29</v>
      </c>
      <c r="E41" s="5" t="inlineStr">
        <is>
          <t>Entrée</t>
        </is>
      </c>
      <c r="F41" s="5" t="inlineStr">
        <is>
          <t>Feuilleté forestier (populaire)</t>
        </is>
      </c>
      <c r="G41" s="4" t="n">
        <v>2</v>
      </c>
      <c r="H41" s="4" t="inlineStr">
        <is>
          <t>Non</t>
        </is>
      </c>
      <c r="I41" s="5" t="inlineStr">
        <is>
          <t>Porto</t>
        </is>
      </c>
      <c r="J41" s="4" t="n">
        <v>1</v>
      </c>
      <c r="K41" s="6" t="n">
        <v>0.4</v>
      </c>
      <c r="L41" s="6">
        <f>(K41+M41)/2</f>
        <v/>
      </c>
      <c r="M41" s="6" t="n">
        <v>0.65</v>
      </c>
      <c r="N41" s="7">
        <f>$D41*$J41*K41</f>
        <v/>
      </c>
      <c r="O41" s="7">
        <f>$D41*$J41*L41</f>
        <v/>
      </c>
      <c r="P41" s="7">
        <f>$D41*$J41*M41</f>
        <v/>
      </c>
    </row>
    <row r="42">
      <c r="A42" s="8" t="n"/>
      <c r="B42" s="8" t="n"/>
      <c r="C42" s="9" t="inlineStr">
        <is>
          <t>Sous-total Demi Lune C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10">
        <f>SUM(N40:N41)</f>
        <v/>
      </c>
      <c r="O42" s="10">
        <f>SUM(O40:O41)</f>
        <v/>
      </c>
      <c r="P42" s="10">
        <f>SUM(P40:P41)</f>
        <v/>
      </c>
    </row>
    <row r="43">
      <c r="A43" s="4" t="inlineStr">
        <is>
          <t>C</t>
        </is>
      </c>
      <c r="B43" s="5" t="inlineStr">
        <is>
          <t>29/03/2021 - 23/07/2022</t>
        </is>
      </c>
      <c r="C43" s="5" t="inlineStr">
        <is>
          <t>Dahu</t>
        </is>
      </c>
      <c r="D43" s="4" t="n">
        <v>33</v>
      </c>
      <c r="E43" s="5" t="inlineStr">
        <is>
          <t>Plat</t>
        </is>
      </c>
      <c r="F43" s="5" t="inlineStr">
        <is>
          <t>Fondue jurassienne</t>
        </is>
      </c>
      <c r="G43" s="4" t="n">
        <v>1</v>
      </c>
      <c r="H43" s="4" t="inlineStr">
        <is>
          <t>Oui</t>
        </is>
      </c>
      <c r="I43" s="5" t="inlineStr">
        <is>
          <t>Ravelin</t>
        </is>
      </c>
      <c r="J43" s="4" t="n">
        <v>10</v>
      </c>
      <c r="K43" s="6" t="n">
        <v>1</v>
      </c>
      <c r="L43" s="6">
        <f>(K43+M43)/2</f>
        <v/>
      </c>
      <c r="M43" s="6" t="n">
        <v>1</v>
      </c>
      <c r="N43" s="7">
        <f>$D43*$J43*K43</f>
        <v/>
      </c>
      <c r="O43" s="7">
        <f>$D43*$J43*L43</f>
        <v/>
      </c>
      <c r="P43" s="7">
        <f>$D43*$J43*M43</f>
        <v/>
      </c>
    </row>
    <row r="44">
      <c r="A44" s="8" t="n"/>
      <c r="B44" s="8" t="n"/>
      <c r="C44" s="9" t="inlineStr">
        <is>
          <t>Sous-total Dahu C</t>
        </is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10">
        <f>SUM(N43:N43)</f>
        <v/>
      </c>
      <c r="O44" s="10">
        <f>SUM(O43:O43)</f>
        <v/>
      </c>
      <c r="P44" s="10">
        <f>SUM(P43:P43)</f>
        <v/>
      </c>
    </row>
    <row r="45">
      <c r="A45" s="4" t="inlineStr">
        <is>
          <t>C</t>
        </is>
      </c>
      <c r="B45" s="5" t="inlineStr">
        <is>
          <t>29/03/2021 - 23/07/2022</t>
        </is>
      </c>
      <c r="C45" s="5" t="inlineStr">
        <is>
          <t>Végétarien</t>
        </is>
      </c>
      <c r="D45" s="4" t="n">
        <v>81</v>
      </c>
      <c r="E45" s="5" t="inlineStr">
        <is>
          <t>Plat</t>
        </is>
      </c>
      <c r="F45" s="5" t="inlineStr">
        <is>
          <t>Assiette du père Grégoire</t>
        </is>
      </c>
      <c r="G45" s="4" t="n">
        <v>2</v>
      </c>
      <c r="H45" s="4" t="inlineStr">
        <is>
          <t>Non</t>
        </is>
      </c>
      <c r="I45" s="5" t="inlineStr">
        <is>
          <t>Calvados</t>
        </is>
      </c>
      <c r="J45" s="4" t="n">
        <v>4</v>
      </c>
      <c r="K45" s="6" t="n">
        <v>0.35</v>
      </c>
      <c r="L45" s="6">
        <f>(K45+M45)/2</f>
        <v/>
      </c>
      <c r="M45" s="6" t="n">
        <v>0.65</v>
      </c>
      <c r="N45" s="7">
        <f>$D45*$J45*K45</f>
        <v/>
      </c>
      <c r="O45" s="7">
        <f>$D45*$J45*L45</f>
        <v/>
      </c>
      <c r="P45" s="7">
        <f>$D45*$J45*M45</f>
        <v/>
      </c>
    </row>
    <row r="46">
      <c r="A46" s="4" t="inlineStr">
        <is>
          <t>C</t>
        </is>
      </c>
      <c r="B46" s="5" t="inlineStr">
        <is>
          <t>29/03/2021 - 23/07/2022</t>
        </is>
      </c>
      <c r="C46" s="5" t="inlineStr">
        <is>
          <t>Végétarien</t>
        </is>
      </c>
      <c r="D46" s="4" t="n">
        <v>81</v>
      </c>
      <c r="E46" s="5" t="inlineStr">
        <is>
          <t>Plat</t>
        </is>
      </c>
      <c r="F46" s="5" t="inlineStr">
        <is>
          <t>Galette sarrasin sauce forestière</t>
        </is>
      </c>
      <c r="G46" s="4" t="n">
        <v>2</v>
      </c>
      <c r="H46" s="4" t="inlineStr">
        <is>
          <t>Non</t>
        </is>
      </c>
      <c r="I46" s="5" t="inlineStr">
        <is>
          <t>Porto</t>
        </is>
      </c>
      <c r="J46" s="4" t="n">
        <v>1</v>
      </c>
      <c r="K46" s="6" t="n">
        <v>0.35</v>
      </c>
      <c r="L46" s="6">
        <f>(K46+M46)/2</f>
        <v/>
      </c>
      <c r="M46" s="6" t="n">
        <v>0.65</v>
      </c>
      <c r="N46" s="7">
        <f>$D46*$J46*K46</f>
        <v/>
      </c>
      <c r="O46" s="7">
        <f>$D46*$J46*L46</f>
        <v/>
      </c>
      <c r="P46" s="7">
        <f>$D46*$J46*M46</f>
        <v/>
      </c>
    </row>
    <row r="47">
      <c r="A47" s="8" t="n"/>
      <c r="B47" s="8" t="n"/>
      <c r="C47" s="9" t="inlineStr">
        <is>
          <t>Sous-total Végétarien C</t>
        </is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10">
        <f>SUM(N45:N46)</f>
        <v/>
      </c>
      <c r="O47" s="10">
        <f>SUM(O45:O46)</f>
        <v/>
      </c>
      <c r="P47" s="10">
        <f>SUM(P45:P46)</f>
        <v/>
      </c>
    </row>
    <row r="48">
      <c r="A48" s="4" t="inlineStr">
        <is>
          <t>C</t>
        </is>
      </c>
      <c r="B48" s="5" t="inlineStr">
        <is>
          <t>29/03/2021 - 23/07/2022</t>
        </is>
      </c>
      <c r="C48" s="5" t="inlineStr">
        <is>
          <t>Bourguignon</t>
        </is>
      </c>
      <c r="D48" s="4" t="n">
        <v>95</v>
      </c>
      <c r="E48" s="5" t="inlineStr">
        <is>
          <t>Dessert</t>
        </is>
      </c>
      <c r="F48" s="5" t="inlineStr">
        <is>
          <t>Coupe Dijonnaise</t>
        </is>
      </c>
      <c r="G48" s="4" t="n">
        <v>2</v>
      </c>
      <c r="H48" s="4" t="inlineStr">
        <is>
          <t>Non</t>
        </is>
      </c>
      <c r="I48" s="5" t="inlineStr">
        <is>
          <t>Crème de cassis</t>
        </is>
      </c>
      <c r="J48" s="4" t="n">
        <v>4</v>
      </c>
      <c r="K48" s="6" t="n">
        <v>0.35</v>
      </c>
      <c r="L48" s="6">
        <f>(K48+M48)/2</f>
        <v/>
      </c>
      <c r="M48" s="6" t="n">
        <v>0.65</v>
      </c>
      <c r="N48" s="7">
        <f>$D48*$J48*K48</f>
        <v/>
      </c>
      <c r="O48" s="7">
        <f>$D48*$J48*L48</f>
        <v/>
      </c>
      <c r="P48" s="7">
        <f>$D48*$J48*M48</f>
        <v/>
      </c>
    </row>
    <row r="49">
      <c r="A49" s="4" t="inlineStr">
        <is>
          <t>C</t>
        </is>
      </c>
      <c r="B49" s="5" t="inlineStr">
        <is>
          <t>29/03/2021 - 23/07/2022</t>
        </is>
      </c>
      <c r="C49" s="5" t="inlineStr">
        <is>
          <t>Bourguignon</t>
        </is>
      </c>
      <c r="D49" s="4" t="n">
        <v>95</v>
      </c>
      <c r="E49" s="5" t="inlineStr">
        <is>
          <t>Dessert</t>
        </is>
      </c>
      <c r="F49" s="5" t="inlineStr">
        <is>
          <t>Baba au marc de bourgogne</t>
        </is>
      </c>
      <c r="G49" s="4" t="n">
        <v>2</v>
      </c>
      <c r="H49" s="4" t="inlineStr">
        <is>
          <t>Non</t>
        </is>
      </c>
      <c r="I49" s="5" t="inlineStr">
        <is>
          <t>Marc de bourgogne</t>
        </is>
      </c>
      <c r="J49" s="4" t="n">
        <v>4</v>
      </c>
      <c r="K49" s="6" t="n">
        <v>0.35</v>
      </c>
      <c r="L49" s="6">
        <f>(K49+M49)/2</f>
        <v/>
      </c>
      <c r="M49" s="6" t="n">
        <v>0.65</v>
      </c>
      <c r="N49" s="7">
        <f>$D49*$J49*K49</f>
        <v/>
      </c>
      <c r="O49" s="7">
        <f>$D49*$J49*L49</f>
        <v/>
      </c>
      <c r="P49" s="7">
        <f>$D49*$J49*M49</f>
        <v/>
      </c>
    </row>
    <row r="50">
      <c r="A50" s="8" t="n"/>
      <c r="B50" s="8" t="n"/>
      <c r="C50" s="9" t="inlineStr">
        <is>
          <t>Sous-total Bourguignon C</t>
        </is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10">
        <f>SUM(N48:N49)</f>
        <v/>
      </c>
      <c r="O50" s="10">
        <f>SUM(O48:O49)</f>
        <v/>
      </c>
      <c r="P50" s="10">
        <f>SUM(P48:P49)</f>
        <v/>
      </c>
    </row>
    <row r="51">
      <c r="A51" s="4" t="inlineStr">
        <is>
          <t>C</t>
        </is>
      </c>
      <c r="B51" s="5" t="inlineStr">
        <is>
          <t>29/03/2021 - 23/07/2022</t>
        </is>
      </c>
      <c r="C51" s="5" t="inlineStr">
        <is>
          <t>Franc-Comtois</t>
        </is>
      </c>
      <c r="D51" s="4" t="n">
        <v>200</v>
      </c>
      <c r="E51" s="5" t="inlineStr">
        <is>
          <t>Plat</t>
        </is>
      </c>
      <c r="F51" s="5" t="inlineStr">
        <is>
          <t>Poulet à la jurassienne</t>
        </is>
      </c>
      <c r="G51" s="4" t="n">
        <v>2</v>
      </c>
      <c r="H51" s="4" t="inlineStr">
        <is>
          <t>Non</t>
        </is>
      </c>
      <c r="I51" s="5" t="inlineStr">
        <is>
          <t>Vin jaune</t>
        </is>
      </c>
      <c r="J51" s="4" t="n">
        <v>1</v>
      </c>
      <c r="K51" s="6" t="n">
        <v>0.35</v>
      </c>
      <c r="L51" s="6">
        <f>(K51+M51)/2</f>
        <v/>
      </c>
      <c r="M51" s="6" t="n">
        <v>0.65</v>
      </c>
      <c r="N51" s="7">
        <f>$D51*$J51*K51</f>
        <v/>
      </c>
      <c r="O51" s="7">
        <f>$D51*$J51*L51</f>
        <v/>
      </c>
      <c r="P51" s="7">
        <f>$D51*$J51*M51</f>
        <v/>
      </c>
    </row>
    <row r="52">
      <c r="A52" s="4" t="inlineStr">
        <is>
          <t>C</t>
        </is>
      </c>
      <c r="B52" s="5" t="inlineStr">
        <is>
          <t>29/03/2021 - 23/07/2022</t>
        </is>
      </c>
      <c r="C52" s="5" t="inlineStr">
        <is>
          <t>Franc-Comtois</t>
        </is>
      </c>
      <c r="D52" s="4" t="n">
        <v>200</v>
      </c>
      <c r="E52" s="5" t="inlineStr">
        <is>
          <t>Plat</t>
        </is>
      </c>
      <c r="F52" s="5" t="inlineStr">
        <is>
          <t>Assiette franc-comtoise</t>
        </is>
      </c>
      <c r="G52" s="4" t="n">
        <v>2</v>
      </c>
      <c r="H52" s="4" t="inlineStr">
        <is>
          <t>Non</t>
        </is>
      </c>
      <c r="I52" s="5" t="inlineStr">
        <is>
          <t>Macvin</t>
        </is>
      </c>
      <c r="J52" s="4" t="n">
        <v>4</v>
      </c>
      <c r="K52" s="6" t="n">
        <v>0.35</v>
      </c>
      <c r="L52" s="6">
        <f>(K52+M52)/2</f>
        <v/>
      </c>
      <c r="M52" s="6" t="n">
        <v>0.65</v>
      </c>
      <c r="N52" s="7">
        <f>$D52*$J52*K52</f>
        <v/>
      </c>
      <c r="O52" s="7">
        <f>$D52*$J52*L52</f>
        <v/>
      </c>
      <c r="P52" s="7">
        <f>$D52*$J52*M52</f>
        <v/>
      </c>
    </row>
    <row r="53">
      <c r="A53" s="4" t="inlineStr">
        <is>
          <t>C</t>
        </is>
      </c>
      <c r="B53" s="5" t="inlineStr">
        <is>
          <t>29/03/2021 - 23/07/2022</t>
        </is>
      </c>
      <c r="C53" s="5" t="inlineStr">
        <is>
          <t>Franc-Comtois</t>
        </is>
      </c>
      <c r="D53" s="4" t="n">
        <v>200</v>
      </c>
      <c r="E53" s="5" t="inlineStr">
        <is>
          <t>Dessert</t>
        </is>
      </c>
      <c r="F53" s="5" t="inlineStr">
        <is>
          <t>Baba au macvin</t>
        </is>
      </c>
      <c r="G53" s="4" t="n">
        <v>3</v>
      </c>
      <c r="H53" s="4" t="inlineStr">
        <is>
          <t>Non</t>
        </is>
      </c>
      <c r="I53" s="5" t="inlineStr">
        <is>
          <t>Macvin</t>
        </is>
      </c>
      <c r="J53" s="4" t="n">
        <v>4</v>
      </c>
      <c r="K53" s="6" t="n">
        <v>0.2</v>
      </c>
      <c r="L53" s="6">
        <f>(K53+M53)/2</f>
        <v/>
      </c>
      <c r="M53" s="6" t="n">
        <v>0.45</v>
      </c>
      <c r="N53" s="7">
        <f>$D53*$J53*K53</f>
        <v/>
      </c>
      <c r="O53" s="7">
        <f>$D53*$J53*L53</f>
        <v/>
      </c>
      <c r="P53" s="7">
        <f>$D53*$J53*M53</f>
        <v/>
      </c>
    </row>
    <row r="54">
      <c r="A54" s="8" t="n"/>
      <c r="B54" s="8" t="n"/>
      <c r="C54" s="9" t="inlineStr">
        <is>
          <t>Sous-total Franc-Comtois C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10">
        <f>SUM(N51:N53)</f>
        <v/>
      </c>
      <c r="O54" s="10">
        <f>SUM(O51:O53)</f>
        <v/>
      </c>
      <c r="P54" s="10">
        <f>SUM(P51:P53)</f>
        <v/>
      </c>
    </row>
    <row r="55">
      <c r="A55" s="11" t="n"/>
      <c r="B55" s="11" t="n"/>
      <c r="C55" s="12" t="inlineStr">
        <is>
          <t>TOTAL PÉRIODE C (29/03/2021 - 23/07/2022)</t>
        </is>
      </c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3">
        <f>N42+N44+N47+N50+N54</f>
        <v/>
      </c>
      <c r="O55" s="13">
        <f>O42+O44+O47+O50+O54</f>
        <v/>
      </c>
      <c r="P55" s="13">
        <f>P42+P44+P47+P50+P54</f>
        <v/>
      </c>
    </row>
    <row r="57">
      <c r="A57" s="14" t="n"/>
      <c r="B57" s="14" t="n"/>
      <c r="C57" s="15" t="inlineStr">
        <is>
          <t>GRAND TOTAL (toutes périodes)</t>
        </is>
      </c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6">
        <f>N21+N38+N55</f>
        <v/>
      </c>
      <c r="O57" s="16">
        <f>O21+O38+O55</f>
        <v/>
      </c>
      <c r="P57" s="16">
        <f>P21+P38+P55</f>
        <v/>
      </c>
    </row>
    <row r="60">
      <c r="C60" s="17" t="inlineStr">
        <is>
          <t>RÉCAPITULATIF PAR TYPE D'ALCOOL (cl) - se croise avec les achats</t>
        </is>
      </c>
    </row>
    <row r="61" ht="26" customHeight="1">
      <c r="C61" s="3" t="inlineStr">
        <is>
          <t>Type d'alcool</t>
        </is>
      </c>
      <c r="D61" s="3" t="inlineStr">
        <is>
          <t>A basse</t>
        </is>
      </c>
      <c r="E61" s="3" t="inlineStr">
        <is>
          <t>A moyenne</t>
        </is>
      </c>
      <c r="F61" s="3" t="inlineStr">
        <is>
          <t>A haute</t>
        </is>
      </c>
      <c r="G61" s="3" t="inlineStr">
        <is>
          <t>B basse</t>
        </is>
      </c>
      <c r="H61" s="3" t="inlineStr">
        <is>
          <t>B moyenne</t>
        </is>
      </c>
      <c r="I61" s="3" t="inlineStr">
        <is>
          <t>B haute</t>
        </is>
      </c>
      <c r="J61" s="3" t="inlineStr">
        <is>
          <t>C basse</t>
        </is>
      </c>
      <c r="K61" s="3" t="inlineStr">
        <is>
          <t>C moyenne</t>
        </is>
      </c>
      <c r="L61" s="3" t="inlineStr">
        <is>
          <t>C haute</t>
        </is>
      </c>
      <c r="M61" s="3" t="inlineStr">
        <is>
          <t>TOTAL basse</t>
        </is>
      </c>
      <c r="N61" s="3" t="inlineStr">
        <is>
          <t>TOTAL moyenne</t>
        </is>
      </c>
      <c r="O61" s="3" t="inlineStr">
        <is>
          <t>TOTAL haute</t>
        </is>
      </c>
    </row>
    <row r="62">
      <c r="C62" s="5" t="inlineStr">
        <is>
          <t>Ravelin</t>
        </is>
      </c>
      <c r="D62" s="7">
        <f>SUMIFS($N$5:$N$57,$A$5:$A$57,"A",$I$5:$I$57,$C62)</f>
        <v/>
      </c>
      <c r="E62" s="7">
        <f>SUMIFS($O$5:$O$57,$A$5:$A$57,"A",$I$5:$I$57,$C62)</f>
        <v/>
      </c>
      <c r="F62" s="7">
        <f>SUMIFS($P$5:$P$57,$A$5:$A$57,"A",$I$5:$I$57,$C62)</f>
        <v/>
      </c>
      <c r="G62" s="7">
        <f>SUMIFS($N$5:$N$57,$A$5:$A$57,"B",$I$5:$I$57,$C62)</f>
        <v/>
      </c>
      <c r="H62" s="7">
        <f>SUMIFS($O$5:$O$57,$A$5:$A$57,"B",$I$5:$I$57,$C62)</f>
        <v/>
      </c>
      <c r="I62" s="7">
        <f>SUMIFS($P$5:$P$57,$A$5:$A$57,"B",$I$5:$I$57,$C62)</f>
        <v/>
      </c>
      <c r="J62" s="7">
        <f>SUMIFS($N$5:$N$57,$A$5:$A$57,"C",$I$5:$I$57,$C62)</f>
        <v/>
      </c>
      <c r="K62" s="7">
        <f>SUMIFS($O$5:$O$57,$A$5:$A$57,"C",$I$5:$I$57,$C62)</f>
        <v/>
      </c>
      <c r="L62" s="7">
        <f>SUMIFS($P$5:$P$57,$A$5:$A$57,"C",$I$5:$I$57,$C62)</f>
        <v/>
      </c>
      <c r="M62" s="18">
        <f>D62+G62+J62</f>
        <v/>
      </c>
      <c r="N62" s="18">
        <f>E62+H62+K62</f>
        <v/>
      </c>
      <c r="O62" s="18">
        <f>F62+I62+L62</f>
        <v/>
      </c>
    </row>
    <row r="63">
      <c r="C63" s="5" t="inlineStr">
        <is>
          <t>Porto</t>
        </is>
      </c>
      <c r="D63" s="7">
        <f>SUMIFS($N$5:$N$57,$A$5:$A$57,"A",$I$5:$I$57,$C63)</f>
        <v/>
      </c>
      <c r="E63" s="7">
        <f>SUMIFS($O$5:$O$57,$A$5:$A$57,"A",$I$5:$I$57,$C63)</f>
        <v/>
      </c>
      <c r="F63" s="7">
        <f>SUMIFS($P$5:$P$57,$A$5:$A$57,"A",$I$5:$I$57,$C63)</f>
        <v/>
      </c>
      <c r="G63" s="7">
        <f>SUMIFS($N$5:$N$57,$A$5:$A$57,"B",$I$5:$I$57,$C63)</f>
        <v/>
      </c>
      <c r="H63" s="7">
        <f>SUMIFS($O$5:$O$57,$A$5:$A$57,"B",$I$5:$I$57,$C63)</f>
        <v/>
      </c>
      <c r="I63" s="7">
        <f>SUMIFS($P$5:$P$57,$A$5:$A$57,"B",$I$5:$I$57,$C63)</f>
        <v/>
      </c>
      <c r="J63" s="7">
        <f>SUMIFS($N$5:$N$57,$A$5:$A$57,"C",$I$5:$I$57,$C63)</f>
        <v/>
      </c>
      <c r="K63" s="7">
        <f>SUMIFS($O$5:$O$57,$A$5:$A$57,"C",$I$5:$I$57,$C63)</f>
        <v/>
      </c>
      <c r="L63" s="7">
        <f>SUMIFS($P$5:$P$57,$A$5:$A$57,"C",$I$5:$I$57,$C63)</f>
        <v/>
      </c>
      <c r="M63" s="18">
        <f>D63+G63+J63</f>
        <v/>
      </c>
      <c r="N63" s="18">
        <f>E63+H63+K63</f>
        <v/>
      </c>
      <c r="O63" s="18">
        <f>F63+I63+L63</f>
        <v/>
      </c>
    </row>
    <row r="64">
      <c r="C64" s="5" t="inlineStr">
        <is>
          <t>Vin jaune</t>
        </is>
      </c>
      <c r="D64" s="7">
        <f>SUMIFS($N$5:$N$57,$A$5:$A$57,"A",$I$5:$I$57,$C64)</f>
        <v/>
      </c>
      <c r="E64" s="7">
        <f>SUMIFS($O$5:$O$57,$A$5:$A$57,"A",$I$5:$I$57,$C64)</f>
        <v/>
      </c>
      <c r="F64" s="7">
        <f>SUMIFS($P$5:$P$57,$A$5:$A$57,"A",$I$5:$I$57,$C64)</f>
        <v/>
      </c>
      <c r="G64" s="7">
        <f>SUMIFS($N$5:$N$57,$A$5:$A$57,"B",$I$5:$I$57,$C64)</f>
        <v/>
      </c>
      <c r="H64" s="7">
        <f>SUMIFS($O$5:$O$57,$A$5:$A$57,"B",$I$5:$I$57,$C64)</f>
        <v/>
      </c>
      <c r="I64" s="7">
        <f>SUMIFS($P$5:$P$57,$A$5:$A$57,"B",$I$5:$I$57,$C64)</f>
        <v/>
      </c>
      <c r="J64" s="7">
        <f>SUMIFS($N$5:$N$57,$A$5:$A$57,"C",$I$5:$I$57,$C64)</f>
        <v/>
      </c>
      <c r="K64" s="7">
        <f>SUMIFS($O$5:$O$57,$A$5:$A$57,"C",$I$5:$I$57,$C64)</f>
        <v/>
      </c>
      <c r="L64" s="7">
        <f>SUMIFS($P$5:$P$57,$A$5:$A$57,"C",$I$5:$I$57,$C64)</f>
        <v/>
      </c>
      <c r="M64" s="18">
        <f>D64+G64+J64</f>
        <v/>
      </c>
      <c r="N64" s="18">
        <f>E64+H64+K64</f>
        <v/>
      </c>
      <c r="O64" s="18">
        <f>F64+I64+L64</f>
        <v/>
      </c>
    </row>
    <row r="65">
      <c r="C65" s="5" t="inlineStr">
        <is>
          <t>Macvin</t>
        </is>
      </c>
      <c r="D65" s="7">
        <f>SUMIFS($N$5:$N$57,$A$5:$A$57,"A",$I$5:$I$57,$C65)</f>
        <v/>
      </c>
      <c r="E65" s="7">
        <f>SUMIFS($O$5:$O$57,$A$5:$A$57,"A",$I$5:$I$57,$C65)</f>
        <v/>
      </c>
      <c r="F65" s="7">
        <f>SUMIFS($P$5:$P$57,$A$5:$A$57,"A",$I$5:$I$57,$C65)</f>
        <v/>
      </c>
      <c r="G65" s="7">
        <f>SUMIFS($N$5:$N$57,$A$5:$A$57,"B",$I$5:$I$57,$C65)</f>
        <v/>
      </c>
      <c r="H65" s="7">
        <f>SUMIFS($O$5:$O$57,$A$5:$A$57,"B",$I$5:$I$57,$C65)</f>
        <v/>
      </c>
      <c r="I65" s="7">
        <f>SUMIFS($P$5:$P$57,$A$5:$A$57,"B",$I$5:$I$57,$C65)</f>
        <v/>
      </c>
      <c r="J65" s="7">
        <f>SUMIFS($N$5:$N$57,$A$5:$A$57,"C",$I$5:$I$57,$C65)</f>
        <v/>
      </c>
      <c r="K65" s="7">
        <f>SUMIFS($O$5:$O$57,$A$5:$A$57,"C",$I$5:$I$57,$C65)</f>
        <v/>
      </c>
      <c r="L65" s="7">
        <f>SUMIFS($P$5:$P$57,$A$5:$A$57,"C",$I$5:$I$57,$C65)</f>
        <v/>
      </c>
      <c r="M65" s="18">
        <f>D65+G65+J65</f>
        <v/>
      </c>
      <c r="N65" s="18">
        <f>E65+H65+K65</f>
        <v/>
      </c>
      <c r="O65" s="18">
        <f>F65+I65+L65</f>
        <v/>
      </c>
    </row>
    <row r="66">
      <c r="C66" s="5" t="inlineStr">
        <is>
          <t>Baileys</t>
        </is>
      </c>
      <c r="D66" s="7">
        <f>SUMIFS($N$5:$N$57,$A$5:$A$57,"A",$I$5:$I$57,$C66)</f>
        <v/>
      </c>
      <c r="E66" s="7">
        <f>SUMIFS($O$5:$O$57,$A$5:$A$57,"A",$I$5:$I$57,$C66)</f>
        <v/>
      </c>
      <c r="F66" s="7">
        <f>SUMIFS($P$5:$P$57,$A$5:$A$57,"A",$I$5:$I$57,$C66)</f>
        <v/>
      </c>
      <c r="G66" s="7">
        <f>SUMIFS($N$5:$N$57,$A$5:$A$57,"B",$I$5:$I$57,$C66)</f>
        <v/>
      </c>
      <c r="H66" s="7">
        <f>SUMIFS($O$5:$O$57,$A$5:$A$57,"B",$I$5:$I$57,$C66)</f>
        <v/>
      </c>
      <c r="I66" s="7">
        <f>SUMIFS($P$5:$P$57,$A$5:$A$57,"B",$I$5:$I$57,$C66)</f>
        <v/>
      </c>
      <c r="J66" s="7">
        <f>SUMIFS($N$5:$N$57,$A$5:$A$57,"C",$I$5:$I$57,$C66)</f>
        <v/>
      </c>
      <c r="K66" s="7">
        <f>SUMIFS($O$5:$O$57,$A$5:$A$57,"C",$I$5:$I$57,$C66)</f>
        <v/>
      </c>
      <c r="L66" s="7">
        <f>SUMIFS($P$5:$P$57,$A$5:$A$57,"C",$I$5:$I$57,$C66)</f>
        <v/>
      </c>
      <c r="M66" s="18">
        <f>D66+G66+J66</f>
        <v/>
      </c>
      <c r="N66" s="18">
        <f>E66+H66+K66</f>
        <v/>
      </c>
      <c r="O66" s="18">
        <f>F66+I66+L66</f>
        <v/>
      </c>
    </row>
    <row r="67">
      <c r="C67" s="5" t="inlineStr">
        <is>
          <t>Crème de cassis</t>
        </is>
      </c>
      <c r="D67" s="7">
        <f>SUMIFS($N$5:$N$57,$A$5:$A$57,"A",$I$5:$I$57,$C67)</f>
        <v/>
      </c>
      <c r="E67" s="7">
        <f>SUMIFS($O$5:$O$57,$A$5:$A$57,"A",$I$5:$I$57,$C67)</f>
        <v/>
      </c>
      <c r="F67" s="7">
        <f>SUMIFS($P$5:$P$57,$A$5:$A$57,"A",$I$5:$I$57,$C67)</f>
        <v/>
      </c>
      <c r="G67" s="7">
        <f>SUMIFS($N$5:$N$57,$A$5:$A$57,"B",$I$5:$I$57,$C67)</f>
        <v/>
      </c>
      <c r="H67" s="7">
        <f>SUMIFS($O$5:$O$57,$A$5:$A$57,"B",$I$5:$I$57,$C67)</f>
        <v/>
      </c>
      <c r="I67" s="7">
        <f>SUMIFS($P$5:$P$57,$A$5:$A$57,"B",$I$5:$I$57,$C67)</f>
        <v/>
      </c>
      <c r="J67" s="7">
        <f>SUMIFS($N$5:$N$57,$A$5:$A$57,"C",$I$5:$I$57,$C67)</f>
        <v/>
      </c>
      <c r="K67" s="7">
        <f>SUMIFS($O$5:$O$57,$A$5:$A$57,"C",$I$5:$I$57,$C67)</f>
        <v/>
      </c>
      <c r="L67" s="7">
        <f>SUMIFS($P$5:$P$57,$A$5:$A$57,"C",$I$5:$I$57,$C67)</f>
        <v/>
      </c>
      <c r="M67" s="18">
        <f>D67+G67+J67</f>
        <v/>
      </c>
      <c r="N67" s="18">
        <f>E67+H67+K67</f>
        <v/>
      </c>
      <c r="O67" s="18">
        <f>F67+I67+L67</f>
        <v/>
      </c>
    </row>
    <row r="68">
      <c r="C68" s="5" t="inlineStr">
        <is>
          <t>Liqueur de poire</t>
        </is>
      </c>
      <c r="D68" s="7">
        <f>SUMIFS($N$5:$N$57,$A$5:$A$57,"A",$I$5:$I$57,$C68)</f>
        <v/>
      </c>
      <c r="E68" s="7">
        <f>SUMIFS($O$5:$O$57,$A$5:$A$57,"A",$I$5:$I$57,$C68)</f>
        <v/>
      </c>
      <c r="F68" s="7">
        <f>SUMIFS($P$5:$P$57,$A$5:$A$57,"A",$I$5:$I$57,$C68)</f>
        <v/>
      </c>
      <c r="G68" s="7">
        <f>SUMIFS($N$5:$N$57,$A$5:$A$57,"B",$I$5:$I$57,$C68)</f>
        <v/>
      </c>
      <c r="H68" s="7">
        <f>SUMIFS($O$5:$O$57,$A$5:$A$57,"B",$I$5:$I$57,$C68)</f>
        <v/>
      </c>
      <c r="I68" s="7">
        <f>SUMIFS($P$5:$P$57,$A$5:$A$57,"B",$I$5:$I$57,$C68)</f>
        <v/>
      </c>
      <c r="J68" s="7">
        <f>SUMIFS($N$5:$N$57,$A$5:$A$57,"C",$I$5:$I$57,$C68)</f>
        <v/>
      </c>
      <c r="K68" s="7">
        <f>SUMIFS($O$5:$O$57,$A$5:$A$57,"C",$I$5:$I$57,$C68)</f>
        <v/>
      </c>
      <c r="L68" s="7">
        <f>SUMIFS($P$5:$P$57,$A$5:$A$57,"C",$I$5:$I$57,$C68)</f>
        <v/>
      </c>
      <c r="M68" s="18">
        <f>D68+G68+J68</f>
        <v/>
      </c>
      <c r="N68" s="18">
        <f>E68+H68+K68</f>
        <v/>
      </c>
      <c r="O68" s="18">
        <f>F68+I68+L68</f>
        <v/>
      </c>
    </row>
    <row r="69">
      <c r="C69" s="5" t="inlineStr">
        <is>
          <t>Calvados</t>
        </is>
      </c>
      <c r="D69" s="7">
        <f>SUMIFS($N$5:$N$57,$A$5:$A$57,"A",$I$5:$I$57,$C69)</f>
        <v/>
      </c>
      <c r="E69" s="7">
        <f>SUMIFS($O$5:$O$57,$A$5:$A$57,"A",$I$5:$I$57,$C69)</f>
        <v/>
      </c>
      <c r="F69" s="7">
        <f>SUMIFS($P$5:$P$57,$A$5:$A$57,"A",$I$5:$I$57,$C69)</f>
        <v/>
      </c>
      <c r="G69" s="7">
        <f>SUMIFS($N$5:$N$57,$A$5:$A$57,"B",$I$5:$I$57,$C69)</f>
        <v/>
      </c>
      <c r="H69" s="7">
        <f>SUMIFS($O$5:$O$57,$A$5:$A$57,"B",$I$5:$I$57,$C69)</f>
        <v/>
      </c>
      <c r="I69" s="7">
        <f>SUMIFS($P$5:$P$57,$A$5:$A$57,"B",$I$5:$I$57,$C69)</f>
        <v/>
      </c>
      <c r="J69" s="7">
        <f>SUMIFS($N$5:$N$57,$A$5:$A$57,"C",$I$5:$I$57,$C69)</f>
        <v/>
      </c>
      <c r="K69" s="7">
        <f>SUMIFS($O$5:$O$57,$A$5:$A$57,"C",$I$5:$I$57,$C69)</f>
        <v/>
      </c>
      <c r="L69" s="7">
        <f>SUMIFS($P$5:$P$57,$A$5:$A$57,"C",$I$5:$I$57,$C69)</f>
        <v/>
      </c>
      <c r="M69" s="18">
        <f>D69+G69+J69</f>
        <v/>
      </c>
      <c r="N69" s="18">
        <f>E69+H69+K69</f>
        <v/>
      </c>
      <c r="O69" s="18">
        <f>F69+I69+L69</f>
        <v/>
      </c>
    </row>
    <row r="70">
      <c r="C70" s="5" t="inlineStr">
        <is>
          <t>Marc de bourgogne</t>
        </is>
      </c>
      <c r="D70" s="7">
        <f>SUMIFS($N$5:$N$57,$A$5:$A$57,"A",$I$5:$I$57,$C70)</f>
        <v/>
      </c>
      <c r="E70" s="7">
        <f>SUMIFS($O$5:$O$57,$A$5:$A$57,"A",$I$5:$I$57,$C70)</f>
        <v/>
      </c>
      <c r="F70" s="7">
        <f>SUMIFS($P$5:$P$57,$A$5:$A$57,"A",$I$5:$I$57,$C70)</f>
        <v/>
      </c>
      <c r="G70" s="7">
        <f>SUMIFS($N$5:$N$57,$A$5:$A$57,"B",$I$5:$I$57,$C70)</f>
        <v/>
      </c>
      <c r="H70" s="7">
        <f>SUMIFS($O$5:$O$57,$A$5:$A$57,"B",$I$5:$I$57,$C70)</f>
        <v/>
      </c>
      <c r="I70" s="7">
        <f>SUMIFS($P$5:$P$57,$A$5:$A$57,"B",$I$5:$I$57,$C70)</f>
        <v/>
      </c>
      <c r="J70" s="7">
        <f>SUMIFS($N$5:$N$57,$A$5:$A$57,"C",$I$5:$I$57,$C70)</f>
        <v/>
      </c>
      <c r="K70" s="7">
        <f>SUMIFS($O$5:$O$57,$A$5:$A$57,"C",$I$5:$I$57,$C70)</f>
        <v/>
      </c>
      <c r="L70" s="7">
        <f>SUMIFS($P$5:$P$57,$A$5:$A$57,"C",$I$5:$I$57,$C70)</f>
        <v/>
      </c>
      <c r="M70" s="18">
        <f>D70+G70+J70</f>
        <v/>
      </c>
      <c r="N70" s="18">
        <f>E70+H70+K70</f>
        <v/>
      </c>
      <c r="O70" s="18">
        <f>F70+I70+L70</f>
        <v/>
      </c>
    </row>
    <row r="71">
      <c r="C71" s="19" t="inlineStr">
        <is>
          <t>TOTAL</t>
        </is>
      </c>
      <c r="D71" s="20">
        <f>SUM(D62:D70)</f>
        <v/>
      </c>
      <c r="E71" s="20">
        <f>SUM(E62:E70)</f>
        <v/>
      </c>
      <c r="F71" s="20">
        <f>SUM(F62:F70)</f>
        <v/>
      </c>
      <c r="G71" s="20">
        <f>SUM(G62:G70)</f>
        <v/>
      </c>
      <c r="H71" s="20">
        <f>SUM(H62:H70)</f>
        <v/>
      </c>
      <c r="I71" s="20">
        <f>SUM(I62:I70)</f>
        <v/>
      </c>
      <c r="J71" s="20">
        <f>SUM(J62:J70)</f>
        <v/>
      </c>
      <c r="K71" s="20">
        <f>SUM(K62:K70)</f>
        <v/>
      </c>
      <c r="L71" s="20">
        <f>SUM(L62:L70)</f>
        <v/>
      </c>
      <c r="M71" s="20">
        <f>SUM(M62:M70)</f>
        <v/>
      </c>
      <c r="N71" s="20">
        <f>SUM(N62:N70)</f>
        <v/>
      </c>
      <c r="O71" s="20">
        <f>SUM(O62:O70)</f>
        <v/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2026-06-08T04:52:25Z</dcterms:created>
  <dcterms:modified xsi:type="dcterms:W3CDTF">2026-06-08T04:52:25Z</dcterms:modified>
</cp:coreProperties>
</file>